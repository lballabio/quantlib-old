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s>
  <definedNames>
    <definedName name="_xlnm._FilterDatabase" localSheetId="6" hidden="1">Monitor!$B$11:$F$3553</definedName>
    <definedName name="Accuracy">'General Settings'!$D$23</definedName>
    <definedName name="BondBasisDayCounter">'General Settings'!$M$13</definedName>
    <definedName name="Calendar">'General Settings'!$D$18</definedName>
    <definedName name="Check">Monitor!$J$49</definedName>
    <definedName name="Conventions" localSheetId="5">'6M_Swaps'!$P$6:$R$10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RADates">Monitor!$M$19:$M$36</definedName>
    <definedName name="FRANull">Monitor!$O$19:$O$36</definedName>
    <definedName name="FRAQuotes">Monitor!$N$19:$N$36</definedName>
    <definedName name="FRASeries">IF(Check=FALSE,FRANull,FRAQuotes)</definedName>
    <definedName name="FrontFuturesRollingDays">Selected!$B$4</definedName>
    <definedName name="IborIndex">Monitor!$X$16</definedName>
    <definedName name="IborType">'General Settings'!$D$7</definedName>
    <definedName name="IndexTenor">'General Settings'!$D$6</definedName>
    <definedName name="InterpolatorID">'General Settings'!$D$25</definedName>
    <definedName name="MinDistance">RateHelpers!$J$2:$J$165</definedName>
    <definedName name="MktFRA">Monitor!$L$18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O20" i="12" l="1"/>
  <c r="O21" i="12"/>
  <c r="O22" i="12"/>
  <c r="O23" i="12"/>
  <c r="O24" i="12"/>
  <c r="O25" i="12"/>
  <c r="O26" i="12"/>
  <c r="O27" i="12"/>
  <c r="O28" i="12"/>
  <c r="O29" i="12"/>
  <c r="O30" i="12"/>
  <c r="O31" i="12"/>
  <c r="O32" i="12"/>
  <c r="O33" i="12"/>
  <c r="O34" i="12"/>
  <c r="O35" i="12"/>
  <c r="O36" i="12"/>
  <c r="O19" i="12"/>
  <c r="B7" i="12"/>
  <c r="B4" i="12"/>
  <c r="B16" i="12"/>
  <c r="B13" i="12"/>
  <c r="B10" i="12"/>
  <c r="B11" i="12"/>
  <c r="B6" i="12"/>
  <c r="B14" i="12"/>
  <c r="B3" i="12"/>
  <c r="B5" i="12"/>
  <c r="B12" i="12"/>
  <c r="B8" i="12"/>
  <c r="B15" i="12"/>
  <c r="B9" i="12"/>
  <c r="U20" i="12" l="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C3" i="12"/>
  <c r="C4" i="12" l="1"/>
  <c r="C5" i="12" s="1"/>
  <c r="C6" i="12" s="1"/>
  <c r="C7" i="12" s="1"/>
  <c r="C8" i="12" s="1"/>
  <c r="C9" i="12" s="1"/>
  <c r="C10" i="12" s="1"/>
  <c r="C11" i="12" s="1"/>
  <c r="C12" i="12" s="1"/>
  <c r="C13" i="12" s="1"/>
  <c r="C14" i="12" s="1"/>
  <c r="C15" i="12" s="1"/>
  <c r="C16" i="12" s="1"/>
  <c r="M15" i="6"/>
  <c r="K2" i="11" l="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E5" i="7"/>
  <c r="H4" i="7"/>
  <c r="G12" i="7"/>
  <c r="H12" i="7"/>
  <c r="H3" i="7"/>
  <c r="H7" i="7"/>
  <c r="D10" i="7"/>
  <c r="H9" i="7"/>
  <c r="F9" i="7"/>
  <c r="F8" i="7"/>
  <c r="F10" i="7"/>
  <c r="D11" i="7"/>
  <c r="E7" i="7"/>
  <c r="F7" i="7"/>
  <c r="E6" i="7"/>
  <c r="G11" i="7"/>
  <c r="F11" i="7"/>
  <c r="E11" i="7"/>
  <c r="F12" i="7"/>
  <c r="D7" i="7"/>
  <c r="H10" i="7"/>
  <c r="H8" i="7"/>
  <c r="G10" i="7"/>
  <c r="E9" i="7"/>
  <c r="D12" i="7"/>
  <c r="G8" i="7"/>
  <c r="E3" i="7"/>
  <c r="D6" i="7"/>
  <c r="G9" i="7"/>
  <c r="E12" i="7"/>
  <c r="D4" i="7"/>
  <c r="H6" i="7"/>
  <c r="E8" i="7"/>
  <c r="E4" i="7"/>
  <c r="D3" i="7"/>
  <c r="H11" i="7"/>
  <c r="G7" i="7"/>
  <c r="E10" i="7"/>
  <c r="D5" i="7"/>
  <c r="D9" i="7"/>
  <c r="D8" i="7"/>
  <c r="H5" i="7"/>
  <c r="V19" i="12"/>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I9" i="9"/>
  <c r="I7" i="9"/>
  <c r="I4" i="9"/>
  <c r="K10" i="7"/>
  <c r="K9" i="7"/>
  <c r="I12" i="9"/>
  <c r="I5" i="9"/>
  <c r="I22" i="9"/>
  <c r="I13" i="9"/>
  <c r="K5" i="7"/>
  <c r="K4" i="7"/>
  <c r="K8" i="7"/>
  <c r="K12" i="7"/>
  <c r="K11" i="7"/>
  <c r="K7" i="7"/>
  <c r="I16" i="9"/>
  <c r="I17" i="9"/>
  <c r="I18" i="9"/>
  <c r="I15" i="9"/>
  <c r="K6" i="7"/>
  <c r="I20" i="9"/>
  <c r="L4" i="11"/>
  <c r="L26" i="11"/>
  <c r="L24" i="11"/>
  <c r="L25" i="11"/>
  <c r="I3" i="9"/>
  <c r="K3" i="7"/>
  <c r="L16" i="11"/>
  <c r="L42" i="11"/>
  <c r="L7" i="11"/>
  <c r="I14" i="9"/>
  <c r="L17" i="11"/>
  <c r="L6" i="11"/>
  <c r="L23" i="11"/>
  <c r="I8" i="9"/>
  <c r="L40" i="11"/>
  <c r="I10" i="9"/>
  <c r="I11" i="9"/>
  <c r="I19" i="9"/>
  <c r="I6" i="9"/>
  <c r="L30" i="11"/>
  <c r="I21" i="9"/>
  <c r="L27" i="11"/>
  <c r="L41" i="11"/>
  <c r="L37" i="11"/>
  <c r="L34" i="11"/>
  <c r="V20" i="12"/>
  <c r="W19" i="12"/>
  <c r="L19" i="11"/>
  <c r="L8" i="11"/>
  <c r="L36" i="11"/>
  <c r="L28" i="11"/>
  <c r="L10" i="11"/>
  <c r="L20" i="11"/>
  <c r="L12" i="11"/>
  <c r="M4" i="11"/>
  <c r="L18" i="11"/>
  <c r="L29" i="11"/>
  <c r="L11" i="11"/>
  <c r="L31" i="11"/>
  <c r="L38" i="11"/>
  <c r="L39" i="11"/>
  <c r="L33" i="11"/>
  <c r="L32" i="11"/>
  <c r="L9" i="11"/>
  <c r="L22" i="11"/>
  <c r="L35" i="11"/>
  <c r="L15" i="11"/>
  <c r="L13" i="11"/>
  <c r="L14" i="11"/>
  <c r="L21" i="11"/>
  <c r="E4" i="12" l="1"/>
  <c r="E12" i="12"/>
  <c r="E5" i="12"/>
  <c r="E13" i="12"/>
  <c r="E6" i="12"/>
  <c r="E14" i="12"/>
  <c r="E7" i="12"/>
  <c r="E15" i="12"/>
  <c r="E8" i="12"/>
  <c r="E16" i="12"/>
  <c r="E9" i="12"/>
  <c r="E3" i="12"/>
  <c r="E10" i="12"/>
  <c r="E11" i="12"/>
  <c r="L3" i="11"/>
  <c r="D7" i="6"/>
  <c r="C92" i="4" s="1"/>
  <c r="D8" i="6"/>
  <c r="B92" i="4" s="1"/>
  <c r="D23" i="6"/>
  <c r="C12" i="4"/>
  <c r="C13" i="4"/>
  <c r="D14" i="4"/>
  <c r="D15" i="4"/>
  <c r="D16" i="4"/>
  <c r="D17" i="4"/>
  <c r="D18" i="4"/>
  <c r="D19" i="4"/>
  <c r="D20" i="4"/>
  <c r="D21" i="4"/>
  <c r="D22" i="4"/>
  <c r="D23" i="4"/>
  <c r="D24" i="4"/>
  <c r="D25" i="4"/>
  <c r="D26" i="4"/>
  <c r="D27" i="4"/>
  <c r="D28" i="4"/>
  <c r="D29" i="4"/>
  <c r="D30" i="4"/>
  <c r="D31" i="4"/>
  <c r="D6" i="6"/>
  <c r="J16" i="9"/>
  <c r="L2" i="7"/>
  <c r="M14" i="11"/>
  <c r="M27" i="11"/>
  <c r="J14" i="9"/>
  <c r="J9" i="9"/>
  <c r="J18" i="9"/>
  <c r="J11" i="9"/>
  <c r="M3" i="11"/>
  <c r="M12" i="11"/>
  <c r="M32" i="11"/>
  <c r="M7" i="11"/>
  <c r="M8" i="11"/>
  <c r="J8" i="9"/>
  <c r="J19" i="9"/>
  <c r="L11" i="7"/>
  <c r="M20" i="11"/>
  <c r="J6" i="9"/>
  <c r="M21" i="11"/>
  <c r="J13" i="9"/>
  <c r="J4" i="9"/>
  <c r="M38" i="11"/>
  <c r="M17" i="11"/>
  <c r="M36" i="11"/>
  <c r="J22" i="9"/>
  <c r="M18" i="11"/>
  <c r="M16" i="11"/>
  <c r="M22" i="11"/>
  <c r="M30" i="11"/>
  <c r="D21" i="6"/>
  <c r="M13" i="11"/>
  <c r="M25" i="11"/>
  <c r="B1" i="6"/>
  <c r="J21" i="9"/>
  <c r="M33" i="11"/>
  <c r="M26" i="11"/>
  <c r="J20" i="9"/>
  <c r="M10" i="11"/>
  <c r="L6" i="7"/>
  <c r="M24" i="11"/>
  <c r="M15" i="11"/>
  <c r="M29" i="11"/>
  <c r="M31" i="11"/>
  <c r="L4" i="7"/>
  <c r="M34" i="11"/>
  <c r="M39" i="11"/>
  <c r="L9" i="7"/>
  <c r="J15" i="9"/>
  <c r="M37" i="11"/>
  <c r="J12" i="9"/>
  <c r="J10" i="9"/>
  <c r="J2" i="9"/>
  <c r="M23" i="11"/>
  <c r="L12" i="7"/>
  <c r="L10" i="7"/>
  <c r="D32" i="4" a="1"/>
  <c r="M28" i="11"/>
  <c r="M6" i="11"/>
  <c r="L5" i="7"/>
  <c r="J5" i="9"/>
  <c r="M9" i="11"/>
  <c r="M11" i="11"/>
  <c r="M42" i="11"/>
  <c r="M41" i="11"/>
  <c r="L7" i="7"/>
  <c r="L8" i="7"/>
  <c r="M35" i="11"/>
  <c r="M40" i="11"/>
  <c r="L3" i="7"/>
  <c r="J7" i="9"/>
  <c r="M19" i="11"/>
  <c r="J3" i="9"/>
  <c r="J17" i="9"/>
  <c r="W20" i="12"/>
  <c r="V21" i="12"/>
  <c r="C37" i="4" l="1"/>
  <c r="C45" i="4"/>
  <c r="C53" i="4"/>
  <c r="C61" i="4"/>
  <c r="C69" i="4"/>
  <c r="C32" i="4"/>
  <c r="C40" i="4"/>
  <c r="C48" i="4"/>
  <c r="C56" i="4"/>
  <c r="C64" i="4"/>
  <c r="C72" i="4"/>
  <c r="C33" i="4"/>
  <c r="C57" i="4"/>
  <c r="C73" i="4"/>
  <c r="C38" i="4"/>
  <c r="C46" i="4"/>
  <c r="C54" i="4"/>
  <c r="C62" i="4"/>
  <c r="C70" i="4"/>
  <c r="C34" i="4"/>
  <c r="C50" i="4"/>
  <c r="C66" i="4"/>
  <c r="D9" i="6"/>
  <c r="E31" i="4"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V22" i="12"/>
  <c r="W22" i="12"/>
  <c r="W21" i="12"/>
  <c r="E13" i="4" l="1"/>
  <c r="E23" i="4"/>
  <c r="E35" i="4"/>
  <c r="E41" i="4"/>
  <c r="E7" i="4"/>
  <c r="E21" i="4"/>
  <c r="E89" i="4"/>
  <c r="E30" i="4"/>
  <c r="E10" i="4"/>
  <c r="E77" i="4"/>
  <c r="E12" i="4"/>
  <c r="E91" i="4"/>
  <c r="E90" i="4"/>
  <c r="E11" i="4"/>
  <c r="E8" i="4"/>
  <c r="E25" i="4"/>
  <c r="E36" i="4"/>
  <c r="E27" i="4"/>
  <c r="E19" i="4"/>
  <c r="E60" i="4"/>
  <c r="E43" i="4"/>
  <c r="E54" i="4"/>
  <c r="E44" i="4"/>
  <c r="E45" i="4"/>
  <c r="E20" i="4"/>
  <c r="E79" i="4"/>
  <c r="E87" i="4"/>
  <c r="E56" i="4"/>
  <c r="E46" i="4"/>
  <c r="E37" i="4"/>
  <c r="E28" i="4"/>
  <c r="E18" i="4"/>
  <c r="E3" i="4"/>
  <c r="E6" i="4"/>
  <c r="E24" i="4"/>
  <c r="E81" i="4"/>
  <c r="E92" i="4"/>
  <c r="E48" i="4"/>
  <c r="E33" i="4"/>
  <c r="E76" i="4"/>
  <c r="E78" i="4"/>
  <c r="E5" i="4"/>
  <c r="E83" i="4"/>
  <c r="E85" i="4"/>
  <c r="E65" i="4"/>
  <c r="E61" i="4"/>
  <c r="E70" i="4"/>
  <c r="E68" i="4"/>
  <c r="E42" i="4"/>
  <c r="E26" i="4"/>
  <c r="E51" i="4"/>
  <c r="E71" i="4"/>
  <c r="E38" i="4"/>
  <c r="E62" i="4"/>
  <c r="E84" i="4"/>
  <c r="E74" i="4"/>
  <c r="E88" i="4"/>
  <c r="E15" i="4"/>
  <c r="E16" i="4"/>
  <c r="E55" i="4"/>
  <c r="E2" i="4"/>
  <c r="E82" i="4"/>
  <c r="E4" i="4"/>
  <c r="E22" i="4"/>
  <c r="E17" i="4"/>
  <c r="E75" i="4"/>
  <c r="E72" i="4"/>
  <c r="E64" i="4"/>
  <c r="E40" i="4"/>
  <c r="E49" i="4"/>
  <c r="E9" i="4"/>
  <c r="E14" i="4"/>
  <c r="E29" i="4"/>
  <c r="E80" i="4"/>
  <c r="E86" i="4"/>
  <c r="E47" i="4"/>
  <c r="E69" i="4"/>
  <c r="E50" i="4"/>
  <c r="E32" i="4"/>
  <c r="E66" i="4"/>
  <c r="E67" i="4"/>
  <c r="E34" i="4"/>
  <c r="E58" i="4"/>
  <c r="E57" i="4"/>
  <c r="E39" i="4"/>
  <c r="E63" i="4"/>
  <c r="E52" i="4"/>
  <c r="E53" i="4"/>
  <c r="E73" i="4"/>
  <c r="E59" i="4"/>
  <c r="E94" i="4"/>
  <c r="E96" i="4"/>
  <c r="E97" i="4"/>
  <c r="E93" i="4"/>
  <c r="E95" i="4"/>
  <c r="E98" i="4"/>
  <c r="B99" i="4"/>
  <c r="C99" i="4"/>
  <c r="B100" i="4"/>
  <c r="C100" i="4"/>
  <c r="B101" i="4"/>
  <c r="C101" i="4"/>
  <c r="B102" i="4"/>
  <c r="C102" i="4"/>
  <c r="B103" i="4"/>
  <c r="C103" i="4"/>
  <c r="V23" i="12"/>
  <c r="W23" i="12" s="1"/>
  <c r="V24" i="12"/>
  <c r="V25" i="12" s="1"/>
  <c r="E100" i="4" l="1"/>
  <c r="E99" i="4"/>
  <c r="E101" i="4"/>
  <c r="E102" i="4"/>
  <c r="E103" i="4"/>
  <c r="B104" i="4"/>
  <c r="C104" i="4"/>
  <c r="B105" i="4"/>
  <c r="C105" i="4"/>
  <c r="W25" i="12"/>
  <c r="W24" i="12"/>
  <c r="V26" i="12"/>
  <c r="W26" i="12"/>
  <c r="E104" i="4" l="1"/>
  <c r="E105" i="4"/>
  <c r="B106" i="4"/>
  <c r="C106" i="4"/>
  <c r="B107" i="4"/>
  <c r="C107" i="4"/>
  <c r="B108" i="4"/>
  <c r="C108" i="4"/>
  <c r="E106" i="4" l="1"/>
  <c r="E107" i="4"/>
  <c r="E108" i="4"/>
  <c r="B109" i="4"/>
  <c r="C109" i="4"/>
  <c r="E109" i="4" l="1"/>
  <c r="B110" i="4"/>
  <c r="C110" i="4"/>
  <c r="E110" i="4" l="1"/>
  <c r="B111" i="4"/>
  <c r="C111" i="4"/>
  <c r="E111" i="4" l="1"/>
  <c r="B112" i="4"/>
  <c r="C112" i="4"/>
  <c r="E112" i="4" l="1"/>
  <c r="B113" i="4"/>
  <c r="C113" i="4"/>
  <c r="E113" i="4" l="1"/>
  <c r="B114" i="4"/>
  <c r="C114" i="4"/>
  <c r="B115" i="4"/>
  <c r="C115" i="4"/>
  <c r="E114" i="4" l="1"/>
  <c r="E115" i="4"/>
  <c r="B116" i="4"/>
  <c r="C116" i="4"/>
  <c r="E116" i="4" l="1"/>
  <c r="B117" i="4"/>
  <c r="C117" i="4"/>
  <c r="E117" i="4" l="1"/>
  <c r="B118" i="4"/>
  <c r="C118" i="4"/>
  <c r="B119" i="4"/>
  <c r="C119" i="4"/>
  <c r="E118" i="4" l="1"/>
  <c r="E119" i="4"/>
  <c r="B120" i="4"/>
  <c r="C120" i="4"/>
  <c r="E120" i="4" l="1"/>
  <c r="B121" i="4"/>
  <c r="C121" i="4"/>
  <c r="E121" i="4" l="1"/>
  <c r="B122" i="4"/>
  <c r="C122" i="4"/>
  <c r="B123" i="4"/>
  <c r="C123" i="4"/>
  <c r="E122" i="4" l="1"/>
  <c r="E123" i="4"/>
  <c r="B124" i="4"/>
  <c r="C124" i="4"/>
  <c r="E124" i="4" l="1"/>
  <c r="B125" i="4"/>
  <c r="C125" i="4"/>
  <c r="E125" i="4" l="1"/>
  <c r="B126" i="4"/>
  <c r="C126" i="4"/>
  <c r="B127" i="4"/>
  <c r="C127" i="4"/>
  <c r="E126" i="4" l="1"/>
  <c r="E127" i="4"/>
  <c r="B128" i="4"/>
  <c r="C128" i="4"/>
  <c r="E128" i="4" l="1"/>
  <c r="B129" i="4"/>
  <c r="C129" i="4"/>
  <c r="L91" i="4"/>
  <c r="F26" i="4"/>
  <c r="F14" i="4"/>
  <c r="G83" i="4"/>
  <c r="G103" i="4"/>
  <c r="K40" i="4"/>
  <c r="F84" i="4"/>
  <c r="L83" i="4"/>
  <c r="K118" i="4"/>
  <c r="F52" i="4"/>
  <c r="K51" i="4"/>
  <c r="K125" i="4"/>
  <c r="K69" i="4"/>
  <c r="G62" i="4"/>
  <c r="L65" i="4"/>
  <c r="F86" i="4"/>
  <c r="K58" i="4"/>
  <c r="G56" i="4"/>
  <c r="K38" i="4"/>
  <c r="G98" i="4"/>
  <c r="G124" i="4"/>
  <c r="G39" i="4"/>
  <c r="F100" i="4"/>
  <c r="F82" i="4"/>
  <c r="F77" i="4"/>
  <c r="G123" i="4"/>
  <c r="K7" i="4"/>
  <c r="L106" i="4"/>
  <c r="L54" i="4"/>
  <c r="G54" i="4"/>
  <c r="K12" i="4"/>
  <c r="G57" i="4"/>
  <c r="L116" i="4"/>
  <c r="F103" i="4"/>
  <c r="L125" i="4"/>
  <c r="L115" i="4"/>
  <c r="F126" i="4"/>
  <c r="K83" i="4"/>
  <c r="K37" i="4"/>
  <c r="F36" i="4"/>
  <c r="F121" i="4"/>
  <c r="G86" i="4"/>
  <c r="L68" i="4"/>
  <c r="L36" i="4"/>
  <c r="F28" i="4"/>
  <c r="L102" i="4"/>
  <c r="F69" i="4"/>
  <c r="F99" i="4"/>
  <c r="K57" i="4"/>
  <c r="K121" i="4"/>
  <c r="F102" i="4"/>
  <c r="G116" i="4"/>
  <c r="F89" i="4"/>
  <c r="F8" i="4"/>
  <c r="G101" i="4"/>
  <c r="K31" i="4"/>
  <c r="F10" i="4"/>
  <c r="F11" i="4"/>
  <c r="L92" i="4"/>
  <c r="F128" i="4"/>
  <c r="L31" i="4"/>
  <c r="G85" i="4"/>
  <c r="K75" i="4"/>
  <c r="L120" i="4"/>
  <c r="F29" i="4"/>
  <c r="K18" i="4"/>
  <c r="G73" i="4"/>
  <c r="L93" i="4"/>
  <c r="K115" i="4"/>
  <c r="L59" i="4"/>
  <c r="L7" i="4"/>
  <c r="K128" i="4"/>
  <c r="L35" i="4"/>
  <c r="L110" i="4"/>
  <c r="K14" i="4"/>
  <c r="L97" i="4"/>
  <c r="K6" i="4"/>
  <c r="K122" i="4"/>
  <c r="K94" i="4"/>
  <c r="K84" i="4"/>
  <c r="K107" i="4"/>
  <c r="L45" i="4"/>
  <c r="G47" i="4"/>
  <c r="G38" i="4"/>
  <c r="G120" i="4"/>
  <c r="G91" i="4"/>
  <c r="G65" i="4"/>
  <c r="F53" i="4"/>
  <c r="F85" i="4"/>
  <c r="L81" i="4"/>
  <c r="F66" i="4"/>
  <c r="F5" i="4"/>
  <c r="G117" i="4"/>
  <c r="F111" i="4"/>
  <c r="G127" i="4"/>
  <c r="G53" i="4"/>
  <c r="F25" i="4"/>
  <c r="L50" i="4"/>
  <c r="F91" i="4"/>
  <c r="L123" i="4"/>
  <c r="G71" i="4"/>
  <c r="F73" i="4"/>
  <c r="L94" i="4"/>
  <c r="L44" i="4"/>
  <c r="K13" i="4"/>
  <c r="F104" i="4"/>
  <c r="G105" i="4"/>
  <c r="L90" i="4"/>
  <c r="L27" i="4"/>
  <c r="F6" i="4"/>
  <c r="L14" i="4"/>
  <c r="K41" i="4"/>
  <c r="K25" i="4"/>
  <c r="F4" i="4"/>
  <c r="F48" i="4"/>
  <c r="L37" i="4"/>
  <c r="K93" i="4"/>
  <c r="F3" i="4"/>
  <c r="L21" i="4"/>
  <c r="K20" i="4"/>
  <c r="L86" i="4"/>
  <c r="G66" i="4"/>
  <c r="L5" i="4"/>
  <c r="G93" i="4"/>
  <c r="L56" i="4"/>
  <c r="K4" i="4"/>
  <c r="G49" i="4"/>
  <c r="K87" i="4"/>
  <c r="F119" i="4"/>
  <c r="F76" i="4"/>
  <c r="K2" i="4"/>
  <c r="G67" i="4"/>
  <c r="G112" i="4"/>
  <c r="G97" i="4"/>
  <c r="F90" i="4"/>
  <c r="K123" i="4"/>
  <c r="F95" i="4"/>
  <c r="K82" i="4"/>
  <c r="G115" i="4"/>
  <c r="L75" i="4"/>
  <c r="L12" i="4"/>
  <c r="K55" i="4"/>
  <c r="F65" i="4"/>
  <c r="F124" i="4"/>
  <c r="G69" i="4"/>
  <c r="L107" i="4"/>
  <c r="L108" i="4"/>
  <c r="K98" i="4"/>
  <c r="F93" i="4"/>
  <c r="F46" i="4"/>
  <c r="F56" i="4"/>
  <c r="K110" i="4"/>
  <c r="G59" i="4"/>
  <c r="L105" i="4"/>
  <c r="K8" i="4"/>
  <c r="L76" i="4"/>
  <c r="F72" i="4"/>
  <c r="G45" i="4"/>
  <c r="F32" i="4"/>
  <c r="K109" i="4"/>
  <c r="L57" i="4"/>
  <c r="F37" i="4"/>
  <c r="G41" i="4"/>
  <c r="K124" i="4"/>
  <c r="L104" i="4"/>
  <c r="G90" i="4"/>
  <c r="F106" i="4"/>
  <c r="G92" i="4"/>
  <c r="F31" i="4"/>
  <c r="F123" i="4"/>
  <c r="K35" i="4"/>
  <c r="K24" i="4"/>
  <c r="F97" i="4"/>
  <c r="K64" i="4"/>
  <c r="F118" i="4"/>
  <c r="F74" i="4"/>
  <c r="G70" i="4"/>
  <c r="F45" i="4"/>
  <c r="K26" i="4"/>
  <c r="K114" i="4"/>
  <c r="L47" i="4"/>
  <c r="K39" i="4"/>
  <c r="F98" i="4"/>
  <c r="K15" i="4"/>
  <c r="K11" i="4"/>
  <c r="L32" i="4"/>
  <c r="F49" i="4"/>
  <c r="L122" i="4"/>
  <c r="K42" i="4"/>
  <c r="G37" i="4"/>
  <c r="L62" i="4"/>
  <c r="G35" i="4"/>
  <c r="K10" i="4"/>
  <c r="L42" i="4"/>
  <c r="K73" i="4"/>
  <c r="L89" i="4"/>
  <c r="K34" i="4"/>
  <c r="K49" i="4"/>
  <c r="F41" i="4"/>
  <c r="G75" i="4"/>
  <c r="K67" i="4"/>
  <c r="L30" i="4"/>
  <c r="G80" i="4"/>
  <c r="F15" i="4"/>
  <c r="F18" i="4"/>
  <c r="L9" i="4"/>
  <c r="L103" i="4"/>
  <c r="L17" i="4"/>
  <c r="F68" i="4"/>
  <c r="G121" i="4"/>
  <c r="L19" i="4"/>
  <c r="F94" i="4"/>
  <c r="L38" i="4"/>
  <c r="L85" i="4"/>
  <c r="F40" i="4"/>
  <c r="K56" i="4"/>
  <c r="L55" i="4"/>
  <c r="L121" i="4"/>
  <c r="K29" i="4"/>
  <c r="L20" i="4"/>
  <c r="G118" i="4"/>
  <c r="G119" i="4"/>
  <c r="G51" i="4"/>
  <c r="G82" i="4"/>
  <c r="G87" i="4"/>
  <c r="L16" i="4"/>
  <c r="L8" i="4"/>
  <c r="F105" i="4"/>
  <c r="L112" i="4"/>
  <c r="G74" i="4"/>
  <c r="K101" i="4"/>
  <c r="F101" i="4"/>
  <c r="K120" i="4"/>
  <c r="F30" i="4"/>
  <c r="F33" i="4"/>
  <c r="K74" i="4"/>
  <c r="F39" i="4"/>
  <c r="G88" i="4"/>
  <c r="K27" i="4"/>
  <c r="K17" i="4"/>
  <c r="L88" i="4"/>
  <c r="L51" i="4"/>
  <c r="G68" i="4"/>
  <c r="L49" i="4"/>
  <c r="K117" i="4"/>
  <c r="L87" i="4"/>
  <c r="K36" i="4"/>
  <c r="L39" i="4"/>
  <c r="G100" i="4"/>
  <c r="L72" i="4"/>
  <c r="G122" i="4"/>
  <c r="F12" i="4"/>
  <c r="K79" i="4"/>
  <c r="G78" i="4"/>
  <c r="F70" i="4"/>
  <c r="G102" i="4"/>
  <c r="K112" i="4"/>
  <c r="K70" i="4"/>
  <c r="K9" i="4"/>
  <c r="G43" i="4"/>
  <c r="L100" i="4"/>
  <c r="L24" i="4"/>
  <c r="L10" i="4"/>
  <c r="L43" i="4"/>
  <c r="K3" i="4"/>
  <c r="K66" i="4"/>
  <c r="L124" i="4"/>
  <c r="G77" i="4"/>
  <c r="G126" i="4"/>
  <c r="F38" i="4"/>
  <c r="F22" i="4"/>
  <c r="K28" i="4"/>
  <c r="K30" i="4"/>
  <c r="F88" i="4"/>
  <c r="K33" i="4"/>
  <c r="L3" i="4"/>
  <c r="F110" i="4"/>
  <c r="F62" i="4"/>
  <c r="G110" i="4"/>
  <c r="L128" i="4"/>
  <c r="G113" i="4"/>
  <c r="G95" i="4"/>
  <c r="F42" i="4"/>
  <c r="G58" i="4"/>
  <c r="K60" i="4"/>
  <c r="G114" i="4"/>
  <c r="K71" i="4"/>
  <c r="K91" i="4"/>
  <c r="G104" i="4"/>
  <c r="G52" i="4"/>
  <c r="F7" i="4"/>
  <c r="L6" i="4"/>
  <c r="L96" i="4"/>
  <c r="G125" i="4"/>
  <c r="L71" i="4"/>
  <c r="L117" i="4"/>
  <c r="F58" i="4"/>
  <c r="G60" i="4"/>
  <c r="K50" i="4"/>
  <c r="L18" i="4"/>
  <c r="F63" i="4"/>
  <c r="K106" i="4"/>
  <c r="G106" i="4"/>
  <c r="K119" i="4"/>
  <c r="G34" i="4"/>
  <c r="L58" i="4"/>
  <c r="L118" i="4"/>
  <c r="G40" i="4"/>
  <c r="L77" i="4"/>
  <c r="F54" i="4"/>
  <c r="K103" i="4"/>
  <c r="F114" i="4"/>
  <c r="K62" i="4"/>
  <c r="F60" i="4"/>
  <c r="F17" i="4"/>
  <c r="L33" i="4"/>
  <c r="F61" i="4"/>
  <c r="F115" i="4"/>
  <c r="F35" i="4"/>
  <c r="L48" i="4"/>
  <c r="K99" i="4"/>
  <c r="F16" i="4"/>
  <c r="G111" i="4"/>
  <c r="F64" i="4"/>
  <c r="G109" i="4"/>
  <c r="L70" i="4"/>
  <c r="L46" i="4"/>
  <c r="K97" i="4"/>
  <c r="F21" i="4"/>
  <c r="F34" i="4"/>
  <c r="G76" i="4"/>
  <c r="G61" i="4"/>
  <c r="F2" i="4"/>
  <c r="F19" i="4"/>
  <c r="L4" i="4"/>
  <c r="K68" i="4"/>
  <c r="L74" i="4"/>
  <c r="K63" i="4"/>
  <c r="K96" i="4"/>
  <c r="F109" i="4"/>
  <c r="K88" i="4"/>
  <c r="L99" i="4"/>
  <c r="G32" i="4"/>
  <c r="L113" i="4"/>
  <c r="L25" i="4"/>
  <c r="L41" i="4"/>
  <c r="F120" i="4"/>
  <c r="K46" i="4"/>
  <c r="G107" i="4"/>
  <c r="K105" i="4"/>
  <c r="K54" i="4"/>
  <c r="K111" i="4"/>
  <c r="L109" i="4"/>
  <c r="L111" i="4"/>
  <c r="K95" i="4"/>
  <c r="F112" i="4"/>
  <c r="F67" i="4"/>
  <c r="K16" i="4"/>
  <c r="G44" i="4"/>
  <c r="K65" i="4"/>
  <c r="L63" i="4"/>
  <c r="G33" i="4"/>
  <c r="L82" i="4"/>
  <c r="K90" i="4"/>
  <c r="G55" i="4"/>
  <c r="K76" i="4"/>
  <c r="L64" i="4"/>
  <c r="L69" i="4"/>
  <c r="K85" i="4"/>
  <c r="G84" i="4"/>
  <c r="L126" i="4"/>
  <c r="F51" i="4"/>
  <c r="K100" i="4"/>
  <c r="G63" i="4"/>
  <c r="L26" i="4"/>
  <c r="K86" i="4"/>
  <c r="K43" i="4"/>
  <c r="L13" i="4"/>
  <c r="L2" i="4"/>
  <c r="K52" i="4"/>
  <c r="G50" i="4"/>
  <c r="F9" i="4"/>
  <c r="F96" i="4"/>
  <c r="L78" i="4"/>
  <c r="K81" i="4"/>
  <c r="K77" i="4"/>
  <c r="L60" i="4"/>
  <c r="L11" i="4"/>
  <c r="K104" i="4"/>
  <c r="L66" i="4"/>
  <c r="L40" i="4"/>
  <c r="F125" i="4"/>
  <c r="K44" i="4"/>
  <c r="F13" i="4"/>
  <c r="L95" i="4"/>
  <c r="F78" i="4"/>
  <c r="K19" i="4"/>
  <c r="L84" i="4"/>
  <c r="K21" i="4"/>
  <c r="K89" i="4"/>
  <c r="G36" i="4"/>
  <c r="L34" i="4"/>
  <c r="G89" i="4"/>
  <c r="K32" i="4"/>
  <c r="F20" i="4"/>
  <c r="F50" i="4"/>
  <c r="F57" i="4"/>
  <c r="F108" i="4"/>
  <c r="K23" i="4"/>
  <c r="F83" i="4"/>
  <c r="F27" i="4"/>
  <c r="K45" i="4"/>
  <c r="K53" i="4"/>
  <c r="K116" i="4"/>
  <c r="L114" i="4"/>
  <c r="F113" i="4"/>
  <c r="G79" i="4"/>
  <c r="F127" i="4"/>
  <c r="L61" i="4"/>
  <c r="F24" i="4"/>
  <c r="G108" i="4"/>
  <c r="K80" i="4"/>
  <c r="F80" i="4"/>
  <c r="G128" i="4"/>
  <c r="L29" i="4"/>
  <c r="L127" i="4"/>
  <c r="G48" i="4"/>
  <c r="F107" i="4"/>
  <c r="F117" i="4"/>
  <c r="K72" i="4"/>
  <c r="G72" i="4"/>
  <c r="G94" i="4"/>
  <c r="K113" i="4"/>
  <c r="F87" i="4"/>
  <c r="L80" i="4"/>
  <c r="L53" i="4"/>
  <c r="F81" i="4"/>
  <c r="F79" i="4"/>
  <c r="F71" i="4"/>
  <c r="F55" i="4"/>
  <c r="K61" i="4"/>
  <c r="F116" i="4"/>
  <c r="G99" i="4"/>
  <c r="K108" i="4"/>
  <c r="L73" i="4"/>
  <c r="F23" i="4"/>
  <c r="F59" i="4"/>
  <c r="K5" i="4"/>
  <c r="G46" i="4"/>
  <c r="L98" i="4"/>
  <c r="K47" i="4"/>
  <c r="L15" i="4"/>
  <c r="K78" i="4"/>
  <c r="K48" i="4"/>
  <c r="F122" i="4"/>
  <c r="L119" i="4"/>
  <c r="L67" i="4"/>
  <c r="L23" i="4"/>
  <c r="G81" i="4"/>
  <c r="K127" i="4"/>
  <c r="L22" i="4"/>
  <c r="L79" i="4"/>
  <c r="K92" i="4"/>
  <c r="K102" i="4"/>
  <c r="F44" i="4"/>
  <c r="L101" i="4"/>
  <c r="F75" i="4"/>
  <c r="K59" i="4"/>
  <c r="G96" i="4"/>
  <c r="G64" i="4"/>
  <c r="G42" i="4"/>
  <c r="L52" i="4"/>
  <c r="K22" i="4"/>
  <c r="F43" i="4"/>
  <c r="K126" i="4"/>
  <c r="F92" i="4"/>
  <c r="L28" i="4"/>
  <c r="F47" i="4"/>
  <c r="V27" i="12"/>
  <c r="V28" i="12"/>
  <c r="W27" i="12"/>
  <c r="V29" i="12"/>
  <c r="W29" i="12"/>
  <c r="V30" i="12"/>
  <c r="W30" i="12"/>
  <c r="V31" i="12"/>
  <c r="V32" i="12"/>
  <c r="W31" i="12"/>
  <c r="V33" i="12"/>
  <c r="W32" i="12"/>
  <c r="V34" i="12"/>
  <c r="W33" i="12"/>
  <c r="W34" i="12"/>
  <c r="V35" i="12"/>
  <c r="V36" i="12"/>
  <c r="W35" i="12"/>
  <c r="V37" i="12"/>
  <c r="W36" i="12"/>
  <c r="W37" i="12"/>
  <c r="V38" i="12"/>
  <c r="W38" i="12"/>
  <c r="V39" i="12"/>
  <c r="W39" i="12"/>
  <c r="V40" i="12"/>
  <c r="W40" i="12"/>
  <c r="V41" i="12"/>
  <c r="W41" i="12"/>
  <c r="V42" i="12"/>
  <c r="W42" i="12"/>
  <c r="V43" i="12"/>
  <c r="V44" i="12"/>
  <c r="W43" i="12"/>
  <c r="W44" i="12"/>
  <c r="V45" i="12"/>
  <c r="V46" i="12"/>
  <c r="W45" i="12"/>
  <c r="V47" i="12"/>
  <c r="W46" i="12"/>
  <c r="V48" i="12"/>
  <c r="W47" i="12"/>
  <c r="W48" i="12"/>
  <c r="V49" i="12"/>
  <c r="N128" i="4" l="1"/>
  <c r="N107" i="4"/>
  <c r="N16" i="4"/>
  <c r="N126" i="4"/>
  <c r="N123" i="4"/>
  <c r="N114" i="4"/>
  <c r="N113" i="4"/>
  <c r="N104" i="4"/>
  <c r="N23" i="4"/>
  <c r="N106" i="4"/>
  <c r="N95" i="4"/>
  <c r="N28" i="4"/>
  <c r="N96" i="4"/>
  <c r="N17" i="4"/>
  <c r="N109" i="4"/>
  <c r="N110" i="4"/>
  <c r="N122" i="4"/>
  <c r="N100" i="4"/>
  <c r="N30" i="4"/>
  <c r="N15" i="4"/>
  <c r="N118" i="4"/>
  <c r="N97" i="4"/>
  <c r="N120" i="4"/>
  <c r="N98" i="4"/>
  <c r="N94" i="4"/>
  <c r="N31" i="4"/>
  <c r="N24" i="4"/>
  <c r="N117" i="4"/>
  <c r="N93" i="4"/>
  <c r="N112" i="4"/>
  <c r="N105" i="4"/>
  <c r="N99" i="4"/>
  <c r="N14" i="4"/>
  <c r="N92" i="4"/>
  <c r="N29" i="4"/>
  <c r="N21" i="4"/>
  <c r="N22" i="4"/>
  <c r="N119" i="4"/>
  <c r="N26" i="4"/>
  <c r="N18" i="4"/>
  <c r="N124" i="4"/>
  <c r="N116" i="4"/>
  <c r="N127" i="4"/>
  <c r="N101" i="4"/>
  <c r="N20" i="4"/>
  <c r="N103" i="4"/>
  <c r="N19" i="4"/>
  <c r="N115" i="4"/>
  <c r="N27" i="4"/>
  <c r="N25" i="4"/>
  <c r="N108" i="4"/>
  <c r="N111" i="4"/>
  <c r="N121" i="4"/>
  <c r="N125" i="4"/>
  <c r="N102" i="4"/>
  <c r="E129" i="4"/>
  <c r="B130" i="4"/>
  <c r="C130" i="4"/>
  <c r="L129" i="4"/>
  <c r="K129" i="4"/>
  <c r="G129" i="4"/>
  <c r="F129" i="4"/>
  <c r="W28" i="12"/>
  <c r="W49" i="12"/>
  <c r="V50" i="12"/>
  <c r="E130" i="4" l="1"/>
  <c r="B131" i="4"/>
  <c r="C131" i="4"/>
  <c r="K130" i="4"/>
  <c r="G130" i="4"/>
  <c r="L130" i="4"/>
  <c r="F130" i="4"/>
  <c r="V51" i="12"/>
  <c r="W50" i="12"/>
  <c r="E131" i="4" l="1"/>
  <c r="B132" i="4"/>
  <c r="C132" i="4"/>
  <c r="G131" i="4"/>
  <c r="K131" i="4"/>
  <c r="F131" i="4"/>
  <c r="L131" i="4"/>
  <c r="W51" i="12"/>
  <c r="V52" i="12"/>
  <c r="E132" i="4" l="1"/>
  <c r="B133" i="4"/>
  <c r="C133" i="4"/>
  <c r="F132" i="4"/>
  <c r="L132" i="4"/>
  <c r="K132" i="4"/>
  <c r="G132" i="4"/>
  <c r="V53" i="12"/>
  <c r="W52" i="12"/>
  <c r="V54" i="12"/>
  <c r="W54" i="12" s="1"/>
  <c r="V55" i="12"/>
  <c r="W53" i="12"/>
  <c r="E133" i="4" l="1"/>
  <c r="B134" i="4"/>
  <c r="C134" i="4"/>
  <c r="L133" i="4"/>
  <c r="K133" i="4"/>
  <c r="F133" i="4"/>
  <c r="G133" i="4"/>
  <c r="V56" i="12"/>
  <c r="W55" i="12"/>
  <c r="E134" i="4" l="1"/>
  <c r="B135" i="4"/>
  <c r="C135" i="4"/>
  <c r="K134" i="4"/>
  <c r="F134" i="4"/>
  <c r="G134" i="4"/>
  <c r="L134" i="4"/>
  <c r="W56" i="12"/>
  <c r="V57" i="12"/>
  <c r="E135" i="4" l="1"/>
  <c r="B136" i="4"/>
  <c r="C136" i="4"/>
  <c r="F135" i="4"/>
  <c r="L135" i="4"/>
  <c r="K135" i="4"/>
  <c r="G135" i="4"/>
  <c r="W57" i="12"/>
  <c r="V58" i="12"/>
  <c r="E136" i="4" l="1"/>
  <c r="B137" i="4"/>
  <c r="C137" i="4"/>
  <c r="K136" i="4"/>
  <c r="G136" i="4"/>
  <c r="L136" i="4"/>
  <c r="F136" i="4"/>
  <c r="V59" i="12"/>
  <c r="W58" i="12"/>
  <c r="E137" i="4" l="1"/>
  <c r="B138" i="4"/>
  <c r="C138" i="4"/>
  <c r="K137" i="4"/>
  <c r="L137" i="4"/>
  <c r="F137" i="4"/>
  <c r="G137" i="4"/>
  <c r="W59" i="12"/>
  <c r="V60" i="12"/>
  <c r="E138" i="4" l="1"/>
  <c r="B139" i="4"/>
  <c r="C139" i="4"/>
  <c r="L138" i="4"/>
  <c r="G138" i="4"/>
  <c r="F138" i="4"/>
  <c r="K138" i="4"/>
  <c r="V61" i="12"/>
  <c r="W60" i="12"/>
  <c r="E139" i="4" l="1"/>
  <c r="B140" i="4"/>
  <c r="C140" i="4"/>
  <c r="G139" i="4"/>
  <c r="L139" i="4"/>
  <c r="K139" i="4"/>
  <c r="F139" i="4"/>
  <c r="W61" i="12"/>
  <c r="V62" i="12"/>
  <c r="E140" i="4" l="1"/>
  <c r="B141" i="4"/>
  <c r="C141" i="4"/>
  <c r="L140" i="4"/>
  <c r="F140" i="4"/>
  <c r="K140" i="4"/>
  <c r="G140" i="4"/>
  <c r="W62" i="12"/>
  <c r="V63" i="12"/>
  <c r="E141" i="4" l="1"/>
  <c r="B142" i="4"/>
  <c r="C142" i="4"/>
  <c r="K141" i="4"/>
  <c r="F141" i="4"/>
  <c r="L141" i="4"/>
  <c r="G141" i="4"/>
  <c r="V64" i="12"/>
  <c r="V65" i="12"/>
  <c r="W63" i="12"/>
  <c r="W64" i="12"/>
  <c r="E142" i="4" l="1"/>
  <c r="B143" i="4"/>
  <c r="C143" i="4"/>
  <c r="K142" i="4"/>
  <c r="F142" i="4"/>
  <c r="G142" i="4"/>
  <c r="L142" i="4"/>
  <c r="V66" i="12"/>
  <c r="W65" i="12"/>
  <c r="E143" i="4" l="1"/>
  <c r="B144" i="4"/>
  <c r="C144" i="4"/>
  <c r="G143" i="4"/>
  <c r="L143" i="4"/>
  <c r="K143" i="4"/>
  <c r="F143" i="4"/>
  <c r="V67" i="12"/>
  <c r="W67" i="12" s="1"/>
  <c r="W66" i="12"/>
  <c r="E144" i="4" l="1"/>
  <c r="B145" i="4"/>
  <c r="C145" i="4"/>
  <c r="K144" i="4"/>
  <c r="L144" i="4"/>
  <c r="F144" i="4"/>
  <c r="G144" i="4"/>
  <c r="V68" i="12"/>
  <c r="V69" i="12"/>
  <c r="W69" i="12"/>
  <c r="V70" i="12"/>
  <c r="W70" i="12"/>
  <c r="V71" i="12"/>
  <c r="E145" i="4" l="1"/>
  <c r="B146" i="4"/>
  <c r="C146" i="4"/>
  <c r="G145" i="4"/>
  <c r="F145" i="4"/>
  <c r="L145" i="4"/>
  <c r="K145" i="4"/>
  <c r="V72" i="12"/>
  <c r="W68" i="12"/>
  <c r="W71" i="12"/>
  <c r="E146" i="4" l="1"/>
  <c r="B147" i="4"/>
  <c r="C147" i="4"/>
  <c r="G146" i="4"/>
  <c r="K146" i="4"/>
  <c r="L146" i="4"/>
  <c r="F146" i="4"/>
  <c r="V73" i="12"/>
  <c r="W72" i="12"/>
  <c r="E147" i="4" l="1"/>
  <c r="B148" i="4"/>
  <c r="C148" i="4"/>
  <c r="K147" i="4"/>
  <c r="L147" i="4"/>
  <c r="G147" i="4"/>
  <c r="F147" i="4"/>
  <c r="W73" i="12"/>
  <c r="V74" i="12"/>
  <c r="E148" i="4" l="1"/>
  <c r="B149" i="4"/>
  <c r="C149" i="4"/>
  <c r="L148" i="4"/>
  <c r="K148" i="4"/>
  <c r="G148" i="4"/>
  <c r="F148" i="4"/>
  <c r="V75" i="12"/>
  <c r="W74" i="12"/>
  <c r="E149" i="4" l="1"/>
  <c r="B150" i="4"/>
  <c r="C150" i="4"/>
  <c r="F149" i="4"/>
  <c r="L149" i="4"/>
  <c r="K149" i="4"/>
  <c r="G149" i="4"/>
  <c r="V76" i="12"/>
  <c r="W75" i="12"/>
  <c r="E150" i="4" l="1"/>
  <c r="B151" i="4"/>
  <c r="C151" i="4"/>
  <c r="K150" i="4"/>
  <c r="L150" i="4"/>
  <c r="F150" i="4"/>
  <c r="G150" i="4"/>
  <c r="V77" i="12"/>
  <c r="W76" i="12"/>
  <c r="E151" i="4" l="1"/>
  <c r="B152" i="4"/>
  <c r="C152" i="4"/>
  <c r="K151" i="4"/>
  <c r="L151" i="4"/>
  <c r="G151" i="4"/>
  <c r="F151" i="4"/>
  <c r="V78" i="12"/>
  <c r="W77" i="12"/>
  <c r="E152" i="4" l="1"/>
  <c r="B153" i="4"/>
  <c r="C153" i="4"/>
  <c r="F152" i="4"/>
  <c r="G152" i="4"/>
  <c r="K152" i="4"/>
  <c r="L152" i="4"/>
  <c r="V79" i="12"/>
  <c r="W78" i="12"/>
  <c r="W79" i="12"/>
  <c r="V80" i="12"/>
  <c r="E153" i="4" l="1"/>
  <c r="B154" i="4"/>
  <c r="C154" i="4"/>
  <c r="L153" i="4"/>
  <c r="F153" i="4"/>
  <c r="K153" i="4"/>
  <c r="G153" i="4"/>
  <c r="W80" i="12"/>
  <c r="V81" i="12"/>
  <c r="E154" i="4" l="1"/>
  <c r="B155" i="4"/>
  <c r="C155" i="4"/>
  <c r="F154" i="4"/>
  <c r="K154" i="4"/>
  <c r="L154" i="4"/>
  <c r="G154" i="4"/>
  <c r="V82" i="12"/>
  <c r="W81" i="12"/>
  <c r="E155" i="4" l="1"/>
  <c r="B156" i="4"/>
  <c r="C156" i="4"/>
  <c r="F155" i="4"/>
  <c r="L155" i="4"/>
  <c r="K155" i="4"/>
  <c r="G155" i="4"/>
  <c r="W82" i="12"/>
  <c r="V83" i="12"/>
  <c r="E156" i="4" l="1"/>
  <c r="B157" i="4"/>
  <c r="C157" i="4"/>
  <c r="K156" i="4"/>
  <c r="F156" i="4"/>
  <c r="G156" i="4"/>
  <c r="L156" i="4"/>
  <c r="V84" i="12"/>
  <c r="W83" i="12"/>
  <c r="E157" i="4" l="1"/>
  <c r="B158" i="4"/>
  <c r="C158" i="4"/>
  <c r="F157" i="4"/>
  <c r="K157" i="4"/>
  <c r="G157" i="4"/>
  <c r="L157" i="4"/>
  <c r="V85" i="12"/>
  <c r="W84" i="12"/>
  <c r="E158" i="4" l="1"/>
  <c r="B159" i="4"/>
  <c r="C159" i="4"/>
  <c r="F158" i="4"/>
  <c r="K158" i="4"/>
  <c r="L158" i="4"/>
  <c r="G158" i="4"/>
  <c r="W85" i="12"/>
  <c r="V86" i="12"/>
  <c r="E159" i="4" l="1"/>
  <c r="B160" i="4"/>
  <c r="C160" i="4"/>
  <c r="F159" i="4"/>
  <c r="G159" i="4"/>
  <c r="L159" i="4"/>
  <c r="K159" i="4"/>
  <c r="W86" i="12"/>
  <c r="V87" i="12"/>
  <c r="E160" i="4" l="1"/>
  <c r="B161" i="4"/>
  <c r="C161" i="4"/>
  <c r="K160" i="4"/>
  <c r="G160" i="4"/>
  <c r="L160" i="4"/>
  <c r="F160" i="4"/>
  <c r="V88" i="12"/>
  <c r="W87" i="12"/>
  <c r="E161" i="4" l="1"/>
  <c r="B162" i="4"/>
  <c r="C162" i="4"/>
  <c r="L161" i="4"/>
  <c r="F161" i="4"/>
  <c r="K161" i="4"/>
  <c r="G161" i="4"/>
  <c r="W88" i="12"/>
  <c r="V89" i="12"/>
  <c r="E162" i="4" l="1"/>
  <c r="B163" i="4"/>
  <c r="C163" i="4"/>
  <c r="F162" i="4"/>
  <c r="L162" i="4"/>
  <c r="K162" i="4"/>
  <c r="G162" i="4"/>
  <c r="V90" i="12"/>
  <c r="W89" i="12"/>
  <c r="E163" i="4" l="1"/>
  <c r="B164" i="4"/>
  <c r="C164" i="4"/>
  <c r="K163" i="4"/>
  <c r="L163" i="4"/>
  <c r="G163" i="4"/>
  <c r="F163" i="4"/>
  <c r="W90" i="12"/>
  <c r="V91" i="12"/>
  <c r="E164" i="4" l="1"/>
  <c r="B165" i="4"/>
  <c r="C165" i="4"/>
  <c r="G164" i="4"/>
  <c r="L164" i="4"/>
  <c r="F164" i="4"/>
  <c r="K164" i="4"/>
  <c r="W91" i="12"/>
  <c r="V92" i="12"/>
  <c r="E165" i="4" l="1"/>
  <c r="G165" i="4"/>
  <c r="F165" i="4"/>
  <c r="D2" i="5" a="1"/>
  <c r="K165" i="4"/>
  <c r="L165" i="4"/>
  <c r="V93" i="12"/>
  <c r="W92" i="12"/>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G18" i="5"/>
  <c r="G98" i="5"/>
  <c r="F111" i="5"/>
  <c r="H9" i="5"/>
  <c r="F74" i="5"/>
  <c r="G87" i="5"/>
  <c r="H108" i="5"/>
  <c r="E47" i="5"/>
  <c r="G68" i="5"/>
  <c r="F35" i="5"/>
  <c r="H60" i="5"/>
  <c r="G116" i="5"/>
  <c r="G20" i="5"/>
  <c r="E45" i="5"/>
  <c r="G50" i="5"/>
  <c r="H106" i="5"/>
  <c r="H90" i="5"/>
  <c r="H17" i="5"/>
  <c r="G27" i="5"/>
  <c r="G73" i="5"/>
  <c r="E35" i="5"/>
  <c r="F92" i="5"/>
  <c r="G51" i="5"/>
  <c r="H105" i="5"/>
  <c r="E58" i="5"/>
  <c r="F60" i="5"/>
  <c r="E87" i="5"/>
  <c r="E88" i="5"/>
  <c r="G15" i="5"/>
  <c r="F125" i="5"/>
  <c r="E102" i="5"/>
  <c r="F121" i="5"/>
  <c r="H41" i="5"/>
  <c r="G25" i="5"/>
  <c r="F68" i="5"/>
  <c r="E70" i="5"/>
  <c r="H94" i="5"/>
  <c r="E86" i="5"/>
  <c r="F44" i="5"/>
  <c r="G71" i="5"/>
  <c r="G88" i="5"/>
  <c r="E118" i="5"/>
  <c r="H52" i="5"/>
  <c r="H84" i="5"/>
  <c r="G37" i="5"/>
  <c r="F88" i="5"/>
  <c r="E34" i="5"/>
  <c r="F32" i="5"/>
  <c r="F86" i="5"/>
  <c r="H10" i="5"/>
  <c r="G19" i="5"/>
  <c r="F114" i="5"/>
  <c r="E73" i="5"/>
  <c r="E19" i="5"/>
  <c r="H110" i="5"/>
  <c r="H45" i="5"/>
  <c r="E68" i="5"/>
  <c r="F109" i="5"/>
  <c r="H119" i="5"/>
  <c r="G125" i="5"/>
  <c r="E60" i="5"/>
  <c r="H29" i="5"/>
  <c r="E116" i="5"/>
  <c r="G85" i="5"/>
  <c r="H78" i="5"/>
  <c r="F106" i="5"/>
  <c r="H35" i="5"/>
  <c r="E92" i="5"/>
  <c r="H13" i="5"/>
  <c r="G22" i="5"/>
  <c r="E25" i="5"/>
  <c r="E124" i="5"/>
  <c r="E50" i="5"/>
  <c r="F45" i="5"/>
  <c r="G4" i="5"/>
  <c r="F22" i="5"/>
  <c r="H14" i="5"/>
  <c r="H20" i="5"/>
  <c r="G109" i="5"/>
  <c r="G24" i="5"/>
  <c r="F51" i="5"/>
  <c r="F33" i="5"/>
  <c r="E10" i="5"/>
  <c r="F20" i="5"/>
  <c r="E3" i="5"/>
  <c r="F115" i="5"/>
  <c r="F62" i="5"/>
  <c r="G91" i="5"/>
  <c r="E112" i="5"/>
  <c r="G34" i="5"/>
  <c r="E44" i="5"/>
  <c r="E111" i="5"/>
  <c r="F77" i="5"/>
  <c r="F64" i="5"/>
  <c r="H50" i="5"/>
  <c r="G118" i="5"/>
  <c r="E56" i="5"/>
  <c r="F57" i="5"/>
  <c r="H87" i="5"/>
  <c r="E109" i="5"/>
  <c r="F56" i="5"/>
  <c r="H24" i="5"/>
  <c r="H63" i="5"/>
  <c r="G63" i="5"/>
  <c r="H67" i="5"/>
  <c r="E123" i="5"/>
  <c r="F37" i="5"/>
  <c r="E113" i="5"/>
  <c r="F89" i="5"/>
  <c r="F117" i="5"/>
  <c r="E89" i="5"/>
  <c r="E74" i="5"/>
  <c r="G92" i="5"/>
  <c r="G99" i="5"/>
  <c r="H109" i="5"/>
  <c r="G69" i="5"/>
  <c r="F42" i="5"/>
  <c r="G108" i="5"/>
  <c r="H122" i="5"/>
  <c r="F122" i="5"/>
  <c r="E63" i="5"/>
  <c r="F72" i="5"/>
  <c r="H92" i="5"/>
  <c r="F103" i="5"/>
  <c r="E43" i="5"/>
  <c r="H33" i="5"/>
  <c r="G31" i="5"/>
  <c r="G80" i="5"/>
  <c r="H22" i="5"/>
  <c r="H70" i="5"/>
  <c r="G122" i="5"/>
  <c r="E82" i="5"/>
  <c r="G42" i="5"/>
  <c r="H56" i="5"/>
  <c r="H98" i="5"/>
  <c r="H38" i="5"/>
  <c r="G12" i="5"/>
  <c r="H86" i="5"/>
  <c r="E126" i="5"/>
  <c r="F14" i="5"/>
  <c r="H53" i="5"/>
  <c r="F23" i="5"/>
  <c r="H12" i="5"/>
  <c r="G76" i="5"/>
  <c r="F50" i="5"/>
  <c r="F71" i="5"/>
  <c r="G90" i="5"/>
  <c r="F29" i="5"/>
  <c r="F85" i="5"/>
  <c r="F108" i="5"/>
  <c r="H48" i="5"/>
  <c r="G47" i="5"/>
  <c r="F16" i="5"/>
  <c r="E17" i="5"/>
  <c r="F8" i="5"/>
  <c r="G52" i="5"/>
  <c r="H32" i="5"/>
  <c r="E80" i="5"/>
  <c r="H89" i="5"/>
  <c r="H126" i="5"/>
  <c r="E125" i="5"/>
  <c r="E62" i="5"/>
  <c r="F116" i="5"/>
  <c r="F5" i="5"/>
  <c r="H113" i="5"/>
  <c r="H115" i="5"/>
  <c r="E16" i="5"/>
  <c r="H55" i="5"/>
  <c r="F80" i="5"/>
  <c r="E61" i="5"/>
  <c r="G53" i="5"/>
  <c r="H79" i="5"/>
  <c r="F84" i="5"/>
  <c r="H68" i="5"/>
  <c r="H77" i="5"/>
  <c r="E40" i="5"/>
  <c r="G59" i="5"/>
  <c r="G126" i="5"/>
  <c r="G123" i="5"/>
  <c r="F28" i="5"/>
  <c r="H111" i="5"/>
  <c r="F65" i="5"/>
  <c r="H58" i="5"/>
  <c r="E27" i="5"/>
  <c r="G44" i="5"/>
  <c r="E26" i="5"/>
  <c r="H96" i="5"/>
  <c r="G65" i="5"/>
  <c r="G29" i="5"/>
  <c r="H93" i="5"/>
  <c r="E22" i="5"/>
  <c r="E120" i="5"/>
  <c r="E23" i="5"/>
  <c r="H76" i="5"/>
  <c r="G28" i="5"/>
  <c r="E95" i="5"/>
  <c r="H117" i="5"/>
  <c r="G78" i="5"/>
  <c r="E114" i="5"/>
  <c r="E15" i="5"/>
  <c r="G86" i="5"/>
  <c r="F24" i="5"/>
  <c r="F47" i="5"/>
  <c r="E101" i="5"/>
  <c r="F26" i="5"/>
  <c r="F11" i="5"/>
  <c r="E108" i="5"/>
  <c r="B6" i="5"/>
  <c r="F63" i="5"/>
  <c r="E48" i="5"/>
  <c r="F39" i="5"/>
  <c r="F13" i="5"/>
  <c r="G7" i="5"/>
  <c r="G120" i="5"/>
  <c r="E57" i="5"/>
  <c r="E90" i="5"/>
  <c r="G54" i="5"/>
  <c r="H16" i="5"/>
  <c r="E28" i="5"/>
  <c r="E36" i="5"/>
  <c r="G38" i="5"/>
  <c r="H83" i="5"/>
  <c r="F83" i="5"/>
  <c r="H71" i="5"/>
  <c r="G55" i="5"/>
  <c r="G77" i="5"/>
  <c r="H25" i="5"/>
  <c r="H114" i="5"/>
  <c r="F46" i="5"/>
  <c r="G121" i="5"/>
  <c r="F73" i="5"/>
  <c r="G100" i="5"/>
  <c r="G40" i="5"/>
  <c r="E122" i="5"/>
  <c r="G119" i="5"/>
  <c r="F25" i="5"/>
  <c r="E32" i="5"/>
  <c r="E107" i="5"/>
  <c r="F99" i="5"/>
  <c r="G61" i="5"/>
  <c r="G13" i="5"/>
  <c r="G124" i="5"/>
  <c r="E69" i="5"/>
  <c r="E11" i="5"/>
  <c r="E103" i="5"/>
  <c r="E97" i="5"/>
  <c r="G96" i="5"/>
  <c r="G106" i="5"/>
  <c r="H66" i="5"/>
  <c r="E21" i="5"/>
  <c r="E33" i="5"/>
  <c r="H123" i="5"/>
  <c r="E91" i="5"/>
  <c r="E30" i="5"/>
  <c r="G64" i="5"/>
  <c r="E20" i="5"/>
  <c r="F120" i="5"/>
  <c r="H2" i="5"/>
  <c r="H21" i="5"/>
  <c r="E99" i="5"/>
  <c r="E2" i="5"/>
  <c r="E6" i="5"/>
  <c r="E24" i="5"/>
  <c r="G6" i="5"/>
  <c r="H23" i="5"/>
  <c r="G115" i="5"/>
  <c r="E5" i="5"/>
  <c r="G66" i="5"/>
  <c r="H4" i="5"/>
  <c r="F112" i="5"/>
  <c r="E46" i="5"/>
  <c r="G36" i="5"/>
  <c r="G17" i="5"/>
  <c r="G62" i="5"/>
  <c r="H118" i="5"/>
  <c r="G49" i="5"/>
  <c r="H15" i="5"/>
  <c r="G33" i="5"/>
  <c r="H91" i="5"/>
  <c r="G101" i="5"/>
  <c r="E29" i="5"/>
  <c r="G43" i="5"/>
  <c r="H107" i="5"/>
  <c r="F49" i="5"/>
  <c r="F124" i="5"/>
  <c r="H18" i="5"/>
  <c r="E110" i="5"/>
  <c r="F76" i="5"/>
  <c r="E76" i="5"/>
  <c r="H62" i="5"/>
  <c r="G57" i="5"/>
  <c r="G23" i="5"/>
  <c r="E119" i="5"/>
  <c r="E98" i="5"/>
  <c r="G39" i="5"/>
  <c r="G11" i="5"/>
  <c r="G74" i="5"/>
  <c r="F90" i="5"/>
  <c r="F10" i="5"/>
  <c r="H26" i="5"/>
  <c r="G56" i="5"/>
  <c r="H99" i="5"/>
  <c r="H28" i="5"/>
  <c r="H40" i="5"/>
  <c r="G30" i="5"/>
  <c r="F104" i="5"/>
  <c r="G26" i="5"/>
  <c r="H49" i="5"/>
  <c r="G2" i="5"/>
  <c r="H46" i="5"/>
  <c r="F69" i="5"/>
  <c r="F12" i="5"/>
  <c r="G81" i="5"/>
  <c r="H112" i="5"/>
  <c r="G117" i="5"/>
  <c r="F119" i="5"/>
  <c r="E72" i="5"/>
  <c r="H5" i="5"/>
  <c r="G107" i="5"/>
  <c r="F30" i="5"/>
  <c r="G8" i="5"/>
  <c r="E52" i="5"/>
  <c r="F123" i="5"/>
  <c r="F113" i="5"/>
  <c r="F66" i="5"/>
  <c r="E13" i="5"/>
  <c r="H69" i="5"/>
  <c r="E85" i="5"/>
  <c r="H100" i="5"/>
  <c r="G82" i="5"/>
  <c r="G114" i="5"/>
  <c r="H57" i="5"/>
  <c r="H7" i="5"/>
  <c r="F75" i="5"/>
  <c r="F70" i="5"/>
  <c r="E83" i="5"/>
  <c r="F43" i="5"/>
  <c r="G75" i="5"/>
  <c r="G104" i="5"/>
  <c r="F36" i="5"/>
  <c r="F27" i="5"/>
  <c r="F48" i="5"/>
  <c r="G112" i="5"/>
  <c r="E105" i="5"/>
  <c r="H73" i="5"/>
  <c r="E104" i="5"/>
  <c r="G35" i="5"/>
  <c r="G72" i="5"/>
  <c r="H19" i="5"/>
  <c r="E12" i="5"/>
  <c r="E100" i="5"/>
  <c r="E66" i="5"/>
  <c r="E65" i="5"/>
  <c r="H120" i="5"/>
  <c r="G79" i="5"/>
  <c r="E37" i="5"/>
  <c r="F58" i="5"/>
  <c r="G67" i="5"/>
  <c r="G48" i="5"/>
  <c r="F110" i="5"/>
  <c r="E9" i="5"/>
  <c r="H81" i="5"/>
  <c r="F79" i="5"/>
  <c r="G5" i="5"/>
  <c r="H61" i="5"/>
  <c r="E81" i="5"/>
  <c r="E51" i="5"/>
  <c r="F2" i="5"/>
  <c r="G41" i="5"/>
  <c r="F105" i="5"/>
  <c r="G103" i="5"/>
  <c r="E49" i="5"/>
  <c r="H75" i="5"/>
  <c r="H43" i="5"/>
  <c r="F100" i="5"/>
  <c r="F53" i="5"/>
  <c r="F102" i="5"/>
  <c r="G70" i="5"/>
  <c r="E67" i="5"/>
  <c r="H11" i="5"/>
  <c r="H47" i="5"/>
  <c r="H3" i="5"/>
  <c r="H95" i="5"/>
  <c r="E53" i="5"/>
  <c r="E71" i="5"/>
  <c r="H36" i="5"/>
  <c r="F101" i="5"/>
  <c r="E84" i="5"/>
  <c r="F87" i="5"/>
  <c r="H121" i="5"/>
  <c r="F67" i="5"/>
  <c r="F95" i="5"/>
  <c r="E77" i="5"/>
  <c r="E42" i="5"/>
  <c r="E54" i="5"/>
  <c r="G32" i="5"/>
  <c r="E64" i="5"/>
  <c r="H82" i="5"/>
  <c r="F3" i="5"/>
  <c r="F54" i="5"/>
  <c r="F15" i="5"/>
  <c r="G83" i="5"/>
  <c r="G97" i="5"/>
  <c r="F97" i="5"/>
  <c r="G14" i="5"/>
  <c r="F126" i="5"/>
  <c r="F52" i="5"/>
  <c r="G102" i="5"/>
  <c r="E78" i="5"/>
  <c r="E75" i="5"/>
  <c r="H42" i="5"/>
  <c r="H6" i="5"/>
  <c r="F118" i="5"/>
  <c r="H34" i="5"/>
  <c r="H27" i="5"/>
  <c r="F21" i="5"/>
  <c r="G111" i="5"/>
  <c r="H64" i="5"/>
  <c r="H44" i="5"/>
  <c r="H8" i="5"/>
  <c r="G46" i="5"/>
  <c r="F81" i="5"/>
  <c r="H30" i="5"/>
  <c r="F55" i="5"/>
  <c r="F38" i="5"/>
  <c r="H124" i="5"/>
  <c r="E39" i="5"/>
  <c r="G105" i="5"/>
  <c r="F93" i="5"/>
  <c r="E59" i="5"/>
  <c r="F19" i="5"/>
  <c r="E14" i="5"/>
  <c r="H116" i="5"/>
  <c r="G45" i="5"/>
  <c r="H59" i="5"/>
  <c r="G113" i="5"/>
  <c r="G93" i="5"/>
  <c r="H104" i="5"/>
  <c r="H65" i="5"/>
  <c r="G95" i="5"/>
  <c r="H88" i="5"/>
  <c r="H72" i="5"/>
  <c r="F7" i="5"/>
  <c r="F91" i="5"/>
  <c r="G89" i="5"/>
  <c r="G21" i="5"/>
  <c r="E79" i="5"/>
  <c r="H54" i="5"/>
  <c r="E18" i="5"/>
  <c r="E94" i="5"/>
  <c r="G58" i="5"/>
  <c r="E31" i="5"/>
  <c r="F4" i="5"/>
  <c r="H102" i="5"/>
  <c r="F98" i="5"/>
  <c r="E117" i="5"/>
  <c r="E121" i="5"/>
  <c r="G3" i="5"/>
  <c r="F40" i="5"/>
  <c r="E115" i="5"/>
  <c r="F59" i="5"/>
  <c r="F82" i="5"/>
  <c r="H125" i="5"/>
  <c r="F96" i="5"/>
  <c r="F17" i="5"/>
  <c r="H85" i="5"/>
  <c r="E4" i="5"/>
  <c r="E41" i="5"/>
  <c r="E38" i="5"/>
  <c r="E93" i="5"/>
  <c r="G60" i="5"/>
  <c r="H51" i="5"/>
  <c r="H39" i="5"/>
  <c r="F61" i="5"/>
  <c r="F9" i="5"/>
  <c r="H103" i="5"/>
  <c r="E96" i="5"/>
  <c r="H74" i="5"/>
  <c r="F41" i="5"/>
  <c r="E55" i="5"/>
  <c r="G94" i="5"/>
  <c r="F6" i="5"/>
  <c r="F34" i="5"/>
  <c r="F78" i="5"/>
  <c r="E7" i="5"/>
  <c r="E106" i="5"/>
  <c r="G16" i="5"/>
  <c r="H80" i="5"/>
  <c r="A7" i="5"/>
  <c r="G9" i="5"/>
  <c r="F18" i="5"/>
  <c r="G110" i="5"/>
  <c r="G10" i="5"/>
  <c r="F94" i="5"/>
  <c r="F107" i="5"/>
  <c r="F31" i="5"/>
  <c r="H31" i="5"/>
  <c r="H101" i="5"/>
  <c r="H37" i="5"/>
  <c r="G84" i="5"/>
  <c r="E8" i="5"/>
  <c r="H97" i="5"/>
  <c r="V94" i="12"/>
  <c r="W93" i="12"/>
  <c r="D14" i="6" l="1"/>
  <c r="D15" i="6"/>
  <c r="D30" i="6"/>
  <c r="C28" i="6"/>
  <c r="B7" i="5"/>
  <c r="I1" i="5" a="1"/>
  <c r="C27" i="6"/>
  <c r="P41" i="12"/>
  <c r="P67" i="12"/>
  <c r="L39" i="12" a="1"/>
  <c r="P50" i="12"/>
  <c r="P72" i="12"/>
  <c r="P58" i="12"/>
  <c r="P47" i="12"/>
  <c r="Y16" i="12"/>
  <c r="P40" i="12"/>
  <c r="P44" i="12"/>
  <c r="P71" i="12"/>
  <c r="P64" i="12"/>
  <c r="P53" i="12"/>
  <c r="P45" i="12"/>
  <c r="P61" i="12"/>
  <c r="P59" i="12"/>
  <c r="P69" i="12"/>
  <c r="P48" i="12"/>
  <c r="V95" i="12"/>
  <c r="V96" i="12" s="1"/>
  <c r="V97" i="12" s="1"/>
  <c r="W97" i="12" s="1"/>
  <c r="P70" i="12"/>
  <c r="P49" i="12"/>
  <c r="X16" i="12"/>
  <c r="P75" i="12"/>
  <c r="P56" i="12"/>
  <c r="P55" i="12"/>
  <c r="P66" i="12"/>
  <c r="P62" i="12"/>
  <c r="P60" i="12"/>
  <c r="P68" i="12"/>
  <c r="P39" i="12"/>
  <c r="P43" i="12"/>
  <c r="P73" i="12"/>
  <c r="P46" i="12"/>
  <c r="P51" i="12"/>
  <c r="V98" i="12"/>
  <c r="V99" i="12" s="1"/>
  <c r="P42" i="12"/>
  <c r="W98" i="12"/>
  <c r="P52" i="12"/>
  <c r="P74" i="12"/>
  <c r="W96" i="12"/>
  <c r="W94" i="12"/>
  <c r="Q44" i="12"/>
  <c r="P54" i="12"/>
  <c r="P63" i="12"/>
  <c r="Q61" i="12"/>
  <c r="Q46" i="12"/>
  <c r="Q40" i="12"/>
  <c r="Q53" i="12"/>
  <c r="Q42" i="12"/>
  <c r="Q45" i="12"/>
  <c r="Q70" i="12"/>
  <c r="Q68" i="12"/>
  <c r="P57" i="12"/>
  <c r="Q62" i="12"/>
  <c r="P65" i="12"/>
  <c r="Q65" i="12" s="1"/>
  <c r="Q55" i="12"/>
  <c r="Q73" i="12"/>
  <c r="Q63" i="12"/>
  <c r="Q51" i="12"/>
  <c r="Q39" i="12"/>
  <c r="Q57" i="12"/>
  <c r="Q50" i="12"/>
  <c r="Q60" i="12"/>
  <c r="Q48" i="12"/>
  <c r="Q66" i="12"/>
  <c r="Q74" i="12"/>
  <c r="Q56" i="12"/>
  <c r="Q58" i="12"/>
  <c r="L19" i="12" a="1"/>
  <c r="Q72" i="12"/>
  <c r="W95" i="12"/>
  <c r="Q41" i="12"/>
  <c r="Q47" i="12"/>
  <c r="Q75" i="12"/>
  <c r="Q67" i="12"/>
  <c r="Q52" i="12"/>
  <c r="Q71" i="12"/>
  <c r="Q69" i="12"/>
  <c r="Q49" i="12"/>
  <c r="Q64" i="12"/>
  <c r="Q43" i="12"/>
  <c r="Q54" i="12"/>
  <c r="Q59" i="12"/>
  <c r="V100" i="12"/>
  <c r="W99" i="12"/>
  <c r="W100" i="12"/>
  <c r="V101" i="12"/>
  <c r="V102" i="12"/>
  <c r="W101" i="12"/>
  <c r="V103" i="12"/>
  <c r="W102" i="12"/>
  <c r="W103" i="12"/>
  <c r="V104" i="12"/>
  <c r="V105" i="12"/>
  <c r="W104" i="12"/>
  <c r="W105" i="12"/>
  <c r="V106" i="12"/>
  <c r="W106" i="12"/>
  <c r="V107" i="12"/>
  <c r="V108" i="12"/>
  <c r="W107" i="12"/>
  <c r="V109" i="12"/>
  <c r="W108" i="12"/>
  <c r="W109" i="12"/>
  <c r="V110" i="12"/>
  <c r="W110" i="12"/>
  <c r="V111" i="12"/>
  <c r="V112" i="12"/>
  <c r="W111" i="12"/>
  <c r="V113" i="12"/>
  <c r="W112" i="12"/>
  <c r="V114" i="12"/>
  <c r="W113" i="12"/>
  <c r="W114" i="12"/>
  <c r="V115" i="12"/>
  <c r="V116" i="12"/>
  <c r="W115" i="12"/>
  <c r="W116" i="12"/>
  <c r="V117" i="12"/>
  <c r="W117" i="12"/>
  <c r="V118" i="12"/>
  <c r="W118" i="12"/>
  <c r="V119" i="12"/>
  <c r="V120" i="12"/>
  <c r="W119" i="12"/>
  <c r="V121" i="12"/>
  <c r="W120" i="12"/>
  <c r="V122" i="12"/>
  <c r="W121" i="12"/>
  <c r="V123" i="12"/>
  <c r="W122" i="12"/>
  <c r="V124" i="12"/>
  <c r="W123" i="12"/>
  <c r="V125" i="12"/>
  <c r="W124" i="12"/>
  <c r="V126" i="12"/>
  <c r="W125" i="12"/>
  <c r="V127" i="12"/>
  <c r="W126" i="12"/>
  <c r="V128" i="12"/>
  <c r="W127" i="12"/>
  <c r="V129" i="12"/>
  <c r="W128" i="12"/>
  <c r="W129" i="12"/>
  <c r="V130" i="12"/>
  <c r="W130" i="12"/>
  <c r="V131" i="12"/>
  <c r="V132" i="12"/>
  <c r="W131" i="12"/>
  <c r="V133" i="12"/>
  <c r="W132" i="12"/>
  <c r="W133" i="12"/>
  <c r="V134" i="12"/>
  <c r="W134" i="12"/>
  <c r="V135" i="12"/>
  <c r="W135" i="12"/>
  <c r="V136" i="12"/>
  <c r="W136" i="12"/>
  <c r="V137" i="12"/>
  <c r="W137" i="12"/>
  <c r="V138" i="12"/>
  <c r="W138" i="12"/>
  <c r="V139" i="12"/>
  <c r="W139" i="12"/>
  <c r="V140" i="12"/>
  <c r="V141" i="12"/>
  <c r="W140" i="12"/>
  <c r="W141" i="12"/>
  <c r="V142" i="12"/>
  <c r="W142" i="12"/>
  <c r="V143" i="12"/>
  <c r="W143" i="12"/>
  <c r="V144" i="12"/>
  <c r="W144" i="12"/>
  <c r="V145" i="12"/>
  <c r="V146" i="12"/>
  <c r="W145" i="12"/>
  <c r="V147" i="12"/>
  <c r="W146" i="12"/>
  <c r="W147" i="12"/>
  <c r="V148" i="12"/>
  <c r="W148" i="12"/>
  <c r="V149" i="12"/>
  <c r="V150" i="12"/>
  <c r="W149" i="12"/>
  <c r="W150" i="12"/>
  <c r="V151" i="12"/>
  <c r="W151" i="12"/>
  <c r="V152" i="12"/>
  <c r="V153" i="12"/>
  <c r="W152" i="12"/>
  <c r="W153" i="12"/>
  <c r="V154" i="12"/>
  <c r="W154" i="12"/>
  <c r="V155" i="12"/>
  <c r="W155" i="12"/>
  <c r="V156" i="12"/>
  <c r="V157" i="12"/>
  <c r="W156" i="12"/>
  <c r="W157" i="12"/>
  <c r="V158" i="12"/>
  <c r="W158" i="12"/>
  <c r="V159" i="12"/>
  <c r="W159" i="12"/>
  <c r="V160" i="12"/>
  <c r="V161" i="12"/>
  <c r="W160" i="12"/>
  <c r="W161" i="12"/>
  <c r="V162" i="12"/>
  <c r="W162" i="12"/>
  <c r="V163" i="12"/>
  <c r="V164" i="12"/>
  <c r="W163" i="12"/>
  <c r="V165" i="12"/>
  <c r="W164" i="12"/>
  <c r="W165" i="12"/>
  <c r="V166" i="12"/>
  <c r="V167" i="12"/>
  <c r="W166" i="12"/>
  <c r="V168" i="12"/>
  <c r="W167" i="12"/>
  <c r="V169" i="12"/>
  <c r="W168" i="12"/>
  <c r="V170" i="12"/>
  <c r="W169" i="12"/>
  <c r="W170" i="12"/>
  <c r="V171" i="12"/>
  <c r="W171" i="12"/>
  <c r="V172" i="12"/>
  <c r="V173" i="12"/>
  <c r="W172" i="12"/>
  <c r="W173" i="12"/>
  <c r="V174" i="12"/>
  <c r="V175" i="12"/>
  <c r="W174" i="12"/>
  <c r="W175" i="12"/>
  <c r="V176" i="12"/>
  <c r="V177" i="12"/>
  <c r="W176" i="12"/>
  <c r="W177" i="12"/>
  <c r="V178" i="12"/>
  <c r="V179" i="12"/>
  <c r="W178" i="12"/>
  <c r="W179" i="12"/>
  <c r="V180" i="12"/>
  <c r="V181" i="12"/>
  <c r="W180" i="12"/>
  <c r="W181" i="12"/>
  <c r="V182" i="12"/>
  <c r="W182" i="12"/>
  <c r="V183" i="12"/>
  <c r="V184" i="12"/>
  <c r="W183" i="12"/>
  <c r="V185" i="12"/>
  <c r="W184" i="12"/>
  <c r="V186" i="12"/>
  <c r="W185" i="12"/>
  <c r="W186" i="12"/>
  <c r="V187" i="12"/>
  <c r="W187" i="12"/>
  <c r="V188" i="12"/>
  <c r="V189" i="12"/>
  <c r="W188" i="12"/>
  <c r="V190" i="12"/>
  <c r="W189" i="12"/>
  <c r="V191" i="12"/>
  <c r="W190" i="12"/>
  <c r="W191" i="12"/>
  <c r="V192" i="12"/>
  <c r="W192" i="12"/>
  <c r="V193" i="12"/>
  <c r="W193" i="12"/>
  <c r="V194" i="12"/>
  <c r="W194" i="12"/>
  <c r="V195" i="12"/>
  <c r="W195" i="12"/>
  <c r="V196" i="12"/>
  <c r="V197" i="12"/>
  <c r="W196" i="12"/>
  <c r="W197" i="12"/>
  <c r="V198" i="12"/>
  <c r="V199" i="12"/>
  <c r="W198" i="12"/>
  <c r="W199" i="12"/>
  <c r="V200" i="12"/>
  <c r="V201" i="12"/>
  <c r="W200" i="12"/>
  <c r="V202" i="12"/>
  <c r="W201" i="12"/>
  <c r="V203" i="12"/>
  <c r="W202" i="12"/>
  <c r="V204" i="12"/>
  <c r="W203" i="12"/>
  <c r="V205" i="12"/>
  <c r="W204" i="12"/>
  <c r="V206" i="12"/>
  <c r="W205" i="12"/>
  <c r="V207" i="12"/>
  <c r="W206" i="12"/>
  <c r="W207" i="12"/>
  <c r="V208" i="12"/>
  <c r="W208" i="12"/>
  <c r="V209" i="12"/>
  <c r="W209" i="12"/>
  <c r="V210" i="12"/>
  <c r="W210" i="12"/>
  <c r="V211" i="12"/>
  <c r="W211" i="12"/>
  <c r="V212" i="12"/>
  <c r="W212" i="12"/>
  <c r="V213" i="12"/>
  <c r="V214" i="12"/>
  <c r="W213" i="12"/>
  <c r="V215" i="12"/>
  <c r="W214" i="12"/>
  <c r="W215" i="12"/>
  <c r="V216" i="12"/>
  <c r="W216" i="12"/>
  <c r="V217" i="12"/>
  <c r="W217" i="12"/>
  <c r="V218" i="12"/>
  <c r="V219" i="12"/>
  <c r="W218" i="12"/>
  <c r="V220" i="12"/>
  <c r="W219" i="12"/>
  <c r="V221" i="12"/>
  <c r="W220" i="12"/>
  <c r="W221" i="12"/>
  <c r="V222" i="12"/>
  <c r="W222" i="12"/>
  <c r="V223" i="12"/>
  <c r="V224" i="12"/>
  <c r="W223" i="12"/>
  <c r="W224" i="12"/>
  <c r="V225" i="12"/>
  <c r="W225" i="12"/>
  <c r="V226" i="12"/>
  <c r="V227" i="12"/>
  <c r="W226" i="12"/>
  <c r="W227" i="12"/>
  <c r="V228" i="12"/>
  <c r="W228" i="12"/>
  <c r="V229" i="12"/>
  <c r="V230" i="12"/>
  <c r="W229" i="12"/>
  <c r="V231" i="12"/>
  <c r="W230" i="12"/>
  <c r="W231" i="12"/>
  <c r="V232" i="12"/>
  <c r="V233" i="12"/>
  <c r="W232" i="12"/>
  <c r="W233" i="12"/>
  <c r="V234" i="12"/>
  <c r="V235" i="12"/>
  <c r="W234" i="12"/>
  <c r="W235" i="12"/>
  <c r="V236" i="12"/>
  <c r="V237" i="12"/>
  <c r="W236" i="12"/>
  <c r="W237" i="12"/>
  <c r="V238" i="12"/>
  <c r="V239" i="12"/>
  <c r="W238" i="12"/>
  <c r="V240" i="12"/>
  <c r="W239" i="12"/>
  <c r="V241" i="12"/>
  <c r="W240" i="12"/>
  <c r="V242" i="12"/>
  <c r="W241" i="12"/>
  <c r="V243" i="12"/>
  <c r="W242" i="12"/>
  <c r="W243" i="12"/>
  <c r="V244" i="12"/>
  <c r="W244" i="12"/>
  <c r="V245" i="12"/>
  <c r="W245" i="12"/>
  <c r="V246" i="12"/>
  <c r="V247" i="12"/>
  <c r="W246" i="12"/>
  <c r="W247" i="12"/>
  <c r="V248" i="12"/>
  <c r="W248" i="12"/>
  <c r="V249" i="12"/>
  <c r="V250" i="12"/>
  <c r="W249" i="12"/>
  <c r="V251" i="12"/>
  <c r="W250" i="12"/>
  <c r="W251" i="12"/>
  <c r="V252" i="12"/>
  <c r="V253" i="12"/>
  <c r="W252" i="12"/>
  <c r="W253" i="12"/>
  <c r="V254" i="12"/>
  <c r="W254" i="12"/>
  <c r="V255" i="12"/>
  <c r="V256" i="12"/>
  <c r="W255" i="12"/>
  <c r="V257" i="12"/>
  <c r="W256" i="12"/>
  <c r="V258" i="12"/>
  <c r="W257" i="12"/>
  <c r="V259" i="12"/>
  <c r="W258" i="12"/>
  <c r="W259" i="12"/>
  <c r="V260" i="12"/>
  <c r="W260" i="12"/>
  <c r="V261" i="12"/>
  <c r="W261" i="12"/>
  <c r="V262" i="12"/>
  <c r="V263" i="12"/>
  <c r="W262" i="12"/>
  <c r="V264" i="12"/>
  <c r="W263" i="12"/>
  <c r="W264" i="12"/>
  <c r="V265" i="12"/>
  <c r="W265" i="12"/>
  <c r="V266" i="12"/>
  <c r="W266" i="12"/>
  <c r="V267" i="12"/>
  <c r="V268" i="12"/>
  <c r="W267" i="12"/>
  <c r="V269" i="12"/>
  <c r="W268" i="12"/>
  <c r="W269" i="12"/>
  <c r="V270" i="12"/>
  <c r="V271" i="12"/>
  <c r="W270" i="12"/>
  <c r="V272" i="12"/>
  <c r="W271" i="12"/>
  <c r="V273" i="12"/>
  <c r="W272" i="12"/>
  <c r="W273" i="12"/>
  <c r="V274" i="12"/>
  <c r="V275" i="12"/>
  <c r="W274" i="12"/>
  <c r="W275" i="12"/>
  <c r="V276" i="12"/>
  <c r="W276" i="12"/>
  <c r="V277" i="12"/>
  <c r="V278" i="12"/>
  <c r="W277" i="12"/>
  <c r="V279" i="12"/>
  <c r="W278" i="12"/>
  <c r="V280" i="12"/>
  <c r="W279" i="12"/>
  <c r="V281" i="12"/>
  <c r="W280" i="12"/>
  <c r="V282" i="12"/>
  <c r="W281" i="12"/>
  <c r="V283" i="12"/>
  <c r="W282" i="12"/>
  <c r="V284" i="12"/>
  <c r="W283" i="12"/>
  <c r="W284" i="12"/>
  <c r="V285" i="12"/>
  <c r="V286" i="12"/>
  <c r="W285" i="12"/>
  <c r="V287" i="12"/>
  <c r="W286" i="12"/>
  <c r="W287" i="12"/>
  <c r="V288" i="12"/>
  <c r="W288" i="12"/>
  <c r="V289" i="12"/>
  <c r="W289" i="12"/>
  <c r="V290" i="12"/>
  <c r="W290" i="12"/>
  <c r="V291" i="12"/>
  <c r="W291" i="12"/>
  <c r="V292" i="12"/>
  <c r="V293" i="12"/>
  <c r="W292" i="12"/>
  <c r="W293" i="12"/>
  <c r="V294" i="12"/>
  <c r="V295" i="12"/>
  <c r="W294" i="12"/>
  <c r="W295" i="12"/>
  <c r="V296" i="12"/>
  <c r="W296" i="12"/>
  <c r="V297" i="12"/>
  <c r="W297" i="12"/>
  <c r="V298" i="12"/>
  <c r="V299" i="12"/>
  <c r="W298" i="12"/>
  <c r="V300" i="12"/>
  <c r="W299" i="12"/>
  <c r="V301" i="12"/>
  <c r="W300" i="12"/>
  <c r="W301" i="12"/>
  <c r="V302" i="12"/>
  <c r="W302" i="12"/>
  <c r="V303" i="12"/>
  <c r="V304" i="12"/>
  <c r="W303" i="12"/>
  <c r="V305" i="12"/>
  <c r="W304" i="12"/>
  <c r="W305" i="12"/>
  <c r="V306" i="12"/>
  <c r="V307" i="12"/>
  <c r="W306" i="12"/>
  <c r="V308" i="12"/>
  <c r="W307" i="12"/>
  <c r="W308" i="12"/>
  <c r="V309" i="12"/>
  <c r="V310" i="12"/>
  <c r="W309" i="12"/>
  <c r="W310" i="12"/>
  <c r="V311" i="12"/>
  <c r="V312" i="12"/>
  <c r="W311" i="12"/>
  <c r="V313" i="12"/>
  <c r="W312" i="12"/>
  <c r="W313" i="12"/>
  <c r="V314" i="12"/>
  <c r="W314" i="12"/>
  <c r="V315" i="12"/>
  <c r="V316" i="12"/>
  <c r="W315" i="12"/>
  <c r="W316" i="12"/>
  <c r="V317" i="12"/>
  <c r="W317" i="12"/>
  <c r="V318" i="12"/>
  <c r="W318" i="12"/>
  <c r="V319" i="12"/>
  <c r="V320" i="12"/>
  <c r="W319" i="12"/>
  <c r="W320" i="12"/>
  <c r="V321" i="12"/>
  <c r="V322" i="12"/>
  <c r="W321" i="12"/>
  <c r="W322" i="12"/>
  <c r="V323" i="12"/>
  <c r="W323" i="12"/>
  <c r="V324" i="12"/>
  <c r="W324" i="12"/>
  <c r="V325" i="12"/>
  <c r="W325" i="12"/>
  <c r="V326" i="12"/>
  <c r="V327" i="12"/>
  <c r="W326" i="12"/>
  <c r="V328" i="12"/>
  <c r="W327" i="12"/>
  <c r="V329" i="12"/>
  <c r="W328" i="12"/>
  <c r="V330" i="12"/>
  <c r="W329" i="12"/>
  <c r="W330" i="12"/>
  <c r="V331" i="12"/>
  <c r="W331" i="12"/>
  <c r="V332" i="12"/>
  <c r="W332" i="12"/>
  <c r="V333" i="12"/>
  <c r="W333" i="12"/>
  <c r="V334" i="12"/>
  <c r="W334" i="12"/>
  <c r="V335" i="12"/>
  <c r="W335" i="12"/>
  <c r="V336" i="12"/>
  <c r="W336" i="12"/>
  <c r="V337" i="12"/>
  <c r="W337" i="12"/>
  <c r="V338" i="12"/>
  <c r="W338" i="12"/>
  <c r="V339" i="12"/>
  <c r="V340" i="12"/>
  <c r="W339" i="12"/>
  <c r="W340" i="12"/>
  <c r="V341" i="12"/>
  <c r="W341" i="12"/>
  <c r="V342" i="12"/>
  <c r="W342" i="12"/>
  <c r="V343" i="12"/>
  <c r="W343" i="12"/>
  <c r="V344" i="12"/>
  <c r="V345" i="12"/>
  <c r="W344" i="12"/>
  <c r="V346" i="12"/>
  <c r="W345" i="12"/>
  <c r="W346" i="12"/>
  <c r="V347" i="12"/>
  <c r="W347" i="12"/>
  <c r="V348" i="12"/>
  <c r="W348" i="12"/>
  <c r="V349" i="12"/>
  <c r="V350" i="12"/>
  <c r="W349" i="12"/>
  <c r="W350" i="12"/>
  <c r="V351" i="12"/>
  <c r="W351" i="12"/>
  <c r="V352" i="12"/>
  <c r="V353" i="12"/>
  <c r="W352" i="12"/>
  <c r="V354" i="12"/>
  <c r="W353" i="12"/>
  <c r="W354" i="12"/>
  <c r="V355" i="12"/>
  <c r="V356" i="12"/>
  <c r="W355" i="12"/>
  <c r="V357" i="12"/>
  <c r="W356" i="12"/>
  <c r="V358" i="12"/>
  <c r="W357" i="12"/>
  <c r="V359" i="12"/>
  <c r="W358" i="12"/>
  <c r="W359" i="12"/>
  <c r="V360" i="12"/>
  <c r="W360" i="12"/>
  <c r="V361" i="12"/>
  <c r="V362" i="12"/>
  <c r="W361" i="12"/>
  <c r="W362" i="12"/>
  <c r="V363" i="12"/>
  <c r="W363" i="12"/>
  <c r="V364" i="12"/>
  <c r="V365" i="12"/>
  <c r="W364" i="12"/>
  <c r="W365" i="12"/>
  <c r="V366" i="12"/>
  <c r="V367" i="12"/>
  <c r="W366" i="12"/>
  <c r="W367" i="12"/>
  <c r="V368" i="12"/>
  <c r="W368" i="12"/>
  <c r="V369" i="12"/>
  <c r="V370" i="12"/>
  <c r="W369" i="12"/>
  <c r="V371" i="12"/>
  <c r="W370" i="12"/>
  <c r="W371" i="12"/>
  <c r="V372" i="12"/>
  <c r="V373" i="12"/>
  <c r="W372" i="12"/>
  <c r="W373" i="12"/>
  <c r="V374" i="12"/>
  <c r="V375" i="12"/>
  <c r="W374" i="12"/>
  <c r="V376" i="12"/>
  <c r="W375" i="12"/>
  <c r="V377" i="12"/>
  <c r="W376" i="12"/>
  <c r="V378" i="12"/>
  <c r="W377" i="12"/>
  <c r="V379" i="12"/>
  <c r="W378" i="12"/>
  <c r="V380" i="12"/>
  <c r="W379" i="12"/>
  <c r="W380" i="12"/>
  <c r="V381" i="12"/>
  <c r="W381" i="12"/>
  <c r="V382" i="12"/>
  <c r="W382" i="12"/>
  <c r="V383" i="12"/>
  <c r="V384" i="12"/>
  <c r="W383" i="12"/>
  <c r="V385" i="12"/>
  <c r="W384" i="12"/>
  <c r="V386" i="12"/>
  <c r="W385" i="12"/>
  <c r="W386" i="12"/>
  <c r="V387" i="12"/>
  <c r="V388" i="12"/>
  <c r="W387" i="12"/>
  <c r="W388" i="12"/>
  <c r="V389" i="12"/>
  <c r="V390" i="12"/>
  <c r="W389" i="12"/>
  <c r="W390" i="12"/>
  <c r="V391" i="12"/>
  <c r="V392" i="12"/>
  <c r="W391" i="12"/>
  <c r="V393" i="12"/>
  <c r="W392" i="12"/>
  <c r="V394" i="12"/>
  <c r="W393" i="12"/>
  <c r="V395" i="12"/>
  <c r="W394" i="12"/>
  <c r="V396" i="12"/>
  <c r="W395" i="12"/>
  <c r="V397" i="12"/>
  <c r="W396" i="12"/>
  <c r="V398" i="12"/>
  <c r="W397" i="12"/>
  <c r="V399" i="12"/>
  <c r="W398" i="12"/>
  <c r="V400" i="12"/>
  <c r="W399" i="12"/>
  <c r="V401" i="12"/>
  <c r="W400" i="12"/>
  <c r="V402" i="12"/>
  <c r="W401" i="12"/>
  <c r="V403" i="12"/>
  <c r="W402" i="12"/>
  <c r="V404" i="12"/>
  <c r="W403" i="12"/>
  <c r="V405" i="12"/>
  <c r="W404" i="12"/>
  <c r="W405" i="12"/>
  <c r="V406" i="12"/>
  <c r="W406" i="12"/>
  <c r="V407" i="12"/>
  <c r="W407" i="12"/>
  <c r="V408" i="12"/>
  <c r="V409" i="12"/>
  <c r="W408" i="12"/>
  <c r="V410" i="12"/>
  <c r="W409" i="12"/>
  <c r="W410" i="12"/>
  <c r="V411" i="12"/>
  <c r="W411" i="12"/>
  <c r="V412" i="12"/>
  <c r="V413" i="12"/>
  <c r="W412" i="12"/>
  <c r="V414" i="12"/>
  <c r="W413" i="12"/>
  <c r="W414" i="12"/>
  <c r="V415" i="12"/>
  <c r="W415" i="12"/>
  <c r="V416" i="12"/>
  <c r="V417" i="12"/>
  <c r="W416" i="12"/>
  <c r="V418" i="12"/>
  <c r="W417" i="12"/>
  <c r="W418" i="12"/>
  <c r="V419" i="12"/>
  <c r="W419" i="12"/>
  <c r="V420" i="12"/>
  <c r="W420" i="12"/>
  <c r="V421" i="12"/>
  <c r="V422" i="12"/>
  <c r="W421" i="12"/>
  <c r="W422" i="12"/>
  <c r="V423" i="12"/>
  <c r="V424" i="12"/>
  <c r="W423" i="12"/>
  <c r="W424" i="12"/>
  <c r="V425" i="12"/>
  <c r="W425" i="12"/>
  <c r="V426" i="12"/>
  <c r="V427" i="12"/>
  <c r="W426" i="12"/>
  <c r="W427" i="12"/>
  <c r="V428" i="12"/>
  <c r="V429" i="12"/>
  <c r="W428" i="12"/>
  <c r="W429" i="12"/>
  <c r="V430" i="12"/>
  <c r="V431" i="12"/>
  <c r="W430" i="12"/>
  <c r="W431" i="12"/>
  <c r="V432" i="12"/>
  <c r="W432" i="12"/>
  <c r="V433" i="12"/>
  <c r="V434" i="12"/>
  <c r="W433" i="12"/>
  <c r="W434" i="12"/>
  <c r="V435" i="12"/>
  <c r="V436" i="12"/>
  <c r="W435" i="12"/>
  <c r="V437" i="12"/>
  <c r="W436" i="12"/>
  <c r="V438" i="12"/>
  <c r="W437" i="12"/>
  <c r="W438" i="12"/>
  <c r="V439" i="12"/>
  <c r="W439" i="12"/>
  <c r="V440" i="12"/>
  <c r="W440" i="12"/>
  <c r="V441" i="12"/>
  <c r="V442" i="12"/>
  <c r="W441" i="12"/>
  <c r="W442" i="12"/>
  <c r="V443" i="12"/>
  <c r="W443" i="12"/>
  <c r="V444" i="12"/>
  <c r="W444" i="12"/>
  <c r="V445" i="12"/>
  <c r="W445" i="12"/>
  <c r="V446" i="12"/>
  <c r="V447" i="12"/>
  <c r="W446" i="12"/>
  <c r="V448" i="12"/>
  <c r="W447" i="12"/>
  <c r="W448" i="12"/>
  <c r="V449" i="12"/>
  <c r="V450" i="12"/>
  <c r="W449" i="12"/>
  <c r="V451" i="12"/>
  <c r="W450" i="12"/>
  <c r="W451" i="12"/>
  <c r="V452" i="12"/>
  <c r="W452" i="12"/>
  <c r="V453" i="12"/>
  <c r="W453" i="12"/>
  <c r="V454" i="12"/>
  <c r="W454" i="12"/>
  <c r="V455" i="12"/>
  <c r="W455" i="12"/>
  <c r="V456" i="12"/>
  <c r="V457" i="12"/>
  <c r="W456" i="12"/>
  <c r="W457" i="12"/>
  <c r="V458" i="12"/>
  <c r="V459" i="12"/>
  <c r="W458" i="12"/>
  <c r="W459" i="12"/>
  <c r="V460" i="12"/>
  <c r="W460" i="12"/>
  <c r="V461" i="12"/>
  <c r="W461" i="12"/>
  <c r="V462" i="12"/>
  <c r="W462" i="12"/>
  <c r="V463" i="12"/>
  <c r="V464" i="12"/>
  <c r="W463" i="12"/>
  <c r="V465" i="12"/>
  <c r="W464" i="12"/>
  <c r="W465" i="12"/>
  <c r="V466" i="12"/>
  <c r="V467" i="12"/>
  <c r="W466" i="12"/>
  <c r="V468" i="12"/>
  <c r="W467" i="12"/>
  <c r="W468" i="12"/>
  <c r="V469" i="12"/>
  <c r="W469" i="12"/>
  <c r="V470" i="12"/>
  <c r="W470" i="12"/>
  <c r="V471" i="12"/>
  <c r="W471" i="12"/>
  <c r="V472" i="12"/>
  <c r="V473" i="12"/>
  <c r="W472" i="12"/>
  <c r="W473" i="12"/>
  <c r="V474" i="12"/>
  <c r="W474" i="12"/>
  <c r="V475" i="12"/>
  <c r="V476" i="12"/>
  <c r="W475" i="12"/>
  <c r="V477" i="12"/>
  <c r="W476" i="12"/>
  <c r="W477" i="12"/>
  <c r="V478" i="12"/>
  <c r="W478" i="12"/>
  <c r="V479" i="12"/>
  <c r="V480" i="12"/>
  <c r="W479" i="12"/>
  <c r="V481" i="12"/>
  <c r="W480" i="12"/>
  <c r="W481" i="12"/>
  <c r="V482" i="12"/>
  <c r="W482" i="12"/>
  <c r="V483" i="12"/>
  <c r="W483" i="12"/>
  <c r="V484" i="12"/>
  <c r="V485" i="12"/>
  <c r="W484" i="12"/>
  <c r="V486" i="12"/>
  <c r="W485" i="12"/>
  <c r="V487" i="12"/>
  <c r="W486" i="12"/>
  <c r="W487" i="12"/>
  <c r="V488" i="12"/>
  <c r="V489" i="12"/>
  <c r="W488" i="12"/>
  <c r="W489" i="12"/>
  <c r="V490" i="12"/>
  <c r="V491" i="12"/>
  <c r="W490" i="12"/>
  <c r="W491" i="12"/>
  <c r="V492" i="12"/>
  <c r="W492" i="12"/>
  <c r="V493" i="12"/>
  <c r="W493" i="12"/>
  <c r="V494" i="12"/>
  <c r="W494" i="12"/>
  <c r="V495" i="12"/>
  <c r="W495" i="12"/>
  <c r="V496" i="12"/>
  <c r="V497" i="12"/>
  <c r="W496" i="12"/>
  <c r="W497" i="12"/>
  <c r="V498" i="12"/>
  <c r="W498" i="12"/>
  <c r="V499" i="12"/>
  <c r="W499" i="12"/>
  <c r="V500" i="12"/>
  <c r="V501" i="12"/>
  <c r="W500" i="12"/>
  <c r="W501" i="12"/>
  <c r="V502" i="12"/>
  <c r="W502" i="12"/>
  <c r="V503" i="12"/>
  <c r="V504" i="12"/>
  <c r="W503" i="12"/>
  <c r="W504" i="12"/>
  <c r="V505" i="12"/>
  <c r="W505" i="12"/>
  <c r="V506" i="12"/>
  <c r="V507" i="12"/>
  <c r="W506" i="12"/>
  <c r="V508" i="12"/>
  <c r="W507" i="12"/>
  <c r="W508" i="12"/>
  <c r="V509" i="12"/>
  <c r="W509" i="12"/>
  <c r="V510" i="12"/>
  <c r="W510" i="12"/>
  <c r="V511" i="12"/>
  <c r="W511" i="12"/>
  <c r="V512" i="12"/>
  <c r="V513" i="12"/>
  <c r="W512" i="12"/>
  <c r="W513" i="12"/>
  <c r="V514" i="12"/>
  <c r="V515" i="12"/>
  <c r="W514" i="12"/>
  <c r="W515" i="12"/>
  <c r="V516" i="12"/>
  <c r="V517" i="12"/>
  <c r="W516" i="12"/>
  <c r="V518" i="12"/>
  <c r="W517" i="12"/>
  <c r="W518" i="12"/>
  <c r="V519" i="12"/>
  <c r="V520" i="12"/>
  <c r="W519" i="12"/>
  <c r="V521" i="12"/>
  <c r="W520" i="12"/>
  <c r="W521" i="12"/>
  <c r="V522" i="12"/>
  <c r="V523" i="12"/>
  <c r="W522" i="12"/>
  <c r="V524" i="12"/>
  <c r="W523" i="12"/>
  <c r="V525" i="12"/>
  <c r="W524" i="12"/>
  <c r="W525" i="12"/>
  <c r="V526" i="12"/>
  <c r="W526" i="12"/>
  <c r="V527" i="12"/>
  <c r="V528" i="12"/>
  <c r="W527" i="12"/>
  <c r="V529" i="12"/>
  <c r="W528" i="12"/>
  <c r="W529" i="12"/>
  <c r="V530" i="12"/>
  <c r="W530" i="12"/>
  <c r="V531" i="12"/>
  <c r="V532" i="12"/>
  <c r="W531" i="12"/>
  <c r="W532" i="12"/>
  <c r="V533" i="12"/>
  <c r="W533" i="12"/>
  <c r="V534" i="12"/>
  <c r="W534" i="12"/>
  <c r="V535" i="12"/>
  <c r="V536" i="12"/>
  <c r="W535" i="12"/>
  <c r="W536" i="12"/>
  <c r="V537" i="12"/>
  <c r="W537" i="12"/>
  <c r="V538" i="12"/>
  <c r="W538" i="12"/>
  <c r="V539" i="12"/>
  <c r="W539" i="12"/>
  <c r="V540" i="12"/>
  <c r="W540" i="12"/>
  <c r="V541" i="12"/>
  <c r="W541" i="12"/>
  <c r="V542" i="12"/>
  <c r="W542" i="12"/>
  <c r="V543" i="12"/>
  <c r="W543" i="12"/>
  <c r="V544" i="12"/>
  <c r="W544" i="12"/>
  <c r="V545" i="12"/>
  <c r="W545" i="12"/>
  <c r="V546" i="12"/>
  <c r="W546" i="12"/>
  <c r="V547" i="12"/>
  <c r="V548" i="12"/>
  <c r="W547" i="12"/>
  <c r="V549" i="12"/>
  <c r="W548" i="12"/>
  <c r="V550" i="12"/>
  <c r="W549" i="12"/>
  <c r="V551" i="12"/>
  <c r="W550" i="12"/>
  <c r="V552" i="12"/>
  <c r="W551" i="12"/>
  <c r="V553" i="12"/>
  <c r="W552" i="12"/>
  <c r="V554" i="12"/>
  <c r="W553" i="12"/>
  <c r="V555" i="12"/>
  <c r="W554" i="12"/>
  <c r="W555" i="12"/>
  <c r="V556" i="12"/>
  <c r="V557" i="12"/>
  <c r="W556" i="12"/>
  <c r="W557" i="12"/>
  <c r="V558" i="12"/>
  <c r="V559" i="12"/>
  <c r="W558" i="12"/>
  <c r="V560" i="12"/>
  <c r="W559" i="12"/>
  <c r="W560" i="12"/>
  <c r="V561" i="12"/>
  <c r="W561" i="12"/>
  <c r="V562" i="12"/>
  <c r="V563" i="12"/>
  <c r="W562" i="12"/>
  <c r="W563" i="12"/>
  <c r="V564" i="12"/>
  <c r="V565" i="12"/>
  <c r="W564" i="12"/>
  <c r="V566" i="12"/>
  <c r="W565" i="12"/>
  <c r="W566" i="12"/>
  <c r="V567" i="12"/>
  <c r="V568" i="12"/>
  <c r="W567" i="12"/>
  <c r="V569" i="12"/>
  <c r="W568" i="12"/>
  <c r="W569" i="12"/>
  <c r="V570" i="12"/>
  <c r="V571" i="12"/>
  <c r="W570" i="12"/>
  <c r="V572" i="12"/>
  <c r="W571" i="12"/>
  <c r="V573" i="12"/>
  <c r="W572" i="12"/>
  <c r="W573" i="12"/>
  <c r="V574" i="12"/>
  <c r="V575" i="12"/>
  <c r="W574" i="12"/>
  <c r="V576" i="12"/>
  <c r="W575" i="12"/>
  <c r="V577" i="12"/>
  <c r="W576" i="12"/>
  <c r="V578" i="12"/>
  <c r="W577" i="12"/>
  <c r="V579" i="12"/>
  <c r="W578" i="12"/>
  <c r="V580" i="12"/>
  <c r="W579" i="12"/>
  <c r="W580" i="12"/>
  <c r="V581" i="12"/>
  <c r="V582" i="12"/>
  <c r="W581" i="12"/>
  <c r="V583" i="12"/>
  <c r="W582" i="12"/>
  <c r="V584" i="12"/>
  <c r="W583" i="12"/>
  <c r="W584" i="12"/>
  <c r="V585" i="12"/>
  <c r="V586" i="12"/>
  <c r="W585" i="12"/>
  <c r="V587" i="12"/>
  <c r="W586" i="12"/>
  <c r="W587" i="12"/>
  <c r="V588" i="12"/>
  <c r="W588" i="12"/>
  <c r="V589" i="12"/>
  <c r="V590" i="12"/>
  <c r="W589" i="12"/>
  <c r="W590" i="12"/>
  <c r="V591" i="12"/>
  <c r="W591" i="12"/>
  <c r="V592" i="12"/>
  <c r="V593" i="12"/>
  <c r="W592" i="12"/>
  <c r="W593" i="12"/>
  <c r="V594" i="12"/>
  <c r="W594" i="12"/>
  <c r="V595" i="12"/>
  <c r="W595" i="12"/>
  <c r="V596" i="12"/>
  <c r="W596" i="12"/>
  <c r="V597" i="12"/>
  <c r="V598" i="12"/>
  <c r="W597" i="12"/>
  <c r="W598" i="12"/>
  <c r="V599" i="12"/>
  <c r="W599" i="12"/>
  <c r="V600" i="12"/>
  <c r="V601" i="12"/>
  <c r="W600" i="12"/>
  <c r="W601" i="12"/>
  <c r="V602" i="12"/>
  <c r="V603" i="12"/>
  <c r="W602" i="12"/>
  <c r="W603" i="12"/>
  <c r="V604" i="12"/>
  <c r="V605" i="12"/>
  <c r="W604" i="12"/>
  <c r="W605" i="12"/>
  <c r="V606" i="12"/>
  <c r="W606" i="12"/>
  <c r="V607" i="12"/>
  <c r="V608" i="12"/>
  <c r="W607" i="12"/>
  <c r="V609" i="12"/>
  <c r="W608" i="12"/>
  <c r="W609" i="12"/>
  <c r="V610" i="12"/>
  <c r="V611" i="12"/>
  <c r="W610" i="12"/>
  <c r="W611" i="12"/>
  <c r="V612" i="12"/>
  <c r="V613" i="12"/>
  <c r="W612" i="12"/>
  <c r="W613" i="12"/>
  <c r="V614" i="12"/>
  <c r="W614" i="12"/>
  <c r="V615" i="12"/>
  <c r="W615" i="12"/>
  <c r="V616" i="12"/>
  <c r="W616" i="12"/>
  <c r="V617" i="12"/>
  <c r="W617" i="12"/>
  <c r="V618" i="12"/>
  <c r="W618" i="12"/>
  <c r="V619" i="12"/>
  <c r="W619" i="12"/>
  <c r="V620" i="12"/>
  <c r="V621" i="12"/>
  <c r="W620" i="12"/>
  <c r="W621" i="12"/>
  <c r="V622" i="12"/>
  <c r="V623" i="12"/>
  <c r="W622" i="12"/>
  <c r="V624" i="12"/>
  <c r="W623" i="12"/>
  <c r="W624" i="12"/>
  <c r="V625" i="12"/>
  <c r="W625" i="12"/>
  <c r="V626" i="12"/>
  <c r="W626" i="12"/>
  <c r="V627" i="12"/>
  <c r="W627" i="12"/>
  <c r="V628" i="12"/>
  <c r="W628" i="12"/>
  <c r="V629" i="12"/>
  <c r="V630" i="12"/>
  <c r="W629" i="12"/>
  <c r="W630" i="12"/>
  <c r="V631" i="12"/>
  <c r="V632" i="12"/>
  <c r="W631" i="12"/>
  <c r="V633" i="12"/>
  <c r="W632" i="12"/>
  <c r="W633" i="12"/>
  <c r="V634" i="12"/>
  <c r="W634" i="12"/>
  <c r="V635" i="12"/>
  <c r="V636" i="12"/>
  <c r="W635" i="12"/>
  <c r="W636" i="12"/>
  <c r="V637" i="12"/>
  <c r="V638" i="12"/>
  <c r="W637" i="12"/>
  <c r="W638" i="12"/>
  <c r="V639" i="12"/>
  <c r="W639" i="12"/>
  <c r="V640" i="12"/>
  <c r="V641" i="12"/>
  <c r="W640" i="12"/>
  <c r="V642" i="12"/>
  <c r="W641" i="12"/>
  <c r="W642" i="12"/>
  <c r="V643" i="12"/>
  <c r="W643" i="12"/>
  <c r="V644" i="12"/>
  <c r="V645" i="12"/>
  <c r="W644" i="12"/>
  <c r="V646" i="12"/>
  <c r="W645" i="12"/>
  <c r="V647" i="12"/>
  <c r="W646" i="12"/>
  <c r="W647" i="12"/>
  <c r="V648" i="12"/>
  <c r="V649" i="12"/>
  <c r="W648" i="12"/>
  <c r="W649" i="12"/>
  <c r="V650" i="12"/>
  <c r="W650" i="12"/>
  <c r="V651" i="12"/>
  <c r="W651" i="12"/>
  <c r="V652" i="12"/>
  <c r="V653" i="12"/>
  <c r="W652" i="12"/>
  <c r="V654" i="12"/>
  <c r="W653" i="12"/>
  <c r="V655" i="12"/>
  <c r="W654" i="12"/>
  <c r="V656" i="12"/>
  <c r="W655" i="12"/>
  <c r="V657" i="12"/>
  <c r="W656" i="12"/>
  <c r="V658" i="12"/>
  <c r="W657" i="12"/>
  <c r="W658" i="12"/>
  <c r="V659" i="12"/>
  <c r="V660" i="12"/>
  <c r="W659" i="12"/>
  <c r="W660" i="12"/>
  <c r="V661" i="12"/>
  <c r="V662" i="12"/>
  <c r="W661" i="12"/>
  <c r="V663" i="12"/>
  <c r="W662" i="12"/>
  <c r="W663" i="12"/>
  <c r="V664" i="12"/>
  <c r="V665" i="12"/>
  <c r="W664" i="12"/>
  <c r="W665" i="12"/>
  <c r="V666" i="12"/>
  <c r="V667" i="12"/>
  <c r="W666" i="12"/>
  <c r="V668" i="12"/>
  <c r="W667" i="12"/>
  <c r="V669" i="12"/>
  <c r="W668" i="12"/>
  <c r="V670" i="12"/>
  <c r="W669" i="12"/>
  <c r="W670" i="12"/>
  <c r="V671" i="12"/>
  <c r="W671" i="12"/>
  <c r="V672" i="12"/>
  <c r="W672" i="12"/>
  <c r="V673" i="12"/>
  <c r="V674" i="12"/>
  <c r="W673" i="12"/>
  <c r="V675" i="12"/>
  <c r="W674" i="12"/>
  <c r="W675" i="12"/>
  <c r="V676" i="12"/>
  <c r="W676" i="12"/>
  <c r="V677" i="12"/>
  <c r="W677" i="12"/>
  <c r="V678" i="12"/>
  <c r="W678" i="12"/>
  <c r="V679" i="12"/>
  <c r="V680" i="12"/>
  <c r="W679" i="12"/>
  <c r="V681" i="12"/>
  <c r="W680" i="12"/>
  <c r="V682" i="12"/>
  <c r="W681" i="12"/>
  <c r="W682" i="12"/>
  <c r="V683" i="12"/>
  <c r="W683" i="12"/>
  <c r="V684" i="12"/>
  <c r="W684" i="12"/>
  <c r="V685" i="12"/>
  <c r="W685" i="12"/>
  <c r="V686" i="12"/>
  <c r="W686" i="12"/>
  <c r="V687" i="12"/>
  <c r="V688" i="12"/>
  <c r="W687" i="12"/>
  <c r="W688" i="12"/>
  <c r="V689" i="12"/>
  <c r="W689" i="12"/>
  <c r="V690" i="12"/>
  <c r="V691" i="12"/>
  <c r="W690" i="12"/>
  <c r="V692" i="12"/>
  <c r="W691" i="12"/>
  <c r="W692" i="12"/>
  <c r="V693" i="12"/>
  <c r="W693" i="12"/>
  <c r="V694" i="12"/>
  <c r="V695" i="12"/>
  <c r="W694" i="12"/>
  <c r="W695" i="12"/>
  <c r="V696" i="12"/>
  <c r="W696" i="12"/>
  <c r="V697" i="12"/>
  <c r="V698" i="12"/>
  <c r="W697" i="12"/>
  <c r="W698" i="12"/>
  <c r="V699" i="12"/>
  <c r="W699" i="12"/>
  <c r="V700" i="12"/>
  <c r="V701" i="12"/>
  <c r="W700" i="12"/>
  <c r="W701" i="12"/>
  <c r="V702" i="12"/>
  <c r="W702" i="12"/>
  <c r="V703" i="12"/>
  <c r="W703" i="12"/>
  <c r="V704" i="12"/>
  <c r="V705" i="12"/>
  <c r="W704" i="12"/>
  <c r="W705" i="12"/>
  <c r="V706" i="12"/>
  <c r="W706" i="12"/>
  <c r="V707" i="12"/>
  <c r="W707" i="12"/>
  <c r="V708" i="12"/>
  <c r="V709" i="12"/>
  <c r="W708" i="12"/>
  <c r="W709" i="12"/>
  <c r="V710" i="12"/>
  <c r="V711" i="12"/>
  <c r="W710" i="12"/>
  <c r="W711" i="12"/>
  <c r="V712" i="12"/>
  <c r="V713" i="12"/>
  <c r="W712" i="12"/>
  <c r="V714" i="12"/>
  <c r="W713" i="12"/>
  <c r="V715" i="12"/>
  <c r="W714" i="12"/>
  <c r="V716" i="12"/>
  <c r="W715" i="12"/>
  <c r="W716" i="12"/>
  <c r="V717" i="12"/>
  <c r="W717" i="12"/>
  <c r="V718" i="12"/>
  <c r="V719" i="12"/>
  <c r="W718" i="12"/>
  <c r="V720" i="12"/>
  <c r="W719" i="12"/>
  <c r="V721" i="12"/>
  <c r="W720" i="12"/>
  <c r="W721" i="12"/>
  <c r="V722" i="12"/>
  <c r="V723" i="12"/>
  <c r="W722" i="12"/>
  <c r="W723" i="12"/>
  <c r="V724" i="12"/>
  <c r="V725" i="12"/>
  <c r="W724" i="12"/>
  <c r="W725" i="12"/>
  <c r="V726" i="12"/>
  <c r="W726" i="12"/>
  <c r="V727" i="12"/>
  <c r="W727" i="12"/>
  <c r="V728" i="12"/>
  <c r="V729" i="12"/>
  <c r="W728" i="12"/>
  <c r="W729" i="12"/>
  <c r="V730" i="12"/>
  <c r="V731" i="12"/>
  <c r="W730" i="12"/>
  <c r="W731" i="12"/>
  <c r="V732" i="12"/>
  <c r="V733" i="12"/>
  <c r="W732" i="12"/>
  <c r="W733" i="12"/>
  <c r="V734" i="12"/>
  <c r="V735" i="12"/>
  <c r="W734" i="12"/>
  <c r="W735" i="12"/>
  <c r="V736" i="12"/>
  <c r="V737" i="12"/>
  <c r="W736" i="12"/>
  <c r="V738" i="12"/>
  <c r="W737" i="12"/>
  <c r="W738" i="12"/>
  <c r="V739" i="12"/>
  <c r="V740" i="12"/>
  <c r="W739" i="12"/>
  <c r="W740" i="12"/>
  <c r="V741" i="12"/>
  <c r="W741" i="12"/>
  <c r="V742" i="12"/>
  <c r="W742" i="12"/>
  <c r="V743" i="12"/>
  <c r="W743" i="12"/>
  <c r="V744" i="12"/>
  <c r="W744" i="12"/>
  <c r="V745" i="12"/>
  <c r="V746" i="12"/>
  <c r="W745" i="12"/>
  <c r="V747" i="12"/>
  <c r="W746" i="12"/>
  <c r="V748" i="12"/>
  <c r="W747" i="12"/>
  <c r="W748" i="12"/>
  <c r="V749" i="12"/>
  <c r="W749" i="12"/>
  <c r="V750" i="12"/>
  <c r="W750" i="12"/>
  <c r="V751" i="12"/>
  <c r="W751" i="12"/>
  <c r="V752" i="12"/>
  <c r="W752" i="12"/>
  <c r="V753" i="12"/>
  <c r="V754" i="12"/>
  <c r="W753" i="12"/>
  <c r="V755" i="12"/>
  <c r="W754" i="12"/>
  <c r="W755" i="12"/>
  <c r="V756" i="12"/>
  <c r="W756" i="12"/>
  <c r="V757" i="12"/>
  <c r="V758" i="12"/>
  <c r="W757" i="12"/>
  <c r="W758" i="12"/>
  <c r="V759" i="12"/>
  <c r="V760" i="12"/>
  <c r="W759" i="12"/>
  <c r="W760" i="12"/>
  <c r="V761" i="12"/>
  <c r="V762" i="12"/>
  <c r="W761" i="12"/>
  <c r="W762" i="12"/>
  <c r="V763" i="12"/>
  <c r="W763" i="12"/>
  <c r="V764" i="12"/>
  <c r="V765" i="12"/>
  <c r="W764" i="12"/>
  <c r="V766" i="12"/>
  <c r="W765" i="12"/>
  <c r="V767" i="12"/>
  <c r="W766" i="12"/>
  <c r="V768" i="12"/>
  <c r="W767" i="12"/>
  <c r="V769" i="12"/>
  <c r="W768" i="12"/>
  <c r="V770" i="12"/>
  <c r="W769" i="12"/>
  <c r="W770" i="12"/>
  <c r="V771" i="12"/>
  <c r="V772" i="12"/>
  <c r="W771" i="12"/>
  <c r="W772" i="12"/>
  <c r="V773" i="12"/>
  <c r="W773" i="12"/>
  <c r="V774" i="12"/>
  <c r="V775" i="12"/>
  <c r="W774" i="12"/>
  <c r="W775" i="12"/>
  <c r="V776" i="12"/>
  <c r="V777" i="12"/>
  <c r="W776" i="12"/>
  <c r="W777" i="12"/>
  <c r="V778" i="12"/>
  <c r="V779" i="12"/>
  <c r="W778" i="12"/>
  <c r="W779" i="12"/>
  <c r="V780" i="12"/>
  <c r="V781" i="12"/>
  <c r="W780" i="12"/>
  <c r="V782" i="12"/>
  <c r="W781" i="12"/>
  <c r="V783" i="12"/>
  <c r="W782" i="12"/>
  <c r="W783" i="12"/>
  <c r="V784" i="12"/>
  <c r="V785" i="12"/>
  <c r="W784" i="12"/>
  <c r="W785" i="12"/>
  <c r="V786" i="12"/>
  <c r="V787" i="12"/>
  <c r="W786" i="12"/>
  <c r="W787" i="12"/>
  <c r="V788" i="12"/>
  <c r="W788" i="12"/>
  <c r="V789" i="12"/>
  <c r="V790" i="12"/>
  <c r="W789" i="12"/>
  <c r="V791" i="12"/>
  <c r="W790" i="12"/>
  <c r="V792" i="12"/>
  <c r="W791" i="12"/>
  <c r="V793" i="12"/>
  <c r="W792" i="12"/>
  <c r="V794" i="12"/>
  <c r="W793" i="12"/>
  <c r="W794" i="12"/>
  <c r="V795" i="12"/>
  <c r="W795" i="12"/>
  <c r="V796" i="12"/>
  <c r="V797" i="12"/>
  <c r="W796" i="12"/>
  <c r="V798" i="12"/>
  <c r="W797" i="12"/>
  <c r="V799" i="12"/>
  <c r="W798" i="12"/>
  <c r="W799" i="12"/>
  <c r="V800" i="12"/>
  <c r="W800" i="12"/>
  <c r="V801" i="12"/>
  <c r="V802" i="12"/>
  <c r="W801" i="12"/>
  <c r="V803" i="12"/>
  <c r="W802" i="12"/>
  <c r="W803" i="12"/>
  <c r="V804" i="12"/>
  <c r="W804" i="12"/>
  <c r="V805" i="12"/>
  <c r="W805" i="12"/>
  <c r="V806" i="12"/>
  <c r="W806" i="12"/>
  <c r="V807" i="12"/>
  <c r="V808" i="12"/>
  <c r="W807" i="12"/>
  <c r="W808" i="12"/>
  <c r="V809" i="12"/>
  <c r="V810" i="12"/>
  <c r="W809" i="12"/>
  <c r="W810" i="12"/>
  <c r="V811" i="12"/>
  <c r="V812" i="12"/>
  <c r="W811" i="12"/>
  <c r="W812" i="12"/>
  <c r="V813" i="12"/>
  <c r="V814" i="12"/>
  <c r="W813" i="12"/>
  <c r="W814" i="12"/>
  <c r="V815" i="12"/>
  <c r="W815" i="12"/>
  <c r="V816" i="12"/>
  <c r="W816" i="12"/>
  <c r="V817" i="12"/>
  <c r="W817" i="12"/>
  <c r="V818" i="12"/>
  <c r="W818" i="12"/>
  <c r="V819" i="12"/>
  <c r="W819" i="12"/>
  <c r="V820" i="12"/>
  <c r="V821" i="12"/>
  <c r="W820" i="12"/>
  <c r="W821" i="12"/>
  <c r="V822" i="12"/>
  <c r="W822" i="12"/>
  <c r="V823" i="12"/>
  <c r="V824" i="12"/>
  <c r="W823" i="12"/>
  <c r="W824" i="12"/>
  <c r="V825" i="12"/>
  <c r="V826" i="12"/>
  <c r="W825" i="12"/>
  <c r="V827" i="12"/>
  <c r="W826" i="12"/>
  <c r="W827" i="12"/>
  <c r="V828" i="12"/>
  <c r="V829" i="12"/>
  <c r="W828" i="12"/>
  <c r="V830" i="12"/>
  <c r="W829" i="12"/>
  <c r="W830" i="12"/>
  <c r="V831" i="12"/>
  <c r="W831" i="12"/>
  <c r="V832" i="12"/>
  <c r="W832" i="12"/>
  <c r="V833" i="12"/>
  <c r="W833" i="12"/>
  <c r="V834" i="12"/>
  <c r="V835" i="12"/>
  <c r="W834" i="12"/>
  <c r="V836" i="12"/>
  <c r="W835" i="12"/>
  <c r="V837" i="12"/>
  <c r="W836" i="12"/>
  <c r="V838" i="12"/>
  <c r="W837" i="12"/>
  <c r="V839" i="12"/>
  <c r="W838" i="12"/>
  <c r="V840" i="12"/>
  <c r="W839" i="12"/>
  <c r="V841" i="12"/>
  <c r="W840" i="12"/>
  <c r="W841" i="12"/>
  <c r="V842" i="12"/>
  <c r="V843" i="12"/>
  <c r="W842" i="12"/>
  <c r="V844" i="12"/>
  <c r="W843" i="12"/>
  <c r="V845" i="12"/>
  <c r="W844" i="12"/>
  <c r="W845" i="12"/>
  <c r="V846" i="12"/>
  <c r="V847" i="12"/>
  <c r="W846" i="12"/>
  <c r="W847" i="12"/>
  <c r="V848" i="12"/>
  <c r="V849" i="12"/>
  <c r="W848" i="12"/>
  <c r="W849" i="12"/>
  <c r="V850" i="12"/>
  <c r="W850" i="12"/>
  <c r="V851" i="12"/>
  <c r="V852" i="12"/>
  <c r="W851" i="12"/>
  <c r="V853" i="12"/>
  <c r="W852" i="12"/>
  <c r="V854" i="12"/>
  <c r="W853" i="12"/>
  <c r="V855" i="12"/>
  <c r="W854" i="12"/>
  <c r="W855" i="12"/>
  <c r="V856" i="12"/>
  <c r="W856" i="12"/>
  <c r="V857" i="12"/>
  <c r="V858" i="12"/>
  <c r="W857" i="12"/>
  <c r="W858" i="12"/>
  <c r="V859" i="12"/>
  <c r="W859" i="12"/>
  <c r="V860" i="12"/>
  <c r="W860" i="12"/>
  <c r="V861" i="12"/>
  <c r="W861" i="12"/>
  <c r="V862" i="12"/>
  <c r="W862" i="12"/>
  <c r="V863" i="12"/>
  <c r="W863" i="12"/>
  <c r="V864" i="12"/>
  <c r="V865" i="12"/>
  <c r="W864" i="12"/>
  <c r="V866" i="12"/>
  <c r="W865" i="12"/>
  <c r="V867" i="12"/>
  <c r="W866" i="12"/>
  <c r="W867" i="12"/>
  <c r="V868" i="12"/>
  <c r="V869" i="12"/>
  <c r="W868" i="12"/>
  <c r="V870" i="12"/>
  <c r="W869" i="12"/>
  <c r="W870" i="12"/>
  <c r="V871" i="12"/>
  <c r="V872" i="12"/>
  <c r="W871" i="12"/>
  <c r="W872" i="12"/>
  <c r="V873" i="12"/>
  <c r="W873" i="12"/>
  <c r="V874" i="12"/>
  <c r="V875" i="12"/>
  <c r="W874" i="12"/>
  <c r="V876" i="12"/>
  <c r="W875" i="12"/>
  <c r="W876" i="12"/>
  <c r="V877" i="12"/>
  <c r="W877" i="12"/>
  <c r="V878" i="12"/>
  <c r="W878" i="12"/>
  <c r="V879" i="12"/>
  <c r="W879" i="12"/>
  <c r="V880" i="12"/>
  <c r="W880" i="12"/>
  <c r="V881" i="12"/>
  <c r="W881" i="12"/>
  <c r="V882" i="12"/>
  <c r="V883" i="12"/>
  <c r="W882" i="12"/>
  <c r="V884" i="12"/>
  <c r="W883" i="12"/>
  <c r="V885" i="12"/>
  <c r="W884" i="12"/>
  <c r="W885" i="12"/>
  <c r="V886" i="12"/>
  <c r="V887" i="12"/>
  <c r="W886" i="12"/>
  <c r="V888" i="12"/>
  <c r="W887" i="12"/>
  <c r="W888" i="12"/>
  <c r="V889" i="12"/>
  <c r="V890" i="12"/>
  <c r="W889" i="12"/>
  <c r="V891" i="12"/>
  <c r="W890" i="12"/>
  <c r="W891" i="12"/>
  <c r="V892" i="12"/>
  <c r="W892" i="12"/>
  <c r="V893" i="12"/>
  <c r="W893" i="12"/>
  <c r="V894" i="12"/>
  <c r="W894" i="12"/>
  <c r="V895" i="12"/>
  <c r="V896" i="12"/>
  <c r="W895" i="12"/>
  <c r="W896" i="12"/>
  <c r="V897" i="12"/>
  <c r="V898" i="12"/>
  <c r="W897" i="12"/>
  <c r="W898" i="12"/>
  <c r="V899" i="12"/>
  <c r="V900" i="12"/>
  <c r="W899" i="12"/>
  <c r="V901" i="12"/>
  <c r="W900" i="12"/>
  <c r="W901" i="12"/>
  <c r="V902" i="12"/>
  <c r="W902" i="12"/>
  <c r="V903" i="12"/>
  <c r="V904" i="12"/>
  <c r="W903" i="12"/>
  <c r="V905" i="12"/>
  <c r="W904" i="12"/>
  <c r="V906" i="12"/>
  <c r="W905" i="12"/>
  <c r="V907" i="12"/>
  <c r="W906" i="12"/>
  <c r="V908" i="12"/>
  <c r="W907" i="12"/>
  <c r="W908" i="12"/>
  <c r="V909" i="12"/>
  <c r="V910" i="12"/>
  <c r="W909" i="12"/>
  <c r="V911" i="12"/>
  <c r="W910" i="12"/>
  <c r="V912" i="12"/>
  <c r="W911" i="12"/>
  <c r="W912" i="12"/>
  <c r="V913" i="12"/>
  <c r="W913" i="12"/>
  <c r="V914" i="12"/>
  <c r="V915" i="12"/>
  <c r="W914" i="12"/>
  <c r="W915" i="12"/>
  <c r="V916" i="12"/>
  <c r="W916" i="12"/>
  <c r="V917" i="12"/>
  <c r="W917" i="12"/>
  <c r="V918" i="12"/>
  <c r="V919" i="12"/>
  <c r="W918" i="12"/>
  <c r="V920" i="12"/>
  <c r="W919" i="12"/>
  <c r="V921" i="12"/>
  <c r="W920" i="12"/>
  <c r="V922" i="12"/>
  <c r="W921" i="12"/>
  <c r="W922" i="12"/>
  <c r="V923" i="12"/>
  <c r="V924" i="12"/>
  <c r="W923" i="12"/>
  <c r="V925" i="12"/>
  <c r="W924" i="12"/>
  <c r="V926" i="12"/>
  <c r="W925" i="12"/>
  <c r="V927" i="12"/>
  <c r="W926" i="12"/>
  <c r="W927" i="12"/>
  <c r="V928" i="12"/>
  <c r="V929" i="12"/>
  <c r="W928" i="12"/>
  <c r="V930" i="12"/>
  <c r="W929" i="12"/>
  <c r="W930" i="12"/>
  <c r="V931" i="12"/>
  <c r="V932" i="12"/>
  <c r="W931" i="12"/>
  <c r="W932" i="12"/>
  <c r="V933" i="12"/>
  <c r="V934" i="12"/>
  <c r="W933" i="12"/>
  <c r="W934" i="12"/>
  <c r="V935" i="12"/>
  <c r="V936" i="12"/>
  <c r="W935" i="12"/>
  <c r="W936" i="12"/>
  <c r="V937" i="12"/>
  <c r="V938" i="12"/>
  <c r="W937" i="12"/>
  <c r="W938" i="12"/>
  <c r="V939" i="12"/>
  <c r="W939" i="12"/>
  <c r="V940" i="12"/>
  <c r="V941" i="12"/>
  <c r="W940" i="12"/>
  <c r="W941" i="12"/>
  <c r="V942" i="12"/>
  <c r="V943" i="12"/>
  <c r="W942" i="12"/>
  <c r="W943" i="12"/>
  <c r="V944" i="12"/>
  <c r="V945" i="12"/>
  <c r="W944" i="12"/>
  <c r="W945" i="12"/>
  <c r="V946" i="12"/>
  <c r="V947" i="12"/>
  <c r="W946" i="12"/>
  <c r="V948" i="12"/>
  <c r="W947" i="12"/>
  <c r="W948" i="12"/>
  <c r="V949" i="12"/>
  <c r="V950" i="12"/>
  <c r="W949" i="12"/>
  <c r="W950" i="12"/>
  <c r="V951" i="12"/>
  <c r="W951" i="12"/>
  <c r="V952" i="12"/>
  <c r="V953" i="12"/>
  <c r="W952" i="12"/>
  <c r="V954" i="12"/>
  <c r="W953" i="12"/>
  <c r="V955" i="12"/>
  <c r="W954" i="12"/>
  <c r="V956" i="12"/>
  <c r="W955" i="12"/>
  <c r="V957" i="12"/>
  <c r="W956" i="12"/>
  <c r="W957" i="12"/>
  <c r="V958" i="12"/>
  <c r="W958" i="12"/>
  <c r="V959" i="12"/>
  <c r="V960" i="12"/>
  <c r="W959" i="12"/>
  <c r="W960" i="12"/>
  <c r="V961" i="12"/>
  <c r="V962" i="12"/>
  <c r="W961" i="12"/>
  <c r="W962" i="12"/>
  <c r="V963" i="12"/>
  <c r="V964" i="12"/>
  <c r="W963" i="12"/>
  <c r="W964" i="12"/>
  <c r="V965" i="12"/>
  <c r="V966" i="12"/>
  <c r="W965" i="12"/>
  <c r="W966" i="12"/>
  <c r="V967" i="12"/>
  <c r="W967" i="12"/>
  <c r="V968" i="12"/>
  <c r="V969" i="12"/>
  <c r="W968" i="12"/>
  <c r="V970" i="12"/>
  <c r="W969" i="12"/>
  <c r="W970" i="12"/>
  <c r="V971" i="12"/>
  <c r="V972" i="12"/>
  <c r="W971" i="12"/>
  <c r="W972" i="12"/>
  <c r="V973" i="12"/>
  <c r="W973" i="12"/>
  <c r="V974" i="12"/>
  <c r="V975" i="12"/>
  <c r="W974" i="12"/>
  <c r="V976" i="12"/>
  <c r="W975" i="12"/>
  <c r="V977" i="12"/>
  <c r="W976" i="12"/>
  <c r="V978" i="12"/>
  <c r="W977" i="12"/>
  <c r="V979" i="12"/>
  <c r="W978" i="12"/>
  <c r="V980" i="12"/>
  <c r="W979" i="12"/>
  <c r="V981" i="12"/>
  <c r="W980" i="12"/>
  <c r="W981" i="12"/>
  <c r="V982" i="12"/>
  <c r="W982" i="12"/>
  <c r="V983" i="12"/>
  <c r="V984" i="12"/>
  <c r="W983" i="12"/>
  <c r="W984" i="12"/>
  <c r="V985" i="12"/>
  <c r="W985" i="12"/>
  <c r="V986" i="12"/>
  <c r="W986" i="12"/>
  <c r="V987" i="12"/>
  <c r="W987" i="12"/>
  <c r="V988" i="12"/>
  <c r="W988" i="12"/>
  <c r="V989" i="12"/>
  <c r="V990" i="12"/>
  <c r="W989" i="12"/>
  <c r="V991" i="12"/>
  <c r="W990" i="12"/>
  <c r="W991" i="12"/>
  <c r="V992" i="12"/>
  <c r="V993" i="12"/>
  <c r="W992" i="12"/>
  <c r="W993" i="12"/>
  <c r="V994" i="12"/>
  <c r="W994" i="12"/>
  <c r="V995" i="12"/>
  <c r="V996" i="12"/>
  <c r="W995" i="12"/>
  <c r="W996" i="12"/>
  <c r="V997" i="12"/>
  <c r="V998" i="12"/>
  <c r="W997" i="12"/>
  <c r="V999" i="12"/>
  <c r="W998" i="12"/>
  <c r="W999" i="12"/>
  <c r="V1000" i="12"/>
  <c r="W1000" i="12"/>
  <c r="V1001" i="12"/>
  <c r="W1001" i="12"/>
  <c r="V1002" i="12"/>
  <c r="V1003" i="12"/>
  <c r="W1002" i="12"/>
  <c r="W1003" i="12"/>
  <c r="V1004" i="12"/>
  <c r="W1004" i="12"/>
  <c r="V1005" i="12"/>
  <c r="W1005" i="12"/>
  <c r="V1006" i="12"/>
  <c r="W1006" i="12"/>
  <c r="V1007" i="12"/>
  <c r="V1008" i="12"/>
  <c r="W1007" i="12"/>
  <c r="W1008" i="12"/>
  <c r="V1009" i="12"/>
  <c r="V1010" i="12"/>
  <c r="W1009" i="12"/>
  <c r="V1011" i="12"/>
  <c r="W1010" i="12"/>
  <c r="W1011" i="12"/>
  <c r="V1012" i="12"/>
  <c r="W1012" i="12"/>
  <c r="V1013" i="12"/>
  <c r="W1013" i="12"/>
  <c r="V1014" i="12"/>
  <c r="V1015" i="12"/>
  <c r="W1014" i="12"/>
  <c r="V1016" i="12"/>
  <c r="W1015" i="12"/>
  <c r="V1017" i="12"/>
  <c r="W1016" i="12"/>
  <c r="W1017" i="12"/>
  <c r="V1018" i="12"/>
  <c r="V1019" i="12"/>
  <c r="W1018" i="12"/>
  <c r="W1019" i="12"/>
  <c r="V1020" i="12"/>
  <c r="V1021" i="12"/>
  <c r="W1020" i="12"/>
  <c r="V1022" i="12"/>
  <c r="W1021" i="12"/>
  <c r="W1022" i="12"/>
  <c r="V1023" i="12"/>
  <c r="V1024" i="12"/>
  <c r="W1023" i="12"/>
  <c r="V1025" i="12"/>
  <c r="W1024" i="12"/>
  <c r="V1026" i="12"/>
  <c r="W1025" i="12"/>
  <c r="W1026" i="12"/>
  <c r="V1027" i="12"/>
  <c r="V1028" i="12"/>
  <c r="W1027" i="12"/>
  <c r="V1029" i="12"/>
  <c r="W1028" i="12"/>
  <c r="W1029" i="12"/>
  <c r="V1030" i="12"/>
  <c r="V1031" i="12"/>
  <c r="W1030" i="12"/>
  <c r="V1032" i="12"/>
  <c r="W1031" i="12"/>
  <c r="W1032" i="12"/>
  <c r="V1033" i="12"/>
  <c r="W1033" i="12"/>
  <c r="V1034" i="12"/>
  <c r="V1035" i="12"/>
  <c r="W1034" i="12"/>
  <c r="V1036" i="12"/>
  <c r="W1035" i="12"/>
  <c r="W1036" i="12"/>
  <c r="V1037" i="12"/>
  <c r="V1038" i="12"/>
  <c r="W1037" i="12"/>
  <c r="V1039" i="12"/>
  <c r="W1038" i="12"/>
  <c r="W1039" i="12"/>
  <c r="V1040" i="12"/>
  <c r="W1040" i="12"/>
  <c r="V1041" i="12"/>
  <c r="V1042" i="12"/>
  <c r="W1041" i="12"/>
  <c r="V1043" i="12"/>
  <c r="W1042" i="12"/>
  <c r="V1044" i="12"/>
  <c r="W1043" i="12"/>
  <c r="V1045" i="12"/>
  <c r="W1044" i="12"/>
  <c r="W1045" i="12"/>
  <c r="V1046" i="12"/>
  <c r="V1047" i="12"/>
  <c r="W1046" i="12"/>
  <c r="W1047" i="12"/>
  <c r="V1048" i="12"/>
  <c r="V1049" i="12"/>
  <c r="W1048" i="12"/>
  <c r="V1050" i="12"/>
  <c r="W1049" i="12"/>
  <c r="W1050" i="12"/>
  <c r="V1051" i="12"/>
  <c r="V1052" i="12"/>
  <c r="W1051" i="12"/>
  <c r="W1052" i="12"/>
  <c r="V1053" i="12"/>
  <c r="W1053" i="12"/>
  <c r="V1054" i="12"/>
  <c r="V1055" i="12"/>
  <c r="W1054" i="12"/>
  <c r="W1055" i="12"/>
  <c r="V1056" i="12"/>
  <c r="W1056" i="12"/>
  <c r="V1057" i="12"/>
  <c r="V1058" i="12"/>
  <c r="W1057" i="12"/>
  <c r="V1059" i="12"/>
  <c r="W1058" i="12"/>
  <c r="W1059" i="12"/>
  <c r="V1060" i="12"/>
  <c r="W1060" i="12"/>
  <c r="V1061" i="12"/>
  <c r="V1062" i="12"/>
  <c r="W1061" i="12"/>
  <c r="V1063" i="12"/>
  <c r="W1062" i="12"/>
  <c r="W1063" i="12"/>
  <c r="V1064" i="12"/>
  <c r="V1065" i="12"/>
  <c r="W1064" i="12"/>
  <c r="V1066" i="12"/>
  <c r="W1065" i="12"/>
  <c r="W1066" i="12"/>
  <c r="V1067" i="12"/>
  <c r="W1067" i="12"/>
  <c r="V1068" i="12"/>
  <c r="V1069" i="12"/>
  <c r="W1068" i="12"/>
  <c r="W1069" i="12"/>
  <c r="V1070" i="12"/>
  <c r="W1070" i="12"/>
  <c r="V1071" i="12"/>
  <c r="V1072" i="12"/>
  <c r="W1071" i="12"/>
  <c r="W1072" i="12"/>
  <c r="V1073" i="12"/>
  <c r="W1073" i="12"/>
  <c r="V1074" i="12"/>
  <c r="V1075" i="12"/>
  <c r="W1074" i="12"/>
  <c r="V1076" i="12"/>
  <c r="W1075" i="12"/>
  <c r="V1077" i="12"/>
  <c r="W1076" i="12"/>
  <c r="W1077" i="12"/>
  <c r="V1078" i="12"/>
  <c r="W1078" i="12"/>
  <c r="V1079" i="12"/>
  <c r="W1079" i="12"/>
  <c r="V1080" i="12"/>
  <c r="V1081" i="12"/>
  <c r="W1080" i="12"/>
  <c r="W1081" i="12"/>
  <c r="V1082" i="12"/>
  <c r="W1082" i="12"/>
  <c r="V1083" i="12"/>
  <c r="W1083" i="12"/>
  <c r="V1084" i="12"/>
  <c r="V1085" i="12"/>
  <c r="W1084" i="12"/>
  <c r="W1085" i="12"/>
  <c r="V1086" i="12"/>
  <c r="V1087" i="12"/>
  <c r="W1086" i="12"/>
  <c r="W1087" i="12"/>
  <c r="V1088" i="12"/>
  <c r="W1088" i="12"/>
  <c r="V1089" i="12"/>
  <c r="V1090" i="12"/>
  <c r="W1089" i="12"/>
  <c r="W1090" i="12"/>
  <c r="V1091" i="12"/>
  <c r="W1091" i="12"/>
  <c r="V1092" i="12"/>
  <c r="V1093" i="12"/>
  <c r="W1092" i="12"/>
  <c r="V1094" i="12"/>
  <c r="W1093" i="12"/>
  <c r="W1094" i="12"/>
  <c r="V1095" i="12"/>
  <c r="V1096" i="12"/>
  <c r="W1095" i="12"/>
  <c r="W1096" i="12"/>
  <c r="V1097" i="12"/>
  <c r="V1098" i="12"/>
  <c r="W1097" i="12"/>
  <c r="V1099" i="12"/>
  <c r="W1098" i="12"/>
  <c r="V1100" i="12"/>
  <c r="W1099" i="12"/>
  <c r="W1100" i="12"/>
  <c r="V1101" i="12"/>
  <c r="W1101" i="12"/>
  <c r="V1102" i="12"/>
  <c r="W1102" i="12"/>
  <c r="V1103" i="12"/>
  <c r="V1104" i="12"/>
  <c r="W1103" i="12"/>
  <c r="W1104" i="12"/>
  <c r="V1105" i="12"/>
  <c r="W1105" i="12"/>
  <c r="V1106" i="12"/>
  <c r="W1106" i="12"/>
  <c r="V1107" i="12"/>
  <c r="V1108" i="12"/>
  <c r="W1107" i="12"/>
  <c r="V1109" i="12"/>
  <c r="W1108" i="12"/>
  <c r="W1109" i="12"/>
  <c r="V1110" i="12"/>
  <c r="V1111" i="12"/>
  <c r="W1110" i="12"/>
  <c r="W1111" i="12"/>
  <c r="V1112" i="12"/>
  <c r="V1113" i="12"/>
  <c r="W1112" i="12"/>
  <c r="V1114" i="12"/>
  <c r="W1113" i="12"/>
  <c r="V1115" i="12"/>
  <c r="W1114" i="12"/>
  <c r="W1115" i="12"/>
  <c r="V1116" i="12"/>
  <c r="W1116" i="12"/>
  <c r="V1117" i="12"/>
  <c r="V1118" i="12"/>
  <c r="W1117" i="12"/>
  <c r="W1118" i="12"/>
  <c r="V1119" i="12"/>
  <c r="V1120" i="12"/>
  <c r="W1119" i="12"/>
  <c r="V1121" i="12"/>
  <c r="W1120" i="12"/>
  <c r="W1121" i="12"/>
  <c r="V1122" i="12"/>
  <c r="V1123" i="12"/>
  <c r="W1122" i="12"/>
  <c r="W1123" i="12"/>
  <c r="V1124" i="12"/>
  <c r="V1125" i="12"/>
  <c r="W1124" i="12"/>
  <c r="W1125" i="12"/>
  <c r="V1126" i="12"/>
  <c r="V1127" i="12"/>
  <c r="W1126" i="12"/>
  <c r="W1127" i="12"/>
  <c r="V1128" i="12"/>
  <c r="V1129" i="12"/>
  <c r="W1128" i="12"/>
  <c r="W1129" i="12"/>
  <c r="V1130" i="12"/>
  <c r="V1131" i="12"/>
  <c r="W1130" i="12"/>
  <c r="V1132" i="12"/>
  <c r="W1131" i="12"/>
  <c r="W1132" i="12"/>
  <c r="V1133" i="12"/>
  <c r="V1134" i="12"/>
  <c r="W1133" i="12"/>
  <c r="W1134" i="12"/>
  <c r="V1135" i="12"/>
  <c r="W1135" i="12"/>
  <c r="V1136" i="12"/>
  <c r="W1136" i="12"/>
  <c r="V1137" i="12"/>
  <c r="V1138" i="12"/>
  <c r="W1137" i="12"/>
  <c r="V1139" i="12"/>
  <c r="W1138" i="12"/>
  <c r="V1140" i="12"/>
  <c r="W1139" i="12"/>
  <c r="W1140" i="12"/>
  <c r="V1141" i="12"/>
  <c r="V1142" i="12"/>
  <c r="W1141" i="12"/>
  <c r="V1143" i="12"/>
  <c r="W1142" i="12"/>
  <c r="W1143" i="12"/>
  <c r="V1144" i="12"/>
  <c r="W1144" i="12"/>
  <c r="V1145" i="12"/>
  <c r="W1145" i="12"/>
  <c r="V1146" i="12"/>
  <c r="W1146" i="12"/>
  <c r="V1147" i="12"/>
  <c r="W1147" i="12"/>
  <c r="V1148" i="12"/>
  <c r="V1149" i="12"/>
  <c r="W1148" i="12"/>
  <c r="W1149" i="12"/>
  <c r="V1150" i="12"/>
  <c r="W1150" i="12"/>
  <c r="V1151" i="12"/>
  <c r="V1152" i="12"/>
  <c r="W1151" i="12"/>
  <c r="V1153" i="12"/>
  <c r="W1152" i="12"/>
  <c r="V1154" i="12"/>
  <c r="W1153" i="12"/>
  <c r="W1154" i="12"/>
  <c r="V1155" i="12"/>
  <c r="V1156" i="12"/>
  <c r="W1155" i="12"/>
  <c r="W1156" i="12"/>
  <c r="V1157" i="12"/>
  <c r="W1157" i="12"/>
  <c r="V1158" i="12"/>
  <c r="V1159" i="12"/>
  <c r="W1158" i="12"/>
  <c r="V1160" i="12"/>
  <c r="W1159" i="12"/>
  <c r="V1161" i="12"/>
  <c r="W1160" i="12"/>
  <c r="V1162" i="12"/>
  <c r="W1161" i="12"/>
  <c r="V1163" i="12"/>
  <c r="W1162" i="12"/>
  <c r="V1164" i="12"/>
  <c r="W1163" i="12"/>
  <c r="W1164" i="12"/>
  <c r="V1165" i="12"/>
  <c r="W1165" i="12"/>
  <c r="V1166" i="12"/>
  <c r="W1166" i="12"/>
  <c r="V1167" i="12"/>
  <c r="W1167" i="12"/>
  <c r="V1168" i="12"/>
  <c r="W1168" i="12"/>
  <c r="V1169" i="12"/>
  <c r="V1170" i="12"/>
  <c r="W1169" i="12"/>
  <c r="V1171" i="12"/>
  <c r="W1170" i="12"/>
  <c r="W1171" i="12"/>
  <c r="V1172" i="12"/>
  <c r="W1172" i="12"/>
  <c r="V1173" i="12"/>
  <c r="V1174" i="12"/>
  <c r="W1173" i="12"/>
  <c r="V1175" i="12"/>
  <c r="W1174" i="12"/>
  <c r="W1175" i="12"/>
  <c r="V1176" i="12"/>
  <c r="W1176" i="12"/>
  <c r="V1177" i="12"/>
  <c r="V1178" i="12"/>
  <c r="W1177" i="12"/>
  <c r="V1179" i="12"/>
  <c r="W1178" i="12"/>
  <c r="W1179" i="12"/>
  <c r="V1180" i="12"/>
  <c r="V1181" i="12"/>
  <c r="W1180" i="12"/>
  <c r="V1182" i="12"/>
  <c r="W1181" i="12"/>
  <c r="W1182" i="12"/>
  <c r="V1183" i="12"/>
  <c r="W1183" i="12"/>
  <c r="V1184" i="12"/>
  <c r="V1185" i="12"/>
  <c r="W1184" i="12"/>
  <c r="W1185" i="12"/>
  <c r="V1186" i="12"/>
  <c r="V1187" i="12"/>
  <c r="W1186" i="12"/>
  <c r="W1187" i="12"/>
  <c r="V1188" i="12"/>
  <c r="W1188" i="12"/>
  <c r="V1189" i="12"/>
  <c r="W1189" i="12"/>
  <c r="V1190" i="12"/>
  <c r="W1190" i="12"/>
  <c r="V1191" i="12"/>
  <c r="V1192" i="12"/>
  <c r="W1191" i="12"/>
  <c r="V1193" i="12"/>
  <c r="W1192" i="12"/>
  <c r="W1193" i="12"/>
  <c r="V1194" i="12"/>
  <c r="W1194" i="12"/>
  <c r="V1195" i="12"/>
  <c r="V1196" i="12"/>
  <c r="W1195" i="12"/>
  <c r="W1196" i="12"/>
  <c r="V1197" i="12"/>
  <c r="W1197" i="12"/>
  <c r="V1198" i="12"/>
  <c r="V1199" i="12"/>
  <c r="W1198" i="12"/>
  <c r="W1199" i="12"/>
  <c r="V1200" i="12"/>
  <c r="W1200" i="12"/>
  <c r="V1201" i="12"/>
  <c r="V1202" i="12"/>
  <c r="W1201" i="12"/>
  <c r="W1202" i="12"/>
  <c r="V1203" i="12"/>
  <c r="W1203" i="12"/>
  <c r="V1204" i="12"/>
  <c r="V1205" i="12"/>
  <c r="W1204" i="12"/>
  <c r="V1206" i="12"/>
  <c r="W1205" i="12"/>
  <c r="W1206" i="12"/>
  <c r="V1207" i="12"/>
  <c r="V1208" i="12"/>
  <c r="W1207" i="12"/>
  <c r="V1209" i="12"/>
  <c r="W1208" i="12"/>
  <c r="W1209" i="12"/>
  <c r="V1210" i="12"/>
  <c r="W1210" i="12"/>
  <c r="V1211" i="12"/>
  <c r="W1211" i="12"/>
  <c r="V1212" i="12"/>
  <c r="V1213" i="12"/>
  <c r="W1212" i="12"/>
  <c r="V1214" i="12"/>
  <c r="W1213" i="12"/>
  <c r="V1215" i="12"/>
  <c r="W1214" i="12"/>
  <c r="V1216" i="12"/>
  <c r="W1215" i="12"/>
  <c r="W1216" i="12"/>
  <c r="V1217" i="12"/>
  <c r="W1217" i="12"/>
  <c r="V1218" i="12"/>
  <c r="W1218" i="12"/>
  <c r="V1219" i="12"/>
  <c r="W1219" i="12"/>
  <c r="V1220" i="12"/>
  <c r="W1220" i="12"/>
  <c r="V1221" i="12"/>
  <c r="W1221" i="12"/>
  <c r="V1222" i="12"/>
  <c r="V1223" i="12"/>
  <c r="W1222" i="12"/>
  <c r="W1223" i="12"/>
  <c r="V1224" i="12"/>
  <c r="W1224" i="12"/>
  <c r="V1225" i="12"/>
  <c r="V1226" i="12"/>
  <c r="W1225" i="12"/>
  <c r="W1226" i="12"/>
  <c r="V1227" i="12"/>
  <c r="W1227" i="12"/>
  <c r="V1228" i="12"/>
  <c r="W1228" i="12"/>
  <c r="V1229" i="12"/>
  <c r="V1230" i="12"/>
  <c r="W1229" i="12"/>
  <c r="V1231" i="12"/>
  <c r="W1230" i="12"/>
  <c r="V1232" i="12"/>
  <c r="W1231" i="12"/>
  <c r="W1232" i="12"/>
  <c r="V1233" i="12"/>
  <c r="V1234" i="12"/>
  <c r="W1233" i="12"/>
  <c r="V1235" i="12"/>
  <c r="W1234" i="12"/>
  <c r="V1236" i="12"/>
  <c r="W1235" i="12"/>
  <c r="V1237" i="12"/>
  <c r="W1236" i="12"/>
  <c r="V1238" i="12"/>
  <c r="W1237" i="12"/>
  <c r="W1238" i="12"/>
  <c r="V1239" i="12"/>
  <c r="V1240" i="12"/>
  <c r="W1239" i="12"/>
  <c r="V1241" i="12"/>
  <c r="W1240" i="12"/>
  <c r="W1241" i="12"/>
  <c r="V1242" i="12"/>
  <c r="W1242" i="12"/>
  <c r="V1243" i="12"/>
  <c r="V1244" i="12"/>
  <c r="W1243" i="12"/>
  <c r="V1245" i="12"/>
  <c r="W1244" i="12"/>
  <c r="V1246" i="12"/>
  <c r="W1245" i="12"/>
  <c r="W1246" i="12"/>
  <c r="V1247" i="12"/>
  <c r="V1248" i="12"/>
  <c r="W1247" i="12"/>
  <c r="V1249" i="12"/>
  <c r="W1248" i="12"/>
  <c r="V1250" i="12"/>
  <c r="W1249" i="12"/>
  <c r="V1251" i="12"/>
  <c r="W1250" i="12"/>
  <c r="V1252" i="12"/>
  <c r="W1251" i="12"/>
  <c r="W1252" i="12"/>
  <c r="V1253" i="12"/>
  <c r="W1253" i="12"/>
  <c r="V1254" i="12"/>
  <c r="V1255" i="12"/>
  <c r="W1254" i="12"/>
  <c r="V1256" i="12"/>
  <c r="W1255" i="12"/>
  <c r="W1256" i="12"/>
  <c r="V1257" i="12"/>
  <c r="V1258" i="12"/>
  <c r="W1257" i="12"/>
  <c r="W1258" i="12"/>
  <c r="V1259" i="12"/>
  <c r="V1260" i="12"/>
  <c r="W1259" i="12"/>
  <c r="W1260" i="12"/>
  <c r="V1261" i="12"/>
  <c r="V1262" i="12"/>
  <c r="W1261" i="12"/>
  <c r="W1262" i="12"/>
  <c r="V1263" i="12"/>
  <c r="V1264" i="12"/>
  <c r="W1263" i="12"/>
  <c r="V1265" i="12"/>
  <c r="W1264" i="12"/>
  <c r="V1266" i="12"/>
  <c r="W1265" i="12"/>
  <c r="V1267" i="12"/>
  <c r="W1266" i="12"/>
  <c r="W1267" i="12"/>
  <c r="V1268" i="12"/>
  <c r="W1268" i="12"/>
  <c r="V1269" i="12"/>
  <c r="V1270" i="12"/>
  <c r="W1269" i="12"/>
  <c r="V1271" i="12"/>
  <c r="W1270" i="12"/>
  <c r="W1271" i="12"/>
  <c r="V1272" i="12"/>
  <c r="W1272" i="12"/>
  <c r="V1273" i="12"/>
  <c r="W1273" i="12"/>
  <c r="V1274" i="12"/>
  <c r="V1275" i="12"/>
  <c r="W1274" i="12"/>
  <c r="W1275" i="12"/>
  <c r="V1276" i="12"/>
  <c r="V1277" i="12"/>
  <c r="W1276" i="12"/>
  <c r="V1278" i="12"/>
  <c r="W1277" i="12"/>
  <c r="V1279" i="12"/>
  <c r="W1278" i="12"/>
  <c r="W1279" i="12"/>
  <c r="V1280" i="12"/>
  <c r="V1281" i="12"/>
  <c r="W1280" i="12"/>
  <c r="W1281" i="12"/>
  <c r="V1282" i="12"/>
  <c r="V1283" i="12"/>
  <c r="W1282" i="12"/>
  <c r="W1283" i="12"/>
  <c r="V1284" i="12"/>
  <c r="V1285" i="12"/>
  <c r="W1284" i="12"/>
  <c r="V1286" i="12"/>
  <c r="W1285" i="12"/>
  <c r="V1287" i="12"/>
  <c r="W1286" i="12"/>
  <c r="W1287" i="12"/>
  <c r="V1288" i="12"/>
  <c r="W1288" i="12"/>
  <c r="V1289" i="12"/>
  <c r="W1289" i="12"/>
  <c r="V1290" i="12"/>
  <c r="W1290" i="12"/>
  <c r="V1291" i="12"/>
  <c r="W1291" i="12"/>
  <c r="V1292" i="12"/>
  <c r="V1293" i="12"/>
  <c r="W1292" i="12"/>
  <c r="V1294" i="12"/>
  <c r="W1293" i="12"/>
  <c r="V1295" i="12"/>
  <c r="W1294" i="12"/>
  <c r="W1295" i="12"/>
  <c r="V1296" i="12"/>
  <c r="W1296" i="12"/>
  <c r="V1297" i="12"/>
  <c r="W1297" i="12"/>
  <c r="V1298" i="12"/>
  <c r="W1298" i="12"/>
  <c r="V1299" i="12"/>
  <c r="V1300" i="12"/>
  <c r="W1299" i="12"/>
  <c r="V1301" i="12"/>
  <c r="W1300" i="12"/>
  <c r="V1302" i="12"/>
  <c r="W1301" i="12"/>
  <c r="V1303" i="12"/>
  <c r="W1302" i="12"/>
  <c r="W1303" i="12"/>
  <c r="V1304" i="12"/>
  <c r="V1305" i="12"/>
  <c r="W1304" i="12"/>
  <c r="W1305" i="12"/>
  <c r="V1306" i="12"/>
  <c r="V1307" i="12"/>
  <c r="W1306" i="12"/>
  <c r="V1308" i="12"/>
  <c r="W1307" i="12"/>
  <c r="V1309" i="12"/>
  <c r="W1308" i="12"/>
  <c r="W1309" i="12"/>
  <c r="V1310" i="12"/>
  <c r="W1310" i="12"/>
  <c r="V1311" i="12"/>
  <c r="V1312" i="12"/>
  <c r="W1311" i="12"/>
  <c r="V1313" i="12"/>
  <c r="W1312" i="12"/>
  <c r="W1313" i="12"/>
  <c r="V1314" i="12"/>
  <c r="W1314" i="12"/>
  <c r="V1315" i="12"/>
  <c r="V1316" i="12"/>
  <c r="W1315" i="12"/>
  <c r="W1316" i="12"/>
  <c r="V1317" i="12"/>
  <c r="V1318" i="12"/>
  <c r="W1317" i="12"/>
  <c r="W1318" i="12"/>
  <c r="V1319" i="12"/>
  <c r="V1320" i="12"/>
  <c r="W1319" i="12"/>
  <c r="W1320" i="12"/>
  <c r="V1321" i="12"/>
  <c r="W1321" i="12"/>
  <c r="V1322" i="12"/>
  <c r="W1322" i="12"/>
  <c r="V1323" i="12"/>
  <c r="V1324" i="12"/>
  <c r="W1323" i="12"/>
  <c r="V1325" i="12"/>
  <c r="W1324" i="12"/>
  <c r="W1325" i="12"/>
  <c r="V1326" i="12"/>
  <c r="W1326" i="12"/>
  <c r="V1327" i="12"/>
  <c r="W1327" i="12"/>
  <c r="V1328" i="12"/>
  <c r="W1328" i="12"/>
  <c r="V1329" i="12"/>
  <c r="V1330" i="12"/>
  <c r="W1329" i="12"/>
  <c r="V1331" i="12"/>
  <c r="W1330" i="12"/>
  <c r="W1331" i="12"/>
  <c r="V1332" i="12"/>
  <c r="W1332" i="12"/>
  <c r="V1333" i="12"/>
  <c r="V1334" i="12"/>
  <c r="W1333" i="12"/>
  <c r="V1335" i="12"/>
  <c r="W1334" i="12"/>
  <c r="W1335" i="12"/>
  <c r="V1336" i="12"/>
  <c r="W1336" i="12"/>
  <c r="V1337" i="12"/>
  <c r="W1337" i="12"/>
  <c r="V1338" i="12"/>
  <c r="W1338" i="12"/>
  <c r="V1339" i="12"/>
  <c r="V1340" i="12"/>
  <c r="W1339" i="12"/>
  <c r="V1341" i="12"/>
  <c r="W1340" i="12"/>
  <c r="W1341" i="12"/>
  <c r="V1342" i="12"/>
  <c r="V1343" i="12"/>
  <c r="W1342" i="12"/>
  <c r="V1344" i="12"/>
  <c r="W1343" i="12"/>
  <c r="V1345" i="12"/>
  <c r="W1344" i="12"/>
  <c r="V1346" i="12"/>
  <c r="W1345" i="12"/>
  <c r="W1346" i="12"/>
  <c r="V1347" i="12"/>
  <c r="V1348" i="12"/>
  <c r="W1347" i="12"/>
  <c r="V1349" i="12"/>
  <c r="W1348" i="12"/>
  <c r="V1350" i="12"/>
  <c r="W1349" i="12"/>
  <c r="W1350" i="12"/>
  <c r="V1351" i="12"/>
  <c r="V1352" i="12"/>
  <c r="W1351" i="12"/>
  <c r="V1353" i="12"/>
  <c r="W1352" i="12"/>
  <c r="V1354" i="12"/>
  <c r="W1353" i="12"/>
  <c r="V1355" i="12"/>
  <c r="W1354" i="12"/>
  <c r="W1355" i="12"/>
  <c r="V1356" i="12"/>
  <c r="W1356" i="12"/>
  <c r="V1357" i="12"/>
  <c r="V1358" i="12"/>
  <c r="W1357" i="12"/>
  <c r="V1359" i="12"/>
  <c r="W1358" i="12"/>
  <c r="W1359" i="12"/>
  <c r="V1360" i="12"/>
  <c r="V1361" i="12"/>
  <c r="W1360" i="12"/>
  <c r="V1362" i="12"/>
  <c r="W1361" i="12"/>
  <c r="W1362" i="12"/>
  <c r="V1363" i="12"/>
  <c r="W1363" i="12"/>
  <c r="V1364" i="12"/>
  <c r="V1365" i="12"/>
  <c r="W1364" i="12"/>
  <c r="W1365" i="12"/>
  <c r="V1366" i="12"/>
  <c r="W1366" i="12"/>
  <c r="V1367" i="12"/>
  <c r="V1368" i="12"/>
  <c r="W1367" i="12"/>
  <c r="W1368" i="12"/>
  <c r="V1369" i="12"/>
  <c r="W1369" i="12"/>
  <c r="V1370" i="12"/>
  <c r="V1371" i="12"/>
  <c r="W1370" i="12"/>
  <c r="V1372" i="12"/>
  <c r="W1371" i="12"/>
  <c r="V1373" i="12"/>
  <c r="W1372" i="12"/>
  <c r="W1373" i="12"/>
  <c r="V1374" i="12"/>
  <c r="V1375" i="12"/>
  <c r="W1374" i="12"/>
  <c r="W1375" i="12"/>
  <c r="V1376" i="12"/>
  <c r="V1377" i="12"/>
  <c r="W1376" i="12"/>
  <c r="V1378" i="12"/>
  <c r="W1377" i="12"/>
  <c r="V1379" i="12"/>
  <c r="W1378" i="12"/>
  <c r="V1380" i="12"/>
  <c r="W1379" i="12"/>
  <c r="W1380" i="12"/>
  <c r="V1381" i="12"/>
  <c r="V1382" i="12"/>
  <c r="W1381" i="12"/>
  <c r="V1383" i="12"/>
  <c r="W1382" i="12"/>
  <c r="V1384" i="12"/>
  <c r="W1383" i="12"/>
  <c r="V1385" i="12"/>
  <c r="W1384" i="12"/>
  <c r="V1386" i="12"/>
  <c r="W1385" i="12"/>
  <c r="V1387" i="12"/>
  <c r="W1386" i="12"/>
  <c r="V1388" i="12"/>
  <c r="W1387" i="12"/>
  <c r="W1388" i="12"/>
  <c r="V1389" i="12"/>
  <c r="V1390" i="12"/>
  <c r="W1389" i="12"/>
  <c r="W1390" i="12"/>
  <c r="V1391" i="12"/>
  <c r="W1391" i="12"/>
  <c r="V1392" i="12"/>
  <c r="W1392" i="12"/>
  <c r="V1393" i="12"/>
  <c r="W1393" i="12"/>
  <c r="V1394" i="12"/>
  <c r="W1394" i="12"/>
  <c r="V1395" i="12"/>
  <c r="W1395" i="12"/>
  <c r="V1396" i="12"/>
  <c r="W1396" i="12"/>
  <c r="V1397" i="12"/>
  <c r="W1397" i="12"/>
  <c r="V1398" i="12"/>
  <c r="W1398" i="12"/>
  <c r="V1399" i="12"/>
  <c r="W1399" i="12"/>
  <c r="V1400" i="12"/>
  <c r="V1401" i="12"/>
  <c r="W1400" i="12"/>
  <c r="W1401" i="12"/>
  <c r="V1402" i="12"/>
  <c r="V1403" i="12"/>
  <c r="W1402" i="12"/>
  <c r="W1403" i="12"/>
  <c r="V1404" i="12"/>
  <c r="W1404" i="12"/>
  <c r="V1405" i="12"/>
  <c r="W1405" i="12"/>
  <c r="V1406" i="12"/>
  <c r="W1406" i="12"/>
  <c r="V1407" i="12"/>
  <c r="W1407" i="12"/>
  <c r="V1408" i="12"/>
  <c r="W1408" i="12"/>
  <c r="V1409" i="12"/>
  <c r="W1409" i="12"/>
  <c r="V1410" i="12"/>
  <c r="W1410" i="12"/>
  <c r="V1411" i="12"/>
  <c r="W1411" i="12"/>
  <c r="V1412" i="12"/>
  <c r="W1412" i="12"/>
  <c r="V1413" i="12"/>
  <c r="V1414" i="12"/>
  <c r="W1413" i="12"/>
  <c r="W1414" i="12"/>
  <c r="V1415" i="12"/>
  <c r="V1416" i="12"/>
  <c r="W1415" i="12"/>
  <c r="W1416" i="12"/>
  <c r="V1417" i="12"/>
  <c r="V1418" i="12"/>
  <c r="W1417" i="12"/>
  <c r="W1418" i="12"/>
  <c r="V1419" i="12"/>
  <c r="W1419" i="12"/>
  <c r="V1420" i="12"/>
  <c r="V1421" i="12"/>
  <c r="W1420" i="12"/>
  <c r="V1422" i="12"/>
  <c r="W1421" i="12"/>
  <c r="V1423" i="12"/>
  <c r="W1422" i="12"/>
  <c r="W1423" i="12"/>
  <c r="V1424" i="12"/>
  <c r="W1424" i="12"/>
  <c r="V1425" i="12"/>
  <c r="V1426" i="12"/>
  <c r="W1425" i="12"/>
  <c r="W1426" i="12"/>
  <c r="V1427" i="12"/>
  <c r="V1428" i="12"/>
  <c r="W1427" i="12"/>
  <c r="W1428" i="12"/>
  <c r="V1429" i="12"/>
  <c r="V1430" i="12"/>
  <c r="W1429" i="12"/>
  <c r="V1431" i="12"/>
  <c r="W1430" i="12"/>
  <c r="W1431" i="12"/>
  <c r="V1432" i="12"/>
  <c r="V1433" i="12"/>
  <c r="W1432" i="12"/>
  <c r="W1433" i="12"/>
  <c r="V1434" i="12"/>
  <c r="V1435" i="12"/>
  <c r="W1434" i="12"/>
  <c r="W1435" i="12"/>
  <c r="V1436" i="12"/>
  <c r="V1437" i="12"/>
  <c r="W1436" i="12"/>
  <c r="W1437" i="12"/>
  <c r="V1438" i="12"/>
  <c r="W1438" i="12"/>
  <c r="V1439" i="12"/>
  <c r="W1439" i="12"/>
  <c r="V1440" i="12"/>
  <c r="W1440" i="12"/>
  <c r="V1441" i="12"/>
  <c r="V1442" i="12"/>
  <c r="W1441" i="12"/>
  <c r="W1442" i="12"/>
  <c r="V1443" i="12"/>
  <c r="V1444" i="12"/>
  <c r="W1443" i="12"/>
  <c r="V1445" i="12"/>
  <c r="W1444" i="12"/>
  <c r="V1446" i="12"/>
  <c r="W1445" i="12"/>
  <c r="W1446" i="12"/>
  <c r="V1447" i="12"/>
  <c r="V1448" i="12"/>
  <c r="W1447" i="12"/>
  <c r="V1449" i="12"/>
  <c r="W1448" i="12"/>
  <c r="V1450" i="12"/>
  <c r="W1449" i="12"/>
  <c r="V1451" i="12"/>
  <c r="W1450" i="12"/>
  <c r="W1451" i="12"/>
  <c r="V1452" i="12"/>
  <c r="W1452" i="12"/>
  <c r="V1453" i="12"/>
  <c r="V1454" i="12"/>
  <c r="W1453" i="12"/>
  <c r="W1454" i="12"/>
  <c r="V1455" i="12"/>
  <c r="V1456" i="12"/>
  <c r="W1455" i="12"/>
  <c r="W1456" i="12"/>
  <c r="V1457" i="12"/>
  <c r="W1457" i="12"/>
  <c r="V1458" i="12"/>
  <c r="W1458" i="12"/>
  <c r="V1459" i="12"/>
  <c r="W1459" i="12"/>
  <c r="V1460" i="12"/>
  <c r="V1461" i="12"/>
  <c r="W1460" i="12"/>
  <c r="V1462" i="12"/>
  <c r="W1461" i="12"/>
  <c r="V1463" i="12"/>
  <c r="W1462" i="12"/>
  <c r="W1463" i="12"/>
  <c r="V1464" i="12"/>
  <c r="V1465" i="12"/>
  <c r="W1464" i="12"/>
  <c r="V1466" i="12"/>
  <c r="W1465" i="12"/>
  <c r="V1467" i="12"/>
  <c r="W1466" i="12"/>
  <c r="V1468" i="12"/>
  <c r="W1467" i="12"/>
  <c r="V1469" i="12"/>
  <c r="W1468" i="12"/>
  <c r="V1470" i="12"/>
  <c r="W1469" i="12"/>
  <c r="V1471" i="12"/>
  <c r="W1470" i="12"/>
  <c r="W1471" i="12"/>
  <c r="V1472" i="12"/>
  <c r="V1473" i="12"/>
  <c r="W1472" i="12"/>
  <c r="V1474" i="12"/>
  <c r="W1473" i="12"/>
  <c r="V1475" i="12"/>
  <c r="W1474" i="12"/>
  <c r="W1475" i="12"/>
  <c r="V1476" i="12"/>
  <c r="V1477" i="12"/>
  <c r="W1476" i="12"/>
  <c r="V1478" i="12"/>
  <c r="W1477" i="12"/>
  <c r="V1479" i="12"/>
  <c r="W1478" i="12"/>
  <c r="W1479" i="12"/>
  <c r="V1480" i="12"/>
  <c r="W1480" i="12"/>
  <c r="V1481" i="12"/>
  <c r="W1481" i="12"/>
  <c r="V1482" i="12"/>
  <c r="W1482" i="12"/>
  <c r="V1483" i="12"/>
  <c r="V1484" i="12"/>
  <c r="W1483" i="12"/>
  <c r="V1485" i="12"/>
  <c r="W1484" i="12"/>
  <c r="W1485" i="12"/>
  <c r="V1486" i="12"/>
  <c r="W1486" i="12"/>
  <c r="V1487" i="12"/>
  <c r="V1488" i="12"/>
  <c r="W1487" i="12"/>
  <c r="V1489" i="12"/>
  <c r="W1488" i="12"/>
  <c r="V1490" i="12"/>
  <c r="W1489" i="12"/>
  <c r="V1491" i="12"/>
  <c r="W1490" i="12"/>
  <c r="V1492" i="12"/>
  <c r="W1491" i="12"/>
  <c r="W1492" i="12"/>
  <c r="V1493" i="12"/>
  <c r="W1493" i="12"/>
  <c r="V1494" i="12"/>
  <c r="W1494" i="12"/>
  <c r="V1495" i="12"/>
  <c r="W1495" i="12"/>
  <c r="V1496" i="12"/>
  <c r="W1496" i="12"/>
  <c r="V1497" i="12"/>
  <c r="W1497" i="12"/>
  <c r="V1498" i="12"/>
  <c r="V1499" i="12"/>
  <c r="W1498" i="12"/>
  <c r="W1499" i="12"/>
  <c r="V1500" i="12"/>
  <c r="W1500" i="12"/>
  <c r="V1501" i="12"/>
  <c r="V1502" i="12"/>
  <c r="W1501" i="12"/>
  <c r="W1502" i="12"/>
  <c r="V1503" i="12"/>
  <c r="V1504" i="12"/>
  <c r="W1503" i="12"/>
  <c r="W1504" i="12"/>
  <c r="V1505" i="12"/>
  <c r="W1505" i="12"/>
  <c r="V1506" i="12"/>
  <c r="W1506" i="12"/>
  <c r="V1507" i="12"/>
  <c r="W1507" i="12"/>
  <c r="V1508" i="12"/>
  <c r="V1509" i="12"/>
  <c r="W1508" i="12"/>
  <c r="W1509" i="12"/>
  <c r="V1510" i="12"/>
  <c r="V1511" i="12"/>
  <c r="W1510" i="12"/>
  <c r="V1512" i="12"/>
  <c r="W1511" i="12"/>
  <c r="V1513" i="12"/>
  <c r="W1512" i="12"/>
  <c r="V1514" i="12"/>
  <c r="W1513" i="12"/>
  <c r="V1515" i="12"/>
  <c r="W1514" i="12"/>
  <c r="V1516" i="12"/>
  <c r="W1515" i="12"/>
  <c r="W1516" i="12"/>
  <c r="V1517" i="12"/>
  <c r="W1517" i="12"/>
  <c r="V1518" i="12"/>
  <c r="V1519" i="12"/>
  <c r="W1518" i="12"/>
  <c r="W1519" i="12"/>
  <c r="V1520" i="12"/>
  <c r="W1520" i="12"/>
  <c r="V1521" i="12"/>
  <c r="W1521" i="12"/>
  <c r="V1522" i="12"/>
  <c r="W1522" i="12"/>
  <c r="V1523" i="12"/>
  <c r="W1523" i="12"/>
  <c r="V1524" i="12"/>
  <c r="W1524" i="12"/>
  <c r="V1525" i="12"/>
  <c r="V1526" i="12"/>
  <c r="W1525" i="12"/>
  <c r="W1526" i="12"/>
  <c r="V1527" i="12"/>
  <c r="V1528" i="12"/>
  <c r="W1527" i="12"/>
  <c r="V1529" i="12"/>
  <c r="W1528" i="12"/>
  <c r="V1530" i="12"/>
  <c r="W1529" i="12"/>
  <c r="V1531" i="12"/>
  <c r="W1530" i="12"/>
  <c r="V1532" i="12"/>
  <c r="W1531" i="12"/>
  <c r="V1533" i="12"/>
  <c r="W1532" i="12"/>
  <c r="W1533" i="12"/>
  <c r="V1534" i="12"/>
  <c r="W1534" i="12"/>
  <c r="V1535" i="12"/>
  <c r="V1536" i="12"/>
  <c r="W1535" i="12"/>
  <c r="W1536" i="12"/>
  <c r="V1537" i="12"/>
  <c r="W1537" i="12"/>
  <c r="V1538" i="12"/>
  <c r="V1539" i="12"/>
  <c r="W1538" i="12"/>
  <c r="W1539" i="12"/>
  <c r="V1540" i="12"/>
  <c r="V1541" i="12"/>
  <c r="W1540" i="12"/>
  <c r="V1542" i="12"/>
  <c r="W1541" i="12"/>
  <c r="W1542" i="12"/>
  <c r="V1543" i="12"/>
  <c r="V1544" i="12"/>
  <c r="W1543" i="12"/>
  <c r="W1544" i="12"/>
  <c r="V1545" i="12"/>
  <c r="V1546" i="12"/>
  <c r="W1545" i="12"/>
  <c r="W1546" i="12"/>
  <c r="V1547" i="12"/>
  <c r="W1547" i="12"/>
  <c r="V1548" i="12"/>
  <c r="V1549" i="12"/>
  <c r="W1548" i="12"/>
  <c r="V1550" i="12"/>
  <c r="W1549" i="12"/>
  <c r="V1551" i="12"/>
  <c r="W1550" i="12"/>
  <c r="W1551" i="12"/>
  <c r="V1552" i="12"/>
  <c r="W1552" i="12"/>
  <c r="V1553" i="12"/>
  <c r="V1554" i="12"/>
  <c r="W1553" i="12"/>
  <c r="V1555" i="12"/>
  <c r="W1554" i="12"/>
  <c r="V1556" i="12"/>
  <c r="W1555" i="12"/>
  <c r="W1556" i="12"/>
  <c r="V1557" i="12"/>
  <c r="V1558" i="12"/>
  <c r="W1557" i="12"/>
  <c r="W1558" i="12"/>
  <c r="V1559" i="12"/>
  <c r="V1560" i="12"/>
  <c r="W1559" i="12"/>
  <c r="V1561" i="12"/>
  <c r="W1560" i="12"/>
  <c r="W1561" i="12"/>
  <c r="V1562" i="12"/>
  <c r="W1562" i="12"/>
  <c r="V1563" i="12"/>
  <c r="V1564" i="12"/>
  <c r="W1563" i="12"/>
  <c r="W1564" i="12"/>
  <c r="V1565" i="12"/>
  <c r="V1566" i="12"/>
  <c r="W1565" i="12"/>
  <c r="W1566" i="12"/>
  <c r="V1567" i="12"/>
  <c r="V1568" i="12"/>
  <c r="W1567" i="12"/>
  <c r="V1569" i="12"/>
  <c r="W1568" i="12"/>
  <c r="W1569" i="12"/>
  <c r="V1570" i="12"/>
  <c r="V1571" i="12"/>
  <c r="W1570" i="12"/>
  <c r="W1571" i="12"/>
  <c r="V1572" i="12"/>
  <c r="W1572" i="12"/>
  <c r="V1573" i="12"/>
  <c r="V1574" i="12"/>
  <c r="W1573" i="12"/>
  <c r="V1575" i="12"/>
  <c r="W1574" i="12"/>
  <c r="V1576" i="12"/>
  <c r="W1575" i="12"/>
  <c r="V1577" i="12"/>
  <c r="W1576" i="12"/>
  <c r="W1577" i="12"/>
  <c r="V1578" i="12"/>
  <c r="V1579" i="12"/>
  <c r="W1578" i="12"/>
  <c r="W1579" i="12"/>
  <c r="V1580" i="12"/>
  <c r="W1580" i="12"/>
  <c r="V1581" i="12"/>
  <c r="V1582" i="12"/>
  <c r="W1581" i="12"/>
  <c r="V1583" i="12"/>
  <c r="W1582" i="12"/>
  <c r="W1583" i="12"/>
  <c r="V1584" i="12"/>
  <c r="W1584" i="12"/>
  <c r="V1585" i="12"/>
  <c r="V1586" i="12"/>
  <c r="W1585" i="12"/>
  <c r="V1587" i="12"/>
  <c r="W1586" i="12"/>
  <c r="W1587" i="12"/>
  <c r="V1588" i="12"/>
  <c r="V1589" i="12"/>
  <c r="W1588" i="12"/>
  <c r="W1589" i="12"/>
  <c r="V1590" i="12"/>
  <c r="V1591" i="12"/>
  <c r="W1590" i="12"/>
  <c r="W1591" i="12"/>
  <c r="V1592" i="12"/>
  <c r="V1593" i="12"/>
  <c r="W1592" i="12"/>
  <c r="V1594" i="12"/>
  <c r="W1593" i="12"/>
  <c r="V1595" i="12"/>
  <c r="W1594" i="12"/>
  <c r="V1596" i="12"/>
  <c r="W1595" i="12"/>
  <c r="W1596" i="12"/>
  <c r="V1597" i="12"/>
  <c r="V1598" i="12"/>
  <c r="W1597" i="12"/>
  <c r="W1598" i="12"/>
  <c r="V1599" i="12"/>
  <c r="V1600" i="12"/>
  <c r="W1599" i="12"/>
  <c r="V1601" i="12"/>
  <c r="W1600" i="12"/>
  <c r="V1602" i="12"/>
  <c r="W1601" i="12"/>
  <c r="W1602" i="12"/>
  <c r="V1603" i="12"/>
  <c r="V1604" i="12"/>
  <c r="W1603" i="12"/>
  <c r="V1605" i="12"/>
  <c r="W1604" i="12"/>
  <c r="V1606" i="12"/>
  <c r="W1605" i="12"/>
  <c r="V1607" i="12"/>
  <c r="W1606" i="12"/>
  <c r="W1607" i="12"/>
  <c r="V1608" i="12"/>
  <c r="W1608" i="12"/>
  <c r="V1609" i="12"/>
  <c r="W1609" i="12"/>
  <c r="V1610" i="12"/>
  <c r="V1611" i="12"/>
  <c r="W1610" i="12"/>
  <c r="V1612" i="12"/>
  <c r="W1611" i="12"/>
  <c r="W1612" i="12"/>
  <c r="V1613" i="12"/>
  <c r="W1613" i="12"/>
  <c r="V1614" i="12"/>
  <c r="W1614" i="12"/>
  <c r="V1615" i="12"/>
  <c r="V1616" i="12"/>
  <c r="W1615" i="12"/>
  <c r="V1617" i="12"/>
  <c r="W1616" i="12"/>
  <c r="W1617" i="12"/>
  <c r="V1618" i="12"/>
  <c r="W1618" i="12"/>
  <c r="V1619" i="12"/>
  <c r="W1619" i="12"/>
  <c r="V1620" i="12"/>
  <c r="V1621" i="12"/>
  <c r="W1620" i="12"/>
  <c r="V1622" i="12"/>
  <c r="W1621" i="12"/>
  <c r="W1622" i="12"/>
  <c r="V1623" i="12"/>
  <c r="V1624" i="12"/>
  <c r="W1623" i="12"/>
  <c r="V1625" i="12"/>
  <c r="W1624" i="12"/>
  <c r="V1626" i="12"/>
  <c r="W1625" i="12"/>
  <c r="V1627" i="12"/>
  <c r="W1626" i="12"/>
  <c r="W1627" i="12"/>
  <c r="V1628" i="12"/>
  <c r="V1629" i="12"/>
  <c r="W1628" i="12"/>
  <c r="V1630" i="12"/>
  <c r="W1629" i="12"/>
  <c r="W1630" i="12"/>
  <c r="V1631" i="12"/>
  <c r="V1632" i="12"/>
  <c r="W1631" i="12"/>
  <c r="V1633" i="12"/>
  <c r="W1632" i="12"/>
  <c r="V1634" i="12"/>
  <c r="W1633" i="12"/>
  <c r="W1634" i="12"/>
  <c r="V1635" i="12"/>
  <c r="W1635" i="12"/>
  <c r="V1636" i="12"/>
  <c r="V1637" i="12"/>
  <c r="W1636" i="12"/>
  <c r="V1638" i="12"/>
  <c r="W1637" i="12"/>
  <c r="V1639" i="12"/>
  <c r="W1638" i="12"/>
  <c r="W1639" i="12"/>
  <c r="V1640" i="12"/>
  <c r="V1641" i="12"/>
  <c r="W1640" i="12"/>
  <c r="W1641" i="12"/>
  <c r="V1642" i="12"/>
  <c r="W1642" i="12"/>
  <c r="V1643" i="12"/>
  <c r="V1644" i="12"/>
  <c r="W1643" i="12"/>
  <c r="V1645" i="12"/>
  <c r="W1644" i="12"/>
  <c r="V1646" i="12"/>
  <c r="W1645" i="12"/>
  <c r="W1646" i="12"/>
  <c r="V1647" i="12"/>
  <c r="V1648" i="12"/>
  <c r="W1647" i="12"/>
  <c r="V1649" i="12"/>
  <c r="W1648" i="12"/>
  <c r="V1650" i="12"/>
  <c r="W1649" i="12"/>
  <c r="W1650" i="12"/>
  <c r="V1651" i="12"/>
  <c r="W1651" i="12"/>
  <c r="V1652" i="12"/>
  <c r="V1653" i="12"/>
  <c r="W1652" i="12"/>
  <c r="V1654" i="12"/>
  <c r="W1653" i="12"/>
  <c r="W1654" i="12"/>
  <c r="V1655" i="12"/>
  <c r="W1655" i="12"/>
  <c r="V1656" i="12"/>
  <c r="W1656" i="12"/>
  <c r="V1657" i="12"/>
  <c r="V1658" i="12"/>
  <c r="W1657" i="12"/>
  <c r="V1659" i="12"/>
  <c r="W1658" i="12"/>
  <c r="W1659" i="12"/>
  <c r="V1660" i="12"/>
  <c r="W1660" i="12"/>
  <c r="V1661" i="12"/>
  <c r="V1662" i="12"/>
  <c r="W1661" i="12"/>
  <c r="V1663" i="12"/>
  <c r="W1662" i="12"/>
  <c r="V1664" i="12"/>
  <c r="W1663" i="12"/>
  <c r="V1665" i="12"/>
  <c r="W1664" i="12"/>
  <c r="V1666" i="12"/>
  <c r="W1665" i="12"/>
  <c r="W1666" i="12"/>
  <c r="V1667" i="12"/>
  <c r="W1667" i="12"/>
  <c r="V1668" i="12"/>
  <c r="V1669" i="12"/>
  <c r="W1668" i="12"/>
  <c r="V1670" i="12"/>
  <c r="W1669" i="12"/>
  <c r="W1670" i="12"/>
  <c r="V1671" i="12"/>
  <c r="V1672" i="12"/>
  <c r="W1671" i="12"/>
  <c r="V1673" i="12"/>
  <c r="W1672" i="12"/>
  <c r="W1673" i="12"/>
  <c r="V1674" i="12"/>
  <c r="W1674" i="12"/>
  <c r="V1675" i="12"/>
  <c r="V1676" i="12"/>
  <c r="W1675" i="12"/>
  <c r="V1677" i="12"/>
  <c r="W1676" i="12"/>
  <c r="W1677" i="12"/>
  <c r="V1678" i="12"/>
  <c r="V1679" i="12"/>
  <c r="W1678" i="12"/>
  <c r="V1680" i="12"/>
  <c r="W1679" i="12"/>
  <c r="W1680" i="12"/>
  <c r="V1681" i="12"/>
  <c r="V1682" i="12"/>
  <c r="W1681" i="12"/>
  <c r="V1683" i="12"/>
  <c r="W1682" i="12"/>
  <c r="W1683" i="12"/>
  <c r="V1684" i="12"/>
  <c r="V1685" i="12"/>
  <c r="W1684" i="12"/>
  <c r="V1686" i="12"/>
  <c r="W1685" i="12"/>
  <c r="W1686" i="12"/>
  <c r="V1687" i="12"/>
  <c r="W1687" i="12"/>
  <c r="V1688" i="12"/>
  <c r="V1689" i="12"/>
  <c r="W1688" i="12"/>
  <c r="W1689" i="12"/>
  <c r="V1690" i="12"/>
  <c r="W1690" i="12"/>
  <c r="V1691" i="12"/>
  <c r="W1691" i="12"/>
  <c r="V1692" i="12"/>
  <c r="V1693" i="12"/>
  <c r="W1692" i="12"/>
  <c r="W1693" i="12"/>
  <c r="V1694" i="12"/>
  <c r="W1694" i="12"/>
  <c r="V1695" i="12"/>
  <c r="V1696" i="12"/>
  <c r="W1695" i="12"/>
  <c r="W1696" i="12"/>
  <c r="V1697" i="12"/>
  <c r="V1698" i="12"/>
  <c r="W1697" i="12"/>
  <c r="W1698" i="12"/>
  <c r="V1699" i="12"/>
  <c r="V1700" i="12"/>
  <c r="W1699" i="12"/>
  <c r="W1700" i="12"/>
  <c r="V1701" i="12"/>
  <c r="W1701" i="12"/>
  <c r="V1702" i="12"/>
  <c r="V1703" i="12"/>
  <c r="W1702" i="12"/>
  <c r="W1703" i="12"/>
  <c r="V1704" i="12"/>
  <c r="V1705" i="12"/>
  <c r="W1704" i="12"/>
  <c r="W1705" i="12"/>
  <c r="V1706" i="12"/>
  <c r="W1706" i="12"/>
  <c r="V1707" i="12"/>
  <c r="V1708" i="12"/>
  <c r="W1707" i="12"/>
  <c r="V1709" i="12"/>
  <c r="W1708" i="12"/>
  <c r="V1710" i="12"/>
  <c r="W1709" i="12"/>
  <c r="W1710" i="12"/>
  <c r="V1711" i="12"/>
  <c r="V1712" i="12"/>
  <c r="W1711" i="12"/>
  <c r="V1713" i="12"/>
  <c r="W1712" i="12"/>
  <c r="V1714" i="12"/>
  <c r="W1713" i="12"/>
  <c r="V1715" i="12"/>
  <c r="W1714" i="12"/>
  <c r="W1715" i="12"/>
  <c r="V1716" i="12"/>
  <c r="W1716" i="12"/>
  <c r="V1717" i="12"/>
  <c r="W1717" i="12"/>
  <c r="V1718" i="12"/>
  <c r="V1719" i="12"/>
  <c r="W1718" i="12"/>
  <c r="W1719" i="12"/>
  <c r="V1720" i="12"/>
  <c r="W1720" i="12"/>
  <c r="V1721" i="12"/>
  <c r="W1721" i="12"/>
  <c r="V1722" i="12"/>
  <c r="V1723" i="12"/>
  <c r="W1722" i="12"/>
  <c r="V1724" i="12"/>
  <c r="W1723" i="12"/>
  <c r="W1724" i="12"/>
  <c r="V1725" i="12"/>
  <c r="W1725" i="12"/>
  <c r="V1726" i="12"/>
  <c r="W1726" i="12"/>
  <c r="V1727" i="12"/>
  <c r="W1727" i="12"/>
  <c r="V1728" i="12"/>
  <c r="W1728" i="12"/>
  <c r="V1729" i="12"/>
  <c r="V1730" i="12"/>
  <c r="W1729" i="12"/>
  <c r="W1730" i="12"/>
  <c r="V1731" i="12"/>
  <c r="V1732" i="12"/>
  <c r="W1731" i="12"/>
  <c r="W1732" i="12"/>
  <c r="V1733" i="12"/>
  <c r="V1734" i="12"/>
  <c r="W1733" i="12"/>
  <c r="V1735" i="12"/>
  <c r="W1734" i="12"/>
  <c r="V1736" i="12"/>
  <c r="W1735" i="12"/>
  <c r="W1736" i="12"/>
  <c r="V1737" i="12"/>
  <c r="W1737" i="12"/>
  <c r="V1738" i="12"/>
  <c r="V1739" i="12"/>
  <c r="W1738" i="12"/>
  <c r="V1740" i="12"/>
  <c r="W1739" i="12"/>
  <c r="V1741" i="12"/>
  <c r="W1740" i="12"/>
  <c r="W1741" i="12"/>
  <c r="V1742" i="12"/>
  <c r="W1742" i="12"/>
  <c r="V1743" i="12"/>
  <c r="V1744" i="12"/>
  <c r="W1743" i="12"/>
  <c r="V1745" i="12"/>
  <c r="W1744" i="12"/>
  <c r="W1745" i="12"/>
  <c r="V1746" i="12"/>
  <c r="W1746" i="12"/>
  <c r="V1747" i="12"/>
  <c r="W1747" i="12"/>
  <c r="V1748" i="12"/>
  <c r="V1749" i="12"/>
  <c r="W1748" i="12"/>
  <c r="V1750" i="12"/>
  <c r="W1749" i="12"/>
  <c r="W1750" i="12"/>
  <c r="V1751" i="12"/>
  <c r="W1751" i="12"/>
  <c r="V1752" i="12"/>
  <c r="W1752" i="12"/>
  <c r="V1753" i="12"/>
  <c r="V1754" i="12"/>
  <c r="W1753" i="12"/>
  <c r="V1755" i="12"/>
  <c r="W1754" i="12"/>
  <c r="V1756" i="12"/>
  <c r="W1755" i="12"/>
  <c r="V1757" i="12"/>
  <c r="W1756" i="12"/>
  <c r="W1757" i="12"/>
  <c r="V1758" i="12"/>
  <c r="V1759" i="12"/>
  <c r="W1758" i="12"/>
  <c r="W1759" i="12"/>
  <c r="V1760" i="12"/>
  <c r="V1761" i="12"/>
  <c r="W1760" i="12"/>
  <c r="W1761" i="12"/>
  <c r="V1762" i="12"/>
  <c r="W1762" i="12"/>
  <c r="V1763" i="12"/>
  <c r="V1764" i="12"/>
  <c r="W1763" i="12"/>
  <c r="V1765" i="12"/>
  <c r="W1764" i="12"/>
  <c r="W1765" i="12"/>
  <c r="V1766" i="12"/>
  <c r="W1766" i="12"/>
  <c r="V1767" i="12"/>
  <c r="W1767" i="12"/>
  <c r="V1768" i="12"/>
  <c r="V1769" i="12"/>
  <c r="W1768" i="12"/>
  <c r="W1769" i="12"/>
  <c r="V1770" i="12"/>
  <c r="V1771" i="12"/>
  <c r="W1770" i="12"/>
  <c r="W1771" i="12"/>
  <c r="V1772" i="12"/>
  <c r="W1772" i="12"/>
  <c r="V1773" i="12"/>
  <c r="V1774" i="12"/>
  <c r="W1773" i="12"/>
  <c r="V1775" i="12"/>
  <c r="W1774" i="12"/>
  <c r="V1776" i="12"/>
  <c r="W1775" i="12"/>
  <c r="W1776" i="12"/>
  <c r="V1777" i="12"/>
  <c r="V1778" i="12"/>
  <c r="W1777" i="12"/>
  <c r="W1778" i="12"/>
  <c r="V1779" i="12"/>
  <c r="W1779" i="12"/>
  <c r="V1780" i="12"/>
  <c r="W1780" i="12"/>
  <c r="V1781" i="12"/>
  <c r="W1781" i="12"/>
  <c r="V1782" i="12"/>
  <c r="V1783" i="12"/>
  <c r="W1782" i="12"/>
  <c r="W1783" i="12"/>
  <c r="V1784" i="12"/>
  <c r="V1785" i="12"/>
  <c r="W1784" i="12"/>
  <c r="W1785" i="12"/>
  <c r="V1786" i="12"/>
  <c r="V1787" i="12"/>
  <c r="W1786" i="12"/>
  <c r="V1788" i="12"/>
  <c r="W1787" i="12"/>
  <c r="V1789" i="12"/>
  <c r="W1788" i="12"/>
  <c r="W1789" i="12"/>
  <c r="V1790" i="12"/>
  <c r="W1790" i="12"/>
  <c r="V1791" i="12"/>
  <c r="V1792" i="12"/>
  <c r="W1791" i="12"/>
  <c r="W1792" i="12"/>
  <c r="V1793" i="12"/>
  <c r="V1794" i="12"/>
  <c r="W1793" i="12"/>
  <c r="W1794" i="12"/>
  <c r="V1795" i="12"/>
  <c r="W1795" i="12"/>
  <c r="V1796" i="12"/>
  <c r="V1797" i="12"/>
  <c r="W1796" i="12"/>
  <c r="V1798" i="12"/>
  <c r="W1797" i="12"/>
  <c r="W1798" i="12"/>
  <c r="V1799" i="12"/>
  <c r="V1800" i="12"/>
  <c r="W1799" i="12"/>
  <c r="W1800" i="12"/>
  <c r="V1801" i="12"/>
  <c r="W1801" i="12"/>
  <c r="V1802" i="12"/>
  <c r="W1802" i="12"/>
  <c r="V1803" i="12"/>
  <c r="V1804" i="12"/>
  <c r="W1803" i="12"/>
  <c r="W1804" i="12"/>
  <c r="V1805" i="12"/>
  <c r="W1805" i="12"/>
  <c r="V1806" i="12"/>
  <c r="W1806" i="12"/>
  <c r="V1807" i="12"/>
  <c r="W1807" i="12"/>
  <c r="V1808" i="12"/>
  <c r="V1809" i="12"/>
  <c r="W1808" i="12"/>
  <c r="W1809" i="12"/>
  <c r="V1810" i="12"/>
  <c r="W1810" i="12"/>
  <c r="V1811" i="12"/>
  <c r="V1812" i="12"/>
  <c r="W1811" i="12"/>
  <c r="W1812" i="12"/>
  <c r="V1813" i="12"/>
  <c r="W1813" i="12"/>
  <c r="V1814" i="12"/>
  <c r="W1814" i="12"/>
  <c r="V1815" i="12"/>
  <c r="V1816" i="12"/>
  <c r="W1815" i="12"/>
  <c r="W1816" i="12"/>
  <c r="V1817" i="12"/>
  <c r="V1818" i="12"/>
  <c r="W1817" i="12"/>
  <c r="W1818" i="12"/>
  <c r="V1819" i="12"/>
  <c r="V1820" i="12"/>
  <c r="W1819" i="12"/>
  <c r="V1821" i="12"/>
  <c r="W1820" i="12"/>
  <c r="V1822" i="12"/>
  <c r="W1821" i="12"/>
  <c r="V1823" i="12"/>
  <c r="W1822" i="12"/>
  <c r="V1824" i="12"/>
  <c r="W1823" i="12"/>
  <c r="V1825" i="12"/>
  <c r="W1824" i="12"/>
  <c r="W1825" i="12"/>
  <c r="V1826" i="12"/>
  <c r="V1827" i="12"/>
  <c r="W1826" i="12"/>
  <c r="W1827" i="12"/>
  <c r="V1828" i="12"/>
  <c r="W1828" i="12"/>
  <c r="V1829" i="12"/>
  <c r="V1830" i="12"/>
  <c r="W1829" i="12"/>
  <c r="W1830" i="12"/>
  <c r="V1831" i="12"/>
  <c r="V1832" i="12"/>
  <c r="W1831" i="12"/>
  <c r="V1833" i="12"/>
  <c r="W1832" i="12"/>
  <c r="W1833" i="12"/>
  <c r="V1834" i="12"/>
  <c r="V1835" i="12"/>
  <c r="W1834" i="12"/>
  <c r="V1836" i="12"/>
  <c r="W1835" i="12"/>
  <c r="V1837" i="12"/>
  <c r="W1836" i="12"/>
  <c r="W1837" i="12"/>
  <c r="V1838" i="12"/>
  <c r="V1839" i="12"/>
  <c r="W1838" i="12"/>
  <c r="V1840" i="12"/>
  <c r="W1839" i="12"/>
  <c r="W1840" i="12"/>
  <c r="V1841" i="12"/>
  <c r="W1841" i="12"/>
  <c r="V1842" i="12"/>
  <c r="W1842" i="12"/>
  <c r="V1843" i="12"/>
  <c r="W1843" i="12"/>
  <c r="V1844" i="12"/>
  <c r="V1845" i="12"/>
  <c r="W1844" i="12"/>
  <c r="W1845" i="12"/>
  <c r="V1846" i="12"/>
  <c r="V1847" i="12"/>
  <c r="W1846" i="12"/>
  <c r="V1848" i="12"/>
  <c r="W1847" i="12"/>
  <c r="V1849" i="12"/>
  <c r="W1848" i="12"/>
  <c r="W1849" i="12"/>
  <c r="V1850" i="12"/>
  <c r="V1851" i="12"/>
  <c r="W1850" i="12"/>
  <c r="W1851" i="12"/>
  <c r="V1852" i="12"/>
  <c r="W1852" i="12"/>
  <c r="V1853" i="12"/>
  <c r="V1854" i="12"/>
  <c r="W1853" i="12"/>
  <c r="W1854" i="12"/>
  <c r="V1855" i="12"/>
  <c r="V1856" i="12"/>
  <c r="W1855" i="12"/>
  <c r="V1857" i="12"/>
  <c r="W1856" i="12"/>
  <c r="V1858" i="12"/>
  <c r="W1857" i="12"/>
  <c r="V1859" i="12"/>
  <c r="W1858" i="12"/>
  <c r="W1859" i="12"/>
  <c r="V1860" i="12"/>
  <c r="W1860" i="12"/>
  <c r="V1861" i="12"/>
  <c r="W1861" i="12"/>
  <c r="V1862" i="12"/>
  <c r="V1863" i="12"/>
  <c r="W1862" i="12"/>
  <c r="W1863" i="12"/>
  <c r="V1864" i="12"/>
  <c r="V1865" i="12"/>
  <c r="W1864" i="12"/>
  <c r="W1865" i="12"/>
  <c r="V1866" i="12"/>
  <c r="W1866" i="12"/>
  <c r="V1867" i="12"/>
  <c r="V1868" i="12"/>
  <c r="W1867" i="12"/>
  <c r="W1868" i="12"/>
  <c r="V1869" i="12"/>
  <c r="W1869" i="12"/>
  <c r="V1870" i="12"/>
  <c r="W1870" i="12"/>
  <c r="V1871" i="12"/>
  <c r="V1872" i="12"/>
  <c r="W1871" i="12"/>
  <c r="V1873" i="12"/>
  <c r="W1872" i="12"/>
  <c r="V1874" i="12"/>
  <c r="W1873" i="12"/>
  <c r="W1874" i="12"/>
  <c r="V1875" i="12"/>
  <c r="W1875" i="12"/>
  <c r="V1876" i="12"/>
  <c r="V1877" i="12"/>
  <c r="W1876" i="12"/>
  <c r="V1878" i="12"/>
  <c r="W1877" i="12"/>
  <c r="V1879" i="12"/>
  <c r="W1878" i="12"/>
  <c r="V1880" i="12"/>
  <c r="W1879" i="12"/>
  <c r="V1881" i="12"/>
  <c r="W1880" i="12"/>
  <c r="V1882" i="12"/>
  <c r="W1881" i="12"/>
  <c r="W1882" i="12"/>
  <c r="V1883" i="12"/>
  <c r="W1883" i="12"/>
  <c r="V1884" i="12"/>
  <c r="V1885" i="12"/>
  <c r="W1884" i="12"/>
  <c r="W1885" i="12"/>
  <c r="V1886" i="12"/>
  <c r="W1886" i="12"/>
  <c r="V1887" i="12"/>
  <c r="W1887" i="12"/>
  <c r="V1888" i="12"/>
  <c r="W1888" i="12"/>
  <c r="V1889" i="12"/>
  <c r="W1889" i="12"/>
  <c r="V1890" i="12"/>
  <c r="V1891" i="12"/>
  <c r="W1890" i="12"/>
  <c r="V1892" i="12"/>
  <c r="W1891" i="12"/>
  <c r="W1892" i="12"/>
  <c r="V1893" i="12"/>
  <c r="V1894" i="12"/>
  <c r="W1893" i="12"/>
  <c r="W1894" i="12"/>
  <c r="V1895" i="12"/>
  <c r="V1896" i="12"/>
  <c r="W1895" i="12"/>
  <c r="V1897" i="12"/>
  <c r="W1896" i="12"/>
  <c r="V1898" i="12"/>
  <c r="W1897" i="12"/>
  <c r="W1898" i="12"/>
  <c r="V1899" i="12"/>
  <c r="W1899" i="12"/>
  <c r="V1900" i="12"/>
  <c r="V1901" i="12"/>
  <c r="W1900" i="12"/>
  <c r="W1901" i="12"/>
  <c r="V1902" i="12"/>
  <c r="V1903" i="12"/>
  <c r="W1902" i="12"/>
  <c r="W1903" i="12"/>
  <c r="V1904" i="12"/>
  <c r="V1905" i="12"/>
  <c r="W1904" i="12"/>
  <c r="V1906" i="12"/>
  <c r="W1905" i="12"/>
  <c r="W1906" i="12"/>
  <c r="V1907" i="12"/>
  <c r="W1907" i="12"/>
  <c r="V1908" i="12"/>
  <c r="W1908" i="12"/>
  <c r="V1909" i="12"/>
  <c r="V1910" i="12"/>
  <c r="W1909" i="12"/>
  <c r="V1911" i="12"/>
  <c r="W1910" i="12"/>
  <c r="V1912" i="12"/>
  <c r="W1911" i="12"/>
  <c r="W1912" i="12"/>
  <c r="V1913" i="12"/>
  <c r="V1914" i="12"/>
  <c r="W1913" i="12"/>
  <c r="W1914" i="12"/>
  <c r="V1915" i="12"/>
  <c r="W1915" i="12"/>
  <c r="V1916" i="12"/>
  <c r="W1916" i="12"/>
  <c r="V1917" i="12"/>
  <c r="V1918" i="12"/>
  <c r="W1917" i="12"/>
  <c r="W1918" i="12"/>
  <c r="V1919" i="12"/>
  <c r="V1920" i="12"/>
  <c r="W1919" i="12"/>
  <c r="W1920" i="12"/>
  <c r="V1921" i="12"/>
  <c r="W1921" i="12"/>
  <c r="V1922" i="12"/>
  <c r="V1923" i="12"/>
  <c r="W1922" i="12"/>
  <c r="W1923" i="12"/>
  <c r="V1924" i="12"/>
  <c r="W1924" i="12"/>
  <c r="V1925" i="12"/>
  <c r="W1925" i="12"/>
  <c r="V1926" i="12"/>
  <c r="W1926" i="12"/>
  <c r="V1927" i="12"/>
  <c r="W1927" i="12"/>
  <c r="V1928" i="12"/>
  <c r="V1929" i="12"/>
  <c r="W1928" i="12"/>
  <c r="V1930" i="12"/>
  <c r="W1929" i="12"/>
  <c r="W1930" i="12"/>
  <c r="V1931" i="12"/>
  <c r="V1932" i="12"/>
  <c r="W1931" i="12"/>
  <c r="V1933" i="12"/>
  <c r="W1932" i="12"/>
  <c r="V1934" i="12"/>
  <c r="W1933" i="12"/>
  <c r="W1934" i="12"/>
  <c r="V1935" i="12"/>
  <c r="W1935" i="12"/>
  <c r="V1936" i="12"/>
  <c r="W1936" i="12"/>
  <c r="V1937" i="12"/>
  <c r="W1937" i="12"/>
  <c r="V1938" i="12"/>
  <c r="V1939" i="12"/>
  <c r="W1938" i="12"/>
  <c r="W1939" i="12"/>
  <c r="V1940" i="12"/>
  <c r="V1941" i="12"/>
  <c r="W1940" i="12"/>
  <c r="V1942" i="12"/>
  <c r="W1941" i="12"/>
  <c r="V1943" i="12"/>
  <c r="W1942" i="12"/>
  <c r="W1943" i="12"/>
  <c r="V1944" i="12"/>
  <c r="W1944" i="12"/>
  <c r="V1945" i="12"/>
  <c r="V1946" i="12"/>
  <c r="W1945" i="12"/>
  <c r="V1947" i="12"/>
  <c r="W1946" i="12"/>
  <c r="V1948" i="12"/>
  <c r="W1947" i="12"/>
  <c r="V1949" i="12"/>
  <c r="W1948" i="12"/>
  <c r="W1949" i="12"/>
  <c r="V1950" i="12"/>
  <c r="V1951" i="12"/>
  <c r="W1950" i="12"/>
  <c r="V1952" i="12"/>
  <c r="W1951" i="12"/>
  <c r="V1953" i="12"/>
  <c r="W1952" i="12"/>
  <c r="W1953" i="12"/>
  <c r="V1954" i="12"/>
  <c r="V1955" i="12"/>
  <c r="W1954" i="12"/>
  <c r="V1956" i="12"/>
  <c r="W1955" i="12"/>
  <c r="W1956" i="12"/>
  <c r="V1957" i="12"/>
  <c r="W1957" i="12"/>
  <c r="V1958" i="12"/>
  <c r="W1958" i="12"/>
  <c r="V1959" i="12"/>
  <c r="V1960" i="12"/>
  <c r="W1959" i="12"/>
  <c r="W1960" i="12"/>
  <c r="V1961" i="12"/>
  <c r="W1961" i="12"/>
  <c r="V1962" i="12"/>
  <c r="W1962" i="12"/>
  <c r="V1963" i="12"/>
  <c r="V1964" i="12"/>
  <c r="W1963" i="12"/>
  <c r="V1965" i="12"/>
  <c r="W1964" i="12"/>
  <c r="W1965" i="12"/>
  <c r="V1966" i="12"/>
  <c r="W1966" i="12"/>
  <c r="V1967" i="12"/>
  <c r="W1967" i="12"/>
  <c r="V1968" i="12"/>
  <c r="W1968" i="12"/>
  <c r="V1969" i="12"/>
  <c r="W1969" i="12"/>
  <c r="V1970" i="12"/>
  <c r="W1970" i="12"/>
  <c r="V1971" i="12"/>
  <c r="W1971" i="12"/>
  <c r="V1972" i="12"/>
  <c r="V1973" i="12"/>
  <c r="W1972" i="12"/>
  <c r="W1973" i="12"/>
  <c r="V1974" i="12"/>
  <c r="V1975" i="12"/>
  <c r="W1974" i="12"/>
  <c r="W1975" i="12"/>
  <c r="V1976" i="12"/>
  <c r="W1976" i="12"/>
  <c r="V1977" i="12"/>
  <c r="V1978" i="12"/>
  <c r="W1977" i="12"/>
  <c r="W1978" i="12"/>
  <c r="V1979" i="12"/>
  <c r="V1980" i="12"/>
  <c r="W1979" i="12"/>
  <c r="W1980" i="12"/>
  <c r="V1981" i="12"/>
  <c r="V1982" i="12"/>
  <c r="W1981" i="12"/>
  <c r="V1983" i="12"/>
  <c r="W1982" i="12"/>
  <c r="W1983" i="12"/>
  <c r="V1984" i="12"/>
  <c r="W1984" i="12"/>
  <c r="V1985" i="12"/>
  <c r="V1986" i="12"/>
  <c r="W1985" i="12"/>
  <c r="V1987" i="12"/>
  <c r="W1986" i="12"/>
  <c r="V1988" i="12"/>
  <c r="W1987" i="12"/>
  <c r="V1989" i="12"/>
  <c r="W1988" i="12"/>
  <c r="V1990" i="12"/>
  <c r="W1989" i="12"/>
  <c r="V1991" i="12"/>
  <c r="W1990" i="12"/>
  <c r="W1991" i="12"/>
  <c r="V1992" i="12"/>
  <c r="V1993" i="12"/>
  <c r="W1992" i="12"/>
  <c r="V1994" i="12"/>
  <c r="W1993" i="12"/>
  <c r="W1994" i="12"/>
  <c r="V1995" i="12"/>
  <c r="V1996" i="12"/>
  <c r="W1995" i="12"/>
  <c r="V1997" i="12"/>
  <c r="W1996" i="12"/>
  <c r="V1998" i="12"/>
  <c r="W1997" i="12"/>
  <c r="W1998" i="12"/>
  <c r="V1999" i="12"/>
  <c r="V2000" i="12"/>
  <c r="W1999" i="12"/>
  <c r="W2000" i="12"/>
  <c r="V2001" i="12"/>
  <c r="V2002" i="12"/>
  <c r="W2001" i="12"/>
  <c r="W2002" i="12"/>
  <c r="V2003" i="12"/>
  <c r="W2003" i="12"/>
  <c r="V2004" i="12"/>
  <c r="W2004" i="12"/>
  <c r="V2005" i="12"/>
  <c r="V2006" i="12"/>
  <c r="W2005" i="12"/>
  <c r="V2007" i="12"/>
  <c r="W2006" i="12"/>
  <c r="W2007" i="12"/>
  <c r="V2008" i="12"/>
  <c r="W2008" i="12"/>
  <c r="V2009" i="12"/>
  <c r="V2010" i="12"/>
  <c r="W2009" i="12"/>
  <c r="V2011" i="12"/>
  <c r="W2010" i="12"/>
  <c r="W2011" i="12"/>
  <c r="V2012" i="12"/>
  <c r="W2012" i="12"/>
  <c r="V2013" i="12"/>
  <c r="W2013" i="12"/>
  <c r="V2014" i="12"/>
  <c r="W2014" i="12"/>
  <c r="V2015" i="12"/>
  <c r="W2015" i="12"/>
  <c r="V2016" i="12"/>
  <c r="V2017" i="12"/>
  <c r="W2016" i="12"/>
  <c r="W2017" i="12"/>
  <c r="V2018" i="12"/>
  <c r="W2018" i="12"/>
  <c r="V2019" i="12"/>
  <c r="W2019" i="12"/>
  <c r="V2020" i="12"/>
  <c r="W2020" i="12"/>
  <c r="V2021" i="12"/>
  <c r="V2022" i="12"/>
  <c r="W2021" i="12"/>
  <c r="W2022" i="12"/>
  <c r="V2023" i="12"/>
  <c r="W2023" i="12"/>
  <c r="V2024" i="12"/>
  <c r="V2025" i="12"/>
  <c r="W2024" i="12"/>
  <c r="V2026" i="12"/>
  <c r="W2025" i="12"/>
  <c r="V2027" i="12"/>
  <c r="W2026" i="12"/>
  <c r="V2028" i="12"/>
  <c r="W2027" i="12"/>
  <c r="V2029" i="12"/>
  <c r="W2028" i="12"/>
  <c r="W2029" i="12"/>
  <c r="V2030" i="12"/>
  <c r="V2031" i="12"/>
  <c r="W2030" i="12"/>
  <c r="W2031" i="12"/>
  <c r="V2032" i="12"/>
  <c r="V2033" i="12"/>
  <c r="W2032" i="12"/>
  <c r="V2034" i="12"/>
  <c r="W2033" i="12"/>
  <c r="V2035" i="12"/>
  <c r="W2034" i="12"/>
  <c r="W2035" i="12"/>
  <c r="V2036" i="12"/>
  <c r="V2037" i="12"/>
  <c r="W2036" i="12"/>
  <c r="W2037" i="12"/>
  <c r="V2038" i="12"/>
  <c r="W2038" i="12"/>
  <c r="V2039" i="12"/>
  <c r="V2040" i="12"/>
  <c r="W2039" i="12"/>
  <c r="V2041" i="12"/>
  <c r="W2040" i="12"/>
  <c r="V2042" i="12"/>
  <c r="W2041" i="12"/>
  <c r="V2043" i="12"/>
  <c r="W2042" i="12"/>
  <c r="V2044" i="12"/>
  <c r="W2043" i="12"/>
  <c r="W2044" i="12"/>
  <c r="V2045" i="12"/>
  <c r="V2046" i="12"/>
  <c r="W2045" i="12"/>
  <c r="V2047" i="12"/>
  <c r="W2046" i="12"/>
  <c r="V2048" i="12"/>
  <c r="W2047" i="12"/>
  <c r="V2049" i="12"/>
  <c r="W2048" i="12"/>
  <c r="V2050" i="12"/>
  <c r="W2049" i="12"/>
  <c r="W2050" i="12"/>
  <c r="V2051" i="12"/>
  <c r="W2051" i="12"/>
  <c r="V2052" i="12"/>
  <c r="V2053" i="12"/>
  <c r="W2052" i="12"/>
  <c r="V2054" i="12"/>
  <c r="W2053" i="12"/>
  <c r="V2055" i="12"/>
  <c r="W2054" i="12"/>
  <c r="V2056" i="12"/>
  <c r="W2055" i="12"/>
  <c r="W2056" i="12"/>
  <c r="V2057" i="12"/>
  <c r="W2057" i="12"/>
  <c r="V2058" i="12"/>
  <c r="W2058" i="12"/>
  <c r="V2059" i="12"/>
  <c r="V2060" i="12"/>
  <c r="W2059" i="12"/>
  <c r="W2060" i="12"/>
  <c r="V2061" i="12"/>
  <c r="V2062" i="12"/>
  <c r="W2061" i="12"/>
  <c r="W2062" i="12"/>
  <c r="V2063" i="12"/>
  <c r="W2063" i="12"/>
  <c r="V2064" i="12"/>
  <c r="W2064" i="12"/>
  <c r="V2065" i="12"/>
  <c r="V2066" i="12"/>
  <c r="W2065" i="12"/>
  <c r="W2066" i="12"/>
  <c r="V2067" i="12"/>
  <c r="V2068" i="12"/>
  <c r="W2067" i="12"/>
  <c r="V2069" i="12"/>
  <c r="W2068" i="12"/>
  <c r="W2069" i="12"/>
  <c r="V2070" i="12"/>
  <c r="W2070" i="12"/>
  <c r="V2071" i="12"/>
  <c r="V2072" i="12"/>
  <c r="W2071" i="12"/>
  <c r="W2072" i="12"/>
  <c r="V2073" i="12"/>
  <c r="W2073" i="12"/>
  <c r="V2074" i="12"/>
  <c r="V2075" i="12"/>
  <c r="W2074" i="12"/>
  <c r="W2075" i="12"/>
  <c r="V2076" i="12"/>
  <c r="W2076" i="12"/>
  <c r="V2077" i="12"/>
  <c r="V2078" i="12"/>
  <c r="W2077" i="12"/>
  <c r="W2078" i="12"/>
  <c r="V2079" i="12"/>
  <c r="W2079" i="12"/>
  <c r="V2080" i="12"/>
  <c r="V2081" i="12"/>
  <c r="W2080" i="12"/>
  <c r="W2081" i="12"/>
  <c r="V2082" i="12"/>
  <c r="W2082" i="12"/>
  <c r="V2083" i="12"/>
  <c r="V2084" i="12"/>
  <c r="W2083" i="12"/>
  <c r="W2084" i="12"/>
  <c r="V2085" i="12"/>
  <c r="V2086" i="12"/>
  <c r="W2085" i="12"/>
  <c r="W2086" i="12"/>
  <c r="V2087" i="12"/>
  <c r="V2088" i="12"/>
  <c r="W2087" i="12"/>
  <c r="V2089" i="12"/>
  <c r="W2088" i="12"/>
  <c r="V2090" i="12"/>
  <c r="W2089" i="12"/>
  <c r="V2091" i="12"/>
  <c r="W2090" i="12"/>
  <c r="V2092" i="12"/>
  <c r="W2091" i="12"/>
  <c r="V2093" i="12"/>
  <c r="W2092" i="12"/>
  <c r="V2094" i="12"/>
  <c r="W2093" i="12"/>
  <c r="W2094" i="12"/>
  <c r="V2095" i="12"/>
  <c r="W2095" i="12"/>
  <c r="V2096" i="12"/>
  <c r="V2097" i="12"/>
  <c r="W2096" i="12"/>
  <c r="V2098" i="12"/>
  <c r="W2097" i="12"/>
  <c r="V2099" i="12"/>
  <c r="W2098" i="12"/>
  <c r="V2100" i="12"/>
  <c r="W2099" i="12"/>
  <c r="V2101" i="12"/>
  <c r="W2100" i="12"/>
  <c r="W2101" i="12"/>
  <c r="V2102" i="12"/>
  <c r="W2102" i="12"/>
  <c r="V2103" i="12"/>
  <c r="V2104" i="12"/>
  <c r="W2103" i="12"/>
  <c r="V2105" i="12"/>
  <c r="W2104" i="12"/>
  <c r="V2106" i="12"/>
  <c r="W2105" i="12"/>
  <c r="W2106" i="12"/>
  <c r="V2107" i="12"/>
  <c r="W2107" i="12"/>
  <c r="V2108" i="12"/>
  <c r="W2108" i="12"/>
  <c r="V2109" i="12"/>
  <c r="W2109" i="12"/>
  <c r="V2110" i="12"/>
  <c r="W2110" i="12"/>
  <c r="V2111" i="12"/>
  <c r="W2111" i="12"/>
  <c r="V2112" i="12"/>
  <c r="V2113" i="12"/>
  <c r="W2112" i="12"/>
  <c r="V2114" i="12"/>
  <c r="W2113" i="12"/>
  <c r="V2115" i="12"/>
  <c r="W2114" i="12"/>
  <c r="V2116" i="12"/>
  <c r="W2115" i="12"/>
  <c r="V2117" i="12"/>
  <c r="W2116" i="12"/>
  <c r="V2118" i="12"/>
  <c r="W2117" i="12"/>
  <c r="W2118" i="12"/>
  <c r="V2119" i="12"/>
  <c r="V2120" i="12"/>
  <c r="W2119" i="12"/>
  <c r="V2121" i="12"/>
  <c r="W2120" i="12"/>
  <c r="W2121" i="12"/>
  <c r="V2122" i="12"/>
  <c r="W2122" i="12"/>
  <c r="V2123" i="12"/>
  <c r="W2123" i="12"/>
  <c r="V2124" i="12"/>
  <c r="W2124" i="12"/>
  <c r="V2125" i="12"/>
  <c r="V2126" i="12"/>
  <c r="W2125" i="12"/>
  <c r="V2127" i="12"/>
  <c r="W2126" i="12"/>
  <c r="W2127" i="12"/>
  <c r="V2128" i="12"/>
  <c r="V2129" i="12"/>
  <c r="W2128" i="12"/>
  <c r="V2130" i="12"/>
  <c r="W2129" i="12"/>
  <c r="W2130" i="12"/>
  <c r="V2131" i="12"/>
  <c r="V2132" i="12"/>
  <c r="W2131" i="12"/>
  <c r="W2132" i="12"/>
  <c r="V2133" i="12"/>
  <c r="V2134" i="12"/>
  <c r="W2133" i="12"/>
  <c r="W2134" i="12"/>
  <c r="V2135" i="12"/>
  <c r="V2136" i="12"/>
  <c r="W2135" i="12"/>
  <c r="W2136" i="12"/>
  <c r="V2137" i="12"/>
  <c r="V2138" i="12"/>
  <c r="W2137" i="12"/>
  <c r="V2139" i="12"/>
  <c r="W2138" i="12"/>
  <c r="W2139" i="12"/>
  <c r="V2140" i="12"/>
  <c r="W2140" i="12"/>
  <c r="V2141" i="12"/>
  <c r="V2142" i="12"/>
  <c r="W2141" i="12"/>
  <c r="W2142" i="12"/>
  <c r="V2143" i="12"/>
  <c r="V2144" i="12"/>
  <c r="W2143" i="12"/>
  <c r="V2145" i="12"/>
  <c r="W2144" i="12"/>
  <c r="V2146" i="12"/>
  <c r="W2145" i="12"/>
  <c r="W2146" i="12"/>
  <c r="V2147" i="12"/>
  <c r="W2147" i="12"/>
  <c r="V2148" i="12"/>
  <c r="W2148" i="12"/>
  <c r="V2149" i="12"/>
  <c r="V2150" i="12"/>
  <c r="W2149" i="12"/>
  <c r="V2151" i="12"/>
  <c r="W2150" i="12"/>
  <c r="W2151" i="12"/>
  <c r="V2152" i="12"/>
  <c r="W2152" i="12"/>
  <c r="V2153" i="12"/>
  <c r="W2153" i="12"/>
  <c r="V2154" i="12"/>
  <c r="W2154" i="12"/>
  <c r="V2155" i="12"/>
  <c r="V2156" i="12"/>
  <c r="W2155" i="12"/>
  <c r="V2157" i="12"/>
  <c r="W2156" i="12"/>
  <c r="W2157" i="12"/>
  <c r="V2158" i="12"/>
  <c r="V2159" i="12"/>
  <c r="W2158" i="12"/>
  <c r="V2160" i="12"/>
  <c r="W2159" i="12"/>
  <c r="W2160" i="12"/>
  <c r="V2161" i="12"/>
  <c r="V2162" i="12"/>
  <c r="W2161" i="12"/>
  <c r="V2163" i="12"/>
  <c r="W2162" i="12"/>
  <c r="W2163" i="12"/>
  <c r="V2164" i="12"/>
  <c r="W2164" i="12"/>
  <c r="V2165" i="12"/>
  <c r="V2166" i="12"/>
  <c r="W2165" i="12"/>
  <c r="V2167" i="12"/>
  <c r="W2166" i="12"/>
  <c r="W2167" i="12"/>
  <c r="V2168" i="12"/>
  <c r="V2169" i="12"/>
  <c r="W2168" i="12"/>
  <c r="V2170" i="12"/>
  <c r="W2169" i="12"/>
  <c r="V2171" i="12"/>
  <c r="W2170" i="12"/>
  <c r="V2172" i="12"/>
  <c r="W2171" i="12"/>
  <c r="V2173" i="12"/>
  <c r="W2172" i="12"/>
  <c r="W2173" i="12"/>
  <c r="V2174" i="12"/>
  <c r="V2175" i="12"/>
  <c r="W2174" i="12"/>
  <c r="W2175" i="12"/>
  <c r="V2176" i="12"/>
  <c r="W2176" i="12"/>
  <c r="V2177" i="12"/>
  <c r="V2178" i="12"/>
  <c r="W2177" i="12"/>
  <c r="V2179" i="12"/>
  <c r="W2178" i="12"/>
  <c r="W2179" i="12"/>
  <c r="V2180" i="12"/>
  <c r="W2180" i="12"/>
  <c r="V2181" i="12"/>
  <c r="W2181" i="12"/>
  <c r="V2182" i="12"/>
  <c r="W2182" i="12"/>
  <c r="V2183" i="12"/>
  <c r="W2183" i="12"/>
  <c r="V2184" i="12"/>
  <c r="V2185" i="12"/>
  <c r="W2184" i="12"/>
  <c r="V2186" i="12"/>
  <c r="W2185" i="12"/>
  <c r="W2186" i="12"/>
  <c r="V2187" i="12"/>
  <c r="W2187" i="12"/>
  <c r="V2188" i="12"/>
  <c r="V2189" i="12"/>
  <c r="W2188" i="12"/>
  <c r="W2189" i="12"/>
  <c r="V2190" i="12"/>
  <c r="W2190" i="12"/>
  <c r="V2191" i="12"/>
  <c r="W2191" i="12"/>
  <c r="V2192" i="12"/>
  <c r="V2193" i="12"/>
  <c r="W2192" i="12"/>
  <c r="W2193" i="12"/>
  <c r="V2194" i="12"/>
  <c r="V2195" i="12"/>
  <c r="W2194" i="12"/>
  <c r="W2195" i="12"/>
  <c r="V2196" i="12"/>
  <c r="V2197" i="12"/>
  <c r="W2196" i="12"/>
  <c r="W2197" i="12"/>
  <c r="V2198" i="12"/>
  <c r="W2198" i="12"/>
  <c r="V2199" i="12"/>
  <c r="V2200" i="12"/>
  <c r="W2199" i="12"/>
  <c r="V2201" i="12"/>
  <c r="W2200" i="12"/>
  <c r="W2201" i="12"/>
  <c r="V2202" i="12"/>
  <c r="W2202" i="12"/>
  <c r="V2203" i="12"/>
  <c r="W2203" i="12"/>
  <c r="V2204" i="12"/>
  <c r="V2205" i="12"/>
  <c r="W2204" i="12"/>
  <c r="W2205" i="12"/>
  <c r="V2206" i="12"/>
  <c r="V2207" i="12"/>
  <c r="W2206" i="12"/>
  <c r="W2207" i="12"/>
  <c r="V2208" i="12"/>
  <c r="V2209" i="12"/>
  <c r="W2208" i="12"/>
  <c r="V2210" i="12"/>
  <c r="W2209" i="12"/>
  <c r="W2210" i="12"/>
  <c r="V2211" i="12"/>
  <c r="V2212" i="12"/>
  <c r="W2211" i="12"/>
  <c r="V2213" i="12"/>
  <c r="W2212" i="12"/>
  <c r="W2213" i="12"/>
  <c r="V2214" i="12"/>
  <c r="V2215" i="12"/>
  <c r="W2214" i="12"/>
  <c r="V2216" i="12"/>
  <c r="W2215" i="12"/>
  <c r="W2216" i="12"/>
  <c r="V2217" i="12"/>
  <c r="W2217" i="12"/>
  <c r="V2218" i="12"/>
  <c r="V2219" i="12"/>
  <c r="W2218" i="12"/>
  <c r="V2220" i="12"/>
  <c r="W2219" i="12"/>
  <c r="W2220" i="12"/>
  <c r="V2221" i="12"/>
  <c r="W2221" i="12"/>
  <c r="V2222" i="12"/>
  <c r="V2223" i="12"/>
  <c r="W2222" i="12"/>
  <c r="V2224" i="12"/>
  <c r="W2223" i="12"/>
  <c r="V2225" i="12"/>
  <c r="W2224" i="12"/>
  <c r="V2226" i="12"/>
  <c r="W2225" i="12"/>
  <c r="V2227" i="12"/>
  <c r="W2226" i="12"/>
  <c r="V2228" i="12"/>
  <c r="W2227" i="12"/>
  <c r="W2228" i="12"/>
  <c r="V2229" i="12"/>
  <c r="V2230" i="12"/>
  <c r="W2229" i="12"/>
  <c r="V2231" i="12"/>
  <c r="W2230" i="12"/>
  <c r="V2232" i="12"/>
  <c r="W2231" i="12"/>
  <c r="V2233" i="12"/>
  <c r="W2232" i="12"/>
  <c r="V2234" i="12"/>
  <c r="W2233" i="12"/>
  <c r="V2235" i="12"/>
  <c r="W2234" i="12"/>
  <c r="W2235" i="12"/>
  <c r="V2236" i="12"/>
  <c r="W2236" i="12"/>
  <c r="V2237" i="12"/>
  <c r="W2237" i="12"/>
  <c r="V2238" i="12"/>
  <c r="W2238" i="12"/>
  <c r="V2239" i="12"/>
  <c r="V2240" i="12"/>
  <c r="W2239" i="12"/>
  <c r="V2241" i="12"/>
  <c r="W2240" i="12"/>
  <c r="V2242" i="12"/>
  <c r="W2241" i="12"/>
  <c r="V2243" i="12"/>
  <c r="W2242" i="12"/>
  <c r="V2244" i="12"/>
  <c r="W2243" i="12"/>
  <c r="W2244" i="12"/>
  <c r="V2245" i="12"/>
  <c r="V2246" i="12"/>
  <c r="W2245" i="12"/>
  <c r="V2247" i="12"/>
  <c r="W2246" i="12"/>
  <c r="V2248" i="12"/>
  <c r="W2247" i="12"/>
  <c r="W2248" i="12"/>
  <c r="V2249" i="12"/>
  <c r="W2249" i="12"/>
  <c r="V2250" i="12"/>
  <c r="W2250" i="12"/>
  <c r="V2251" i="12"/>
  <c r="V2252" i="12"/>
  <c r="W2251" i="12"/>
  <c r="V2253" i="12"/>
  <c r="W2252" i="12"/>
  <c r="V2254" i="12"/>
  <c r="W2253" i="12"/>
  <c r="V2255" i="12"/>
  <c r="W2254" i="12"/>
  <c r="V2256" i="12"/>
  <c r="W2255" i="12"/>
  <c r="V2257" i="12"/>
  <c r="W2256" i="12"/>
  <c r="W2257" i="12"/>
  <c r="V2258" i="12"/>
  <c r="W2258" i="12"/>
  <c r="V2259" i="12"/>
  <c r="V2260" i="12"/>
  <c r="W2259" i="12"/>
  <c r="V2261" i="12"/>
  <c r="W2260" i="12"/>
  <c r="W2261" i="12"/>
  <c r="V2262" i="12"/>
  <c r="W2262" i="12"/>
  <c r="V2263" i="12"/>
  <c r="W2263" i="12"/>
  <c r="V2264" i="12"/>
  <c r="V2265" i="12"/>
  <c r="W2264" i="12"/>
  <c r="V2266" i="12"/>
  <c r="W2265" i="12"/>
  <c r="W2266" i="12"/>
  <c r="V2267" i="12"/>
  <c r="V2268" i="12"/>
  <c r="W2267" i="12"/>
  <c r="V2269" i="12"/>
  <c r="W2268" i="12"/>
  <c r="V2270" i="12"/>
  <c r="W2269" i="12"/>
  <c r="V2271" i="12"/>
  <c r="W2270" i="12"/>
  <c r="W2271" i="12"/>
  <c r="V2272" i="12"/>
  <c r="V2273" i="12"/>
  <c r="W2272" i="12"/>
  <c r="V2274" i="12"/>
  <c r="W2273" i="12"/>
  <c r="V2275" i="12"/>
  <c r="W2274" i="12"/>
  <c r="V2276" i="12"/>
  <c r="W2275" i="12"/>
  <c r="V2277" i="12"/>
  <c r="W2276" i="12"/>
  <c r="V2278" i="12"/>
  <c r="W2277" i="12"/>
  <c r="V2279" i="12"/>
  <c r="W2278" i="12"/>
  <c r="V2280" i="12"/>
  <c r="W2279" i="12"/>
  <c r="W2280" i="12"/>
  <c r="V2281" i="12"/>
  <c r="W2281" i="12"/>
  <c r="V2282" i="12"/>
  <c r="V2283" i="12"/>
  <c r="W2282" i="12"/>
  <c r="W2283" i="12"/>
  <c r="V2284" i="12"/>
  <c r="W2284" i="12"/>
  <c r="V2285" i="12"/>
  <c r="V2286" i="12"/>
  <c r="W2285" i="12"/>
  <c r="V2287" i="12"/>
  <c r="W2286" i="12"/>
  <c r="W2287" i="12"/>
  <c r="V2288" i="12"/>
  <c r="W2288" i="12"/>
  <c r="V2289" i="12"/>
  <c r="W2289" i="12"/>
  <c r="V2290" i="12"/>
  <c r="V2291" i="12"/>
  <c r="W2290" i="12"/>
  <c r="W2291" i="12"/>
  <c r="V2292" i="12"/>
  <c r="V2293" i="12"/>
  <c r="W2292" i="12"/>
  <c r="W2293" i="12"/>
  <c r="V2294" i="12"/>
  <c r="W2294" i="12"/>
  <c r="V2295" i="12"/>
  <c r="W2295" i="12"/>
  <c r="V2296" i="12"/>
  <c r="W2296" i="12"/>
  <c r="V2297" i="12"/>
  <c r="W2297" i="12"/>
  <c r="V2298" i="12"/>
  <c r="W2298" i="12"/>
  <c r="V2299" i="12"/>
  <c r="W2299" i="12"/>
  <c r="V2300" i="12"/>
  <c r="W2300" i="12"/>
  <c r="V2301" i="12"/>
  <c r="W2301" i="12"/>
  <c r="V2302" i="12"/>
  <c r="V2303" i="12"/>
  <c r="W2302" i="12"/>
  <c r="V2304" i="12"/>
  <c r="W2303" i="12"/>
  <c r="V2305" i="12"/>
  <c r="W2304" i="12"/>
  <c r="V2306" i="12"/>
  <c r="W2305" i="12"/>
  <c r="V2307" i="12"/>
  <c r="W2306" i="12"/>
  <c r="W2307" i="12"/>
  <c r="V2308" i="12"/>
  <c r="V2309" i="12"/>
  <c r="W2308" i="12"/>
  <c r="W2309" i="12"/>
  <c r="V2310" i="12"/>
  <c r="V2311" i="12"/>
  <c r="W2310" i="12"/>
  <c r="W2311" i="12"/>
  <c r="V2312" i="12"/>
  <c r="W2312" i="12"/>
  <c r="V2313" i="12"/>
  <c r="V2314" i="12"/>
  <c r="W2313" i="12"/>
  <c r="V2315" i="12"/>
  <c r="W2314" i="12"/>
  <c r="W2315" i="12"/>
  <c r="V2316" i="12"/>
  <c r="V2317" i="12"/>
  <c r="W2316" i="12"/>
  <c r="W2317" i="12"/>
  <c r="V2318" i="12"/>
  <c r="V2319" i="12"/>
  <c r="W2318" i="12"/>
  <c r="W2319" i="12"/>
  <c r="V2320" i="12"/>
  <c r="V2321" i="12"/>
  <c r="W2320" i="12"/>
  <c r="W2321" i="12"/>
  <c r="V2322" i="12"/>
  <c r="W2322" i="12"/>
  <c r="V2323" i="12"/>
  <c r="V2324" i="12"/>
  <c r="W2323" i="12"/>
  <c r="V2325" i="12"/>
  <c r="W2324" i="12"/>
  <c r="W2325" i="12"/>
  <c r="V2326" i="12"/>
  <c r="W2326" i="12"/>
  <c r="V2327" i="12"/>
  <c r="W2327" i="12"/>
  <c r="V2328" i="12"/>
  <c r="W2328" i="12"/>
  <c r="V2329" i="12"/>
  <c r="V2330" i="12"/>
  <c r="W2329" i="12"/>
  <c r="V2331" i="12"/>
  <c r="W2330" i="12"/>
  <c r="W2331" i="12"/>
  <c r="V2332" i="12"/>
  <c r="V2333" i="12"/>
  <c r="W2332" i="12"/>
  <c r="W2333" i="12"/>
  <c r="V2334" i="12"/>
  <c r="W2334" i="12"/>
  <c r="V2335" i="12"/>
  <c r="V2336" i="12"/>
  <c r="W2335" i="12"/>
  <c r="V2337" i="12"/>
  <c r="W2336" i="12"/>
  <c r="W2337" i="12"/>
  <c r="V2338" i="12"/>
  <c r="V2339" i="12"/>
  <c r="W2338" i="12"/>
  <c r="V2340" i="12"/>
  <c r="W2339" i="12"/>
  <c r="V2341" i="12"/>
  <c r="W2340" i="12"/>
  <c r="V2342" i="12"/>
  <c r="W2341" i="12"/>
  <c r="W2342" i="12"/>
  <c r="V2343" i="12"/>
  <c r="W2343" i="12"/>
  <c r="V2344" i="12"/>
  <c r="W2344" i="12"/>
  <c r="V2345" i="12"/>
  <c r="W2345" i="12"/>
  <c r="V2346" i="12"/>
  <c r="V2347" i="12"/>
  <c r="W2346" i="12"/>
  <c r="W2347" i="12"/>
  <c r="V2348" i="12"/>
  <c r="W2348" i="12"/>
  <c r="V2349" i="12"/>
  <c r="W2349" i="12"/>
  <c r="V2350" i="12"/>
  <c r="V2351" i="12"/>
  <c r="W2350" i="12"/>
  <c r="V2352" i="12"/>
  <c r="W2351" i="12"/>
  <c r="V2353" i="12"/>
  <c r="W2352" i="12"/>
  <c r="V2354" i="12"/>
  <c r="W2353" i="12"/>
  <c r="V2355" i="12"/>
  <c r="W2354" i="12"/>
  <c r="W2355" i="12"/>
  <c r="V2356" i="12"/>
  <c r="V2357" i="12"/>
  <c r="W2356" i="12"/>
  <c r="W2357" i="12"/>
  <c r="V2358" i="12"/>
  <c r="V2359" i="12"/>
  <c r="W2358" i="12"/>
  <c r="W2359" i="12"/>
  <c r="V2360" i="12"/>
  <c r="W2360" i="12"/>
  <c r="V2361" i="12"/>
  <c r="V2362" i="12"/>
  <c r="W2361" i="12"/>
  <c r="V2363" i="12"/>
  <c r="W2362" i="12"/>
  <c r="V2364" i="12"/>
  <c r="W2363" i="12"/>
  <c r="W2364" i="12"/>
  <c r="V2365" i="12"/>
  <c r="V2366" i="12"/>
  <c r="W2365" i="12"/>
  <c r="V2367" i="12"/>
  <c r="W2366" i="12"/>
  <c r="V2368" i="12"/>
  <c r="W2367" i="12"/>
  <c r="W2368" i="12"/>
  <c r="V2369" i="12"/>
  <c r="W2369" i="12"/>
  <c r="V2370" i="12"/>
  <c r="W2370" i="12"/>
  <c r="V2371" i="12"/>
  <c r="W2371" i="12"/>
  <c r="V2372" i="12"/>
  <c r="W2372" i="12"/>
  <c r="V2373" i="12"/>
  <c r="V2374" i="12"/>
  <c r="W2373" i="12"/>
  <c r="W2374" i="12"/>
  <c r="V2375" i="12"/>
  <c r="W2375" i="12"/>
  <c r="V2376" i="12"/>
  <c r="W2376" i="12"/>
  <c r="V2377" i="12"/>
  <c r="V2378" i="12"/>
  <c r="W2377" i="12"/>
  <c r="W2378" i="12"/>
  <c r="V2379" i="12"/>
  <c r="W2379" i="12"/>
  <c r="V2380" i="12"/>
  <c r="W2380" i="12"/>
  <c r="V2381" i="12"/>
  <c r="W2381" i="12"/>
  <c r="V2382" i="12"/>
  <c r="W2382" i="12"/>
  <c r="V2383" i="12"/>
  <c r="V2384" i="12"/>
  <c r="W2383" i="12"/>
  <c r="W2384" i="12"/>
  <c r="V2385" i="12"/>
  <c r="V2386" i="12"/>
  <c r="W2385" i="12"/>
  <c r="W2386" i="12"/>
  <c r="V2387" i="12"/>
  <c r="V2388" i="12"/>
  <c r="W2387" i="12"/>
  <c r="V2389" i="12"/>
  <c r="W2388" i="12"/>
  <c r="V2390" i="12"/>
  <c r="W2389" i="12"/>
  <c r="W2390" i="12"/>
  <c r="V2391" i="12"/>
  <c r="W2391" i="12"/>
  <c r="V2392" i="12"/>
  <c r="V2393" i="12"/>
  <c r="W2392" i="12"/>
  <c r="V2394" i="12"/>
  <c r="W2393" i="12"/>
  <c r="W2394" i="12"/>
  <c r="V2395" i="12"/>
  <c r="V2396" i="12"/>
  <c r="W2395" i="12"/>
  <c r="V2397" i="12"/>
  <c r="W2396" i="12"/>
  <c r="W2397" i="12"/>
  <c r="V2398" i="12"/>
  <c r="V2399" i="12"/>
  <c r="W2398" i="12"/>
  <c r="W2399" i="12"/>
  <c r="V2400" i="12"/>
  <c r="V2401" i="12"/>
  <c r="W2400" i="12"/>
  <c r="W2401" i="12"/>
  <c r="V2402" i="12"/>
  <c r="W2402" i="12"/>
  <c r="V2403" i="12"/>
  <c r="W2403" i="12"/>
  <c r="V2404" i="12"/>
  <c r="W2404" i="12"/>
  <c r="V2405" i="12"/>
  <c r="W2405" i="12"/>
  <c r="V2406" i="12"/>
  <c r="W2406" i="12"/>
  <c r="V2407" i="12"/>
  <c r="V2408" i="12"/>
  <c r="W2407" i="12"/>
  <c r="V2409" i="12"/>
  <c r="W2408" i="12"/>
  <c r="W2409" i="12"/>
  <c r="V2410" i="12"/>
  <c r="V2411" i="12"/>
  <c r="W2410" i="12"/>
  <c r="V2412" i="12"/>
  <c r="W2411" i="12"/>
  <c r="V2413" i="12"/>
  <c r="W2412" i="12"/>
  <c r="V2414" i="12"/>
  <c r="W2413" i="12"/>
  <c r="W2414" i="12"/>
  <c r="V2415" i="12"/>
  <c r="V2416" i="12"/>
  <c r="W2415" i="12"/>
  <c r="W2416" i="12"/>
  <c r="V2417" i="12"/>
  <c r="W2417" i="12"/>
  <c r="V2418" i="12"/>
  <c r="V2419" i="12"/>
  <c r="W2418" i="12"/>
  <c r="W2419" i="12"/>
  <c r="V2420" i="12"/>
  <c r="V2421" i="12"/>
  <c r="W2420" i="12"/>
  <c r="W2421" i="12"/>
  <c r="V2422" i="12"/>
  <c r="W2422" i="12"/>
  <c r="V2423" i="12"/>
  <c r="W2423" i="12"/>
  <c r="V2424" i="12"/>
  <c r="W2424" i="12"/>
  <c r="V2425" i="12"/>
  <c r="V2426" i="12"/>
  <c r="W2425" i="12"/>
  <c r="V2427" i="12"/>
  <c r="W2426" i="12"/>
  <c r="W2427" i="12"/>
  <c r="V2428" i="12"/>
  <c r="W2428" i="12"/>
  <c r="V2429" i="12"/>
  <c r="W2429" i="12"/>
  <c r="V2430" i="12"/>
  <c r="W2430" i="12"/>
  <c r="V2431" i="12"/>
  <c r="V2432" i="12"/>
  <c r="W2431" i="12"/>
  <c r="V2433" i="12"/>
  <c r="W2432" i="12"/>
  <c r="W2433" i="12"/>
  <c r="V2434" i="12"/>
  <c r="V2435" i="12"/>
  <c r="W2434" i="12"/>
  <c r="W2435" i="12"/>
  <c r="V2436" i="12"/>
  <c r="V2437" i="12"/>
  <c r="W2436" i="12"/>
  <c r="W2437" i="12"/>
  <c r="V2438" i="12"/>
  <c r="V2439" i="12"/>
  <c r="W2438" i="12"/>
  <c r="W2439" i="12"/>
  <c r="V2440" i="12"/>
  <c r="V2441" i="12"/>
  <c r="W2440" i="12"/>
  <c r="V2442" i="12"/>
  <c r="W2441" i="12"/>
  <c r="W2442" i="12"/>
  <c r="V2443" i="12"/>
  <c r="W2443" i="12"/>
  <c r="V2444" i="12"/>
  <c r="V2445" i="12"/>
  <c r="W2444" i="12"/>
  <c r="W2445" i="12"/>
  <c r="V2446" i="12"/>
  <c r="V2447" i="12"/>
  <c r="W2446" i="12"/>
  <c r="V2448" i="12"/>
  <c r="W2447" i="12"/>
  <c r="V2449" i="12"/>
  <c r="W2448" i="12"/>
  <c r="W2449" i="12"/>
  <c r="V2450" i="12"/>
  <c r="W2450" i="12"/>
  <c r="V2451" i="12"/>
  <c r="V2452" i="12"/>
  <c r="W2451" i="12"/>
  <c r="W2452" i="12"/>
  <c r="V2453" i="12"/>
  <c r="W2453" i="12"/>
  <c r="V2454" i="12"/>
  <c r="W2454" i="12"/>
  <c r="V2455" i="12"/>
  <c r="V2456" i="12"/>
  <c r="W2455" i="12"/>
  <c r="W2456" i="12"/>
  <c r="V2457" i="12"/>
  <c r="V2458" i="12"/>
  <c r="W2457" i="12"/>
  <c r="W2458" i="12"/>
  <c r="V2459" i="12"/>
  <c r="W2459" i="12"/>
  <c r="V2460" i="12"/>
  <c r="W2460" i="12"/>
  <c r="V2461" i="12"/>
  <c r="W2461" i="12"/>
  <c r="V2462" i="12"/>
  <c r="W2462" i="12"/>
  <c r="V2463" i="12"/>
  <c r="W2463" i="12"/>
  <c r="V2464" i="12"/>
  <c r="V2465" i="12"/>
  <c r="W2464" i="12"/>
  <c r="W2465" i="12"/>
  <c r="V2466" i="12"/>
  <c r="W2466" i="12"/>
  <c r="V2467" i="12"/>
  <c r="V2468" i="12"/>
  <c r="W2467" i="12"/>
  <c r="V2469" i="12"/>
  <c r="W2468" i="12"/>
  <c r="W2469" i="12"/>
  <c r="V2470" i="12"/>
  <c r="W2470" i="12"/>
  <c r="V2471" i="12"/>
  <c r="W2471" i="12"/>
  <c r="V2472" i="12"/>
  <c r="W2472" i="12"/>
  <c r="V2473" i="12"/>
  <c r="W2473" i="12"/>
  <c r="V2474" i="12"/>
  <c r="W2474" i="12"/>
  <c r="V2475" i="12"/>
  <c r="W2475" i="12"/>
  <c r="V2476" i="12"/>
  <c r="V2477" i="12"/>
  <c r="W2476" i="12"/>
  <c r="W2477" i="12"/>
  <c r="V2478" i="12"/>
  <c r="V2479" i="12"/>
  <c r="W2478" i="12"/>
  <c r="V2480" i="12"/>
  <c r="W2479" i="12"/>
  <c r="V2481" i="12"/>
  <c r="W2480" i="12"/>
  <c r="W2481" i="12"/>
  <c r="V2482" i="12"/>
  <c r="V2483" i="12"/>
  <c r="W2482" i="12"/>
  <c r="W2483" i="12"/>
  <c r="V2484" i="12"/>
  <c r="W2484" i="12"/>
  <c r="V2485" i="12"/>
  <c r="V2486" i="12"/>
  <c r="W2485" i="12"/>
  <c r="W2486" i="12"/>
  <c r="V2487" i="12"/>
  <c r="W2487" i="12"/>
  <c r="V2488" i="12"/>
  <c r="W2488" i="12"/>
  <c r="V2489" i="12"/>
  <c r="W2489" i="12"/>
  <c r="V2490" i="12"/>
  <c r="W2490" i="12"/>
  <c r="V2491" i="12"/>
  <c r="V2492" i="12"/>
  <c r="W2491" i="12"/>
  <c r="V2493" i="12"/>
  <c r="W2492" i="12"/>
  <c r="W2493" i="12"/>
  <c r="V2494" i="12"/>
  <c r="W2494" i="12"/>
  <c r="V2495" i="12"/>
  <c r="W2495" i="12"/>
  <c r="V2496" i="12"/>
  <c r="V2497" i="12"/>
  <c r="W2496" i="12"/>
  <c r="W2497" i="12"/>
  <c r="V2498" i="12"/>
  <c r="W2498" i="12"/>
  <c r="V2499" i="12"/>
  <c r="V2500" i="12"/>
  <c r="W2499" i="12"/>
  <c r="V2501" i="12"/>
  <c r="W2500" i="12"/>
  <c r="V2502" i="12"/>
  <c r="W2501" i="12"/>
  <c r="W2502" i="12"/>
  <c r="V2503" i="12"/>
  <c r="W2503" i="12"/>
  <c r="V2504" i="12"/>
  <c r="W2504" i="12"/>
  <c r="V2505" i="12"/>
  <c r="V2506" i="12"/>
  <c r="W2505" i="12"/>
  <c r="V2507" i="12"/>
  <c r="W2506" i="12"/>
  <c r="W2507" i="12"/>
  <c r="V2508" i="12"/>
  <c r="W2508" i="12"/>
  <c r="V2509" i="12"/>
  <c r="W2509" i="12"/>
  <c r="V2510" i="12"/>
  <c r="W2510" i="12"/>
  <c r="V2511" i="12"/>
  <c r="V2512" i="12"/>
  <c r="W2511" i="12"/>
  <c r="V2513" i="12"/>
  <c r="W2512" i="12"/>
  <c r="V2514" i="12"/>
  <c r="W2513" i="12"/>
  <c r="W2514" i="12"/>
  <c r="V2515" i="12"/>
  <c r="W2515" i="12"/>
  <c r="V2516" i="12"/>
  <c r="V2517" i="12"/>
  <c r="W2516" i="12"/>
  <c r="V2518" i="12"/>
  <c r="W2517" i="12"/>
  <c r="W2518" i="12"/>
  <c r="V2519" i="12"/>
  <c r="W2519" i="12"/>
  <c r="V2520" i="12"/>
  <c r="V2521" i="12"/>
  <c r="W2520" i="12"/>
  <c r="V2522" i="12"/>
  <c r="W2521" i="12"/>
  <c r="W2522" i="12"/>
  <c r="V2523" i="12"/>
  <c r="W2523" i="12"/>
  <c r="V2524" i="12"/>
  <c r="V2525" i="12"/>
  <c r="W2524" i="12"/>
  <c r="W2525" i="12"/>
  <c r="V2526" i="12"/>
  <c r="V2527" i="12"/>
  <c r="W2526" i="12"/>
  <c r="V2528" i="12"/>
  <c r="W2527" i="12"/>
  <c r="W2528" i="12"/>
  <c r="V2529" i="12"/>
  <c r="W2529" i="12"/>
  <c r="V2530" i="12"/>
  <c r="W2530" i="12"/>
  <c r="V2531" i="12"/>
  <c r="W2531" i="12"/>
  <c r="V2532" i="12"/>
  <c r="V2533" i="12"/>
  <c r="W2532" i="12"/>
  <c r="V2534" i="12"/>
  <c r="W2533" i="12"/>
  <c r="V2535" i="12"/>
  <c r="W2534" i="12"/>
  <c r="W2535" i="12"/>
  <c r="V2536" i="12"/>
  <c r="V2537" i="12"/>
  <c r="W2536" i="12"/>
  <c r="W2537" i="12"/>
  <c r="V2538" i="12"/>
  <c r="W2538" i="12"/>
  <c r="V2539" i="12"/>
  <c r="W2539" i="12"/>
  <c r="V2540" i="12"/>
  <c r="V2541" i="12"/>
  <c r="W2540" i="12"/>
  <c r="W2541" i="12"/>
  <c r="V2542" i="12"/>
  <c r="W2542" i="12"/>
  <c r="V2543" i="12"/>
  <c r="W2543" i="12"/>
  <c r="V2544" i="12"/>
  <c r="V2545" i="12"/>
  <c r="W2544" i="12"/>
  <c r="V2546" i="12"/>
  <c r="W2545" i="12"/>
  <c r="V2547" i="12"/>
  <c r="W2546" i="12"/>
  <c r="V2548" i="12"/>
  <c r="W2547" i="12"/>
  <c r="V2549" i="12"/>
  <c r="W2548" i="12"/>
  <c r="V2550" i="12"/>
  <c r="W2549" i="12"/>
  <c r="V2551" i="12"/>
  <c r="W2550" i="12"/>
  <c r="V2552" i="12"/>
  <c r="W2551" i="12"/>
  <c r="V2553" i="12"/>
  <c r="W2552" i="12"/>
  <c r="V2554" i="12"/>
  <c r="W2553" i="12"/>
  <c r="W2554" i="12"/>
  <c r="V2555" i="12"/>
  <c r="W2555" i="12"/>
  <c r="V2556" i="12"/>
  <c r="W2556" i="12"/>
  <c r="V2557" i="12"/>
  <c r="V2558" i="12"/>
  <c r="W2557" i="12"/>
  <c r="W2558" i="12"/>
  <c r="V2559" i="12"/>
  <c r="W2559" i="12"/>
  <c r="V2560" i="12"/>
  <c r="W2560" i="12"/>
  <c r="V2561" i="12"/>
  <c r="W2561" i="12"/>
  <c r="V2562" i="12"/>
  <c r="V2563" i="12"/>
  <c r="W2562" i="12"/>
  <c r="W2563" i="12"/>
  <c r="V2564" i="12"/>
  <c r="V2565" i="12"/>
  <c r="W2564" i="12"/>
  <c r="V2566" i="12"/>
  <c r="W2565" i="12"/>
  <c r="W2566" i="12"/>
  <c r="V2567" i="12"/>
  <c r="W2567" i="12"/>
  <c r="V2568" i="12"/>
  <c r="V2569" i="12"/>
  <c r="W2568" i="12"/>
  <c r="W2569" i="12"/>
  <c r="V2570" i="12"/>
  <c r="V2571" i="12"/>
  <c r="W2570" i="12"/>
  <c r="W2571" i="12"/>
  <c r="V2572" i="12"/>
  <c r="W2572" i="12"/>
  <c r="V2573" i="12"/>
  <c r="W2573" i="12"/>
  <c r="V2574" i="12"/>
  <c r="W2574" i="12"/>
  <c r="V2575" i="12"/>
  <c r="W2575" i="12"/>
  <c r="V2576" i="12"/>
  <c r="V2577" i="12"/>
  <c r="W2576" i="12"/>
  <c r="W2577" i="12"/>
  <c r="V2578" i="12"/>
  <c r="V2579" i="12"/>
  <c r="W2578" i="12"/>
  <c r="V2580" i="12"/>
  <c r="W2579" i="12"/>
  <c r="V2581" i="12"/>
  <c r="W2580" i="12"/>
  <c r="V2582" i="12"/>
  <c r="W2581" i="12"/>
  <c r="W2582" i="12"/>
  <c r="V2583" i="12"/>
  <c r="W2583" i="12"/>
  <c r="V2584" i="12"/>
  <c r="V2585" i="12"/>
  <c r="W2584" i="12"/>
  <c r="V2586" i="12"/>
  <c r="W2585" i="12"/>
  <c r="W2586" i="12"/>
  <c r="V2587" i="12"/>
  <c r="V2588" i="12"/>
  <c r="W2587" i="12"/>
  <c r="V2589" i="12"/>
  <c r="W2588" i="12"/>
  <c r="W2589" i="12"/>
  <c r="V2590" i="12"/>
  <c r="V2591" i="12"/>
  <c r="W2590" i="12"/>
  <c r="V2592" i="12"/>
  <c r="W2591" i="12"/>
  <c r="V2593" i="12"/>
  <c r="W2592" i="12"/>
  <c r="W2593" i="12"/>
  <c r="V2594" i="12"/>
  <c r="W2594" i="12"/>
  <c r="V2595" i="12"/>
  <c r="V2596" i="12"/>
  <c r="W2595" i="12"/>
  <c r="V2597" i="12"/>
  <c r="W2596" i="12"/>
  <c r="V2598" i="12"/>
  <c r="W2597" i="12"/>
  <c r="W2598" i="12"/>
  <c r="V2599" i="12"/>
  <c r="V2600" i="12"/>
  <c r="W2599" i="12"/>
  <c r="V2601" i="12"/>
  <c r="W2600" i="12"/>
  <c r="W2601" i="12"/>
  <c r="V2602" i="12"/>
  <c r="V2603" i="12"/>
  <c r="W2602" i="12"/>
  <c r="V2604" i="12"/>
  <c r="W2603" i="12"/>
  <c r="V2605" i="12"/>
  <c r="W2604" i="12"/>
  <c r="W2605" i="12"/>
  <c r="V2606" i="12"/>
  <c r="V2607" i="12"/>
  <c r="W2606" i="12"/>
  <c r="W2607" i="12"/>
  <c r="V2608" i="12"/>
  <c r="W2608" i="12"/>
  <c r="V2609" i="12"/>
  <c r="V2610" i="12"/>
  <c r="W2609" i="12"/>
  <c r="W2610" i="12"/>
  <c r="V2611" i="12"/>
  <c r="W2611" i="12"/>
  <c r="V2612" i="12"/>
  <c r="W2612" i="12"/>
  <c r="V2613" i="12"/>
  <c r="W2613" i="12"/>
  <c r="V2614" i="12"/>
  <c r="V2615" i="12"/>
  <c r="W2614" i="12"/>
  <c r="V2616" i="12"/>
  <c r="W2615" i="12"/>
  <c r="V2617" i="12"/>
  <c r="W2616" i="12"/>
  <c r="V2618" i="12"/>
  <c r="W2617" i="12"/>
  <c r="V2619" i="12"/>
  <c r="W2618" i="12"/>
  <c r="W2619" i="12"/>
  <c r="V2620" i="12"/>
  <c r="V2621" i="12"/>
  <c r="W2620" i="12"/>
  <c r="W2621" i="12"/>
  <c r="V2622" i="12"/>
  <c r="W2622" i="12"/>
  <c r="V2623" i="12"/>
  <c r="V2624" i="12"/>
  <c r="W2623" i="12"/>
  <c r="V2625" i="12"/>
  <c r="W2624" i="12"/>
  <c r="V2626" i="12"/>
  <c r="W2625" i="12"/>
  <c r="V2627" i="12"/>
  <c r="W2626" i="12"/>
  <c r="V2628" i="12"/>
  <c r="W2627" i="12"/>
  <c r="W2628" i="12"/>
  <c r="V2629" i="12"/>
  <c r="W2629" i="12"/>
  <c r="V2630" i="12"/>
  <c r="V2631" i="12"/>
  <c r="W2630" i="12"/>
  <c r="V2632" i="12"/>
  <c r="W2631" i="12"/>
  <c r="W2632" i="12"/>
  <c r="V2633" i="12"/>
  <c r="V2634" i="12"/>
  <c r="W2633" i="12"/>
  <c r="V2635" i="12"/>
  <c r="W2634" i="12"/>
  <c r="V2636" i="12"/>
  <c r="W2635" i="12"/>
  <c r="W2636" i="12"/>
  <c r="V2637" i="12"/>
  <c r="V2638" i="12"/>
  <c r="W2637" i="12"/>
  <c r="V2639" i="12"/>
  <c r="W2638" i="12"/>
  <c r="W2639" i="12"/>
  <c r="V2640" i="12"/>
  <c r="V2641" i="12"/>
  <c r="W2640" i="12"/>
  <c r="W2641" i="12"/>
  <c r="V2642" i="12"/>
  <c r="V2643" i="12"/>
  <c r="W2642" i="12"/>
  <c r="V2644" i="12"/>
  <c r="W2643" i="12"/>
  <c r="V2645" i="12"/>
  <c r="W2644" i="12"/>
  <c r="W2645" i="12"/>
  <c r="V2646" i="12"/>
  <c r="V2647" i="12"/>
  <c r="W2646" i="12"/>
  <c r="W2647" i="12"/>
  <c r="V2648" i="12"/>
  <c r="V2649" i="12"/>
  <c r="W2648" i="12"/>
  <c r="W2649" i="12"/>
  <c r="V2650" i="12"/>
  <c r="W2650" i="12"/>
  <c r="V2651" i="12"/>
  <c r="V2652" i="12"/>
  <c r="W2651" i="12"/>
  <c r="V2653" i="12"/>
  <c r="W2652" i="12"/>
  <c r="W2653" i="12"/>
  <c r="V2654" i="12"/>
  <c r="V2655" i="12"/>
  <c r="W2654" i="12"/>
  <c r="W2655" i="12"/>
  <c r="V2656" i="12"/>
  <c r="V2657" i="12"/>
  <c r="W2656" i="12"/>
  <c r="W2657" i="12"/>
  <c r="V2658" i="12"/>
  <c r="V2659" i="12"/>
  <c r="W2658" i="12"/>
  <c r="V2660" i="12"/>
  <c r="W2659" i="12"/>
  <c r="V2661" i="12"/>
  <c r="W2660" i="12"/>
  <c r="V2662" i="12"/>
  <c r="W2661" i="12"/>
  <c r="W2662" i="12"/>
  <c r="V2663" i="12"/>
  <c r="W2663" i="12"/>
  <c r="V2664" i="12"/>
  <c r="W2664" i="12"/>
  <c r="V2665" i="12"/>
  <c r="W2665" i="12"/>
  <c r="V2666" i="12"/>
  <c r="V2667" i="12"/>
  <c r="W2666" i="12"/>
  <c r="V2668" i="12"/>
  <c r="W2667" i="12"/>
  <c r="W2668" i="12"/>
  <c r="V2669" i="12"/>
  <c r="V2670" i="12"/>
  <c r="W2669" i="12"/>
  <c r="W2670" i="12"/>
  <c r="V2671" i="12"/>
  <c r="W2671" i="12"/>
  <c r="V2672" i="12"/>
  <c r="V2673" i="12"/>
  <c r="W2672" i="12"/>
  <c r="V2674" i="12"/>
  <c r="W2673" i="12"/>
  <c r="V2675" i="12"/>
  <c r="W2674" i="12"/>
  <c r="V2676" i="12"/>
  <c r="W2675" i="12"/>
  <c r="W2676" i="12"/>
  <c r="V2677" i="12"/>
  <c r="V2678" i="12"/>
  <c r="W2677" i="12"/>
  <c r="W2678" i="12"/>
  <c r="V2679" i="12"/>
  <c r="W2679" i="12"/>
  <c r="V2680" i="12"/>
  <c r="W2680" i="12"/>
  <c r="V2681" i="12"/>
  <c r="W2681" i="12"/>
  <c r="V2682" i="12"/>
  <c r="W2682" i="12"/>
  <c r="V2683" i="12"/>
  <c r="W2683" i="12"/>
  <c r="V2684" i="12"/>
  <c r="V2685" i="12"/>
  <c r="W2684" i="12"/>
  <c r="W2685" i="12"/>
  <c r="V2686" i="12"/>
  <c r="W2686" i="12"/>
  <c r="V2687" i="12"/>
  <c r="W2687" i="12"/>
  <c r="V2688" i="12"/>
  <c r="V2689" i="12"/>
  <c r="W2688" i="12"/>
  <c r="V2690" i="12"/>
  <c r="W2689" i="12"/>
  <c r="W2690" i="12"/>
  <c r="V2691" i="12"/>
  <c r="V2692" i="12"/>
  <c r="W2691" i="12"/>
  <c r="W2692" i="12"/>
  <c r="V2693" i="12"/>
  <c r="V2694" i="12"/>
  <c r="W2693" i="12"/>
  <c r="V2695" i="12"/>
  <c r="W2694" i="12"/>
  <c r="W2695" i="12"/>
  <c r="V2696" i="12"/>
  <c r="W2696" i="12"/>
  <c r="V2697" i="12"/>
  <c r="V2698" i="12"/>
  <c r="W2697" i="12"/>
  <c r="W2698" i="12"/>
  <c r="V2699" i="12"/>
  <c r="V2700" i="12"/>
  <c r="W2699" i="12"/>
  <c r="W2700" i="12"/>
  <c r="V2701" i="12"/>
  <c r="V2702" i="12"/>
  <c r="W2701" i="12"/>
  <c r="V2703" i="12"/>
  <c r="W2702" i="12"/>
  <c r="V2704" i="12"/>
  <c r="W2703" i="12"/>
  <c r="W2704" i="12"/>
  <c r="V2705" i="12"/>
  <c r="W2705" i="12"/>
  <c r="V2706" i="12"/>
  <c r="V2707" i="12"/>
  <c r="W2706" i="12"/>
  <c r="V2708" i="12"/>
  <c r="W2707" i="12"/>
  <c r="V2709" i="12"/>
  <c r="W2708" i="12"/>
  <c r="W2709" i="12"/>
  <c r="V2710" i="12"/>
  <c r="W2710" i="12"/>
  <c r="V2711" i="12"/>
  <c r="W2711" i="12"/>
  <c r="V2712" i="12"/>
  <c r="W2712" i="12"/>
  <c r="V2713" i="12"/>
  <c r="W2713" i="12"/>
  <c r="V2714" i="12"/>
  <c r="V2715" i="12"/>
  <c r="W2714" i="12"/>
  <c r="V2716" i="12"/>
  <c r="W2715" i="12"/>
  <c r="W2716" i="12"/>
  <c r="V2717" i="12"/>
  <c r="V2718" i="12"/>
  <c r="W2717" i="12"/>
  <c r="V2719" i="12"/>
  <c r="W2718" i="12"/>
  <c r="W2719" i="12"/>
  <c r="V2720" i="12"/>
  <c r="V2721" i="12"/>
  <c r="W2720" i="12"/>
  <c r="W2721" i="12"/>
  <c r="V2722" i="12"/>
  <c r="W2722" i="12"/>
  <c r="V2723" i="12"/>
  <c r="V2724" i="12"/>
  <c r="W2723" i="12"/>
  <c r="V2725" i="12"/>
  <c r="W2724" i="12"/>
  <c r="W2725" i="12"/>
  <c r="V2726" i="12"/>
  <c r="W2726" i="12"/>
  <c r="V2727" i="12"/>
  <c r="W2727" i="12"/>
  <c r="V2728" i="12"/>
  <c r="V2729" i="12"/>
  <c r="W2728" i="12"/>
  <c r="W2729" i="12"/>
  <c r="V2730" i="12"/>
  <c r="V2731" i="12"/>
  <c r="W2730" i="12"/>
  <c r="W2731" i="12"/>
  <c r="V2732" i="12"/>
  <c r="W2732" i="12"/>
  <c r="V2733" i="12"/>
  <c r="V2734" i="12"/>
  <c r="W2733" i="12"/>
  <c r="V2735" i="12"/>
  <c r="W2734" i="12"/>
  <c r="W2735" i="12"/>
  <c r="V2736" i="12"/>
  <c r="V2737" i="12"/>
  <c r="W2736" i="12"/>
  <c r="W2737" i="12"/>
  <c r="V2738" i="12"/>
  <c r="V2739" i="12"/>
  <c r="W2738" i="12"/>
  <c r="V2740" i="12"/>
  <c r="W2739" i="12"/>
  <c r="W2740" i="12"/>
  <c r="V2741" i="12"/>
  <c r="V2742" i="12"/>
  <c r="W2741" i="12"/>
  <c r="W2742" i="12"/>
  <c r="V2743" i="12"/>
  <c r="V2744" i="12"/>
  <c r="W2743" i="12"/>
  <c r="V2745" i="12"/>
  <c r="W2744" i="12"/>
  <c r="W2745" i="12"/>
  <c r="V2746" i="12"/>
  <c r="W2746" i="12"/>
  <c r="V2747" i="12"/>
  <c r="V2748" i="12"/>
  <c r="W2747" i="12"/>
  <c r="W2748" i="12"/>
  <c r="V2749" i="12"/>
  <c r="V2750" i="12"/>
  <c r="W2749" i="12"/>
  <c r="W2750" i="12"/>
  <c r="V2751" i="12"/>
  <c r="W2751" i="12"/>
  <c r="V2752" i="12"/>
  <c r="W2752" i="12"/>
  <c r="V2753" i="12"/>
  <c r="W2753" i="12"/>
  <c r="V2754" i="12"/>
  <c r="V2755" i="12"/>
  <c r="W2754" i="12"/>
  <c r="V2756" i="12"/>
  <c r="W2755" i="12"/>
  <c r="W2756" i="12"/>
  <c r="V2757" i="12"/>
  <c r="V2758" i="12"/>
  <c r="W2757" i="12"/>
  <c r="V2759" i="12"/>
  <c r="W2758" i="12"/>
  <c r="V2760" i="12"/>
  <c r="W2759" i="12"/>
  <c r="V2761" i="12"/>
  <c r="W2760" i="12"/>
  <c r="W2761" i="12"/>
  <c r="V2762" i="12"/>
  <c r="V2763" i="12"/>
  <c r="W2762" i="12"/>
  <c r="V2764" i="12"/>
  <c r="W2763" i="12"/>
  <c r="V2765" i="12"/>
  <c r="W2764" i="12"/>
  <c r="V2766" i="12"/>
  <c r="W2765" i="12"/>
  <c r="W2766" i="12"/>
  <c r="V2767" i="12"/>
  <c r="V2768" i="12"/>
  <c r="W2767" i="12"/>
  <c r="W2768" i="12"/>
  <c r="V2769" i="12"/>
  <c r="W2769" i="12"/>
  <c r="V2770" i="12"/>
  <c r="V2771" i="12"/>
  <c r="W2770" i="12"/>
  <c r="V2772" i="12"/>
  <c r="W2771" i="12"/>
  <c r="V2773" i="12"/>
  <c r="W2772" i="12"/>
  <c r="W2773" i="12"/>
  <c r="V2774" i="12"/>
  <c r="V2775" i="12"/>
  <c r="W2774" i="12"/>
  <c r="V2776" i="12"/>
  <c r="W2775" i="12"/>
  <c r="V2777" i="12"/>
  <c r="W2776" i="12"/>
  <c r="W2777" i="12"/>
  <c r="V2778" i="12"/>
  <c r="V2779" i="12"/>
  <c r="W2778" i="12"/>
  <c r="V2780" i="12"/>
  <c r="W2779" i="12"/>
  <c r="V2781" i="12"/>
  <c r="W2780" i="12"/>
  <c r="V2782" i="12"/>
  <c r="W2781" i="12"/>
  <c r="W2782" i="12"/>
  <c r="V2783" i="12"/>
  <c r="W2783" i="12"/>
  <c r="V2784" i="12"/>
  <c r="W2784" i="12"/>
  <c r="V2785" i="12"/>
  <c r="W2785" i="12"/>
  <c r="V2786" i="12"/>
  <c r="V2787" i="12"/>
  <c r="W2786" i="12"/>
  <c r="V2788" i="12"/>
  <c r="W2787" i="12"/>
  <c r="W2788" i="12"/>
  <c r="V2789" i="12"/>
  <c r="W2789" i="12"/>
  <c r="V2790" i="12"/>
  <c r="W2790" i="12"/>
  <c r="V2791" i="12"/>
  <c r="V2792" i="12"/>
  <c r="W2791" i="12"/>
  <c r="W2792" i="12"/>
  <c r="V2793" i="12"/>
  <c r="W2793" i="12"/>
  <c r="V2794" i="12"/>
  <c r="V2795" i="12"/>
  <c r="W2794" i="12"/>
  <c r="W2795" i="12"/>
  <c r="V2796" i="12"/>
  <c r="V2797" i="12"/>
  <c r="W2796" i="12"/>
  <c r="W2797" i="12"/>
  <c r="V2798" i="12"/>
  <c r="W2798" i="12"/>
  <c r="V2799" i="12"/>
  <c r="W2799" i="12"/>
  <c r="V2800" i="12"/>
  <c r="V2801" i="12"/>
  <c r="W2800" i="12"/>
  <c r="V2802" i="12"/>
  <c r="W2801" i="12"/>
  <c r="W2802" i="12"/>
  <c r="V2803" i="12"/>
  <c r="W2803" i="12"/>
  <c r="V2804" i="12"/>
  <c r="W2804" i="12"/>
  <c r="V2805" i="12"/>
  <c r="V2806" i="12"/>
  <c r="W2805" i="12"/>
  <c r="V2807" i="12"/>
  <c r="W2806" i="12"/>
  <c r="W2807" i="12"/>
  <c r="V2808" i="12"/>
  <c r="W2808" i="12"/>
  <c r="V2809" i="12"/>
  <c r="V2810" i="12"/>
  <c r="W2809" i="12"/>
  <c r="V2811" i="12"/>
  <c r="W2810" i="12"/>
  <c r="W2811" i="12"/>
  <c r="V2812" i="12"/>
  <c r="V2813" i="12"/>
  <c r="W2812" i="12"/>
  <c r="V2814" i="12"/>
  <c r="W2813" i="12"/>
  <c r="V2815" i="12"/>
  <c r="W2814" i="12"/>
  <c r="V2816" i="12"/>
  <c r="W2815" i="12"/>
  <c r="W2816" i="12"/>
  <c r="V2817" i="12"/>
  <c r="W2817" i="12"/>
  <c r="V2818" i="12"/>
  <c r="V2819" i="12"/>
  <c r="W2818" i="12"/>
  <c r="W2819" i="12"/>
  <c r="V2820" i="12"/>
  <c r="W2820" i="12"/>
  <c r="V2821" i="12"/>
  <c r="W2821" i="12"/>
  <c r="V2822" i="12"/>
  <c r="V2823" i="12"/>
  <c r="W2822" i="12"/>
  <c r="V2824" i="12"/>
  <c r="W2823" i="12"/>
  <c r="V2825" i="12"/>
  <c r="W2824" i="12"/>
  <c r="V2826" i="12"/>
  <c r="W2825" i="12"/>
  <c r="W2826" i="12"/>
  <c r="V2827" i="12"/>
  <c r="V2828" i="12"/>
  <c r="W2827" i="12"/>
  <c r="V2829" i="12"/>
  <c r="W2828" i="12"/>
  <c r="V2830" i="12"/>
  <c r="W2829" i="12"/>
  <c r="W2830" i="12"/>
  <c r="V2831" i="12"/>
  <c r="W2831" i="12"/>
  <c r="V2832" i="12"/>
  <c r="W2832" i="12"/>
  <c r="V2833" i="12"/>
  <c r="W2833" i="12"/>
  <c r="V2834" i="12"/>
  <c r="W2834" i="12"/>
  <c r="V2835" i="12"/>
  <c r="V2836" i="12"/>
  <c r="W2835" i="12"/>
  <c r="V2837" i="12"/>
  <c r="W2836" i="12"/>
  <c r="W2837" i="12"/>
  <c r="V2838" i="12"/>
  <c r="V2839" i="12"/>
  <c r="W2838" i="12"/>
  <c r="V2840" i="12"/>
  <c r="W2839" i="12"/>
  <c r="V2841" i="12"/>
  <c r="W2840" i="12"/>
  <c r="W2841" i="12"/>
  <c r="V2842" i="12"/>
  <c r="V2843" i="12"/>
  <c r="W2842" i="12"/>
  <c r="W2843" i="12"/>
  <c r="V2844" i="12"/>
  <c r="W2844" i="12"/>
  <c r="V2845" i="12"/>
  <c r="W2845" i="12"/>
  <c r="V2846" i="12"/>
  <c r="W2846" i="12"/>
  <c r="V2847" i="12"/>
  <c r="V2848" i="12"/>
  <c r="W2847" i="12"/>
  <c r="W2848" i="12"/>
  <c r="V2849" i="12"/>
  <c r="W2849" i="12"/>
  <c r="V2850" i="12"/>
  <c r="V2851" i="12"/>
  <c r="W2850" i="12"/>
  <c r="V2852" i="12"/>
  <c r="W2851" i="12"/>
  <c r="W2852" i="12"/>
  <c r="V2853" i="12"/>
  <c r="W2853" i="12"/>
  <c r="V2854" i="12"/>
  <c r="V2855" i="12"/>
  <c r="W2854" i="12"/>
  <c r="V2856" i="12"/>
  <c r="W2855" i="12"/>
  <c r="W2856" i="12"/>
  <c r="V2857" i="12"/>
  <c r="W2857" i="12"/>
  <c r="V2858" i="12"/>
  <c r="V2859" i="12"/>
  <c r="W2858" i="12"/>
  <c r="V2860" i="12"/>
  <c r="W2859" i="12"/>
  <c r="V2861" i="12"/>
  <c r="W2860" i="12"/>
  <c r="W2861" i="12"/>
  <c r="V2862" i="12"/>
  <c r="V2863" i="12"/>
  <c r="W2862" i="12"/>
  <c r="W2863" i="12"/>
  <c r="V2864" i="12"/>
  <c r="V2865" i="12"/>
  <c r="W2864" i="12"/>
  <c r="W2865" i="12"/>
  <c r="V2866" i="12"/>
  <c r="W2866" i="12"/>
  <c r="V2867" i="12"/>
  <c r="W2867" i="12"/>
  <c r="V2868" i="12"/>
  <c r="W2868" i="12"/>
  <c r="V2869" i="12"/>
  <c r="W2869" i="12"/>
  <c r="V2870" i="12"/>
  <c r="W2870" i="12"/>
  <c r="V2871" i="12"/>
  <c r="W2871" i="12"/>
  <c r="V2872" i="12"/>
  <c r="V2873" i="12"/>
  <c r="W2872" i="12"/>
  <c r="V2874" i="12"/>
  <c r="W2873" i="12"/>
  <c r="V2875" i="12"/>
  <c r="W2874" i="12"/>
  <c r="V2876" i="12"/>
  <c r="W2875" i="12"/>
  <c r="V2877" i="12"/>
  <c r="W2876" i="12"/>
  <c r="V2878" i="12"/>
  <c r="W2877" i="12"/>
  <c r="W2878" i="12"/>
  <c r="V2879" i="12"/>
  <c r="V2880" i="12"/>
  <c r="W2879" i="12"/>
  <c r="W2880" i="12"/>
  <c r="V2881" i="12"/>
  <c r="V2882" i="12"/>
  <c r="W2881" i="12"/>
  <c r="W2882" i="12"/>
  <c r="V2883" i="12"/>
  <c r="V2884" i="12"/>
  <c r="W2883" i="12"/>
  <c r="W2884" i="12"/>
  <c r="V2885" i="12"/>
  <c r="V2886" i="12"/>
  <c r="W2885" i="12"/>
  <c r="V2887" i="12"/>
  <c r="W2886" i="12"/>
  <c r="V2888" i="12"/>
  <c r="W2887" i="12"/>
  <c r="V2889" i="12"/>
  <c r="W2888" i="12"/>
  <c r="W2889" i="12"/>
  <c r="V2890" i="12"/>
  <c r="V2891" i="12"/>
  <c r="W2890" i="12"/>
  <c r="W2891" i="12"/>
  <c r="V2892" i="12"/>
  <c r="W2892" i="12"/>
  <c r="V2893" i="12"/>
  <c r="V2894" i="12"/>
  <c r="W2893" i="12"/>
  <c r="W2894" i="12"/>
  <c r="V2895" i="12"/>
  <c r="W2895" i="12"/>
  <c r="V2896" i="12"/>
  <c r="W2896" i="12"/>
  <c r="V2897" i="12"/>
  <c r="V2898" i="12"/>
  <c r="W2897" i="12"/>
  <c r="W2898" i="12"/>
  <c r="V2899" i="12"/>
  <c r="W2899" i="12"/>
  <c r="V2900" i="12"/>
  <c r="V2901" i="12"/>
  <c r="W2900" i="12"/>
  <c r="V2902" i="12"/>
  <c r="W2901" i="12"/>
  <c r="V2903" i="12"/>
  <c r="W2902" i="12"/>
  <c r="V2904" i="12"/>
  <c r="W2903" i="12"/>
  <c r="V2905" i="12"/>
  <c r="W2904" i="12"/>
  <c r="W2905" i="12"/>
  <c r="V2906" i="12"/>
  <c r="V2907" i="12"/>
  <c r="W2906" i="12"/>
  <c r="W2907" i="12"/>
  <c r="V2908" i="12"/>
  <c r="V2909" i="12"/>
  <c r="W2908" i="12"/>
  <c r="V2910" i="12"/>
  <c r="W2909" i="12"/>
  <c r="V2911" i="12"/>
  <c r="W2910" i="12"/>
  <c r="W2911" i="12"/>
  <c r="V2912" i="12"/>
  <c r="W2912" i="12"/>
  <c r="V2913" i="12"/>
  <c r="W2913" i="12"/>
  <c r="V2914" i="12"/>
  <c r="W2914" i="12"/>
  <c r="V2915" i="12"/>
  <c r="W2915" i="12"/>
  <c r="V2916" i="12"/>
  <c r="W2916" i="12"/>
  <c r="V2917" i="12"/>
  <c r="W2917" i="12"/>
  <c r="V2918" i="12"/>
  <c r="V2919" i="12"/>
  <c r="W2918" i="12"/>
  <c r="V2920" i="12"/>
  <c r="W2919" i="12"/>
  <c r="V2921" i="12"/>
  <c r="W2920" i="12"/>
  <c r="W2921" i="12"/>
  <c r="V2922" i="12"/>
  <c r="V2923" i="12"/>
  <c r="W2922" i="12"/>
  <c r="W2923" i="12"/>
  <c r="V2924" i="12"/>
  <c r="W2924" i="12"/>
  <c r="V2925" i="12"/>
  <c r="W2925" i="12"/>
  <c r="V2926" i="12"/>
  <c r="V2927" i="12"/>
  <c r="W2926" i="12"/>
  <c r="V2928" i="12"/>
  <c r="W2927" i="12"/>
  <c r="V2929" i="12"/>
  <c r="W2928" i="12"/>
  <c r="W2929" i="12"/>
  <c r="V2930" i="12"/>
  <c r="V2931" i="12"/>
  <c r="W2930" i="12"/>
  <c r="V2932" i="12"/>
  <c r="W2931" i="12"/>
  <c r="V2933" i="12"/>
  <c r="W2932" i="12"/>
  <c r="W2933" i="12"/>
  <c r="V2934" i="12"/>
  <c r="W2934" i="12"/>
  <c r="V2935" i="12"/>
  <c r="W2935" i="12"/>
  <c r="V2936" i="12"/>
  <c r="V2937" i="12"/>
  <c r="W2936" i="12"/>
  <c r="W2937" i="12"/>
  <c r="V2938" i="12"/>
  <c r="W2938" i="12"/>
  <c r="V2939" i="12"/>
  <c r="V2940" i="12"/>
  <c r="W2939" i="12"/>
  <c r="V2941" i="12"/>
  <c r="W2940" i="12"/>
  <c r="W2941" i="12"/>
  <c r="V2942" i="12"/>
  <c r="V2943" i="12"/>
  <c r="W2942" i="12"/>
  <c r="V2944" i="12"/>
  <c r="W2943" i="12"/>
  <c r="W2944" i="12"/>
  <c r="V2945" i="12"/>
  <c r="V2946" i="12"/>
  <c r="W2945" i="12"/>
  <c r="W2946" i="12"/>
  <c r="V2947" i="12"/>
  <c r="W2947" i="12"/>
  <c r="V2948" i="12"/>
  <c r="V2949" i="12"/>
  <c r="W2948" i="12"/>
  <c r="W2949" i="12"/>
  <c r="V2950" i="12"/>
  <c r="V2951" i="12"/>
  <c r="W2950" i="12"/>
  <c r="V2952" i="12"/>
  <c r="W2951" i="12"/>
  <c r="W2952" i="12"/>
  <c r="V2953" i="12"/>
  <c r="W2953" i="12"/>
  <c r="V2954" i="12"/>
  <c r="W2954" i="12"/>
  <c r="V2955" i="12"/>
  <c r="V2956" i="12"/>
  <c r="W2955" i="12"/>
  <c r="W2956" i="12"/>
  <c r="V2957" i="12"/>
  <c r="W2957" i="12"/>
  <c r="V2958" i="12"/>
  <c r="W2958" i="12"/>
  <c r="V2959" i="12"/>
  <c r="W2959" i="12"/>
  <c r="V2960" i="12"/>
  <c r="W2960" i="12"/>
  <c r="V2961" i="12"/>
  <c r="W2961" i="12"/>
  <c r="V2962" i="12"/>
  <c r="W2962" i="12"/>
  <c r="V2963" i="12"/>
  <c r="W2963" i="12"/>
  <c r="V2964" i="12"/>
  <c r="W2964" i="12"/>
  <c r="V2965" i="12"/>
  <c r="W2965" i="12"/>
  <c r="V2966" i="12"/>
  <c r="V2967" i="12"/>
  <c r="W2966" i="12"/>
  <c r="W2967" i="12"/>
  <c r="V2968" i="12"/>
  <c r="V2969" i="12"/>
  <c r="W2968" i="12"/>
  <c r="W2969" i="12"/>
  <c r="V2970" i="12"/>
  <c r="V2971" i="12"/>
  <c r="W2970" i="12"/>
  <c r="W2971" i="12"/>
  <c r="V2972" i="12"/>
  <c r="V2973" i="12"/>
  <c r="W2972" i="12"/>
  <c r="W2973" i="12"/>
  <c r="V2974" i="12"/>
  <c r="W2974" i="12"/>
  <c r="V2975" i="12"/>
  <c r="V2976" i="12"/>
  <c r="W2975" i="12"/>
  <c r="W2976" i="12"/>
  <c r="V2977" i="12"/>
  <c r="V2978" i="12"/>
  <c r="W2977" i="12"/>
  <c r="W2978" i="12"/>
  <c r="V2979" i="12"/>
  <c r="W2979" i="12"/>
  <c r="V2980" i="12"/>
  <c r="W2980" i="12"/>
  <c r="V2981" i="12"/>
  <c r="V2982" i="12"/>
  <c r="W2981" i="12"/>
  <c r="W2982" i="12"/>
  <c r="V2983" i="12"/>
  <c r="W2983" i="12"/>
  <c r="V2984" i="12"/>
  <c r="V2985" i="12"/>
  <c r="W2984" i="12"/>
  <c r="V2986" i="12"/>
  <c r="W2985" i="12"/>
  <c r="W2986" i="12"/>
  <c r="V2987" i="12"/>
  <c r="V2988" i="12"/>
  <c r="W2987" i="12"/>
  <c r="V2989" i="12"/>
  <c r="W2988" i="12"/>
  <c r="V2990" i="12"/>
  <c r="W2989" i="12"/>
  <c r="V2991" i="12"/>
  <c r="W2990" i="12"/>
  <c r="W2991" i="12"/>
  <c r="V2992" i="12"/>
  <c r="W2992" i="12"/>
  <c r="V2993" i="12"/>
  <c r="W2993" i="12"/>
  <c r="V2994" i="12"/>
  <c r="W2994" i="12"/>
  <c r="V2995" i="12"/>
  <c r="V2996" i="12"/>
  <c r="W2995" i="12"/>
  <c r="V2997" i="12"/>
  <c r="W2996" i="12"/>
  <c r="W2997" i="12"/>
  <c r="V2998" i="12"/>
  <c r="W2998" i="12"/>
  <c r="V2999" i="12"/>
  <c r="W2999" i="12"/>
  <c r="V3000" i="12"/>
  <c r="W3000" i="12"/>
  <c r="V3001" i="12"/>
  <c r="W3001" i="12"/>
  <c r="V3002" i="12"/>
  <c r="V3003" i="12"/>
  <c r="W3002" i="12"/>
  <c r="W3003" i="12"/>
  <c r="V3004" i="12"/>
  <c r="W3004" i="12"/>
  <c r="V3005" i="12"/>
  <c r="W3005" i="12"/>
  <c r="V3006" i="12"/>
  <c r="W3006" i="12"/>
  <c r="V3007" i="12"/>
  <c r="V3008" i="12"/>
  <c r="W3007" i="12"/>
  <c r="V3009" i="12"/>
  <c r="W3008" i="12"/>
  <c r="W3009" i="12"/>
  <c r="V3010" i="12"/>
  <c r="V3011" i="12"/>
  <c r="W3010" i="12"/>
  <c r="V3012" i="12"/>
  <c r="W3011" i="12"/>
  <c r="W3012" i="12"/>
  <c r="V3013" i="12"/>
  <c r="W3013" i="12"/>
  <c r="V3014" i="12"/>
  <c r="W3014" i="12"/>
  <c r="V3015" i="12"/>
  <c r="V3016" i="12"/>
  <c r="W3015" i="12"/>
  <c r="W3016" i="12"/>
  <c r="V3017" i="12"/>
  <c r="V3018" i="12"/>
  <c r="W3017" i="12"/>
  <c r="V3019" i="12"/>
  <c r="W3018" i="12"/>
  <c r="W3019" i="12"/>
  <c r="V3020" i="12"/>
  <c r="W3020" i="12"/>
  <c r="V3021" i="12"/>
  <c r="W3021" i="12"/>
  <c r="V3022" i="12"/>
  <c r="W3022" i="12"/>
  <c r="V3023" i="12"/>
  <c r="V3024" i="12"/>
  <c r="W3023" i="12"/>
  <c r="W3024" i="12"/>
  <c r="V3025" i="12"/>
  <c r="W3025" i="12"/>
  <c r="V3026" i="12"/>
  <c r="V3027" i="12"/>
  <c r="W3026" i="12"/>
  <c r="V3028" i="12"/>
  <c r="W3027" i="12"/>
  <c r="V3029" i="12"/>
  <c r="W3028" i="12"/>
  <c r="W3029" i="12"/>
  <c r="V3030" i="12"/>
  <c r="V3031" i="12"/>
  <c r="W3030" i="12"/>
  <c r="V3032" i="12"/>
  <c r="W3031" i="12"/>
  <c r="V3033" i="12"/>
  <c r="W3032" i="12"/>
  <c r="W3033" i="12"/>
  <c r="V3034" i="12"/>
  <c r="W3034" i="12"/>
  <c r="V3035" i="12"/>
  <c r="W3035" i="12"/>
  <c r="V3036" i="12"/>
  <c r="W3036" i="12"/>
  <c r="V3037" i="12"/>
  <c r="W3037" i="12"/>
  <c r="V3038" i="12"/>
  <c r="W3038" i="12"/>
  <c r="V3039" i="12"/>
  <c r="V3040" i="12"/>
  <c r="W3039" i="12"/>
  <c r="W3040" i="12"/>
  <c r="V3041" i="12"/>
  <c r="V3042" i="12"/>
  <c r="W3041" i="12"/>
  <c r="V3043" i="12"/>
  <c r="W3042" i="12"/>
  <c r="V3044" i="12"/>
  <c r="W3043" i="12"/>
  <c r="V3045" i="12"/>
  <c r="W3044" i="12"/>
  <c r="W3045" i="12"/>
  <c r="V3046" i="12"/>
  <c r="W3046" i="12"/>
  <c r="V3047" i="12"/>
  <c r="V3048" i="12"/>
  <c r="W3047" i="12"/>
  <c r="V3049" i="12"/>
  <c r="W3048" i="12"/>
  <c r="W3049" i="12"/>
  <c r="V3050" i="12"/>
  <c r="V3051" i="12"/>
  <c r="W3050" i="12"/>
  <c r="V3052" i="12"/>
  <c r="W3051" i="12"/>
  <c r="W3052" i="12"/>
  <c r="V3053" i="12"/>
  <c r="V3054" i="12"/>
  <c r="W3053" i="12"/>
  <c r="W3054" i="12"/>
  <c r="V3055" i="12"/>
  <c r="W3055" i="12"/>
  <c r="V3056" i="12"/>
  <c r="V3057" i="12"/>
  <c r="W3056" i="12"/>
  <c r="W3057" i="12"/>
  <c r="V3058" i="12"/>
  <c r="V3059" i="12"/>
  <c r="W3058" i="12"/>
  <c r="W3059" i="12"/>
  <c r="V3060" i="12"/>
  <c r="V3061" i="12"/>
  <c r="W3060" i="12"/>
  <c r="W3061" i="12"/>
  <c r="V3062" i="12"/>
  <c r="V3063" i="12"/>
  <c r="W3062" i="12"/>
  <c r="W3063" i="12"/>
  <c r="V3064" i="12"/>
  <c r="W3064" i="12"/>
  <c r="V3065" i="12"/>
  <c r="V3066" i="12"/>
  <c r="W3065" i="12"/>
  <c r="W3066" i="12"/>
  <c r="V3067" i="12"/>
  <c r="W3067" i="12"/>
  <c r="V3068" i="12"/>
  <c r="W3068" i="12"/>
  <c r="V3069" i="12"/>
  <c r="W3069" i="12"/>
  <c r="V3070" i="12"/>
  <c r="W3070" i="12"/>
  <c r="V3071" i="12"/>
  <c r="W3071" i="12"/>
  <c r="V3072" i="12"/>
  <c r="W3072" i="12"/>
  <c r="V3073" i="12"/>
  <c r="V3074" i="12"/>
  <c r="W3073" i="12"/>
  <c r="W3074" i="12"/>
  <c r="V3075" i="12"/>
  <c r="W3075" i="12"/>
  <c r="V3076" i="12"/>
  <c r="V3077" i="12"/>
  <c r="W3076" i="12"/>
  <c r="V3078" i="12"/>
  <c r="W3077" i="12"/>
  <c r="V3079" i="12"/>
  <c r="W3078" i="12"/>
  <c r="W3079" i="12"/>
  <c r="V3080" i="12"/>
  <c r="V3081" i="12"/>
  <c r="W3080" i="12"/>
  <c r="W3081" i="12"/>
  <c r="V3082" i="12"/>
  <c r="V3083" i="12"/>
  <c r="W3082" i="12"/>
  <c r="W3083" i="12"/>
  <c r="V3084" i="12"/>
  <c r="W3084" i="12"/>
  <c r="V3085" i="12"/>
  <c r="V3086" i="12"/>
  <c r="W3085" i="12"/>
  <c r="W3086" i="12"/>
  <c r="V3087" i="12"/>
  <c r="V3088" i="12"/>
  <c r="W3087" i="12"/>
  <c r="W3088" i="12"/>
  <c r="V3089" i="12"/>
  <c r="W3089" i="12"/>
  <c r="V3090" i="12"/>
  <c r="V3091" i="12"/>
  <c r="W3090" i="12"/>
  <c r="V3092" i="12"/>
  <c r="W3091" i="12"/>
  <c r="W3092" i="12"/>
  <c r="V3093" i="12"/>
  <c r="W3093" i="12"/>
  <c r="V3094" i="12"/>
  <c r="V3095" i="12"/>
  <c r="W3094" i="12"/>
  <c r="V3096" i="12"/>
  <c r="W3095" i="12"/>
  <c r="V3097" i="12"/>
  <c r="W3096" i="12"/>
  <c r="V3098" i="12"/>
  <c r="W3097" i="12"/>
  <c r="V3099" i="12"/>
  <c r="W3098" i="12"/>
  <c r="W3099" i="12"/>
  <c r="V3100" i="12"/>
  <c r="W3100" i="12"/>
  <c r="V3101" i="12"/>
  <c r="W3101" i="12"/>
  <c r="V3102" i="12"/>
  <c r="V3103" i="12"/>
  <c r="W3102" i="12"/>
  <c r="V3104" i="12"/>
  <c r="W3103" i="12"/>
  <c r="V3105" i="12"/>
  <c r="W3104" i="12"/>
  <c r="W3105" i="12"/>
  <c r="V3106" i="12"/>
  <c r="W3106" i="12"/>
  <c r="V3107" i="12"/>
  <c r="V3108" i="12"/>
  <c r="W3107" i="12"/>
  <c r="V3109" i="12"/>
  <c r="W3108" i="12"/>
  <c r="V3110" i="12"/>
  <c r="W3109" i="12"/>
  <c r="V3111" i="12"/>
  <c r="W3110" i="12"/>
  <c r="W3111" i="12"/>
  <c r="V3112" i="12"/>
  <c r="W3112" i="12"/>
  <c r="V3113" i="12"/>
  <c r="W3113" i="12"/>
  <c r="V3114" i="12"/>
  <c r="V3115" i="12"/>
  <c r="W3114" i="12"/>
  <c r="V3116" i="12"/>
  <c r="W3115" i="12"/>
  <c r="V3117" i="12"/>
  <c r="W3116" i="12"/>
  <c r="W3117" i="12"/>
  <c r="V3118" i="12"/>
  <c r="W3118" i="12"/>
  <c r="V3119" i="12"/>
  <c r="W3119" i="12"/>
  <c r="V3120" i="12"/>
  <c r="V3121" i="12"/>
  <c r="W3120" i="12"/>
  <c r="V3122" i="12"/>
  <c r="W3121" i="12"/>
  <c r="W3122" i="12"/>
  <c r="V3123" i="12"/>
  <c r="V3124" i="12"/>
  <c r="W3123" i="12"/>
  <c r="V3125" i="12"/>
  <c r="W3124" i="12"/>
  <c r="V3126" i="12"/>
  <c r="W3125" i="12"/>
  <c r="V3127" i="12"/>
  <c r="W3126" i="12"/>
  <c r="V3128" i="12"/>
  <c r="W3127" i="12"/>
  <c r="V3129" i="12"/>
  <c r="W3128" i="12"/>
  <c r="W3129" i="12"/>
  <c r="V3130" i="12"/>
  <c r="W3130" i="12"/>
  <c r="V3131" i="12"/>
  <c r="V3132" i="12"/>
  <c r="W3131" i="12"/>
  <c r="W3132" i="12"/>
  <c r="V3133" i="12"/>
  <c r="W3133" i="12"/>
  <c r="V3134" i="12"/>
  <c r="W3134" i="12"/>
  <c r="V3135" i="12"/>
  <c r="V3136" i="12"/>
  <c r="W3135" i="12"/>
  <c r="W3136" i="12"/>
  <c r="V3137" i="12"/>
  <c r="W3137" i="12"/>
  <c r="V3138" i="12"/>
  <c r="W3138" i="12"/>
  <c r="V3139" i="12"/>
  <c r="W3139" i="12"/>
  <c r="V3140" i="12"/>
  <c r="W3140" i="12"/>
  <c r="V3141" i="12"/>
  <c r="V3142" i="12"/>
  <c r="W3141" i="12"/>
  <c r="W3142" i="12"/>
  <c r="V3143" i="12"/>
  <c r="W3143" i="12"/>
  <c r="V3144" i="12"/>
  <c r="W3144" i="12"/>
  <c r="V3145" i="12"/>
  <c r="V3146" i="12"/>
  <c r="W3145" i="12"/>
  <c r="V3147" i="12"/>
  <c r="W3146" i="12"/>
  <c r="W3147" i="12"/>
  <c r="V3148" i="12"/>
  <c r="W3148" i="12"/>
  <c r="V3149" i="12"/>
  <c r="V3150" i="12"/>
  <c r="W3149" i="12"/>
  <c r="V3151" i="12"/>
  <c r="W3150" i="12"/>
  <c r="V3152" i="12"/>
  <c r="W3151" i="12"/>
  <c r="V3153" i="12"/>
  <c r="W3152" i="12"/>
  <c r="W3153" i="12"/>
  <c r="V3154" i="12"/>
  <c r="W3154" i="12"/>
  <c r="V3155" i="12"/>
  <c r="W3155" i="12"/>
  <c r="V3156" i="12"/>
  <c r="V3157" i="12"/>
  <c r="W3156" i="12"/>
  <c r="V3158" i="12"/>
  <c r="W3157" i="12"/>
  <c r="W3158" i="12"/>
  <c r="V3159" i="12"/>
  <c r="V3160" i="12"/>
  <c r="W3159" i="12"/>
  <c r="V3161" i="12"/>
  <c r="W3160" i="12"/>
  <c r="W3161" i="12"/>
  <c r="V3162" i="12"/>
  <c r="W3162" i="12"/>
  <c r="V3163" i="12"/>
  <c r="W3163" i="12"/>
  <c r="V3164" i="12"/>
  <c r="V3165" i="12"/>
  <c r="W3164" i="12"/>
  <c r="V3166" i="12"/>
  <c r="W3165" i="12"/>
  <c r="W3166" i="12"/>
  <c r="V3167" i="12"/>
  <c r="W3167" i="12"/>
  <c r="V3168" i="12"/>
  <c r="V3169" i="12"/>
  <c r="W3168" i="12"/>
  <c r="W3169" i="12"/>
  <c r="V3170" i="12"/>
  <c r="V3171" i="12"/>
  <c r="W3170" i="12"/>
  <c r="W3171" i="12"/>
  <c r="V3172" i="12"/>
  <c r="W3172" i="12"/>
  <c r="V3173" i="12"/>
  <c r="W3173" i="12"/>
  <c r="V3174" i="12"/>
  <c r="V3175" i="12"/>
  <c r="W3174" i="12"/>
  <c r="V3176" i="12"/>
  <c r="W3175" i="12"/>
  <c r="V3177" i="12"/>
  <c r="W3176" i="12"/>
  <c r="W3177" i="12"/>
  <c r="V3178" i="12"/>
  <c r="W3178" i="12"/>
  <c r="V3179" i="12"/>
  <c r="V3180" i="12"/>
  <c r="W3179" i="12"/>
  <c r="W3180" i="12"/>
  <c r="V3181" i="12"/>
  <c r="W3181" i="12"/>
  <c r="V3182" i="12"/>
  <c r="W3182" i="12"/>
  <c r="V3183" i="12"/>
  <c r="V3184" i="12"/>
  <c r="W3183" i="12"/>
  <c r="W3184" i="12"/>
  <c r="V3185" i="12"/>
  <c r="V3186" i="12"/>
  <c r="W3185" i="12"/>
  <c r="V3187" i="12"/>
  <c r="W3186" i="12"/>
  <c r="W3187" i="12"/>
  <c r="V3188" i="12"/>
  <c r="W3188" i="12"/>
  <c r="V3189" i="12"/>
  <c r="V3190" i="12"/>
  <c r="W3189" i="12"/>
  <c r="W3190" i="12"/>
  <c r="V3191" i="12"/>
  <c r="V3192" i="12"/>
  <c r="W3191" i="12"/>
  <c r="W3192" i="12"/>
  <c r="V3193" i="12"/>
  <c r="V3194" i="12"/>
  <c r="W3193" i="12"/>
  <c r="W3194" i="12"/>
  <c r="V3195" i="12"/>
  <c r="W3195" i="12"/>
  <c r="V3196" i="12"/>
  <c r="W3196" i="12"/>
  <c r="V3197" i="12"/>
  <c r="W3197" i="12"/>
  <c r="V3198" i="12"/>
  <c r="V3199" i="12"/>
  <c r="W3198" i="12"/>
  <c r="W3199" i="12"/>
  <c r="V3200" i="12"/>
  <c r="W3200" i="12"/>
  <c r="V3201" i="12"/>
  <c r="W3201" i="12"/>
  <c r="V3202" i="12"/>
  <c r="V3203" i="12"/>
  <c r="W3202" i="12"/>
  <c r="W3203" i="12"/>
  <c r="V3204" i="12"/>
  <c r="V3205" i="12"/>
  <c r="W3204" i="12"/>
  <c r="V3206" i="12"/>
  <c r="W3205" i="12"/>
  <c r="W3206" i="12"/>
  <c r="V3207" i="12"/>
  <c r="V3208" i="12"/>
  <c r="W3207" i="12"/>
  <c r="W3208" i="12"/>
  <c r="V3209" i="12"/>
  <c r="V3210" i="12"/>
  <c r="W3209" i="12"/>
  <c r="W3210" i="12"/>
  <c r="V3211" i="12"/>
  <c r="W3211" i="12"/>
  <c r="V3212" i="12"/>
  <c r="W3212" i="12"/>
  <c r="V3213" i="12"/>
  <c r="W3213" i="12"/>
  <c r="V3214" i="12"/>
  <c r="W3214" i="12"/>
  <c r="V3215" i="12"/>
  <c r="V3216" i="12"/>
  <c r="W3215" i="12"/>
  <c r="W3216" i="12"/>
  <c r="V3217" i="12"/>
  <c r="V3218" i="12"/>
  <c r="W3217" i="12"/>
  <c r="W3218" i="12"/>
  <c r="V3219" i="12"/>
  <c r="V3220" i="12"/>
  <c r="W3219" i="12"/>
  <c r="V3221" i="12"/>
  <c r="W3220" i="12"/>
  <c r="W3221" i="12"/>
  <c r="V3222" i="12"/>
  <c r="V3223" i="12"/>
  <c r="W3222" i="12"/>
  <c r="V3224" i="12"/>
  <c r="W3223" i="12"/>
  <c r="V3225" i="12"/>
  <c r="W3224" i="12"/>
  <c r="W3225" i="12"/>
  <c r="V3226" i="12"/>
  <c r="W3226" i="12"/>
  <c r="V3227" i="12"/>
  <c r="V3228" i="12"/>
  <c r="W3227" i="12"/>
  <c r="W3228" i="12"/>
  <c r="V3229" i="12"/>
  <c r="W3229" i="12"/>
  <c r="V3230" i="12"/>
  <c r="W3230" i="12"/>
  <c r="V3231" i="12"/>
  <c r="W3231" i="12"/>
  <c r="V3232" i="12"/>
  <c r="W3232" i="12"/>
  <c r="V3233" i="12"/>
  <c r="W3233" i="12"/>
  <c r="V3234" i="12"/>
  <c r="V3235" i="12"/>
  <c r="W3234" i="12"/>
  <c r="V3236" i="12"/>
  <c r="W3235" i="12"/>
  <c r="V3237" i="12"/>
  <c r="W3236" i="12"/>
  <c r="W3237" i="12"/>
  <c r="V3238" i="12"/>
  <c r="V3239" i="12"/>
  <c r="W3238" i="12"/>
  <c r="W3239" i="12"/>
  <c r="V3240" i="12"/>
  <c r="W3240" i="12"/>
  <c r="V3241" i="12"/>
  <c r="V3242" i="12"/>
  <c r="W3241" i="12"/>
  <c r="W3242" i="12"/>
  <c r="V3243" i="12"/>
  <c r="W3243" i="12"/>
  <c r="V3244" i="12"/>
  <c r="W3244" i="12"/>
  <c r="V3245" i="12"/>
  <c r="W3245" i="12"/>
  <c r="V3246" i="12"/>
  <c r="W3246" i="12"/>
  <c r="V3247" i="12"/>
  <c r="V3248" i="12"/>
  <c r="W3247" i="12"/>
  <c r="W3248" i="12"/>
  <c r="V3249" i="12"/>
  <c r="W3249" i="12"/>
  <c r="V3250" i="12"/>
  <c r="V3251" i="12"/>
  <c r="W3250" i="12"/>
  <c r="W3251" i="12"/>
  <c r="V3252" i="12"/>
  <c r="V3253" i="12"/>
  <c r="W3252" i="12"/>
  <c r="W3253" i="12"/>
  <c r="V3254" i="12"/>
  <c r="W3254" i="12"/>
  <c r="V3255" i="12"/>
  <c r="W3255" i="12"/>
  <c r="V3256" i="12"/>
  <c r="W3256" i="12"/>
  <c r="V3257" i="12"/>
  <c r="V3258" i="12"/>
  <c r="W3257" i="12"/>
  <c r="W3258" i="12"/>
  <c r="V3259" i="12"/>
  <c r="V3260" i="12"/>
  <c r="W3259" i="12"/>
  <c r="V3261" i="12"/>
  <c r="W3260" i="12"/>
  <c r="V3262" i="12"/>
  <c r="W3261" i="12"/>
  <c r="V3263" i="12"/>
  <c r="W3262" i="12"/>
  <c r="V3264" i="12"/>
  <c r="W3263" i="12"/>
  <c r="V3265" i="12"/>
  <c r="W3264" i="12"/>
  <c r="V3266" i="12"/>
  <c r="W3265" i="12"/>
  <c r="V3267" i="12"/>
  <c r="W3266" i="12"/>
  <c r="V3268" i="12"/>
  <c r="W3267" i="12"/>
  <c r="W3268" i="12"/>
  <c r="V3269" i="12"/>
  <c r="V3270" i="12"/>
  <c r="W3269" i="12"/>
  <c r="V3271" i="12"/>
  <c r="W3270" i="12"/>
  <c r="V3272" i="12"/>
  <c r="W3271" i="12"/>
  <c r="W3272" i="12"/>
  <c r="V3273" i="12"/>
  <c r="W3273" i="12"/>
  <c r="V3274" i="12"/>
  <c r="V3275" i="12"/>
  <c r="W3274" i="12"/>
  <c r="V3276" i="12"/>
  <c r="W3275" i="12"/>
  <c r="W3276" i="12"/>
  <c r="V3277" i="12"/>
  <c r="W3277" i="12"/>
  <c r="V3278" i="12"/>
  <c r="V3279" i="12"/>
  <c r="W3278" i="12"/>
  <c r="V3280" i="12"/>
  <c r="W3279" i="12"/>
  <c r="W3280" i="12"/>
  <c r="V3281" i="12"/>
  <c r="V3282" i="12"/>
  <c r="W3281" i="12"/>
  <c r="V3283" i="12"/>
  <c r="W3282" i="12"/>
  <c r="W3283" i="12"/>
  <c r="V3284" i="12"/>
  <c r="W3284" i="12"/>
  <c r="V3285" i="12"/>
  <c r="V3286" i="12"/>
  <c r="W3285" i="12"/>
  <c r="W3286" i="12"/>
  <c r="V3287" i="12"/>
  <c r="W3287" i="12"/>
  <c r="V3288" i="12"/>
  <c r="W3288" i="12"/>
  <c r="V3289" i="12"/>
  <c r="W3289" i="12"/>
  <c r="V3290" i="12"/>
  <c r="W3290" i="12"/>
  <c r="V3291" i="12"/>
  <c r="W3291" i="12"/>
  <c r="V3292" i="12"/>
  <c r="V3293" i="12"/>
  <c r="W3292" i="12"/>
  <c r="W3293" i="12"/>
  <c r="V3294" i="12"/>
  <c r="V3295" i="12"/>
  <c r="W3294" i="12"/>
  <c r="W3295" i="12"/>
  <c r="V3296" i="12"/>
  <c r="V3297" i="12"/>
  <c r="W3296" i="12"/>
  <c r="V3298" i="12"/>
  <c r="W3297" i="12"/>
  <c r="V3299" i="12"/>
  <c r="W3298" i="12"/>
  <c r="V3300" i="12"/>
  <c r="W3299" i="12"/>
  <c r="W3300" i="12"/>
  <c r="V3301" i="12"/>
  <c r="V3302" i="12"/>
  <c r="W3301" i="12"/>
  <c r="W3302" i="12"/>
  <c r="V3303" i="12"/>
  <c r="W3303" i="12"/>
  <c r="V3304" i="12"/>
  <c r="W3304" i="12"/>
  <c r="V3305" i="12"/>
  <c r="V3306" i="12"/>
  <c r="W3305" i="12"/>
  <c r="V3307" i="12"/>
  <c r="W3306" i="12"/>
  <c r="V3308" i="12"/>
  <c r="W3307" i="12"/>
  <c r="W3308" i="12"/>
  <c r="V3309" i="12"/>
  <c r="V3310" i="12"/>
  <c r="W3309" i="12"/>
  <c r="W3310" i="12"/>
  <c r="V3311" i="12"/>
  <c r="W3311" i="12"/>
  <c r="V3312" i="12"/>
  <c r="W3312" i="12"/>
  <c r="V3313" i="12"/>
  <c r="W3313" i="12"/>
  <c r="V3314" i="12"/>
  <c r="W3314" i="12"/>
  <c r="V3315" i="12"/>
  <c r="W3315" i="12"/>
  <c r="V3316" i="12"/>
  <c r="V3317" i="12"/>
  <c r="W3316" i="12"/>
  <c r="W3317" i="12"/>
  <c r="V3318" i="12"/>
  <c r="W3318" i="12"/>
  <c r="V3319" i="12"/>
  <c r="V3320" i="12"/>
  <c r="W3319" i="12"/>
  <c r="W3320" i="12"/>
  <c r="V3321" i="12"/>
  <c r="W3321" i="12"/>
  <c r="V3322" i="12"/>
  <c r="V3323" i="12"/>
  <c r="W3322" i="12"/>
  <c r="W3323" i="12"/>
  <c r="V3324" i="12"/>
  <c r="W3324" i="12"/>
  <c r="V3325" i="12"/>
  <c r="W3325" i="12"/>
  <c r="V3326" i="12"/>
  <c r="V3327" i="12"/>
  <c r="W3326" i="12"/>
  <c r="V3328" i="12"/>
  <c r="W3327" i="12"/>
  <c r="W3328" i="12"/>
  <c r="V3329" i="12"/>
  <c r="W3329" i="12"/>
  <c r="V3330" i="12"/>
  <c r="W3330" i="12"/>
  <c r="V3331" i="12"/>
  <c r="W3331" i="12"/>
  <c r="V3332" i="12"/>
  <c r="V3333" i="12"/>
  <c r="W3332" i="12"/>
  <c r="V3334" i="12"/>
  <c r="W3333" i="12"/>
  <c r="V3335" i="12"/>
  <c r="W3334" i="12"/>
  <c r="W3335" i="12"/>
  <c r="V3336" i="12"/>
  <c r="V3337" i="12"/>
  <c r="W3336" i="12"/>
  <c r="W3337" i="12"/>
  <c r="V3338" i="12"/>
  <c r="W3338" i="12"/>
  <c r="V3339" i="12"/>
  <c r="W3339" i="12"/>
  <c r="V3340" i="12"/>
  <c r="V3341" i="12"/>
  <c r="W3340" i="12"/>
  <c r="V3342" i="12"/>
  <c r="W3341" i="12"/>
  <c r="V3343" i="12"/>
  <c r="W3342" i="12"/>
  <c r="W3343" i="12"/>
  <c r="V3344" i="12"/>
  <c r="W3344" i="12"/>
  <c r="V3345" i="12"/>
  <c r="V3346" i="12"/>
  <c r="W3345" i="12"/>
  <c r="V3347" i="12"/>
  <c r="W3346" i="12"/>
  <c r="W3347" i="12"/>
  <c r="V3348" i="12"/>
  <c r="W3348" i="12"/>
  <c r="V3349" i="12"/>
  <c r="V3350" i="12"/>
  <c r="W3349" i="12"/>
  <c r="W3350" i="12"/>
  <c r="V3351" i="12"/>
  <c r="W3351" i="12"/>
  <c r="V3352" i="12"/>
  <c r="V3353" i="12"/>
  <c r="W3352" i="12"/>
  <c r="W3353" i="12"/>
  <c r="V3354" i="12"/>
  <c r="V3355" i="12"/>
  <c r="W3354" i="12"/>
  <c r="W3355" i="12"/>
  <c r="V3356" i="12"/>
  <c r="V3357" i="12"/>
  <c r="W3356" i="12"/>
  <c r="W3357" i="12"/>
  <c r="V3358" i="12"/>
  <c r="W3358" i="12"/>
  <c r="V3359" i="12"/>
  <c r="V3360" i="12"/>
  <c r="W3359" i="12"/>
  <c r="V3361" i="12"/>
  <c r="W3360" i="12"/>
  <c r="W3361" i="12"/>
  <c r="V3362" i="12"/>
  <c r="V3363" i="12"/>
  <c r="W3362" i="12"/>
  <c r="W3363" i="12"/>
  <c r="V3364" i="12"/>
  <c r="V3365" i="12"/>
  <c r="W3364" i="12"/>
  <c r="W3365" i="12"/>
  <c r="V3366" i="12"/>
  <c r="W3366" i="12"/>
  <c r="V3367" i="12"/>
  <c r="W3367" i="12"/>
  <c r="V3368" i="12"/>
  <c r="V3369" i="12"/>
  <c r="W3368" i="12"/>
  <c r="V3370" i="12"/>
  <c r="W3369" i="12"/>
  <c r="W3370" i="12"/>
  <c r="V3371" i="12"/>
  <c r="V3372" i="12"/>
  <c r="W3371" i="12"/>
  <c r="W3372" i="12"/>
  <c r="V3373" i="12"/>
  <c r="W3373" i="12"/>
  <c r="V3374" i="12"/>
  <c r="V3375" i="12"/>
  <c r="W3374" i="12"/>
  <c r="V3376" i="12"/>
  <c r="W3375" i="12"/>
  <c r="W3376" i="12"/>
  <c r="V3377" i="12"/>
  <c r="V3378" i="12"/>
  <c r="W3377" i="12"/>
  <c r="W3378" i="12"/>
  <c r="V3379" i="12"/>
  <c r="W3379" i="12"/>
  <c r="V3380" i="12"/>
  <c r="W3380" i="12"/>
  <c r="V3381" i="12"/>
  <c r="V3382" i="12"/>
  <c r="W3381" i="12"/>
  <c r="V3383" i="12"/>
  <c r="W3382" i="12"/>
  <c r="V3384" i="12"/>
  <c r="W3383" i="12"/>
  <c r="V3385" i="12"/>
  <c r="W3384" i="12"/>
  <c r="V3386" i="12"/>
  <c r="W3385" i="12"/>
  <c r="W3386" i="12"/>
  <c r="V3387" i="12"/>
  <c r="V3388" i="12"/>
  <c r="W3387" i="12"/>
  <c r="V3389" i="12"/>
  <c r="W3388" i="12"/>
  <c r="V3390" i="12"/>
  <c r="W3389" i="12"/>
  <c r="V3391" i="12"/>
  <c r="W3390" i="12"/>
  <c r="V3392" i="12"/>
  <c r="W3391" i="12"/>
  <c r="V3393" i="12"/>
  <c r="W3392" i="12"/>
  <c r="W3393" i="12"/>
  <c r="V3394" i="12"/>
  <c r="V3395" i="12"/>
  <c r="W3394" i="12"/>
  <c r="V3396" i="12"/>
  <c r="W3395" i="12"/>
  <c r="W3396" i="12"/>
  <c r="V3397" i="12"/>
  <c r="V3398" i="12"/>
  <c r="W3397" i="12"/>
  <c r="V3399" i="12"/>
  <c r="W3398" i="12"/>
  <c r="V3400" i="12"/>
  <c r="W3399" i="12"/>
  <c r="W3400" i="12"/>
  <c r="V3401" i="12"/>
  <c r="V3402" i="12"/>
  <c r="W3401" i="12"/>
  <c r="V3403" i="12"/>
  <c r="W3402" i="12"/>
  <c r="V3404" i="12"/>
  <c r="W3403" i="12"/>
  <c r="W3404" i="12"/>
  <c r="V3405" i="12"/>
  <c r="W3405" i="12"/>
  <c r="V3406" i="12"/>
  <c r="W3406" i="12"/>
  <c r="V3407" i="12"/>
  <c r="V3408" i="12"/>
  <c r="W3407" i="12"/>
  <c r="V3409" i="12"/>
  <c r="W3408" i="12"/>
  <c r="V3410" i="12"/>
  <c r="W3409" i="12"/>
  <c r="W3410" i="12"/>
  <c r="V3411" i="12"/>
  <c r="V3412" i="12"/>
  <c r="W3411" i="12"/>
  <c r="W3412" i="12"/>
  <c r="V3413" i="12"/>
  <c r="V3414" i="12"/>
  <c r="W3413" i="12"/>
  <c r="W3414" i="12"/>
  <c r="V3415" i="12"/>
  <c r="V3416" i="12"/>
  <c r="W3415" i="12"/>
  <c r="V3417" i="12"/>
  <c r="W3416" i="12"/>
  <c r="V3418" i="12"/>
  <c r="W3417" i="12"/>
  <c r="V3419" i="12"/>
  <c r="W3418" i="12"/>
  <c r="W3419" i="12"/>
  <c r="V3420" i="12"/>
  <c r="W3420" i="12"/>
  <c r="V3421" i="12"/>
  <c r="V3422" i="12"/>
  <c r="W3421" i="12"/>
  <c r="V3423" i="12"/>
  <c r="W3422" i="12"/>
  <c r="W3423" i="12"/>
  <c r="V3424" i="12"/>
  <c r="V3425" i="12"/>
  <c r="W3424" i="12"/>
  <c r="W3425" i="12"/>
  <c r="V3426" i="12"/>
  <c r="W3426" i="12"/>
  <c r="V3427" i="12"/>
  <c r="V3428" i="12"/>
  <c r="W3427" i="12"/>
  <c r="W3428" i="12"/>
  <c r="V3429" i="12"/>
  <c r="V3430" i="12"/>
  <c r="W3429" i="12"/>
  <c r="W3430" i="12"/>
  <c r="V3431" i="12"/>
  <c r="W3431" i="12"/>
  <c r="V3432" i="12"/>
  <c r="W3432" i="12"/>
  <c r="V3433" i="12"/>
  <c r="V3434" i="12"/>
  <c r="W3433" i="12"/>
  <c r="V3435" i="12"/>
  <c r="W3434" i="12"/>
  <c r="W3435" i="12"/>
  <c r="V3436" i="12"/>
  <c r="W3436" i="12"/>
  <c r="V3437" i="12"/>
  <c r="W3437" i="12"/>
  <c r="V3438" i="12"/>
  <c r="V3439" i="12"/>
  <c r="W3438" i="12"/>
  <c r="W3439" i="12"/>
  <c r="V3440" i="12"/>
  <c r="W3440" i="12"/>
  <c r="V3441" i="12"/>
  <c r="W3441" i="12"/>
  <c r="V3442" i="12"/>
  <c r="W3442" i="12"/>
  <c r="V3443" i="12"/>
  <c r="V3444" i="12"/>
  <c r="W3443" i="12"/>
  <c r="W3444" i="12"/>
  <c r="V3445" i="12"/>
  <c r="V3446" i="12"/>
  <c r="W3445" i="12"/>
  <c r="W3446" i="12"/>
  <c r="V3447" i="12"/>
  <c r="W3447" i="12"/>
  <c r="V3448" i="12"/>
  <c r="V3449" i="12"/>
  <c r="W3448" i="12"/>
  <c r="V3450" i="12"/>
  <c r="W3449" i="12"/>
  <c r="W3450" i="12"/>
  <c r="V3451" i="12"/>
  <c r="V3452" i="12"/>
  <c r="W3451" i="12"/>
  <c r="V3453" i="12"/>
  <c r="W3452" i="12"/>
  <c r="W3453" i="12"/>
  <c r="V3454" i="12"/>
  <c r="W3454" i="12"/>
  <c r="V3455" i="12"/>
  <c r="W3455" i="12"/>
  <c r="V3456" i="12"/>
  <c r="W3456" i="12"/>
  <c r="V3457" i="12"/>
  <c r="V3458" i="12"/>
  <c r="W3457" i="12"/>
  <c r="W3458" i="12"/>
  <c r="V3459" i="12"/>
  <c r="V3460" i="12"/>
  <c r="W3459" i="12"/>
  <c r="W3460" i="12"/>
  <c r="V3461" i="12"/>
  <c r="V3462" i="12"/>
  <c r="W3461" i="12"/>
  <c r="W3462" i="12"/>
  <c r="V3463" i="12"/>
  <c r="W3463" i="12"/>
  <c r="V3464" i="12"/>
  <c r="V3465" i="12"/>
  <c r="W3464" i="12"/>
  <c r="V3466" i="12"/>
  <c r="W3465" i="12"/>
  <c r="V3467" i="12"/>
  <c r="W3466" i="12"/>
  <c r="W3467" i="12"/>
  <c r="V3468" i="12"/>
  <c r="W3468" i="12"/>
  <c r="V3469" i="12"/>
  <c r="W3469" i="12"/>
  <c r="V3470" i="12"/>
  <c r="W3470" i="12"/>
  <c r="V3471" i="12"/>
  <c r="V3472" i="12"/>
  <c r="W3471" i="12"/>
  <c r="V3473" i="12"/>
  <c r="W3472" i="12"/>
  <c r="W3473" i="12"/>
  <c r="V3474" i="12"/>
  <c r="V3475" i="12"/>
  <c r="W3474" i="12"/>
  <c r="W3475" i="12"/>
  <c r="V3476" i="12"/>
  <c r="W3476" i="12"/>
  <c r="V3477" i="12"/>
  <c r="V3478" i="12"/>
  <c r="W3477" i="12"/>
  <c r="V3479" i="12"/>
  <c r="W3478" i="12"/>
  <c r="V3480" i="12"/>
  <c r="W3479" i="12"/>
  <c r="V3481" i="12"/>
  <c r="W3480" i="12"/>
  <c r="V3482" i="12"/>
  <c r="W3481" i="12"/>
  <c r="W3482" i="12"/>
  <c r="V3483" i="12"/>
  <c r="W3483" i="12"/>
  <c r="V3484" i="12"/>
  <c r="V3485" i="12"/>
  <c r="W3484" i="12"/>
  <c r="V3486" i="12"/>
  <c r="W3485" i="12"/>
  <c r="V3487" i="12"/>
  <c r="W3486" i="12"/>
  <c r="W3487" i="12"/>
  <c r="V3488" i="12"/>
  <c r="W3488" i="12"/>
  <c r="V3489" i="12"/>
  <c r="V3490" i="12"/>
  <c r="W3489" i="12"/>
  <c r="W3490" i="12"/>
  <c r="V3491" i="12"/>
  <c r="V3492" i="12"/>
  <c r="W3491" i="12"/>
  <c r="V3493" i="12"/>
  <c r="W3492" i="12"/>
  <c r="V3494" i="12"/>
  <c r="W3493" i="12"/>
  <c r="V3495" i="12"/>
  <c r="W3494" i="12"/>
  <c r="W3495" i="12"/>
  <c r="V3496" i="12"/>
  <c r="W3496" i="12"/>
  <c r="V3497" i="12"/>
  <c r="W3497" i="12"/>
  <c r="V3498" i="12"/>
  <c r="V3499" i="12"/>
  <c r="W3498" i="12"/>
  <c r="W3499" i="12"/>
  <c r="V3500" i="12"/>
  <c r="W3500" i="12"/>
  <c r="V3501" i="12"/>
  <c r="V3502" i="12"/>
  <c r="W3501" i="12"/>
  <c r="V3503" i="12"/>
  <c r="W3502" i="12"/>
  <c r="W3503" i="12"/>
  <c r="V3504" i="12"/>
  <c r="W3504" i="12"/>
  <c r="V3505" i="12"/>
  <c r="W3505" i="12"/>
  <c r="V3506" i="12"/>
  <c r="W3506" i="12"/>
  <c r="V3507" i="12"/>
  <c r="V3508" i="12"/>
  <c r="W3507" i="12"/>
  <c r="W3508" i="12"/>
  <c r="V3509" i="12"/>
  <c r="W3509" i="12"/>
  <c r="V3510" i="12"/>
  <c r="V3511" i="12"/>
  <c r="W3510" i="12"/>
  <c r="V3512" i="12"/>
  <c r="W3511" i="12"/>
  <c r="W3512" i="12"/>
  <c r="V3513" i="12"/>
  <c r="V3514" i="12"/>
  <c r="W3513" i="12"/>
  <c r="V3515" i="12"/>
  <c r="W3514" i="12"/>
  <c r="W3515" i="12"/>
  <c r="V3516" i="12"/>
  <c r="V3517" i="12"/>
  <c r="W3516" i="12"/>
  <c r="V3518" i="12"/>
  <c r="W3517" i="12"/>
  <c r="V3519" i="12"/>
  <c r="W3518" i="12"/>
  <c r="W3519" i="12"/>
  <c r="V3520" i="12"/>
  <c r="V3521" i="12"/>
  <c r="W3520" i="12"/>
  <c r="V3522" i="12"/>
  <c r="W3521" i="12"/>
  <c r="W3522" i="12"/>
  <c r="V3523" i="12"/>
  <c r="W3523" i="12"/>
  <c r="V3524" i="12"/>
  <c r="V3525" i="12"/>
  <c r="W3524" i="12"/>
  <c r="V3526" i="12"/>
  <c r="W3525" i="12"/>
  <c r="V3527" i="12"/>
  <c r="W3526" i="12"/>
  <c r="W3527" i="12"/>
  <c r="V3528" i="12"/>
  <c r="W3528" i="12"/>
  <c r="V3529" i="12"/>
  <c r="V3530" i="12"/>
  <c r="W3529" i="12"/>
  <c r="W3530" i="12"/>
  <c r="V3531" i="12"/>
  <c r="W3531" i="12"/>
  <c r="V3532" i="12"/>
  <c r="W3532" i="12"/>
  <c r="V3533" i="12"/>
  <c r="V3534" i="12"/>
  <c r="W3533" i="12"/>
  <c r="V3535" i="12"/>
  <c r="W3534" i="12"/>
  <c r="W3535" i="12"/>
  <c r="V3536" i="12"/>
  <c r="W3536" i="12"/>
  <c r="V3537" i="12"/>
  <c r="V3538" i="12"/>
  <c r="W3537" i="12"/>
  <c r="V3539" i="12"/>
  <c r="W3538" i="12"/>
  <c r="V3540" i="12"/>
  <c r="W3539" i="12"/>
  <c r="W3540" i="12"/>
  <c r="V3541" i="12"/>
  <c r="W3541" i="12"/>
  <c r="V3542" i="12"/>
  <c r="W3542" i="12"/>
  <c r="V3543" i="12"/>
  <c r="W3543" i="12"/>
  <c r="V3544" i="12"/>
  <c r="V3545" i="12"/>
  <c r="W3544" i="12"/>
  <c r="V3546" i="12"/>
  <c r="W3545" i="12"/>
  <c r="V3547" i="12"/>
  <c r="W3546" i="12"/>
  <c r="V3548" i="12"/>
  <c r="W3547" i="12"/>
  <c r="V3549" i="12"/>
  <c r="W3548" i="12"/>
  <c r="V3550" i="12"/>
  <c r="W3549" i="12"/>
  <c r="V3551" i="12"/>
  <c r="W3550" i="12"/>
  <c r="V3552" i="12"/>
  <c r="W3551" i="12"/>
  <c r="X19" i="12" a="1"/>
  <c r="W3552" i="12"/>
  <c r="Y19" i="12" s="1" a="1"/>
  <c r="I120" i="5" l="1"/>
  <c r="I29" i="5"/>
  <c r="I53" i="5"/>
  <c r="I121" i="5"/>
  <c r="I22" i="5"/>
  <c r="I63" i="5"/>
  <c r="I32" i="5"/>
  <c r="I61" i="5"/>
  <c r="I74" i="5"/>
  <c r="I91" i="5"/>
  <c r="I118" i="5"/>
  <c r="I7" i="5"/>
  <c r="I93" i="5"/>
  <c r="I38" i="5"/>
  <c r="I11" i="5"/>
  <c r="I94" i="5"/>
  <c r="I123" i="5"/>
  <c r="I54" i="5"/>
  <c r="I70" i="5"/>
  <c r="I65" i="5"/>
  <c r="I81" i="5"/>
  <c r="I76" i="5"/>
  <c r="I64" i="5"/>
  <c r="I49" i="5"/>
  <c r="I85" i="5"/>
  <c r="I116" i="5"/>
  <c r="I37" i="5"/>
  <c r="I112" i="5"/>
  <c r="I5" i="5"/>
  <c r="I98" i="5"/>
  <c r="I57" i="5"/>
  <c r="I113" i="5"/>
  <c r="I101" i="5"/>
  <c r="I71" i="5"/>
  <c r="I10" i="5"/>
  <c r="I58" i="5"/>
  <c r="I111" i="5"/>
  <c r="I62" i="5"/>
  <c r="I20" i="5"/>
  <c r="I36" i="5"/>
  <c r="I99" i="5"/>
  <c r="I33" i="5"/>
  <c r="I78" i="5"/>
  <c r="I17" i="5"/>
  <c r="I72" i="5"/>
  <c r="I105" i="5"/>
  <c r="I88" i="5"/>
  <c r="I84" i="5"/>
  <c r="I12" i="5"/>
  <c r="I109" i="5"/>
  <c r="I75" i="5"/>
  <c r="I23" i="5"/>
  <c r="I67" i="5"/>
  <c r="I108" i="5"/>
  <c r="I31" i="5"/>
  <c r="I28" i="5"/>
  <c r="I19" i="5"/>
  <c r="I87" i="5"/>
  <c r="I82" i="5"/>
  <c r="I104" i="5"/>
  <c r="I102" i="5"/>
  <c r="I51" i="5"/>
  <c r="I25" i="5"/>
  <c r="I26" i="5"/>
  <c r="I97" i="5"/>
  <c r="I115" i="5"/>
  <c r="I42" i="5"/>
  <c r="I46" i="5"/>
  <c r="I45" i="5"/>
  <c r="I15" i="5"/>
  <c r="I40" i="5"/>
  <c r="I59" i="5"/>
  <c r="I24" i="5"/>
  <c r="I14" i="5"/>
  <c r="I47" i="5"/>
  <c r="I90" i="5"/>
  <c r="I95" i="5"/>
  <c r="I27" i="5"/>
  <c r="I2" i="5"/>
  <c r="I34" i="5"/>
  <c r="I126" i="5"/>
  <c r="I44" i="5"/>
  <c r="I86" i="5"/>
  <c r="I80" i="5"/>
  <c r="I56" i="5"/>
  <c r="I60" i="5"/>
  <c r="I41" i="5"/>
  <c r="I30" i="5"/>
  <c r="I39" i="5"/>
  <c r="I68" i="5"/>
  <c r="I69" i="5"/>
  <c r="I52" i="5"/>
  <c r="I50" i="5"/>
  <c r="I4" i="5"/>
  <c r="I124" i="5"/>
  <c r="I92" i="5"/>
  <c r="I77" i="5"/>
  <c r="I114" i="5"/>
  <c r="I6" i="5"/>
  <c r="I35" i="5"/>
  <c r="I73" i="5"/>
  <c r="I79" i="5"/>
  <c r="I117" i="5"/>
  <c r="I55" i="5"/>
  <c r="I106" i="5"/>
  <c r="I3" i="5"/>
  <c r="I21" i="5"/>
  <c r="I83" i="5"/>
  <c r="I66" i="5"/>
  <c r="I100" i="5"/>
  <c r="I8" i="5"/>
  <c r="I96" i="5"/>
  <c r="I16" i="5"/>
  <c r="I13" i="5"/>
  <c r="I18" i="5"/>
  <c r="I89" i="5"/>
  <c r="I9" i="5"/>
  <c r="I43" i="5"/>
  <c r="I48" i="5"/>
  <c r="I107" i="5"/>
  <c r="I103" i="5"/>
  <c r="I122" i="5"/>
  <c r="I1" i="5"/>
  <c r="I119" i="5"/>
  <c r="I110" i="5"/>
  <c r="I125" i="5"/>
  <c r="Y1740" i="12"/>
  <c r="Y2767" i="12"/>
  <c r="Y772" i="12"/>
  <c r="Y3031" i="12"/>
  <c r="Y547" i="12"/>
  <c r="Y1940" i="12"/>
  <c r="Y846" i="12"/>
  <c r="Y617" i="12"/>
  <c r="Y1745" i="12"/>
  <c r="Y2651" i="12"/>
  <c r="Y1456" i="12"/>
  <c r="Y773" i="12"/>
  <c r="Y3329" i="12"/>
  <c r="Y1654" i="12"/>
  <c r="Y309" i="12"/>
  <c r="Y3236" i="12"/>
  <c r="Y2268" i="12"/>
  <c r="Y3134" i="12"/>
  <c r="Y1621" i="12"/>
  <c r="Y1953" i="12"/>
  <c r="Y3374" i="12"/>
  <c r="Y2443" i="12"/>
  <c r="Y463" i="12"/>
  <c r="Y1480" i="12"/>
  <c r="Y3276" i="12"/>
  <c r="Y2530" i="12"/>
  <c r="Y493" i="12"/>
  <c r="Y263" i="12"/>
  <c r="Y1657" i="12"/>
  <c r="Y2034" i="12"/>
  <c r="Y1159" i="12"/>
  <c r="Y1048" i="12"/>
  <c r="Y2852" i="12"/>
  <c r="Y394" i="12"/>
  <c r="Y415" i="12"/>
  <c r="Y2225" i="12"/>
  <c r="Y1423" i="12"/>
  <c r="Y2067" i="12"/>
  <c r="Y905" i="12"/>
  <c r="Y2835" i="12"/>
  <c r="Y3345" i="12"/>
  <c r="Y2066" i="12"/>
  <c r="Y1911" i="12"/>
  <c r="Y209" i="12"/>
  <c r="Y2541" i="12"/>
  <c r="Y2528" i="12"/>
  <c r="Y2904" i="12"/>
  <c r="Y1084" i="12"/>
  <c r="Y937" i="12"/>
  <c r="Y2628" i="12"/>
  <c r="Y603" i="12"/>
  <c r="Y3037" i="12"/>
  <c r="Y1692" i="12"/>
  <c r="Y3206" i="12"/>
  <c r="Y111" i="12"/>
  <c r="Y340" i="12"/>
  <c r="Y790" i="12"/>
  <c r="Y1372" i="12"/>
  <c r="Y3122" i="12"/>
  <c r="Y1874" i="12"/>
  <c r="Y1052" i="12"/>
  <c r="Y3326" i="12"/>
  <c r="Y2025" i="12"/>
  <c r="Y182" i="12"/>
  <c r="Y177" i="12"/>
  <c r="Y3471" i="12"/>
  <c r="Y3261" i="12"/>
  <c r="Y733" i="12"/>
  <c r="Y1554" i="12"/>
  <c r="Y1866" i="12"/>
  <c r="Y1353" i="12"/>
  <c r="Y754" i="12"/>
  <c r="Y1943" i="12"/>
  <c r="Y825" i="12"/>
  <c r="Y2260" i="12"/>
  <c r="Y1002" i="12"/>
  <c r="Y3343" i="12"/>
  <c r="Y923" i="12"/>
  <c r="Y2760" i="12"/>
  <c r="Y1806" i="12"/>
  <c r="Y1762" i="12"/>
  <c r="Y993" i="12"/>
  <c r="Y3452" i="12"/>
  <c r="Y3427" i="12"/>
  <c r="Y481" i="12"/>
  <c r="Y1336" i="12"/>
  <c r="Y3428" i="12"/>
  <c r="Y3313" i="12"/>
  <c r="Y2795" i="12"/>
  <c r="Y1196" i="12"/>
  <c r="Y1224" i="12"/>
  <c r="Y3333" i="12"/>
  <c r="Y2018" i="12"/>
  <c r="Y883" i="12"/>
  <c r="Y1851" i="12"/>
  <c r="Y3404" i="12"/>
  <c r="Y1830" i="12"/>
  <c r="Y2565" i="12"/>
  <c r="Y2917" i="12"/>
  <c r="Y454" i="12"/>
  <c r="Y156" i="12"/>
  <c r="Y2496" i="12"/>
  <c r="Y1625" i="12"/>
  <c r="Y3229" i="12"/>
  <c r="Y2231" i="12"/>
  <c r="Y2788" i="12"/>
  <c r="Y2102" i="12"/>
  <c r="Y2405" i="12"/>
  <c r="Y342" i="12"/>
  <c r="Y246" i="12"/>
  <c r="Y189" i="12"/>
  <c r="Y2288" i="12"/>
  <c r="Y2049" i="12"/>
  <c r="Y2364" i="12"/>
  <c r="Y1335" i="12"/>
  <c r="Y2650" i="12"/>
  <c r="Y1009" i="12"/>
  <c r="Y2986" i="12"/>
  <c r="Y3038" i="12"/>
  <c r="Y2959" i="12"/>
  <c r="Y337" i="12"/>
  <c r="Y3300" i="12"/>
  <c r="Y1472" i="12"/>
  <c r="Y20" i="12"/>
  <c r="Y721" i="12"/>
  <c r="Y361" i="12"/>
  <c r="Y3361" i="12"/>
  <c r="Y2847" i="12"/>
  <c r="Y411" i="12"/>
  <c r="Y961" i="12"/>
  <c r="Y1867" i="12"/>
  <c r="Y1030" i="12"/>
  <c r="Y2674" i="12"/>
  <c r="Y39" i="12"/>
  <c r="Y1846" i="12"/>
  <c r="Y1409" i="12"/>
  <c r="Y1520" i="12"/>
  <c r="Y82" i="12"/>
  <c r="Y624" i="12"/>
  <c r="Y3149" i="12"/>
  <c r="Y58" i="12"/>
  <c r="Y1288" i="12"/>
  <c r="Y62" i="12"/>
  <c r="Y594" i="12"/>
  <c r="Y449" i="12"/>
  <c r="Y3511" i="12"/>
  <c r="Y98" i="12"/>
  <c r="Y2892" i="12"/>
  <c r="Y3105" i="12"/>
  <c r="Y2434" i="12"/>
  <c r="Y1371" i="12"/>
  <c r="Y191" i="12"/>
  <c r="Y1849" i="12"/>
  <c r="Y2453" i="12"/>
  <c r="Y1284" i="12"/>
  <c r="Y801" i="12"/>
  <c r="Y2864" i="12"/>
  <c r="Y1927" i="12"/>
  <c r="Y745" i="12"/>
  <c r="Y2586" i="12"/>
  <c r="Y2109" i="12"/>
  <c r="Y3325" i="12"/>
  <c r="Y2376" i="12"/>
  <c r="Y861" i="12"/>
  <c r="Y2956" i="12"/>
  <c r="Y486" i="12"/>
  <c r="Y3113" i="12"/>
  <c r="Y1710" i="12"/>
  <c r="Y2999" i="12"/>
  <c r="Y1446" i="12"/>
  <c r="Y1862" i="12"/>
  <c r="Y944" i="12"/>
  <c r="Y791" i="12"/>
  <c r="Y201" i="12"/>
  <c r="Y1219" i="12"/>
  <c r="Y427" i="12"/>
  <c r="Y2715" i="12"/>
  <c r="Y1831" i="12"/>
  <c r="Y2556" i="12"/>
  <c r="Y3273" i="12"/>
  <c r="Y2069" i="12"/>
  <c r="Y2611" i="12"/>
  <c r="Y1185" i="12"/>
  <c r="Y2969" i="12"/>
  <c r="Y2374" i="12"/>
  <c r="Y1999" i="12"/>
  <c r="Y2136" i="12"/>
  <c r="Y1097" i="12"/>
  <c r="Y980" i="12"/>
  <c r="Y950" i="12"/>
  <c r="Y842" i="12"/>
  <c r="Y1980" i="12"/>
  <c r="Y2673" i="12"/>
  <c r="Y3479" i="12"/>
  <c r="Y3078" i="12"/>
  <c r="Y57" i="12"/>
  <c r="Y2518" i="12"/>
  <c r="Y516" i="12"/>
  <c r="Y2210" i="12"/>
  <c r="Y93" i="12"/>
  <c r="Y1737" i="12"/>
  <c r="Y1113" i="12"/>
  <c r="Y719" i="12"/>
  <c r="Y95" i="12"/>
  <c r="Y984" i="12"/>
  <c r="Y2502" i="12"/>
  <c r="Y1401" i="12"/>
  <c r="Y1076" i="12"/>
  <c r="Y1736" i="12"/>
  <c r="Y2240" i="12"/>
  <c r="Y610" i="12"/>
  <c r="Y2178" i="12"/>
  <c r="Y586" i="12"/>
  <c r="Y1414" i="12"/>
  <c r="Y538" i="12"/>
  <c r="Y1447" i="12"/>
  <c r="Y53" i="12"/>
  <c r="Y1475" i="12"/>
  <c r="Y2383" i="12"/>
  <c r="Y864" i="12"/>
  <c r="Y1789" i="12"/>
  <c r="Y2406" i="12"/>
  <c r="Y642" i="12"/>
  <c r="Y2414" i="12"/>
  <c r="Y3048" i="12"/>
  <c r="Y2561" i="12"/>
  <c r="Y524" i="12"/>
  <c r="Y701" i="12"/>
  <c r="Y1181" i="12"/>
  <c r="Y163" i="12"/>
  <c r="Y1564" i="12"/>
  <c r="Y881" i="12"/>
  <c r="Y1908" i="12"/>
  <c r="Y45" i="12"/>
  <c r="Y1276" i="12"/>
  <c r="Y676" i="12"/>
  <c r="Y2098" i="12"/>
  <c r="Y3196" i="12"/>
  <c r="Y1869" i="12"/>
  <c r="Y3152" i="12"/>
  <c r="Y3126" i="12"/>
  <c r="Y3507" i="12"/>
  <c r="Y780" i="12"/>
  <c r="Y1630" i="12"/>
  <c r="Y3082" i="12"/>
  <c r="Y2235" i="12"/>
  <c r="Y65" i="12"/>
  <c r="Y1069" i="12"/>
  <c r="Y3309" i="12"/>
  <c r="Y2563" i="12"/>
  <c r="Y698" i="12"/>
  <c r="Y2945" i="12"/>
  <c r="Y667" i="12"/>
  <c r="Y1576" i="12"/>
  <c r="Y3546" i="12"/>
  <c r="Y1063" i="12"/>
  <c r="Y1128" i="12"/>
  <c r="Y1158" i="12"/>
  <c r="Y601" i="12"/>
  <c r="Y1369" i="12"/>
  <c r="Y3063" i="12"/>
  <c r="Y1591" i="12"/>
  <c r="Y1109" i="12"/>
  <c r="Y1593" i="12"/>
  <c r="Y739" i="12"/>
  <c r="Y1013" i="12"/>
  <c r="Y74" i="12"/>
  <c r="Y2170" i="12"/>
  <c r="Y2764" i="12"/>
  <c r="Y3332" i="12"/>
  <c r="Y762" i="12"/>
  <c r="Y137" i="12"/>
  <c r="Y1170" i="12"/>
  <c r="Y1148" i="12"/>
  <c r="Y542" i="12"/>
  <c r="Y3506" i="12"/>
  <c r="Y1306" i="12"/>
  <c r="Y874" i="12"/>
  <c r="Y2580" i="12"/>
  <c r="Y744" i="12"/>
  <c r="Y1639" i="12"/>
  <c r="Y1331" i="12"/>
  <c r="Y51" i="12"/>
  <c r="Y899" i="12"/>
  <c r="Y1655" i="12"/>
  <c r="Y3505" i="12"/>
  <c r="Y1420" i="12"/>
  <c r="Y328" i="12"/>
  <c r="Y1879" i="12"/>
  <c r="Y3176" i="12"/>
  <c r="Y3306" i="12"/>
  <c r="Y977" i="12"/>
  <c r="Y693" i="12"/>
  <c r="Y1093" i="12"/>
  <c r="Y759" i="12"/>
  <c r="Y3406" i="12"/>
  <c r="Y2819" i="12"/>
  <c r="Y1512" i="12"/>
  <c r="Y1175" i="12"/>
  <c r="Y2559" i="12"/>
  <c r="Y734" i="12"/>
  <c r="Y908" i="12"/>
  <c r="Y1183" i="12"/>
  <c r="Y271" i="12"/>
  <c r="Y1695" i="12"/>
  <c r="Y1573" i="12"/>
  <c r="Y2330" i="12"/>
  <c r="Y947" i="12"/>
  <c r="Y2417" i="12"/>
  <c r="Y429" i="12"/>
  <c r="Y1978" i="12"/>
  <c r="Y3464" i="12"/>
  <c r="Y145" i="12"/>
  <c r="Y1583" i="12"/>
  <c r="Y3376" i="12"/>
  <c r="Y3220" i="12"/>
  <c r="Y2445" i="12"/>
  <c r="Y3136" i="12"/>
  <c r="Y479" i="12"/>
  <c r="Y2206" i="12"/>
  <c r="Y867" i="12"/>
  <c r="Y476" i="12"/>
  <c r="Y1843" i="12"/>
  <c r="Y949" i="12"/>
  <c r="Y3269" i="12"/>
  <c r="Y2276" i="12"/>
  <c r="Y1936" i="12"/>
  <c r="Y106" i="12"/>
  <c r="Y2424" i="12"/>
  <c r="Y2148" i="12"/>
  <c r="Y1003" i="12"/>
  <c r="Y2782" i="12"/>
  <c r="Y2458" i="12"/>
  <c r="Y1066" i="12"/>
  <c r="Y1350" i="12"/>
  <c r="Y3469" i="12"/>
  <c r="Y2486" i="12"/>
  <c r="Y2737" i="12"/>
  <c r="Y804" i="12"/>
  <c r="Y1349" i="12"/>
  <c r="Y229" i="12"/>
  <c r="Y1373" i="12"/>
  <c r="Y845" i="12"/>
  <c r="Y253" i="12"/>
  <c r="Y2393" i="12"/>
  <c r="Y2297" i="12"/>
  <c r="Y352" i="12"/>
  <c r="Y408" i="12"/>
  <c r="Y2194" i="12"/>
  <c r="Y1836" i="12"/>
  <c r="Y3414" i="12"/>
  <c r="Y1839" i="12"/>
  <c r="Y722" i="12"/>
  <c r="Y176" i="12"/>
  <c r="Y2284" i="12"/>
  <c r="Y3083" i="12"/>
  <c r="Y2610" i="12"/>
  <c r="Y2810" i="12"/>
  <c r="Y1411" i="12"/>
  <c r="Y1962" i="12"/>
  <c r="Y3319" i="12"/>
  <c r="Y620" i="12"/>
  <c r="Y195" i="12"/>
  <c r="Y2425" i="12"/>
  <c r="Y1571" i="12"/>
  <c r="Y3437" i="12"/>
  <c r="Y1441" i="12"/>
  <c r="Y1258" i="12"/>
  <c r="Y2696" i="12"/>
  <c r="Y2803" i="12"/>
  <c r="Y2402" i="12"/>
  <c r="Y1631" i="12"/>
  <c r="Y692" i="12"/>
  <c r="Y1410" i="12"/>
  <c r="Y1011" i="12"/>
  <c r="Y1732" i="12"/>
  <c r="Y1188" i="12"/>
  <c r="Y781" i="12"/>
  <c r="Y596" i="12"/>
  <c r="Y1256" i="12"/>
  <c r="Y1675" i="12"/>
  <c r="Y1505" i="12"/>
  <c r="Y3538" i="12"/>
  <c r="Y1543" i="12"/>
  <c r="Y728" i="12"/>
  <c r="Y2890" i="12"/>
  <c r="Y1812" i="12"/>
  <c r="Y1027" i="12"/>
  <c r="Y3486" i="12"/>
  <c r="Y975" i="12"/>
  <c r="Y2299" i="12"/>
  <c r="Y2236" i="12"/>
  <c r="Y3373" i="12"/>
  <c r="Y2500" i="12"/>
  <c r="Y3150" i="12"/>
  <c r="Y3388" i="12"/>
  <c r="Y897" i="12"/>
  <c r="Y770" i="12"/>
  <c r="Y2324" i="12"/>
  <c r="Y1774" i="12"/>
  <c r="Y1624" i="12"/>
  <c r="Y2087" i="12"/>
  <c r="Y593" i="12"/>
  <c r="Y1016" i="12"/>
  <c r="Y2679" i="12"/>
  <c r="Y818" i="12"/>
  <c r="Y2993" i="12"/>
  <c r="Y797" i="12"/>
  <c r="Y1317" i="12"/>
  <c r="Y3165" i="12"/>
  <c r="Y3146" i="12"/>
  <c r="Y3181" i="12"/>
  <c r="Y929" i="12"/>
  <c r="Y2776" i="12"/>
  <c r="Y444" i="12"/>
  <c r="Y1577" i="12"/>
  <c r="Y2655" i="12"/>
  <c r="Y2555" i="12"/>
  <c r="Y922" i="12"/>
  <c r="Y2704" i="12"/>
  <c r="Y3230" i="12"/>
  <c r="Y2154" i="12"/>
  <c r="Y2016" i="12"/>
  <c r="Y3102" i="12"/>
  <c r="Y2218" i="12"/>
  <c r="Y2085" i="12"/>
  <c r="Y3297" i="12"/>
  <c r="Y2152" i="12"/>
  <c r="Y1635" i="12"/>
  <c r="Y2203" i="12"/>
  <c r="Y2084" i="12"/>
  <c r="Y1459" i="12"/>
  <c r="Y1487" i="12"/>
  <c r="Y68" i="12"/>
  <c r="Y3075" i="12"/>
  <c r="Y488" i="12"/>
  <c r="Y626" i="12"/>
  <c r="Y3018" i="12"/>
  <c r="Y951" i="12"/>
  <c r="Y2096" i="12"/>
  <c r="Y2591" i="12"/>
  <c r="Y2128" i="12"/>
  <c r="Y3264" i="12"/>
  <c r="Y2478" i="12"/>
  <c r="Y2352" i="12"/>
  <c r="Y3366" i="12"/>
  <c r="Y3012" i="12"/>
  <c r="Y798" i="12"/>
  <c r="Y144" i="12"/>
  <c r="Y2200" i="12"/>
  <c r="Y868" i="12"/>
  <c r="Y3360" i="12"/>
  <c r="Y375" i="12"/>
  <c r="Y2252" i="12"/>
  <c r="Y1152" i="12"/>
  <c r="Y986" i="12"/>
  <c r="Y878" i="12"/>
  <c r="Y2821" i="12"/>
  <c r="Y77" i="12"/>
  <c r="Y2349" i="12"/>
  <c r="Y2350" i="12"/>
  <c r="Y697" i="12"/>
  <c r="Y776" i="12"/>
  <c r="Y3227" i="12"/>
  <c r="Y3161" i="12"/>
  <c r="Y1433" i="12"/>
  <c r="Y2568" i="12"/>
  <c r="Y208" i="12"/>
  <c r="Y2442" i="12"/>
  <c r="Y333" i="12"/>
  <c r="Y320" i="12"/>
  <c r="Y2433" i="12"/>
  <c r="Y2204" i="12"/>
  <c r="Y2407" i="12"/>
  <c r="Y2752" i="12"/>
  <c r="Y2287" i="12"/>
  <c r="Y1970" i="12"/>
  <c r="Y46" i="12"/>
  <c r="Y3192" i="12"/>
  <c r="Y2253" i="12"/>
  <c r="Y1942" i="12"/>
  <c r="Y2149" i="12"/>
  <c r="Y716" i="12"/>
  <c r="Y2515" i="12"/>
  <c r="Y1127" i="12"/>
  <c r="Y3177" i="12"/>
  <c r="Y1281" i="12"/>
  <c r="Y210" i="12"/>
  <c r="Y1610" i="12"/>
  <c r="Y194" i="12"/>
  <c r="Y312" i="12"/>
  <c r="Y1605" i="12"/>
  <c r="Y871" i="12"/>
  <c r="Y2666" i="12"/>
  <c r="Y1051" i="12"/>
  <c r="Y1122" i="12"/>
  <c r="Y1804" i="12"/>
  <c r="Y1057" i="12"/>
  <c r="Y2609" i="12"/>
  <c r="Y2081" i="12"/>
  <c r="Y166" i="12"/>
  <c r="Y3472" i="12"/>
  <c r="Y1503" i="12"/>
  <c r="Y1415" i="12"/>
  <c r="Y431" i="12"/>
  <c r="Y2131" i="12"/>
  <c r="Y1542" i="12"/>
  <c r="Y2198" i="12"/>
  <c r="Y2971" i="12"/>
  <c r="Y2641" i="12"/>
  <c r="Y1526" i="12"/>
  <c r="Y1513" i="12"/>
  <c r="Y2614" i="12"/>
  <c r="Y2042" i="12"/>
  <c r="Y3174" i="12"/>
  <c r="Y523" i="12"/>
  <c r="Y1235" i="12"/>
  <c r="Y2686" i="12"/>
  <c r="Y2643" i="12"/>
  <c r="Y957" i="12"/>
  <c r="Y2592" i="12"/>
  <c r="Y2672" i="12"/>
  <c r="Y2816" i="12"/>
  <c r="Y1257" i="12"/>
  <c r="Y2709" i="12"/>
  <c r="Y661" i="12"/>
  <c r="Y3110" i="12"/>
  <c r="Y3311" i="12"/>
  <c r="Y1354" i="12"/>
  <c r="Y1643" i="12"/>
  <c r="Y2766" i="12"/>
  <c r="Y1559" i="12"/>
  <c r="Y2269" i="12"/>
  <c r="Y1720" i="12"/>
  <c r="Y3525" i="12"/>
  <c r="Y2600" i="12"/>
  <c r="Y1824" i="12"/>
  <c r="Y1725" i="12"/>
  <c r="Y705" i="12"/>
  <c r="Y2077" i="12"/>
  <c r="Y1983" i="12"/>
  <c r="Y1697" i="12"/>
  <c r="Y1000" i="12"/>
  <c r="Y152" i="12"/>
  <c r="Y2403" i="12"/>
  <c r="Y2199" i="12"/>
  <c r="Y234" i="12"/>
  <c r="Y41" i="12"/>
  <c r="Y1561" i="12"/>
  <c r="Y844" i="12"/>
  <c r="Y2261" i="12"/>
  <c r="Y1971" i="12"/>
  <c r="Y2876" i="12"/>
  <c r="Y2368" i="12"/>
  <c r="Y2112" i="12"/>
  <c r="Y3223" i="12"/>
  <c r="Y2360" i="12"/>
  <c r="Y2654" i="12"/>
  <c r="Y1477" i="12"/>
  <c r="Y344" i="12"/>
  <c r="Y841" i="12"/>
  <c r="Y19" i="12"/>
  <c r="Y2281" i="12"/>
  <c r="Y1203" i="12"/>
  <c r="Y2489" i="12"/>
  <c r="Y1277" i="12"/>
  <c r="Y1626" i="12"/>
  <c r="Y1424" i="12"/>
  <c r="Y259" i="12"/>
  <c r="Y103" i="12"/>
  <c r="Y1296" i="12"/>
  <c r="Y3186" i="12"/>
  <c r="Y296" i="12"/>
  <c r="Y3358" i="12"/>
  <c r="Y402" i="12"/>
  <c r="Y2753" i="12"/>
  <c r="Y1632" i="12"/>
  <c r="Y3356" i="12"/>
  <c r="Y1753" i="12"/>
  <c r="Y1193" i="12"/>
  <c r="Y837" i="12"/>
  <c r="Y3418" i="12"/>
  <c r="Y557" i="12"/>
  <c r="Y1207" i="12"/>
  <c r="Y3185" i="12"/>
  <c r="Y2384" i="12"/>
  <c r="Y906" i="12"/>
  <c r="Y348" i="12"/>
  <c r="Y2404" i="12"/>
  <c r="Y2940" i="12"/>
  <c r="Y3042" i="12"/>
  <c r="Y2220" i="12"/>
  <c r="Y2346" i="12"/>
  <c r="Y3054" i="12"/>
  <c r="Y2958" i="12"/>
  <c r="Y224" i="12"/>
  <c r="Y2988" i="12"/>
  <c r="Y147" i="12"/>
  <c r="Y158" i="12"/>
  <c r="Y2787" i="12"/>
  <c r="Y2111" i="12"/>
  <c r="Y2315" i="12"/>
  <c r="Y1855" i="12"/>
  <c r="Y2713" i="12"/>
  <c r="Y1172" i="12"/>
  <c r="Y3292" i="12"/>
  <c r="Y2325" i="12"/>
  <c r="Y1440" i="12"/>
  <c r="Y1769" i="12"/>
  <c r="Y3270" i="12"/>
  <c r="Y707" i="12"/>
  <c r="Y674" i="12"/>
  <c r="Y1550" i="12"/>
  <c r="Y1868" i="12"/>
  <c r="Y720" i="12"/>
  <c r="Y1873" i="12"/>
  <c r="Y2134" i="12"/>
  <c r="Y727" i="12"/>
  <c r="Y1533" i="12"/>
  <c r="Y1755" i="12"/>
  <c r="Y760" i="12"/>
  <c r="Y793" i="12"/>
  <c r="Y387" i="12"/>
  <c r="Y1021" i="12"/>
  <c r="Y1802" i="12"/>
  <c r="Y1640" i="12"/>
  <c r="Y484" i="12"/>
  <c r="Y1451" i="12"/>
  <c r="Y1361" i="12"/>
  <c r="Y3323" i="12"/>
  <c r="Y3001" i="12"/>
  <c r="Y2230" i="12"/>
  <c r="Y956" i="12"/>
  <c r="Y1854" i="12"/>
  <c r="Y783" i="12"/>
  <c r="Y2177" i="12"/>
  <c r="Y1283" i="12"/>
  <c r="Y385" i="12"/>
  <c r="Y534" i="12"/>
  <c r="Y1202" i="12"/>
  <c r="Y1929" i="12"/>
  <c r="Y1601" i="12"/>
  <c r="Y2593" i="12"/>
  <c r="Y265" i="12"/>
  <c r="Y1418" i="12"/>
  <c r="Y2961" i="12"/>
  <c r="Y2771" i="12"/>
  <c r="Y430" i="12"/>
  <c r="Y2161" i="12"/>
  <c r="Y2829" i="12"/>
  <c r="Y2063" i="12"/>
  <c r="Y1431" i="12"/>
  <c r="Y830" i="12"/>
  <c r="Y513" i="12"/>
  <c r="Y1071" i="12"/>
  <c r="Y174" i="12"/>
  <c r="Y3160" i="12"/>
  <c r="Y696" i="12"/>
  <c r="Y938" i="12"/>
  <c r="Y161" i="12"/>
  <c r="Y3444" i="12"/>
  <c r="Y2805" i="12"/>
  <c r="Y239" i="12"/>
  <c r="Y2773" i="12"/>
  <c r="Y1458" i="12"/>
  <c r="Y3111" i="12"/>
  <c r="Y1488" i="12"/>
  <c r="Y365" i="12"/>
  <c r="Y489" i="12"/>
  <c r="Y3409" i="12"/>
  <c r="Y2584" i="12"/>
  <c r="Y1838" i="12"/>
  <c r="Y2332" i="12"/>
  <c r="Y2858" i="12"/>
  <c r="Y731" i="12"/>
  <c r="Y3383" i="12"/>
  <c r="Y1541" i="12"/>
  <c r="Y1179" i="12"/>
  <c r="Y316" i="12"/>
  <c r="Y3064" i="12"/>
  <c r="Y2340" i="12"/>
  <c r="Y1909" i="12"/>
  <c r="Y2983" i="12"/>
  <c r="Y2636" i="12"/>
  <c r="Y998" i="12"/>
  <c r="Y3159" i="12"/>
  <c r="Y2123" i="12"/>
  <c r="Y1703" i="12"/>
  <c r="Y2395" i="12"/>
  <c r="Y3370" i="12"/>
  <c r="Y150" i="12"/>
  <c r="Y1659" i="12"/>
  <c r="Y3193" i="12"/>
  <c r="Y1662" i="12"/>
  <c r="Y1019" i="12"/>
  <c r="Y2976" i="12"/>
  <c r="Y2793" i="12"/>
  <c r="Y353" i="12"/>
  <c r="Y1683" i="12"/>
  <c r="Y2392" i="12"/>
  <c r="Y1747" i="12"/>
  <c r="Y3024" i="12"/>
  <c r="Y2271" i="12"/>
  <c r="Y2408" i="12"/>
  <c r="Y2749" i="12"/>
  <c r="Y769" i="12"/>
  <c r="Y1578" i="12"/>
  <c r="Y2683" i="12"/>
  <c r="Y76" i="12"/>
  <c r="Y3182" i="12"/>
  <c r="Y3141" i="12"/>
  <c r="Y2088" i="12"/>
  <c r="Y3208" i="12"/>
  <c r="Y1028" i="12"/>
  <c r="Y3512" i="12"/>
  <c r="Y1326" i="12"/>
  <c r="Y1492" i="12"/>
  <c r="Y2676" i="12"/>
  <c r="Y403" i="12"/>
  <c r="Y511" i="12"/>
  <c r="Y167" i="12"/>
  <c r="Y1552" i="12"/>
  <c r="Y3231" i="12"/>
  <c r="Y1532" i="12"/>
  <c r="Y91" i="12"/>
  <c r="Y895" i="12"/>
  <c r="Y477" i="12"/>
  <c r="Y710" i="12"/>
  <c r="Y631" i="12"/>
  <c r="Y67" i="12"/>
  <c r="Y2303" i="12"/>
  <c r="Y3095" i="12"/>
  <c r="Y3173" i="12"/>
  <c r="Y3178" i="12"/>
  <c r="Y1620" i="12"/>
  <c r="Y821" i="12"/>
  <c r="Y964" i="12"/>
  <c r="Y2097" i="12"/>
  <c r="Y641" i="12"/>
  <c r="Y474" i="12"/>
  <c r="Y2581" i="12"/>
  <c r="Y1103" i="12"/>
  <c r="Y3005" i="12"/>
  <c r="Y1023" i="12"/>
  <c r="Y732" i="12"/>
  <c r="Y2531" i="12"/>
  <c r="Y2964" i="12"/>
  <c r="Y577" i="12"/>
  <c r="Y1304" i="12"/>
  <c r="Y985" i="12"/>
  <c r="Y3215" i="12"/>
  <c r="Y1863" i="12"/>
  <c r="Y1198" i="12"/>
  <c r="Y2215" i="12"/>
  <c r="Y1124" i="12"/>
  <c r="Y529" i="12"/>
  <c r="Y1880" i="12"/>
  <c r="Y306" i="12"/>
  <c r="Y2789" i="12"/>
  <c r="Y139" i="12"/>
  <c r="Y1309" i="12"/>
  <c r="Y1742" i="12"/>
  <c r="Y934" i="12"/>
  <c r="Y3320" i="12"/>
  <c r="Y1891" i="12"/>
  <c r="Y3050" i="12"/>
  <c r="Y2126" i="12"/>
  <c r="Y3350" i="12"/>
  <c r="Y2050" i="12"/>
  <c r="Y1778" i="12"/>
  <c r="Y199" i="12"/>
  <c r="Y314" i="12"/>
  <c r="Y198" i="12"/>
  <c r="Y2806" i="12"/>
  <c r="Y708" i="12"/>
  <c r="Y2811" i="12"/>
  <c r="Y1049" i="12"/>
  <c r="Y1795" i="12"/>
  <c r="Y1302" i="12"/>
  <c r="Y948" i="12"/>
  <c r="Y2779" i="12"/>
  <c r="Y2549" i="12"/>
  <c r="Y1104" i="12"/>
  <c r="Y1884" i="12"/>
  <c r="Y2431" i="12"/>
  <c r="Y658" i="12"/>
  <c r="Y286" i="12"/>
  <c r="Y2684" i="12"/>
  <c r="Y3411" i="12"/>
  <c r="Y568" i="12"/>
  <c r="Y2690" i="12"/>
  <c r="Y2639" i="12"/>
  <c r="Y2043" i="12"/>
  <c r="Y2227" i="12"/>
  <c r="Y2827" i="12"/>
  <c r="Y1259" i="12"/>
  <c r="Y3203" i="12"/>
  <c r="Y1663" i="12"/>
  <c r="Y3337" i="12"/>
  <c r="Y1990" i="12"/>
  <c r="Y1054" i="12"/>
  <c r="Y69" i="12"/>
  <c r="Y1992" i="12"/>
  <c r="Y3002" i="12"/>
  <c r="Y1362" i="12"/>
  <c r="Y3532" i="12"/>
  <c r="Y2492" i="12"/>
  <c r="Y1739" i="12"/>
  <c r="Y1791" i="12"/>
  <c r="Y315" i="12"/>
  <c r="Y3079" i="12"/>
  <c r="Y506" i="12"/>
  <c r="Y1951" i="12"/>
  <c r="Y3551" i="12"/>
  <c r="Y2685" i="12"/>
  <c r="Y2798" i="12"/>
  <c r="Y1417" i="12"/>
  <c r="Y1232" i="12"/>
  <c r="Y2606" i="12"/>
  <c r="Y162" i="12"/>
  <c r="Y1088" i="12"/>
  <c r="Y2296" i="12"/>
  <c r="Y3197" i="12"/>
  <c r="Y438" i="12"/>
  <c r="Y1017" i="12"/>
  <c r="Y81" i="12"/>
  <c r="Y2223" i="12"/>
  <c r="Y3531" i="12"/>
  <c r="Y2192" i="12"/>
  <c r="Y3540" i="12"/>
  <c r="Y1074" i="12"/>
  <c r="Y3006" i="12"/>
  <c r="Y2883" i="12"/>
  <c r="Y2975" i="12"/>
  <c r="Y1190" i="12"/>
  <c r="Y338" i="12"/>
  <c r="Y84" i="12"/>
  <c r="Y1479" i="12"/>
  <c r="Y945" i="12"/>
  <c r="Y3172" i="12"/>
  <c r="Y30" i="12"/>
  <c r="Y3515" i="12"/>
  <c r="Y2799" i="12"/>
  <c r="Y202" i="12"/>
  <c r="Y1801" i="12"/>
  <c r="Y2646" i="12"/>
  <c r="Y406" i="12"/>
  <c r="Y2616" i="12"/>
  <c r="Y1239" i="12"/>
  <c r="Y1149" i="12"/>
  <c r="Y1473" i="12"/>
  <c r="Y2246" i="12"/>
  <c r="Y1168" i="12"/>
  <c r="Y1895" i="12"/>
  <c r="Y3086" i="12"/>
  <c r="Y1416" i="12"/>
  <c r="Y2129" i="12"/>
  <c r="Y3147" i="12"/>
  <c r="Y418" i="12"/>
  <c r="Y1262" i="12"/>
  <c r="Y465" i="12"/>
  <c r="Y398" i="12"/>
  <c r="Y2933" i="12"/>
  <c r="Y1989" i="12"/>
  <c r="Y1300" i="12"/>
  <c r="Y508" i="12"/>
  <c r="Y157" i="12"/>
  <c r="Y1529" i="12"/>
  <c r="Y1986" i="12"/>
  <c r="Y2742" i="12"/>
  <c r="Y1461" i="12"/>
  <c r="Y700" i="12"/>
  <c r="Y1146" i="12"/>
  <c r="Y2195" i="12"/>
  <c r="Y1348" i="12"/>
  <c r="Y3067" i="12"/>
  <c r="Y2479" i="12"/>
  <c r="Y3190" i="12"/>
  <c r="Y399" i="12"/>
  <c r="Y1636" i="12"/>
  <c r="Y2697" i="12"/>
  <c r="Y2882" i="12"/>
  <c r="Y1959" i="12"/>
  <c r="Y3342" i="12"/>
  <c r="Y1684" i="12"/>
  <c r="Y2317" i="12"/>
  <c r="Y3433" i="12"/>
  <c r="Y373" i="12"/>
  <c r="Y2070" i="12"/>
  <c r="Y1229" i="12"/>
  <c r="Y1491" i="12"/>
  <c r="Y362" i="12"/>
  <c r="Y787" i="12"/>
  <c r="Y2929" i="12"/>
  <c r="Y2390" i="12"/>
  <c r="Y1614" i="12"/>
  <c r="Y480" i="12"/>
  <c r="Y1921" i="12"/>
  <c r="Y2720" i="12"/>
  <c r="Y2529" i="12"/>
  <c r="Y2362" i="12"/>
  <c r="Y3542" i="12"/>
  <c r="Y1928" i="12"/>
  <c r="Y3195" i="12"/>
  <c r="Y866" i="12"/>
  <c r="Y3285" i="12"/>
  <c r="Y2291" i="12"/>
  <c r="Y1426" i="12"/>
  <c r="Y2006" i="12"/>
  <c r="Y3266" i="12"/>
  <c r="Y3335" i="12"/>
  <c r="Y3346" i="12"/>
  <c r="Y2992" i="12"/>
  <c r="Y2596" i="12"/>
  <c r="Y1351" i="12"/>
  <c r="Y3022" i="12"/>
  <c r="Y2153" i="12"/>
  <c r="Y283" i="12"/>
  <c r="Y1177" i="12"/>
  <c r="Y1151" i="12"/>
  <c r="Y1398" i="12"/>
  <c r="Y2056" i="12"/>
  <c r="Y646" i="12"/>
  <c r="Y2277" i="12"/>
  <c r="Y3016" i="12"/>
  <c r="Y3092" i="12"/>
  <c r="Y3100" i="12"/>
  <c r="Y1184" i="12"/>
  <c r="Y1311" i="12"/>
  <c r="Y257" i="12"/>
  <c r="Y1670" i="12"/>
  <c r="Y2536" i="12"/>
  <c r="Y2398" i="12"/>
  <c r="Y2837" i="12"/>
  <c r="Y2948" i="12"/>
  <c r="Y713" i="12"/>
  <c r="Y2375" i="12"/>
  <c r="Y1652" i="12"/>
  <c r="Y740" i="12"/>
  <c r="Y736" i="12"/>
  <c r="Y3168" i="12"/>
  <c r="Y848" i="12"/>
  <c r="Y3483" i="12"/>
  <c r="Y2622" i="12"/>
  <c r="Y2428" i="12"/>
  <c r="Y2891" i="12"/>
  <c r="Y1565" i="12"/>
  <c r="Y834" i="12"/>
  <c r="Y2175" i="12"/>
  <c r="Y968" i="12"/>
  <c r="Y1073" i="12"/>
  <c r="Y1932" i="12"/>
  <c r="Y2293" i="12"/>
  <c r="Y1808" i="12"/>
  <c r="Y3087" i="12"/>
  <c r="Y40" i="12"/>
  <c r="Y1841" i="12"/>
  <c r="Y2372" i="12"/>
  <c r="Y920" i="12"/>
  <c r="Y3524" i="12"/>
  <c r="Y2488" i="12"/>
  <c r="Y441" i="12"/>
  <c r="Y2120" i="12"/>
  <c r="Y690" i="12"/>
  <c r="Y518" i="12"/>
  <c r="Y677" i="12"/>
  <c r="Y869" i="12"/>
  <c r="Y544" i="12"/>
  <c r="Y2874" i="12"/>
  <c r="Y2997" i="12"/>
  <c r="Y1067" i="12"/>
  <c r="Y2057" i="12"/>
  <c r="Y2681" i="12"/>
  <c r="Y1242" i="12"/>
  <c r="Y323" i="12"/>
  <c r="Y1889" i="12"/>
  <c r="Y1212" i="12"/>
  <c r="Y2706" i="12"/>
  <c r="Y3008" i="12"/>
  <c r="Y2190" i="12"/>
  <c r="Y2476" i="12"/>
  <c r="Y613" i="12"/>
  <c r="Y1494" i="12"/>
  <c r="Y3071" i="12"/>
  <c r="Y2348" i="12"/>
  <c r="Y3410" i="12"/>
  <c r="Y2901" i="12"/>
  <c r="Y3164" i="12"/>
  <c r="Y211" i="12"/>
  <c r="Y3473" i="12"/>
  <c r="Y2115" i="12"/>
  <c r="Y1365" i="12"/>
  <c r="Y614" i="12"/>
  <c r="Y2637" i="12"/>
  <c r="Y1524" i="12"/>
  <c r="Y1481" i="12"/>
  <c r="Y3481" i="12"/>
  <c r="Y1800" i="12"/>
  <c r="Y2396" i="12"/>
  <c r="Y258" i="12"/>
  <c r="Y3484" i="12"/>
  <c r="Y1961" i="12"/>
  <c r="Y1754" i="12"/>
  <c r="Y1507" i="12"/>
  <c r="Y3074" i="12"/>
  <c r="Y3214" i="12"/>
  <c r="Y1355" i="12"/>
  <c r="Y2562" i="12"/>
  <c r="Y1875" i="12"/>
  <c r="Y1265" i="12"/>
  <c r="Y1267" i="12"/>
  <c r="Y3535" i="12"/>
  <c r="Y1329" i="12"/>
  <c r="Y2831" i="12"/>
  <c r="Y1957" i="12"/>
  <c r="Y2307" i="12"/>
  <c r="Y1832" i="12"/>
  <c r="Y1534" i="12"/>
  <c r="Y2615" i="12"/>
  <c r="Y3046" i="12"/>
  <c r="Y2397" i="12"/>
  <c r="Y2722" i="12"/>
  <c r="Y1101" i="12"/>
  <c r="Y478" i="12"/>
  <c r="Y3070" i="12"/>
  <c r="Y3237" i="12"/>
  <c r="Y1435" i="12"/>
  <c r="Y2665" i="12"/>
  <c r="Y1817" i="12"/>
  <c r="Y165" i="12"/>
  <c r="Y521" i="12"/>
  <c r="Y2468" i="12"/>
  <c r="Y1434" i="12"/>
  <c r="Y3020" i="12"/>
  <c r="Y654" i="12"/>
  <c r="Y1679" i="12"/>
  <c r="Y903" i="12"/>
  <c r="Y2009" i="12"/>
  <c r="Y122" i="12"/>
  <c r="Y974" i="12"/>
  <c r="Y2333" i="12"/>
  <c r="Y872" i="12"/>
  <c r="Y3228" i="12"/>
  <c r="Y3318" i="12"/>
  <c r="Y3209" i="12"/>
  <c r="Y2822" i="12"/>
  <c r="Y2604" i="12"/>
  <c r="Y2927" i="12"/>
  <c r="Y2373" i="12"/>
  <c r="Y308" i="12"/>
  <c r="Y3156" i="12"/>
  <c r="Y670" i="12"/>
  <c r="Y3131" i="12"/>
  <c r="Y2124" i="12"/>
  <c r="Y3289" i="12"/>
  <c r="Y2157" i="12"/>
  <c r="Y3039" i="12"/>
  <c r="Y2879" i="12"/>
  <c r="Y3304" i="12"/>
  <c r="Y1599" i="12"/>
  <c r="Y482" i="12"/>
  <c r="Y1404" i="12"/>
  <c r="Y824" i="12"/>
  <c r="Y2523" i="12"/>
  <c r="Y1299" i="12"/>
  <c r="Y2682" i="12"/>
  <c r="Y450" i="12"/>
  <c r="Y2631" i="12"/>
  <c r="Y2304" i="12"/>
  <c r="Y1714" i="12"/>
  <c r="Y792" i="12"/>
  <c r="Y3487" i="12"/>
  <c r="Y1155" i="12"/>
  <c r="Y3419" i="12"/>
  <c r="Y611" i="12"/>
  <c r="Y650" i="12"/>
  <c r="Y3117" i="12"/>
  <c r="Y281" i="12"/>
  <c r="Y1437" i="12"/>
  <c r="Y1145" i="12"/>
  <c r="Y33" i="12"/>
  <c r="Y1470" i="12"/>
  <c r="Y110" i="12"/>
  <c r="Y1399" i="12"/>
  <c r="Y1518" i="12"/>
  <c r="Y3482" i="12"/>
  <c r="Y910" i="12"/>
  <c r="Y2001" i="12"/>
  <c r="Y1166" i="12"/>
  <c r="Y1567" i="12"/>
  <c r="Y285" i="12"/>
  <c r="Y1815" i="12"/>
  <c r="Y322" i="12"/>
  <c r="Y2731" i="12"/>
  <c r="Y269" i="12"/>
  <c r="Y270" i="12"/>
  <c r="Y583" i="12"/>
  <c r="Y831" i="12"/>
  <c r="Y1741" i="12"/>
  <c r="Y1595" i="12"/>
  <c r="Y3225" i="12"/>
  <c r="Y299" i="12"/>
  <c r="Y2775" i="12"/>
  <c r="Y2394" i="12"/>
  <c r="Y927" i="12"/>
  <c r="Y735" i="12"/>
  <c r="Y1010" i="12"/>
  <c r="Y2093" i="12"/>
  <c r="Y1020" i="12"/>
  <c r="Y3541" i="12"/>
  <c r="Y924" i="12"/>
  <c r="Y2845" i="12"/>
  <c r="Y1730" i="12"/>
  <c r="Y1673" i="12"/>
  <c r="Y42" i="12"/>
  <c r="Y1847" i="12"/>
  <c r="Y1138" i="12"/>
  <c r="Y1108" i="12"/>
  <c r="Y2089" i="12"/>
  <c r="Y127" i="12"/>
  <c r="Y647" i="12"/>
  <c r="Y2648" i="12"/>
  <c r="Y1338" i="12"/>
  <c r="Y3552" i="12"/>
  <c r="Y935" i="12"/>
  <c r="Y2833" i="12"/>
  <c r="Y437" i="12"/>
  <c r="Y428" i="12"/>
  <c r="Y750" i="12"/>
  <c r="Y2501" i="12"/>
  <c r="Y573" i="12"/>
  <c r="Y3255" i="12"/>
  <c r="Y686" i="12"/>
  <c r="Y3369" i="12"/>
  <c r="Y378" i="12"/>
  <c r="Y2906" i="12"/>
  <c r="Y1637" i="12"/>
  <c r="Y1993" i="12"/>
  <c r="Y2353" i="12"/>
  <c r="Y575" i="12"/>
  <c r="Y911" i="12"/>
  <c r="Y3163" i="12"/>
  <c r="Y2465" i="12"/>
  <c r="Y1070" i="12"/>
  <c r="Y2119" i="12"/>
  <c r="Y1393" i="12"/>
  <c r="Y2079" i="12"/>
  <c r="Y2275" i="12"/>
  <c r="Y3252" i="12"/>
  <c r="Y414" i="12"/>
  <c r="Y3112" i="12"/>
  <c r="Y1954" i="12"/>
  <c r="Y87" i="12"/>
  <c r="Y2834" i="12"/>
  <c r="Y2627" i="12"/>
  <c r="Y2041" i="12"/>
  <c r="Y250" i="12"/>
  <c r="Y2698" i="12"/>
  <c r="Y120" i="12"/>
  <c r="Y2464" i="12"/>
  <c r="Y551" i="12"/>
  <c r="Y1904" i="12"/>
  <c r="Y1885" i="12"/>
  <c r="Y3503" i="12"/>
  <c r="Y1501" i="12"/>
  <c r="Y1213" i="12"/>
  <c r="Y173" i="12"/>
  <c r="Y2862" i="12"/>
  <c r="Y300" i="12"/>
  <c r="Y2619" i="12"/>
  <c r="Y295" i="12"/>
  <c r="Y241" i="12"/>
  <c r="Y1046" i="12"/>
  <c r="Y301" i="12"/>
  <c r="Y3250" i="12"/>
  <c r="Y973" i="12"/>
  <c r="Y128" i="12"/>
  <c r="Y2885" i="12"/>
  <c r="Y2642" i="12"/>
  <c r="Y1465" i="12"/>
  <c r="Y2607" i="12"/>
  <c r="Y849" i="12"/>
  <c r="Y3330" i="12"/>
  <c r="Y767" i="12"/>
  <c r="Y1468" i="12"/>
  <c r="Y712" i="12"/>
  <c r="Y1250" i="12"/>
  <c r="Y509" i="12"/>
  <c r="Y1111" i="12"/>
  <c r="Y1580" i="12"/>
  <c r="Y1618" i="12"/>
  <c r="Y2965" i="12"/>
  <c r="Y2228" i="12"/>
  <c r="Y916" i="12"/>
  <c r="Y1547" i="12"/>
  <c r="Y3123" i="12"/>
  <c r="Y580" i="12"/>
  <c r="Y858" i="12"/>
  <c r="Y3352" i="12"/>
  <c r="Y1395" i="12"/>
  <c r="Y1816" i="12"/>
  <c r="Y1462" i="12"/>
  <c r="Y2211" i="12"/>
  <c r="Y3296" i="12"/>
  <c r="Y456" i="12"/>
  <c r="Y2747" i="12"/>
  <c r="Y3065" i="12"/>
  <c r="Y332" i="12"/>
  <c r="Y434" i="12"/>
  <c r="Y1339" i="12"/>
  <c r="Y79" i="12"/>
  <c r="Y570" i="12"/>
  <c r="Y416" i="12"/>
  <c r="Y1305" i="12"/>
  <c r="Y3142" i="12"/>
  <c r="Y148" i="12"/>
  <c r="Y1389" i="12"/>
  <c r="Y1160" i="12"/>
  <c r="Y2031" i="12"/>
  <c r="Y1087" i="12"/>
  <c r="Y2934" i="12"/>
  <c r="Y556" i="12"/>
  <c r="Y2437" i="12"/>
  <c r="Y2695" i="12"/>
  <c r="Y1579" i="12"/>
  <c r="Y329" i="12"/>
  <c r="Y72" i="12"/>
  <c r="Y1923" i="12"/>
  <c r="Y2602" i="12"/>
  <c r="Y1796" i="12"/>
  <c r="Y23" i="12"/>
  <c r="Y496" i="12"/>
  <c r="Y1208" i="12"/>
  <c r="Y2750" i="12"/>
  <c r="Y2659" i="12"/>
  <c r="Y1059" i="12"/>
  <c r="Y187" i="12"/>
  <c r="Y1285" i="12"/>
  <c r="Y205" i="12"/>
  <c r="Y1888" i="12"/>
  <c r="Y1091" i="12"/>
  <c r="Y2338" i="12"/>
  <c r="Y3504" i="12"/>
  <c r="Y1162" i="12"/>
  <c r="Y680" i="12"/>
  <c r="Y401" i="12"/>
  <c r="Y919" i="12"/>
  <c r="Y1083" i="12"/>
  <c r="Y2294" i="12"/>
  <c r="Y725" i="12"/>
  <c r="Y1379" i="12"/>
  <c r="Y2994" i="12"/>
  <c r="Y351" i="12"/>
  <c r="Y1781" i="12"/>
  <c r="Y1380" i="12"/>
  <c r="Y702" i="12"/>
  <c r="Y302" i="12"/>
  <c r="Y616" i="12"/>
  <c r="Y1834" i="12"/>
  <c r="Y2594" i="12"/>
  <c r="Y840" i="12"/>
  <c r="Y2091" i="12"/>
  <c r="Y2886" i="12"/>
  <c r="Y3298" i="12"/>
  <c r="Y633" i="12"/>
  <c r="Y446" i="12"/>
  <c r="Y3210" i="12"/>
  <c r="Y417" i="12"/>
  <c r="Y2388" i="12"/>
  <c r="Y802" i="12"/>
  <c r="Y3412" i="12"/>
  <c r="Y1261" i="12"/>
  <c r="Y1738" i="12"/>
  <c r="Y2985" i="12"/>
  <c r="Y2629" i="12"/>
  <c r="Y382" i="12"/>
  <c r="Y200" i="12"/>
  <c r="Y3183" i="12"/>
  <c r="Y1211" i="12"/>
  <c r="Y2860" i="12"/>
  <c r="Y3317" i="12"/>
  <c r="Y2298" i="12"/>
  <c r="Y1313" i="12"/>
  <c r="Y3334" i="12"/>
  <c r="Y1641" i="12"/>
  <c r="Y439" i="12"/>
  <c r="Y3128" i="12"/>
  <c r="Y876" i="12"/>
  <c r="Y3420" i="12"/>
  <c r="Y3389" i="12"/>
  <c r="Y1141" i="12"/>
  <c r="Y1195" i="12"/>
  <c r="Y709" i="12"/>
  <c r="Y118" i="12"/>
  <c r="Y3545" i="12"/>
  <c r="Y2351" i="12"/>
  <c r="Y753" i="12"/>
  <c r="Y90" i="12"/>
  <c r="Y1328" i="12"/>
  <c r="Y397" i="12"/>
  <c r="Y1704" i="12"/>
  <c r="Y2777" i="12"/>
  <c r="Y1916" i="12"/>
  <c r="Y1269" i="12"/>
  <c r="Y2589" i="12"/>
  <c r="Y2257" i="12"/>
  <c r="Y3009" i="12"/>
  <c r="Y1519" i="12"/>
  <c r="Y1634" i="12"/>
  <c r="Y1270" i="12"/>
  <c r="Y404" i="12"/>
  <c r="Y3533" i="12"/>
  <c r="Y1114" i="12"/>
  <c r="Y487" i="12"/>
  <c r="Y1765" i="12"/>
  <c r="Y2990" i="12"/>
  <c r="Y3421" i="12"/>
  <c r="Y3339" i="12"/>
  <c r="Y1701" i="12"/>
  <c r="Y2644" i="12"/>
  <c r="Y2974" i="12"/>
  <c r="Y1941" i="12"/>
  <c r="Y3462" i="12"/>
  <c r="Y671" i="12"/>
  <c r="Y2411" i="12"/>
  <c r="Y2705" i="12"/>
  <c r="Y1043" i="12"/>
  <c r="Y3162" i="12"/>
  <c r="Y2312" i="12"/>
  <c r="Y1949" i="12"/>
  <c r="Y2832" i="12"/>
  <c r="Y1223" i="12"/>
  <c r="Y1602" i="12"/>
  <c r="Y1387" i="12"/>
  <c r="Y3073" i="12"/>
  <c r="Y979" i="12"/>
  <c r="Y2201" i="12"/>
  <c r="Y138" i="12"/>
  <c r="Y360" i="12"/>
  <c r="Y3200" i="12"/>
  <c r="Y1931" i="12"/>
  <c r="Y3435" i="12"/>
  <c r="Y2205" i="12"/>
  <c r="Y26" i="12"/>
  <c r="Y3011" i="12"/>
  <c r="Y3248" i="12"/>
  <c r="Y2166" i="12"/>
  <c r="Y2784" i="12"/>
  <c r="Y1840" i="12"/>
  <c r="Y3047" i="12"/>
  <c r="Y1321" i="12"/>
  <c r="Y1823" i="12"/>
  <c r="Y3224" i="12"/>
  <c r="Y1464" i="12"/>
  <c r="Y1587" i="12"/>
  <c r="Y3510" i="12"/>
  <c r="Y3035" i="12"/>
  <c r="Y1899" i="12"/>
  <c r="Y931" i="12"/>
  <c r="Y560" i="12"/>
  <c r="Y2913" i="12"/>
  <c r="Y1047" i="12"/>
  <c r="Y994" i="12"/>
  <c r="Y240" i="12"/>
  <c r="Y216" i="12"/>
  <c r="Y2105" i="12"/>
  <c r="Y752" i="12"/>
  <c r="Y2867" i="12"/>
  <c r="Y3249" i="12"/>
  <c r="Y3084" i="12"/>
  <c r="Y2380" i="12"/>
  <c r="Y1893" i="12"/>
  <c r="Y663" i="12"/>
  <c r="Y3491" i="12"/>
  <c r="Y54" i="12"/>
  <c r="Y1967" i="12"/>
  <c r="Y3072" i="12"/>
  <c r="Y1294" i="12"/>
  <c r="Y310" i="12"/>
  <c r="Y78" i="12"/>
  <c r="Y297" i="12"/>
  <c r="Y3232" i="12"/>
  <c r="Y2150" i="12"/>
  <c r="Y1121" i="12"/>
  <c r="Y1826" i="12"/>
  <c r="Y2438" i="12"/>
  <c r="Y2076" i="12"/>
  <c r="Y1340" i="12"/>
  <c r="Y1660" i="12"/>
  <c r="Y313" i="12"/>
  <c r="Y540" i="12"/>
  <c r="Y2702" i="12"/>
  <c r="Y2851" i="12"/>
  <c r="Y1403" i="12"/>
  <c r="Y3403" i="12"/>
  <c r="Y218" i="12"/>
  <c r="Y220" i="12"/>
  <c r="Y2000" i="12"/>
  <c r="Y2907" i="12"/>
  <c r="Y251" i="12"/>
  <c r="Y412" i="12"/>
  <c r="Y607" i="12"/>
  <c r="Y2382" i="12"/>
  <c r="Y1713" i="12"/>
  <c r="Y2668" i="12"/>
  <c r="Y425" i="12"/>
  <c r="Y410" i="12"/>
  <c r="Y1408" i="12"/>
  <c r="Y1032" i="12"/>
  <c r="Y2363" i="12"/>
  <c r="Y2841" i="12"/>
  <c r="Y907" i="12"/>
  <c r="Y1216" i="12"/>
  <c r="Y2247" i="12"/>
  <c r="Y1157" i="12"/>
  <c r="Y3367" i="12"/>
  <c r="Y627" i="12"/>
  <c r="Y597" i="12"/>
  <c r="Y289" i="12"/>
  <c r="Y1293" i="12"/>
  <c r="Y1039" i="12"/>
  <c r="Y1375" i="12"/>
  <c r="Y2711" i="12"/>
  <c r="Y339" i="12"/>
  <c r="Y291" i="12"/>
  <c r="Y2952" i="12"/>
  <c r="Y133" i="12"/>
  <c r="Y2857" i="12"/>
  <c r="Y1828" i="12"/>
  <c r="Y1448" i="12"/>
  <c r="Y1237" i="12"/>
  <c r="Y563" i="12"/>
  <c r="Y3416" i="12"/>
  <c r="Y3371" i="12"/>
  <c r="Y2498" i="12"/>
  <c r="Y1717" i="12"/>
  <c r="Y1509" i="12"/>
  <c r="Y3294" i="12"/>
  <c r="Y2347" i="12"/>
  <c r="Y2817" i="12"/>
  <c r="Y1799" i="12"/>
  <c r="Y2677" i="12"/>
  <c r="Y1572" i="12"/>
  <c r="Y1609" i="12"/>
  <c r="Y892" i="12"/>
  <c r="Y1607" i="12"/>
  <c r="Y786" i="12"/>
  <c r="Y913" i="12"/>
  <c r="Y1220" i="12"/>
  <c r="Y443" i="12"/>
  <c r="Y1428" i="12"/>
  <c r="Y149" i="12"/>
  <c r="Y2758" i="12"/>
  <c r="Y1374" i="12"/>
  <c r="Y1813" i="12"/>
  <c r="Y1691" i="12"/>
  <c r="Y105" i="12"/>
  <c r="Y2459" i="12"/>
  <c r="Y718" i="12"/>
  <c r="Y1890" i="12"/>
  <c r="Y976" i="12"/>
  <c r="Y1955" i="12"/>
  <c r="Y1750" i="12"/>
  <c r="Y2526" i="12"/>
  <c r="Y928" i="12"/>
  <c r="Y491" i="12"/>
  <c r="Y188" i="12"/>
  <c r="Y553" i="12"/>
  <c r="Y3137" i="12"/>
  <c r="Y668" i="12"/>
  <c r="Y2460" i="12"/>
  <c r="Y1120" i="12"/>
  <c r="Y852" i="12"/>
  <c r="Y3066" i="12"/>
  <c r="Y475" i="12"/>
  <c r="Y179" i="12"/>
  <c r="Y2967" i="12"/>
  <c r="Y564" i="12"/>
  <c r="Y526" i="12"/>
  <c r="Y1402" i="12"/>
  <c r="Y290" i="12"/>
  <c r="Y386" i="12"/>
  <c r="Y3499" i="12"/>
  <c r="Y305" i="12"/>
  <c r="Y1228" i="12"/>
  <c r="Y2232" i="12"/>
  <c r="Y3057" i="12"/>
  <c r="Y3458" i="12"/>
  <c r="Y498" i="12"/>
  <c r="Y1540" i="12"/>
  <c r="Y73" i="12"/>
  <c r="Y3218" i="12"/>
  <c r="Y473" i="12"/>
  <c r="Y1133" i="12"/>
  <c r="Y522" i="12"/>
  <c r="Y3497" i="12"/>
  <c r="Y2099" i="12"/>
  <c r="Y1153" i="12"/>
  <c r="Y1690" i="12"/>
  <c r="Y1129" i="12"/>
  <c r="Y1560" i="12"/>
  <c r="Y181" i="12"/>
  <c r="Y3302" i="12"/>
  <c r="Y1150" i="12"/>
  <c r="Y276" i="12"/>
  <c r="Y2244" i="12"/>
  <c r="Y230" i="12"/>
  <c r="Y715" i="12"/>
  <c r="Y587" i="12"/>
  <c r="Y1886" i="12"/>
  <c r="Y2590" i="12"/>
  <c r="Y2812" i="12"/>
  <c r="Y2186" i="12"/>
  <c r="Y2266" i="12"/>
  <c r="Y1077" i="12"/>
  <c r="Y2724" i="12"/>
  <c r="Y2714" i="12"/>
  <c r="Y1055" i="12"/>
  <c r="Y2322" i="12"/>
  <c r="Y1582" i="12"/>
  <c r="Y215" i="12"/>
  <c r="Y1674" i="12"/>
  <c r="Y2021" i="12"/>
  <c r="Y1301" i="12"/>
  <c r="Y196" i="12"/>
  <c r="Y666" i="12"/>
  <c r="Y2323" i="12"/>
  <c r="Y2466" i="12"/>
  <c r="Y2484" i="12"/>
  <c r="Y447" i="12"/>
  <c r="Y1271" i="12"/>
  <c r="Y2320" i="12"/>
  <c r="Y3413" i="12"/>
  <c r="Y1154" i="12"/>
  <c r="Y3154" i="12"/>
  <c r="Y212" i="12"/>
  <c r="Y424" i="12"/>
  <c r="Y1790" i="12"/>
  <c r="Y2158" i="12"/>
  <c r="Y997" i="12"/>
  <c r="Y1286" i="12"/>
  <c r="Y55" i="12"/>
  <c r="Y2334" i="12"/>
  <c r="Y1539" i="12"/>
  <c r="Y2130" i="12"/>
  <c r="Y2113" i="12"/>
  <c r="Y2796" i="12"/>
  <c r="Y2924" i="12"/>
  <c r="Y186" i="12"/>
  <c r="Y1877" i="12"/>
  <c r="Y2233" i="12"/>
  <c r="Y390" i="12"/>
  <c r="Y3286" i="12"/>
  <c r="Y245" i="12"/>
  <c r="Y943" i="12"/>
  <c r="Y873" i="12"/>
  <c r="Y3354" i="12"/>
  <c r="Y3029" i="12"/>
  <c r="Y2180" i="12"/>
  <c r="Y1664" i="12"/>
  <c r="Y2456" i="12"/>
  <c r="Y3240" i="12"/>
  <c r="Y888" i="12"/>
  <c r="Y531" i="12"/>
  <c r="Y1089" i="12"/>
  <c r="Y47" i="12"/>
  <c r="Y2196" i="12"/>
  <c r="Y749" i="12"/>
  <c r="Y2473" i="12"/>
  <c r="Y3157" i="12"/>
  <c r="Y1746" i="12"/>
  <c r="Y1944" i="12"/>
  <c r="Y61" i="12"/>
  <c r="Y1075" i="12"/>
  <c r="Y288" i="12"/>
  <c r="Y942" i="12"/>
  <c r="Y1600" i="12"/>
  <c r="Y2061" i="12"/>
  <c r="Y3378" i="12"/>
  <c r="Y673" i="12"/>
  <c r="Y171" i="12"/>
  <c r="Y2140" i="12"/>
  <c r="Y345" i="12"/>
  <c r="Y2262" i="12"/>
  <c r="Y2712" i="12"/>
  <c r="Y56" i="12"/>
  <c r="Y2741" i="12"/>
  <c r="Y584" i="12"/>
  <c r="Y3167" i="12"/>
  <c r="Y972" i="12"/>
  <c r="Y2733" i="12"/>
  <c r="Y2746" i="12"/>
  <c r="Y432" i="12"/>
  <c r="Y1430" i="12"/>
  <c r="Y2545" i="12"/>
  <c r="Y3213" i="12"/>
  <c r="Y1984" i="12"/>
  <c r="Y1260" i="12"/>
  <c r="Y1182" i="12"/>
  <c r="Y1243" i="12"/>
  <c r="Y3460" i="12"/>
  <c r="Y2493" i="12"/>
  <c r="Y2490" i="12"/>
  <c r="Y532" i="12"/>
  <c r="Y244" i="12"/>
  <c r="Y2044" i="12"/>
  <c r="Y3398" i="12"/>
  <c r="Y1649" i="12"/>
  <c r="Y2595" i="12"/>
  <c r="Y1209" i="12"/>
  <c r="Y954" i="12"/>
  <c r="Y741" i="12"/>
  <c r="Y835" i="12"/>
  <c r="Y2033" i="12"/>
  <c r="Y1902" i="12"/>
  <c r="Y2540" i="12"/>
  <c r="Y2557" i="12"/>
  <c r="Y649" i="12"/>
  <c r="Y1598" i="12"/>
  <c r="Y3290" i="12"/>
  <c r="Y363" i="12"/>
  <c r="Y1696" i="12"/>
  <c r="Y1004" i="12"/>
  <c r="Y3516" i="12"/>
  <c r="Y1144" i="12"/>
  <c r="Y97" i="12"/>
  <c r="Y2797" i="12"/>
  <c r="Y2908" i="12"/>
  <c r="Y3089" i="12"/>
  <c r="Y2189" i="12"/>
  <c r="Y1772" i="12"/>
  <c r="Y2898" i="12"/>
  <c r="Y2815" i="12"/>
  <c r="Y426" i="12"/>
  <c r="Y3119" i="12"/>
  <c r="Y796" i="12"/>
  <c r="Y1279" i="12"/>
  <c r="Y606" i="12"/>
  <c r="Y2770" i="12"/>
  <c r="Y1761" i="12"/>
  <c r="Y180" i="12"/>
  <c r="Y590" i="12"/>
  <c r="Y2311" i="12"/>
  <c r="Y1247" i="12"/>
  <c r="Y640" i="12"/>
  <c r="Y228" i="12"/>
  <c r="Y2058" i="12"/>
  <c r="Y1167" i="12"/>
  <c r="Y2272" i="12"/>
  <c r="Y2461" i="12"/>
  <c r="Y1263" i="12"/>
  <c r="Y535" i="12"/>
  <c r="Y965" i="12"/>
  <c r="Y2011" i="12"/>
  <c r="Y2840" i="12"/>
  <c r="Y63" i="12"/>
  <c r="Y2469" i="12"/>
  <c r="Y2700" i="12"/>
  <c r="Y1734" i="12"/>
  <c r="Y2075" i="12"/>
  <c r="Y3457" i="12"/>
  <c r="Y1528" i="12"/>
  <c r="Y571" i="12"/>
  <c r="Y1253" i="12"/>
  <c r="Y1118" i="12"/>
  <c r="Y1705" i="12"/>
  <c r="Y1878" i="12"/>
  <c r="Y267" i="12"/>
  <c r="Y1474" i="12"/>
  <c r="Y3257" i="12"/>
  <c r="Y738" i="12"/>
  <c r="Y771" i="12"/>
  <c r="Y3357" i="12"/>
  <c r="Y129" i="12"/>
  <c r="Y803" i="12"/>
  <c r="Y1997" i="12"/>
  <c r="Y2335" i="12"/>
  <c r="Y1169" i="12"/>
  <c r="Y2318" i="12"/>
  <c r="Y2377" i="12"/>
  <c r="Y448" i="12"/>
  <c r="Y795" i="12"/>
  <c r="Y766" i="12"/>
  <c r="Y1078" i="12"/>
  <c r="Y1642" i="12"/>
  <c r="Y1700" i="12"/>
  <c r="Y3424" i="12"/>
  <c r="Y828" i="12"/>
  <c r="Y2804" i="12"/>
  <c r="Y3359" i="12"/>
  <c r="Y1771" i="12"/>
  <c r="Y726" i="12"/>
  <c r="Y2238" i="12"/>
  <c r="Y2539" i="12"/>
  <c r="Y2910" i="12"/>
  <c r="Y1323" i="12"/>
  <c r="Y2013" i="12"/>
  <c r="Y28" i="12"/>
  <c r="Y233" i="12"/>
  <c r="Y2391" i="12"/>
  <c r="Y225" i="12"/>
  <c r="Y1060" i="12"/>
  <c r="Y2289" i="12"/>
  <c r="Y3430" i="12"/>
  <c r="Y813" i="12"/>
  <c r="Y764" i="12"/>
  <c r="Y2544" i="12"/>
  <c r="Y104" i="12"/>
  <c r="Y2734" i="12"/>
  <c r="Y2889" i="12"/>
  <c r="Y3347" i="12"/>
  <c r="Y2188" i="12"/>
  <c r="Y2082" i="12"/>
  <c r="Y3139" i="12"/>
  <c r="Y2973" i="12"/>
  <c r="Y1987" i="12"/>
  <c r="Y2893" i="12"/>
  <c r="Y817" i="12"/>
  <c r="Y1432" i="12"/>
  <c r="Y2448" i="12"/>
  <c r="Y1292" i="12"/>
  <c r="Y389" i="12"/>
  <c r="Y747" i="12"/>
  <c r="Y2729" i="12"/>
  <c r="Y691" i="12"/>
  <c r="Y222" i="12"/>
  <c r="Y435" i="12"/>
  <c r="Y2546" i="12"/>
  <c r="Y237" i="12"/>
  <c r="Y318" i="12"/>
  <c r="Y354" i="12"/>
  <c r="Y1344" i="12"/>
  <c r="Y49" i="12"/>
  <c r="Y451" i="12"/>
  <c r="Y1227" i="12"/>
  <c r="Y2176" i="12"/>
  <c r="Y109" i="12"/>
  <c r="Y574" i="12"/>
  <c r="Y2781" i="12"/>
  <c r="Y3090" i="12"/>
  <c r="Y1933" i="12"/>
  <c r="Y1385" i="12"/>
  <c r="Y2475" i="12"/>
  <c r="Y1119" i="12"/>
  <c r="Y2944" i="12"/>
  <c r="Y2525" i="12"/>
  <c r="Y405" i="12"/>
  <c r="Y768" i="12"/>
  <c r="Y1356" i="12"/>
  <c r="Y1249" i="12"/>
  <c r="Y1320" i="12"/>
  <c r="Y3062" i="12"/>
  <c r="Y1346" i="12"/>
  <c r="Y962" i="12"/>
  <c r="Y2759" i="12"/>
  <c r="Y2653" i="12"/>
  <c r="Y2114" i="12"/>
  <c r="Y170" i="12"/>
  <c r="Y1497" i="12"/>
  <c r="Y1406" i="12"/>
  <c r="Y2355" i="12"/>
  <c r="Y967" i="12"/>
  <c r="Y1667" i="12"/>
  <c r="Y827" i="12"/>
  <c r="Y213" i="12"/>
  <c r="Y3262" i="12"/>
  <c r="Y2446" i="12"/>
  <c r="Y3474" i="12"/>
  <c r="Y1615" i="12"/>
  <c r="Y1976" i="12"/>
  <c r="Y2409" i="12"/>
  <c r="Y612" i="12"/>
  <c r="Y254" i="12"/>
  <c r="Y2977" i="12"/>
  <c r="Y1544" i="12"/>
  <c r="Y2331" i="12"/>
  <c r="Y1852" i="12"/>
  <c r="Y554" i="12"/>
  <c r="Y88" i="12"/>
  <c r="Y3392" i="12"/>
  <c r="Y261" i="12"/>
  <c r="Y1848" i="12"/>
  <c r="Y48" i="12"/>
  <c r="Y2612" i="12"/>
  <c r="Y2401" i="12"/>
  <c r="Y1254" i="12"/>
  <c r="Y806" i="12"/>
  <c r="Y2356" i="12"/>
  <c r="Y247" i="12"/>
  <c r="Y483" i="12"/>
  <c r="Y789" i="12"/>
  <c r="Y1382" i="12"/>
  <c r="Y1788" i="12"/>
  <c r="Y1792" i="12"/>
  <c r="Y3426" i="12"/>
  <c r="Y1040" i="12"/>
  <c r="Y1549" i="12"/>
  <c r="Y1245" i="12"/>
  <c r="Y2216" i="12"/>
  <c r="Y970" i="12"/>
  <c r="Y1665" i="12"/>
  <c r="Y2675" i="12"/>
  <c r="Y2577" i="12"/>
  <c r="Y1688" i="12"/>
  <c r="Y1857" i="12"/>
  <c r="Y3069" i="12"/>
  <c r="Y2418" i="12"/>
  <c r="Y514" i="12"/>
  <c r="Y2171" i="12"/>
  <c r="Y838" i="12"/>
  <c r="Y2823" i="12"/>
  <c r="Y682" i="12"/>
  <c r="Y909" i="12"/>
  <c r="Y1994" i="12"/>
  <c r="Y3470" i="12"/>
  <c r="Y1210" i="12"/>
  <c r="Y2162" i="12"/>
  <c r="Y1694" i="12"/>
  <c r="Y407" i="12"/>
  <c r="Y1584" i="12"/>
  <c r="Y469" i="12"/>
  <c r="Y1191" i="12"/>
  <c r="Y3030" i="12"/>
  <c r="Y2141" i="12"/>
  <c r="Y729" i="12"/>
  <c r="Y1767" i="12"/>
  <c r="Y232" i="12"/>
  <c r="Y2310" i="12"/>
  <c r="Y2427" i="12"/>
  <c r="Y192" i="12"/>
  <c r="Y304" i="12"/>
  <c r="Y2010" i="12"/>
  <c r="Y695" i="12"/>
  <c r="Y2871" i="12"/>
  <c r="Y706" i="12"/>
  <c r="Y3451" i="12"/>
  <c r="Y1222" i="12"/>
  <c r="Y3349" i="12"/>
  <c r="Y3151" i="12"/>
  <c r="Y648" i="12"/>
  <c r="Y2652" i="12"/>
  <c r="Y3060" i="12"/>
  <c r="Y3226" i="12"/>
  <c r="Y1204" i="12"/>
  <c r="Y1678" i="12"/>
  <c r="Y3548" i="12"/>
  <c r="Y1706" i="12"/>
  <c r="Y2635" i="12"/>
  <c r="Y2019" i="12"/>
  <c r="Y1199" i="12"/>
  <c r="Y1383" i="12"/>
  <c r="Y1950" i="12"/>
  <c r="Y1969" i="12"/>
  <c r="Y2928" i="12"/>
  <c r="Y242" i="12"/>
  <c r="Y1274" i="12"/>
  <c r="Y1486" i="12"/>
  <c r="Y3459" i="12"/>
  <c r="Y2209" i="12"/>
  <c r="Y1466" i="12"/>
  <c r="Y1116" i="12"/>
  <c r="Y1924" i="12"/>
  <c r="Y3340" i="12"/>
  <c r="Y1125" i="12"/>
  <c r="Y3175" i="12"/>
  <c r="Y2090" i="12"/>
  <c r="Y782" i="12"/>
  <c r="Y38" i="12"/>
  <c r="Y423" i="12"/>
  <c r="Y2751" i="12"/>
  <c r="Y1733" i="12"/>
  <c r="Y3443" i="12"/>
  <c r="Y2429" i="12"/>
  <c r="Y884" i="12"/>
  <c r="Y117" i="12"/>
  <c r="Y3007" i="12"/>
  <c r="Y2575" i="12"/>
  <c r="Y3436" i="12"/>
  <c r="Y1107" i="12"/>
  <c r="Y1082" i="12"/>
  <c r="Y2248" i="12"/>
  <c r="Y325" i="12"/>
  <c r="Y3363" i="12"/>
  <c r="Y1722" i="12"/>
  <c r="Y279" i="12"/>
  <c r="Y467" i="12"/>
  <c r="Y2630" i="12"/>
  <c r="Y1226" i="12"/>
  <c r="Y1638" i="12"/>
  <c r="Y904" i="12"/>
  <c r="Y2285" i="12"/>
  <c r="Y2508" i="12"/>
  <c r="Y1887" i="12"/>
  <c r="Y2856" i="12"/>
  <c r="Y2026" i="12"/>
  <c r="Y2763" i="12"/>
  <c r="Y3423" i="12"/>
  <c r="Y2661" i="12"/>
  <c r="Y1126" i="12"/>
  <c r="Y1327" i="12"/>
  <c r="Y2052" i="12"/>
  <c r="Y807" i="12"/>
  <c r="Y168" i="12"/>
  <c r="Y1407" i="12"/>
  <c r="Y3135" i="12"/>
  <c r="Y2481" i="12"/>
  <c r="Y1585" i="12"/>
  <c r="Y2078" i="12"/>
  <c r="Y3314" i="12"/>
  <c r="Y3140" i="12"/>
  <c r="Y1033" i="12"/>
  <c r="Y917" i="12"/>
  <c r="Y2316" i="12"/>
  <c r="Y1322" i="12"/>
  <c r="Y808" i="12"/>
  <c r="Y1478" i="12"/>
  <c r="Y2743" i="12"/>
  <c r="Y1563" i="12"/>
  <c r="Y989" i="12"/>
  <c r="Y336" i="12"/>
  <c r="Y2718" i="12"/>
  <c r="Y2953" i="12"/>
  <c r="Y1671" i="12"/>
  <c r="Y2745" i="12"/>
  <c r="Y1062" i="12"/>
  <c r="Y2142" i="12"/>
  <c r="Y3101" i="12"/>
  <c r="Y3477" i="12"/>
  <c r="Y3550" i="12"/>
  <c r="Y1024" i="12"/>
  <c r="Y1581" i="12"/>
  <c r="Y35" i="12"/>
  <c r="Y2029" i="12"/>
  <c r="Y960" i="12"/>
  <c r="Y2497" i="12"/>
  <c r="Y1221" i="12"/>
  <c r="Y32" i="12"/>
  <c r="Y3519" i="12"/>
  <c r="Y2688" i="12"/>
  <c r="Y3144" i="12"/>
  <c r="Y155" i="12"/>
  <c r="Y699" i="12"/>
  <c r="Y275" i="12"/>
  <c r="Y600" i="12"/>
  <c r="Y2179" i="12"/>
  <c r="Y1883" i="12"/>
  <c r="Y2007" i="12"/>
  <c r="Y3500" i="12"/>
  <c r="Y853" i="12"/>
  <c r="Y1728" i="12"/>
  <c r="Y2193" i="12"/>
  <c r="Y2869" i="12"/>
  <c r="Y3055" i="12"/>
  <c r="Y1429" i="12"/>
  <c r="Y153" i="12"/>
  <c r="Y2002" i="12"/>
  <c r="Y1898" i="12"/>
  <c r="Y2039" i="12"/>
  <c r="Y3495" i="12"/>
  <c r="Y2086" i="12"/>
  <c r="Y2809" i="12"/>
  <c r="Y1592" i="12"/>
  <c r="Y3235" i="12"/>
  <c r="Y2065" i="12"/>
  <c r="Y2732" i="12"/>
  <c r="Y2258" i="12"/>
  <c r="Y94" i="12"/>
  <c r="Y887" i="12"/>
  <c r="Y912" i="12"/>
  <c r="Y635" i="12"/>
  <c r="Y3052" i="12"/>
  <c r="Y1171" i="12"/>
  <c r="Y44" i="12"/>
  <c r="Y2670" i="12"/>
  <c r="Y2524" i="12"/>
  <c r="Y2450" i="12"/>
  <c r="Y2062" i="12"/>
  <c r="Y1307" i="12"/>
  <c r="Y2454" i="12"/>
  <c r="Y3191" i="12"/>
  <c r="Y2309" i="12"/>
  <c r="Y2229" i="12"/>
  <c r="Y2164" i="12"/>
  <c r="Y3321" i="12"/>
  <c r="Y3279" i="12"/>
  <c r="Y1029" i="12"/>
  <c r="Y2138" i="12"/>
  <c r="Y2027" i="12"/>
  <c r="Y1504" i="12"/>
  <c r="Y2184" i="12"/>
  <c r="Y2552" i="12"/>
  <c r="Y533" i="12"/>
  <c r="Y2514" i="12"/>
  <c r="Y1345" i="12"/>
  <c r="Y125" i="12"/>
  <c r="Y135" i="12"/>
  <c r="Y1034" i="12"/>
  <c r="Y1370" i="12"/>
  <c r="Y932" i="12"/>
  <c r="Y2319" i="12"/>
  <c r="Y1163" i="12"/>
  <c r="Y978" i="12"/>
  <c r="Y121" i="12"/>
  <c r="Y1244" i="12"/>
  <c r="Y1860" i="12"/>
  <c r="Y396" i="12"/>
  <c r="Y2421" i="12"/>
  <c r="Y377" i="12"/>
  <c r="Y1297" i="12"/>
  <c r="Y227" i="12"/>
  <c r="Y2251" i="12"/>
  <c r="Y2504" i="12"/>
  <c r="Y419" i="12"/>
  <c r="Y681" i="12"/>
  <c r="Y1394" i="12"/>
  <c r="Y1785" i="12"/>
  <c r="Y2738" i="12"/>
  <c r="Y3019" i="12"/>
  <c r="Y1310" i="12"/>
  <c r="Y3032" i="12"/>
  <c r="Y2877" i="12"/>
  <c r="Y2385" i="12"/>
  <c r="Y3014" i="12"/>
  <c r="Y1603" i="12"/>
  <c r="Y1897" i="12"/>
  <c r="Y823" i="12"/>
  <c r="Y3241" i="12"/>
  <c r="Y50" i="12"/>
  <c r="Y2030" i="12"/>
  <c r="Y2300" i="12"/>
  <c r="Y1514" i="12"/>
  <c r="Y657" i="12"/>
  <c r="Y2270" i="12"/>
  <c r="Y2430" i="12"/>
  <c r="Y2703" i="12"/>
  <c r="Y2719" i="12"/>
  <c r="Y282" i="12"/>
  <c r="Y3217" i="12"/>
  <c r="Y1115" i="12"/>
  <c r="Y1681" i="12"/>
  <c r="Y21" i="12"/>
  <c r="Y3099" i="12"/>
  <c r="Y219" i="12"/>
  <c r="Y1298" i="12"/>
  <c r="Y3528" i="12"/>
  <c r="Y2768" i="12"/>
  <c r="Y468" i="12"/>
  <c r="Y662" i="12"/>
  <c r="Y2045" i="12"/>
  <c r="Y539" i="12"/>
  <c r="Y990" i="12"/>
  <c r="Y1758" i="12"/>
  <c r="Y1449" i="12"/>
  <c r="Y1495" i="12"/>
  <c r="Y1729" i="12"/>
  <c r="Y183" i="12"/>
  <c r="Y2172" i="12"/>
  <c r="Y926" i="12"/>
  <c r="Y3234" i="12"/>
  <c r="Y2664" i="12"/>
  <c r="Y1764" i="12"/>
  <c r="Y2780" i="12"/>
  <c r="Y1945" i="12"/>
  <c r="Y1991" i="12"/>
  <c r="Y2786" i="12"/>
  <c r="Y3415" i="12"/>
  <c r="Y582" i="12"/>
  <c r="Y1871" i="12"/>
  <c r="Y859" i="12"/>
  <c r="Y894" i="12"/>
  <c r="Y335" i="12"/>
  <c r="Y2506" i="12"/>
  <c r="Y765" i="12"/>
  <c r="Y2014" i="12"/>
  <c r="Y3310" i="12"/>
  <c r="Y1658" i="12"/>
  <c r="Y1645" i="12"/>
  <c r="Y520" i="12"/>
  <c r="Y3453" i="12"/>
  <c r="Y3254" i="12"/>
  <c r="Y1682" i="12"/>
  <c r="Y2341" i="12"/>
  <c r="Y3522" i="12"/>
  <c r="Y865" i="12"/>
  <c r="Y963" i="12"/>
  <c r="Y3170" i="12"/>
  <c r="Y2657" i="12"/>
  <c r="Y1731" i="12"/>
  <c r="Y1515" i="12"/>
  <c r="Y2870" i="12"/>
  <c r="Y3395" i="12"/>
  <c r="Y1386" i="12"/>
  <c r="Y615" i="12"/>
  <c r="Y2995" i="12"/>
  <c r="Y2826" i="12"/>
  <c r="Y1661" i="12"/>
  <c r="Y2605" i="12"/>
  <c r="Y669" i="12"/>
  <c r="Y1156" i="12"/>
  <c r="Y2984" i="12"/>
  <c r="Y384" i="12"/>
  <c r="Y2174" i="12"/>
  <c r="Y355" i="12"/>
  <c r="Y2522" i="12"/>
  <c r="Y639" i="12"/>
  <c r="Y1343" i="12"/>
  <c r="Y1015" i="12"/>
  <c r="Y3045" i="12"/>
  <c r="Y737" i="12"/>
  <c r="Y1443" i="12"/>
  <c r="Y409" i="12"/>
  <c r="Y3434" i="12"/>
  <c r="Y1053" i="12"/>
  <c r="Y307" i="12"/>
  <c r="Y2618" i="12"/>
  <c r="Y541" i="12"/>
  <c r="Y3331" i="12"/>
  <c r="Y185" i="12"/>
  <c r="Y843" i="12"/>
  <c r="Y3341" i="12"/>
  <c r="Y226" i="12"/>
  <c r="Y2554" i="12"/>
  <c r="Y3480" i="12"/>
  <c r="Y3202" i="12"/>
  <c r="Y1622" i="12"/>
  <c r="Y758" i="12"/>
  <c r="Y1037" i="12"/>
  <c r="Y1445" i="12"/>
  <c r="Y3114" i="12"/>
  <c r="Y1917" i="12"/>
  <c r="Y238" i="12"/>
  <c r="Y2962" i="12"/>
  <c r="Y751" i="12"/>
  <c r="Y1687" i="12"/>
  <c r="Y433" i="12"/>
  <c r="Y1525" i="12"/>
  <c r="Y29" i="12"/>
  <c r="Y2620" i="12"/>
  <c r="Y2467" i="12"/>
  <c r="Y3036" i="12"/>
  <c r="Y1719" i="12"/>
  <c r="Y1803" i="12"/>
  <c r="Y1140" i="12"/>
  <c r="Y1596" i="12"/>
  <c r="Y3446" i="12"/>
  <c r="Y1065" i="12"/>
  <c r="Y455" i="12"/>
  <c r="Y260" i="12"/>
  <c r="Y2055" i="12"/>
  <c r="Y2957" i="12"/>
  <c r="Y2399" i="12"/>
  <c r="Y1647" i="12"/>
  <c r="Y3328" i="12"/>
  <c r="Y86" i="12"/>
  <c r="Y2573" i="12"/>
  <c r="Y1837" i="12"/>
  <c r="Y326" i="12"/>
  <c r="Y3450" i="12"/>
  <c r="Y794" i="12"/>
  <c r="Y1511" i="12"/>
  <c r="Y2794" i="12"/>
  <c r="Y2237" i="12"/>
  <c r="Y3401" i="12"/>
  <c r="Y2197" i="12"/>
  <c r="Y788" i="12"/>
  <c r="Y3245" i="12"/>
  <c r="Y2916" i="12"/>
  <c r="Y3396" i="12"/>
  <c r="Y96" i="12"/>
  <c r="Y1570" i="12"/>
  <c r="Y1337" i="12"/>
  <c r="Y3466" i="12"/>
  <c r="Y124" i="12"/>
  <c r="Y1006" i="12"/>
  <c r="Y2020" i="12"/>
  <c r="Y2757" i="12"/>
  <c r="Y742" i="12"/>
  <c r="Y1218" i="12"/>
  <c r="Y936" i="12"/>
  <c r="Y889" i="12"/>
  <c r="Y2485" i="12"/>
  <c r="Y2336" i="12"/>
  <c r="Y1988" i="12"/>
  <c r="Y1903" i="12"/>
  <c r="Y442" i="12"/>
  <c r="Y2972" i="12"/>
  <c r="Y1594" i="12"/>
  <c r="Y445" i="12"/>
  <c r="Y2183" i="12"/>
  <c r="Y3093" i="12"/>
  <c r="Y436" i="12"/>
  <c r="Y981" i="12"/>
  <c r="Y2036" i="12"/>
  <c r="Y2981" i="12"/>
  <c r="Y2911" i="12"/>
  <c r="Y1952" i="12"/>
  <c r="Y3272" i="12"/>
  <c r="Y645" i="12"/>
  <c r="Y184" i="12"/>
  <c r="Y3268" i="12"/>
  <c r="Y3212" i="12"/>
  <c r="Y499" i="12"/>
  <c r="Y2970" i="12"/>
  <c r="Y966" i="12"/>
  <c r="Y832" i="12"/>
  <c r="Y1463" i="12"/>
  <c r="Y812" i="12"/>
  <c r="Y2844" i="12"/>
  <c r="Y2023" i="12"/>
  <c r="Y1629" i="12"/>
  <c r="Y3517" i="12"/>
  <c r="Y3439" i="12"/>
  <c r="Y243" i="12"/>
  <c r="Y2875" i="12"/>
  <c r="Y1779" i="12"/>
  <c r="Y1562" i="12"/>
  <c r="Y2337" i="12"/>
  <c r="Y2224" i="12"/>
  <c r="Y2765" i="12"/>
  <c r="Y2966" i="12"/>
  <c r="Y1312" i="12"/>
  <c r="Y2791" i="12"/>
  <c r="Y857" i="12"/>
  <c r="Y2548" i="12"/>
  <c r="Y2035" i="12"/>
  <c r="Y1251" i="12"/>
  <c r="Y3501" i="12"/>
  <c r="Y3301" i="12"/>
  <c r="Y80" i="12"/>
  <c r="Y1096" i="12"/>
  <c r="Y2282" i="12"/>
  <c r="Y2295" i="12"/>
  <c r="Y3493" i="12"/>
  <c r="Y197" i="12"/>
  <c r="Y371" i="12"/>
  <c r="Y567" i="12"/>
  <c r="Y2825" i="12"/>
  <c r="Y746" i="12"/>
  <c r="Y1489" i="12"/>
  <c r="Y3456" i="12"/>
  <c r="Y1231" i="12"/>
  <c r="Y3056" i="12"/>
  <c r="Y3316" i="12"/>
  <c r="Y1007" i="12"/>
  <c r="Y1357" i="12"/>
  <c r="Y1022" i="12"/>
  <c r="Y3198" i="12"/>
  <c r="Y1783" i="12"/>
  <c r="Y70" i="12"/>
  <c r="Y92" i="12"/>
  <c r="Y175" i="12"/>
  <c r="Y546" i="12"/>
  <c r="Y141" i="12"/>
  <c r="Y656" i="12"/>
  <c r="Y2214" i="12"/>
  <c r="Y140" i="12"/>
  <c r="Y3281" i="12"/>
  <c r="Y2888" i="12"/>
  <c r="Y266" i="12"/>
  <c r="Y1266" i="12"/>
  <c r="Y2736" i="12"/>
  <c r="Y3379" i="12"/>
  <c r="Y3454" i="12"/>
  <c r="Y1616" i="12"/>
  <c r="Y1693" i="12"/>
  <c r="Y2769" i="12"/>
  <c r="Y2470" i="12"/>
  <c r="Y2440" i="12"/>
  <c r="Y1644" i="12"/>
  <c r="Y1775" i="12"/>
  <c r="Y2487" i="12"/>
  <c r="Y1711" i="12"/>
  <c r="Y37" i="12"/>
  <c r="Y2564" i="12"/>
  <c r="Y3106" i="12"/>
  <c r="Y687" i="12"/>
  <c r="Y1881" i="12"/>
  <c r="Y2400" i="12"/>
  <c r="Y2256" i="12"/>
  <c r="Y1347" i="12"/>
  <c r="Y2598" i="12"/>
  <c r="Y2880" i="12"/>
  <c r="Y2979" i="12"/>
  <c r="Y1960" i="12"/>
  <c r="Y3256" i="12"/>
  <c r="Y2935" i="12"/>
  <c r="Y2613" i="12"/>
  <c r="Y1201" i="12"/>
  <c r="Y515" i="12"/>
  <c r="Y1282" i="12"/>
  <c r="Y1105" i="12"/>
  <c r="Y1998" i="12"/>
  <c r="Y3399" i="12"/>
  <c r="Y2567" i="12"/>
  <c r="Y592" i="12"/>
  <c r="Y2830" i="12"/>
  <c r="Y1726" i="12"/>
  <c r="Y761" i="12"/>
  <c r="Y3368" i="12"/>
  <c r="Y2828" i="12"/>
  <c r="Y2412" i="12"/>
  <c r="Y1820" i="12"/>
  <c r="Y517" i="12"/>
  <c r="Y1366" i="12"/>
  <c r="Y3547" i="12"/>
  <c r="Y376" i="12"/>
  <c r="Y2820" i="12"/>
  <c r="Y126" i="12"/>
  <c r="Y799" i="12"/>
  <c r="Y2863" i="12"/>
  <c r="Y655" i="12"/>
  <c r="Y822" i="12"/>
  <c r="Y2273" i="12"/>
  <c r="Y3291" i="12"/>
  <c r="Y1770" i="12"/>
  <c r="Y1413" i="12"/>
  <c r="Y2379" i="12"/>
  <c r="Y1919" i="12"/>
  <c r="Y565" i="12"/>
  <c r="Y602" i="12"/>
  <c r="Y2560" i="12"/>
  <c r="Y324" i="12"/>
  <c r="Y585" i="12"/>
  <c r="Y2754" i="12"/>
  <c r="Y3028" i="12"/>
  <c r="Y717" i="12"/>
  <c r="Y3508" i="12"/>
  <c r="Y2900" i="12"/>
  <c r="Y1106" i="12"/>
  <c r="Y1900" i="12"/>
  <c r="Y2435" i="12"/>
  <c r="Y2217" i="12"/>
  <c r="Y108" i="12"/>
  <c r="Y2503" i="12"/>
  <c r="Y1079" i="12"/>
  <c r="Y2462" i="12"/>
  <c r="Y388" i="12"/>
  <c r="Y623" i="12"/>
  <c r="Y3324" i="12"/>
  <c r="Y1147" i="12"/>
  <c r="Y2687" i="12"/>
  <c r="Y2040" i="12"/>
  <c r="Y2074" i="12"/>
  <c r="Y1264" i="12"/>
  <c r="Y1240" i="12"/>
  <c r="Y3103" i="12"/>
  <c r="Y1698" i="12"/>
  <c r="Y3239" i="12"/>
  <c r="Y2558" i="12"/>
  <c r="Y3315" i="12"/>
  <c r="Y971" i="12"/>
  <c r="Y3003" i="12"/>
  <c r="Y3384" i="12"/>
  <c r="Y1493" i="12"/>
  <c r="Y492" i="12"/>
  <c r="Y946" i="12"/>
  <c r="Y2535" i="12"/>
  <c r="Y1918" i="12"/>
  <c r="Y3130" i="12"/>
  <c r="Y60" i="12"/>
  <c r="Y236" i="12"/>
  <c r="Y2168" i="12"/>
  <c r="Y3303" i="12"/>
  <c r="Y1590" i="12"/>
  <c r="Y3251" i="12"/>
  <c r="Y500" i="12"/>
  <c r="Y1194" i="12"/>
  <c r="Y2878" i="12"/>
  <c r="Y2122" i="12"/>
  <c r="Y2939" i="12"/>
  <c r="Y678" i="12"/>
  <c r="Y1977" i="12"/>
  <c r="Y2038" i="12"/>
  <c r="Y2842" i="12"/>
  <c r="Y2918" i="12"/>
  <c r="Y3026" i="12"/>
  <c r="Y3138" i="12"/>
  <c r="Y2436" i="12"/>
  <c r="Y3171" i="12"/>
  <c r="Y3518" i="12"/>
  <c r="Y3351" i="12"/>
  <c r="Y1499" i="12"/>
  <c r="Y2143" i="12"/>
  <c r="Y2110" i="12"/>
  <c r="Y1672" i="12"/>
  <c r="Y2419" i="12"/>
  <c r="Y107" i="12"/>
  <c r="Y2329" i="12"/>
  <c r="Y2597" i="12"/>
  <c r="Y3259" i="12"/>
  <c r="Y2321" i="12"/>
  <c r="Y2048" i="12"/>
  <c r="Y3496" i="12"/>
  <c r="Y1200" i="12"/>
  <c r="Y1861" i="12"/>
  <c r="Y1721" i="12"/>
  <c r="Y2801" i="12"/>
  <c r="Y2103" i="12"/>
  <c r="Y3216" i="12"/>
  <c r="Y3043" i="12"/>
  <c r="Y918" i="12"/>
  <c r="Y1985" i="12"/>
  <c r="Y2678" i="12"/>
  <c r="Y1718" i="12"/>
  <c r="Y3282" i="12"/>
  <c r="Y2213" i="12"/>
  <c r="Y2133" i="12"/>
  <c r="Y1811" i="12"/>
  <c r="Y896" i="12"/>
  <c r="Y2921" i="12"/>
  <c r="Y1248" i="12"/>
  <c r="Y1342" i="12"/>
  <c r="Y1617" i="12"/>
  <c r="Y2710" i="12"/>
  <c r="Y2012" i="12"/>
  <c r="Y1744" i="12"/>
  <c r="Y1452" i="12"/>
  <c r="Y2689" i="12"/>
  <c r="Y2721" i="12"/>
  <c r="Y193" i="12"/>
  <c r="Y1392" i="12"/>
  <c r="Y1756" i="12"/>
  <c r="Y1522" i="12"/>
  <c r="Y2543" i="12"/>
  <c r="Y2264" i="12"/>
  <c r="Y549" i="12"/>
  <c r="Y2357" i="12"/>
  <c r="Y3544" i="12"/>
  <c r="Y1095" i="12"/>
  <c r="Y1278" i="12"/>
  <c r="Y1178" i="12"/>
  <c r="Y2938" i="12"/>
  <c r="Y3534" i="12"/>
  <c r="Y2772" i="12"/>
  <c r="Y2017" i="12"/>
  <c r="Y558" i="12"/>
  <c r="Y1611" i="12"/>
  <c r="Y2937" i="12"/>
  <c r="Y1864" i="12"/>
  <c r="Y925" i="12"/>
  <c r="Y2756" i="12"/>
  <c r="Y2662" i="12"/>
  <c r="Y2280" i="12"/>
  <c r="Y1044" i="12"/>
  <c r="Y440" i="12"/>
  <c r="Y1482" i="12"/>
  <c r="Y1090" i="12"/>
  <c r="Y101" i="12"/>
  <c r="Y1498" i="12"/>
  <c r="Y3280" i="12"/>
  <c r="Y3375" i="12"/>
  <c r="Y898" i="12"/>
  <c r="Y2146" i="12"/>
  <c r="Y987" i="12"/>
  <c r="Y510" i="12"/>
  <c r="Y1566" i="12"/>
  <c r="Y1363" i="12"/>
  <c r="Y2326" i="12"/>
  <c r="Y2919" i="12"/>
  <c r="Y2859" i="12"/>
  <c r="Y249" i="12"/>
  <c r="Y862" i="12"/>
  <c r="Y2663" i="12"/>
  <c r="Y900" i="12"/>
  <c r="Y3033" i="12"/>
  <c r="Y562" i="12"/>
  <c r="Y1845" i="12"/>
  <c r="Y1391" i="12"/>
  <c r="Y357" i="12"/>
  <c r="Y395" i="12"/>
  <c r="Y3118" i="12"/>
  <c r="Y85" i="12"/>
  <c r="Y2512" i="12"/>
  <c r="Y2626" i="12"/>
  <c r="Y3380" i="12"/>
  <c r="Y1646" i="12"/>
  <c r="Y2071" i="12"/>
  <c r="Y3125" i="12"/>
  <c r="Y2342" i="12"/>
  <c r="Y3344" i="12"/>
  <c r="Y902" i="12"/>
  <c r="Y2472" i="12"/>
  <c r="Y1979" i="12"/>
  <c r="Y1958" i="12"/>
  <c r="Y2005" i="12"/>
  <c r="Y2132" i="12"/>
  <c r="Y1377" i="12"/>
  <c r="Y1935" i="12"/>
  <c r="Y2037" i="12"/>
  <c r="Y1112" i="12"/>
  <c r="Y1143" i="12"/>
  <c r="Y3275" i="12"/>
  <c r="Y392" i="12"/>
  <c r="Y3201" i="12"/>
  <c r="Y2444" i="12"/>
  <c r="Y2060" i="12"/>
  <c r="Y1241" i="12"/>
  <c r="Y2008" i="12"/>
  <c r="Y1926" i="12"/>
  <c r="Y1835" i="12"/>
  <c r="Y800" i="12"/>
  <c r="Y2059" i="12"/>
  <c r="Y1553" i="12"/>
  <c r="Y2778" i="12"/>
  <c r="Y2895" i="12"/>
  <c r="Y2941" i="12"/>
  <c r="Y1876" i="12"/>
  <c r="Y3059" i="12"/>
  <c r="Y757" i="12"/>
  <c r="Y2222" i="12"/>
  <c r="Y2861" i="12"/>
  <c r="Y3365" i="12"/>
  <c r="Y1850" i="12"/>
  <c r="Y1483" i="12"/>
  <c r="Y1008" i="12"/>
  <c r="Y2080" i="12"/>
  <c r="Y3438" i="12"/>
  <c r="Y2824" i="12"/>
  <c r="Y3104" i="12"/>
  <c r="Y347" i="12"/>
  <c r="Y3098" i="12"/>
  <c r="Y1523" i="12"/>
  <c r="Y703" i="12"/>
  <c r="Y3277" i="12"/>
  <c r="Y2344" i="12"/>
  <c r="Y2449" i="12"/>
  <c r="Y334" i="12"/>
  <c r="Y1205" i="12"/>
  <c r="Y2378" i="12"/>
  <c r="Y3222" i="12"/>
  <c r="Y1763" i="12"/>
  <c r="Y545" i="12"/>
  <c r="Y2708" i="12"/>
  <c r="Y3475" i="12"/>
  <c r="Y644" i="12"/>
  <c r="Y2839" i="12"/>
  <c r="Y1685" i="12"/>
  <c r="Y2505" i="12"/>
  <c r="Y1469" i="12"/>
  <c r="Y2491" i="12"/>
  <c r="Y3127" i="12"/>
  <c r="Y2305" i="12"/>
  <c r="Y1280" i="12"/>
  <c r="Y1080" i="12"/>
  <c r="Y2279" i="12"/>
  <c r="Y1085" i="12"/>
  <c r="Y2692" i="12"/>
  <c r="Y1314" i="12"/>
  <c r="Y3004" i="12"/>
  <c r="Y1136" i="12"/>
  <c r="Y154" i="12"/>
  <c r="Y494" i="12"/>
  <c r="Y1174" i="12"/>
  <c r="Y724" i="12"/>
  <c r="Y882" i="12"/>
  <c r="Y1289" i="12"/>
  <c r="Y756" i="12"/>
  <c r="Y1061" i="12"/>
  <c r="Y369" i="12"/>
  <c r="Y3348" i="12"/>
  <c r="Y3390" i="12"/>
  <c r="Y3085" i="12"/>
  <c r="Y784" i="12"/>
  <c r="Y3189" i="12"/>
  <c r="Y3058" i="12"/>
  <c r="Y1123" i="12"/>
  <c r="Y3513" i="12"/>
  <c r="Y1295" i="12"/>
  <c r="Y940" i="12"/>
  <c r="Y59" i="12"/>
  <c r="Y3527" i="12"/>
  <c r="Y1668" i="12"/>
  <c r="Y1537" i="12"/>
  <c r="Y2902" i="12"/>
  <c r="Y2361" i="12"/>
  <c r="Y2054" i="12"/>
  <c r="Y1352" i="12"/>
  <c r="Y2121" i="12"/>
  <c r="Y1421" i="12"/>
  <c r="Y1217" i="12"/>
  <c r="Y43" i="12"/>
  <c r="Y2740" i="12"/>
  <c r="Y2800" i="12"/>
  <c r="Y3253" i="12"/>
  <c r="Y1378" i="12"/>
  <c r="Y3393" i="12"/>
  <c r="Y273" i="12"/>
  <c r="Y2739" i="12"/>
  <c r="Y1102" i="12"/>
  <c r="Y1913" i="12"/>
  <c r="Y2365" i="12"/>
  <c r="Y2735" i="12"/>
  <c r="Y1589" i="12"/>
  <c r="Y2328" i="12"/>
  <c r="Y1012" i="12"/>
  <c r="Y2846" i="12"/>
  <c r="Y2509" i="12"/>
  <c r="Y3494" i="12"/>
  <c r="Y303" i="12"/>
  <c r="Y3502" i="12"/>
  <c r="Y1099" i="12"/>
  <c r="Y1777" i="12"/>
  <c r="Y349" i="12"/>
  <c r="Y1427" i="12"/>
  <c r="Y2996" i="12"/>
  <c r="Y2474" i="12"/>
  <c r="Y2494" i="12"/>
  <c r="Y112" i="12"/>
  <c r="Y1797" i="12"/>
  <c r="Y2579" i="12"/>
  <c r="Y264" i="12"/>
  <c r="Y2439" i="12"/>
  <c r="Y2617" i="12"/>
  <c r="Y34" i="12"/>
  <c r="Y1821" i="12"/>
  <c r="Y665" i="12"/>
  <c r="Y995" i="12"/>
  <c r="Y1937" i="12"/>
  <c r="Y2118" i="12"/>
  <c r="Y2866" i="12"/>
  <c r="Y2255" i="12"/>
  <c r="Y2482" i="12"/>
  <c r="Y552" i="12"/>
  <c r="Y3145" i="12"/>
  <c r="Y1457" i="12"/>
  <c r="Y1530" i="12"/>
  <c r="Y3520" i="12"/>
  <c r="Y2234" i="12"/>
  <c r="Y930" i="12"/>
  <c r="Y1996" i="12"/>
  <c r="Y2978" i="12"/>
  <c r="Y1768" i="12"/>
  <c r="Y3246" i="12"/>
  <c r="Y2267" i="12"/>
  <c r="Y2669" i="12"/>
  <c r="Y131" i="12"/>
  <c r="Y2463" i="12"/>
  <c r="Y618" i="12"/>
  <c r="Y1045" i="12"/>
  <c r="Y1521" i="12"/>
  <c r="Y1975" i="12"/>
  <c r="Y1939" i="12"/>
  <c r="Y3405" i="12"/>
  <c r="Y1825" i="12"/>
  <c r="Y1912" i="12"/>
  <c r="Y1026" i="12"/>
  <c r="Y1453" i="12"/>
  <c r="Y178" i="12"/>
  <c r="Y3492" i="12"/>
  <c r="Y1948" i="12"/>
  <c r="Y381" i="12"/>
  <c r="Y1291" i="12"/>
  <c r="Y3094" i="12"/>
  <c r="Y1419" i="12"/>
  <c r="Y2452" i="12"/>
  <c r="Y1031" i="12"/>
  <c r="Y2354" i="12"/>
  <c r="Y1516" i="12"/>
  <c r="Y461" i="12"/>
  <c r="Y1956" i="12"/>
  <c r="Y1922" i="12"/>
  <c r="Y2343" i="12"/>
  <c r="Y1442" i="12"/>
  <c r="Y172" i="12"/>
  <c r="Y1865" i="12"/>
  <c r="Y1972" i="12"/>
  <c r="Y2726" i="12"/>
  <c r="Y1035" i="12"/>
  <c r="Y2167" i="12"/>
  <c r="Y3187" i="12"/>
  <c r="Y3088" i="12"/>
  <c r="Y1759" i="12"/>
  <c r="Y969" i="12"/>
  <c r="Y2848" i="12"/>
  <c r="Y1086" i="12"/>
  <c r="Y608" i="12"/>
  <c r="Y277" i="12"/>
  <c r="Y2278" i="12"/>
  <c r="Y1500" i="12"/>
  <c r="Y1574" i="12"/>
  <c r="Y330" i="12"/>
  <c r="Y3238" i="12"/>
  <c r="Y2728" i="12"/>
  <c r="Y704" i="12"/>
  <c r="Y2550" i="12"/>
  <c r="Y1490" i="12"/>
  <c r="Y2660" i="12"/>
  <c r="Y3312" i="12"/>
  <c r="Y2370" i="12"/>
  <c r="Y2936" i="12"/>
  <c r="Y2645" i="12"/>
  <c r="Y2926" i="12"/>
  <c r="Y214" i="12"/>
  <c r="Y1619" i="12"/>
  <c r="Y1727" i="12"/>
  <c r="Y164" i="12"/>
  <c r="Y877" i="12"/>
  <c r="Y996" i="12"/>
  <c r="Y1558" i="12"/>
  <c r="Y1786" i="12"/>
  <c r="Y850" i="12"/>
  <c r="Y664" i="12"/>
  <c r="Y2169" i="12"/>
  <c r="Y1974" i="12"/>
  <c r="Y3080" i="12"/>
  <c r="Y2813" i="12"/>
  <c r="Y2259" i="12"/>
  <c r="Y3478" i="12"/>
  <c r="Y2101" i="12"/>
  <c r="Y321" i="12"/>
  <c r="Y151" i="12"/>
  <c r="Y1604" i="12"/>
  <c r="Y1455" i="12"/>
  <c r="Y2371" i="12"/>
  <c r="Y2520" i="12"/>
  <c r="Y1853" i="12"/>
  <c r="Y1807" i="12"/>
  <c r="Y3429" i="12"/>
  <c r="Y2181" i="12"/>
  <c r="Y3194" i="12"/>
  <c r="Y2422" i="12"/>
  <c r="Y2680" i="12"/>
  <c r="Y810" i="12"/>
  <c r="Y1686" i="12"/>
  <c r="Y452" i="12"/>
  <c r="Y1038" i="12"/>
  <c r="Y3549" i="12"/>
  <c r="Y1964" i="12"/>
  <c r="Y2744" i="12"/>
  <c r="Y1651" i="12"/>
  <c r="Y1064" i="12"/>
  <c r="Y3526" i="12"/>
  <c r="Y504" i="12"/>
  <c r="Y359" i="12"/>
  <c r="Y3129" i="12"/>
  <c r="Y3293" i="12"/>
  <c r="Y2290" i="12"/>
  <c r="Y3509" i="12"/>
  <c r="Y36" i="12"/>
  <c r="Y637" i="12"/>
  <c r="Y2963" i="12"/>
  <c r="Y2951" i="12"/>
  <c r="Y3288" i="12"/>
  <c r="Y933" i="12"/>
  <c r="Y1934" i="12"/>
  <c r="Y3465" i="12"/>
  <c r="Y341" i="12"/>
  <c r="Y1485" i="12"/>
  <c r="Y1712" i="12"/>
  <c r="Y1856" i="12"/>
  <c r="Y2570" i="12"/>
  <c r="Y2495" i="12"/>
  <c r="Y1648" i="12"/>
  <c r="Y2534" i="12"/>
  <c r="Y1557" i="12"/>
  <c r="Y598" i="12"/>
  <c r="Y591" i="12"/>
  <c r="Y3449" i="12"/>
  <c r="Y274" i="12"/>
  <c r="Y1246" i="12"/>
  <c r="Y3097" i="12"/>
  <c r="Y2693" i="12"/>
  <c r="Y2574" i="12"/>
  <c r="Y119" i="12"/>
  <c r="Y2855" i="12"/>
  <c r="Y2517" i="12"/>
  <c r="Y2274" i="12"/>
  <c r="Y1569" i="12"/>
  <c r="Y3044" i="12"/>
  <c r="Y2173" i="12"/>
  <c r="Y3265" i="12"/>
  <c r="Y3091" i="12"/>
  <c r="Y1735" i="12"/>
  <c r="Y502" i="12"/>
  <c r="Y223" i="12"/>
  <c r="Y2723" i="12"/>
  <c r="Y2808" i="12"/>
  <c r="Y2873" i="12"/>
  <c r="Y2068" i="12"/>
  <c r="Y814" i="12"/>
  <c r="Y2094" i="12"/>
  <c r="Y294" i="12"/>
  <c r="Y159" i="12"/>
  <c r="Y672" i="12"/>
  <c r="Y2601" i="12"/>
  <c r="Y2359" i="12"/>
  <c r="Y1287" i="12"/>
  <c r="Y1588" i="12"/>
  <c r="Y2761" i="12"/>
  <c r="Y1364" i="12"/>
  <c r="Y1132" i="12"/>
  <c r="Y3061" i="12"/>
  <c r="Y3000" i="12"/>
  <c r="Y3355" i="12"/>
  <c r="Y2932" i="12"/>
  <c r="Y3425" i="12"/>
  <c r="Y2887" i="12"/>
  <c r="Y2308" i="12"/>
  <c r="Y561" i="12"/>
  <c r="Y3402" i="12"/>
  <c r="Y2477" i="12"/>
  <c r="Y1360" i="12"/>
  <c r="Y2547" i="12"/>
  <c r="Y372" i="12"/>
  <c r="Y3295" i="12"/>
  <c r="Y2968" i="12"/>
  <c r="Y1187" i="12"/>
  <c r="Y1308" i="12"/>
  <c r="Y2451" i="12"/>
  <c r="Y3381" i="12"/>
  <c r="Y311" i="12"/>
  <c r="Y1709" i="12"/>
  <c r="Y2159" i="12"/>
  <c r="Y651" i="12"/>
  <c r="Y1829" i="12"/>
  <c r="Y2903" i="12"/>
  <c r="Y576" i="12"/>
  <c r="Y684" i="12"/>
  <c r="Y1506" i="12"/>
  <c r="Y206" i="12"/>
  <c r="Y1496" i="12"/>
  <c r="Y2576" i="12"/>
  <c r="Y2386" i="12"/>
  <c r="Y1180" i="12"/>
  <c r="Y1176" i="12"/>
  <c r="Y1531" i="12"/>
  <c r="Y1776" i="12"/>
  <c r="Y3305" i="12"/>
  <c r="Y116" i="12"/>
  <c r="Y2423" i="12"/>
  <c r="Y507" i="12"/>
  <c r="Y519" i="12"/>
  <c r="Y2872" i="12"/>
  <c r="Y1272" i="12"/>
  <c r="Y497" i="12"/>
  <c r="Y3485" i="12"/>
  <c r="Y711" i="12"/>
  <c r="Y581" i="12"/>
  <c r="Y2366" i="12"/>
  <c r="Y453" i="12"/>
  <c r="Y2250" i="12"/>
  <c r="Y2127" i="12"/>
  <c r="Y3488" i="12"/>
  <c r="Y3543" i="12"/>
  <c r="Y1142" i="12"/>
  <c r="Y3467" i="12"/>
  <c r="Y2980" i="12"/>
  <c r="Y1708" i="12"/>
  <c r="Y2850" i="12"/>
  <c r="Y2553" i="12"/>
  <c r="Y52" i="12"/>
  <c r="Y458" i="12"/>
  <c r="Y2095" i="12"/>
  <c r="Y2073" i="12"/>
  <c r="Y2899" i="12"/>
  <c r="Y955" i="12"/>
  <c r="Y366" i="12"/>
  <c r="Y1947" i="12"/>
  <c r="Y2699" i="12"/>
  <c r="Y1896" i="12"/>
  <c r="Y2135" i="12"/>
  <c r="Y2245" i="12"/>
  <c r="Y569" i="12"/>
  <c r="Y1056" i="12"/>
  <c r="Y2387" i="12"/>
  <c r="Y248" i="12"/>
  <c r="Y2923" i="12"/>
  <c r="Y268" i="12"/>
  <c r="Y1436" i="12"/>
  <c r="Y1827" i="12"/>
  <c r="Y3121" i="12"/>
  <c r="Y2578" i="12"/>
  <c r="Y2151" i="12"/>
  <c r="Y3539" i="12"/>
  <c r="Y595" i="12"/>
  <c r="Y2345" i="12"/>
  <c r="Y775" i="12"/>
  <c r="Y885" i="12"/>
  <c r="Y2551" i="12"/>
  <c r="Y1676" i="12"/>
  <c r="Y2104" i="12"/>
  <c r="Y1545" i="12"/>
  <c r="Y391" i="12"/>
  <c r="Y1982" i="12"/>
  <c r="Y3417" i="12"/>
  <c r="Y343" i="12"/>
  <c r="Y941" i="12"/>
  <c r="Y2137" i="12"/>
  <c r="Y1139" i="12"/>
  <c r="Y3385" i="12"/>
  <c r="Y550" i="12"/>
  <c r="Y2707" i="12"/>
  <c r="Y3233" i="12"/>
  <c r="Y2092" i="12"/>
  <c r="Y3242" i="12"/>
  <c r="Y207" i="12"/>
  <c r="Y3247" i="12"/>
  <c r="Y777" i="12"/>
  <c r="Y3199" i="12"/>
  <c r="Y2420" i="12"/>
  <c r="Y2265" i="12"/>
  <c r="Y1833" i="12"/>
  <c r="Y774" i="12"/>
  <c r="Y2306" i="12"/>
  <c r="Y460" i="12"/>
  <c r="Y3455" i="12"/>
  <c r="Y959" i="12"/>
  <c r="Y3021" i="12"/>
  <c r="Y2624" i="12"/>
  <c r="Y2389" i="12"/>
  <c r="Y1318" i="12"/>
  <c r="Y1819" i="12"/>
  <c r="Y886" i="12"/>
  <c r="Y2982" i="12"/>
  <c r="Y1018" i="12"/>
  <c r="Y1628" i="12"/>
  <c r="Y1422" i="12"/>
  <c r="Y1316" i="12"/>
  <c r="Y1555" i="12"/>
  <c r="Y2024" i="12"/>
  <c r="Y3108" i="12"/>
  <c r="Y528" i="12"/>
  <c r="Y1699" i="12"/>
  <c r="Y893" i="12"/>
  <c r="Y826" i="12"/>
  <c r="Y2667" i="12"/>
  <c r="Y3034" i="12"/>
  <c r="Y1780" i="12"/>
  <c r="Y860" i="12"/>
  <c r="Y958" i="12"/>
  <c r="Y370" i="12"/>
  <c r="Y3207" i="12"/>
  <c r="Y991" i="12"/>
  <c r="Y1214" i="12"/>
  <c r="Y1368" i="12"/>
  <c r="Y589" i="12"/>
  <c r="Y694" i="12"/>
  <c r="Y2571" i="12"/>
  <c r="Y2884" i="12"/>
  <c r="Y2219" i="12"/>
  <c r="Y1330" i="12"/>
  <c r="Y3143" i="12"/>
  <c r="Y1130" i="12"/>
  <c r="Y2499" i="12"/>
  <c r="Y2914" i="12"/>
  <c r="Y1439" i="12"/>
  <c r="Y1743" i="12"/>
  <c r="Y2207" i="12"/>
  <c r="Y1454" i="12"/>
  <c r="Y1042" i="12"/>
  <c r="Y839" i="12"/>
  <c r="Y3188" i="12"/>
  <c r="Y1894" i="12"/>
  <c r="Y2566" i="12"/>
  <c r="Y2003" i="12"/>
  <c r="Y1575" i="12"/>
  <c r="Y319" i="12"/>
  <c r="Y2147" i="12"/>
  <c r="Y1842" i="12"/>
  <c r="Y1905" i="12"/>
  <c r="Y1650" i="12"/>
  <c r="Y1677" i="12"/>
  <c r="Y2367" i="12"/>
  <c r="Y3283" i="12"/>
  <c r="Y1748" i="12"/>
  <c r="Y1752" i="12"/>
  <c r="Y572" i="12"/>
  <c r="Y1068" i="12"/>
  <c r="Y1252" i="12"/>
  <c r="Y114" i="12"/>
  <c r="Y880" i="12"/>
  <c r="Y3441" i="12"/>
  <c r="Y638" i="12"/>
  <c r="Y3382" i="12"/>
  <c r="Y2608" i="12"/>
  <c r="Y2991" i="12"/>
  <c r="Y2226" i="12"/>
  <c r="Y2943" i="12"/>
  <c r="Y2369" i="12"/>
  <c r="Y2519" i="12"/>
  <c r="Y2905" i="12"/>
  <c r="Y763" i="12"/>
  <c r="Y2533" i="12"/>
  <c r="Y75" i="12"/>
  <c r="Y2588" i="12"/>
  <c r="Y472" i="12"/>
  <c r="Y1822" i="12"/>
  <c r="Y3124" i="12"/>
  <c r="Y1623" i="12"/>
  <c r="Y160" i="12"/>
  <c r="Y466" i="12"/>
  <c r="Y1460" i="12"/>
  <c r="Y346" i="12"/>
  <c r="Y2640" i="12"/>
  <c r="Y1275" i="12"/>
  <c r="Y730" i="12"/>
  <c r="Y1613" i="12"/>
  <c r="Y1397" i="12"/>
  <c r="Y952" i="12"/>
  <c r="Y1238" i="12"/>
  <c r="Y2415" i="12"/>
  <c r="Y3463" i="12"/>
  <c r="Y22" i="12"/>
  <c r="Y422" i="12"/>
  <c r="Y2748" i="12"/>
  <c r="Y778" i="12"/>
  <c r="Y833" i="12"/>
  <c r="Y1551" i="12"/>
  <c r="Y2647" i="12"/>
  <c r="Y3448" i="12"/>
  <c r="Y1973" i="12"/>
  <c r="Y1186" i="12"/>
  <c r="Y1536" i="12"/>
  <c r="Y1773" i="12"/>
  <c r="Y1381" i="12"/>
  <c r="Y2950" i="12"/>
  <c r="Y89" i="12"/>
  <c r="Y3514" i="12"/>
  <c r="Y2585" i="12"/>
  <c r="Y3274" i="12"/>
  <c r="Y914" i="12"/>
  <c r="Y1502" i="12"/>
  <c r="Y1255" i="12"/>
  <c r="Y1870" i="12"/>
  <c r="Y1757" i="12"/>
  <c r="Y1680" i="12"/>
  <c r="Y1938" i="12"/>
  <c r="Y2949" i="12"/>
  <c r="Y317" i="12"/>
  <c r="Y2838" i="12"/>
  <c r="Y2897" i="12"/>
  <c r="Y1324" i="12"/>
  <c r="Y1925" i="12"/>
  <c r="Y2242" i="12"/>
  <c r="Y1715" i="12"/>
  <c r="Y2116" i="12"/>
  <c r="Y3221" i="12"/>
  <c r="Y24" i="12"/>
  <c r="Y3116" i="12"/>
  <c r="Y1058" i="12"/>
  <c r="Y470" i="12"/>
  <c r="Y2145" i="12"/>
  <c r="Y588" i="12"/>
  <c r="Y1568" i="12"/>
  <c r="Y1014" i="12"/>
  <c r="Y688" i="12"/>
  <c r="Y350" i="12"/>
  <c r="Y1425" i="12"/>
  <c r="Y1390" i="12"/>
  <c r="Y3362" i="12"/>
  <c r="Y2538" i="12"/>
  <c r="Y1081" i="12"/>
  <c r="Y1319" i="12"/>
  <c r="Y358" i="12"/>
  <c r="Y3521" i="12"/>
  <c r="Y368" i="12"/>
  <c r="Y25" i="12"/>
  <c r="Y675" i="12"/>
  <c r="Y2441" i="12"/>
  <c r="Y809" i="12"/>
  <c r="Y3205" i="12"/>
  <c r="Y1036" i="12"/>
  <c r="Y1535" i="12"/>
  <c r="Y2083" i="12"/>
  <c r="Y816" i="12"/>
  <c r="Y2625" i="12"/>
  <c r="Y221" i="12"/>
  <c r="Y2182" i="12"/>
  <c r="Y2527" i="12"/>
  <c r="Y1556" i="12"/>
  <c r="Y256" i="12"/>
  <c r="Y1005" i="12"/>
  <c r="Y628" i="12"/>
  <c r="Y2716" i="12"/>
  <c r="Y685" i="12"/>
  <c r="Y2160" i="12"/>
  <c r="Y3267" i="12"/>
  <c r="Y2603" i="12"/>
  <c r="Y356" i="12"/>
  <c r="Y190" i="12"/>
  <c r="Y3377" i="12"/>
  <c r="Y2051" i="12"/>
  <c r="Y2868" i="12"/>
  <c r="Y1920" i="12"/>
  <c r="Y527" i="12"/>
  <c r="Y1901" i="12"/>
  <c r="Y413" i="12"/>
  <c r="Y203" i="12"/>
  <c r="Y2960" i="12"/>
  <c r="Y3299" i="12"/>
  <c r="Y293" i="12"/>
  <c r="Y1546" i="12"/>
  <c r="Y3040" i="12"/>
  <c r="Y1230" i="12"/>
  <c r="Y1094" i="12"/>
  <c r="Y2286" i="12"/>
  <c r="Y136" i="12"/>
  <c r="Y1882" i="12"/>
  <c r="Y1930" i="12"/>
  <c r="Y1724" i="12"/>
  <c r="Y1844" i="12"/>
  <c r="Y2583" i="12"/>
  <c r="Y2117" i="12"/>
  <c r="Y3387" i="12"/>
  <c r="Y1527" i="12"/>
  <c r="Y113" i="12"/>
  <c r="Y2249" i="12"/>
  <c r="Y2072" i="12"/>
  <c r="Y1332" i="12"/>
  <c r="Y953" i="12"/>
  <c r="Y636" i="12"/>
  <c r="Y1334" i="12"/>
  <c r="Y1981" i="12"/>
  <c r="Y2283" i="12"/>
  <c r="Y2725" i="12"/>
  <c r="Y3041" i="12"/>
  <c r="Y2100" i="12"/>
  <c r="Y1100" i="12"/>
  <c r="Y847" i="12"/>
  <c r="Y262" i="12"/>
  <c r="Y1110" i="12"/>
  <c r="Y278" i="12"/>
  <c r="Y3432" i="12"/>
  <c r="Y146" i="12"/>
  <c r="Y652" i="12"/>
  <c r="Y331" i="12"/>
  <c r="Y1809" i="12"/>
  <c r="Y2783" i="12"/>
  <c r="Y2313" i="12"/>
  <c r="Y3025" i="12"/>
  <c r="Y992" i="12"/>
  <c r="Y2107" i="12"/>
  <c r="Y548" i="12"/>
  <c r="Y2022" i="12"/>
  <c r="Y457" i="12"/>
  <c r="Y630" i="12"/>
  <c r="Y1749" i="12"/>
  <c r="Y2165" i="12"/>
  <c r="Y3523" i="12"/>
  <c r="Y525" i="12"/>
  <c r="Y3529" i="12"/>
  <c r="Y1633" i="12"/>
  <c r="Y2047" i="12"/>
  <c r="Y3353" i="12"/>
  <c r="Y1165" i="12"/>
  <c r="Y2807" i="12"/>
  <c r="Y1098" i="12"/>
  <c r="Y619" i="12"/>
  <c r="Y2865" i="12"/>
  <c r="Y217" i="12"/>
  <c r="Y2656" i="12"/>
  <c r="Y2930" i="12"/>
  <c r="Y1161" i="12"/>
  <c r="Y1303" i="12"/>
  <c r="Y3243" i="12"/>
  <c r="Y2513" i="12"/>
  <c r="Y2455" i="12"/>
  <c r="Y566" i="12"/>
  <c r="Y2634" i="12"/>
  <c r="Y2621" i="12"/>
  <c r="Y605" i="12"/>
  <c r="Y621" i="12"/>
  <c r="Y1606" i="12"/>
  <c r="Y2987" i="12"/>
  <c r="Y3166" i="12"/>
  <c r="Y3394" i="12"/>
  <c r="Y2955" i="12"/>
  <c r="Y1384" i="12"/>
  <c r="Y3308" i="12"/>
  <c r="Y2727" i="12"/>
  <c r="Y3364" i="12"/>
  <c r="Y3115" i="12"/>
  <c r="Y298" i="12"/>
  <c r="Y3260" i="12"/>
  <c r="Y3400" i="12"/>
  <c r="Y1508" i="12"/>
  <c r="Y2623" i="12"/>
  <c r="Y2762" i="12"/>
  <c r="Y374" i="12"/>
  <c r="Y3530" i="12"/>
  <c r="Y3391" i="12"/>
  <c r="Y1268" i="12"/>
  <c r="Y599" i="12"/>
  <c r="Y836" i="12"/>
  <c r="Y2542" i="12"/>
  <c r="Y380" i="12"/>
  <c r="Y2426" i="12"/>
  <c r="Y854" i="12"/>
  <c r="Y27" i="12"/>
  <c r="Y921" i="12"/>
  <c r="Y1656" i="12"/>
  <c r="Y71" i="12"/>
  <c r="Y1092" i="12"/>
  <c r="Y2521" i="12"/>
  <c r="Y2849" i="12"/>
  <c r="Y2792" i="12"/>
  <c r="Y578" i="12"/>
  <c r="Y3051" i="12"/>
  <c r="Y1376" i="12"/>
  <c r="Y1137" i="12"/>
  <c r="Y3179" i="12"/>
  <c r="Y462" i="12"/>
  <c r="Y1233" i="12"/>
  <c r="Y891" i="12"/>
  <c r="Y1793" i="12"/>
  <c r="Y622" i="12"/>
  <c r="Y3386" i="12"/>
  <c r="Y2510" i="12"/>
  <c r="Y609" i="12"/>
  <c r="Y1965" i="12"/>
  <c r="Y2292" i="12"/>
  <c r="Y2241" i="12"/>
  <c r="Y2909" i="12"/>
  <c r="Y1810" i="12"/>
  <c r="Y2537" i="12"/>
  <c r="Y1117" i="12"/>
  <c r="Y2239" i="12"/>
  <c r="Y855" i="12"/>
  <c r="Y364" i="12"/>
  <c r="Y537" i="12"/>
  <c r="Y1135" i="12"/>
  <c r="Y471" i="12"/>
  <c r="Y2998" i="12"/>
  <c r="Y2212" i="12"/>
  <c r="Y625" i="12"/>
  <c r="Y1766" i="12"/>
  <c r="Y3155" i="12"/>
  <c r="Y143" i="12"/>
  <c r="Y988" i="12"/>
  <c r="Y811" i="12"/>
  <c r="Y2202" i="12"/>
  <c r="Y204" i="12"/>
  <c r="Y1315" i="12"/>
  <c r="Y2243" i="12"/>
  <c r="Y2028" i="12"/>
  <c r="Y1787" i="12"/>
  <c r="Y100" i="12"/>
  <c r="Y83" i="12"/>
  <c r="Y2802" i="12"/>
  <c r="Y3027" i="12"/>
  <c r="Y982" i="12"/>
  <c r="Y3049" i="12"/>
  <c r="Y1215" i="12"/>
  <c r="Y2671" i="12"/>
  <c r="Y3211" i="12"/>
  <c r="Y1798" i="12"/>
  <c r="Y1818" i="12"/>
  <c r="Y2599" i="12"/>
  <c r="Y1325" i="12"/>
  <c r="Y134" i="12"/>
  <c r="Y3498" i="12"/>
  <c r="Y3271" i="12"/>
  <c r="Y2447" i="12"/>
  <c r="Y1192" i="12"/>
  <c r="Y3490" i="12"/>
  <c r="Y2185" i="12"/>
  <c r="Y3263" i="12"/>
  <c r="Y505" i="12"/>
  <c r="Y3537" i="12"/>
  <c r="Y2155" i="12"/>
  <c r="Y3068" i="12"/>
  <c r="Y2053" i="12"/>
  <c r="Y2511" i="12"/>
  <c r="Y3307" i="12"/>
  <c r="Y485" i="12"/>
  <c r="Y3107" i="12"/>
  <c r="Y1805" i="12"/>
  <c r="Y2015" i="12"/>
  <c r="Y284" i="12"/>
  <c r="Y2922" i="12"/>
  <c r="Y1914" i="12"/>
  <c r="Y1438" i="12"/>
  <c r="Y2881" i="12"/>
  <c r="Y1794" i="12"/>
  <c r="Y2836" i="12"/>
  <c r="Y3109" i="12"/>
  <c r="Y579" i="12"/>
  <c r="Y1341" i="12"/>
  <c r="Y2632" i="12"/>
  <c r="Y2483" i="12"/>
  <c r="Y1966" i="12"/>
  <c r="Y1412" i="12"/>
  <c r="Y115" i="12"/>
  <c r="Y2301" i="12"/>
  <c r="Y643" i="12"/>
  <c r="Y1716" i="12"/>
  <c r="Y3132" i="12"/>
  <c r="Y3445" i="12"/>
  <c r="Y3372" i="12"/>
  <c r="Y2587" i="12"/>
  <c r="Y1359" i="12"/>
  <c r="Y1050" i="12"/>
  <c r="Y1173" i="12"/>
  <c r="Y1484" i="12"/>
  <c r="Y3422" i="12"/>
  <c r="Y915" i="12"/>
  <c r="Y1510" i="12"/>
  <c r="Y2358" i="12"/>
  <c r="Y2925" i="12"/>
  <c r="Y2221" i="12"/>
  <c r="Y459" i="12"/>
  <c r="Y2694" i="12"/>
  <c r="Y292" i="12"/>
  <c r="Y1367" i="12"/>
  <c r="Y2920" i="12"/>
  <c r="Y819" i="12"/>
  <c r="Y2814" i="12"/>
  <c r="Y1702" i="12"/>
  <c r="Y2106" i="12"/>
  <c r="Y2649" i="12"/>
  <c r="Y3278" i="12"/>
  <c r="Y815" i="12"/>
  <c r="Y383" i="12"/>
  <c r="Y2633" i="12"/>
  <c r="Y2516" i="12"/>
  <c r="Y1197" i="12"/>
  <c r="Y3204" i="12"/>
  <c r="Y1892" i="12"/>
  <c r="Y875" i="12"/>
  <c r="Y2818" i="12"/>
  <c r="Y231" i="12"/>
  <c r="Y2717" i="12"/>
  <c r="Y272" i="12"/>
  <c r="Y2946" i="12"/>
  <c r="Y2187" i="12"/>
  <c r="Y1858" i="12"/>
  <c r="Y679" i="12"/>
  <c r="Y3536" i="12"/>
  <c r="Y1236" i="12"/>
  <c r="Y856" i="12"/>
  <c r="Y2302" i="12"/>
  <c r="Y2254" i="12"/>
  <c r="Y3077" i="12"/>
  <c r="Y870" i="12"/>
  <c r="Y3461" i="12"/>
  <c r="Y2691" i="12"/>
  <c r="Y367" i="12"/>
  <c r="Y379" i="12"/>
  <c r="Y66" i="12"/>
  <c r="Y659" i="12"/>
  <c r="Y1608" i="12"/>
  <c r="Y235" i="12"/>
  <c r="Y1072" i="12"/>
  <c r="Y2843" i="12"/>
  <c r="Y1915" i="12"/>
  <c r="Y3053" i="12"/>
  <c r="Y1471" i="12"/>
  <c r="Y99" i="12"/>
  <c r="Y999" i="12"/>
  <c r="Y132" i="12"/>
  <c r="Y755" i="12"/>
  <c r="Y2416" i="12"/>
  <c r="Y1872" i="12"/>
  <c r="Y1669" i="12"/>
  <c r="Y748" i="12"/>
  <c r="Y1467" i="12"/>
  <c r="Y2785" i="12"/>
  <c r="Y3336" i="12"/>
  <c r="Y1517" i="12"/>
  <c r="Y1290" i="12"/>
  <c r="Y1814" i="12"/>
  <c r="Y3442" i="12"/>
  <c r="Y142" i="12"/>
  <c r="Y495" i="12"/>
  <c r="Y2208" i="12"/>
  <c r="Y2327" i="12"/>
  <c r="Y2381" i="12"/>
  <c r="Y2108" i="12"/>
  <c r="Y3322" i="12"/>
  <c r="Y1538" i="12"/>
  <c r="Y2413" i="12"/>
  <c r="Y1963" i="12"/>
  <c r="Y3081" i="12"/>
  <c r="Y629" i="12"/>
  <c r="Y3219" i="12"/>
  <c r="Y2954" i="12"/>
  <c r="Y1131" i="12"/>
  <c r="Y1388" i="12"/>
  <c r="Y3327" i="12"/>
  <c r="Y3407" i="12"/>
  <c r="Y31" i="12"/>
  <c r="Y1689" i="12"/>
  <c r="Y2163" i="12"/>
  <c r="Y829" i="12"/>
  <c r="Y1910" i="12"/>
  <c r="Y634" i="12"/>
  <c r="Y3258" i="12"/>
  <c r="Y1653" i="12"/>
  <c r="Y1782" i="12"/>
  <c r="Y714" i="12"/>
  <c r="Y1946" i="12"/>
  <c r="Y1548" i="12"/>
  <c r="Y723" i="12"/>
  <c r="Y2947" i="12"/>
  <c r="Y2912" i="12"/>
  <c r="Y2139" i="12"/>
  <c r="Y255" i="12"/>
  <c r="Y169" i="12"/>
  <c r="Y420" i="12"/>
  <c r="Y280" i="12"/>
  <c r="Y1723" i="12"/>
  <c r="Y2894" i="12"/>
  <c r="Y851" i="12"/>
  <c r="Y1627" i="12"/>
  <c r="Y632" i="12"/>
  <c r="Y1001" i="12"/>
  <c r="Y2931" i="12"/>
  <c r="Y3408" i="12"/>
  <c r="Y2144" i="12"/>
  <c r="Y559" i="12"/>
  <c r="Y400" i="12"/>
  <c r="Y3153" i="12"/>
  <c r="Y2896" i="12"/>
  <c r="Y1450" i="12"/>
  <c r="Y536" i="12"/>
  <c r="Y805" i="12"/>
  <c r="Y1234" i="12"/>
  <c r="Y252" i="12"/>
  <c r="Y1666" i="12"/>
  <c r="Y3158" i="12"/>
  <c r="Y2004" i="12"/>
  <c r="Y939" i="12"/>
  <c r="Y2032" i="12"/>
  <c r="Y2410" i="12"/>
  <c r="Y1784" i="12"/>
  <c r="Y1206" i="12"/>
  <c r="Y3010" i="12"/>
  <c r="Y1396" i="12"/>
  <c r="Y3447" i="12"/>
  <c r="Y2853" i="12"/>
  <c r="Y2263" i="12"/>
  <c r="Y1995" i="12"/>
  <c r="Y2854" i="12"/>
  <c r="Y2314" i="12"/>
  <c r="Y2339" i="12"/>
  <c r="Y1025" i="12"/>
  <c r="Y2125" i="12"/>
  <c r="Y683" i="12"/>
  <c r="Y1333" i="12"/>
  <c r="Y1358" i="12"/>
  <c r="Y3096" i="12"/>
  <c r="Y2507" i="12"/>
  <c r="Y2480" i="12"/>
  <c r="Y3023" i="12"/>
  <c r="Y2156" i="12"/>
  <c r="Y2046" i="12"/>
  <c r="Y1273" i="12"/>
  <c r="Y3476" i="12"/>
  <c r="Y2191" i="12"/>
  <c r="Y421" i="12"/>
  <c r="Y901" i="12"/>
  <c r="Y2532" i="12"/>
  <c r="Y604" i="12"/>
  <c r="Y2701" i="12"/>
  <c r="Y3431" i="12"/>
  <c r="Y1134" i="12"/>
  <c r="Y3180" i="12"/>
  <c r="Y863" i="12"/>
  <c r="Y555" i="12"/>
  <c r="Y64" i="12"/>
  <c r="Y2658" i="12"/>
  <c r="Y2790" i="12"/>
  <c r="Y130" i="12"/>
  <c r="Y2569" i="12"/>
  <c r="Y653" i="12"/>
  <c r="Y327" i="12"/>
  <c r="Y743" i="12"/>
  <c r="Y1444" i="12"/>
  <c r="Y2572" i="12"/>
  <c r="Y490" i="12"/>
  <c r="Y3169" i="12"/>
  <c r="Y3076" i="12"/>
  <c r="Y1859" i="12"/>
  <c r="Y2457" i="12"/>
  <c r="Y530" i="12"/>
  <c r="Y1707" i="12"/>
  <c r="Y1907" i="12"/>
  <c r="Y3017" i="12"/>
  <c r="Y2471" i="12"/>
  <c r="Y3184" i="12"/>
  <c r="Y1760" i="12"/>
  <c r="Y102" i="12"/>
  <c r="Y660" i="12"/>
  <c r="Y3133" i="12"/>
  <c r="Y2942" i="12"/>
  <c r="Y503" i="12"/>
  <c r="Y1906" i="12"/>
  <c r="Y1405" i="12"/>
  <c r="Y820" i="12"/>
  <c r="Y3148" i="12"/>
  <c r="Y3489" i="12"/>
  <c r="Y879" i="12"/>
  <c r="Y2064" i="12"/>
  <c r="Y2582" i="12"/>
  <c r="Y393" i="12"/>
  <c r="Y2755" i="12"/>
  <c r="Y1225" i="12"/>
  <c r="Y1751" i="12"/>
  <c r="Y779" i="12"/>
  <c r="Y3338" i="12"/>
  <c r="Y2915" i="12"/>
  <c r="Y3015" i="12"/>
  <c r="Y1189" i="12"/>
  <c r="Y3013" i="12"/>
  <c r="Y2638" i="12"/>
  <c r="Y785" i="12"/>
  <c r="Y1400" i="12"/>
  <c r="Y1597" i="12"/>
  <c r="Y1612" i="12"/>
  <c r="Y2730" i="12"/>
  <c r="Y123" i="12"/>
  <c r="Y3468" i="12"/>
  <c r="Y2989" i="12"/>
  <c r="Y3284" i="12"/>
  <c r="Y501" i="12"/>
  <c r="Y1041" i="12"/>
  <c r="Y1586" i="12"/>
  <c r="Y890" i="12"/>
  <c r="Y512" i="12"/>
  <c r="Y2432" i="12"/>
  <c r="Y287" i="12"/>
  <c r="Y3120" i="12"/>
  <c r="Y2774" i="12"/>
  <c r="Y543" i="12"/>
  <c r="Y689" i="12"/>
  <c r="Y983" i="12"/>
  <c r="Y1476" i="12"/>
  <c r="Y3397" i="12"/>
  <c r="Y464" i="12"/>
  <c r="Y3287" i="12"/>
  <c r="Y1164" i="12"/>
  <c r="Y1968" i="12"/>
  <c r="Y3440" i="12"/>
  <c r="Y3244" i="12"/>
  <c r="X92" i="12"/>
  <c r="X743" i="12"/>
  <c r="X573" i="12"/>
  <c r="X2431" i="12"/>
  <c r="X2915" i="12"/>
  <c r="X1920" i="12"/>
  <c r="X790" i="12"/>
  <c r="X2132" i="12"/>
  <c r="X2636" i="12"/>
  <c r="X2368" i="12"/>
  <c r="X2813" i="12"/>
  <c r="X1484" i="12"/>
  <c r="X2639" i="12"/>
  <c r="X1415" i="12"/>
  <c r="X360" i="12"/>
  <c r="X232" i="12"/>
  <c r="X414" i="12"/>
  <c r="X2614" i="12"/>
  <c r="X2410" i="12"/>
  <c r="X1509" i="12"/>
  <c r="X2440" i="12"/>
  <c r="X2525" i="12"/>
  <c r="X86" i="12"/>
  <c r="X665" i="12"/>
  <c r="X265" i="12"/>
  <c r="X2723" i="12"/>
  <c r="X61" i="12"/>
  <c r="X1710" i="12"/>
  <c r="X2945" i="12"/>
  <c r="X205" i="12"/>
  <c r="X1401" i="12"/>
  <c r="X635" i="12"/>
  <c r="X1644" i="12"/>
  <c r="X3374" i="12"/>
  <c r="X1068" i="12"/>
  <c r="X435" i="12"/>
  <c r="X3279" i="12"/>
  <c r="X2460" i="12"/>
  <c r="X2407" i="12"/>
  <c r="X2079" i="12"/>
  <c r="X1989" i="12"/>
  <c r="X2122" i="12"/>
  <c r="X543" i="12"/>
  <c r="X2949" i="12"/>
  <c r="X1575" i="12"/>
  <c r="X2036" i="12"/>
  <c r="X3008" i="12"/>
  <c r="X226" i="12"/>
  <c r="X1119" i="12"/>
  <c r="X534" i="12"/>
  <c r="X1584" i="12"/>
  <c r="X2433" i="12"/>
  <c r="X3296" i="12"/>
  <c r="X621" i="12"/>
  <c r="X1153" i="12"/>
  <c r="X1251" i="12"/>
  <c r="X594" i="12"/>
  <c r="X3500" i="12"/>
  <c r="X1730" i="12"/>
  <c r="X919" i="12"/>
  <c r="X72" i="12"/>
  <c r="X1179" i="12"/>
  <c r="X2824" i="12"/>
  <c r="X823" i="12"/>
  <c r="X432" i="12"/>
  <c r="X2537" i="12"/>
  <c r="X1512" i="12"/>
  <c r="X1239" i="12"/>
  <c r="X1642" i="12"/>
  <c r="X200" i="12"/>
  <c r="X163" i="12"/>
  <c r="X2185" i="12"/>
  <c r="X2329" i="12"/>
  <c r="X1104" i="12"/>
  <c r="X1292" i="12"/>
  <c r="X669" i="12"/>
  <c r="X797" i="12"/>
  <c r="X1676" i="12"/>
  <c r="X81" i="12"/>
  <c r="X1825" i="12"/>
  <c r="X615" i="12"/>
  <c r="X2451" i="12"/>
  <c r="X1587" i="12"/>
  <c r="X114" i="12"/>
  <c r="X21" i="12"/>
  <c r="X562" i="12"/>
  <c r="X2686" i="12"/>
  <c r="X1546" i="12"/>
  <c r="X2061" i="12"/>
  <c r="X42" i="12"/>
  <c r="X376" i="12"/>
  <c r="X1481" i="12"/>
  <c r="X2485" i="12"/>
  <c r="X317" i="12"/>
  <c r="X745" i="12"/>
  <c r="X2305" i="12"/>
  <c r="X1827" i="12"/>
  <c r="X1368" i="12"/>
  <c r="X1049" i="12"/>
  <c r="X522" i="12"/>
  <c r="X303" i="12"/>
  <c r="X879" i="12"/>
  <c r="X3075" i="12"/>
  <c r="X3148" i="12"/>
  <c r="X3270" i="12"/>
  <c r="X426" i="12"/>
  <c r="X553" i="12"/>
  <c r="X240" i="12"/>
  <c r="X176" i="12"/>
  <c r="X799" i="12"/>
  <c r="X236" i="12"/>
  <c r="X160" i="12"/>
  <c r="X2950" i="12"/>
  <c r="X1331" i="12"/>
  <c r="X3515" i="12"/>
  <c r="X710" i="12"/>
  <c r="X471" i="12"/>
  <c r="X2364" i="12"/>
  <c r="X1201" i="12"/>
  <c r="X3036" i="12"/>
  <c r="X640" i="12"/>
  <c r="X216" i="12"/>
  <c r="X3409" i="12"/>
  <c r="X2127" i="12"/>
  <c r="X1545" i="12"/>
  <c r="X2895" i="12"/>
  <c r="X1702" i="12"/>
  <c r="X1745" i="12"/>
  <c r="X3040" i="12"/>
  <c r="X1976" i="12"/>
  <c r="X596" i="12"/>
  <c r="X2889" i="12"/>
  <c r="X2557" i="12"/>
  <c r="X2259" i="12"/>
  <c r="X229" i="12"/>
  <c r="X2851" i="12"/>
  <c r="X3016" i="12"/>
  <c r="X1861" i="12"/>
  <c r="X2505" i="12"/>
  <c r="X1558" i="12"/>
  <c r="X759" i="12"/>
  <c r="X2584" i="12"/>
  <c r="X1844" i="12"/>
  <c r="X614" i="12"/>
  <c r="X2339" i="12"/>
  <c r="X2822" i="12"/>
  <c r="X3430" i="12"/>
  <c r="X3205" i="12"/>
  <c r="X2135" i="12"/>
  <c r="X1597" i="12"/>
  <c r="X1778" i="12"/>
  <c r="X3466" i="12"/>
  <c r="X1669" i="12"/>
  <c r="X1398" i="12"/>
  <c r="X206" i="12"/>
  <c r="X2473" i="12"/>
  <c r="X2656" i="12"/>
  <c r="X2756" i="12"/>
  <c r="X1175" i="12"/>
  <c r="X1305" i="12"/>
  <c r="X2279" i="12"/>
  <c r="X1600" i="12"/>
  <c r="X2961" i="12"/>
  <c r="X1211" i="12"/>
  <c r="X1047" i="12"/>
  <c r="X2859" i="12"/>
  <c r="X2225" i="12"/>
  <c r="X2612" i="12"/>
  <c r="X567" i="12"/>
  <c r="X1024" i="12"/>
  <c r="X3339" i="12"/>
  <c r="X3088" i="12"/>
  <c r="X1497" i="12"/>
  <c r="X1651" i="12"/>
  <c r="X2661" i="12"/>
  <c r="X2123" i="12"/>
  <c r="X2052" i="12"/>
  <c r="X3026" i="12"/>
  <c r="X2767" i="12"/>
  <c r="X2606" i="12"/>
  <c r="X307" i="12"/>
  <c r="X1975" i="12"/>
  <c r="X1663" i="12"/>
  <c r="X2577" i="12"/>
  <c r="X2850" i="12"/>
  <c r="X2680" i="12"/>
  <c r="X2233" i="12"/>
  <c r="X2363" i="12"/>
  <c r="X1783" i="12"/>
  <c r="X157" i="12"/>
  <c r="X637" i="12"/>
  <c r="X1988" i="12"/>
  <c r="X3444" i="12"/>
  <c r="X1683" i="12"/>
  <c r="X3440" i="12"/>
  <c r="X1919" i="12"/>
  <c r="X2482" i="12"/>
  <c r="X2053" i="12"/>
  <c r="X1773" i="12"/>
  <c r="X1433" i="12"/>
  <c r="X1661" i="12"/>
  <c r="X238" i="12"/>
  <c r="X2866" i="12"/>
  <c r="X3131" i="12"/>
  <c r="X604" i="12"/>
  <c r="X2074" i="12"/>
  <c r="X1216" i="12"/>
  <c r="X269" i="12"/>
  <c r="X2645" i="12"/>
  <c r="X1855" i="12"/>
  <c r="X2844" i="12"/>
  <c r="X950" i="12"/>
  <c r="X412" i="12"/>
  <c r="X3336" i="12"/>
  <c r="X1042" i="12"/>
  <c r="X3434" i="12"/>
  <c r="X304" i="12"/>
  <c r="X529" i="12"/>
  <c r="X1015" i="12"/>
  <c r="X1943" i="12"/>
  <c r="X253" i="12"/>
  <c r="X828" i="12"/>
  <c r="X1465" i="12"/>
  <c r="X1724" i="12"/>
  <c r="X868" i="12"/>
  <c r="X2554" i="12"/>
  <c r="X3019" i="12"/>
  <c r="X484" i="12"/>
  <c r="X1801" i="12"/>
  <c r="X3507" i="12"/>
  <c r="X2128" i="12"/>
  <c r="X1311" i="12"/>
  <c r="X3491" i="12"/>
  <c r="X190" i="12"/>
  <c r="X2244" i="12"/>
  <c r="X865" i="12"/>
  <c r="X1641" i="12"/>
  <c r="X401" i="12"/>
  <c r="X3159" i="12"/>
  <c r="X593" i="12"/>
  <c r="X449" i="12"/>
  <c r="X2251" i="12"/>
  <c r="X1892" i="12"/>
  <c r="X3493" i="12"/>
  <c r="X870" i="12"/>
  <c r="X2115" i="12"/>
  <c r="X2956" i="12"/>
  <c r="X1198" i="12"/>
  <c r="X3292" i="12"/>
  <c r="X2194" i="12"/>
  <c r="X2125" i="12"/>
  <c r="X1328" i="12"/>
  <c r="X2309" i="12"/>
  <c r="X339" i="12"/>
  <c r="X2715" i="12"/>
  <c r="X3517" i="12"/>
  <c r="X827" i="12"/>
  <c r="X47" i="12"/>
  <c r="X2133" i="12"/>
  <c r="X2412" i="12"/>
  <c r="X819" i="12"/>
  <c r="X2608" i="12"/>
  <c r="X3274" i="12"/>
  <c r="X605" i="12"/>
  <c r="X2886" i="12"/>
  <c r="X1043" i="12"/>
  <c r="X1992" i="12"/>
  <c r="X56" i="12"/>
  <c r="X396" i="12"/>
  <c r="X572" i="12"/>
  <c r="X1238" i="12"/>
  <c r="X3002" i="12"/>
  <c r="X2190" i="12"/>
  <c r="X720" i="12"/>
  <c r="X3046" i="12"/>
  <c r="X708" i="12"/>
  <c r="X2878" i="12"/>
  <c r="X1542" i="12"/>
  <c r="X3054" i="12"/>
  <c r="X242" i="12"/>
  <c r="X2578" i="12"/>
  <c r="X1888" i="12"/>
  <c r="X288" i="12"/>
  <c r="X158" i="12"/>
  <c r="X136" i="12"/>
  <c r="X825" i="12"/>
  <c r="X2615" i="12"/>
  <c r="X3017" i="12"/>
  <c r="X3278" i="12"/>
  <c r="X2031" i="12"/>
  <c r="X2175" i="12"/>
  <c r="X3030" i="12"/>
  <c r="X1322" i="12"/>
  <c r="X913" i="12"/>
  <c r="X1544" i="12"/>
  <c r="X3125" i="12"/>
  <c r="X155" i="12"/>
  <c r="X2541" i="12"/>
  <c r="X2136" i="12"/>
  <c r="X1552" i="12"/>
  <c r="X1463" i="12"/>
  <c r="X1037" i="12"/>
  <c r="X1700" i="12"/>
  <c r="X1096" i="12"/>
  <c r="X526" i="12"/>
  <c r="X2500" i="12"/>
  <c r="X250" i="12"/>
  <c r="X2013" i="12"/>
  <c r="X1338" i="12"/>
  <c r="X2273" i="12"/>
  <c r="X3064" i="12"/>
  <c r="X882" i="12"/>
  <c r="X2621" i="12"/>
  <c r="X244" i="12"/>
  <c r="X1057" i="12"/>
  <c r="X661" i="12"/>
  <c r="X1697" i="12"/>
  <c r="X2617" i="12"/>
  <c r="X957" i="12"/>
  <c r="X1751" i="12"/>
  <c r="X1009" i="12"/>
  <c r="X1553" i="12"/>
  <c r="X938" i="12"/>
  <c r="X1165" i="12"/>
  <c r="X1858" i="12"/>
  <c r="X1950" i="12"/>
  <c r="X1771" i="12"/>
  <c r="X3024" i="12"/>
  <c r="X497" i="12"/>
  <c r="X100" i="12"/>
  <c r="X1670" i="12"/>
  <c r="X3011" i="12"/>
  <c r="X462" i="12"/>
  <c r="X1548" i="12"/>
  <c r="X3447" i="12"/>
  <c r="X2396" i="12"/>
  <c r="X3503" i="12"/>
  <c r="X2253" i="12"/>
  <c r="X3102" i="12"/>
  <c r="X3402" i="12"/>
  <c r="X353" i="12"/>
  <c r="X3316" i="12"/>
  <c r="X420" i="12"/>
  <c r="X3224" i="12"/>
  <c r="X375" i="12"/>
  <c r="X1185" i="12"/>
  <c r="X55" i="12"/>
  <c r="X260" i="12"/>
  <c r="X3250" i="12"/>
  <c r="X1480" i="12"/>
  <c r="X2355" i="12"/>
  <c r="X1321" i="12"/>
  <c r="X2427" i="12"/>
  <c r="X2492" i="12"/>
  <c r="X66" i="12"/>
  <c r="X3410" i="12"/>
  <c r="X3321" i="12"/>
  <c r="X2094" i="12"/>
  <c r="X676" i="12"/>
  <c r="X1792" i="12"/>
  <c r="X3216" i="12"/>
  <c r="X1539" i="12"/>
  <c r="X2219" i="12"/>
  <c r="X770" i="12"/>
  <c r="X1120" i="12"/>
  <c r="X2796" i="12"/>
  <c r="X1152" i="12"/>
  <c r="X2805" i="12"/>
  <c r="X992" i="12"/>
  <c r="X1274" i="12"/>
  <c r="X2390" i="12"/>
  <c r="X403" i="12"/>
  <c r="X2254" i="12"/>
  <c r="X3116" i="12"/>
  <c r="X3271" i="12"/>
  <c r="X3196" i="12"/>
  <c r="X883" i="12"/>
  <c r="X3313" i="12"/>
  <c r="X2178" i="12"/>
  <c r="X546" i="12"/>
  <c r="X156" i="12"/>
  <c r="X1452" i="12"/>
  <c r="X940" i="12"/>
  <c r="X2749" i="12"/>
  <c r="X1711" i="12"/>
  <c r="X1370" i="12"/>
  <c r="X323" i="12"/>
  <c r="X774" i="12"/>
  <c r="X2653" i="12"/>
  <c r="X342" i="12"/>
  <c r="X775" i="12"/>
  <c r="X1417" i="12"/>
  <c r="X1183" i="12"/>
  <c r="X856" i="12"/>
  <c r="X2019" i="12"/>
  <c r="X2518" i="12"/>
  <c r="X141" i="12"/>
  <c r="X3223" i="12"/>
  <c r="X1728" i="12"/>
  <c r="X1116" i="12"/>
  <c r="X3529" i="12"/>
  <c r="X3086" i="12"/>
  <c r="X261" i="12"/>
  <c r="X407" i="12"/>
  <c r="X2997" i="12"/>
  <c r="X110" i="12"/>
  <c r="X3121" i="12"/>
  <c r="X2141" i="12"/>
  <c r="X1326" i="12"/>
  <c r="X3111" i="12"/>
  <c r="X3535" i="12"/>
  <c r="X606" i="12"/>
  <c r="X41" i="12"/>
  <c r="X1671" i="12"/>
  <c r="X2674" i="12"/>
  <c r="X388" i="12"/>
  <c r="X402" i="12"/>
  <c r="X944" i="12"/>
  <c r="X983" i="12"/>
  <c r="X3106" i="12"/>
  <c r="X539" i="12"/>
  <c r="X1007" i="12"/>
  <c r="X3235" i="12"/>
  <c r="X2809" i="12"/>
  <c r="X35" i="12"/>
  <c r="X518" i="12"/>
  <c r="X652" i="12"/>
  <c r="X801" i="12"/>
  <c r="X2609" i="12"/>
  <c r="X1685" i="12"/>
  <c r="X33" i="12"/>
  <c r="X2105" i="12"/>
  <c r="X1623" i="12"/>
  <c r="X796" i="12"/>
  <c r="X3522" i="12"/>
  <c r="X2854" i="12"/>
  <c r="X618" i="12"/>
  <c r="X346" i="12"/>
  <c r="X3065" i="12"/>
  <c r="X3377" i="12"/>
  <c r="X684" i="12"/>
  <c r="X2536" i="12"/>
  <c r="X1974" i="12"/>
  <c r="X773" i="12"/>
  <c r="X2229" i="12"/>
  <c r="X3531" i="12"/>
  <c r="X3254" i="12"/>
  <c r="X2672" i="12"/>
  <c r="X688" i="12"/>
  <c r="X587" i="12"/>
  <c r="X372" i="12"/>
  <c r="X2344" i="12"/>
  <c r="X953" i="12"/>
  <c r="X2070" i="12"/>
  <c r="X2593" i="12"/>
  <c r="X1117" i="12"/>
  <c r="X3325" i="12"/>
  <c r="X3055" i="12"/>
  <c r="X3438" i="12"/>
  <c r="X2967" i="12"/>
  <c r="X3227" i="12"/>
  <c r="X2459" i="12"/>
  <c r="X492" i="12"/>
  <c r="X2520" i="12"/>
  <c r="X2877" i="12"/>
  <c r="X3145" i="12"/>
  <c r="X540" i="12"/>
  <c r="X3512" i="12"/>
  <c r="X3388" i="12"/>
  <c r="X2266" i="12"/>
  <c r="X64" i="12"/>
  <c r="X393" i="12"/>
  <c r="X1233" i="12"/>
  <c r="X839" i="12"/>
  <c r="X2935" i="12"/>
  <c r="X3234" i="12"/>
  <c r="X975" i="12"/>
  <c r="X1647" i="12"/>
  <c r="X19" i="12"/>
  <c r="X2137" i="12"/>
  <c r="X90" i="12"/>
  <c r="X583" i="12"/>
  <c r="X533" i="12"/>
  <c r="X1072" i="12"/>
  <c r="X2974" i="12"/>
  <c r="X1555" i="12"/>
  <c r="X2040" i="12"/>
  <c r="X885" i="12"/>
  <c r="X1537" i="12"/>
  <c r="X3433" i="12"/>
  <c r="X1535" i="12"/>
  <c r="X1035" i="12"/>
  <c r="X1038" i="12"/>
  <c r="X3245" i="12"/>
  <c r="X2498" i="12"/>
  <c r="X1699" i="12"/>
  <c r="X927" i="12"/>
  <c r="X1224" i="12"/>
  <c r="X404" i="12"/>
  <c r="X2699" i="12"/>
  <c r="X1515" i="12"/>
  <c r="X3152" i="12"/>
  <c r="X1202" i="12"/>
  <c r="X22" i="12"/>
  <c r="X2563" i="12"/>
  <c r="X1066" i="12"/>
  <c r="X336" i="12"/>
  <c r="X3411" i="12"/>
  <c r="X1840" i="12"/>
  <c r="X1942" i="12"/>
  <c r="X1958" i="12"/>
  <c r="X3132" i="12"/>
  <c r="X2658" i="12"/>
  <c r="X2474" i="12"/>
  <c r="X2164" i="12"/>
  <c r="X2162" i="12"/>
  <c r="X379" i="12"/>
  <c r="X704" i="12"/>
  <c r="X2576" i="12"/>
  <c r="X699" i="12"/>
  <c r="X523" i="12"/>
  <c r="X1295" i="12"/>
  <c r="X755" i="12"/>
  <c r="X1869" i="12"/>
  <c r="X1843" i="12"/>
  <c r="X2183" i="12"/>
  <c r="X125" i="12"/>
  <c r="X423" i="12"/>
  <c r="X3251" i="12"/>
  <c r="X327" i="12"/>
  <c r="X1332" i="12"/>
  <c r="X1510" i="12"/>
  <c r="X3527" i="12"/>
  <c r="X27" i="12"/>
  <c r="X2937" i="12"/>
  <c r="X3090" i="12"/>
  <c r="X1255" i="12"/>
  <c r="X2214" i="12"/>
  <c r="X1980" i="12"/>
  <c r="X2276" i="12"/>
  <c r="X1618" i="12"/>
  <c r="X2517" i="12"/>
  <c r="X267" i="12"/>
  <c r="X1507" i="12"/>
  <c r="X3190" i="12"/>
  <c r="X2270" i="12"/>
  <c r="X2845" i="12"/>
  <c r="X2863" i="12"/>
  <c r="X1389" i="12"/>
  <c r="X963" i="12"/>
  <c r="X1236" i="12"/>
  <c r="X2231" i="12"/>
  <c r="X2210" i="12"/>
  <c r="X230" i="12"/>
  <c r="X2096" i="12"/>
  <c r="X542" i="12"/>
  <c r="X3175" i="12"/>
  <c r="X2059" i="12"/>
  <c r="X2399" i="12"/>
  <c r="X2942" i="12"/>
  <c r="X1822" i="12"/>
  <c r="X2951" i="12"/>
  <c r="X1403" i="12"/>
  <c r="X428" i="12"/>
  <c r="X2987" i="12"/>
  <c r="X824" i="12"/>
  <c r="X84" i="12"/>
  <c r="X2841" i="12"/>
  <c r="X2464" i="12"/>
  <c r="X1830" i="12"/>
  <c r="X2153" i="12"/>
  <c r="X1982" i="12"/>
  <c r="X3203" i="12"/>
  <c r="X1192" i="12"/>
  <c r="X1559" i="12"/>
  <c r="X1940" i="12"/>
  <c r="X1342" i="12"/>
  <c r="X2860" i="12"/>
  <c r="X872" i="12"/>
  <c r="X2429" i="12"/>
  <c r="X2564" i="12"/>
  <c r="X1408" i="12"/>
  <c r="X3428" i="12"/>
  <c r="X1437" i="12"/>
  <c r="X3272" i="12"/>
  <c r="X3265" i="12"/>
  <c r="X30" i="12"/>
  <c r="X978" i="12"/>
  <c r="X711" i="12"/>
  <c r="X1099" i="12"/>
  <c r="X782" i="12"/>
  <c r="X3099" i="12"/>
  <c r="X666" i="12"/>
  <c r="X2389" i="12"/>
  <c r="X2665" i="12"/>
  <c r="X328" i="12"/>
  <c r="X3487" i="12"/>
  <c r="X2631" i="12"/>
  <c r="X2884" i="12"/>
  <c r="X1466" i="12"/>
  <c r="X3364" i="12"/>
  <c r="X2267" i="12"/>
  <c r="X2078" i="12"/>
  <c r="X32" i="12"/>
  <c r="X1263" i="12"/>
  <c r="X2381" i="12"/>
  <c r="X2704" i="12"/>
  <c r="X1101" i="12"/>
  <c r="X3061" i="12"/>
  <c r="X3217" i="12"/>
  <c r="X1969" i="12"/>
  <c r="X2332" i="12"/>
  <c r="X1502" i="12"/>
  <c r="X878" i="12"/>
  <c r="X2227" i="12"/>
  <c r="X490" i="12"/>
  <c r="X2717" i="12"/>
  <c r="X3446" i="12"/>
  <c r="X3392" i="12"/>
  <c r="X1768" i="12"/>
  <c r="X2868" i="12"/>
  <c r="X3143" i="12"/>
  <c r="X2172" i="12"/>
  <c r="X901" i="12"/>
  <c r="X1906" i="12"/>
  <c r="X120" i="12"/>
  <c r="X930" i="12"/>
  <c r="X1971" i="12"/>
  <c r="X931" i="12"/>
  <c r="X2706" i="12"/>
  <c r="X1020" i="12"/>
  <c r="X1387" i="12"/>
  <c r="X3306" i="12"/>
  <c r="X1085" i="12"/>
  <c r="X2069" i="12"/>
  <c r="X2449" i="12"/>
  <c r="X3484" i="12"/>
  <c r="X1203" i="12"/>
  <c r="X1471" i="12"/>
  <c r="X3394" i="12"/>
  <c r="X678" i="12"/>
  <c r="X1006" i="12"/>
  <c r="X874" i="12"/>
  <c r="X1718" i="12"/>
  <c r="X1177" i="12"/>
  <c r="X44" i="12"/>
  <c r="X3311" i="12"/>
  <c r="X1518" i="12"/>
  <c r="X1808" i="12"/>
  <c r="X1849" i="12"/>
  <c r="X1648" i="12"/>
  <c r="X1999" i="12"/>
  <c r="X2326" i="12"/>
  <c r="X1911" i="12"/>
  <c r="X481" i="12"/>
  <c r="X1319" i="12"/>
  <c r="X979" i="12"/>
  <c r="X723" i="12"/>
  <c r="X867" i="12"/>
  <c r="X504" i="12"/>
  <c r="X2689" i="12"/>
  <c r="X1409" i="12"/>
  <c r="X299" i="12"/>
  <c r="X3496" i="12"/>
  <c r="X2611" i="12"/>
  <c r="X579" i="12"/>
  <c r="X2041" i="12"/>
  <c r="X3357" i="12"/>
  <c r="X2610" i="12"/>
  <c r="X437" i="12"/>
  <c r="X1563" i="12"/>
  <c r="X1915" i="12"/>
  <c r="X1695" i="12"/>
  <c r="X2182" i="12"/>
  <c r="X1449" i="12"/>
  <c r="X914" i="12"/>
  <c r="X2523" i="12"/>
  <c r="X325" i="12"/>
  <c r="X3490" i="12"/>
  <c r="X1081" i="12"/>
  <c r="X1110" i="12"/>
  <c r="X2953" i="12"/>
  <c r="X2779" i="12"/>
  <c r="X509" i="12"/>
  <c r="X3252" i="12"/>
  <c r="X1878" i="12"/>
  <c r="X2782" i="12"/>
  <c r="X915" i="12"/>
  <c r="X2595" i="12"/>
  <c r="X1180" i="12"/>
  <c r="X1747" i="12"/>
  <c r="X46" i="12"/>
  <c r="X726" i="12"/>
  <c r="X1351" i="12"/>
  <c r="X1523" i="12"/>
  <c r="X1412" i="12"/>
  <c r="X2946" i="12"/>
  <c r="X1674" i="12"/>
  <c r="X2948" i="12"/>
  <c r="X3179" i="12"/>
  <c r="X580" i="12"/>
  <c r="X1723" i="12"/>
  <c r="X356" i="12"/>
  <c r="X1065" i="12"/>
  <c r="X1769" i="12"/>
  <c r="X3467" i="12"/>
  <c r="X2288" i="12"/>
  <c r="X2691" i="12"/>
  <c r="X584" i="12"/>
  <c r="X1372" i="12"/>
  <c r="X3161" i="12"/>
  <c r="X1333" i="12"/>
  <c r="X751" i="12"/>
  <c r="X1896" i="12"/>
  <c r="X2632" i="12"/>
  <c r="X2470" i="12"/>
  <c r="X1634" i="12"/>
  <c r="X2488" i="12"/>
  <c r="X153" i="12"/>
  <c r="X172" i="12"/>
  <c r="X556" i="12"/>
  <c r="X809" i="12"/>
  <c r="X1127" i="12"/>
  <c r="X2035" i="12"/>
  <c r="X2452" i="12"/>
  <c r="X499" i="12"/>
  <c r="X2797" i="12"/>
  <c r="X3455" i="12"/>
  <c r="X2928" i="12"/>
  <c r="X1599" i="12"/>
  <c r="X1383" i="12"/>
  <c r="X2972" i="12"/>
  <c r="X1149" i="12"/>
  <c r="X97" i="12"/>
  <c r="X1927" i="12"/>
  <c r="X2748" i="12"/>
  <c r="X145" i="12"/>
  <c r="X3166" i="12"/>
  <c r="X1064" i="12"/>
  <c r="X1859" i="12"/>
  <c r="X3229" i="12"/>
  <c r="X127" i="12"/>
  <c r="X1278" i="12"/>
  <c r="X193" i="12"/>
  <c r="X425" i="12"/>
  <c r="X1662" i="12"/>
  <c r="X197" i="12"/>
  <c r="X3127" i="12"/>
  <c r="X1395" i="12"/>
  <c r="X1098" i="12"/>
  <c r="X1603" i="12"/>
  <c r="X2682" i="12"/>
  <c r="X2236" i="12"/>
  <c r="X1023" i="12"/>
  <c r="X3343" i="12"/>
  <c r="X2461" i="12"/>
  <c r="X1161" i="12"/>
  <c r="X1410" i="12"/>
  <c r="X1160" i="12"/>
  <c r="X1856" i="12"/>
  <c r="X1000" i="12"/>
  <c r="X187" i="12"/>
  <c r="X2091" i="12"/>
  <c r="X1983" i="12"/>
  <c r="X3157" i="12"/>
  <c r="X1800" i="12"/>
  <c r="X1418" i="12"/>
  <c r="X222" i="12"/>
  <c r="X263" i="12"/>
  <c r="X2820" i="12"/>
  <c r="X2562" i="12"/>
  <c r="X2405" i="12"/>
  <c r="X2414" i="12"/>
  <c r="X1691" i="12"/>
  <c r="X1807" i="12"/>
  <c r="X3350" i="12"/>
  <c r="X3232" i="12"/>
  <c r="X406" i="12"/>
  <c r="X2712" i="12"/>
  <c r="X679" i="12"/>
  <c r="X765" i="12"/>
  <c r="X1914" i="12"/>
  <c r="X1377" i="12"/>
  <c r="X911" i="12"/>
  <c r="X474" i="12"/>
  <c r="X1842" i="12"/>
  <c r="X1464" i="12"/>
  <c r="X2246" i="12"/>
  <c r="X1998" i="12"/>
  <c r="X1750" i="12"/>
  <c r="X1092" i="12"/>
  <c r="X1280" i="12"/>
  <c r="X1329" i="12"/>
  <c r="X395" i="12"/>
  <c r="X281" i="12"/>
  <c r="X1804" i="12"/>
  <c r="X2230" i="12"/>
  <c r="X3110" i="12"/>
  <c r="X1571" i="12"/>
  <c r="X296" i="12"/>
  <c r="X2293" i="12"/>
  <c r="X1033" i="12"/>
  <c r="X3222" i="12"/>
  <c r="X964" i="12"/>
  <c r="X850" i="12"/>
  <c r="X1069" i="12"/>
  <c r="X2065" i="12"/>
  <c r="X262" i="12"/>
  <c r="X2022" i="12"/>
  <c r="X68" i="12"/>
  <c r="X1470" i="12"/>
  <c r="X3118" i="12"/>
  <c r="X2747" i="12"/>
  <c r="X445" i="12"/>
  <c r="X2333" i="12"/>
  <c r="X1874" i="12"/>
  <c r="X443" i="12"/>
  <c r="X1802" i="12"/>
  <c r="X3267" i="12"/>
  <c r="X1595" i="12"/>
  <c r="X1817" i="12"/>
  <c r="X2223" i="12"/>
  <c r="X1815" i="12"/>
  <c r="X341" i="12"/>
  <c r="X237" i="12"/>
  <c r="X320" i="12"/>
  <c r="X3386" i="12"/>
  <c r="X2856" i="12"/>
  <c r="X709" i="12"/>
  <c r="X903" i="12"/>
  <c r="X982" i="12"/>
  <c r="X1819" i="12"/>
  <c r="X2835" i="12"/>
  <c r="X2077" i="12"/>
  <c r="X624" i="12"/>
  <c r="X3077" i="12"/>
  <c r="X554" i="12"/>
  <c r="X871" i="12"/>
  <c r="X152" i="12"/>
  <c r="X656" i="12"/>
  <c r="X3379" i="12"/>
  <c r="X3115" i="12"/>
  <c r="X1997" i="12"/>
  <c r="X3342" i="12"/>
  <c r="X841" i="12"/>
  <c r="X3477" i="12"/>
  <c r="X555" i="12"/>
  <c r="X1949" i="12"/>
  <c r="X600" i="12"/>
  <c r="X1373" i="12"/>
  <c r="X3192" i="12"/>
  <c r="X2837" i="12"/>
  <c r="X3214" i="12"/>
  <c r="X3435" i="12"/>
  <c r="X706" i="12"/>
  <c r="X1334" i="12"/>
  <c r="X945" i="12"/>
  <c r="X2774" i="12"/>
  <c r="X742" i="12"/>
  <c r="X2551" i="12"/>
  <c r="X1284" i="12"/>
  <c r="X2725" i="12"/>
  <c r="X2330" i="12"/>
  <c r="X2770" i="12"/>
  <c r="X866" i="12"/>
  <c r="X2149" i="12"/>
  <c r="X663" i="12"/>
  <c r="X2291" i="12"/>
  <c r="X337" i="12"/>
  <c r="X2968" i="12"/>
  <c r="X173" i="12"/>
  <c r="X1957" i="12"/>
  <c r="X1536" i="12"/>
  <c r="X698" i="12"/>
  <c r="X1551" i="12"/>
  <c r="X1392" i="12"/>
  <c r="X1422" i="12"/>
  <c r="X1228" i="12"/>
  <c r="X2101" i="12"/>
  <c r="X69" i="12"/>
  <c r="X3448" i="12"/>
  <c r="X1829" i="12"/>
  <c r="X2068" i="12"/>
  <c r="X3305" i="12"/>
  <c r="X1956" i="12"/>
  <c r="X54" i="12"/>
  <c r="X1196" i="12"/>
  <c r="X2819" i="12"/>
  <c r="X2960" i="12"/>
  <c r="X1784" i="12"/>
  <c r="X1178" i="12"/>
  <c r="X3074" i="12"/>
  <c r="X343" i="12"/>
  <c r="X2668" i="12"/>
  <c r="X2176" i="12"/>
  <c r="X703" i="12"/>
  <c r="X1631" i="12"/>
  <c r="X1232" i="12"/>
  <c r="X148" i="12"/>
  <c r="X574" i="12"/>
  <c r="X207" i="12"/>
  <c r="X3047" i="12"/>
  <c r="X298" i="12"/>
  <c r="X2846" i="12"/>
  <c r="X1755" i="12"/>
  <c r="X2454" i="12"/>
  <c r="X79" i="12"/>
  <c r="X2486" i="12"/>
  <c r="X1729" i="12"/>
  <c r="X211" i="12"/>
  <c r="X218" i="12"/>
  <c r="X3359" i="12"/>
  <c r="X2901" i="12"/>
  <c r="X2594" i="12"/>
  <c r="X3005" i="12"/>
  <c r="X3154" i="12"/>
  <c r="X2030" i="12"/>
  <c r="X1267" i="12"/>
  <c r="X1062" i="12"/>
  <c r="X3184" i="12"/>
  <c r="X1157" i="12"/>
  <c r="X3004" i="12"/>
  <c r="X149" i="12"/>
  <c r="X1075" i="12"/>
  <c r="X3539" i="12"/>
  <c r="X1696" i="12"/>
  <c r="X693" i="12"/>
  <c r="X2977" i="12"/>
  <c r="X3056" i="12"/>
  <c r="X2197" i="12"/>
  <c r="X2367" i="12"/>
  <c r="X2840" i="12"/>
  <c r="X2169" i="12"/>
  <c r="X301" i="12"/>
  <c r="X2493" i="12"/>
  <c r="X212" i="12"/>
  <c r="X2515" i="12"/>
  <c r="X3096" i="12"/>
  <c r="X967" i="12"/>
  <c r="X1106" i="12"/>
  <c r="X2561" i="12"/>
  <c r="X2580" i="12"/>
  <c r="X1795" i="12"/>
  <c r="X440" i="12"/>
  <c r="X1682" i="12"/>
  <c r="X1756" i="12"/>
  <c r="X1752" i="12"/>
  <c r="X942" i="12"/>
  <c r="X106" i="12"/>
  <c r="X3135" i="12"/>
  <c r="X3332" i="12"/>
  <c r="X3238" i="12"/>
  <c r="X508" i="12"/>
  <c r="X1831" i="12"/>
  <c r="X1109" i="12"/>
  <c r="X345" i="12"/>
  <c r="X370" i="12"/>
  <c r="X989" i="12"/>
  <c r="X361" i="12"/>
  <c r="X3462" i="12"/>
  <c r="X1514" i="12"/>
  <c r="X2027" i="12"/>
  <c r="X2654" i="12"/>
  <c r="X316" i="12"/>
  <c r="X1489" i="12"/>
  <c r="X293" i="12"/>
  <c r="X95" i="12"/>
  <c r="X561" i="12"/>
  <c r="X1004" i="12"/>
  <c r="X1363" i="12"/>
  <c r="X3215" i="12"/>
  <c r="X165" i="12"/>
  <c r="X146" i="12"/>
  <c r="X1871" i="12"/>
  <c r="X2007" i="12"/>
  <c r="X2502" i="12"/>
  <c r="X459" i="12"/>
  <c r="X3124" i="12"/>
  <c r="X566" i="12"/>
  <c r="X2575" i="12"/>
  <c r="X2811" i="12"/>
  <c r="X1107" i="12"/>
  <c r="X3424" i="12"/>
  <c r="X241" i="12"/>
  <c r="X1416" i="12"/>
  <c r="X2678" i="12"/>
  <c r="X3082" i="12"/>
  <c r="X2064" i="12"/>
  <c r="X3198" i="12"/>
  <c r="X987" i="12"/>
  <c r="X2750" i="12"/>
  <c r="X1625" i="12"/>
  <c r="X1458" i="12"/>
  <c r="X2642" i="12"/>
  <c r="X1629" i="12"/>
  <c r="X2143" i="12"/>
  <c r="X1664" i="12"/>
  <c r="X76" i="12"/>
  <c r="X2996" i="12"/>
  <c r="X2775" i="12"/>
  <c r="X458" i="12"/>
  <c r="X347" i="12"/>
  <c r="X1283" i="12"/>
  <c r="X2897" i="12"/>
  <c r="X1162" i="12"/>
  <c r="X2081" i="12"/>
  <c r="X2430" i="12"/>
  <c r="X3479" i="12"/>
  <c r="X2793" i="12"/>
  <c r="X2934" i="12"/>
  <c r="X2447" i="12"/>
  <c r="X794" i="12"/>
  <c r="X2099" i="12"/>
  <c r="X1853" i="12"/>
  <c r="X3436" i="12"/>
  <c r="X1155" i="12"/>
  <c r="X1689" i="12"/>
  <c r="X1171" i="12"/>
  <c r="X1492" i="12"/>
  <c r="X2769" i="12"/>
  <c r="X3501" i="12"/>
  <c r="X840" i="12"/>
  <c r="X2504" i="12"/>
  <c r="X639" i="12"/>
  <c r="X2966" i="12"/>
  <c r="X496" i="12"/>
  <c r="X246" i="12"/>
  <c r="X3165" i="12"/>
  <c r="X1245" i="12"/>
  <c r="X3101" i="12"/>
  <c r="X1576" i="12"/>
  <c r="X1707" i="12"/>
  <c r="X1430" i="12"/>
  <c r="X970" i="12"/>
  <c r="X3119" i="12"/>
  <c r="X2126" i="12"/>
  <c r="X1249" i="12"/>
  <c r="X1581" i="12"/>
  <c r="X3059" i="12"/>
  <c r="X3164" i="12"/>
  <c r="X2130" i="12"/>
  <c r="X2264" i="12"/>
  <c r="X151" i="12"/>
  <c r="X1897" i="12"/>
  <c r="X2579" i="12"/>
  <c r="X2155" i="12"/>
  <c r="X1296" i="12"/>
  <c r="X672" i="12"/>
  <c r="X185" i="12"/>
  <c r="X94" i="12"/>
  <c r="X2516" i="12"/>
  <c r="X2250" i="12"/>
  <c r="X2510" i="12"/>
  <c r="X2768" i="12"/>
  <c r="X3167" i="12"/>
  <c r="X1996" i="12"/>
  <c r="X2852" i="12"/>
  <c r="X730" i="12"/>
  <c r="X1880" i="12"/>
  <c r="X1762" i="12"/>
  <c r="X1779" i="12"/>
  <c r="X2627" i="12"/>
  <c r="X1097" i="12"/>
  <c r="X3456" i="12"/>
  <c r="X2590" i="12"/>
  <c r="X195" i="12"/>
  <c r="X589" i="12"/>
  <c r="X3498" i="12"/>
  <c r="X784" i="12"/>
  <c r="X3309" i="12"/>
  <c r="X3239" i="12"/>
  <c r="X3277" i="12"/>
  <c r="X2167" i="12"/>
  <c r="X3247" i="12"/>
  <c r="X1850" i="12"/>
  <c r="X142" i="12"/>
  <c r="X2163" i="12"/>
  <c r="X1734" i="12"/>
  <c r="X1846" i="12"/>
  <c r="X2722" i="12"/>
  <c r="X1899" i="12"/>
  <c r="X1798" i="12"/>
  <c r="X1809" i="12"/>
  <c r="X864" i="12"/>
  <c r="X300" i="12"/>
  <c r="X1442" i="12"/>
  <c r="X701" i="12"/>
  <c r="X3452" i="12"/>
  <c r="X1614" i="12"/>
  <c r="X1746" i="12"/>
  <c r="X860" i="12"/>
  <c r="X1352" i="12"/>
  <c r="X1607" i="12"/>
  <c r="X887" i="12"/>
  <c r="X2599" i="12"/>
  <c r="X3114" i="12"/>
  <c r="X188" i="12"/>
  <c r="X3463" i="12"/>
  <c r="X2849" i="12"/>
  <c r="X1374" i="12"/>
  <c r="X1406" i="12"/>
  <c r="X2391" i="12"/>
  <c r="X3544" i="12"/>
  <c r="X1312" i="12"/>
  <c r="X2964" i="12"/>
  <c r="X2788" i="12"/>
  <c r="X544" i="12"/>
  <c r="X724" i="12"/>
  <c r="X884" i="12"/>
  <c r="X1018" i="12"/>
  <c r="X933" i="12"/>
  <c r="X1017" i="12"/>
  <c r="X3027" i="12"/>
  <c r="X2456" i="12"/>
  <c r="X3378" i="12"/>
  <c r="X886" i="12"/>
  <c r="X289" i="12"/>
  <c r="X2646" i="12"/>
  <c r="X2753" i="12"/>
  <c r="X1564" i="12"/>
  <c r="X2781" i="12"/>
  <c r="X739" i="12"/>
  <c r="X2336" i="12"/>
  <c r="X2038" i="12"/>
  <c r="X536" i="12"/>
  <c r="X1206" i="12"/>
  <c r="X814" i="12"/>
  <c r="X900" i="12"/>
  <c r="X779" i="12"/>
  <c r="X3538" i="12"/>
  <c r="X2300" i="12"/>
  <c r="X1923" i="12"/>
  <c r="X1726" i="12"/>
  <c r="X811" i="12"/>
  <c r="X1379" i="12"/>
  <c r="X1770" i="12"/>
  <c r="X2618" i="12"/>
  <c r="X467" i="12"/>
  <c r="X2107" i="12"/>
  <c r="X2117" i="12"/>
  <c r="X1705" i="12"/>
  <c r="X1731" i="12"/>
  <c r="X2000" i="12"/>
  <c r="X2944" i="12"/>
  <c r="X1361" i="12"/>
  <c r="X444" i="12"/>
  <c r="X1852" i="12"/>
  <c r="X3298" i="12"/>
  <c r="X2308" i="12"/>
  <c r="X89" i="12"/>
  <c r="X1478" i="12"/>
  <c r="X1039" i="12"/>
  <c r="X2086" i="12"/>
  <c r="X1434" i="12"/>
  <c r="X3282" i="12"/>
  <c r="X2963" i="12"/>
  <c r="X2569" i="12"/>
  <c r="X140" i="12"/>
  <c r="X297" i="12"/>
  <c r="X2992" i="12"/>
  <c r="X2746" i="12"/>
  <c r="X668" i="12"/>
  <c r="X2152" i="12"/>
  <c r="X2815" i="12"/>
  <c r="X2568" i="12"/>
  <c r="X941" i="12"/>
  <c r="X2910" i="12"/>
  <c r="X2376" i="12"/>
  <c r="X321" i="12"/>
  <c r="X980" i="12"/>
  <c r="X1720" i="12"/>
  <c r="X1841" i="12"/>
  <c r="X2814" i="12"/>
  <c r="X1200" i="12"/>
  <c r="X2211" i="12"/>
  <c r="X418" i="12"/>
  <c r="X2880" i="12"/>
  <c r="X3209" i="12"/>
  <c r="X371" i="12"/>
  <c r="X1436" i="12"/>
  <c r="X1694" i="12"/>
  <c r="X448" i="12"/>
  <c r="X3475" i="12"/>
  <c r="X3508" i="12"/>
  <c r="X3320" i="12"/>
  <c r="X591" i="12"/>
  <c r="X644" i="12"/>
  <c r="X760" i="12"/>
  <c r="X1045" i="12"/>
  <c r="X147" i="12"/>
  <c r="X2613" i="12"/>
  <c r="X1193" i="12"/>
  <c r="X3093" i="12"/>
  <c r="X202" i="12"/>
  <c r="X1339" i="12"/>
  <c r="X617" i="12"/>
  <c r="X3376" i="12"/>
  <c r="X3432" i="12"/>
  <c r="X315" i="12"/>
  <c r="X1966" i="12"/>
  <c r="X486" i="12"/>
  <c r="X128" i="12"/>
  <c r="X159" i="12"/>
  <c r="X3497" i="12"/>
  <c r="X3437" i="12"/>
  <c r="X1865" i="12"/>
  <c r="X2744" i="12"/>
  <c r="X3289" i="12"/>
  <c r="X2975" i="12"/>
  <c r="X2714" i="12"/>
  <c r="X2450" i="12"/>
  <c r="X112" i="12"/>
  <c r="X3483" i="12"/>
  <c r="X2920" i="12"/>
  <c r="X1336" i="12"/>
  <c r="X1079" i="12"/>
  <c r="X2063" i="12"/>
  <c r="X3348" i="12"/>
  <c r="X3256" i="12"/>
  <c r="X597" i="12"/>
  <c r="X2508" i="12"/>
  <c r="X349" i="12"/>
  <c r="X1686" i="12"/>
  <c r="X532" i="12"/>
  <c r="X2366" i="12"/>
  <c r="X2831" i="12"/>
  <c r="X3323" i="12"/>
  <c r="X906" i="12"/>
  <c r="X365" i="12"/>
  <c r="X170" i="12"/>
  <c r="X2673" i="12"/>
  <c r="X378" i="12"/>
  <c r="X1214" i="12"/>
  <c r="X1277" i="12"/>
  <c r="X1936" i="12"/>
  <c r="X893" i="12"/>
  <c r="X1071" i="12"/>
  <c r="X1543" i="12"/>
  <c r="X3391" i="12"/>
  <c r="X1003" i="12"/>
  <c r="X3530" i="12"/>
  <c r="X1207" i="12"/>
  <c r="X215" i="12"/>
  <c r="X808" i="12"/>
  <c r="X2939" i="12"/>
  <c r="X2932" i="12"/>
  <c r="X642" i="12"/>
  <c r="X1593" i="12"/>
  <c r="X2519" i="12"/>
  <c r="X2752" i="12"/>
  <c r="X150" i="12"/>
  <c r="X2406" i="12"/>
  <c r="X1122" i="12"/>
  <c r="X821" i="12"/>
  <c r="X171" i="12"/>
  <c r="X184" i="12"/>
  <c r="X373" i="12"/>
  <c r="X1875" i="12"/>
  <c r="X2422" i="12"/>
  <c r="X2331" i="12"/>
  <c r="X3031" i="12"/>
  <c r="X302" i="12"/>
  <c r="X3156" i="12"/>
  <c r="X410" i="12"/>
  <c r="X3367" i="12"/>
  <c r="X2287" i="12"/>
  <c r="X1050" i="12"/>
  <c r="X1633" i="12"/>
  <c r="X2177" i="12"/>
  <c r="X2529" i="12"/>
  <c r="X1212" i="12"/>
  <c r="X1005" i="12"/>
  <c r="X507" i="12"/>
  <c r="X377" i="12"/>
  <c r="X570" i="12"/>
  <c r="X1139" i="12"/>
  <c r="X2180" i="12"/>
  <c r="X2171" i="12"/>
  <c r="X2995" i="12"/>
  <c r="X1903" i="12"/>
  <c r="X655" i="12"/>
  <c r="X2248" i="12"/>
  <c r="X2425" i="12"/>
  <c r="X3380" i="12"/>
  <c r="X1519" i="12"/>
  <c r="X2757" i="12"/>
  <c r="X1708" i="12"/>
  <c r="X3174" i="12"/>
  <c r="X3344" i="12"/>
  <c r="X103" i="12"/>
  <c r="X685" i="12"/>
  <c r="X1913" i="12"/>
  <c r="X3262" i="12"/>
  <c r="X3058" i="12"/>
  <c r="X3063" i="12"/>
  <c r="X1605" i="12"/>
  <c r="X1137" i="12"/>
  <c r="X2652" i="12"/>
  <c r="X3176" i="12"/>
  <c r="X2362" i="12"/>
  <c r="X348" i="12"/>
  <c r="X3373" i="12"/>
  <c r="X2439" i="12"/>
  <c r="X2193" i="12"/>
  <c r="X424" i="12"/>
  <c r="X817" i="12"/>
  <c r="X626" i="12"/>
  <c r="X2548" i="12"/>
  <c r="X2201" i="12"/>
  <c r="X1719" i="12"/>
  <c r="X1475" i="12"/>
  <c r="X1369" i="12"/>
  <c r="X1541" i="12"/>
  <c r="X3337" i="12"/>
  <c r="X2114" i="12"/>
  <c r="X357" i="12"/>
  <c r="X744" i="12"/>
  <c r="X2943" i="12"/>
  <c r="X2215" i="12"/>
  <c r="X2024" i="12"/>
  <c r="X1399" i="12"/>
  <c r="X1113" i="12"/>
  <c r="X1968" i="12"/>
  <c r="X2463" i="12"/>
  <c r="X313" i="12"/>
  <c r="X2501" i="12"/>
  <c r="X1848" i="12"/>
  <c r="X3202" i="12"/>
  <c r="X1429" i="12"/>
  <c r="X1126" i="12"/>
  <c r="X3494" i="12"/>
  <c r="X2387" i="12"/>
  <c r="X3158" i="12"/>
  <c r="X2721" i="12"/>
  <c r="X2619" i="12"/>
  <c r="X535" i="12"/>
  <c r="X1533" i="12"/>
  <c r="X649" i="12"/>
  <c r="X3420" i="12"/>
  <c r="X3322" i="12"/>
  <c r="X1656" i="12"/>
  <c r="X984" i="12"/>
  <c r="X1591" i="12"/>
  <c r="X3358" i="12"/>
  <c r="X3326" i="12"/>
  <c r="X965" i="12"/>
  <c r="X3078" i="12"/>
  <c r="X1170" i="12"/>
  <c r="X1209" i="12"/>
  <c r="X1717" i="12"/>
  <c r="X1948" i="12"/>
  <c r="X470" i="12"/>
  <c r="X1494" i="12"/>
  <c r="X2641" i="12"/>
  <c r="X1380" i="12"/>
  <c r="X1317" i="12"/>
  <c r="X515" i="12"/>
  <c r="X91" i="12"/>
  <c r="X581" i="12"/>
  <c r="X2587" i="12"/>
  <c r="X2307" i="12"/>
  <c r="X2319" i="12"/>
  <c r="X1821" i="12"/>
  <c r="X451" i="12"/>
  <c r="X2280" i="12"/>
  <c r="X1938" i="12"/>
  <c r="X1443" i="12"/>
  <c r="X191" i="12"/>
  <c r="X274" i="12"/>
  <c r="X2842" i="12"/>
  <c r="X1316" i="12"/>
  <c r="X1799" i="12"/>
  <c r="X2174" i="12"/>
  <c r="X450" i="12"/>
  <c r="X75" i="12"/>
  <c r="X1299" i="12"/>
  <c r="X1680" i="12"/>
  <c r="X476" i="12"/>
  <c r="X1912" i="12"/>
  <c r="X220" i="12"/>
  <c r="X2109" i="12"/>
  <c r="X1289" i="12"/>
  <c r="X1824" i="12"/>
  <c r="X2129" i="12"/>
  <c r="X385" i="12"/>
  <c r="X3365" i="12"/>
  <c r="X2457" i="12"/>
  <c r="X3177" i="12"/>
  <c r="X1174" i="12"/>
  <c r="X3310" i="12"/>
  <c r="X2496" i="12"/>
  <c r="X607" i="12"/>
  <c r="X1250" i="12"/>
  <c r="X259" i="12"/>
  <c r="X3349" i="12"/>
  <c r="X1460" i="12"/>
  <c r="X1823" i="12"/>
  <c r="X2999" i="12"/>
  <c r="X3230" i="12"/>
  <c r="X2926" i="12"/>
  <c r="X2881" i="12"/>
  <c r="X1744" i="12"/>
  <c r="X2679" i="12"/>
  <c r="X2921" i="12"/>
  <c r="X1879" i="12"/>
  <c r="X1995" i="12"/>
  <c r="X2186" i="12"/>
  <c r="X612" i="12"/>
  <c r="X1364" i="12"/>
  <c r="X102" i="12"/>
  <c r="X287" i="12"/>
  <c r="X955" i="12"/>
  <c r="X3547" i="12"/>
  <c r="X2622" i="12"/>
  <c r="X1358" i="12"/>
  <c r="X971" i="12"/>
  <c r="X1301" i="12"/>
  <c r="X2221" i="12"/>
  <c r="X144" i="12"/>
  <c r="X2187" i="12"/>
  <c r="X2893" i="12"/>
  <c r="X3526" i="12"/>
  <c r="X3518" i="12"/>
  <c r="X1772" i="12"/>
  <c r="X166" i="12"/>
  <c r="X2638" i="12"/>
  <c r="X2028" i="12"/>
  <c r="X115" i="12"/>
  <c r="X2475" i="12"/>
  <c r="X2048" i="12"/>
  <c r="X2655" i="12"/>
  <c r="X1073" i="12"/>
  <c r="X2916" i="12"/>
  <c r="X2898" i="12"/>
  <c r="X2272" i="12"/>
  <c r="X1350" i="12"/>
  <c r="X3521" i="12"/>
  <c r="X1916" i="12"/>
  <c r="X364" i="12"/>
  <c r="X910" i="12"/>
  <c r="X2200" i="12"/>
  <c r="X3206" i="12"/>
  <c r="X290" i="12"/>
  <c r="X398" i="12"/>
  <c r="X671" i="12"/>
  <c r="X268" i="12"/>
  <c r="X2737" i="12"/>
  <c r="X2314" i="12"/>
  <c r="X2303" i="12"/>
  <c r="X83" i="12"/>
  <c r="X2711" i="12"/>
  <c r="X1199" i="12"/>
  <c r="X2626" i="12"/>
  <c r="X905" i="12"/>
  <c r="X2142" i="12"/>
  <c r="X96" i="12"/>
  <c r="X620" i="12"/>
  <c r="X929" i="12"/>
  <c r="X266" i="12"/>
  <c r="X530" i="12"/>
  <c r="X2404" i="12"/>
  <c r="X3445" i="12"/>
  <c r="X2302" i="12"/>
  <c r="X2581" i="12"/>
  <c r="X609" i="12"/>
  <c r="X1227" i="12"/>
  <c r="X1378" i="12"/>
  <c r="X845" i="12"/>
  <c r="X1257" i="12"/>
  <c r="X2374" i="12"/>
  <c r="X1467" i="12"/>
  <c r="X1028" i="12"/>
  <c r="X1432" i="12"/>
  <c r="X1872" i="12"/>
  <c r="X1814" i="12"/>
  <c r="X416" i="12"/>
  <c r="X1759" i="12"/>
  <c r="X670" i="12"/>
  <c r="X516" i="12"/>
  <c r="X3546" i="12"/>
  <c r="X1504" i="12"/>
  <c r="X82" i="12"/>
  <c r="X1063" i="12"/>
  <c r="X2817" i="12"/>
  <c r="X1303" i="12"/>
  <c r="X3033" i="12"/>
  <c r="X1413" i="12"/>
  <c r="X1247" i="12"/>
  <c r="X1307" i="12"/>
  <c r="X2988" i="12"/>
  <c r="X2416" i="12"/>
  <c r="X1070" i="12"/>
  <c r="X368" i="12"/>
  <c r="X1450" i="12"/>
  <c r="X3185" i="12"/>
  <c r="X2113" i="12"/>
  <c r="X818" i="12"/>
  <c r="X2993" i="12"/>
  <c r="X1498" i="12"/>
  <c r="X603" i="12"/>
  <c r="X1973" i="12"/>
  <c r="X1908" i="12"/>
  <c r="X1423" i="12"/>
  <c r="X2539" i="12"/>
  <c r="X2419" i="12"/>
  <c r="X1857" i="12"/>
  <c r="X697" i="12"/>
  <c r="X3509" i="12"/>
  <c r="X2981" i="12"/>
  <c r="X3153" i="12"/>
  <c r="X2306" i="12"/>
  <c r="X1788" i="12"/>
  <c r="X422" i="12"/>
  <c r="X466" i="12"/>
  <c r="X608" i="12"/>
  <c r="X1330" i="12"/>
  <c r="X1594" i="12"/>
  <c r="X972" i="12"/>
  <c r="X1832" i="12"/>
  <c r="X762" i="12"/>
  <c r="X2050" i="12"/>
  <c r="X525" i="12"/>
  <c r="X1743" i="12"/>
  <c r="X63" i="12"/>
  <c r="X2604" i="12"/>
  <c r="X1439" i="12"/>
  <c r="X454" i="12"/>
  <c r="X2597" i="12"/>
  <c r="X877" i="12"/>
  <c r="X999" i="12"/>
  <c r="X2936" i="12"/>
  <c r="X2574" i="12"/>
  <c r="X161" i="12"/>
  <c r="X2783" i="12"/>
  <c r="X634" i="12"/>
  <c r="X2894" i="12"/>
  <c r="X1487" i="12"/>
  <c r="X3231" i="12"/>
  <c r="X1876" i="12"/>
  <c r="X880" i="12"/>
  <c r="X1083" i="12"/>
  <c r="X2647" i="12"/>
  <c r="X36" i="12"/>
  <c r="X2370" i="12"/>
  <c r="X1046" i="12"/>
  <c r="X2386" i="12"/>
  <c r="X772" i="12"/>
  <c r="X2234" i="12"/>
  <c r="X2657" i="12"/>
  <c r="X1457" i="12"/>
  <c r="X1029" i="12"/>
  <c r="X2444" i="12"/>
  <c r="X729" i="12"/>
  <c r="X3182" i="12"/>
  <c r="X2256" i="12"/>
  <c r="X318" i="12"/>
  <c r="X1627" i="12"/>
  <c r="X2315" i="12"/>
  <c r="X616" i="12"/>
  <c r="X3273" i="12"/>
  <c r="X2131" i="12"/>
  <c r="X2093" i="12"/>
  <c r="X1084" i="12"/>
  <c r="X1324" i="12"/>
  <c r="X2322" i="12"/>
  <c r="X2206" i="12"/>
  <c r="X2057" i="12"/>
  <c r="X2436" i="12"/>
  <c r="X1613" i="12"/>
  <c r="X1628" i="12"/>
  <c r="X1810" i="12"/>
  <c r="X2760" i="12"/>
  <c r="X1462" i="12"/>
  <c r="X786" i="12"/>
  <c r="X2466" i="12"/>
  <c r="X2827" i="12"/>
  <c r="X1652" i="12"/>
  <c r="X1189" i="12"/>
  <c r="X2100" i="12"/>
  <c r="X2771" i="12"/>
  <c r="X239" i="12"/>
  <c r="X1468" i="12"/>
  <c r="X2351" i="12"/>
  <c r="X3053" i="12"/>
  <c r="X3048" i="12"/>
  <c r="X1347" i="12"/>
  <c r="X1931" i="12"/>
  <c r="X3488" i="12"/>
  <c r="X221" i="12"/>
  <c r="X3418" i="12"/>
  <c r="X2021" i="12"/>
  <c r="X2701" i="12"/>
  <c r="X2858" i="12"/>
  <c r="X524" i="12"/>
  <c r="X577" i="12"/>
  <c r="X2413" i="12"/>
  <c r="X1889" i="12"/>
  <c r="X1265" i="12"/>
  <c r="X1615" i="12"/>
  <c r="X1394" i="12"/>
  <c r="X3534" i="12"/>
  <c r="X480" i="12"/>
  <c r="X3469" i="12"/>
  <c r="X966" i="12"/>
  <c r="X2044" i="12"/>
  <c r="X1946" i="12"/>
  <c r="X2421" i="12"/>
  <c r="X1945" i="12"/>
  <c r="X358" i="12"/>
  <c r="X3083" i="12"/>
  <c r="X3459" i="12"/>
  <c r="X902" i="12"/>
  <c r="X549" i="12"/>
  <c r="X1503" i="12"/>
  <c r="X1617" i="12"/>
  <c r="X3505" i="12"/>
  <c r="X2042" i="12"/>
  <c r="X3248" i="12"/>
  <c r="X1061" i="12"/>
  <c r="X1114" i="12"/>
  <c r="X154" i="12"/>
  <c r="X305" i="12"/>
  <c r="X3249" i="12"/>
  <c r="X1240" i="12"/>
  <c r="X1348" i="12"/>
  <c r="X3331" i="12"/>
  <c r="X683" i="12"/>
  <c r="X1951" i="12"/>
  <c r="X3178" i="12"/>
  <c r="X1147" i="12"/>
  <c r="X446" i="12"/>
  <c r="X2428" i="12"/>
  <c r="X2601" i="12"/>
  <c r="X2913" i="12"/>
  <c r="X2969" i="12"/>
  <c r="X1891" i="12"/>
  <c r="X2553" i="12"/>
  <c r="X3067" i="12"/>
  <c r="X1315" i="12"/>
  <c r="X2066" i="12"/>
  <c r="X1967" i="12"/>
  <c r="X1271" i="12"/>
  <c r="X1276" i="12"/>
  <c r="X3397" i="12"/>
  <c r="X2159" i="12"/>
  <c r="X996" i="12"/>
  <c r="X2741" i="12"/>
  <c r="X1222" i="12"/>
  <c r="X1525" i="12"/>
  <c r="X700" i="12"/>
  <c r="X625" i="12"/>
  <c r="X1885" i="12"/>
  <c r="X3300" i="12"/>
  <c r="X1135" i="12"/>
  <c r="X1014" i="12"/>
  <c r="X3007" i="12"/>
  <c r="X2583" i="12"/>
  <c r="X1461" i="12"/>
  <c r="X2441" i="12"/>
  <c r="X1476" i="12"/>
  <c r="X835" i="12"/>
  <c r="X1479" i="12"/>
  <c r="X2173" i="12"/>
  <c r="X386" i="12"/>
  <c r="X2375" i="12"/>
  <c r="X3425" i="12"/>
  <c r="X2373" i="12"/>
  <c r="X758" i="12"/>
  <c r="X2738" i="12"/>
  <c r="X2191" i="12"/>
  <c r="X2834" i="12"/>
  <c r="X129" i="12"/>
  <c r="X682" i="12"/>
  <c r="X728" i="12"/>
  <c r="X3519" i="12"/>
  <c r="X895" i="12"/>
  <c r="X585" i="12"/>
  <c r="X295" i="12"/>
  <c r="X3084" i="12"/>
  <c r="X838" i="12"/>
  <c r="X2241" i="12"/>
  <c r="X3302" i="12"/>
  <c r="X2357" i="12"/>
  <c r="X951" i="12"/>
  <c r="X409" i="12"/>
  <c r="X2509" i="12"/>
  <c r="X122" i="12"/>
  <c r="X1748" i="12"/>
  <c r="X916" i="12"/>
  <c r="X2092" i="12"/>
  <c r="X3423" i="12"/>
  <c r="X3195" i="12"/>
  <c r="X2542" i="12"/>
  <c r="X3362" i="12"/>
  <c r="X3268" i="12"/>
  <c r="X2694" i="12"/>
  <c r="X228" i="12"/>
  <c r="X280" i="12"/>
  <c r="X1834" i="12"/>
  <c r="X702" i="12"/>
  <c r="X653" i="12"/>
  <c r="X2740" i="12"/>
  <c r="X2119" i="12"/>
  <c r="X753" i="12"/>
  <c r="X2670" i="12"/>
  <c r="X658" i="12"/>
  <c r="X610" i="12"/>
  <c r="X1520" i="12"/>
  <c r="X1008" i="12"/>
  <c r="X2567" i="12"/>
  <c r="X1144" i="12"/>
  <c r="X3242" i="12"/>
  <c r="X2378" i="12"/>
  <c r="X2726" i="12"/>
  <c r="X934" i="12"/>
  <c r="X2282" i="12"/>
  <c r="X3280" i="12"/>
  <c r="X937" i="12"/>
  <c r="X820" i="12"/>
  <c r="X1532" i="12"/>
  <c r="X1134" i="12"/>
  <c r="X1964" i="12"/>
  <c r="X2403" i="12"/>
  <c r="X2029" i="12"/>
  <c r="X3180" i="12"/>
  <c r="X1048" i="12"/>
  <c r="X1622" i="12"/>
  <c r="X3044" i="12"/>
  <c r="X2356" i="12"/>
  <c r="X3095" i="12"/>
  <c r="X3550" i="12"/>
  <c r="X3173" i="12"/>
  <c r="X1735" i="12"/>
  <c r="X889" i="12"/>
  <c r="X2295" i="12"/>
  <c r="X3204" i="12"/>
  <c r="X974" i="12"/>
  <c r="X3516" i="12"/>
  <c r="X482" i="12"/>
  <c r="X2311" i="12"/>
  <c r="X2442" i="12"/>
  <c r="X2424" i="12"/>
  <c r="X802" i="12"/>
  <c r="X2924" i="12"/>
  <c r="X1609" i="12"/>
  <c r="X551" i="12"/>
  <c r="X2865" i="12"/>
  <c r="X1774" i="12"/>
  <c r="X1082" i="12"/>
  <c r="X351" i="12"/>
  <c r="X822" i="12"/>
  <c r="X1660" i="12"/>
  <c r="X2919" i="12"/>
  <c r="X832" i="12"/>
  <c r="X225" i="12"/>
  <c r="X3072" i="12"/>
  <c r="X2620" i="12"/>
  <c r="X1658" i="12"/>
  <c r="X686" i="12"/>
  <c r="X2354" i="12"/>
  <c r="X1235" i="12"/>
  <c r="X283" i="12"/>
  <c r="X636" i="12"/>
  <c r="X2018" i="12"/>
  <c r="X2530" i="12"/>
  <c r="X725" i="12"/>
  <c r="X38" i="12"/>
  <c r="X3276" i="12"/>
  <c r="X3489" i="12"/>
  <c r="X111" i="12"/>
  <c r="X2192" i="12"/>
  <c r="X2316" i="12"/>
  <c r="X1739" i="12"/>
  <c r="X3281" i="12"/>
  <c r="X3308" i="12"/>
  <c r="X1384" i="12"/>
  <c r="X3329" i="12"/>
  <c r="X2239" i="12"/>
  <c r="X837" i="12"/>
  <c r="X1054" i="12"/>
  <c r="X2676" i="12"/>
  <c r="X493" i="12"/>
  <c r="X3264" i="12"/>
  <c r="X1742" i="12"/>
  <c r="X3112" i="12"/>
  <c r="X1140" i="12"/>
  <c r="X2097" i="12"/>
  <c r="X1813" i="12"/>
  <c r="X1592" i="12"/>
  <c r="X1150" i="12"/>
  <c r="X1962" i="12"/>
  <c r="X2469" i="12"/>
  <c r="X3172" i="12"/>
  <c r="X186" i="12"/>
  <c r="X3486" i="12"/>
  <c r="X277" i="12"/>
  <c r="X183" i="12"/>
  <c r="X1019" i="12"/>
  <c r="X769" i="12"/>
  <c r="X788" i="12"/>
  <c r="X1268" i="12"/>
  <c r="X575" i="12"/>
  <c r="X1248" i="12"/>
  <c r="X2552" i="12"/>
  <c r="X1273" i="12"/>
  <c r="X2789" i="12"/>
  <c r="X1578" i="12"/>
  <c r="X1325" i="12"/>
  <c r="X2732" i="12"/>
  <c r="X696" i="12"/>
  <c r="X645" i="12"/>
  <c r="X1138" i="12"/>
  <c r="X2697" i="12"/>
  <c r="X1102" i="12"/>
  <c r="X569" i="12"/>
  <c r="X223" i="12"/>
  <c r="X1637" i="12"/>
  <c r="X3381" i="12"/>
  <c r="X1712" i="12"/>
  <c r="X1154" i="12"/>
  <c r="X243" i="12"/>
  <c r="X1847" i="12"/>
  <c r="X2891" i="12"/>
  <c r="X922" i="12"/>
  <c r="X3482" i="12"/>
  <c r="X695" i="12"/>
  <c r="X1619" i="12"/>
  <c r="X936" i="12"/>
  <c r="X23" i="12"/>
  <c r="X1191" i="12"/>
  <c r="X2908" i="12"/>
  <c r="X785" i="12"/>
  <c r="X2869" i="12"/>
  <c r="X3451" i="12"/>
  <c r="X251" i="12"/>
  <c r="X1929" i="12"/>
  <c r="X1528" i="12"/>
  <c r="X3366" i="12"/>
  <c r="X3353" i="12"/>
  <c r="X2560" i="12"/>
  <c r="X904" i="12"/>
  <c r="X3123" i="12"/>
  <c r="X2120" i="12"/>
  <c r="X213" i="12"/>
  <c r="X692" i="12"/>
  <c r="X2237" i="12"/>
  <c r="X613" i="12"/>
  <c r="X3443" i="12"/>
  <c r="X2605" i="12"/>
  <c r="X93" i="12"/>
  <c r="X3524" i="12"/>
  <c r="X413" i="12"/>
  <c r="X333" i="12"/>
  <c r="X1761" i="12"/>
  <c r="X623" i="12"/>
  <c r="X1714" i="12"/>
  <c r="X1624" i="12"/>
  <c r="X552" i="12"/>
  <c r="X2343" i="12"/>
  <c r="X1148" i="12"/>
  <c r="X1118" i="12"/>
  <c r="X3085" i="12"/>
  <c r="X2634" i="12"/>
  <c r="X1917" i="12"/>
  <c r="X2941" i="12"/>
  <c r="X918" i="12"/>
  <c r="X2821" i="12"/>
  <c r="X1341" i="12"/>
  <c r="X1281" i="12"/>
  <c r="X565" i="12"/>
  <c r="X3390" i="12"/>
  <c r="X3068" i="12"/>
  <c r="X1565" i="12"/>
  <c r="X3081" i="12"/>
  <c r="X1764" i="12"/>
  <c r="X2933" i="12"/>
  <c r="X3473" i="12"/>
  <c r="X2281" i="12"/>
  <c r="X2204" i="12"/>
  <c r="X2677" i="12"/>
  <c r="X2476" i="12"/>
  <c r="X1353" i="12"/>
  <c r="X1279" i="12"/>
  <c r="X2874" i="12"/>
  <c r="X2023" i="12"/>
  <c r="X1666" i="12"/>
  <c r="X310" i="12"/>
  <c r="X3087" i="12"/>
  <c r="X2323" i="12"/>
  <c r="X1672" i="12"/>
  <c r="X2377" i="12"/>
  <c r="X1151" i="12"/>
  <c r="X3363" i="12"/>
  <c r="X3169" i="12"/>
  <c r="X1811" i="12"/>
  <c r="X1805" i="12"/>
  <c r="X1709" i="12"/>
  <c r="X1252" i="12"/>
  <c r="X2420" i="12"/>
  <c r="X3228" i="12"/>
  <c r="X1287" i="12"/>
  <c r="X3429" i="12"/>
  <c r="X366" i="12"/>
  <c r="X843" i="12"/>
  <c r="X2643" i="12"/>
  <c r="X3399" i="12"/>
  <c r="X3414" i="12"/>
  <c r="X1455" i="12"/>
  <c r="X3210" i="12"/>
  <c r="X2179" i="12"/>
  <c r="X588" i="12"/>
  <c r="X209" i="12"/>
  <c r="X2816" i="12"/>
  <c r="X2538" i="12"/>
  <c r="X923" i="12"/>
  <c r="X329" i="12"/>
  <c r="X2598" i="12"/>
  <c r="X50" i="12"/>
  <c r="X2417" i="12"/>
  <c r="X1425" i="12"/>
  <c r="X3406" i="12"/>
  <c r="X2415" i="12"/>
  <c r="X1582" i="12"/>
  <c r="X557" i="12"/>
  <c r="X309" i="12"/>
  <c r="X1985" i="12"/>
  <c r="X25" i="12"/>
  <c r="X1261" i="12"/>
  <c r="X976" i="12"/>
  <c r="X485" i="12"/>
  <c r="X1052" i="12"/>
  <c r="X3476" i="12"/>
  <c r="X611" i="12"/>
  <c r="X334" i="12"/>
  <c r="X3010" i="12"/>
  <c r="X2067" i="12"/>
  <c r="X888" i="12"/>
  <c r="X399" i="12"/>
  <c r="X2478" i="12"/>
  <c r="X126" i="12"/>
  <c r="X3340" i="12"/>
  <c r="X264" i="12"/>
  <c r="X2252" i="12"/>
  <c r="X2531" i="12"/>
  <c r="X124" i="12"/>
  <c r="X178" i="12"/>
  <c r="X847" i="12"/>
  <c r="X1549" i="12"/>
  <c r="X3401" i="12"/>
  <c r="X2773" i="12"/>
  <c r="X836" i="12"/>
  <c r="X2047" i="12"/>
  <c r="X182" i="12"/>
  <c r="X3283" i="12"/>
  <c r="X3403" i="12"/>
  <c r="X1451" i="12"/>
  <c r="X2693" i="12"/>
  <c r="X2348" i="12"/>
  <c r="X3051" i="12"/>
  <c r="X3352" i="12"/>
  <c r="X1733" i="12"/>
  <c r="X3221" i="12"/>
  <c r="X939" i="12"/>
  <c r="X2435" i="12"/>
  <c r="X3470" i="12"/>
  <c r="X2448" i="12"/>
  <c r="X741" i="12"/>
  <c r="X1264" i="12"/>
  <c r="X2873" i="12"/>
  <c r="X2033" i="12"/>
  <c r="X1678" i="12"/>
  <c r="X2071" i="12"/>
  <c r="X3407" i="12"/>
  <c r="X2361" i="12"/>
  <c r="X3120" i="12"/>
  <c r="X3041" i="12"/>
  <c r="X3317" i="12"/>
  <c r="X204" i="12"/>
  <c r="X2083" i="12"/>
  <c r="X1362" i="12"/>
  <c r="X3478" i="12"/>
  <c r="X1725" i="12"/>
  <c r="X1491" i="12"/>
  <c r="X1309" i="12"/>
  <c r="X1610" i="12"/>
  <c r="X98" i="12"/>
  <c r="X2423" i="12"/>
  <c r="X2506" i="12"/>
  <c r="X419" i="12"/>
  <c r="X1786" i="12"/>
  <c r="X1598" i="12"/>
  <c r="X3042" i="12"/>
  <c r="X1053" i="12"/>
  <c r="X2465" i="12"/>
  <c r="X1067" i="12"/>
  <c r="X2089" i="12"/>
  <c r="X545" i="12"/>
  <c r="X210" i="12"/>
  <c r="X3244" i="12"/>
  <c r="X3354" i="12"/>
  <c r="X3536" i="12"/>
  <c r="X2888" i="12"/>
  <c r="X1146" i="12"/>
  <c r="X2224" i="12"/>
  <c r="X3255" i="12"/>
  <c r="X1133" i="12"/>
  <c r="X1077" i="12"/>
  <c r="X2196" i="12"/>
  <c r="X2982" i="12"/>
  <c r="X1298" i="12"/>
  <c r="X582" i="12"/>
  <c r="X3334" i="12"/>
  <c r="X2320" i="12"/>
  <c r="X722" i="12"/>
  <c r="X2298" i="12"/>
  <c r="X2294" i="12"/>
  <c r="X2734" i="12"/>
  <c r="X2055" i="12"/>
  <c r="X2468" i="12"/>
  <c r="X2124" i="12"/>
  <c r="X447" i="12"/>
  <c r="X3259" i="12"/>
  <c r="X732" i="12"/>
  <c r="X1031" i="12"/>
  <c r="X632" i="12"/>
  <c r="X381" i="12"/>
  <c r="X2664" i="12"/>
  <c r="X3168" i="12"/>
  <c r="X231" i="12"/>
  <c r="X3142" i="12"/>
  <c r="X1396" i="12"/>
  <c r="X1736" i="12"/>
  <c r="X1513" i="12"/>
  <c r="X65" i="12"/>
  <c r="X131" i="12"/>
  <c r="X3330" i="12"/>
  <c r="X1419" i="12"/>
  <c r="X167" i="12"/>
  <c r="X2446" i="12"/>
  <c r="X601" i="12"/>
  <c r="X3013" i="12"/>
  <c r="X1568" i="12"/>
  <c r="X2145" i="12"/>
  <c r="X1570" i="12"/>
  <c r="X528" i="12"/>
  <c r="X1820" i="12"/>
  <c r="X1078" i="12"/>
  <c r="X513" i="12"/>
  <c r="X3355" i="12"/>
  <c r="X3043" i="12"/>
  <c r="X3318" i="12"/>
  <c r="X3105" i="12"/>
  <c r="X2458" i="12"/>
  <c r="X196" i="12"/>
  <c r="X1388" i="12"/>
  <c r="X968" i="12"/>
  <c r="X2558" i="12"/>
  <c r="X2810" i="12"/>
  <c r="X1121" i="12"/>
  <c r="X873" i="12"/>
  <c r="X464" i="12"/>
  <c r="X1991" i="12"/>
  <c r="X2058" i="12"/>
  <c r="X1864" i="12"/>
  <c r="X2235" i="12"/>
  <c r="X2046" i="12"/>
  <c r="X750" i="12"/>
  <c r="X2802" i="12"/>
  <c r="X1530" i="12"/>
  <c r="X2628" i="12"/>
  <c r="X1867" i="12"/>
  <c r="X1376" i="12"/>
  <c r="X255" i="12"/>
  <c r="X108" i="12"/>
  <c r="X1428" i="12"/>
  <c r="X1703" i="12"/>
  <c r="X1775" i="12"/>
  <c r="X2243" i="12"/>
  <c r="X52" i="12"/>
  <c r="X2885" i="12"/>
  <c r="X2549" i="12"/>
  <c r="X1643" i="12"/>
  <c r="X1100" i="12"/>
  <c r="X958" i="12"/>
  <c r="X2103" i="12"/>
  <c r="X771" i="12"/>
  <c r="X2524" i="12"/>
  <c r="X1797" i="12"/>
  <c r="X442" i="12"/>
  <c r="X48" i="12"/>
  <c r="X2735" i="12"/>
  <c r="X2148" i="12"/>
  <c r="X2360" i="12"/>
  <c r="X1955" i="12"/>
  <c r="X2085" i="12"/>
  <c r="X201" i="12"/>
  <c r="X31" i="12"/>
  <c r="X85" i="12"/>
  <c r="X1506" i="12"/>
  <c r="X3335" i="12"/>
  <c r="X1883" i="12"/>
  <c r="X1131" i="12"/>
  <c r="X1776" i="12"/>
  <c r="X3368" i="12"/>
  <c r="X2566" i="12"/>
  <c r="X1557" i="12"/>
  <c r="X3032" i="12"/>
  <c r="X674" i="12"/>
  <c r="X3537" i="12"/>
  <c r="X1690" i="12"/>
  <c r="X2014" i="12"/>
  <c r="X506" i="12"/>
  <c r="X2011" i="12"/>
  <c r="X2925" i="12"/>
  <c r="X1790" i="12"/>
  <c r="X2216" i="12"/>
  <c r="X2635" i="12"/>
  <c r="X2514" i="12"/>
  <c r="X2411" i="12"/>
  <c r="X3236" i="12"/>
  <c r="X1440" i="12"/>
  <c r="X292" i="12"/>
  <c r="X2930" i="12"/>
  <c r="X3009" i="12"/>
  <c r="X564" i="12"/>
  <c r="X500" i="12"/>
  <c r="X2168" i="12"/>
  <c r="X1586" i="12"/>
  <c r="X3213" i="12"/>
  <c r="X3303" i="12"/>
  <c r="X2917" i="12"/>
  <c r="X2742" i="12"/>
  <c r="X2623" i="12"/>
  <c r="X3219" i="12"/>
  <c r="X2848" i="12"/>
  <c r="X1868" i="12"/>
  <c r="X3385" i="12"/>
  <c r="X2382" i="12"/>
  <c r="X571" i="12"/>
  <c r="X2862" i="12"/>
  <c r="X681" i="12"/>
  <c r="X1056" i="12"/>
  <c r="X2989" i="12"/>
  <c r="X1055" i="12"/>
  <c r="X116" i="12"/>
  <c r="X527" i="12"/>
  <c r="X969" i="12"/>
  <c r="X2434" i="12"/>
  <c r="X1588" i="12"/>
  <c r="X2371" i="12"/>
  <c r="X993" i="12"/>
  <c r="X107" i="12"/>
  <c r="X1646" i="12"/>
  <c r="X630" i="12"/>
  <c r="X168" i="12"/>
  <c r="X2766" i="12"/>
  <c r="X1894" i="12"/>
  <c r="X1253" i="12"/>
  <c r="X1806" i="12"/>
  <c r="X2922" i="12"/>
  <c r="X1225" i="12"/>
  <c r="X1485" i="12"/>
  <c r="X45" i="12"/>
  <c r="X2006" i="12"/>
  <c r="X203" i="12"/>
  <c r="X3039" i="12"/>
  <c r="X405" i="12"/>
  <c r="X1757" i="12"/>
  <c r="X1473" i="12"/>
  <c r="X2156" i="12"/>
  <c r="X1163" i="12"/>
  <c r="X777" i="12"/>
  <c r="X680" i="12"/>
  <c r="X417" i="12"/>
  <c r="X3103" i="12"/>
  <c r="X1508" i="12"/>
  <c r="X1611" i="12"/>
  <c r="X3207" i="12"/>
  <c r="X3100" i="12"/>
  <c r="X2268" i="12"/>
  <c r="X3094" i="12"/>
  <c r="X3468" i="12"/>
  <c r="X2755" i="12"/>
  <c r="X3240" i="12"/>
  <c r="X1965" i="12"/>
  <c r="X793" i="12"/>
  <c r="X2806" i="12"/>
  <c r="X537" i="12"/>
  <c r="X1293" i="12"/>
  <c r="X2453" i="12"/>
  <c r="X1089" i="12"/>
  <c r="X311" i="12"/>
  <c r="X3263" i="12"/>
  <c r="X2867" i="12"/>
  <c r="X2543" i="12"/>
  <c r="X2369" i="12"/>
  <c r="X1877" i="12"/>
  <c r="X859" i="12"/>
  <c r="X2710" i="12"/>
  <c r="X2751" i="12"/>
  <c r="X1501" i="12"/>
  <c r="X501" i="12"/>
  <c r="X949" i="12"/>
  <c r="X2875" i="12"/>
  <c r="X2321" i="12"/>
  <c r="X1210" i="12"/>
  <c r="X1604" i="12"/>
  <c r="X181" i="12"/>
  <c r="X767" i="12"/>
  <c r="X3194" i="12"/>
  <c r="X28" i="12"/>
  <c r="X477" i="12"/>
  <c r="X1727" i="12"/>
  <c r="X2116" i="12"/>
  <c r="X2688" i="12"/>
  <c r="X2870" i="12"/>
  <c r="X1355" i="12"/>
  <c r="X291" i="12"/>
  <c r="X1866" i="12"/>
  <c r="X3133" i="12"/>
  <c r="X1837" i="12"/>
  <c r="X925" i="12"/>
  <c r="X3261" i="12"/>
  <c r="X2955" i="12"/>
  <c r="X3129" i="12"/>
  <c r="X389" i="12"/>
  <c r="X2087" i="12"/>
  <c r="X2663" i="12"/>
  <c r="X2045" i="12"/>
  <c r="X932" i="12"/>
  <c r="X1142" i="12"/>
  <c r="X2462" i="12"/>
  <c r="X647" i="12"/>
  <c r="X2700" i="12"/>
  <c r="X431" i="12"/>
  <c r="X1659" i="12"/>
  <c r="X2380" i="12"/>
  <c r="X3360" i="12"/>
  <c r="X576" i="12"/>
  <c r="X643" i="12"/>
  <c r="X1181" i="12"/>
  <c r="X3257" i="12"/>
  <c r="X2108" i="12"/>
  <c r="X1636" i="12"/>
  <c r="X2984" i="12"/>
  <c r="X896" i="12"/>
  <c r="X3220" i="12"/>
  <c r="X2709" i="12"/>
  <c r="X488" i="12"/>
  <c r="X2644" i="12"/>
  <c r="X3314" i="12"/>
  <c r="X1344" i="12"/>
  <c r="X1505" i="12"/>
  <c r="X846" i="12"/>
  <c r="X1414" i="12"/>
  <c r="X1890" i="12"/>
  <c r="X1547" i="12"/>
  <c r="X2669" i="12"/>
  <c r="X2292" i="12"/>
  <c r="X1258" i="12"/>
  <c r="X1655" i="12"/>
  <c r="X517" i="12"/>
  <c r="X180" i="12"/>
  <c r="X1306" i="12"/>
  <c r="X2260" i="12"/>
  <c r="X2324" i="12"/>
  <c r="X2759" i="12"/>
  <c r="X2285" i="12"/>
  <c r="X2001" i="12"/>
  <c r="X1365" i="12"/>
  <c r="X988" i="12"/>
  <c r="X3170" i="12"/>
  <c r="X2801" i="12"/>
  <c r="X754" i="12"/>
  <c r="X3393" i="12"/>
  <c r="X1787" i="12"/>
  <c r="X1011" i="12"/>
  <c r="X1767" i="12"/>
  <c r="X948" i="12"/>
  <c r="X3020" i="12"/>
  <c r="X3293" i="12"/>
  <c r="X429" i="12"/>
  <c r="X3485" i="12"/>
  <c r="X3022" i="12"/>
  <c r="X29" i="12"/>
  <c r="X943" i="12"/>
  <c r="X778" i="12"/>
  <c r="X1482" i="12"/>
  <c r="X831" i="12"/>
  <c r="X719" i="12"/>
  <c r="X1136" i="12"/>
  <c r="X807" i="12"/>
  <c r="X1550" i="12"/>
  <c r="X1754" i="12"/>
  <c r="X2799" i="12"/>
  <c r="X664" i="12"/>
  <c r="X1125" i="12"/>
  <c r="X1405" i="12"/>
  <c r="X2020" i="12"/>
  <c r="X1698" i="12"/>
  <c r="X306" i="12"/>
  <c r="X359" i="12"/>
  <c r="X2301" i="12"/>
  <c r="X3324" i="12"/>
  <c r="X1391" i="12"/>
  <c r="X1561" i="12"/>
  <c r="X3345" i="12"/>
  <c r="X245" i="12"/>
  <c r="X1785" i="12"/>
  <c r="X1300" i="12"/>
  <c r="X2297" i="12"/>
  <c r="X2477" i="12"/>
  <c r="X40" i="12"/>
  <c r="X1794" i="12"/>
  <c r="X2296" i="12"/>
  <c r="X227" i="12"/>
  <c r="X433" i="12"/>
  <c r="X2650" i="12"/>
  <c r="X2592" i="12"/>
  <c r="X1715" i="12"/>
  <c r="X1220" i="12"/>
  <c r="X1291" i="12"/>
  <c r="X1421" i="12"/>
  <c r="X2188" i="12"/>
  <c r="X3533" i="12"/>
  <c r="X2247" i="12"/>
  <c r="X2703" i="12"/>
  <c r="X1706" i="12"/>
  <c r="X960" i="12"/>
  <c r="X1124" i="12"/>
  <c r="X2004" i="12"/>
  <c r="X1304" i="12"/>
  <c r="X2438" i="12"/>
  <c r="X2037" i="12"/>
  <c r="X2051" i="12"/>
  <c r="X3258" i="12"/>
  <c r="X689" i="12"/>
  <c r="X1310" i="12"/>
  <c r="X452" i="12"/>
  <c r="X3504" i="12"/>
  <c r="X505" i="12"/>
  <c r="X3037" i="12"/>
  <c r="X189" i="12"/>
  <c r="X1863" i="12"/>
  <c r="X20" i="12"/>
  <c r="X763" i="12"/>
  <c r="X2896" i="12"/>
  <c r="X746" i="12"/>
  <c r="X2359" i="12"/>
  <c r="X2702" i="12"/>
  <c r="X73" i="12"/>
  <c r="X362" i="12"/>
  <c r="X1496" i="12"/>
  <c r="X1459" i="12"/>
  <c r="X1993" i="12"/>
  <c r="X1441" i="12"/>
  <c r="X2965" i="12"/>
  <c r="X2649" i="12"/>
  <c r="X2591" i="12"/>
  <c r="X3035" i="12"/>
  <c r="X1205" i="12"/>
  <c r="X273" i="12"/>
  <c r="X2334" i="12"/>
  <c r="X907" i="12"/>
  <c r="X1025" i="12"/>
  <c r="X3421" i="12"/>
  <c r="X2026" i="12"/>
  <c r="X2911" i="12"/>
  <c r="X2170" i="12"/>
  <c r="X3049" i="12"/>
  <c r="X1169" i="12"/>
  <c r="X369" i="12"/>
  <c r="X319" i="12"/>
  <c r="X2983" i="12"/>
  <c r="X1168" i="12"/>
  <c r="X3404" i="12"/>
  <c r="X2437" i="12"/>
  <c r="X1456" i="12"/>
  <c r="X43" i="12"/>
  <c r="X1231" i="12"/>
  <c r="X1059" i="12"/>
  <c r="X1115" i="12"/>
  <c r="X776" i="12"/>
  <c r="X2890" i="12"/>
  <c r="X1984" i="12"/>
  <c r="X1320" i="12"/>
  <c r="X2847" i="12"/>
  <c r="X3243" i="12"/>
  <c r="X1675" i="12"/>
  <c r="X738" i="12"/>
  <c r="X813" i="12"/>
  <c r="X3117" i="12"/>
  <c r="X2648" i="12"/>
  <c r="X2199" i="12"/>
  <c r="X2971" i="12"/>
  <c r="X3457" i="12"/>
  <c r="X1486" i="12"/>
  <c r="X284" i="12"/>
  <c r="X3395" i="12"/>
  <c r="X2277" i="12"/>
  <c r="X1230" i="12"/>
  <c r="X439" i="12"/>
  <c r="X1076" i="12"/>
  <c r="X1758" i="12"/>
  <c r="X731" i="12"/>
  <c r="X1635" i="12"/>
  <c r="X1034" i="12"/>
  <c r="X3149" i="12"/>
  <c r="X1454" i="12"/>
  <c r="X956" i="12"/>
  <c r="X2005" i="12"/>
  <c r="X659" i="12"/>
  <c r="X2855" i="12"/>
  <c r="X667" i="12"/>
  <c r="X1335" i="12"/>
  <c r="X2573" i="12"/>
  <c r="X2839" i="12"/>
  <c r="X1469" i="12"/>
  <c r="X2787" i="12"/>
  <c r="X800" i="12"/>
  <c r="X2938" i="12"/>
  <c r="X2684" i="12"/>
  <c r="X3514" i="12"/>
  <c r="X1447" i="12"/>
  <c r="X2009" i="12"/>
  <c r="X1981" i="12"/>
  <c r="X2157" i="12"/>
  <c r="X2825" i="12"/>
  <c r="X1128" i="12"/>
  <c r="X568" i="12"/>
  <c r="X2384" i="12"/>
  <c r="X1424" i="12"/>
  <c r="X456" i="12"/>
  <c r="X1961" i="12"/>
  <c r="X3137" i="12"/>
  <c r="X2730" i="12"/>
  <c r="X457" i="12"/>
  <c r="X1816" i="12"/>
  <c r="X1793" i="12"/>
  <c r="X1371" i="12"/>
  <c r="X489" i="12"/>
  <c r="X2727" i="12"/>
  <c r="X3415" i="12"/>
  <c r="X2596" i="12"/>
  <c r="X1954" i="12"/>
  <c r="X1346" i="12"/>
  <c r="X394" i="12"/>
  <c r="X2082" i="12"/>
  <c r="X1483" i="12"/>
  <c r="X1941" i="12"/>
  <c r="X897" i="12"/>
  <c r="X1562" i="12"/>
  <c r="X59" i="12"/>
  <c r="X1090" i="12"/>
  <c r="X2540" i="12"/>
  <c r="X2003" i="12"/>
  <c r="X2666" i="12"/>
  <c r="X848" i="12"/>
  <c r="X1194" i="12"/>
  <c r="X3426" i="12"/>
  <c r="X2400" i="12"/>
  <c r="X2095" i="12"/>
  <c r="X717" i="12"/>
  <c r="X233" i="12"/>
  <c r="X1242" i="12"/>
  <c r="X946" i="12"/>
  <c r="X662" i="12"/>
  <c r="X1630" i="12"/>
  <c r="X1953" i="12"/>
  <c r="X1944" i="12"/>
  <c r="X2217" i="12"/>
  <c r="X2528" i="12"/>
  <c r="X3130" i="12"/>
  <c r="X272" i="12"/>
  <c r="X1638" i="12"/>
  <c r="X2080" i="12"/>
  <c r="X2780" i="12"/>
  <c r="X1782" i="12"/>
  <c r="X2607" i="12"/>
  <c r="X174" i="12"/>
  <c r="X3246" i="12"/>
  <c r="X2705" i="12"/>
  <c r="X1740" i="12"/>
  <c r="X1898" i="12"/>
  <c r="X324" i="12"/>
  <c r="X2954" i="12"/>
  <c r="X2909" i="12"/>
  <c r="X2289" i="12"/>
  <c r="X2245" i="12"/>
  <c r="X2481" i="12"/>
  <c r="X2602" i="12"/>
  <c r="X2443" i="12"/>
  <c r="X2484" i="12"/>
  <c r="X382" i="12"/>
  <c r="X392" i="12"/>
  <c r="X736" i="12"/>
  <c r="X2034" i="12"/>
  <c r="X34" i="12"/>
  <c r="X1620" i="12"/>
  <c r="X842" i="12"/>
  <c r="X1074" i="12"/>
  <c r="X2049" i="12"/>
  <c r="X602" i="12"/>
  <c r="X2978" i="12"/>
  <c r="X909" i="12"/>
  <c r="X421" i="12"/>
  <c r="X538" i="12"/>
  <c r="X2480" i="12"/>
  <c r="X1141" i="12"/>
  <c r="X2372" i="12"/>
  <c r="X2499" i="12"/>
  <c r="X1285" i="12"/>
  <c r="X2778" i="12"/>
  <c r="X935" i="12"/>
  <c r="X88" i="12"/>
  <c r="X761" i="12"/>
  <c r="X3545" i="12"/>
  <c r="X2979" i="12"/>
  <c r="X2818" i="12"/>
  <c r="X2274" i="12"/>
  <c r="X1112" i="12"/>
  <c r="X3540" i="12"/>
  <c r="X1390" i="12"/>
  <c r="X1937" i="12"/>
  <c r="X787" i="12"/>
  <c r="X2269" i="12"/>
  <c r="X2883" i="12"/>
  <c r="X1763" i="12"/>
  <c r="X973" i="12"/>
  <c r="X1215" i="12"/>
  <c r="X1385" i="12"/>
  <c r="X3104" i="12"/>
  <c r="X3079" i="12"/>
  <c r="X985" i="12"/>
  <c r="X651" i="12"/>
  <c r="X1657" i="12"/>
  <c r="X1540" i="12"/>
  <c r="X495" i="12"/>
  <c r="X2511" i="12"/>
  <c r="X1516" i="12"/>
  <c r="X1016" i="12"/>
  <c r="X2062" i="12"/>
  <c r="X3126" i="12"/>
  <c r="X1650" i="12"/>
  <c r="X3528" i="12"/>
  <c r="X2764" i="12"/>
  <c r="X1560" i="12"/>
  <c r="X2861" i="12"/>
  <c r="X3066" i="12"/>
  <c r="X1477" i="12"/>
  <c r="X1393" i="12"/>
  <c r="X598" i="12"/>
  <c r="X2054" i="12"/>
  <c r="X3128" i="12"/>
  <c r="X2487" i="12"/>
  <c r="X3139" i="12"/>
  <c r="X559" i="12"/>
  <c r="X1343" i="12"/>
  <c r="X338" i="12"/>
  <c r="X2929" i="12"/>
  <c r="X138" i="12"/>
  <c r="X2526" i="12"/>
  <c r="X690" i="12"/>
  <c r="X1032" i="12"/>
  <c r="X1173" i="12"/>
  <c r="X2572" i="12"/>
  <c r="X2310" i="12"/>
  <c r="X2698" i="12"/>
  <c r="X718" i="12"/>
  <c r="X747" i="12"/>
  <c r="X276" i="12"/>
  <c r="X3369" i="12"/>
  <c r="X986" i="12"/>
  <c r="X2151" i="12"/>
  <c r="X3356" i="12"/>
  <c r="X1881" i="12"/>
  <c r="X541" i="12"/>
  <c r="X2872" i="12"/>
  <c r="X849" i="12"/>
  <c r="X898" i="12"/>
  <c r="X3291" i="12"/>
  <c r="X3241" i="12"/>
  <c r="X2076" i="12"/>
  <c r="X3288" i="12"/>
  <c r="X1223" i="12"/>
  <c r="X687" i="12"/>
  <c r="X917" i="12"/>
  <c r="X2102" i="12"/>
  <c r="X2544" i="12"/>
  <c r="X2532" i="12"/>
  <c r="X1959" i="12"/>
  <c r="X62" i="12"/>
  <c r="X3549" i="12"/>
  <c r="X810" i="12"/>
  <c r="X2739" i="12"/>
  <c r="X330" i="12"/>
  <c r="X2777" i="12"/>
  <c r="X2098" i="12"/>
  <c r="X3525" i="12"/>
  <c r="X3237" i="12"/>
  <c r="X1302" i="12"/>
  <c r="X1087" i="12"/>
  <c r="X1932" i="12"/>
  <c r="X3006" i="12"/>
  <c r="X1402" i="12"/>
  <c r="X453" i="12"/>
  <c r="X383" i="12"/>
  <c r="X26" i="12"/>
  <c r="X1667" i="12"/>
  <c r="X3481" i="12"/>
  <c r="X1569" i="12"/>
  <c r="X1226" i="12"/>
  <c r="X1596" i="12"/>
  <c r="X2843" i="12"/>
  <c r="X1701" i="12"/>
  <c r="X502" i="12"/>
  <c r="X1910" i="12"/>
  <c r="X805" i="12"/>
  <c r="X3372" i="12"/>
  <c r="X2017" i="12"/>
  <c r="X2408" i="12"/>
  <c r="X3472" i="12"/>
  <c r="X286" i="12"/>
  <c r="X792" i="12"/>
  <c r="X2640" i="12"/>
  <c r="X2959" i="12"/>
  <c r="X2985" i="12"/>
  <c r="X869" i="12"/>
  <c r="X2209" i="12"/>
  <c r="X586" i="12"/>
  <c r="X633" i="12"/>
  <c r="X2707" i="12"/>
  <c r="X1022" i="12"/>
  <c r="X2570" i="12"/>
  <c r="X2512" i="12"/>
  <c r="X461" i="12"/>
  <c r="X2261" i="12"/>
  <c r="X2729" i="12"/>
  <c r="X1145" i="12"/>
  <c r="X427" i="12"/>
  <c r="X961" i="12"/>
  <c r="X2980" i="12"/>
  <c r="X764" i="12"/>
  <c r="X3147" i="12"/>
  <c r="X2900" i="12"/>
  <c r="X275" i="12"/>
  <c r="X2958" i="12"/>
  <c r="X1870" i="12"/>
  <c r="X1777" i="12"/>
  <c r="X512" i="12"/>
  <c r="X2527" i="12"/>
  <c r="X2121" i="12"/>
  <c r="X3218" i="12"/>
  <c r="X1531" i="12"/>
  <c r="X3000" i="12"/>
  <c r="X2743" i="12"/>
  <c r="X1947" i="12"/>
  <c r="X1359" i="12"/>
  <c r="X53" i="12"/>
  <c r="X2304" i="12"/>
  <c r="X1918" i="12"/>
  <c r="X2812" i="12"/>
  <c r="X2882" i="12"/>
  <c r="X2432" i="12"/>
  <c r="X2731" i="12"/>
  <c r="X1013" i="12"/>
  <c r="X1928" i="12"/>
  <c r="X3387" i="12"/>
  <c r="X2327" i="12"/>
  <c r="X441" i="12"/>
  <c r="X344" i="12"/>
  <c r="X816" i="12"/>
  <c r="X1687" i="12"/>
  <c r="X2189" i="12"/>
  <c r="X3181" i="12"/>
  <c r="X1789" i="12"/>
  <c r="X3405" i="12"/>
  <c r="X2745" i="12"/>
  <c r="X563" i="12"/>
  <c r="X1095" i="12"/>
  <c r="X1044" i="12"/>
  <c r="X2784" i="12"/>
  <c r="X3146" i="12"/>
  <c r="X3460" i="12"/>
  <c r="X1766" i="12"/>
  <c r="X2690" i="12"/>
  <c r="X3098" i="12"/>
  <c r="X1275" i="12"/>
  <c r="X465" i="12"/>
  <c r="X2905" i="12"/>
  <c r="X1963" i="12"/>
  <c r="X1499" i="12"/>
  <c r="X1554" i="12"/>
  <c r="X3285" i="12"/>
  <c r="X2761" i="12"/>
  <c r="X3286" i="12"/>
  <c r="X2110" i="12"/>
  <c r="X2507" i="12"/>
  <c r="X1060" i="12"/>
  <c r="X2240" i="12"/>
  <c r="X434" i="12"/>
  <c r="X3199" i="12"/>
  <c r="X1556" i="12"/>
  <c r="X2547" i="12"/>
  <c r="X1905" i="12"/>
  <c r="X2692" i="12"/>
  <c r="X2667" i="12"/>
  <c r="X162" i="12"/>
  <c r="X1781" i="12"/>
  <c r="X3107" i="12"/>
  <c r="X2899" i="12"/>
  <c r="X2660" i="12"/>
  <c r="X2832" i="12"/>
  <c r="X2973" i="12"/>
  <c r="X2249" i="12"/>
  <c r="X1270" i="12"/>
  <c r="X1367" i="12"/>
  <c r="X1058" i="12"/>
  <c r="X2600" i="12"/>
  <c r="X77" i="12"/>
  <c r="X2418" i="12"/>
  <c r="X58" i="12"/>
  <c r="X380" i="12"/>
  <c r="X1217" i="12"/>
  <c r="X503" i="12"/>
  <c r="X312" i="12"/>
  <c r="X2798" i="12"/>
  <c r="X1111" i="12"/>
  <c r="X49" i="12"/>
  <c r="X139" i="12"/>
  <c r="X133" i="12"/>
  <c r="X1884" i="12"/>
  <c r="X3060" i="12"/>
  <c r="X631" i="12"/>
  <c r="X1294" i="12"/>
  <c r="X757" i="12"/>
  <c r="X247" i="12"/>
  <c r="X1354" i="12"/>
  <c r="X2794" i="12"/>
  <c r="X2800" i="12"/>
  <c r="X908" i="12"/>
  <c r="X2383" i="12"/>
  <c r="X3155" i="12"/>
  <c r="X2255" i="12"/>
  <c r="X2147" i="12"/>
  <c r="X1577" i="12"/>
  <c r="X713" i="12"/>
  <c r="X1444" i="12"/>
  <c r="X1411" i="12"/>
  <c r="X2286" i="12"/>
  <c r="X3361" i="12"/>
  <c r="X648" i="12"/>
  <c r="X1313" i="12"/>
  <c r="X891" i="12"/>
  <c r="X1526" i="12"/>
  <c r="X494" i="12"/>
  <c r="X1990" i="12"/>
  <c r="X1337" i="12"/>
  <c r="X2718" i="12"/>
  <c r="X826" i="12"/>
  <c r="X1243" i="12"/>
  <c r="X3304" i="12"/>
  <c r="X1612" i="12"/>
  <c r="X2471" i="12"/>
  <c r="X1765" i="12"/>
  <c r="X1935" i="12"/>
  <c r="X472" i="12"/>
  <c r="X894" i="12"/>
  <c r="X641" i="12"/>
  <c r="X2398" i="12"/>
  <c r="X3471" i="12"/>
  <c r="X3416" i="12"/>
  <c r="X3532" i="12"/>
  <c r="X2043" i="12"/>
  <c r="X3266" i="12"/>
  <c r="X1693" i="12"/>
  <c r="X789" i="12"/>
  <c r="X1704" i="12"/>
  <c r="X595" i="12"/>
  <c r="X285" i="12"/>
  <c r="X1108" i="12"/>
  <c r="X3541" i="12"/>
  <c r="X1760" i="12"/>
  <c r="X1521" i="12"/>
  <c r="X2340" i="12"/>
  <c r="X2494" i="12"/>
  <c r="X1156" i="12"/>
  <c r="X491" i="12"/>
  <c r="X998" i="12"/>
  <c r="X2208" i="12"/>
  <c r="X3200" i="12"/>
  <c r="X270" i="12"/>
  <c r="X2409" i="12"/>
  <c r="X2111" i="12"/>
  <c r="X1382" i="12"/>
  <c r="X2350" i="12"/>
  <c r="X2242" i="12"/>
  <c r="X1040" i="12"/>
  <c r="X1970" i="12"/>
  <c r="X1567" i="12"/>
  <c r="X3171" i="12"/>
  <c r="X1221" i="12"/>
  <c r="X1041" i="12"/>
  <c r="X2090" i="12"/>
  <c r="X1241" i="12"/>
  <c r="X1132" i="12"/>
  <c r="X3427" i="12"/>
  <c r="X1184" i="12"/>
  <c r="X192" i="12"/>
  <c r="X175" i="12"/>
  <c r="X2683" i="12"/>
  <c r="X694" i="12"/>
  <c r="X2342" i="12"/>
  <c r="X768" i="12"/>
  <c r="X199" i="12"/>
  <c r="X3419" i="12"/>
  <c r="X2318" i="12"/>
  <c r="X2713" i="12"/>
  <c r="X2218" i="12"/>
  <c r="X326" i="12"/>
  <c r="X3211" i="12"/>
  <c r="X308" i="12"/>
  <c r="X1688" i="12"/>
  <c r="X2222" i="12"/>
  <c r="X1608" i="12"/>
  <c r="X2708" i="12"/>
  <c r="X2445" i="12"/>
  <c r="X1030" i="12"/>
  <c r="X1187" i="12"/>
  <c r="X519" i="12"/>
  <c r="X2258" i="12"/>
  <c r="X756" i="12"/>
  <c r="X2263" i="12"/>
  <c r="X71" i="12"/>
  <c r="X1404" i="12"/>
  <c r="X3073" i="12"/>
  <c r="X408" i="12"/>
  <c r="X1500" i="12"/>
  <c r="X3341" i="12"/>
  <c r="X3465" i="12"/>
  <c r="X135" i="12"/>
  <c r="X3160" i="12"/>
  <c r="X1229" i="12"/>
  <c r="X3233" i="12"/>
  <c r="X863" i="12"/>
  <c r="X2879" i="12"/>
  <c r="X1926" i="12"/>
  <c r="X475" i="12"/>
  <c r="X737" i="12"/>
  <c r="X1488" i="12"/>
  <c r="X2733" i="12"/>
  <c r="X2792" i="12"/>
  <c r="X2986" i="12"/>
  <c r="X1438" i="12"/>
  <c r="X51" i="12"/>
  <c r="X3163" i="12"/>
  <c r="X2262" i="12"/>
  <c r="X257" i="12"/>
  <c r="X650" i="12"/>
  <c r="X3523" i="12"/>
  <c r="X3057" i="12"/>
  <c r="X1158" i="12"/>
  <c r="X1960" i="12"/>
  <c r="X2088" i="12"/>
  <c r="X374" i="12"/>
  <c r="X1453" i="12"/>
  <c r="X1791" i="12"/>
  <c r="X2957" i="12"/>
  <c r="X1360" i="12"/>
  <c r="X1749" i="12"/>
  <c r="X1882" i="12"/>
  <c r="X1345" i="12"/>
  <c r="X2160" i="12"/>
  <c r="X2349" i="12"/>
  <c r="X1665" i="12"/>
  <c r="X1893" i="12"/>
  <c r="X2603" i="12"/>
  <c r="X335" i="12"/>
  <c r="X2630" i="12"/>
  <c r="X734" i="12"/>
  <c r="X890" i="12"/>
  <c r="X1260" i="12"/>
  <c r="X2533" i="12"/>
  <c r="X1010" i="12"/>
  <c r="X3108" i="12"/>
  <c r="X279" i="12"/>
  <c r="X2139" i="12"/>
  <c r="X1922" i="12"/>
  <c r="X881" i="12"/>
  <c r="X2559" i="12"/>
  <c r="X1639" i="12"/>
  <c r="X1186" i="12"/>
  <c r="X390" i="12"/>
  <c r="X2625" i="12"/>
  <c r="X2275" i="12"/>
  <c r="X1538" i="12"/>
  <c r="X101" i="12"/>
  <c r="X1386" i="12"/>
  <c r="X463" i="12"/>
  <c r="X1143" i="12"/>
  <c r="X2804" i="12"/>
  <c r="X1166" i="12"/>
  <c r="X1654" i="12"/>
  <c r="X1626" i="12"/>
  <c r="X2904" i="12"/>
  <c r="X2555" i="12"/>
  <c r="X2165" i="12"/>
  <c r="X2104" i="12"/>
  <c r="X2158" i="12"/>
  <c r="X2651" i="12"/>
  <c r="X673" i="12"/>
  <c r="X3294" i="12"/>
  <c r="X1529" i="12"/>
  <c r="X994" i="12"/>
  <c r="X3225" i="12"/>
  <c r="X853" i="12"/>
  <c r="X3439" i="12"/>
  <c r="X1833" i="12"/>
  <c r="X2395" i="12"/>
  <c r="X314" i="12"/>
  <c r="X1366" i="12"/>
  <c r="X3299" i="12"/>
  <c r="X2720" i="12"/>
  <c r="X3548" i="12"/>
  <c r="X2138" i="12"/>
  <c r="X2918" i="12"/>
  <c r="X1262" i="12"/>
  <c r="X2283" i="12"/>
  <c r="X1001" i="12"/>
  <c r="X400" i="12"/>
  <c r="X2479" i="12"/>
  <c r="X1862" i="12"/>
  <c r="X660" i="12"/>
  <c r="X1314" i="12"/>
  <c r="X1427" i="12"/>
  <c r="X2724" i="12"/>
  <c r="X2807" i="12"/>
  <c r="X2876" i="12"/>
  <c r="X1977" i="12"/>
  <c r="X2328" i="12"/>
  <c r="X548" i="12"/>
  <c r="X2140" i="12"/>
  <c r="X657" i="12"/>
  <c r="X3474" i="12"/>
  <c r="X2736" i="12"/>
  <c r="X1835" i="12"/>
  <c r="X282" i="12"/>
  <c r="X1812" i="12"/>
  <c r="X119" i="12"/>
  <c r="X1621" i="12"/>
  <c r="X332" i="12"/>
  <c r="X2830" i="12"/>
  <c r="X1244" i="12"/>
  <c r="X592" i="12"/>
  <c r="X3389" i="12"/>
  <c r="X2545" i="12"/>
  <c r="X2521" i="12"/>
  <c r="X1431" i="12"/>
  <c r="X3422" i="12"/>
  <c r="X1448" i="12"/>
  <c r="X2892" i="12"/>
  <c r="X134" i="12"/>
  <c r="X3201" i="12"/>
  <c r="X2695" i="12"/>
  <c r="X39" i="12"/>
  <c r="X1297" i="12"/>
  <c r="X852" i="12"/>
  <c r="X2902" i="12"/>
  <c r="X1123" i="12"/>
  <c r="X130" i="12"/>
  <c r="X520" i="12"/>
  <c r="X3197" i="12"/>
  <c r="X1021" i="12"/>
  <c r="X1572" i="12"/>
  <c r="X2586" i="12"/>
  <c r="X397" i="12"/>
  <c r="X3499" i="12"/>
  <c r="X3333" i="12"/>
  <c r="X2118" i="12"/>
  <c r="X3045" i="12"/>
  <c r="X599" i="12"/>
  <c r="X627" i="12"/>
  <c r="X121" i="12"/>
  <c r="X2010" i="12"/>
  <c r="X2550" i="12"/>
  <c r="X2914" i="12"/>
  <c r="X2341" i="12"/>
  <c r="X3038" i="12"/>
  <c r="X352" i="12"/>
  <c r="X252" i="12"/>
  <c r="X3370" i="12"/>
  <c r="X1732" i="12"/>
  <c r="X2016" i="12"/>
  <c r="X57" i="12"/>
  <c r="X3275" i="12"/>
  <c r="X2060" i="12"/>
  <c r="X2271" i="12"/>
  <c r="X995" i="12"/>
  <c r="X3495" i="12"/>
  <c r="X1218" i="12"/>
  <c r="X179" i="12"/>
  <c r="X1103" i="12"/>
  <c r="X469" i="12"/>
  <c r="X3384" i="12"/>
  <c r="X1909" i="12"/>
  <c r="X1091" i="12"/>
  <c r="X2072" i="12"/>
  <c r="X590" i="12"/>
  <c r="X254" i="12"/>
  <c r="X1522" i="12"/>
  <c r="X1308" i="12"/>
  <c r="X766" i="12"/>
  <c r="X2582" i="12"/>
  <c r="X2483" i="12"/>
  <c r="X2853" i="12"/>
  <c r="X1673" i="12"/>
  <c r="X531" i="12"/>
  <c r="X1511" i="12"/>
  <c r="X1002" i="12"/>
  <c r="X1327" i="12"/>
  <c r="X2629" i="12"/>
  <c r="X468" i="12"/>
  <c r="X2039" i="12"/>
  <c r="X1580" i="12"/>
  <c r="X1668" i="12"/>
  <c r="X3012" i="12"/>
  <c r="X997" i="12"/>
  <c r="X3301" i="12"/>
  <c r="X2379" i="12"/>
  <c r="X3347" i="12"/>
  <c r="X2392" i="12"/>
  <c r="X654" i="12"/>
  <c r="X80" i="12"/>
  <c r="X3449" i="12"/>
  <c r="X2220" i="12"/>
  <c r="X3413" i="12"/>
  <c r="X3453" i="12"/>
  <c r="X194" i="12"/>
  <c r="X1930" i="12"/>
  <c r="X1986" i="12"/>
  <c r="X1524" i="12"/>
  <c r="X1213" i="12"/>
  <c r="X2347" i="12"/>
  <c r="X3461" i="12"/>
  <c r="X143" i="12"/>
  <c r="X70" i="12"/>
  <c r="X2284" i="12"/>
  <c r="X2002" i="12"/>
  <c r="X3458" i="12"/>
  <c r="X3502" i="12"/>
  <c r="X2970" i="12"/>
  <c r="X87" i="12"/>
  <c r="X2762" i="12"/>
  <c r="X876" i="12"/>
  <c r="X646" i="12"/>
  <c r="X271" i="12"/>
  <c r="X1738" i="12"/>
  <c r="X3014" i="12"/>
  <c r="X1780" i="12"/>
  <c r="X578" i="12"/>
  <c r="X1640" i="12"/>
  <c r="X3520" i="12"/>
  <c r="X1219" i="12"/>
  <c r="X2397" i="12"/>
  <c r="X2338" i="12"/>
  <c r="X1527" i="12"/>
  <c r="X2503" i="12"/>
  <c r="X1978" i="12"/>
  <c r="X714" i="12"/>
  <c r="X3186" i="12"/>
  <c r="X2907" i="12"/>
  <c r="X804" i="12"/>
  <c r="X1886" i="12"/>
  <c r="X3069" i="12"/>
  <c r="X3441" i="12"/>
  <c r="X928" i="12"/>
  <c r="X2497" i="12"/>
  <c r="X217" i="12"/>
  <c r="X899" i="12"/>
  <c r="X350" i="12"/>
  <c r="X1737" i="12"/>
  <c r="X3183" i="12"/>
  <c r="X3551" i="12"/>
  <c r="X2207" i="12"/>
  <c r="X1901" i="12"/>
  <c r="X322" i="12"/>
  <c r="X2181" i="12"/>
  <c r="X3092" i="12"/>
  <c r="X3141" i="12"/>
  <c r="X60" i="12"/>
  <c r="X1574" i="12"/>
  <c r="X691" i="12"/>
  <c r="X3442" i="12"/>
  <c r="X3091" i="12"/>
  <c r="X2073" i="12"/>
  <c r="X1573" i="12"/>
  <c r="X3542" i="12"/>
  <c r="X830" i="12"/>
  <c r="X2675" i="12"/>
  <c r="X1182" i="12"/>
  <c r="X1987" i="12"/>
  <c r="X1934" i="12"/>
  <c r="X812" i="12"/>
  <c r="X2195" i="12"/>
  <c r="X67" i="12"/>
  <c r="X294" i="12"/>
  <c r="X2467" i="12"/>
  <c r="X198" i="12"/>
  <c r="X3511" i="12"/>
  <c r="X1375" i="12"/>
  <c r="X1357" i="12"/>
  <c r="X104" i="12"/>
  <c r="X1272" i="12"/>
  <c r="X3506" i="12"/>
  <c r="X1435" i="12"/>
  <c r="X1190" i="12"/>
  <c r="X1579" i="12"/>
  <c r="X1093" i="12"/>
  <c r="X2012" i="12"/>
  <c r="X1839" i="12"/>
  <c r="X2112" i="12"/>
  <c r="X3492" i="12"/>
  <c r="X2976" i="12"/>
  <c r="X2589" i="12"/>
  <c r="X3398" i="12"/>
  <c r="X2990" i="12"/>
  <c r="X2402" i="12"/>
  <c r="X705" i="12"/>
  <c r="X510" i="12"/>
  <c r="X3400" i="12"/>
  <c r="X815" i="12"/>
  <c r="X1994" i="12"/>
  <c r="X1164" i="12"/>
  <c r="X1601" i="12"/>
  <c r="X3189" i="12"/>
  <c r="X2829" i="12"/>
  <c r="X256" i="12"/>
  <c r="X2772" i="12"/>
  <c r="X780" i="12"/>
  <c r="X3450" i="12"/>
  <c r="X628" i="12"/>
  <c r="X2317" i="12"/>
  <c r="X1290" i="12"/>
  <c r="X2637" i="12"/>
  <c r="X3226" i="12"/>
  <c r="X2624" i="12"/>
  <c r="X2365" i="12"/>
  <c r="X1583" i="12"/>
  <c r="X2161" i="12"/>
  <c r="X1426" i="12"/>
  <c r="X2833" i="12"/>
  <c r="X2290" i="12"/>
  <c r="X460" i="12"/>
  <c r="X3025" i="12"/>
  <c r="X1716" i="12"/>
  <c r="X1269" i="12"/>
  <c r="X1105" i="12"/>
  <c r="X1713" i="12"/>
  <c r="X749" i="12"/>
  <c r="X3208" i="12"/>
  <c r="X387" i="12"/>
  <c r="X1925" i="12"/>
  <c r="X952" i="12"/>
  <c r="X1407" i="12"/>
  <c r="X340" i="12"/>
  <c r="X1381" i="12"/>
  <c r="X1012" i="12"/>
  <c r="X2205" i="12"/>
  <c r="X733" i="12"/>
  <c r="X3351" i="12"/>
  <c r="X2144" i="12"/>
  <c r="X1286" i="12"/>
  <c r="X1904" i="12"/>
  <c r="X2685" i="12"/>
  <c r="X981" i="12"/>
  <c r="X1446" i="12"/>
  <c r="X560" i="12"/>
  <c r="X2198" i="12"/>
  <c r="X2535" i="12"/>
  <c r="X411" i="12"/>
  <c r="X105" i="12"/>
  <c r="X727" i="12"/>
  <c r="X1349" i="12"/>
  <c r="X2489" i="12"/>
  <c r="X511" i="12"/>
  <c r="X248" i="12"/>
  <c r="X2940" i="12"/>
  <c r="X3089" i="12"/>
  <c r="X2358" i="12"/>
  <c r="X803" i="12"/>
  <c r="X721" i="12"/>
  <c r="X1653" i="12"/>
  <c r="X2776" i="12"/>
  <c r="X1254" i="12"/>
  <c r="X132" i="12"/>
  <c r="X2025" i="12"/>
  <c r="X1722" i="12"/>
  <c r="X1130" i="12"/>
  <c r="X2994" i="12"/>
  <c r="X1086" i="12"/>
  <c r="X415" i="12"/>
  <c r="X487" i="12"/>
  <c r="X109" i="12"/>
  <c r="X1677" i="12"/>
  <c r="X1167" i="12"/>
  <c r="X118" i="12"/>
  <c r="X430" i="12"/>
  <c r="X391" i="12"/>
  <c r="X1741" i="12"/>
  <c r="X2763" i="12"/>
  <c r="X990" i="12"/>
  <c r="X947" i="12"/>
  <c r="X2571" i="12"/>
  <c r="X675" i="12"/>
  <c r="X2202" i="12"/>
  <c r="X1176" i="12"/>
  <c r="X926" i="12"/>
  <c r="X1803" i="12"/>
  <c r="X2912" i="12"/>
  <c r="X3113" i="12"/>
  <c r="X638" i="12"/>
  <c r="X3162" i="12"/>
  <c r="X798" i="12"/>
  <c r="X2923" i="12"/>
  <c r="X735" i="12"/>
  <c r="X829" i="12"/>
  <c r="X1495" i="12"/>
  <c r="X2857" i="12"/>
  <c r="X3295" i="12"/>
  <c r="X622" i="12"/>
  <c r="X844" i="12"/>
  <c r="X2213" i="12"/>
  <c r="X3021" i="12"/>
  <c r="X752" i="12"/>
  <c r="X1818" i="12"/>
  <c r="X991" i="12"/>
  <c r="X2184" i="12"/>
  <c r="X2401" i="12"/>
  <c r="X858" i="12"/>
  <c r="X781" i="12"/>
  <c r="X2681" i="12"/>
  <c r="X74" i="12"/>
  <c r="X2166" i="12"/>
  <c r="X1828" i="12"/>
  <c r="X2931" i="12"/>
  <c r="X2146" i="12"/>
  <c r="X3383" i="12"/>
  <c r="X892" i="12"/>
  <c r="X473" i="12"/>
  <c r="X3338" i="12"/>
  <c r="X1860" i="12"/>
  <c r="X1340" i="12"/>
  <c r="X2790" i="12"/>
  <c r="X2823" i="12"/>
  <c r="X3062" i="12"/>
  <c r="X2998" i="12"/>
  <c r="X716" i="12"/>
  <c r="X384" i="12"/>
  <c r="X1939" i="12"/>
  <c r="X3297" i="12"/>
  <c r="X2728" i="12"/>
  <c r="X3070" i="12"/>
  <c r="X436" i="12"/>
  <c r="X854" i="12"/>
  <c r="X1088" i="12"/>
  <c r="X363" i="12"/>
  <c r="X2791" i="12"/>
  <c r="X2659" i="12"/>
  <c r="X2903" i="12"/>
  <c r="X2257" i="12"/>
  <c r="X3109" i="12"/>
  <c r="X2388" i="12"/>
  <c r="X1472" i="12"/>
  <c r="X2952" i="12"/>
  <c r="X3346" i="12"/>
  <c r="X1080" i="12"/>
  <c r="X1397" i="12"/>
  <c r="X2278" i="12"/>
  <c r="X1266" i="12"/>
  <c r="X1323" i="12"/>
  <c r="X355" i="12"/>
  <c r="X258" i="12"/>
  <c r="X855" i="12"/>
  <c r="X514" i="12"/>
  <c r="X2864" i="12"/>
  <c r="X1026" i="12"/>
  <c r="X137" i="12"/>
  <c r="X2687" i="12"/>
  <c r="X795" i="12"/>
  <c r="X1838" i="12"/>
  <c r="X99" i="12"/>
  <c r="X2426" i="12"/>
  <c r="X1616" i="12"/>
  <c r="X2719" i="12"/>
  <c r="X3408" i="12"/>
  <c r="X1895" i="12"/>
  <c r="X912" i="12"/>
  <c r="X2337" i="12"/>
  <c r="X3122" i="12"/>
  <c r="X3188" i="12"/>
  <c r="X1679" i="12"/>
  <c r="X3191" i="12"/>
  <c r="X3412" i="12"/>
  <c r="X2056" i="12"/>
  <c r="X1589" i="12"/>
  <c r="X2150" i="12"/>
  <c r="X2803" i="12"/>
  <c r="X2616" i="12"/>
  <c r="X1246" i="12"/>
  <c r="X78" i="12"/>
  <c r="X977" i="12"/>
  <c r="X3464" i="12"/>
  <c r="X1051" i="12"/>
  <c r="X1208" i="12"/>
  <c r="X1159" i="12"/>
  <c r="X1902" i="12"/>
  <c r="X1836" i="12"/>
  <c r="X2226" i="12"/>
  <c r="X921" i="12"/>
  <c r="X2671" i="12"/>
  <c r="X1826" i="12"/>
  <c r="X2887" i="12"/>
  <c r="X3290" i="12"/>
  <c r="X2522" i="12"/>
  <c r="X1933" i="12"/>
  <c r="X2106" i="12"/>
  <c r="X367" i="12"/>
  <c r="X521" i="12"/>
  <c r="X2838" i="12"/>
  <c r="X2352" i="12"/>
  <c r="X2836" i="12"/>
  <c r="X3513" i="12"/>
  <c r="X3307" i="12"/>
  <c r="X1979" i="12"/>
  <c r="X208" i="12"/>
  <c r="X2346" i="12"/>
  <c r="X498" i="12"/>
  <c r="X2871" i="12"/>
  <c r="X920" i="12"/>
  <c r="X1590" i="12"/>
  <c r="X2313" i="12"/>
  <c r="X748" i="12"/>
  <c r="X478" i="12"/>
  <c r="X113" i="12"/>
  <c r="X547" i="12"/>
  <c r="X3138" i="12"/>
  <c r="X629" i="12"/>
  <c r="X1753" i="12"/>
  <c r="X851" i="12"/>
  <c r="X2565" i="12"/>
  <c r="X2588" i="12"/>
  <c r="X3151" i="12"/>
  <c r="X3454" i="12"/>
  <c r="X3023" i="12"/>
  <c r="X2696" i="12"/>
  <c r="X1854" i="12"/>
  <c r="X2826" i="12"/>
  <c r="X3269" i="12"/>
  <c r="X861" i="12"/>
  <c r="X249" i="12"/>
  <c r="X2345" i="12"/>
  <c r="X1873" i="12"/>
  <c r="X1952" i="12"/>
  <c r="X1796" i="12"/>
  <c r="X2490" i="12"/>
  <c r="X479" i="12"/>
  <c r="X1027" i="12"/>
  <c r="X331" i="12"/>
  <c r="X1237" i="12"/>
  <c r="X1445" i="12"/>
  <c r="X1197" i="12"/>
  <c r="X712" i="12"/>
  <c r="X3193" i="12"/>
  <c r="X235" i="12"/>
  <c r="X1851" i="12"/>
  <c r="X1420" i="12"/>
  <c r="X1517" i="12"/>
  <c r="X1288" i="12"/>
  <c r="X2991" i="12"/>
  <c r="X2385" i="12"/>
  <c r="X3552" i="12"/>
  <c r="X3375" i="12"/>
  <c r="X1356" i="12"/>
  <c r="X2662" i="12"/>
  <c r="X3076" i="12"/>
  <c r="X483" i="12"/>
  <c r="X3018" i="12"/>
  <c r="X1566" i="12"/>
  <c r="X3028" i="12"/>
  <c r="X3328" i="12"/>
  <c r="X2232" i="12"/>
  <c r="X37" i="12"/>
  <c r="X715" i="12"/>
  <c r="X1972" i="12"/>
  <c r="X2585" i="12"/>
  <c r="X2265" i="12"/>
  <c r="X959" i="12"/>
  <c r="X24" i="12"/>
  <c r="X1649" i="12"/>
  <c r="X2008" i="12"/>
  <c r="X1907" i="12"/>
  <c r="X3015" i="12"/>
  <c r="X3136" i="12"/>
  <c r="X834" i="12"/>
  <c r="X2015" i="12"/>
  <c r="X3284" i="12"/>
  <c r="X2534" i="12"/>
  <c r="X3510" i="12"/>
  <c r="X3327" i="12"/>
  <c r="X3187" i="12"/>
  <c r="X740" i="12"/>
  <c r="X2212" i="12"/>
  <c r="X2754" i="12"/>
  <c r="X1259" i="12"/>
  <c r="X2084" i="12"/>
  <c r="X806" i="12"/>
  <c r="X2758" i="12"/>
  <c r="X1490" i="12"/>
  <c r="X2495" i="12"/>
  <c r="X2785" i="12"/>
  <c r="X3480" i="12"/>
  <c r="X2786" i="12"/>
  <c r="X1188" i="12"/>
  <c r="X3253" i="12"/>
  <c r="X2393" i="12"/>
  <c r="X438" i="12"/>
  <c r="X550" i="12"/>
  <c r="X962" i="12"/>
  <c r="X3382" i="12"/>
  <c r="X278" i="12"/>
  <c r="X1845" i="12"/>
  <c r="X2312" i="12"/>
  <c r="X2795" i="12"/>
  <c r="X3287" i="12"/>
  <c r="X3315" i="12"/>
  <c r="X2513" i="12"/>
  <c r="X3140" i="12"/>
  <c r="X3144" i="12"/>
  <c r="X1632" i="12"/>
  <c r="X1681" i="12"/>
  <c r="X791" i="12"/>
  <c r="X2808" i="12"/>
  <c r="X1924" i="12"/>
  <c r="X1172" i="12"/>
  <c r="X1256" i="12"/>
  <c r="X1318" i="12"/>
  <c r="X2325" i="12"/>
  <c r="X2299" i="12"/>
  <c r="X2556" i="12"/>
  <c r="X2203" i="12"/>
  <c r="X3071" i="12"/>
  <c r="X2335" i="12"/>
  <c r="X2455" i="12"/>
  <c r="X3212" i="12"/>
  <c r="X2353" i="12"/>
  <c r="X2947" i="12"/>
  <c r="X3312" i="12"/>
  <c r="X1887" i="12"/>
  <c r="X3396" i="12"/>
  <c r="X2546" i="12"/>
  <c r="X123" i="12"/>
  <c r="X1585" i="12"/>
  <c r="X2472" i="12"/>
  <c r="X2765" i="12"/>
  <c r="X862" i="12"/>
  <c r="X1900" i="12"/>
  <c r="X1606" i="12"/>
  <c r="X2962" i="12"/>
  <c r="X3260" i="12"/>
  <c r="X455" i="12"/>
  <c r="X177" i="12"/>
  <c r="X3050" i="12"/>
  <c r="X1645" i="12"/>
  <c r="X2228" i="12"/>
  <c r="X3319" i="12"/>
  <c r="X1195" i="12"/>
  <c r="X1921" i="12"/>
  <c r="X954" i="12"/>
  <c r="X3417" i="12"/>
  <c r="X924" i="12"/>
  <c r="X1602" i="12"/>
  <c r="X3029" i="12"/>
  <c r="X219" i="12"/>
  <c r="X2154" i="12"/>
  <c r="X117" i="12"/>
  <c r="X2491" i="12"/>
  <c r="X3097" i="12"/>
  <c r="X1036" i="12"/>
  <c r="X354" i="12"/>
  <c r="X214" i="12"/>
  <c r="X164" i="12"/>
  <c r="X2927" i="12"/>
  <c r="X2032" i="12"/>
  <c r="X2394" i="12"/>
  <c r="X833" i="12"/>
  <c r="X619" i="12"/>
  <c r="X1282" i="12"/>
  <c r="X1474" i="12"/>
  <c r="X3052" i="12"/>
  <c r="X2906" i="12"/>
  <c r="X1684" i="12"/>
  <c r="X1094" i="12"/>
  <c r="X783" i="12"/>
  <c r="X3134" i="12"/>
  <c r="X234" i="12"/>
  <c r="X1721" i="12"/>
  <c r="X1129" i="12"/>
  <c r="X1493" i="12"/>
  <c r="X558" i="12"/>
  <c r="X2828" i="12"/>
  <c r="X3543" i="12"/>
  <c r="X2075" i="12"/>
  <c r="X1204" i="12"/>
  <c r="X857" i="12"/>
  <c r="X3431" i="12"/>
  <c r="X1692" i="12"/>
  <c r="X3150" i="12"/>
  <c r="X3001" i="12"/>
  <c r="X2633" i="12"/>
  <c r="X3003" i="12"/>
  <c r="X2716" i="12"/>
  <c r="X3371" i="12"/>
  <c r="X677" i="12"/>
  <c r="X1400" i="12"/>
  <c r="X2238" i="12"/>
  <c r="X224" i="12"/>
  <c r="X875" i="12"/>
  <c r="X1534" i="12"/>
  <c r="X1234" i="12"/>
  <c r="X707" i="12"/>
  <c r="X169" i="12"/>
  <c r="X3034" i="12"/>
  <c r="X3080" i="12"/>
  <c r="X2134" i="12"/>
  <c r="L26" i="12"/>
  <c r="L24" i="12"/>
  <c r="L36" i="12"/>
  <c r="L34" i="12"/>
  <c r="L23" i="12"/>
  <c r="L19" i="12"/>
  <c r="L32" i="12"/>
  <c r="L31" i="12"/>
  <c r="L25" i="12"/>
  <c r="L20" i="12"/>
  <c r="L33" i="12"/>
  <c r="L28" i="12"/>
  <c r="L22" i="12"/>
  <c r="L21" i="12"/>
  <c r="L35" i="12"/>
  <c r="L30" i="12"/>
  <c r="L29" i="12"/>
  <c r="L27" i="12"/>
  <c r="L62" i="12"/>
  <c r="L51" i="12"/>
  <c r="L43" i="12"/>
  <c r="L54" i="12"/>
  <c r="L49" i="12"/>
  <c r="L44" i="12"/>
  <c r="L60" i="12"/>
  <c r="L67" i="12"/>
  <c r="L39" i="12"/>
  <c r="L53" i="12"/>
  <c r="L70" i="12"/>
  <c r="L55" i="12"/>
  <c r="L52" i="12"/>
  <c r="L56" i="12"/>
  <c r="L50" i="12"/>
  <c r="L47" i="12"/>
  <c r="L40" i="12"/>
  <c r="L68" i="12"/>
  <c r="L66" i="12"/>
  <c r="L72" i="12"/>
  <c r="L48" i="12"/>
  <c r="L69" i="12"/>
  <c r="L63" i="12"/>
  <c r="L58" i="12"/>
  <c r="L71" i="12"/>
  <c r="L73" i="12"/>
  <c r="L41" i="12"/>
  <c r="L46" i="12"/>
  <c r="L61" i="12"/>
  <c r="L57" i="12"/>
  <c r="L59" i="12"/>
  <c r="L64" i="12"/>
  <c r="L45" i="12"/>
  <c r="L75" i="12"/>
  <c r="L42" i="12"/>
  <c r="L65" i="12"/>
  <c r="L74" i="12"/>
  <c r="D29" i="6"/>
  <c r="M31" i="12"/>
  <c r="P31" i="12" s="1"/>
  <c r="Q31" i="12" s="1"/>
  <c r="N31" i="12"/>
  <c r="N30" i="12"/>
  <c r="M30" i="12"/>
  <c r="P30" i="12" s="1"/>
  <c r="Q30" i="12" s="1"/>
  <c r="M44" i="12"/>
  <c r="N44" i="12"/>
  <c r="N56" i="12"/>
  <c r="M56" i="12"/>
  <c r="N69" i="12"/>
  <c r="M69" i="12"/>
  <c r="M57" i="12"/>
  <c r="N57" i="12"/>
  <c r="M26" i="12"/>
  <c r="P26" i="12" s="1"/>
  <c r="Q26" i="12" s="1"/>
  <c r="N26" i="12"/>
  <c r="N25" i="12"/>
  <c r="M25" i="12"/>
  <c r="P25" i="12" s="1"/>
  <c r="Q25" i="12" s="1"/>
  <c r="M29" i="12"/>
  <c r="P29" i="12" s="1"/>
  <c r="Q29" i="12" s="1"/>
  <c r="N29" i="12"/>
  <c r="M60" i="12"/>
  <c r="N60" i="12"/>
  <c r="N50" i="12"/>
  <c r="M50" i="12"/>
  <c r="M63" i="12"/>
  <c r="N63" i="12"/>
  <c r="N59" i="12"/>
  <c r="M59" i="12"/>
  <c r="M22" i="12"/>
  <c r="P22" i="12" s="1"/>
  <c r="Q22" i="12" s="1"/>
  <c r="N22" i="12"/>
  <c r="M70" i="12"/>
  <c r="N70" i="12"/>
  <c r="N42" i="12"/>
  <c r="M42" i="12"/>
  <c r="N55" i="12"/>
  <c r="M55" i="12"/>
  <c r="N72" i="12"/>
  <c r="M72" i="12"/>
  <c r="M36" i="12"/>
  <c r="P36" i="12" s="1"/>
  <c r="Q36" i="12" s="1"/>
  <c r="N36" i="12"/>
  <c r="M33" i="12"/>
  <c r="P33" i="12" s="1"/>
  <c r="Q33" i="12" s="1"/>
  <c r="N33" i="12"/>
  <c r="N62" i="12"/>
  <c r="M62" i="12"/>
  <c r="M39" i="12"/>
  <c r="N39" i="12"/>
  <c r="M40" i="12"/>
  <c r="N40" i="12"/>
  <c r="M71" i="12"/>
  <c r="N71" i="12"/>
  <c r="N45" i="12"/>
  <c r="M45" i="12"/>
  <c r="M43" i="12"/>
  <c r="N43" i="12"/>
  <c r="M66" i="12"/>
  <c r="N66" i="12"/>
  <c r="N19" i="12"/>
  <c r="M19" i="12"/>
  <c r="P19" i="12" s="1"/>
  <c r="Q19" i="12" s="1"/>
  <c r="N21" i="12"/>
  <c r="M21" i="12"/>
  <c r="P21" i="12" s="1"/>
  <c r="Q21" i="12" s="1"/>
  <c r="N23" i="12"/>
  <c r="M23" i="12"/>
  <c r="P23" i="12" s="1"/>
  <c r="Q23" i="12" s="1"/>
  <c r="M54" i="12"/>
  <c r="N54" i="12"/>
  <c r="N46" i="12"/>
  <c r="M46" i="12"/>
  <c r="N65" i="12"/>
  <c r="M65" i="12"/>
  <c r="N32" i="12"/>
  <c r="M32" i="12"/>
  <c r="P32" i="12" s="1"/>
  <c r="Q32" i="12" s="1"/>
  <c r="M35" i="12"/>
  <c r="P35" i="12" s="1"/>
  <c r="Q35" i="12" s="1"/>
  <c r="N35" i="12"/>
  <c r="M49" i="12"/>
  <c r="N49" i="12"/>
  <c r="N52" i="12"/>
  <c r="M52" i="12"/>
  <c r="M48" i="12"/>
  <c r="N48" i="12"/>
  <c r="M61" i="12"/>
  <c r="N61" i="12"/>
  <c r="N74" i="12"/>
  <c r="M74" i="12"/>
  <c r="M24" i="12"/>
  <c r="P24" i="12" s="1"/>
  <c r="Q24" i="12" s="1"/>
  <c r="N24" i="12"/>
  <c r="N20" i="12"/>
  <c r="M20" i="12"/>
  <c r="P20" i="12" s="1"/>
  <c r="Q20" i="12" s="1"/>
  <c r="N27" i="12"/>
  <c r="M27" i="12"/>
  <c r="P27" i="12" s="1"/>
  <c r="Q27" i="12" s="1"/>
  <c r="N67" i="12"/>
  <c r="M67" i="12"/>
  <c r="N47" i="12"/>
  <c r="M47" i="12"/>
  <c r="M58" i="12"/>
  <c r="N58" i="12"/>
  <c r="N64" i="12"/>
  <c r="M64" i="12"/>
  <c r="M34" i="12"/>
  <c r="P34" i="12" s="1"/>
  <c r="Q34" i="12" s="1"/>
  <c r="N34" i="12"/>
  <c r="N28" i="12"/>
  <c r="M28" i="12"/>
  <c r="P28" i="12" s="1"/>
  <c r="Q28" i="12" s="1"/>
  <c r="M51" i="12"/>
  <c r="N51" i="12"/>
  <c r="N53" i="12"/>
  <c r="M53" i="12"/>
  <c r="M68" i="12"/>
  <c r="N68" i="12"/>
  <c r="M73" i="12"/>
  <c r="N73" i="12"/>
  <c r="M75" i="12"/>
  <c r="N75" i="12"/>
  <c r="N41" i="12"/>
  <c r="M41" i="12"/>
  <c r="R41" i="12" l="1"/>
  <c r="R75" i="12"/>
  <c r="R73" i="12"/>
  <c r="R68" i="12"/>
  <c r="R53" i="12"/>
  <c r="R51" i="12"/>
  <c r="R28" i="12"/>
  <c r="R34" i="12"/>
  <c r="R64" i="12"/>
  <c r="R58" i="12"/>
  <c r="R47" i="12"/>
  <c r="R67" i="12"/>
  <c r="R27" i="12"/>
  <c r="R20" i="12"/>
  <c r="R24" i="12"/>
  <c r="R74" i="12"/>
  <c r="R61" i="12"/>
  <c r="R48" i="12"/>
  <c r="R52" i="12"/>
  <c r="R49" i="12"/>
  <c r="R35" i="12"/>
  <c r="R32" i="12"/>
  <c r="R65" i="12"/>
  <c r="R46" i="12"/>
  <c r="R54" i="12"/>
  <c r="R23" i="12"/>
  <c r="R21" i="12"/>
  <c r="R19" i="12"/>
  <c r="R66" i="12"/>
  <c r="R43" i="12"/>
  <c r="R45" i="12"/>
  <c r="R71" i="12"/>
  <c r="R40" i="12"/>
  <c r="R39" i="12"/>
  <c r="R62" i="12"/>
  <c r="R33" i="12"/>
  <c r="R36" i="12"/>
  <c r="R72" i="12"/>
  <c r="R55" i="12"/>
  <c r="R42" i="12"/>
  <c r="R70" i="12"/>
  <c r="R22" i="12"/>
  <c r="R59" i="12"/>
  <c r="R63" i="12"/>
  <c r="R50" i="12"/>
  <c r="R60" i="12"/>
  <c r="R29" i="12"/>
  <c r="R25" i="12"/>
  <c r="R26" i="12"/>
  <c r="R57" i="12"/>
  <c r="R69" i="12"/>
  <c r="R56" i="12"/>
  <c r="R44" i="12"/>
  <c r="R30" i="12"/>
  <c r="R31" i="12"/>
  <c r="S44" i="12" l="1" a="1"/>
  <c r="S44" i="12" s="1"/>
  <c r="S19" i="12" a="1"/>
  <c r="S19" i="12" s="1"/>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<sst xmlns="http://schemas.openxmlformats.org/spreadsheetml/2006/main" count="445" uniqueCount="182">
  <si>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</si>
  <si>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</si>
  <si>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</si>
  <si>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</si>
  <si>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</si>
  <si>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</si>
  <si>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</si>
  <si>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</si>
  <si>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</si>
  <si>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</si>
  <si>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</si>
  <si>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</si>
  <si>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</si>
  <si>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</si>
  <si>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</si>
  <si>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</si>
  <si>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</si>
  <si>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</si>
  <si>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</si>
  <si>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</si>
  <si>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</si>
  <si>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</si>
  <si>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</si>
  <si>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</si>
  <si>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</si>
  <si>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</si>
  <si>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</si>
  <si>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</si>
  <si>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</si>
  <si>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</si>
  <si>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</si>
  <si>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</si>
  <si>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</si>
  <si>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</si>
  <si>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</si>
  <si>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</si>
  <si>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</si>
  <si>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</si>
  <si>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</si>
  <si>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</si>
  <si>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</si>
  <si>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</si>
  <si>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</si>
  <si>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</si>
  <si>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</si>
  <si>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</si>
  <si>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</si>
  <si>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</si>
  <si>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</si>
  <si>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</si>
  <si>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</si>
  <si>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</si>
  <si>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</si>
  <si>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</si>
  <si>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</si>
  <si>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</si>
  <si>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</si>
  <si>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</si>
  <si>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</si>
  <si>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</si>
  <si>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</si>
  <si>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</si>
  <si>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</si>
  <si>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</si>
  <si>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</si>
  <si>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</si>
  <si>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</si>
  <si>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</si>
  <si>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</si>
  <si>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</si>
  <si>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</si>
  <si>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</si>
  <si>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</si>
  <si>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</si>
  <si>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</si>
  <si>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</si>
  <si>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</si>
  <si>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</si>
  <si>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</si>
  <si>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</si>
  <si>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</si>
  <si>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</si>
  <si>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</si>
  <si>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</si>
  <si>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</si>
  <si>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</si>
  <si>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</si>
  <si>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</si>
  <si>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</si>
  <si>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</si>
  <si>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</si>
  <si>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</si>
  <si>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</si>
  <si>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</si>
  <si>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</si>
  <si>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</si>
  <si>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</si>
  <si>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</si>
  <si>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</si>
  <si>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</si>
  <si>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</si>
  <si>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</si>
  <si>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</si>
  <si>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</si>
  <si>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</si>
  <si>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</si>
  <si>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</si>
  <si>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</si>
  <si>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</si>
  <si>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</si>
  <si>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</si>
  <si>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</si>
  <si>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</si>
  <si>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</si>
  <si>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</si>
  <si>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</si>
  <si>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</si>
  <si>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</si>
  <si>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</si>
  <si>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</si>
  <si>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</si>
  <si>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</si>
  <si>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</si>
  <si>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</si>
  <si>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</si>
  <si>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</si>
  <si>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</si>
  <si>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</si>
  <si>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</si>
  <si>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</si>
  <si>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</si>
  <si>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</si>
  <si>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</si>
  <si>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</si>
  <si>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</si>
  <si>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</si>
  <si>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</si>
  <si>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</si>
  <si>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</si>
  <si>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</si>
  <si>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</si>
  <si>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</si>
  <si>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</si>
  <si>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</si>
  <si>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</si>
  <si>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</si>
  <si>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</si>
  <si>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</si>
  <si>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</si>
  <si>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</si>
  <si>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</si>
  <si>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</si>
  <si>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</si>
  <si>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</si>
  <si>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</si>
  <si>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</si>
  <si>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</si>
  <si>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</si>
  <si>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</si>
  <si>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</si>
  <si>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</si>
  <si>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</si>
  <si>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</si>
  <si>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</si>
  <si>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</si>
  <si>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</si>
  <si>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</si>
  <si>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</si>
  <si>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</si>
  <si>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</si>
  <si>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</si>
  <si>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</si>
  <si>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</si>
  <si>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</si>
  <si>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</si>
  <si>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</si>
  <si>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</si>
  <si>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</si>
  <si>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</si>
  <si>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</si>
  <si>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</si>
  <si>
    <t>Repriced 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</si>
</sst>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93">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179"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0" xfId="1" applyFont="1" applyFill="1" applyBorder="1" applyAlignment="1">
      <alignment horizontal="center"/>
    </xf>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10" fontId="6" fillId="11" borderId="30" xfId="1" applyNumberFormat="1" applyFont="1" applyFill="1" applyBorder="1"/>
    <xf numFmtId="10" fontId="6" fillId="11" borderId="42" xfId="1" applyNumberFormat="1" applyFont="1" applyFill="1" applyBorder="1"/>
    <xf numFmtId="0" fontId="8" fillId="12" borderId="33" xfId="1" applyFont="1" applyFill="1" applyBorder="1" applyAlignment="1">
      <alignment horizontal="center"/>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8" fillId="13" borderId="39" xfId="1" applyFont="1" applyFill="1" applyBorder="1" applyAlignment="1">
      <alignment horizontal="centerContinuous"/>
    </xf>
    <xf numFmtId="0" fontId="8" fillId="12" borderId="39" xfId="1" applyFont="1" applyFill="1" applyBorder="1" applyAlignment="1">
      <alignment horizontal="center"/>
    </xf>
    <xf numFmtId="0" fontId="6" fillId="0" borderId="40" xfId="1" applyFont="1" applyBorder="1" applyAlignment="1">
      <alignment horizontal="center"/>
    </xf>
    <xf numFmtId="165" fontId="6" fillId="0" borderId="0" xfId="1" applyNumberFormat="1" applyFont="1" applyBorder="1"/>
    <xf numFmtId="165" fontId="25" fillId="0" borderId="17" xfId="2" applyNumberFormat="1" applyFont="1" applyBorder="1"/>
    <xf numFmtId="0" fontId="6" fillId="11" borderId="44" xfId="1" applyFont="1" applyFill="1" applyBorder="1"/>
    <xf numFmtId="10" fontId="6" fillId="11" borderId="44" xfId="1" applyNumberFormat="1" applyFont="1" applyFill="1" applyBorder="1"/>
    <xf numFmtId="10" fontId="6" fillId="11" borderId="45" xfId="1" applyNumberFormat="1" applyFont="1" applyFill="1" applyBorder="1"/>
    <xf numFmtId="0" fontId="6" fillId="11" borderId="44" xfId="1" applyNumberFormat="1" applyFont="1" applyFill="1" applyBorder="1"/>
    <xf numFmtId="178" fontId="6" fillId="11" borderId="44" xfId="1" applyNumberFormat="1" applyFont="1" applyFill="1" applyBorder="1"/>
    <xf numFmtId="0" fontId="6" fillId="11" borderId="30" xfId="1" applyNumberFormat="1" applyFont="1" applyFill="1" applyBorder="1"/>
    <xf numFmtId="9" fontId="6" fillId="11" borderId="30" xfId="1" applyNumberFormat="1" applyFont="1" applyFill="1" applyBorder="1"/>
    <xf numFmtId="0" fontId="23" fillId="11" borderId="30" xfId="0" applyFont="1" applyFill="1" applyBorder="1"/>
    <xf numFmtId="0" fontId="8" fillId="13" borderId="36" xfId="1" applyFont="1" applyFill="1" applyBorder="1" applyAlignment="1">
      <alignment horizontal="centerContinuous"/>
    </xf>
    <xf numFmtId="0" fontId="8" fillId="12" borderId="17" xfId="1" applyFont="1" applyFill="1" applyBorder="1" applyAlignment="1">
      <alignment horizontal="center"/>
    </xf>
    <xf numFmtId="0" fontId="6" fillId="14" borderId="44" xfId="1" applyFont="1" applyFill="1" applyBorder="1"/>
    <xf numFmtId="169" fontId="6" fillId="14" borderId="44" xfId="1" applyNumberFormat="1" applyFont="1" applyFill="1" applyBorder="1"/>
    <xf numFmtId="0" fontId="6" fillId="14" borderId="30" xfId="1" applyFont="1" applyFill="1" applyBorder="1"/>
    <xf numFmtId="169" fontId="6" fillId="14" borderId="30" xfId="1" applyNumberFormat="1" applyFont="1" applyFill="1" applyBorder="1"/>
    <xf numFmtId="0" fontId="6" fillId="14" borderId="43" xfId="1" applyFont="1" applyFill="1" applyBorder="1" applyAlignment="1">
      <alignment vertical="center"/>
    </xf>
    <xf numFmtId="0" fontId="6" fillId="14" borderId="41" xfId="1" applyFont="1" applyFill="1" applyBorder="1" applyAlignment="1">
      <alignment vertical="center"/>
    </xf>
    <xf numFmtId="0" fontId="6" fillId="14" borderId="41" xfId="1" applyFont="1" applyFill="1" applyBorder="1" applyAlignment="1">
      <alignment horizontal="center" vertical="center"/>
    </xf>
    <xf numFmtId="165" fontId="6" fillId="0" borderId="7" xfId="2" quotePrefix="1" applyNumberFormat="1" applyFont="1" applyBorder="1" applyAlignment="1"/>
    <xf numFmtId="10" fontId="6" fillId="0" borderId="38" xfId="1" applyNumberFormat="1" applyFont="1" applyBorder="1" applyAlignment="1"/>
    <xf numFmtId="10" fontId="6" fillId="0" borderId="16" xfId="1" applyNumberFormat="1" applyFont="1" applyBorder="1"/>
    <xf numFmtId="10" fontId="6" fillId="0" borderId="13" xfId="1" applyNumberFormat="1" applyFont="1" applyBorder="1"/>
    <xf numFmtId="10" fontId="27" fillId="0" borderId="0" xfId="1" applyNumberFormat="1" applyFont="1"/>
    <xf numFmtId="0" fontId="6" fillId="14" borderId="46" xfId="1" applyFont="1" applyFill="1" applyBorder="1" applyAlignment="1">
      <alignment vertical="center"/>
    </xf>
    <xf numFmtId="0" fontId="6" fillId="14" borderId="47" xfId="1" applyFont="1" applyFill="1" applyBorder="1"/>
    <xf numFmtId="169" fontId="6" fillId="14" borderId="47" xfId="1" applyNumberFormat="1" applyFont="1" applyFill="1" applyBorder="1"/>
    <xf numFmtId="0" fontId="6" fillId="11" borderId="47" xfId="1" applyFont="1" applyFill="1" applyBorder="1"/>
    <xf numFmtId="0" fontId="23" fillId="11" borderId="47" xfId="0" applyFont="1" applyFill="1" applyBorder="1"/>
    <xf numFmtId="9" fontId="6" fillId="11" borderId="47" xfId="1" applyNumberFormat="1" applyFont="1" applyFill="1" applyBorder="1"/>
    <xf numFmtId="10" fontId="6" fillId="11" borderId="47" xfId="1" applyNumberFormat="1" applyFont="1" applyFill="1" applyBorder="1"/>
    <xf numFmtId="10" fontId="6" fillId="11" borderId="48" xfId="1" applyNumberFormat="1" applyFont="1" applyFill="1" applyBorder="1"/>
    <xf numFmtId="9" fontId="6" fillId="11" borderId="44" xfId="1" applyNumberFormat="1" applyFont="1" applyFill="1" applyBorder="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6M Fwd</c:v>
                </c:pt>
              </c:strCache>
            </c:strRef>
          </c:tx>
          <c:marker>
            <c:symbol val="none"/>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3.8705619859355548E-3</c:v>
                </c:pt>
                <c:pt idx="1">
                  <c:v>3.8394869568649393E-3</c:v>
                </c:pt>
                <c:pt idx="2">
                  <c:v>3.8091612136604636E-3</c:v>
                </c:pt>
                <c:pt idx="3">
                  <c:v>3.7569950851027707E-3</c:v>
                </c:pt>
                <c:pt idx="4">
                  <c:v>3.6963536220402022E-3</c:v>
                </c:pt>
                <c:pt idx="5">
                  <c:v>3.6701625730812888E-3</c:v>
                </c:pt>
                <c:pt idx="6">
                  <c:v>3.6447453856327675E-3</c:v>
                </c:pt>
                <c:pt idx="7">
                  <c:v>3.6201530294515775E-3</c:v>
                </c:pt>
                <c:pt idx="8">
                  <c:v>3.5778262535366427E-3</c:v>
                </c:pt>
                <c:pt idx="9">
                  <c:v>3.5313454974151637E-3</c:v>
                </c:pt>
                <c:pt idx="10">
                  <c:v>3.5118624683282804E-3</c:v>
                </c:pt>
                <c:pt idx="11">
                  <c:v>3.4935683273607148E-3</c:v>
                </c:pt>
                <c:pt idx="12">
                  <c:v>3.4763787402085564E-3</c:v>
                </c:pt>
                <c:pt idx="13">
                  <c:v>3.4465319476029818E-3</c:v>
                </c:pt>
                <c:pt idx="14">
                  <c:v>3.4163793900479954E-3</c:v>
                </c:pt>
                <c:pt idx="15">
                  <c:v>3.4029977088671443E-3</c:v>
                </c:pt>
                <c:pt idx="16">
                  <c:v>3.3727244181081385E-3</c:v>
                </c:pt>
                <c:pt idx="17">
                  <c:v>3.3652342283169334E-3</c:v>
                </c:pt>
                <c:pt idx="18">
                  <c:v>3.357709950714638E-3</c:v>
                </c:pt>
                <c:pt idx="19">
                  <c:v>3.3290387779590877E-3</c:v>
                </c:pt>
                <c:pt idx="20">
                  <c:v>3.3174850407059206E-3</c:v>
                </c:pt>
                <c:pt idx="21">
                  <c:v>3.3097113809523451E-3</c:v>
                </c:pt>
                <c:pt idx="22">
                  <c:v>3.3000000000014199E-3</c:v>
                </c:pt>
                <c:pt idx="23">
                  <c:v>3.2921115139537957E-3</c:v>
                </c:pt>
                <c:pt idx="24">
                  <c:v>3.2693966538344115E-3</c:v>
                </c:pt>
                <c:pt idx="25">
                  <c:v>3.2627226698485156E-3</c:v>
                </c:pt>
                <c:pt idx="26">
                  <c:v>3.2564724797421742E-3</c:v>
                </c:pt>
                <c:pt idx="27">
                  <c:v>3.2565655856966395E-3</c:v>
                </c:pt>
                <c:pt idx="28">
                  <c:v>3.248343433004001E-3</c:v>
                </c:pt>
                <c:pt idx="29">
                  <c:v>3.2308014626244879E-3</c:v>
                </c:pt>
                <c:pt idx="30">
                  <c:v>3.226627857279249E-3</c:v>
                </c:pt>
                <c:pt idx="31">
                  <c:v>3.2227226568783676E-3</c:v>
                </c:pt>
                <c:pt idx="32">
                  <c:v>3.2287711569591437E-3</c:v>
                </c:pt>
                <c:pt idx="33">
                  <c:v>3.2206007386956846E-3</c:v>
                </c:pt>
                <c:pt idx="34">
                  <c:v>3.2064458439226445E-3</c:v>
                </c:pt>
                <c:pt idx="35">
                  <c:v>3.2036849452642549E-3</c:v>
                </c:pt>
                <c:pt idx="36">
                  <c:v>3.2010370774918206E-3</c:v>
                </c:pt>
                <c:pt idx="37">
                  <c:v>3.2090847819726278E-3</c:v>
                </c:pt>
                <c:pt idx="38">
                  <c:v>3.2013108756849822E-3</c:v>
                </c:pt>
                <c:pt idx="39">
                  <c:v>3.1887163607775648E-3</c:v>
                </c:pt>
                <c:pt idx="40">
                  <c:v>3.1862805753059822E-3</c:v>
                </c:pt>
                <c:pt idx="41">
                  <c:v>3.1838024541285888E-3</c:v>
                </c:pt>
                <c:pt idx="42">
                  <c:v>3.1764839953347013E-3</c:v>
                </c:pt>
                <c:pt idx="43">
                  <c:v>3.1829017934289889E-3</c:v>
                </c:pt>
                <c:pt idx="44">
                  <c:v>3.170000000000262E-3</c:v>
                </c:pt>
                <c:pt idx="45">
                  <c:v>3.1668070170587375E-3</c:v>
                </c:pt>
                <c:pt idx="46">
                  <c:v>3.1634477667117165E-3</c:v>
                </c:pt>
                <c:pt idx="47">
                  <c:v>3.164708510551248E-3</c:v>
                </c:pt>
                <c:pt idx="48">
                  <c:v>3.1585468522724084E-3</c:v>
                </c:pt>
                <c:pt idx="49">
                  <c:v>3.1444807251157021E-3</c:v>
                </c:pt>
                <c:pt idx="50">
                  <c:v>3.1403178025368743E-3</c:v>
                </c:pt>
                <c:pt idx="51">
                  <c:v>3.1360532562116714E-3</c:v>
                </c:pt>
                <c:pt idx="52">
                  <c:v>3.1334296908998882E-3</c:v>
                </c:pt>
                <c:pt idx="53">
                  <c:v>3.1280527852849977E-3</c:v>
                </c:pt>
                <c:pt idx="54">
                  <c:v>3.1135293768804464E-3</c:v>
                </c:pt>
                <c:pt idx="55">
                  <c:v>3.1088490121303335E-3</c:v>
                </c:pt>
                <c:pt idx="56">
                  <c:v>3.1041316642640864E-3</c:v>
                </c:pt>
                <c:pt idx="57">
                  <c:v>3.0993162874382741E-3</c:v>
                </c:pt>
                <c:pt idx="58">
                  <c:v>3.0945575202922294E-3</c:v>
                </c:pt>
                <c:pt idx="59">
                  <c:v>3.0803133668466658E-3</c:v>
                </c:pt>
                <c:pt idx="60">
                  <c:v>3.0755680322275031E-3</c:v>
                </c:pt>
                <c:pt idx="61">
                  <c:v>3.0708503509731559E-3</c:v>
                </c:pt>
                <c:pt idx="62">
                  <c:v>3.0664580277201072E-3</c:v>
                </c:pt>
                <c:pt idx="63">
                  <c:v>3.0621027579848083E-3</c:v>
                </c:pt>
                <c:pt idx="64">
                  <c:v>3.0485378830081224E-3</c:v>
                </c:pt>
                <c:pt idx="65">
                  <c:v>3.0443706049173157E-3</c:v>
                </c:pt>
                <c:pt idx="66">
                  <c:v>3.0400000000002187E-3</c:v>
                </c:pt>
                <c:pt idx="67">
                  <c:v>3.0356934629996186E-3</c:v>
                </c:pt>
                <c:pt idx="68">
                  <c:v>3.0314528548870028E-3</c:v>
                </c:pt>
                <c:pt idx="69">
                  <c:v>3.0190565184027322E-3</c:v>
                </c:pt>
                <c:pt idx="70">
                  <c:v>3.015156831138904E-3</c:v>
                </c:pt>
                <c:pt idx="71">
                  <c:v>3.0112512073666655E-3</c:v>
                </c:pt>
                <c:pt idx="72">
                  <c:v>3.0074136484692679E-3</c:v>
                </c:pt>
                <c:pt idx="73">
                  <c:v>3.0036445104589479E-3</c:v>
                </c:pt>
                <c:pt idx="74">
                  <c:v>2.9930020264151034E-3</c:v>
                </c:pt>
                <c:pt idx="75">
                  <c:v>2.9892592876806759E-3</c:v>
                </c:pt>
                <c:pt idx="76">
                  <c:v>2.9858375944403276E-3</c:v>
                </c:pt>
                <c:pt idx="77">
                  <c:v>2.9824864582536593E-3</c:v>
                </c:pt>
                <c:pt idx="78">
                  <c:v>2.9792062351655883E-3</c:v>
                </c:pt>
                <c:pt idx="79">
                  <c:v>2.9704967340974595E-3</c:v>
                </c:pt>
                <c:pt idx="80">
                  <c:v>2.966801594879582E-3</c:v>
                </c:pt>
                <c:pt idx="81">
                  <c:v>2.9638812781424212E-3</c:v>
                </c:pt>
                <c:pt idx="82">
                  <c:v>2.9610340108868621E-3</c:v>
                </c:pt>
                <c:pt idx="83">
                  <c:v>2.9582601491958027E-3</c:v>
                </c:pt>
                <c:pt idx="84">
                  <c:v>2.9516620936317389E-3</c:v>
                </c:pt>
                <c:pt idx="85">
                  <c:v>2.9492781582020179E-3</c:v>
                </c:pt>
                <c:pt idx="86">
                  <c:v>2.9469719670944857E-3</c:v>
                </c:pt>
                <c:pt idx="87">
                  <c:v>2.9447438744777048E-3</c:v>
                </c:pt>
                <c:pt idx="88">
                  <c:v>2.9499999999997714E-3</c:v>
                </c:pt>
                <c:pt idx="89">
                  <c:v>2.9387497205400561E-3</c:v>
                </c:pt>
                <c:pt idx="90">
                  <c:v>2.934953765368373E-3</c:v>
                </c:pt>
                <c:pt idx="91">
                  <c:v>2.9333566032708502E-3</c:v>
                </c:pt>
                <c:pt idx="92">
                  <c:v>2.9318954089865997E-3</c:v>
                </c:pt>
                <c:pt idx="93">
                  <c:v>2.9305634968438254E-3</c:v>
                </c:pt>
                <c:pt idx="94">
                  <c:v>2.9272765971828057E-3</c:v>
                </c:pt>
                <c:pt idx="95">
                  <c:v>2.9263949577079734E-3</c:v>
                </c:pt>
                <c:pt idx="96">
                  <c:v>2.9256091725962693E-3</c:v>
                </c:pt>
                <c:pt idx="97">
                  <c:v>2.9249125563818863E-3</c:v>
                </c:pt>
                <c:pt idx="98">
                  <c:v>2.9242984236200987E-3</c:v>
                </c:pt>
                <c:pt idx="99">
                  <c:v>2.9228840718850285E-3</c:v>
                </c:pt>
                <c:pt idx="100">
                  <c:v>2.9225330188403726E-3</c:v>
                </c:pt>
                <c:pt idx="101">
                  <c:v>2.9222310222666902E-3</c:v>
                </c:pt>
                <c:pt idx="102">
                  <c:v>2.9219713967987529E-3</c:v>
                </c:pt>
                <c:pt idx="103">
                  <c:v>2.9217474570792375E-3</c:v>
                </c:pt>
                <c:pt idx="104">
                  <c:v>2.9212228989025616E-3</c:v>
                </c:pt>
                <c:pt idx="105">
                  <c:v>2.9210748486860798E-3</c:v>
                </c:pt>
                <c:pt idx="106">
                  <c:v>2.9209290574871861E-3</c:v>
                </c:pt>
                <c:pt idx="107">
                  <c:v>2.9207788399687618E-3</c:v>
                </c:pt>
                <c:pt idx="108">
                  <c:v>2.9214270165873342E-3</c:v>
                </c:pt>
                <c:pt idx="109">
                  <c:v>2.919999999999541E-3</c:v>
                </c:pt>
                <c:pt idx="110">
                  <c:v>2.922131458480881E-3</c:v>
                </c:pt>
                <c:pt idx="111">
                  <c:v>2.9222370567751886E-3</c:v>
                </c:pt>
                <c:pt idx="112">
                  <c:v>2.9222932849866678E-3</c:v>
                </c:pt>
                <c:pt idx="113">
                  <c:v>2.9223034080223371E-3</c:v>
                </c:pt>
                <c:pt idx="114">
                  <c:v>2.9174901040109136E-3</c:v>
                </c:pt>
                <c:pt idx="115">
                  <c:v>2.9219481466749254E-3</c:v>
                </c:pt>
                <c:pt idx="116">
                  <c:v>2.921776717547678E-3</c:v>
                </c:pt>
                <c:pt idx="117">
                  <c:v>2.9215787727410549E-3</c:v>
                </c:pt>
                <c:pt idx="118">
                  <c:v>2.9213575771722322E-3</c:v>
                </c:pt>
                <c:pt idx="119">
                  <c:v>2.914239135376839E-3</c:v>
                </c:pt>
                <c:pt idx="120">
                  <c:v>2.9203055856250985E-3</c:v>
                </c:pt>
                <c:pt idx="121">
                  <c:v>2.920017109994533E-3</c:v>
                </c:pt>
                <c:pt idx="122">
                  <c:v>2.9197249730911353E-3</c:v>
                </c:pt>
                <c:pt idx="123">
                  <c:v>2.9194324398228084E-3</c:v>
                </c:pt>
                <c:pt idx="124">
                  <c:v>2.9113608120367273E-3</c:v>
                </c:pt>
                <c:pt idx="125">
                  <c:v>2.9183236412211443E-3</c:v>
                </c:pt>
                <c:pt idx="126">
                  <c:v>2.9180780997012101E-3</c:v>
                </c:pt>
                <c:pt idx="127">
                  <c:v>2.9178517512328441E-3</c:v>
                </c:pt>
                <c:pt idx="128">
                  <c:v>2.9103119666064403E-3</c:v>
                </c:pt>
                <c:pt idx="129">
                  <c:v>2.9099688458750525E-3</c:v>
                </c:pt>
                <c:pt idx="130">
                  <c:v>2.9099562682016441E-3</c:v>
                </c:pt>
                <c:pt idx="131">
                  <c:v>2.9100000001067742E-3</c:v>
                </c:pt>
                <c:pt idx="132">
                  <c:v>2.9101023345597735E-3</c:v>
                </c:pt>
                <c:pt idx="133">
                  <c:v>2.9102617484770051E-3</c:v>
                </c:pt>
                <c:pt idx="134">
                  <c:v>2.9110576961100831E-3</c:v>
                </c:pt>
                <c:pt idx="135">
                  <c:v>2.9114206569938491E-3</c:v>
                </c:pt>
                <c:pt idx="136">
                  <c:v>2.9118283119089483E-3</c:v>
                </c:pt>
                <c:pt idx="137">
                  <c:v>2.9122781837739834E-3</c:v>
                </c:pt>
                <c:pt idx="138">
                  <c:v>2.9127677955088751E-3</c:v>
                </c:pt>
                <c:pt idx="139">
                  <c:v>2.9144502991261824E-3</c:v>
                </c:pt>
                <c:pt idx="140">
                  <c:v>2.9150740995296026E-3</c:v>
                </c:pt>
                <c:pt idx="141">
                  <c:v>2.9157252543919403E-3</c:v>
                </c:pt>
                <c:pt idx="142">
                  <c:v>2.9164012866269673E-3</c:v>
                </c:pt>
                <c:pt idx="143">
                  <c:v>2.9170997191449413E-3</c:v>
                </c:pt>
                <c:pt idx="144">
                  <c:v>2.9193046474639897E-3</c:v>
                </c:pt>
                <c:pt idx="145">
                  <c:v>2.920067910164944E-3</c:v>
                </c:pt>
                <c:pt idx="146">
                  <c:v>2.9208411876588494E-3</c:v>
                </c:pt>
                <c:pt idx="147">
                  <c:v>2.9247710980774754E-3</c:v>
                </c:pt>
                <c:pt idx="148">
                  <c:v>2.9255524449104241E-3</c:v>
                </c:pt>
                <c:pt idx="149">
                  <c:v>2.9260056607093E-3</c:v>
                </c:pt>
                <c:pt idx="150">
                  <c:v>2.9266326112626514E-3</c:v>
                </c:pt>
                <c:pt idx="151">
                  <c:v>2.929999999999914E-3</c:v>
                </c:pt>
                <c:pt idx="152">
                  <c:v>2.9275507755144622E-3</c:v>
                </c:pt>
                <c:pt idx="153">
                  <c:v>2.9277365700332379E-3</c:v>
                </c:pt>
                <c:pt idx="154">
                  <c:v>2.9279302002151813E-3</c:v>
                </c:pt>
                <c:pt idx="155">
                  <c:v>2.9281329740809461E-3</c:v>
                </c:pt>
                <c:pt idx="156">
                  <c:v>2.9343576681594165E-3</c:v>
                </c:pt>
                <c:pt idx="157">
                  <c:v>2.9290616668094108E-3</c:v>
                </c:pt>
                <c:pt idx="158">
                  <c:v>2.9293297794221853E-3</c:v>
                </c:pt>
                <c:pt idx="159">
                  <c:v>2.9296148838568316E-3</c:v>
                </c:pt>
                <c:pt idx="160">
                  <c:v>2.9299182881388614E-3</c:v>
                </c:pt>
                <c:pt idx="161">
                  <c:v>2.9380743126737655E-3</c:v>
                </c:pt>
                <c:pt idx="162">
                  <c:v>2.9313410643230218E-3</c:v>
                </c:pt>
                <c:pt idx="163">
                  <c:v>2.9317555882904384E-3</c:v>
                </c:pt>
                <c:pt idx="164">
                  <c:v>2.9321962602958441E-3</c:v>
                </c:pt>
                <c:pt idx="165">
                  <c:v>2.9326643883775573E-3</c:v>
                </c:pt>
                <c:pt idx="166">
                  <c:v>2.9415961215956193E-3</c:v>
                </c:pt>
                <c:pt idx="167">
                  <c:v>2.9348376223190913E-3</c:v>
                </c:pt>
                <c:pt idx="168">
                  <c:v>2.9354626514454473E-3</c:v>
                </c:pt>
                <c:pt idx="169">
                  <c:v>2.9361229849332263E-3</c:v>
                </c:pt>
                <c:pt idx="170">
                  <c:v>2.9436928186665282E-3</c:v>
                </c:pt>
                <c:pt idx="171">
                  <c:v>2.945369286397759E-3</c:v>
                </c:pt>
                <c:pt idx="172">
                  <c:v>2.9399999999971346E-3</c:v>
                </c:pt>
                <c:pt idx="173">
                  <c:v>2.9409057239000841E-3</c:v>
                </c:pt>
                <c:pt idx="174">
                  <c:v>2.9418855812763161E-3</c:v>
                </c:pt>
                <c:pt idx="175">
                  <c:v>2.9429429663963311E-3</c:v>
                </c:pt>
                <c:pt idx="176">
                  <c:v>2.9510617308212842E-3</c:v>
                </c:pt>
                <c:pt idx="177">
                  <c:v>2.9478777375171266E-3</c:v>
                </c:pt>
                <c:pt idx="178">
                  <c:v>2.9492702262518327E-3</c:v>
                </c:pt>
                <c:pt idx="179">
                  <c:v>2.9507192286761783E-3</c:v>
                </c:pt>
                <c:pt idx="180">
                  <c:v>2.9522212424355145E-3</c:v>
                </c:pt>
                <c:pt idx="181">
                  <c:v>2.9602351021348378E-3</c:v>
                </c:pt>
                <c:pt idx="182">
                  <c:v>2.9586893635102796E-3</c:v>
                </c:pt>
                <c:pt idx="183">
                  <c:v>2.9604038983894339E-3</c:v>
                </c:pt>
                <c:pt idx="184">
                  <c:v>2.9621504303206678E-3</c:v>
                </c:pt>
                <c:pt idx="185">
                  <c:v>2.9639254568905944E-3</c:v>
                </c:pt>
                <c:pt idx="186">
                  <c:v>2.9717495489396568E-3</c:v>
                </c:pt>
                <c:pt idx="187">
                  <c:v>2.9712404608765617E-3</c:v>
                </c:pt>
                <c:pt idx="188">
                  <c:v>2.9731054240248939E-3</c:v>
                </c:pt>
                <c:pt idx="189">
                  <c:v>2.974977867080307E-3</c:v>
                </c:pt>
                <c:pt idx="190">
                  <c:v>2.9847767828169421E-3</c:v>
                </c:pt>
                <c:pt idx="191">
                  <c:v>2.9881893381329019E-3</c:v>
                </c:pt>
                <c:pt idx="192">
                  <c:v>2.9900000000002993E-3</c:v>
                </c:pt>
                <c:pt idx="193">
                  <c:v>2.9918246439927195E-3</c:v>
                </c:pt>
                <c:pt idx="194">
                  <c:v>2.9974160052367769E-3</c:v>
                </c:pt>
                <c:pt idx="195">
                  <c:v>2.997402673548566E-3</c:v>
                </c:pt>
                <c:pt idx="196">
                  <c:v>3.0011581507706077E-3</c:v>
                </c:pt>
                <c:pt idx="197">
                  <c:v>3.0030688842911431E-3</c:v>
                </c:pt>
                <c:pt idx="198">
                  <c:v>3.0049949534739833E-3</c:v>
                </c:pt>
                <c:pt idx="199">
                  <c:v>3.0110077155901058E-3</c:v>
                </c:pt>
                <c:pt idx="200">
                  <c:v>3.0109522592687951E-3</c:v>
                </c:pt>
                <c:pt idx="201">
                  <c:v>3.0148652085863459E-3</c:v>
                </c:pt>
                <c:pt idx="202">
                  <c:v>3.0168892163221061E-3</c:v>
                </c:pt>
                <c:pt idx="203">
                  <c:v>3.0189305345947833E-3</c:v>
                </c:pt>
                <c:pt idx="204">
                  <c:v>3.0256824180622146E-3</c:v>
                </c:pt>
                <c:pt idx="205">
                  <c:v>3.0254474584865835E-3</c:v>
                </c:pt>
                <c:pt idx="206">
                  <c:v>3.0294066586586763E-3</c:v>
                </c:pt>
                <c:pt idx="207">
                  <c:v>3.0315577649652351E-3</c:v>
                </c:pt>
                <c:pt idx="208">
                  <c:v>3.0337281567623894E-3</c:v>
                </c:pt>
                <c:pt idx="209">
                  <c:v>3.0415358519659242E-3</c:v>
                </c:pt>
                <c:pt idx="210">
                  <c:v>3.0409845235572059E-3</c:v>
                </c:pt>
                <c:pt idx="211">
                  <c:v>3.0448792731921966E-3</c:v>
                </c:pt>
                <c:pt idx="212">
                  <c:v>3.0440432645969209E-3</c:v>
                </c:pt>
                <c:pt idx="213">
                  <c:v>3.0462661152733427E-3</c:v>
                </c:pt>
                <c:pt idx="214">
                  <c:v>3.0485073874584544E-3</c:v>
                </c:pt>
                <c:pt idx="215">
                  <c:v>3.0599999999996481E-3</c:v>
                </c:pt>
                <c:pt idx="216">
                  <c:v>3.0623577071369314E-3</c:v>
                </c:pt>
                <c:pt idx="217">
                  <c:v>3.0647355125076746E-3</c:v>
                </c:pt>
                <c:pt idx="218">
                  <c:v>3.075198971132002E-3</c:v>
                </c:pt>
                <c:pt idx="219">
                  <c:v>3.074447208285736E-3</c:v>
                </c:pt>
                <c:pt idx="220">
                  <c:v>3.0769251237978581E-3</c:v>
                </c:pt>
                <c:pt idx="221">
                  <c:v>3.0794229851355179E-3</c:v>
                </c:pt>
                <c:pt idx="222">
                  <c:v>3.0819407669000162E-3</c:v>
                </c:pt>
                <c:pt idx="223">
                  <c:v>3.092017846502473E-3</c:v>
                </c:pt>
                <c:pt idx="224">
                  <c:v>3.0922105902493409E-3</c:v>
                </c:pt>
                <c:pt idx="225">
                  <c:v>3.0948275931701576E-3</c:v>
                </c:pt>
                <c:pt idx="226">
                  <c:v>3.0974643641295463E-3</c:v>
                </c:pt>
                <c:pt idx="227">
                  <c:v>3.1001208777318651E-3</c:v>
                </c:pt>
                <c:pt idx="228">
                  <c:v>3.1079001117196173E-3</c:v>
                </c:pt>
                <c:pt idx="229">
                  <c:v>3.11094385065848E-3</c:v>
                </c:pt>
                <c:pt idx="230">
                  <c:v>3.1136986965456274E-3</c:v>
                </c:pt>
                <c:pt idx="231">
                  <c:v>3.1164731327075323E-3</c:v>
                </c:pt>
                <c:pt idx="232">
                  <c:v>3.1192671337507368E-3</c:v>
                </c:pt>
                <c:pt idx="233">
                  <c:v>3.1300000000001739E-3</c:v>
                </c:pt>
                <c:pt idx="234">
                  <c:v>3.1324518758546957E-3</c:v>
                </c:pt>
                <c:pt idx="235">
                  <c:v>3.134903683224E-3</c:v>
                </c:pt>
                <c:pt idx="236">
                  <c:v>3.1325383078525137E-3</c:v>
                </c:pt>
                <c:pt idx="237">
                  <c:v>3.1371968265268124E-3</c:v>
                </c:pt>
                <c:pt idx="238">
                  <c:v>3.1471648565788825E-3</c:v>
                </c:pt>
                <c:pt idx="239">
                  <c:v>3.1496181513149379E-3</c:v>
                </c:pt>
                <c:pt idx="240">
                  <c:v>3.1520720103296175E-3</c:v>
                </c:pt>
                <c:pt idx="241">
                  <c:v>3.1454863563809281E-3</c:v>
                </c:pt>
                <c:pt idx="242">
                  <c:v>3.1523096596851327E-3</c:v>
                </c:pt>
                <c:pt idx="243">
                  <c:v>3.164352933477171E-3</c:v>
                </c:pt>
                <c:pt idx="244">
                  <c:v>3.1668120765072495E-3</c:v>
                </c:pt>
                <c:pt idx="245">
                  <c:v>3.1692724166015153E-3</c:v>
                </c:pt>
                <c:pt idx="246">
                  <c:v>3.1601806345755851E-3</c:v>
                </c:pt>
                <c:pt idx="247">
                  <c:v>3.1683228834893866E-3</c:v>
                </c:pt>
                <c:pt idx="248">
                  <c:v>3.1815952370473082E-3</c:v>
                </c:pt>
                <c:pt idx="249">
                  <c:v>3.1840646579394264E-3</c:v>
                </c:pt>
                <c:pt idx="250">
                  <c:v>3.1865359087038855E-3</c:v>
                </c:pt>
                <c:pt idx="251">
                  <c:v>3.176651854956324E-3</c:v>
                </c:pt>
                <c:pt idx="252">
                  <c:v>3.1852673586066768E-3</c:v>
                </c:pt>
                <c:pt idx="253">
                  <c:v>3.2051606921691201E-3</c:v>
                </c:pt>
                <c:pt idx="254">
                  <c:v>3.2075879765190289E-3</c:v>
                </c:pt>
                <c:pt idx="255">
                  <c:v>3.2100000000000847E-3</c:v>
                </c:pt>
                <c:pt idx="256">
                  <c:v>3.2123974820285083E-3</c:v>
                </c:pt>
                <c:pt idx="257">
                  <c:v>3.2031611753351274E-3</c:v>
                </c:pt>
                <c:pt idx="258">
                  <c:v>3.2219129567636583E-3</c:v>
                </c:pt>
                <c:pt idx="259">
                  <c:v>3.224292524005488E-3</c:v>
                </c:pt>
                <c:pt idx="260">
                  <c:v>3.2266800954972577E-3</c:v>
                </c:pt>
                <c:pt idx="261">
                  <c:v>3.2290795336841951E-3</c:v>
                </c:pt>
                <c:pt idx="262">
                  <c:v>3.2223360271876112E-3</c:v>
                </c:pt>
                <c:pt idx="263">
                  <c:v>3.2388732029783192E-3</c:v>
                </c:pt>
                <c:pt idx="264">
                  <c:v>3.2413899120087844E-3</c:v>
                </c:pt>
                <c:pt idx="265">
                  <c:v>3.2439416628216216E-3</c:v>
                </c:pt>
                <c:pt idx="266">
                  <c:v>3.2465323180035843E-3</c:v>
                </c:pt>
                <c:pt idx="267">
                  <c:v>3.2439936877481268E-3</c:v>
                </c:pt>
                <c:pt idx="268">
                  <c:v>3.2573612349772025E-3</c:v>
                </c:pt>
                <c:pt idx="269">
                  <c:v>3.2602043516320942E-3</c:v>
                </c:pt>
                <c:pt idx="270">
                  <c:v>3.2631095486820179E-3</c:v>
                </c:pt>
                <c:pt idx="271">
                  <c:v>3.2659373033334083E-3</c:v>
                </c:pt>
                <c:pt idx="272">
                  <c:v>3.2694447766792017E-3</c:v>
                </c:pt>
                <c:pt idx="273">
                  <c:v>3.27870193767378E-3</c:v>
                </c:pt>
                <c:pt idx="274">
                  <c:v>3.2838753765304048E-3</c:v>
                </c:pt>
                <c:pt idx="275">
                  <c:v>3.2979294370844695E-3</c:v>
                </c:pt>
                <c:pt idx="276">
                  <c:v>3.2991804326760166E-3</c:v>
                </c:pt>
                <c:pt idx="277">
                  <c:v>3.3000000000188109E-3</c:v>
                </c:pt>
                <c:pt idx="278">
                  <c:v>3.3092585533182595E-3</c:v>
                </c:pt>
                <c:pt idx="279">
                  <c:v>3.313785191529917E-3</c:v>
                </c:pt>
                <c:pt idx="280">
                  <c:v>3.3183455905965555E-3</c:v>
                </c:pt>
                <c:pt idx="281">
                  <c:v>3.3369811756578023E-3</c:v>
                </c:pt>
                <c:pt idx="282">
                  <c:v>3.3347970098186615E-3</c:v>
                </c:pt>
                <c:pt idx="283">
                  <c:v>3.3415603492111283E-3</c:v>
                </c:pt>
                <c:pt idx="284">
                  <c:v>3.3462671233459203E-3</c:v>
                </c:pt>
                <c:pt idx="285">
                  <c:v>3.3509889280874711E-3</c:v>
                </c:pt>
                <c:pt idx="286">
                  <c:v>3.373685003924399E-3</c:v>
                </c:pt>
                <c:pt idx="287">
                  <c:v>3.3695721634575235E-3</c:v>
                </c:pt>
                <c:pt idx="288">
                  <c:v>3.3747297552833497E-3</c:v>
                </c:pt>
                <c:pt idx="289">
                  <c:v>3.3794855499357864E-3</c:v>
                </c:pt>
                <c:pt idx="290">
                  <c:v>3.3842376437103585E-3</c:v>
                </c:pt>
                <c:pt idx="291">
                  <c:v>3.4079725355864736E-3</c:v>
                </c:pt>
                <c:pt idx="292">
                  <c:v>3.4032380862231782E-3</c:v>
                </c:pt>
                <c:pt idx="293">
                  <c:v>3.4078489374574869E-3</c:v>
                </c:pt>
                <c:pt idx="294">
                  <c:v>3.4125226284312856E-3</c:v>
                </c:pt>
                <c:pt idx="295">
                  <c:v>3.4171738857783885E-3</c:v>
                </c:pt>
                <c:pt idx="296">
                  <c:v>3.4128016515241936E-3</c:v>
                </c:pt>
                <c:pt idx="297">
                  <c:v>3.40853838129462E-3</c:v>
                </c:pt>
                <c:pt idx="298">
                  <c:v>3.4399999999997718E-3</c:v>
                </c:pt>
                <c:pt idx="299">
                  <c:v>3.4444610559274782E-3</c:v>
                </c:pt>
                <c:pt idx="300">
                  <c:v>3.4488845535382926E-3</c:v>
                </c:pt>
                <c:pt idx="301">
                  <c:v>3.4663218002026117E-3</c:v>
                </c:pt>
                <c:pt idx="302">
                  <c:v>3.4640288486168665E-3</c:v>
                </c:pt>
                <c:pt idx="303">
                  <c:v>3.4704713194370126E-3</c:v>
                </c:pt>
                <c:pt idx="304">
                  <c:v>3.4746890588490871E-3</c:v>
                </c:pt>
                <c:pt idx="305">
                  <c:v>3.4788757706063684E-3</c:v>
                </c:pt>
                <c:pt idx="306">
                  <c:v>3.4926029843975314E-3</c:v>
                </c:pt>
                <c:pt idx="307">
                  <c:v>3.4918522240708397E-3</c:v>
                </c:pt>
                <c:pt idx="308">
                  <c:v>3.4993765695621958E-3</c:v>
                </c:pt>
                <c:pt idx="309">
                  <c:v>3.503396708515666E-3</c:v>
                </c:pt>
                <c:pt idx="310">
                  <c:v>3.5073923509412862E-3</c:v>
                </c:pt>
                <c:pt idx="311">
                  <c:v>3.5184232531520134E-3</c:v>
                </c:pt>
                <c:pt idx="312">
                  <c:v>3.5187787645440472E-3</c:v>
                </c:pt>
                <c:pt idx="313">
                  <c:v>3.5270357723034096E-3</c:v>
                </c:pt>
                <c:pt idx="314">
                  <c:v>3.5309040299706363E-3</c:v>
                </c:pt>
                <c:pt idx="315">
                  <c:v>3.5347543226566212E-3</c:v>
                </c:pt>
                <c:pt idx="316">
                  <c:v>3.5440992464130074E-3</c:v>
                </c:pt>
                <c:pt idx="317">
                  <c:v>3.5451267999368746E-3</c:v>
                </c:pt>
                <c:pt idx="318">
                  <c:v>3.548491272925058E-3</c:v>
                </c:pt>
                <c:pt idx="319">
                  <c:v>3.5523586301199842E-3</c:v>
                </c:pt>
                <c:pt idx="320">
                  <c:v>3.556194558051323E-3</c:v>
                </c:pt>
                <c:pt idx="321">
                  <c:v>3.5599999999992539E-3</c:v>
                </c:pt>
                <c:pt idx="322">
                  <c:v>3.5637766013627585E-3</c:v>
                </c:pt>
                <c:pt idx="323">
                  <c:v>3.5749807091309108E-3</c:v>
                </c:pt>
                <c:pt idx="324">
                  <c:v>3.5786906997537561E-3</c:v>
                </c:pt>
                <c:pt idx="325">
                  <c:v>3.5823969278948463E-3</c:v>
                </c:pt>
                <c:pt idx="326">
                  <c:v>3.5861045497127594E-3</c:v>
                </c:pt>
                <c:pt idx="327">
                  <c:v>3.5898187214047218E-3</c:v>
                </c:pt>
                <c:pt idx="328">
                  <c:v>3.6010520982861609E-3</c:v>
                </c:pt>
                <c:pt idx="329">
                  <c:v>3.6048440322301455E-3</c:v>
                </c:pt>
                <c:pt idx="330">
                  <c:v>3.6086682976228576E-3</c:v>
                </c:pt>
                <c:pt idx="331">
                  <c:v>3.6125300509008925E-3</c:v>
                </c:pt>
                <c:pt idx="332">
                  <c:v>3.6164344485425724E-3</c:v>
                </c:pt>
                <c:pt idx="333">
                  <c:v>3.628455073081844E-3</c:v>
                </c:pt>
                <c:pt idx="334">
                  <c:v>3.6325816138388554E-3</c:v>
                </c:pt>
                <c:pt idx="335">
                  <c:v>3.6367765820226679E-3</c:v>
                </c:pt>
                <c:pt idx="336">
                  <c:v>3.6410451343913798E-3</c:v>
                </c:pt>
                <c:pt idx="337">
                  <c:v>3.6614376238584059E-3</c:v>
                </c:pt>
                <c:pt idx="338">
                  <c:v>3.6632408893401483E-3</c:v>
                </c:pt>
                <c:pt idx="339">
                  <c:v>3.6636721492856574E-3</c:v>
                </c:pt>
                <c:pt idx="340">
                  <c:v>3.6731305763770998E-3</c:v>
                </c:pt>
                <c:pt idx="341">
                  <c:v>3.6782490361695016E-3</c:v>
                </c:pt>
                <c:pt idx="342">
                  <c:v>3.6940880599535598E-3</c:v>
                </c:pt>
                <c:pt idx="343">
                  <c:v>3.6999999999737881E-3</c:v>
                </c:pt>
                <c:pt idx="344">
                  <c:v>3.7057769302102617E-3</c:v>
                </c:pt>
                <c:pt idx="345">
                  <c:v>3.7116676568227733E-3</c:v>
                </c:pt>
                <c:pt idx="346">
                  <c:v>3.7176466820618378E-3</c:v>
                </c:pt>
                <c:pt idx="347">
                  <c:v>3.7367676997546837E-3</c:v>
                </c:pt>
                <c:pt idx="348">
                  <c:v>3.7422784368227272E-3</c:v>
                </c:pt>
                <c:pt idx="349">
                  <c:v>3.7485829726241213E-3</c:v>
                </c:pt>
                <c:pt idx="350">
                  <c:v>3.7549332204677541E-3</c:v>
                </c:pt>
                <c:pt idx="351">
                  <c:v>3.7613227168161608E-3</c:v>
                </c:pt>
                <c:pt idx="352">
                  <c:v>3.7808543984027571E-3</c:v>
                </c:pt>
                <c:pt idx="353">
                  <c:v>3.7871439136078207E-3</c:v>
                </c:pt>
                <c:pt idx="354">
                  <c:v>3.7936326965159668E-3</c:v>
                </c:pt>
                <c:pt idx="355">
                  <c:v>3.8001219449564244E-3</c:v>
                </c:pt>
                <c:pt idx="356">
                  <c:v>3.806605194805095E-3</c:v>
                </c:pt>
                <c:pt idx="357">
                  <c:v>3.8236898708095116E-3</c:v>
                </c:pt>
                <c:pt idx="358">
                  <c:v>3.8323489228221904E-3</c:v>
                </c:pt>
                <c:pt idx="359">
                  <c:v>3.8387052148831902E-3</c:v>
                </c:pt>
                <c:pt idx="360">
                  <c:v>3.8450167218378566E-3</c:v>
                </c:pt>
                <c:pt idx="361">
                  <c:v>3.8512769789806963E-3</c:v>
                </c:pt>
                <c:pt idx="362">
                  <c:v>3.8540280536804626E-3</c:v>
                </c:pt>
                <c:pt idx="363">
                  <c:v>3.8735872410460234E-3</c:v>
                </c:pt>
                <c:pt idx="364">
                  <c:v>3.8800000000801444E-3</c:v>
                </c:pt>
                <c:pt idx="365">
                  <c:v>3.8863559984161455E-3</c:v>
                </c:pt>
                <c:pt idx="366">
                  <c:v>3.8926802685167231E-3</c:v>
                </c:pt>
                <c:pt idx="367">
                  <c:v>3.8989803668155977E-3</c:v>
                </c:pt>
                <c:pt idx="368">
                  <c:v>3.9177486094011576E-3</c:v>
                </c:pt>
                <c:pt idx="369">
                  <c:v>3.9239649990784591E-3</c:v>
                </c:pt>
                <c:pt idx="370">
                  <c:v>3.9301637063314443E-3</c:v>
                </c:pt>
                <c:pt idx="371">
                  <c:v>3.9363460290862762E-3</c:v>
                </c:pt>
                <c:pt idx="372">
                  <c:v>3.9425132652866849E-3</c:v>
                </c:pt>
                <c:pt idx="373">
                  <c:v>3.9609374342345315E-3</c:v>
                </c:pt>
                <c:pt idx="374">
                  <c:v>3.9670573039738569E-3</c:v>
                </c:pt>
                <c:pt idx="375">
                  <c:v>3.9731685771180981E-3</c:v>
                </c:pt>
                <c:pt idx="376">
                  <c:v>3.9792725517089301E-3</c:v>
                </c:pt>
                <c:pt idx="377">
                  <c:v>3.9853705258029587E-3</c:v>
                </c:pt>
                <c:pt idx="378">
                  <c:v>4.0036414259140615E-3</c:v>
                </c:pt>
                <c:pt idx="379">
                  <c:v>4.0097283789097705E-3</c:v>
                </c:pt>
                <c:pt idx="380">
                  <c:v>4.0158158219332782E-3</c:v>
                </c:pt>
                <c:pt idx="381">
                  <c:v>4.0219050531373783E-3</c:v>
                </c:pt>
                <c:pt idx="382">
                  <c:v>4.0279973706897985E-3</c:v>
                </c:pt>
                <c:pt idx="383">
                  <c:v>4.0414736306967226E-3</c:v>
                </c:pt>
                <c:pt idx="384">
                  <c:v>4.0476200955856913E-3</c:v>
                </c:pt>
                <c:pt idx="385">
                  <c:v>4.0537951215660756E-3</c:v>
                </c:pt>
                <c:pt idx="386">
                  <c:v>4.0600000000000835E-3</c:v>
                </c:pt>
                <c:pt idx="387">
                  <c:v>4.0575237486788433E-3</c:v>
                </c:pt>
                <c:pt idx="388">
                  <c:v>4.0849591655785569E-3</c:v>
                </c:pt>
                <c:pt idx="389">
                  <c:v>4.0911566334665079E-3</c:v>
                </c:pt>
                <c:pt idx="390">
                  <c:v>4.0973051222971471E-3</c:v>
                </c:pt>
                <c:pt idx="391">
                  <c:v>4.1033886068971544E-3</c:v>
                </c:pt>
                <c:pt idx="392">
                  <c:v>4.1018526805930104E-3</c:v>
                </c:pt>
                <c:pt idx="393">
                  <c:v>4.1267519928945822E-3</c:v>
                </c:pt>
                <c:pt idx="394">
                  <c:v>4.132270072223135E-3</c:v>
                </c:pt>
                <c:pt idx="395">
                  <c:v>4.137626992487888E-3</c:v>
                </c:pt>
                <c:pt idx="396">
                  <c:v>4.1428067273378858E-3</c:v>
                </c:pt>
                <c:pt idx="397">
                  <c:v>4.1414575953081364E-3</c:v>
                </c:pt>
                <c:pt idx="398">
                  <c:v>4.1614332815874877E-3</c:v>
                </c:pt>
                <c:pt idx="399">
                  <c:v>4.1654866903419255E-3</c:v>
                </c:pt>
                <c:pt idx="400">
                  <c:v>4.1692667535599935E-3</c:v>
                </c:pt>
                <c:pt idx="401">
                  <c:v>4.172757444389278E-3</c:v>
                </c:pt>
                <c:pt idx="402">
                  <c:v>4.1835059476089892E-3</c:v>
                </c:pt>
                <c:pt idx="403">
                  <c:v>4.1853093749058866E-3</c:v>
                </c:pt>
                <c:pt idx="404">
                  <c:v>4.1867272697863004E-3</c:v>
                </c:pt>
                <c:pt idx="405">
                  <c:v>4.1898544614701119E-3</c:v>
                </c:pt>
                <c:pt idx="406">
                  <c:v>4.1891264350994951E-3</c:v>
                </c:pt>
                <c:pt idx="407">
                  <c:v>4.1877820710754356E-3</c:v>
                </c:pt>
                <c:pt idx="408">
                  <c:v>4.1859834836360131E-3</c:v>
                </c:pt>
                <c:pt idx="409">
                  <c:v>4.1837605728671495E-3</c:v>
                </c:pt>
                <c:pt idx="410">
                  <c:v>4.181143239007176E-3</c:v>
                </c:pt>
                <c:pt idx="411">
                  <c:v>4.1712237022661549E-3</c:v>
                </c:pt>
                <c:pt idx="412">
                  <c:v>4.1673276793851403E-3</c:v>
                </c:pt>
                <c:pt idx="413">
                  <c:v>4.1631867348730176E-3</c:v>
                </c:pt>
                <c:pt idx="414">
                  <c:v>4.158830768739288E-3</c:v>
                </c:pt>
                <c:pt idx="415">
                  <c:v>4.1542896808059102E-3</c:v>
                </c:pt>
                <c:pt idx="416">
                  <c:v>4.1398546810499631E-3</c:v>
                </c:pt>
                <c:pt idx="417">
                  <c:v>4.1348720994696699E-3</c:v>
                </c:pt>
                <c:pt idx="418">
                  <c:v>4.1298538915176333E-3</c:v>
                </c:pt>
                <c:pt idx="419">
                  <c:v>4.1248299554249987E-3</c:v>
                </c:pt>
                <c:pt idx="420">
                  <c:v>4.1198301891220493E-3</c:v>
                </c:pt>
                <c:pt idx="421">
                  <c:v>4.1052748837623809E-3</c:v>
                </c:pt>
                <c:pt idx="422">
                  <c:v>4.1006707700018087E-3</c:v>
                </c:pt>
                <c:pt idx="423">
                  <c:v>4.0962403113451598E-3</c:v>
                </c:pt>
                <c:pt idx="424">
                  <c:v>4.0920134040950103E-3</c:v>
                </c:pt>
                <c:pt idx="425">
                  <c:v>4.0880199443540967E-3</c:v>
                </c:pt>
                <c:pt idx="426">
                  <c:v>4.0777392089789959E-3</c:v>
                </c:pt>
                <c:pt idx="427">
                  <c:v>4.0749784975999343E-3</c:v>
                </c:pt>
                <c:pt idx="428">
                  <c:v>4.0726007125897277E-3</c:v>
                </c:pt>
                <c:pt idx="429">
                  <c:v>4.070629076494899E-3</c:v>
                </c:pt>
                <c:pt idx="430">
                  <c:v>4.0690601191589798E-3</c:v>
                </c:pt>
                <c:pt idx="431">
                  <c:v>4.0666678899157109E-3</c:v>
                </c:pt>
                <c:pt idx="432">
                  <c:v>4.0666082190544918E-3</c:v>
                </c:pt>
                <c:pt idx="433">
                  <c:v>4.0669005138318851E-3</c:v>
                </c:pt>
                <c:pt idx="434">
                  <c:v>4.067534632253832E-3</c:v>
                </c:pt>
                <c:pt idx="435">
                  <c:v>4.0685004324944934E-3</c:v>
                </c:pt>
                <c:pt idx="436">
                  <c:v>4.0732865080132536E-3</c:v>
                </c:pt>
                <c:pt idx="437">
                  <c:v>4.0754776200176163E-3</c:v>
                </c:pt>
                <c:pt idx="438">
                  <c:v>4.0779497066339076E-3</c:v>
                </c:pt>
                <c:pt idx="439">
                  <c:v>4.0806926266968571E-3</c:v>
                </c:pt>
                <c:pt idx="440">
                  <c:v>4.0836962390982919E-3</c:v>
                </c:pt>
                <c:pt idx="441">
                  <c:v>4.094169819836806E-3</c:v>
                </c:pt>
                <c:pt idx="442">
                  <c:v>4.0981147912013292E-3</c:v>
                </c:pt>
                <c:pt idx="443">
                  <c:v>4.1022697497723765E-3</c:v>
                </c:pt>
                <c:pt idx="444">
                  <c:v>4.1066245545203928E-3</c:v>
                </c:pt>
                <c:pt idx="445">
                  <c:v>4.1111690643894725E-3</c:v>
                </c:pt>
                <c:pt idx="446">
                  <c:v>4.1352828376514539E-3</c:v>
                </c:pt>
                <c:pt idx="447">
                  <c:v>4.1406299536184132E-3</c:v>
                </c:pt>
                <c:pt idx="448">
                  <c:v>4.1461141590742644E-3</c:v>
                </c:pt>
                <c:pt idx="449">
                  <c:v>4.1617840851338262E-3</c:v>
                </c:pt>
                <c:pt idx="450">
                  <c:v>4.1625290782834777E-3</c:v>
                </c:pt>
                <c:pt idx="451">
                  <c:v>4.1752564936558623E-3</c:v>
                </c:pt>
                <c:pt idx="452">
                  <c:v>4.1813678876767091E-3</c:v>
                </c:pt>
                <c:pt idx="453">
                  <c:v>4.1875536811159207E-3</c:v>
                </c:pt>
                <c:pt idx="454">
                  <c:v>4.2047864322703266E-3</c:v>
                </c:pt>
                <c:pt idx="455">
                  <c:v>4.205649342853706E-3</c:v>
                </c:pt>
                <c:pt idx="456">
                  <c:v>4.2193002361072722E-3</c:v>
                </c:pt>
                <c:pt idx="457">
                  <c:v>4.2257533824923534E-3</c:v>
                </c:pt>
                <c:pt idx="458">
                  <c:v>4.2322212461083468E-3</c:v>
                </c:pt>
                <c:pt idx="459">
                  <c:v>4.2505491638242148E-3</c:v>
                </c:pt>
                <c:pt idx="460">
                  <c:v>4.2511391607554291E-3</c:v>
                </c:pt>
                <c:pt idx="461">
                  <c:v>4.2644828924497053E-3</c:v>
                </c:pt>
                <c:pt idx="462">
                  <c:v>4.2708599997614881E-3</c:v>
                </c:pt>
                <c:pt idx="463">
                  <c:v>4.2771921367001919E-3</c:v>
                </c:pt>
                <c:pt idx="464">
                  <c:v>4.296179139594963E-3</c:v>
                </c:pt>
                <c:pt idx="465">
                  <c:v>4.3137630478022309E-3</c:v>
                </c:pt>
                <c:pt idx="466">
                  <c:v>4.3195416236930656E-3</c:v>
                </c:pt>
                <c:pt idx="467">
                  <c:v>4.3184508131413751E-3</c:v>
                </c:pt>
                <c:pt idx="468">
                  <c:v>4.3375920929998538E-3</c:v>
                </c:pt>
                <c:pt idx="469">
                  <c:v>4.339547622697078E-3</c:v>
                </c:pt>
                <c:pt idx="470">
                  <c:v>4.3444520659114685E-3</c:v>
                </c:pt>
                <c:pt idx="471">
                  <c:v>4.3491971968960021E-3</c:v>
                </c:pt>
                <c:pt idx="472">
                  <c:v>4.3538031452863427E-3</c:v>
                </c:pt>
                <c:pt idx="473">
                  <c:v>4.3728902259595383E-3</c:v>
                </c:pt>
                <c:pt idx="474">
                  <c:v>4.3713525316697848E-3</c:v>
                </c:pt>
                <c:pt idx="475">
                  <c:v>4.3756506333035138E-3</c:v>
                </c:pt>
                <c:pt idx="476">
                  <c:v>4.379964780496879E-3</c:v>
                </c:pt>
                <c:pt idx="477">
                  <c:v>4.384320845420296E-3</c:v>
                </c:pt>
                <c:pt idx="478">
                  <c:v>4.4042938098563028E-3</c:v>
                </c:pt>
                <c:pt idx="479">
                  <c:v>4.4026817340588583E-3</c:v>
                </c:pt>
                <c:pt idx="480">
                  <c:v>4.4076354785755239E-3</c:v>
                </c:pt>
                <c:pt idx="481">
                  <c:v>4.4127863790545648E-3</c:v>
                </c:pt>
                <c:pt idx="482">
                  <c:v>4.418160309550793E-3</c:v>
                </c:pt>
                <c:pt idx="483">
                  <c:v>4.4402178161686992E-3</c:v>
                </c:pt>
                <c:pt idx="484">
                  <c:v>4.4424038257827063E-3</c:v>
                </c:pt>
                <c:pt idx="485">
                  <c:v>4.4492810306547351E-3</c:v>
                </c:pt>
                <c:pt idx="486">
                  <c:v>4.4565365184670355E-3</c:v>
                </c:pt>
                <c:pt idx="487">
                  <c:v>4.4641961665085545E-3</c:v>
                </c:pt>
                <c:pt idx="488">
                  <c:v>4.4894413432414503E-3</c:v>
                </c:pt>
                <c:pt idx="489">
                  <c:v>4.5080920477066312E-3</c:v>
                </c:pt>
                <c:pt idx="490">
                  <c:v>4.5181941278364373E-3</c:v>
                </c:pt>
                <c:pt idx="491">
                  <c:v>4.5288449367217199E-3</c:v>
                </c:pt>
                <c:pt idx="492">
                  <c:v>4.5575880686417542E-3</c:v>
                </c:pt>
                <c:pt idx="493">
                  <c:v>4.5605437273300306E-3</c:v>
                </c:pt>
                <c:pt idx="494">
                  <c:v>4.5897725489037026E-3</c:v>
                </c:pt>
                <c:pt idx="495">
                  <c:v>4.6033588752963208E-3</c:v>
                </c:pt>
                <c:pt idx="496">
                  <c:v>4.617367499105106E-3</c:v>
                </c:pt>
                <c:pt idx="497">
                  <c:v>4.6495489960408243E-3</c:v>
                </c:pt>
                <c:pt idx="498">
                  <c:v>4.6554706390873578E-3</c:v>
                </c:pt>
                <c:pt idx="499">
                  <c:v>4.6930754931807026E-3</c:v>
                </c:pt>
                <c:pt idx="500">
                  <c:v>4.7092161446465166E-3</c:v>
                </c:pt>
                <c:pt idx="501">
                  <c:v>4.7256451708829151E-3</c:v>
                </c:pt>
                <c:pt idx="502">
                  <c:v>4.7601064635184997E-3</c:v>
                </c:pt>
                <c:pt idx="503">
                  <c:v>4.7681716735636214E-3</c:v>
                </c:pt>
                <c:pt idx="504">
                  <c:v>4.8114462287554205E-3</c:v>
                </c:pt>
                <c:pt idx="505">
                  <c:v>4.8292036786607116E-3</c:v>
                </c:pt>
                <c:pt idx="506">
                  <c:v>4.8471155561480295E-3</c:v>
                </c:pt>
                <c:pt idx="507">
                  <c:v>4.8827682868763716E-3</c:v>
                </c:pt>
                <c:pt idx="508">
                  <c:v>4.8921194951968179E-3</c:v>
                </c:pt>
                <c:pt idx="509">
                  <c:v>4.938321510343212E-3</c:v>
                </c:pt>
                <c:pt idx="510">
                  <c:v>4.9480200079389776E-3</c:v>
                </c:pt>
                <c:pt idx="511">
                  <c:v>4.966494891262707E-3</c:v>
                </c:pt>
                <c:pt idx="512">
                  <c:v>4.984971288901666E-3</c:v>
                </c:pt>
                <c:pt idx="513">
                  <c:v>5.0207854004428931E-3</c:v>
                </c:pt>
                <c:pt idx="514">
                  <c:v>5.0585936753167098E-3</c:v>
                </c:pt>
                <c:pt idx="515">
                  <c:v>5.0769076144277277E-3</c:v>
                </c:pt>
                <c:pt idx="516">
                  <c:v>5.0951845676791251E-3</c:v>
                </c:pt>
                <c:pt idx="517">
                  <c:v>5.1134245340391576E-3</c:v>
                </c:pt>
                <c:pt idx="518">
                  <c:v>5.240068579416589E-3</c:v>
                </c:pt>
                <c:pt idx="519">
                  <c:v>5.364899866916662E-3</c:v>
                </c:pt>
                <c:pt idx="520">
                  <c:v>5.4879180513435922E-3</c:v>
                </c:pt>
                <c:pt idx="521">
                  <c:v>5.6332770812584521E-3</c:v>
                </c:pt>
                <c:pt idx="522">
                  <c:v>5.7522848678940915E-3</c:v>
                </c:pt>
                <c:pt idx="523">
                  <c:v>5.8694785064016654E-3</c:v>
                </c:pt>
                <c:pt idx="524">
                  <c:v>5.9848576673440512E-3</c:v>
                </c:pt>
                <c:pt idx="525">
                  <c:v>6.0984220263703816E-3</c:v>
                </c:pt>
                <c:pt idx="526">
                  <c:v>6.2101712642199077E-3</c:v>
                </c:pt>
                <c:pt idx="527">
                  <c:v>6.3201050667220059E-3</c:v>
                </c:pt>
                <c:pt idx="528">
                  <c:v>6.4282231247987515E-3</c:v>
                </c:pt>
                <c:pt idx="529">
                  <c:v>6.4993186475801766E-3</c:v>
                </c:pt>
                <c:pt idx="530">
                  <c:v>6.6044436424051566E-3</c:v>
                </c:pt>
                <c:pt idx="531">
                  <c:v>6.7077521138016634E-3</c:v>
                </c:pt>
                <c:pt idx="532">
                  <c:v>6.8092437790809087E-3</c:v>
                </c:pt>
                <c:pt idx="533">
                  <c:v>6.9089183605158784E-3</c:v>
                </c:pt>
                <c:pt idx="534">
                  <c:v>7.0132015617819536E-3</c:v>
                </c:pt>
                <c:pt idx="535">
                  <c:v>7.109113172614299E-3</c:v>
                </c:pt>
                <c:pt idx="536">
                  <c:v>7.2032068672826669E-3</c:v>
                </c:pt>
                <c:pt idx="537">
                  <c:v>7.2954823868482521E-3</c:v>
                </c:pt>
                <c:pt idx="538">
                  <c:v>7.3800256370768922E-3</c:v>
                </c:pt>
                <c:pt idx="539">
                  <c:v>7.4687921612058292E-3</c:v>
                </c:pt>
                <c:pt idx="540">
                  <c:v>7.5557397964397966E-3</c:v>
                </c:pt>
                <c:pt idx="541">
                  <c:v>7.6408683047906019E-3</c:v>
                </c:pt>
                <c:pt idx="542">
                  <c:v>7.7295786450382658E-3</c:v>
                </c:pt>
                <c:pt idx="543">
                  <c:v>7.8109412017785783E-3</c:v>
                </c:pt>
                <c:pt idx="544">
                  <c:v>7.8905275572431592E-3</c:v>
                </c:pt>
                <c:pt idx="545">
                  <c:v>7.9684294999946958E-3</c:v>
                </c:pt>
                <c:pt idx="546">
                  <c:v>8.0447417905258247E-3</c:v>
                </c:pt>
                <c:pt idx="547">
                  <c:v>8.1146777056226929E-3</c:v>
                </c:pt>
                <c:pt idx="548">
                  <c:v>8.1881635913307327E-3</c:v>
                </c:pt>
                <c:pt idx="549">
                  <c:v>8.2603334445977353E-3</c:v>
                </c:pt>
                <c:pt idx="550">
                  <c:v>8.3312826177340624E-3</c:v>
                </c:pt>
                <c:pt idx="551">
                  <c:v>8.4011064789798681E-3</c:v>
                </c:pt>
                <c:pt idx="552">
                  <c:v>8.4699004119420211E-3</c:v>
                </c:pt>
                <c:pt idx="553">
                  <c:v>8.5377598150809236E-3</c:v>
                </c:pt>
                <c:pt idx="554">
                  <c:v>8.6047801012410514E-3</c:v>
                </c:pt>
                <c:pt idx="555">
                  <c:v>8.6941068545245692E-3</c:v>
                </c:pt>
                <c:pt idx="556">
                  <c:v>8.7597550701516112E-3</c:v>
                </c:pt>
                <c:pt idx="557">
                  <c:v>8.824882759810089E-3</c:v>
                </c:pt>
                <c:pt idx="558">
                  <c:v>8.8895828365454302E-3</c:v>
                </c:pt>
                <c:pt idx="559">
                  <c:v>8.9399489661228897E-3</c:v>
                </c:pt>
                <c:pt idx="560">
                  <c:v>9.0039917264977502E-3</c:v>
                </c:pt>
                <c:pt idx="561">
                  <c:v>9.0678725985919063E-3</c:v>
                </c:pt>
                <c:pt idx="562">
                  <c:v>9.1316860607072621E-3</c:v>
                </c:pt>
                <c:pt idx="563">
                  <c:v>9.1955266033680733E-3</c:v>
                </c:pt>
                <c:pt idx="564">
                  <c:v>9.2740081372681103E-3</c:v>
                </c:pt>
                <c:pt idx="565">
                  <c:v>9.3383175383701025E-3</c:v>
                </c:pt>
                <c:pt idx="566">
                  <c:v>9.4029430784554752E-3</c:v>
                </c:pt>
                <c:pt idx="567">
                  <c:v>9.4679777820550984E-3</c:v>
                </c:pt>
                <c:pt idx="568">
                  <c:v>9.5184435513336035E-3</c:v>
                </c:pt>
                <c:pt idx="569">
                  <c:v>9.5844303271943199E-3</c:v>
                </c:pt>
                <c:pt idx="570">
                  <c:v>9.6510625167962865E-3</c:v>
                </c:pt>
                <c:pt idx="571">
                  <c:v>9.7183431247210034E-3</c:v>
                </c:pt>
                <c:pt idx="572">
                  <c:v>9.7862722170196804E-3</c:v>
                </c:pt>
                <c:pt idx="573">
                  <c:v>9.8706430170564415E-3</c:v>
                </c:pt>
                <c:pt idx="574">
                  <c:v>9.9400140099768011E-3</c:v>
                </c:pt>
                <c:pt idx="575">
                  <c:v>1.0010033797972889E-2</c:v>
                </c:pt>
                <c:pt idx="576">
                  <c:v>1.0080702450919563E-2</c:v>
                </c:pt>
                <c:pt idx="577">
                  <c:v>1.0152020039342345E-2</c:v>
                </c:pt>
                <c:pt idx="578">
                  <c:v>1.0223986634414411E-2</c:v>
                </c:pt>
                <c:pt idx="579">
                  <c:v>1.0296602307960026E-2</c:v>
                </c:pt>
                <c:pt idx="580">
                  <c:v>1.0369867132451971E-2</c:v>
                </c:pt>
                <c:pt idx="581">
                  <c:v>1.0415547976335477E-2</c:v>
                </c:pt>
                <c:pt idx="582">
                  <c:v>1.0489868621472389E-2</c:v>
                </c:pt>
                <c:pt idx="583">
                  <c:v>1.0564838440550865E-2</c:v>
                </c:pt>
                <c:pt idx="584">
                  <c:v>1.0640457506385587E-2</c:v>
                </c:pt>
                <c:pt idx="585">
                  <c:v>1.0716725892424101E-2</c:v>
                </c:pt>
                <c:pt idx="586">
                  <c:v>1.0799523894697606E-2</c:v>
                </c:pt>
                <c:pt idx="587">
                  <c:v>1.0877139875609438E-2</c:v>
                </c:pt>
                <c:pt idx="588">
                  <c:v>1.0955405442688984E-2</c:v>
                </c:pt>
                <c:pt idx="589">
                  <c:v>1.1034320672382346E-2</c:v>
                </c:pt>
                <c:pt idx="590">
                  <c:v>1.1107810240618292E-2</c:v>
                </c:pt>
                <c:pt idx="591">
                  <c:v>1.1187976125707377E-2</c:v>
                </c:pt>
                <c:pt idx="592">
                  <c:v>1.1268791862850619E-2</c:v>
                </c:pt>
                <c:pt idx="593">
                  <c:v>1.1350257530558919E-2</c:v>
                </c:pt>
                <c:pt idx="594">
                  <c:v>1.1438644480257148E-2</c:v>
                </c:pt>
                <c:pt idx="595">
                  <c:v>1.1521458823044884E-2</c:v>
                </c:pt>
                <c:pt idx="596">
                  <c:v>1.1604905735087179E-2</c:v>
                </c:pt>
                <c:pt idx="597">
                  <c:v>1.1688948098899565E-2</c:v>
                </c:pt>
                <c:pt idx="598">
                  <c:v>1.1785676485845028E-2</c:v>
                </c:pt>
                <c:pt idx="599">
                  <c:v>1.1864394098232249E-2</c:v>
                </c:pt>
                <c:pt idx="600">
                  <c:v>1.1950033941376347E-2</c:v>
                </c:pt>
                <c:pt idx="601">
                  <c:v>1.2036114749613393E-2</c:v>
                </c:pt>
                <c:pt idx="602">
                  <c:v>1.2122597969648466E-2</c:v>
                </c:pt>
                <c:pt idx="603">
                  <c:v>1.2209445041772328E-2</c:v>
                </c:pt>
                <c:pt idx="604">
                  <c:v>1.2296617399784583E-2</c:v>
                </c:pt>
                <c:pt idx="605">
                  <c:v>1.2384076470930514E-2</c:v>
                </c:pt>
                <c:pt idx="606">
                  <c:v>1.2471783675839704E-2</c:v>
                </c:pt>
                <c:pt idx="607">
                  <c:v>1.2585929939678856E-2</c:v>
                </c:pt>
                <c:pt idx="608">
                  <c:v>1.2674000468492408E-2</c:v>
                </c:pt>
                <c:pt idx="609">
                  <c:v>1.2762193075846532E-2</c:v>
                </c:pt>
                <c:pt idx="610">
                  <c:v>1.2850469983691135E-2</c:v>
                </c:pt>
                <c:pt idx="611">
                  <c:v>1.297623713627254E-2</c:v>
                </c:pt>
                <c:pt idx="612">
                  <c:v>1.3027125554652227E-2</c:v>
                </c:pt>
                <c:pt idx="613">
                  <c:v>1.3115428627634779E-2</c:v>
                </c:pt>
                <c:pt idx="614">
                  <c:v>1.3203664820838644E-2</c:v>
                </c:pt>
                <c:pt idx="615">
                  <c:v>1.3291796322169607E-2</c:v>
                </c:pt>
                <c:pt idx="616">
                  <c:v>1.3379785312745807E-2</c:v>
                </c:pt>
                <c:pt idx="617">
                  <c:v>1.3467593966919761E-2</c:v>
                </c:pt>
                <c:pt idx="618">
                  <c:v>1.3555184452312082E-2</c:v>
                </c:pt>
                <c:pt idx="619">
                  <c:v>1.3642518929847327E-2</c:v>
                </c:pt>
                <c:pt idx="620">
                  <c:v>1.3729559553801535E-2</c:v>
                </c:pt>
                <c:pt idx="621">
                  <c:v>1.3816269647762747E-2</c:v>
                </c:pt>
                <c:pt idx="622">
                  <c:v>1.3902632281454969E-2</c:v>
                </c:pt>
                <c:pt idx="623">
                  <c:v>1.3988646912474891E-2</c:v>
                </c:pt>
                <c:pt idx="624">
                  <c:v>1.4074313494669593E-2</c:v>
                </c:pt>
                <c:pt idx="625">
                  <c:v>1.4159631982071088E-2</c:v>
                </c:pt>
                <c:pt idx="626">
                  <c:v>1.4244602328896756E-2</c:v>
                </c:pt>
                <c:pt idx="627">
                  <c:v>1.4329224489549774E-2</c:v>
                </c:pt>
                <c:pt idx="628">
                  <c:v>1.4413498418618682E-2</c:v>
                </c:pt>
                <c:pt idx="629">
                  <c:v>1.4497424070878685E-2</c:v>
                </c:pt>
                <c:pt idx="630">
                  <c:v>1.458100140128819E-2</c:v>
                </c:pt>
                <c:pt idx="631">
                  <c:v>1.4664230364993562E-2</c:v>
                </c:pt>
                <c:pt idx="632">
                  <c:v>1.4747110917325668E-2</c:v>
                </c:pt>
                <c:pt idx="633">
                  <c:v>1.4805321302351042E-2</c:v>
                </c:pt>
                <c:pt idx="634">
                  <c:v>1.4887590971075381E-2</c:v>
                </c:pt>
                <c:pt idx="635">
                  <c:v>1.4969512091145915E-2</c:v>
                </c:pt>
                <c:pt idx="636">
                  <c:v>1.5051084619539376E-2</c:v>
                </c:pt>
                <c:pt idx="637">
                  <c:v>1.5138305714874891E-2</c:v>
                </c:pt>
                <c:pt idx="638">
                  <c:v>1.5219159416007004E-2</c:v>
                </c:pt>
                <c:pt idx="639">
                  <c:v>1.5299664397730603E-2</c:v>
                </c:pt>
                <c:pt idx="640">
                  <c:v>1.5403532312231422E-2</c:v>
                </c:pt>
                <c:pt idx="641">
                  <c:v>1.54596280330631E-2</c:v>
                </c:pt>
                <c:pt idx="642">
                  <c:v>1.5533196978259105E-2</c:v>
                </c:pt>
                <c:pt idx="643">
                  <c:v>1.5612328175527684E-2</c:v>
                </c:pt>
                <c:pt idx="644">
                  <c:v>1.5691110443479442E-2</c:v>
                </c:pt>
                <c:pt idx="645">
                  <c:v>1.5769543740729142E-2</c:v>
                </c:pt>
                <c:pt idx="646">
                  <c:v>1.5853431577931665E-2</c:v>
                </c:pt>
                <c:pt idx="647">
                  <c:v>1.593114563958483E-2</c:v>
                </c:pt>
                <c:pt idx="648">
                  <c:v>1.6008517193505049E-2</c:v>
                </c:pt>
                <c:pt idx="649">
                  <c:v>1.6085557321918888E-2</c:v>
                </c:pt>
                <c:pt idx="650">
                  <c:v>1.617789840334288E-2</c:v>
                </c:pt>
                <c:pt idx="651">
                  <c:v>1.6271343997665944E-2</c:v>
                </c:pt>
                <c:pt idx="652">
                  <c:v>1.634733309300207E-2</c:v>
                </c:pt>
                <c:pt idx="653">
                  <c:v>1.642304051871343E-2</c:v>
                </c:pt>
                <c:pt idx="654">
                  <c:v>1.6498477515028989E-2</c:v>
                </c:pt>
                <c:pt idx="655">
                  <c:v>1.6573655323996041E-2</c:v>
                </c:pt>
                <c:pt idx="656">
                  <c:v>1.6648585189465274E-2</c:v>
                </c:pt>
                <c:pt idx="657">
                  <c:v>1.6723278357077147E-2</c:v>
                </c:pt>
                <c:pt idx="658">
                  <c:v>1.6797746074246969E-2</c:v>
                </c:pt>
                <c:pt idx="659">
                  <c:v>1.6883253355712981E-2</c:v>
                </c:pt>
                <c:pt idx="660">
                  <c:v>1.6957293211158742E-2</c:v>
                </c:pt>
                <c:pt idx="661">
                  <c:v>1.7031142849588884E-2</c:v>
                </c:pt>
                <c:pt idx="662">
                  <c:v>1.7104813403880204E-2</c:v>
                </c:pt>
                <c:pt idx="663">
                  <c:v>1.7172706328728929E-2</c:v>
                </c:pt>
                <c:pt idx="664">
                  <c:v>1.7246054865614254E-2</c:v>
                </c:pt>
                <c:pt idx="665">
                  <c:v>1.7319257232616823E-2</c:v>
                </c:pt>
                <c:pt idx="666">
                  <c:v>1.7413177806247727E-2</c:v>
                </c:pt>
                <c:pt idx="667">
                  <c:v>1.746526825910379E-2</c:v>
                </c:pt>
                <c:pt idx="668">
                  <c:v>1.7543699618839587E-2</c:v>
                </c:pt>
                <c:pt idx="669">
                  <c:v>1.76164284477037E-2</c:v>
                </c:pt>
                <c:pt idx="670">
                  <c:v>1.7689067316480612E-2</c:v>
                </c:pt>
                <c:pt idx="671">
                  <c:v>1.7761627373194557E-2</c:v>
                </c:pt>
                <c:pt idx="672">
                  <c:v>1.7828522065299723E-2</c:v>
                </c:pt>
                <c:pt idx="673">
                  <c:v>1.7900956547757273E-2</c:v>
                </c:pt>
                <c:pt idx="674">
                  <c:v>1.7973334501417439E-2</c:v>
                </c:pt>
                <c:pt idx="675">
                  <c:v>1.8045655919904559E-2</c:v>
                </c:pt>
                <c:pt idx="676">
                  <c:v>1.8129112804158295E-2</c:v>
                </c:pt>
                <c:pt idx="677">
                  <c:v>1.8195724644367198E-2</c:v>
                </c:pt>
                <c:pt idx="678">
                  <c:v>1.8267876015636963E-2</c:v>
                </c:pt>
                <c:pt idx="679">
                  <c:v>1.8339970837283916E-2</c:v>
                </c:pt>
                <c:pt idx="680">
                  <c:v>1.8412009102922299E-2</c:v>
                </c:pt>
                <c:pt idx="681">
                  <c:v>1.8483990806170691E-2</c:v>
                </c:pt>
                <c:pt idx="682">
                  <c:v>1.8555915940652892E-2</c:v>
                </c:pt>
                <c:pt idx="683">
                  <c:v>1.8627784499997909E-2</c:v>
                </c:pt>
                <c:pt idx="684">
                  <c:v>1.8699596477839097E-2</c:v>
                </c:pt>
                <c:pt idx="685">
                  <c:v>1.8760166831213471E-2</c:v>
                </c:pt>
                <c:pt idx="686">
                  <c:v>1.8831866261523767E-2</c:v>
                </c:pt>
                <c:pt idx="687">
                  <c:v>1.8903509069790748E-2</c:v>
                </c:pt>
                <c:pt idx="688">
                  <c:v>1.8975095249735476E-2</c:v>
                </c:pt>
                <c:pt idx="689">
                  <c:v>1.9052216026551751E-2</c:v>
                </c:pt>
                <c:pt idx="690">
                  <c:v>1.9123688655622417E-2</c:v>
                </c:pt>
                <c:pt idx="691">
                  <c:v>1.9195104648162424E-2</c:v>
                </c:pt>
                <c:pt idx="692">
                  <c:v>1.926646399787867E-2</c:v>
                </c:pt>
                <c:pt idx="693">
                  <c:v>1.9337766698481969E-2</c:v>
                </c:pt>
                <c:pt idx="694">
                  <c:v>1.9403422783615381E-2</c:v>
                </c:pt>
                <c:pt idx="695">
                  <c:v>1.9474612389893897E-2</c:v>
                </c:pt>
                <c:pt idx="696">
                  <c:v>1.95457453177913E-2</c:v>
                </c:pt>
                <c:pt idx="697">
                  <c:v>1.9616821561070828E-2</c:v>
                </c:pt>
                <c:pt idx="698">
                  <c:v>1.9693430245037856E-2</c:v>
                </c:pt>
                <c:pt idx="699">
                  <c:v>1.9764392122103024E-2</c:v>
                </c:pt>
                <c:pt idx="700">
                  <c:v>1.9835290792809573E-2</c:v>
                </c:pt>
                <c:pt idx="701">
                  <c:v>1.9906118659082334E-2</c:v>
                </c:pt>
                <c:pt idx="702">
                  <c:v>1.9981387870995543E-2</c:v>
                </c:pt>
                <c:pt idx="703">
                  <c:v>2.0052042961377022E-2</c:v>
                </c:pt>
                <c:pt idx="704">
                  <c:v>2.0122604223800349E-2</c:v>
                </c:pt>
                <c:pt idx="705">
                  <c:v>2.0193064010921226E-2</c:v>
                </c:pt>
                <c:pt idx="706">
                  <c:v>2.0263414674334235E-2</c:v>
                </c:pt>
                <c:pt idx="707">
                  <c:v>2.0333648564574133E-2</c:v>
                </c:pt>
                <c:pt idx="708">
                  <c:v>2.0403758031122023E-2</c:v>
                </c:pt>
                <c:pt idx="709">
                  <c:v>2.0473735422409732E-2</c:v>
                </c:pt>
                <c:pt idx="710">
                  <c:v>2.0543573085824215E-2</c:v>
                </c:pt>
                <c:pt idx="711">
                  <c:v>2.062428533770632E-2</c:v>
                </c:pt>
                <c:pt idx="712">
                  <c:v>2.0693798663278543E-2</c:v>
                </c:pt>
                <c:pt idx="713">
                  <c:v>2.0763148293500448E-2</c:v>
                </c:pt>
                <c:pt idx="714">
                  <c:v>2.0832326653480015E-2</c:v>
                </c:pt>
                <c:pt idx="715">
                  <c:v>2.089586241925551E-2</c:v>
                </c:pt>
                <c:pt idx="716">
                  <c:v>2.0964688239876385E-2</c:v>
                </c:pt>
                <c:pt idx="717">
                  <c:v>2.1052892945747855E-2</c:v>
                </c:pt>
                <c:pt idx="718">
                  <c:v>2.1121264907725822E-2</c:v>
                </c:pt>
                <c:pt idx="719">
                  <c:v>2.1189425787231195E-2</c:v>
                </c:pt>
                <c:pt idx="720">
                  <c:v>2.1273543974492333E-2</c:v>
                </c:pt>
                <c:pt idx="721">
                  <c:v>2.1341217676471781E-2</c:v>
                </c:pt>
                <c:pt idx="722">
                  <c:v>2.1408657068057776E-2</c:v>
                </c:pt>
                <c:pt idx="723">
                  <c:v>2.1475854645316497E-2</c:v>
                </c:pt>
                <c:pt idx="724">
                  <c:v>2.1526797152842479E-2</c:v>
                </c:pt>
                <c:pt idx="725">
                  <c:v>2.1593533332430467E-2</c:v>
                </c:pt>
                <c:pt idx="726">
                  <c:v>2.1660013744139447E-2</c:v>
                </c:pt>
                <c:pt idx="727">
                  <c:v>2.1742115403807733E-2</c:v>
                </c:pt>
                <c:pt idx="728">
                  <c:v>2.180804126761449E-2</c:v>
                </c:pt>
                <c:pt idx="729">
                  <c:v>2.1873711270435948E-2</c:v>
                </c:pt>
                <c:pt idx="730">
                  <c:v>2.1939125386370668E-2</c:v>
                </c:pt>
                <c:pt idx="731">
                  <c:v>2.2004283589616504E-2</c:v>
                </c:pt>
                <c:pt idx="732">
                  <c:v>2.2053523651127362E-2</c:v>
                </c:pt>
                <c:pt idx="733">
                  <c:v>2.2133832155335698E-2</c:v>
                </c:pt>
                <c:pt idx="734">
                  <c:v>2.2198222466707145E-2</c:v>
                </c:pt>
                <c:pt idx="735">
                  <c:v>2.2262356763186292E-2</c:v>
                </c:pt>
                <c:pt idx="736">
                  <c:v>2.2310745001093014E-2</c:v>
                </c:pt>
                <c:pt idx="737">
                  <c:v>2.2364106503770086E-2</c:v>
                </c:pt>
                <c:pt idx="738">
                  <c:v>2.2427544455653921E-2</c:v>
                </c:pt>
                <c:pt idx="739">
                  <c:v>2.2490726325181554E-2</c:v>
                </c:pt>
                <c:pt idx="740">
                  <c:v>2.2553652088093932E-2</c:v>
                </c:pt>
                <c:pt idx="741">
                  <c:v>2.262141667761557E-2</c:v>
                </c:pt>
                <c:pt idx="742">
                  <c:v>2.2683815758714226E-2</c:v>
                </c:pt>
                <c:pt idx="743">
                  <c:v>2.2745958653912258E-2</c:v>
                </c:pt>
                <c:pt idx="744">
                  <c:v>2.2807845339217429E-2</c:v>
                </c:pt>
                <c:pt idx="745">
                  <c:v>2.2869475790736324E-2</c:v>
                </c:pt>
                <c:pt idx="746">
                  <c:v>2.2925827080551645E-2</c:v>
                </c:pt>
                <c:pt idx="747">
                  <c:v>2.2986959426162069E-2</c:v>
                </c:pt>
                <c:pt idx="748">
                  <c:v>2.3047835474618382E-2</c:v>
                </c:pt>
                <c:pt idx="749">
                  <c:v>2.3108455202543489E-2</c:v>
                </c:pt>
                <c:pt idx="750">
                  <c:v>2.3173783712128013E-2</c:v>
                </c:pt>
                <c:pt idx="751">
                  <c:v>2.3233875258299137E-2</c:v>
                </c:pt>
                <c:pt idx="752">
                  <c:v>2.329370436774604E-2</c:v>
                </c:pt>
                <c:pt idx="753">
                  <c:v>2.3353264978267434E-2</c:v>
                </c:pt>
                <c:pt idx="754">
                  <c:v>2.3407650152349004E-2</c:v>
                </c:pt>
                <c:pt idx="755">
                  <c:v>2.3466673580652121E-2</c:v>
                </c:pt>
                <c:pt idx="756">
                  <c:v>2.3525411031347233E-2</c:v>
                </c:pt>
                <c:pt idx="757">
                  <c:v>2.3583856407068195E-2</c:v>
                </c:pt>
                <c:pt idx="758">
                  <c:v>2.3642003609868546E-2</c:v>
                </c:pt>
                <c:pt idx="759">
                  <c:v>2.3699846541230359E-2</c:v>
                </c:pt>
                <c:pt idx="760">
                  <c:v>2.3757379102074819E-2</c:v>
                </c:pt>
                <c:pt idx="761">
                  <c:v>2.3814595192768861E-2</c:v>
                </c:pt>
                <c:pt idx="762">
                  <c:v>2.3871488713137535E-2</c:v>
                </c:pt>
                <c:pt idx="763">
                  <c:v>2.3951612073701445E-2</c:v>
                </c:pt>
                <c:pt idx="764">
                  <c:v>2.4007725702062107E-2</c:v>
                </c:pt>
                <c:pt idx="765">
                  <c:v>2.4063496415629004E-2</c:v>
                </c:pt>
                <c:pt idx="766">
                  <c:v>2.4118918272510427E-2</c:v>
                </c:pt>
                <c:pt idx="767">
                  <c:v>2.4160143355964541E-2</c:v>
                </c:pt>
                <c:pt idx="768">
                  <c:v>2.4214923908170441E-2</c:v>
                </c:pt>
                <c:pt idx="769">
                  <c:v>2.4269338606346866E-2</c:v>
                </c:pt>
                <c:pt idx="770">
                  <c:v>2.4323381411551354E-2</c:v>
                </c:pt>
                <c:pt idx="771">
                  <c:v>2.437704628439415E-2</c:v>
                </c:pt>
                <c:pt idx="772">
                  <c:v>2.4443790617777923E-2</c:v>
                </c:pt>
                <c:pt idx="773">
                  <c:v>2.4496604065556014E-2</c:v>
                </c:pt>
                <c:pt idx="774">
                  <c:v>2.4549021104987523E-2</c:v>
                </c:pt>
                <c:pt idx="775">
                  <c:v>2.4601035790217465E-2</c:v>
                </c:pt>
                <c:pt idx="776">
                  <c:v>2.463949025478249E-2</c:v>
                </c:pt>
                <c:pt idx="777">
                  <c:v>2.4690761684416414E-2</c:v>
                </c:pt>
                <c:pt idx="778">
                  <c:v>2.4741618904632973E-2</c:v>
                </c:pt>
                <c:pt idx="779">
                  <c:v>2.4792061883638142E-2</c:v>
                </c:pt>
                <c:pt idx="780">
                  <c:v>2.4854928862909773E-2</c:v>
                </c:pt>
                <c:pt idx="781">
                  <c:v>2.4904464675740322E-2</c:v>
                </c:pt>
                <c:pt idx="782">
                  <c:v>2.4953586081565816E-2</c:v>
                </c:pt>
                <c:pt idx="783">
                  <c:v>2.5002293049172085E-2</c:v>
                </c:pt>
                <c:pt idx="784">
                  <c:v>2.505058554760797E-2</c:v>
                </c:pt>
                <c:pt idx="785">
                  <c:v>2.5098463546185765E-2</c:v>
                </c:pt>
                <c:pt idx="786">
                  <c:v>2.5145927014479909E-2</c:v>
                </c:pt>
                <c:pt idx="787">
                  <c:v>2.5192975922328296E-2</c:v>
                </c:pt>
                <c:pt idx="788">
                  <c:v>2.5239610239831838E-2</c:v>
                </c:pt>
                <c:pt idx="789">
                  <c:v>2.5265604336035162E-2</c:v>
                </c:pt>
                <c:pt idx="790">
                  <c:v>2.5311541456224673E-2</c:v>
                </c:pt>
                <c:pt idx="791">
                  <c:v>2.5357064024330033E-2</c:v>
                </c:pt>
                <c:pt idx="792">
                  <c:v>2.5402172012196522E-2</c:v>
                </c:pt>
                <c:pt idx="793">
                  <c:v>2.5450809408982963E-2</c:v>
                </c:pt>
                <c:pt idx="794">
                  <c:v>2.5495061643329753E-2</c:v>
                </c:pt>
                <c:pt idx="795">
                  <c:v>2.5538899188732696E-2</c:v>
                </c:pt>
                <c:pt idx="796">
                  <c:v>2.5582322017928771E-2</c:v>
                </c:pt>
                <c:pt idx="797">
                  <c:v>2.5625330103911884E-2</c:v>
                </c:pt>
                <c:pt idx="798">
                  <c:v>2.5664112210015043E-2</c:v>
                </c:pt>
                <c:pt idx="799">
                  <c:v>2.5706317369405821E-2</c:v>
                </c:pt>
                <c:pt idx="800">
                  <c:v>2.5748107732544004E-2</c:v>
                </c:pt>
                <c:pt idx="801">
                  <c:v>2.5789483273580213E-2</c:v>
                </c:pt>
                <c:pt idx="802">
                  <c:v>2.5834148458470096E-2</c:v>
                </c:pt>
                <c:pt idx="803">
                  <c:v>2.5874668679538693E-2</c:v>
                </c:pt>
                <c:pt idx="804">
                  <c:v>2.5914783348728175E-2</c:v>
                </c:pt>
                <c:pt idx="805">
                  <c:v>2.5954503365659531E-2</c:v>
                </c:pt>
                <c:pt idx="806">
                  <c:v>2.5993839636367519E-2</c:v>
                </c:pt>
                <c:pt idx="807">
                  <c:v>2.6029215737141665E-2</c:v>
                </c:pt>
                <c:pt idx="808">
                  <c:v>2.6067836678831464E-2</c:v>
                </c:pt>
                <c:pt idx="809">
                  <c:v>2.6106105405043704E-2</c:v>
                </c:pt>
                <c:pt idx="810">
                  <c:v>2.6144032885637224E-2</c:v>
                </c:pt>
                <c:pt idx="811">
                  <c:v>2.618163009147513E-2</c:v>
                </c:pt>
                <c:pt idx="812">
                  <c:v>2.6218907994408479E-2</c:v>
                </c:pt>
                <c:pt idx="813">
                  <c:v>2.6255877567255059E-2</c:v>
                </c:pt>
                <c:pt idx="814">
                  <c:v>2.6292549783784393E-2</c:v>
                </c:pt>
                <c:pt idx="815">
                  <c:v>2.6346237790589828E-2</c:v>
                </c:pt>
                <c:pt idx="816">
                  <c:v>2.6382290924643073E-2</c:v>
                </c:pt>
                <c:pt idx="817">
                  <c:v>2.6418083135645413E-2</c:v>
                </c:pt>
                <c:pt idx="818">
                  <c:v>2.6453625109340319E-2</c:v>
                </c:pt>
                <c:pt idx="819">
                  <c:v>2.6478673522642122E-2</c:v>
                </c:pt>
                <c:pt idx="820">
                  <c:v>2.6513774024779748E-2</c:v>
                </c:pt>
                <c:pt idx="821">
                  <c:v>2.6548654963788169E-2</c:v>
                </c:pt>
                <c:pt idx="822">
                  <c:v>2.6583327201921428E-2</c:v>
                </c:pt>
                <c:pt idx="823">
                  <c:v>2.6617801602259145E-2</c:v>
                </c:pt>
                <c:pt idx="824">
                  <c:v>2.6662220478074955E-2</c:v>
                </c:pt>
                <c:pt idx="825">
                  <c:v>2.6696310063192282E-2</c:v>
                </c:pt>
                <c:pt idx="826">
                  <c:v>2.6730234927351448E-2</c:v>
                </c:pt>
                <c:pt idx="827">
                  <c:v>2.6764005763727824E-2</c:v>
                </c:pt>
                <c:pt idx="828">
                  <c:v>2.6787586301109296E-2</c:v>
                </c:pt>
                <c:pt idx="829">
                  <c:v>2.6821100702749207E-2</c:v>
                </c:pt>
                <c:pt idx="830">
                  <c:v>2.6854484003376231E-2</c:v>
                </c:pt>
                <c:pt idx="831">
                  <c:v>2.688773620167164E-2</c:v>
                </c:pt>
                <c:pt idx="832">
                  <c:v>2.6920857291058402E-2</c:v>
                </c:pt>
                <c:pt idx="833">
                  <c:v>2.6963790708744131E-2</c:v>
                </c:pt>
                <c:pt idx="834">
                  <c:v>2.6996628791578148E-2</c:v>
                </c:pt>
                <c:pt idx="835">
                  <c:v>2.7029335724072547E-2</c:v>
                </c:pt>
                <c:pt idx="836">
                  <c:v>2.7061911499651935E-2</c:v>
                </c:pt>
                <c:pt idx="837">
                  <c:v>2.7094356111767578E-2</c:v>
                </c:pt>
                <c:pt idx="838">
                  <c:v>2.7126669553895661E-2</c:v>
                </c:pt>
                <c:pt idx="839">
                  <c:v>2.7158851819540308E-2</c:v>
                </c:pt>
                <c:pt idx="840">
                  <c:v>2.7190902902230561E-2</c:v>
                </c:pt>
                <c:pt idx="841">
                  <c:v>2.7206525808334589E-2</c:v>
                </c:pt>
                <c:pt idx="842">
                  <c:v>2.7238349412713029E-2</c:v>
                </c:pt>
                <c:pt idx="843">
                  <c:v>2.7270041852619921E-2</c:v>
                </c:pt>
                <c:pt idx="844">
                  <c:v>2.7301603121852931E-2</c:v>
                </c:pt>
                <c:pt idx="845">
                  <c:v>2.7333033214237995E-2</c:v>
                </c:pt>
                <c:pt idx="846">
                  <c:v>2.7367557559791741E-2</c:v>
                </c:pt>
                <c:pt idx="847">
                  <c:v>2.7398718262413031E-2</c:v>
                </c:pt>
                <c:pt idx="848">
                  <c:v>2.7429747762112388E-2</c:v>
                </c:pt>
                <c:pt idx="849">
                  <c:v>2.7460646052786124E-2</c:v>
                </c:pt>
                <c:pt idx="850">
                  <c:v>2.7488215809082974E-2</c:v>
                </c:pt>
                <c:pt idx="851">
                  <c:v>2.7518858712124495E-2</c:v>
                </c:pt>
                <c:pt idx="852">
                  <c:v>2.7549370395806214E-2</c:v>
                </c:pt>
                <c:pt idx="853">
                  <c:v>2.7579750854157224E-2</c:v>
                </c:pt>
                <c:pt idx="854">
                  <c:v>2.7613169158880173E-2</c:v>
                </c:pt>
                <c:pt idx="855">
                  <c:v>2.7643280084397096E-2</c:v>
                </c:pt>
                <c:pt idx="856">
                  <c:v>2.7673260311331955E-2</c:v>
                </c:pt>
                <c:pt idx="857">
                  <c:v>2.7703110998315298E-2</c:v>
                </c:pt>
                <c:pt idx="858">
                  <c:v>2.7732833341447494E-2</c:v>
                </c:pt>
                <c:pt idx="859">
                  <c:v>2.7759293395659166E-2</c:v>
                </c:pt>
                <c:pt idx="860">
                  <c:v>2.7788769001202689E-2</c:v>
                </c:pt>
                <c:pt idx="861">
                  <c:v>2.7818119722749144E-2</c:v>
                </c:pt>
                <c:pt idx="862">
                  <c:v>2.7847346763349008E-2</c:v>
                </c:pt>
                <c:pt idx="863">
                  <c:v>2.7876451326145506E-2</c:v>
                </c:pt>
                <c:pt idx="864">
                  <c:v>2.7905434614373271E-2</c:v>
                </c:pt>
                <c:pt idx="865">
                  <c:v>2.7934297831359249E-2</c:v>
                </c:pt>
                <c:pt idx="866">
                  <c:v>2.7963042180521796E-2</c:v>
                </c:pt>
                <c:pt idx="867">
                  <c:v>2.8007102878150943E-2</c:v>
                </c:pt>
                <c:pt idx="868">
                  <c:v>2.8035585589971008E-2</c:v>
                </c:pt>
                <c:pt idx="869">
                  <c:v>2.8063953418201122E-2</c:v>
                </c:pt>
                <c:pt idx="870">
                  <c:v>2.8092207534473539E-2</c:v>
                </c:pt>
                <c:pt idx="871">
                  <c:v>2.8111154453750582E-2</c:v>
                </c:pt>
                <c:pt idx="872">
                  <c:v>2.813920038151611E-2</c:v>
                </c:pt>
                <c:pt idx="873">
                  <c:v>2.816713596762583E-2</c:v>
                </c:pt>
                <c:pt idx="874">
                  <c:v>2.8194962403133111E-2</c:v>
                </c:pt>
                <c:pt idx="875">
                  <c:v>2.8222680879174761E-2</c:v>
                </c:pt>
                <c:pt idx="876">
                  <c:v>2.8259409903352919E-2</c:v>
                </c:pt>
                <c:pt idx="877">
                  <c:v>2.8286900848897858E-2</c:v>
                </c:pt>
                <c:pt idx="878">
                  <c:v>2.8314287458641726E-2</c:v>
                </c:pt>
                <c:pt idx="879">
                  <c:v>2.8341570904980032E-2</c:v>
                </c:pt>
                <c:pt idx="880">
                  <c:v>2.8359695563054902E-2</c:v>
                </c:pt>
                <c:pt idx="881">
                  <c:v>2.838679128516201E-2</c:v>
                </c:pt>
                <c:pt idx="882">
                  <c:v>2.8413786838396581E-2</c:v>
                </c:pt>
                <c:pt idx="883">
                  <c:v>2.8440682255872669E-2</c:v>
                </c:pt>
                <c:pt idx="884">
                  <c:v>2.8467477533531006E-2</c:v>
                </c:pt>
                <c:pt idx="885">
                  <c:v>2.85031537799505E-2</c:v>
                </c:pt>
                <c:pt idx="886">
                  <c:v>2.8529733573339995E-2</c:v>
                </c:pt>
                <c:pt idx="887">
                  <c:v>2.8556213196114032E-2</c:v>
                </c:pt>
                <c:pt idx="888">
                  <c:v>2.8582592644210914E-2</c:v>
                </c:pt>
                <c:pt idx="889">
                  <c:v>2.8608871913584844E-2</c:v>
                </c:pt>
                <c:pt idx="890">
                  <c:v>2.8635051000205497E-2</c:v>
                </c:pt>
                <c:pt idx="891">
                  <c:v>2.8661129900057595E-2</c:v>
                </c:pt>
                <c:pt idx="892">
                  <c:v>2.868710860914046E-2</c:v>
                </c:pt>
                <c:pt idx="893">
                  <c:v>2.8701174394061158E-2</c:v>
                </c:pt>
                <c:pt idx="894">
                  <c:v>2.8726973166831996E-2</c:v>
                </c:pt>
                <c:pt idx="895">
                  <c:v>2.8752671762534876E-2</c:v>
                </c:pt>
                <c:pt idx="896">
                  <c:v>2.8778270177312659E-2</c:v>
                </c:pt>
                <c:pt idx="897">
                  <c:v>2.8803768407323148E-2</c:v>
                </c:pt>
                <c:pt idx="898">
                  <c:v>2.8832094503078755E-2</c:v>
                </c:pt>
                <c:pt idx="899">
                  <c:v>2.8857387206715164E-2</c:v>
                </c:pt>
                <c:pt idx="900">
                  <c:v>2.888257970764992E-2</c:v>
                </c:pt>
                <c:pt idx="901">
                  <c:v>2.8907672002080161E-2</c:v>
                </c:pt>
                <c:pt idx="902">
                  <c:v>2.8929756652443663E-2</c:v>
                </c:pt>
                <c:pt idx="903">
                  <c:v>2.8954653694006554E-2</c:v>
                </c:pt>
                <c:pt idx="904">
                  <c:v>2.8979450524327946E-2</c:v>
                </c:pt>
                <c:pt idx="905">
                  <c:v>2.9004147139685098E-2</c:v>
                </c:pt>
                <c:pt idx="906">
                  <c:v>2.9031630244657321E-2</c:v>
                </c:pt>
                <c:pt idx="907">
                  <c:v>2.9056121171572212E-2</c:v>
                </c:pt>
                <c:pt idx="908">
                  <c:v>2.9080510935455928E-2</c:v>
                </c:pt>
                <c:pt idx="909">
                  <c:v>2.910479796190928E-2</c:v>
                </c:pt>
                <c:pt idx="910">
                  <c:v>2.9129563028913699E-2</c:v>
                </c:pt>
                <c:pt idx="911">
                  <c:v>2.915363062742872E-2</c:v>
                </c:pt>
                <c:pt idx="912">
                  <c:v>2.9177590669131934E-2</c:v>
                </c:pt>
                <c:pt idx="913">
                  <c:v>2.920144154990606E-2</c:v>
                </c:pt>
                <c:pt idx="914">
                  <c:v>2.9225181665576284E-2</c:v>
                </c:pt>
                <c:pt idx="915">
                  <c:v>2.9248809411908935E-2</c:v>
                </c:pt>
                <c:pt idx="916">
                  <c:v>2.9272323184613692E-2</c:v>
                </c:pt>
                <c:pt idx="917">
                  <c:v>2.9295721379346197E-2</c:v>
                </c:pt>
                <c:pt idx="918">
                  <c:v>2.9319002391704572E-2</c:v>
                </c:pt>
                <c:pt idx="919">
                  <c:v>2.9350570415004423E-2</c:v>
                </c:pt>
                <c:pt idx="920">
                  <c:v>2.9373589603705761E-2</c:v>
                </c:pt>
                <c:pt idx="921">
                  <c:v>2.9396486447625013E-2</c:v>
                </c:pt>
                <c:pt idx="922">
                  <c:v>2.9419259367642638E-2</c:v>
                </c:pt>
                <c:pt idx="923">
                  <c:v>2.9449258774463943E-2</c:v>
                </c:pt>
                <c:pt idx="924">
                  <c:v>2.9464427119244678E-2</c:v>
                </c:pt>
                <c:pt idx="925">
                  <c:v>2.9486818792345458E-2</c:v>
                </c:pt>
                <c:pt idx="926">
                  <c:v>2.9509080224578196E-2</c:v>
                </c:pt>
                <c:pt idx="927">
                  <c:v>2.9531209836585717E-2</c:v>
                </c:pt>
                <c:pt idx="928">
                  <c:v>2.9559865444756167E-2</c:v>
                </c:pt>
                <c:pt idx="929">
                  <c:v>2.9581676655670072E-2</c:v>
                </c:pt>
                <c:pt idx="930">
                  <c:v>2.9603350666990547E-2</c:v>
                </c:pt>
                <c:pt idx="931">
                  <c:v>2.9624885890765652E-2</c:v>
                </c:pt>
                <c:pt idx="932">
                  <c:v>2.9643587175410806E-2</c:v>
                </c:pt>
                <c:pt idx="933">
                  <c:v>2.9664848726501023E-2</c:v>
                </c:pt>
                <c:pt idx="934">
                  <c:v>2.9685968320170557E-2</c:v>
                </c:pt>
                <c:pt idx="935">
                  <c:v>2.9706945951911101E-2</c:v>
                </c:pt>
                <c:pt idx="936">
                  <c:v>2.9733100732036759E-2</c:v>
                </c:pt>
                <c:pt idx="937">
                  <c:v>2.975112675552307E-2</c:v>
                </c:pt>
                <c:pt idx="938">
                  <c:v>2.977167001847426E-2</c:v>
                </c:pt>
                <c:pt idx="939">
                  <c:v>2.9792071290947381E-2</c:v>
                </c:pt>
                <c:pt idx="940">
                  <c:v>2.9812330568562456E-2</c:v>
                </c:pt>
                <c:pt idx="941">
                  <c:v>2.9832447846970353E-2</c:v>
                </c:pt>
                <c:pt idx="942">
                  <c:v>2.9852423121853228E-2</c:v>
                </c:pt>
                <c:pt idx="943">
                  <c:v>2.9872256388921898E-2</c:v>
                </c:pt>
                <c:pt idx="944">
                  <c:v>2.9891947643918899E-2</c:v>
                </c:pt>
                <c:pt idx="945">
                  <c:v>2.9906329226977679E-2</c:v>
                </c:pt>
                <c:pt idx="946">
                  <c:v>2.9925753530526157E-2</c:v>
                </c:pt>
                <c:pt idx="947">
                  <c:v>2.994503583138327E-2</c:v>
                </c:pt>
                <c:pt idx="948">
                  <c:v>2.9964176125454715E-2</c:v>
                </c:pt>
                <c:pt idx="949">
                  <c:v>2.9983174408675168E-2</c:v>
                </c:pt>
                <c:pt idx="950">
                  <c:v>3.000203067701181E-2</c:v>
                </c:pt>
                <c:pt idx="951">
                  <c:v>3.0020744926459498E-2</c:v>
                </c:pt>
                <c:pt idx="952">
                  <c:v>3.0041841293842093E-2</c:v>
                </c:pt>
                <c:pt idx="953">
                  <c:v>3.005774735282201E-2</c:v>
                </c:pt>
                <c:pt idx="954">
                  <c:v>3.0076035521879825E-2</c:v>
                </c:pt>
                <c:pt idx="955">
                  <c:v>3.0094181656333784E-2</c:v>
                </c:pt>
                <c:pt idx="956">
                  <c:v>3.011218575233026E-2</c:v>
                </c:pt>
                <c:pt idx="957">
                  <c:v>3.0130047806045942E-2</c:v>
                </c:pt>
                <c:pt idx="958">
                  <c:v>3.0147767813687384E-2</c:v>
                </c:pt>
                <c:pt idx="959">
                  <c:v>3.0165345771491436E-2</c:v>
                </c:pt>
                <c:pt idx="960">
                  <c:v>3.0182781675726141E-2</c:v>
                </c:pt>
                <c:pt idx="961">
                  <c:v>3.0200075522688087E-2</c:v>
                </c:pt>
                <c:pt idx="962">
                  <c:v>3.0217229067461545E-2</c:v>
                </c:pt>
                <c:pt idx="963">
                  <c:v>3.0234227225157975E-2</c:v>
                </c:pt>
                <c:pt idx="964">
                  <c:v>3.0251083325451216E-2</c:v>
                </c:pt>
                <c:pt idx="965">
                  <c:v>3.0267797364781242E-2</c:v>
                </c:pt>
                <c:pt idx="966">
                  <c:v>3.0284369339618943E-2</c:v>
                </c:pt>
                <c:pt idx="967">
                  <c:v>3.0300799246463034E-2</c:v>
                </c:pt>
                <c:pt idx="968">
                  <c:v>3.0317087081844021E-2</c:v>
                </c:pt>
                <c:pt idx="969">
                  <c:v>3.0333232842321561E-2</c:v>
                </c:pt>
                <c:pt idx="970">
                  <c:v>3.0349236524485793E-2</c:v>
                </c:pt>
                <c:pt idx="971">
                  <c:v>3.0372169703237414E-2</c:v>
                </c:pt>
                <c:pt idx="972">
                  <c:v>3.0387862712331796E-2</c:v>
                </c:pt>
                <c:pt idx="973">
                  <c:v>3.0403413598656975E-2</c:v>
                </c:pt>
                <c:pt idx="974">
                  <c:v>3.0418822358874748E-2</c:v>
                </c:pt>
                <c:pt idx="975">
                  <c:v>3.0431767928119764E-2</c:v>
                </c:pt>
                <c:pt idx="976">
                  <c:v>3.0446901309169924E-2</c:v>
                </c:pt>
                <c:pt idx="977">
                  <c:v>3.0461892565814289E-2</c:v>
                </c:pt>
                <c:pt idx="978">
                  <c:v>3.0480958197632076E-2</c:v>
                </c:pt>
                <c:pt idx="979">
                  <c:v>3.0502270724798653E-2</c:v>
                </c:pt>
                <c:pt idx="980">
                  <c:v>3.0516968587531612E-2</c:v>
                </c:pt>
                <c:pt idx="981">
                  <c:v>3.0531323866777788E-2</c:v>
                </c:pt>
                <c:pt idx="982">
                  <c:v>3.054553697018168E-2</c:v>
                </c:pt>
                <c:pt idx="983">
                  <c:v>3.0552868763085855E-2</c:v>
                </c:pt>
                <c:pt idx="984">
                  <c:v>3.0566824447202816E-2</c:v>
                </c:pt>
                <c:pt idx="985">
                  <c:v>3.0580637981303869E-2</c:v>
                </c:pt>
                <c:pt idx="986">
                  <c:v>3.0594309362437927E-2</c:v>
                </c:pt>
                <c:pt idx="987">
                  <c:v>3.0614469742675642E-2</c:v>
                </c:pt>
                <c:pt idx="988">
                  <c:v>3.0627829727321532E-2</c:v>
                </c:pt>
                <c:pt idx="989">
                  <c:v>3.0641047515178453E-2</c:v>
                </c:pt>
                <c:pt idx="990">
                  <c:v>3.0654123103376875E-2</c:v>
                </c:pt>
                <c:pt idx="991">
                  <c:v>3.0667056489078207E-2</c:v>
                </c:pt>
                <c:pt idx="992">
                  <c:v>3.067335227557684E-2</c:v>
                </c:pt>
                <c:pt idx="993">
                  <c:v>3.0692496641792539E-2</c:v>
                </c:pt>
                <c:pt idx="994">
                  <c:v>3.0705003403282645E-2</c:v>
                </c:pt>
                <c:pt idx="995">
                  <c:v>3.0717367951231592E-2</c:v>
                </c:pt>
                <c:pt idx="996">
                  <c:v>3.0723204133335635E-2</c:v>
                </c:pt>
                <c:pt idx="997">
                  <c:v>3.0731068701630792E-2</c:v>
                </c:pt>
                <c:pt idx="998">
                  <c:v>3.0743052310227729E-2</c:v>
                </c:pt>
                <c:pt idx="999">
                  <c:v>3.0754893753948548E-2</c:v>
                </c:pt>
                <c:pt idx="1000">
                  <c:v>3.0766593030290508E-2</c:v>
                </c:pt>
                <c:pt idx="1001">
                  <c:v>3.0780235354381572E-2</c:v>
                </c:pt>
                <c:pt idx="1002">
                  <c:v>3.0791641100905088E-2</c:v>
                </c:pt>
                <c:pt idx="1003">
                  <c:v>3.0802904660841703E-2</c:v>
                </c:pt>
                <c:pt idx="1004">
                  <c:v>3.0814026031800366E-2</c:v>
                </c:pt>
                <c:pt idx="1005">
                  <c:v>3.0825005211418125E-2</c:v>
                </c:pt>
                <c:pt idx="1006">
                  <c:v>3.0833803037106616E-2</c:v>
                </c:pt>
                <c:pt idx="1007">
                  <c:v>3.0844507074284565E-2</c:v>
                </c:pt>
                <c:pt idx="1008">
                  <c:v>3.0855068925154258E-2</c:v>
                </c:pt>
                <c:pt idx="1009">
                  <c:v>3.0865488587485002E-2</c:v>
                </c:pt>
                <c:pt idx="1010">
                  <c:v>3.0877768158508252E-2</c:v>
                </c:pt>
                <c:pt idx="1011">
                  <c:v>3.0887893979549684E-2</c:v>
                </c:pt>
                <c:pt idx="1012">
                  <c:v>3.089787684508654E-2</c:v>
                </c:pt>
                <c:pt idx="1013">
                  <c:v>3.0913273796389036E-2</c:v>
                </c:pt>
                <c:pt idx="1014">
                  <c:v>3.0916821538599124E-2</c:v>
                </c:pt>
                <c:pt idx="1015">
                  <c:v>3.0925006762551895E-2</c:v>
                </c:pt>
                <c:pt idx="1016">
                  <c:v>3.0934421058031212E-2</c:v>
                </c:pt>
                <c:pt idx="1017">
                  <c:v>3.0943689197168247E-2</c:v>
                </c:pt>
                <c:pt idx="1018">
                  <c:v>3.0952810519457544E-2</c:v>
                </c:pt>
                <c:pt idx="1019">
                  <c:v>3.0961784364413072E-2</c:v>
                </c:pt>
                <c:pt idx="1020">
                  <c:v>3.0970610071569555E-2</c:v>
                </c:pt>
                <c:pt idx="1021">
                  <c:v>3.0979286980482915E-2</c:v>
                </c:pt>
                <c:pt idx="1022">
                  <c:v>3.0987814430728958E-2</c:v>
                </c:pt>
                <c:pt idx="1023">
                  <c:v>3.1005550943915942E-2</c:v>
                </c:pt>
                <c:pt idx="1024">
                  <c:v>3.1013725464966113E-2</c:v>
                </c:pt>
                <c:pt idx="1025">
                  <c:v>3.1021748271751047E-2</c:v>
                </c:pt>
                <c:pt idx="1026">
                  <c:v>3.1029618721326122E-2</c:v>
                </c:pt>
                <c:pt idx="1027">
                  <c:v>3.1031849234815785E-2</c:v>
                </c:pt>
                <c:pt idx="1028">
                  <c:v>3.1039444865397992E-2</c:v>
                </c:pt>
                <c:pt idx="1029">
                  <c:v>3.1046886332140037E-2</c:v>
                </c:pt>
                <c:pt idx="1030">
                  <c:v>3.105417298188002E-2</c:v>
                </c:pt>
                <c:pt idx="1031">
                  <c:v>3.1061304161480945E-2</c:v>
                </c:pt>
                <c:pt idx="1032">
                  <c:v>3.1073605915621284E-2</c:v>
                </c:pt>
                <c:pt idx="1033">
                  <c:v>3.1080391864413852E-2</c:v>
                </c:pt>
                <c:pt idx="1034">
                  <c:v>3.1087020313374313E-2</c:v>
                </c:pt>
                <c:pt idx="1035">
                  <c:v>3.1093490619802159E-2</c:v>
                </c:pt>
                <c:pt idx="1036">
                  <c:v>3.1094605149854782E-2</c:v>
                </c:pt>
                <c:pt idx="1037">
                  <c:v>3.1100789956055079E-2</c:v>
                </c:pt>
                <c:pt idx="1038">
                  <c:v>3.110681546546672E-2</c:v>
                </c:pt>
                <c:pt idx="1039">
                  <c:v>3.1117780884297442E-2</c:v>
                </c:pt>
                <c:pt idx="1040">
                  <c:v>3.1123455119261484E-2</c:v>
                </c:pt>
                <c:pt idx="1041">
                  <c:v>3.1128970012215401E-2</c:v>
                </c:pt>
                <c:pt idx="1042">
                  <c:v>3.1134325561818766E-2</c:v>
                </c:pt>
                <c:pt idx="1043">
                  <c:v>3.1139521766770244E-2</c:v>
                </c:pt>
                <c:pt idx="1044">
                  <c:v>3.1139623211341907E-2</c:v>
                </c:pt>
                <c:pt idx="1045">
                  <c:v>3.1149436137702647E-2</c:v>
                </c:pt>
                <c:pt idx="1046">
                  <c:v>3.1154154301273881E-2</c:v>
                </c:pt>
                <c:pt idx="1047">
                  <c:v>3.1158713115373004E-2</c:v>
                </c:pt>
                <c:pt idx="1048">
                  <c:v>3.1158308938028515E-2</c:v>
                </c:pt>
                <c:pt idx="1049">
                  <c:v>3.1159396879473143E-2</c:v>
                </c:pt>
                <c:pt idx="1050">
                  <c:v>3.1163532774459633E-2</c:v>
                </c:pt>
                <c:pt idx="1051">
                  <c:v>3.1167509384301489E-2</c:v>
                </c:pt>
                <c:pt idx="1052">
                  <c:v>3.117132670805715E-2</c:v>
                </c:pt>
                <c:pt idx="1053">
                  <c:v>3.1176533659462616E-2</c:v>
                </c:pt>
                <c:pt idx="1054">
                  <c:v>3.1180021330239852E-2</c:v>
                </c:pt>
                <c:pt idx="1055">
                  <c:v>3.1183349698624272E-2</c:v>
                </c:pt>
                <c:pt idx="1056">
                  <c:v>3.1186518763823983E-2</c:v>
                </c:pt>
                <c:pt idx="1057">
                  <c:v>3.1189528525084859E-2</c:v>
                </c:pt>
                <c:pt idx="1058">
                  <c:v>3.1190885594856818E-2</c:v>
                </c:pt>
                <c:pt idx="1059">
                  <c:v>3.1193587892836896E-2</c:v>
                </c:pt>
                <c:pt idx="1060">
                  <c:v>3.1196130898562453E-2</c:v>
                </c:pt>
                <c:pt idx="1061">
                  <c:v>3.119851461143109E-2</c:v>
                </c:pt>
                <c:pt idx="1062">
                  <c:v>3.1202187748580263E-2</c:v>
                </c:pt>
                <c:pt idx="1063">
                  <c:v>3.1204241672501756E-2</c:v>
                </c:pt>
                <c:pt idx="1064">
                  <c:v>3.1206136288268887E-2</c:v>
                </c:pt>
                <c:pt idx="1065">
                  <c:v>3.1207871595431466E-2</c:v>
                </c:pt>
                <c:pt idx="1066">
                  <c:v>3.1208043764510078E-2</c:v>
                </c:pt>
                <c:pt idx="1067">
                  <c:v>3.120947170971702E-2</c:v>
                </c:pt>
                <c:pt idx="1068">
                  <c:v>3.1210740358911557E-2</c:v>
                </c:pt>
                <c:pt idx="1069">
                  <c:v>3.1211849711793378E-2</c:v>
                </c:pt>
                <c:pt idx="1070">
                  <c:v>3.1212799768100152E-2</c:v>
                </c:pt>
                <c:pt idx="1071">
                  <c:v>3.121359052760753E-2</c:v>
                </c:pt>
                <c:pt idx="1072">
                  <c:v>3.1214221990127813E-2</c:v>
                </c:pt>
                <c:pt idx="1073">
                  <c:v>3.1214694155512174E-2</c:v>
                </c:pt>
                <c:pt idx="1074">
                  <c:v>3.1215007023648433E-2</c:v>
                </c:pt>
                <c:pt idx="1075">
                  <c:v>3.1221660586649738E-2</c:v>
                </c:pt>
                <c:pt idx="1076">
                  <c:v>3.1221597941256347E-2</c:v>
                </c:pt>
                <c:pt idx="1077">
                  <c:v>3.1221375929995361E-2</c:v>
                </c:pt>
                <c:pt idx="1078">
                  <c:v>3.1220994552920923E-2</c:v>
                </c:pt>
                <c:pt idx="1079">
                  <c:v>3.1216693733688489E-2</c:v>
                </c:pt>
                <c:pt idx="1080">
                  <c:v>3.1216027946867404E-2</c:v>
                </c:pt>
                <c:pt idx="1081">
                  <c:v>3.1215202835695885E-2</c:v>
                </c:pt>
                <c:pt idx="1082">
                  <c:v>3.121421840037137E-2</c:v>
                </c:pt>
                <c:pt idx="1083">
                  <c:v>3.121307464113017E-2</c:v>
                </c:pt>
                <c:pt idx="1084">
                  <c:v>3.1215359616295228E-2</c:v>
                </c:pt>
                <c:pt idx="1085">
                  <c:v>3.1213862683291866E-2</c:v>
                </c:pt>
                <c:pt idx="1086">
                  <c:v>3.1212206386301983E-2</c:v>
                </c:pt>
                <c:pt idx="1087">
                  <c:v>3.1210390725727406E-2</c:v>
                </c:pt>
                <c:pt idx="1088">
                  <c:v>3.1204965997071892E-2</c:v>
                </c:pt>
                <c:pt idx="1089">
                  <c:v>3.1202866301405594E-2</c:v>
                </c:pt>
                <c:pt idx="1090">
                  <c:v>3.1200607284536948E-2</c:v>
                </c:pt>
                <c:pt idx="1091">
                  <c:v>3.1198188947006281E-2</c:v>
                </c:pt>
                <c:pt idx="1092">
                  <c:v>3.1198921985893888E-2</c:v>
                </c:pt>
                <c:pt idx="1093">
                  <c:v>3.1196150154437486E-2</c:v>
                </c:pt>
                <c:pt idx="1094">
                  <c:v>3.1193218963300792E-2</c:v>
                </c:pt>
                <c:pt idx="1095">
                  <c:v>3.1190128413195066E-2</c:v>
                </c:pt>
                <c:pt idx="1096">
                  <c:v>3.1186878504872395E-2</c:v>
                </c:pt>
                <c:pt idx="1097">
                  <c:v>3.1183469239122255E-2</c:v>
                </c:pt>
                <c:pt idx="1098">
                  <c:v>3.117990061677323E-2</c:v>
                </c:pt>
                <c:pt idx="1099">
                  <c:v>3.1176172638693874E-2</c:v>
                </c:pt>
                <c:pt idx="1100">
                  <c:v>3.117228530578884E-2</c:v>
                </c:pt>
                <c:pt idx="1101">
                  <c:v>3.116424243744222E-2</c:v>
                </c:pt>
                <c:pt idx="1102">
                  <c:v>3.1160083355721877E-2</c:v>
                </c:pt>
                <c:pt idx="1103">
                  <c:v>3.1155764976351301E-2</c:v>
                </c:pt>
                <c:pt idx="1104">
                  <c:v>3.115128730035736E-2</c:v>
                </c:pt>
                <c:pt idx="1105">
                  <c:v>3.114760394534212E-2</c:v>
                </c:pt>
                <c:pt idx="1106">
                  <c:v>3.1142795888630444E-2</c:v>
                </c:pt>
                <c:pt idx="1107">
                  <c:v>3.1141537835101842E-2</c:v>
                </c:pt>
                <c:pt idx="1108">
                  <c:v>3.1132701855890291E-2</c:v>
                </c:pt>
                <c:pt idx="1109">
                  <c:v>3.1127415882275623E-2</c:v>
                </c:pt>
                <c:pt idx="1110">
                  <c:v>3.1121076077599591E-2</c:v>
                </c:pt>
                <c:pt idx="1111">
                  <c:v>3.1115483357186214E-2</c:v>
                </c:pt>
                <c:pt idx="1112">
                  <c:v>3.1109731349730382E-2</c:v>
                </c:pt>
                <c:pt idx="1113">
                  <c:v>3.1103820056601107E-2</c:v>
                </c:pt>
                <c:pt idx="1114">
                  <c:v>3.10985964934728E-2</c:v>
                </c:pt>
                <c:pt idx="1115">
                  <c:v>3.1092354721215715E-2</c:v>
                </c:pt>
                <c:pt idx="1116">
                  <c:v>3.1085953654187592E-2</c:v>
                </c:pt>
                <c:pt idx="1117">
                  <c:v>3.1079393293919014E-2</c:v>
                </c:pt>
                <c:pt idx="1118">
                  <c:v>3.1072673641978996E-2</c:v>
                </c:pt>
                <c:pt idx="1119">
                  <c:v>3.1065007380068167E-2</c:v>
                </c:pt>
                <c:pt idx="1120">
                  <c:v>3.1057981128713805E-2</c:v>
                </c:pt>
                <c:pt idx="1121">
                  <c:v>3.1050795603995276E-2</c:v>
                </c:pt>
                <c:pt idx="1122">
                  <c:v>3.1043450807620662E-2</c:v>
                </c:pt>
                <c:pt idx="1123">
                  <c:v>3.1035946741338014E-2</c:v>
                </c:pt>
                <c:pt idx="1124">
                  <c:v>3.1028283406931405E-2</c:v>
                </c:pt>
                <c:pt idx="1125">
                  <c:v>3.1020460806224427E-2</c:v>
                </c:pt>
                <c:pt idx="1126">
                  <c:v>3.1012478941077132E-2</c:v>
                </c:pt>
                <c:pt idx="1127">
                  <c:v>3.1007095566518667E-2</c:v>
                </c:pt>
                <c:pt idx="1128">
                  <c:v>3.0998746823712335E-2</c:v>
                </c:pt>
                <c:pt idx="1129">
                  <c:v>3.0990238769210983E-2</c:v>
                </c:pt>
                <c:pt idx="1130">
                  <c:v>3.0981571405082203E-2</c:v>
                </c:pt>
                <c:pt idx="1131">
                  <c:v>3.0970823407902446E-2</c:v>
                </c:pt>
                <c:pt idx="1132">
                  <c:v>3.0961873858641211E-2</c:v>
                </c:pt>
                <c:pt idx="1133">
                  <c:v>3.0952765045815452E-2</c:v>
                </c:pt>
                <c:pt idx="1134">
                  <c:v>3.0943496971601793E-2</c:v>
                </c:pt>
                <c:pt idx="1135">
                  <c:v>3.0934069638217911E-2</c:v>
                </c:pt>
                <c:pt idx="1136">
                  <c:v>3.0926221838832327E-2</c:v>
                </c:pt>
                <c:pt idx="1137">
                  <c:v>3.0916439368472111E-2</c:v>
                </c:pt>
                <c:pt idx="1138">
                  <c:v>3.09064976064241E-2</c:v>
                </c:pt>
                <c:pt idx="1139">
                  <c:v>3.089639655510442E-2</c:v>
                </c:pt>
                <c:pt idx="1140">
                  <c:v>3.0884544163983913E-2</c:v>
                </c:pt>
                <c:pt idx="1141">
                  <c:v>3.0874161324255821E-2</c:v>
                </c:pt>
                <c:pt idx="1142">
                  <c:v>3.0863619241938339E-2</c:v>
                </c:pt>
                <c:pt idx="1143">
                  <c:v>3.0852917919553604E-2</c:v>
                </c:pt>
                <c:pt idx="1144">
                  <c:v>3.0842057359660006E-2</c:v>
                </c:pt>
                <c:pt idx="1145">
                  <c:v>3.0832445312676759E-2</c:v>
                </c:pt>
                <c:pt idx="1146">
                  <c:v>3.0821229307367731E-2</c:v>
                </c:pt>
                <c:pt idx="1147">
                  <c:v>3.0809854033512395E-2</c:v>
                </c:pt>
                <c:pt idx="1148">
                  <c:v>3.0798319493876281E-2</c:v>
                </c:pt>
                <c:pt idx="1149">
                  <c:v>3.0786625691262306E-2</c:v>
                </c:pt>
                <c:pt idx="1150">
                  <c:v>3.0774772628513358E-2</c:v>
                </c:pt>
                <c:pt idx="1151">
                  <c:v>3.0762760308509718E-2</c:v>
                </c:pt>
                <c:pt idx="1152">
                  <c:v>3.0750588734171625E-2</c:v>
                </c:pt>
                <c:pt idx="1153">
                  <c:v>3.0736400679599773E-2</c:v>
                </c:pt>
                <c:pt idx="1154">
                  <c:v>3.0723972742908522E-2</c:v>
                </c:pt>
                <c:pt idx="1155">
                  <c:v>3.0711385625045599E-2</c:v>
                </c:pt>
                <c:pt idx="1156">
                  <c:v>3.0698639328987188E-2</c:v>
                </c:pt>
                <c:pt idx="1157">
                  <c:v>3.0685733857749666E-2</c:v>
                </c:pt>
                <c:pt idx="1158">
                  <c:v>3.0672980748862846E-2</c:v>
                </c:pt>
                <c:pt idx="1159">
                  <c:v>3.0659744448857346E-2</c:v>
                </c:pt>
                <c:pt idx="1160">
                  <c:v>3.0646348970203564E-2</c:v>
                </c:pt>
                <c:pt idx="1161">
                  <c:v>3.0632794316087959E-2</c:v>
                </c:pt>
                <c:pt idx="1162">
                  <c:v>3.0618818982013352E-2</c:v>
                </c:pt>
                <c:pt idx="1163">
                  <c:v>3.0604958525114009E-2</c:v>
                </c:pt>
                <c:pt idx="1164">
                  <c:v>3.0590938915191528E-2</c:v>
                </c:pt>
                <c:pt idx="1165">
                  <c:v>3.0576760155562595E-2</c:v>
                </c:pt>
                <c:pt idx="1166">
                  <c:v>3.0562633527723381E-2</c:v>
                </c:pt>
                <c:pt idx="1167">
                  <c:v>3.0548123983751799E-2</c:v>
                </c:pt>
                <c:pt idx="1168">
                  <c:v>3.0533458577592446E-2</c:v>
                </c:pt>
                <c:pt idx="1169">
                  <c:v>3.0518644247164568E-2</c:v>
                </c:pt>
                <c:pt idx="1170">
                  <c:v>3.0501540412816178E-2</c:v>
                </c:pt>
                <c:pt idx="1171">
                  <c:v>3.0486274879341406E-2</c:v>
                </c:pt>
                <c:pt idx="1172">
                  <c:v>3.0471047131413818E-2</c:v>
                </c:pt>
                <c:pt idx="1173">
                  <c:v>3.0455699323714603E-2</c:v>
                </c:pt>
                <c:pt idx="1174">
                  <c:v>3.0440238654722038E-2</c:v>
                </c:pt>
                <c:pt idx="1175">
                  <c:v>3.0424672322714341E-2</c:v>
                </c:pt>
                <c:pt idx="1176">
                  <c:v>3.0409007525764368E-2</c:v>
                </c:pt>
                <c:pt idx="1177">
                  <c:v>3.0393251461737842E-2</c:v>
                </c:pt>
                <c:pt idx="1178">
                  <c:v>3.0377411328287633E-2</c:v>
                </c:pt>
                <c:pt idx="1179">
                  <c:v>3.0361942607810964E-2</c:v>
                </c:pt>
                <c:pt idx="1180">
                  <c:v>3.0345945266908623E-2</c:v>
                </c:pt>
                <c:pt idx="1181">
                  <c:v>3.0329887364595264E-2</c:v>
                </c:pt>
                <c:pt idx="1182">
                  <c:v>3.0313775944398585E-2</c:v>
                </c:pt>
                <c:pt idx="1183">
                  <c:v>3.0288159729973028E-2</c:v>
                </c:pt>
                <c:pt idx="1184">
                  <c:v>3.0281420723345286E-2</c:v>
                </c:pt>
                <c:pt idx="1185">
                  <c:v>3.0265191008414599E-2</c:v>
                </c:pt>
                <c:pt idx="1186">
                  <c:v>3.0248935947450317E-2</c:v>
                </c:pt>
                <c:pt idx="1187">
                  <c:v>3.0232662582841598E-2</c:v>
                </c:pt>
                <c:pt idx="1188">
                  <c:v>3.0216377956745571E-2</c:v>
                </c:pt>
                <c:pt idx="1189">
                  <c:v>3.020008911108819E-2</c:v>
                </c:pt>
                <c:pt idx="1190">
                  <c:v>3.0183803087563826E-2</c:v>
                </c:pt>
                <c:pt idx="1191">
                  <c:v>3.0167526927633082E-2</c:v>
                </c:pt>
                <c:pt idx="1192">
                  <c:v>3.0151267672526252E-2</c:v>
                </c:pt>
                <c:pt idx="1193">
                  <c:v>3.0135032144267371E-2</c:v>
                </c:pt>
                <c:pt idx="1194">
                  <c:v>3.0118823486590354E-2</c:v>
                </c:pt>
                <c:pt idx="1195">
                  <c:v>3.0102641791215138E-2</c:v>
                </c:pt>
                <c:pt idx="1196">
                  <c:v>3.0086487057481921E-2</c:v>
                </c:pt>
                <c:pt idx="1197">
                  <c:v>3.0070359284731771E-2</c:v>
                </c:pt>
                <c:pt idx="1198">
                  <c:v>3.0054258472305324E-2</c:v>
                </c:pt>
                <c:pt idx="1199">
                  <c:v>3.0038184619547104E-2</c:v>
                </c:pt>
                <c:pt idx="1200">
                  <c:v>3.0022137725800771E-2</c:v>
                </c:pt>
                <c:pt idx="1201">
                  <c:v>3.0006117790411718E-2</c:v>
                </c:pt>
                <c:pt idx="1202">
                  <c:v>2.9990124812726192E-2</c:v>
                </c:pt>
                <c:pt idx="1203">
                  <c:v>2.9974158792091744E-2</c:v>
                </c:pt>
                <c:pt idx="1204">
                  <c:v>2.9958219727857647E-2</c:v>
                </c:pt>
                <c:pt idx="1205">
                  <c:v>2.9941861409482254E-2</c:v>
                </c:pt>
                <c:pt idx="1206">
                  <c:v>2.9925973800676242E-2</c:v>
                </c:pt>
                <c:pt idx="1207">
                  <c:v>2.9910113134854206E-2</c:v>
                </c:pt>
                <c:pt idx="1208">
                  <c:v>2.9894279411383284E-2</c:v>
                </c:pt>
                <c:pt idx="1209">
                  <c:v>2.9878586555035978E-2</c:v>
                </c:pt>
                <c:pt idx="1210">
                  <c:v>2.9862807339220691E-2</c:v>
                </c:pt>
                <c:pt idx="1211">
                  <c:v>2.9847055066717598E-2</c:v>
                </c:pt>
                <c:pt idx="1212">
                  <c:v>2.9831793644652164E-2</c:v>
                </c:pt>
                <c:pt idx="1213">
                  <c:v>2.9815631349119479E-2</c:v>
                </c:pt>
                <c:pt idx="1214">
                  <c:v>2.9799842824616597E-2</c:v>
                </c:pt>
                <c:pt idx="1215">
                  <c:v>2.9784197679968948E-2</c:v>
                </c:pt>
                <c:pt idx="1216">
                  <c:v>2.9768579472646599E-2</c:v>
                </c:pt>
                <c:pt idx="1217">
                  <c:v>2.97529882020264E-2</c:v>
                </c:pt>
                <c:pt idx="1218">
                  <c:v>2.9737543518962694E-2</c:v>
                </c:pt>
                <c:pt idx="1219">
                  <c:v>2.9722006770287395E-2</c:v>
                </c:pt>
                <c:pt idx="1220">
                  <c:v>2.970649695927343E-2</c:v>
                </c:pt>
                <c:pt idx="1221">
                  <c:v>2.9691014085298E-2</c:v>
                </c:pt>
                <c:pt idx="1222">
                  <c:v>2.9668574971721741E-2</c:v>
                </c:pt>
                <c:pt idx="1223">
                  <c:v>2.9653524962153708E-2</c:v>
                </c:pt>
                <c:pt idx="1224">
                  <c:v>2.963813443903008E-2</c:v>
                </c:pt>
                <c:pt idx="1225">
                  <c:v>2.9622770850201683E-2</c:v>
                </c:pt>
                <c:pt idx="1226">
                  <c:v>2.960743419505275E-2</c:v>
                </c:pt>
                <c:pt idx="1227">
                  <c:v>2.9592124472967069E-2</c:v>
                </c:pt>
                <c:pt idx="1228">
                  <c:v>2.9576841683330187E-2</c:v>
                </c:pt>
                <c:pt idx="1229">
                  <c:v>2.9561585825529844E-2</c:v>
                </c:pt>
                <c:pt idx="1230">
                  <c:v>2.9546356898952471E-2</c:v>
                </c:pt>
                <c:pt idx="1231">
                  <c:v>2.9531412362493268E-2</c:v>
                </c:pt>
                <c:pt idx="1232">
                  <c:v>2.9516238673482777E-2</c:v>
                </c:pt>
                <c:pt idx="1233">
                  <c:v>2.9501091919420908E-2</c:v>
                </c:pt>
                <c:pt idx="1234">
                  <c:v>2.9485972099692063E-2</c:v>
                </c:pt>
                <c:pt idx="1235">
                  <c:v>2.94707476761738E-2</c:v>
                </c:pt>
                <c:pt idx="1236">
                  <c:v>2.9455681023558437E-2</c:v>
                </c:pt>
                <c:pt idx="1237">
                  <c:v>2.9440641300676713E-2</c:v>
                </c:pt>
                <c:pt idx="1238">
                  <c:v>2.9421344083356674E-2</c:v>
                </c:pt>
                <c:pt idx="1239">
                  <c:v>2.9410642641683755E-2</c:v>
                </c:pt>
                <c:pt idx="1240">
                  <c:v>2.9395818768047307E-2</c:v>
                </c:pt>
                <c:pt idx="1241">
                  <c:v>2.9380887471538539E-2</c:v>
                </c:pt>
                <c:pt idx="1242">
                  <c:v>2.9365983104486699E-2</c:v>
                </c:pt>
                <c:pt idx="1243">
                  <c:v>2.9351105666286612E-2</c:v>
                </c:pt>
                <c:pt idx="1244">
                  <c:v>2.9336117222177348E-2</c:v>
                </c:pt>
                <c:pt idx="1245">
                  <c:v>2.9321292915401993E-2</c:v>
                </c:pt>
                <c:pt idx="1246">
                  <c:v>2.9306495532936853E-2</c:v>
                </c:pt>
                <c:pt idx="1247">
                  <c:v>2.9291725074184809E-2</c:v>
                </c:pt>
                <c:pt idx="1248">
                  <c:v>2.9277263313717845E-2</c:v>
                </c:pt>
                <c:pt idx="1249">
                  <c:v>2.9262406509263011E-2</c:v>
                </c:pt>
                <c:pt idx="1250">
                  <c:v>2.9247717556191738E-2</c:v>
                </c:pt>
                <c:pt idx="1251">
                  <c:v>2.9233055527173882E-2</c:v>
                </c:pt>
                <c:pt idx="1252">
                  <c:v>2.9218420421616445E-2</c:v>
                </c:pt>
                <c:pt idx="1253">
                  <c:v>2.9203812238924251E-2</c:v>
                </c:pt>
                <c:pt idx="1254">
                  <c:v>2.9189230978506463E-2</c:v>
                </c:pt>
                <c:pt idx="1255">
                  <c:v>2.9174676639769651E-2</c:v>
                </c:pt>
                <c:pt idx="1256">
                  <c:v>2.9160149222124714E-2</c:v>
                </c:pt>
                <c:pt idx="1257">
                  <c:v>2.9145353676601579E-2</c:v>
                </c:pt>
                <c:pt idx="1258">
                  <c:v>2.9130878580130231E-2</c:v>
                </c:pt>
                <c:pt idx="1259">
                  <c:v>2.9116430397600292E-2</c:v>
                </c:pt>
                <c:pt idx="1260">
                  <c:v>2.9102009128431122E-2</c:v>
                </c:pt>
                <c:pt idx="1261">
                  <c:v>2.9087614772045602E-2</c:v>
                </c:pt>
                <c:pt idx="1262">
                  <c:v>2.9073247327863976E-2</c:v>
                </c:pt>
                <c:pt idx="1263">
                  <c:v>2.9059058876228363E-2</c:v>
                </c:pt>
                <c:pt idx="1264">
                  <c:v>2.9044593173812704E-2</c:v>
                </c:pt>
                <c:pt idx="1265">
                  <c:v>2.9030306462792775E-2</c:v>
                </c:pt>
                <c:pt idx="1266">
                  <c:v>2.9016046661678795E-2</c:v>
                </c:pt>
                <c:pt idx="1267">
                  <c:v>2.9001813769898476E-2</c:v>
                </c:pt>
                <c:pt idx="1268">
                  <c:v>2.8987607786880851E-2</c:v>
                </c:pt>
                <c:pt idx="1269">
                  <c:v>2.8973428712055382E-2</c:v>
                </c:pt>
                <c:pt idx="1270">
                  <c:v>2.8959276544854175E-2</c:v>
                </c:pt>
                <c:pt idx="1271">
                  <c:v>2.894515128470845E-2</c:v>
                </c:pt>
                <c:pt idx="1272">
                  <c:v>2.8931052931052949E-2</c:v>
                </c:pt>
                <c:pt idx="1273">
                  <c:v>2.8916981483319774E-2</c:v>
                </c:pt>
                <c:pt idx="1274">
                  <c:v>2.8900771986211177E-2</c:v>
                </c:pt>
                <c:pt idx="1275">
                  <c:v>2.8886757387211647E-2</c:v>
                </c:pt>
                <c:pt idx="1276">
                  <c:v>2.8872769689724732E-2</c:v>
                </c:pt>
                <c:pt idx="1277">
                  <c:v>2.8858808893193536E-2</c:v>
                </c:pt>
                <c:pt idx="1278">
                  <c:v>2.8844874997059389E-2</c:v>
                </c:pt>
                <c:pt idx="1279">
                  <c:v>2.8830968000767593E-2</c:v>
                </c:pt>
                <c:pt idx="1280">
                  <c:v>2.8817087903762573E-2</c:v>
                </c:pt>
                <c:pt idx="1281">
                  <c:v>2.8803234705491405E-2</c:v>
                </c:pt>
                <c:pt idx="1282">
                  <c:v>2.8789408405400712E-2</c:v>
                </c:pt>
                <c:pt idx="1283">
                  <c:v>2.87761136491533E-2</c:v>
                </c:pt>
                <c:pt idx="1284">
                  <c:v>2.8762343630340276E-2</c:v>
                </c:pt>
                <c:pt idx="1285">
                  <c:v>2.8748600515893376E-2</c:v>
                </c:pt>
                <c:pt idx="1286">
                  <c:v>2.8734884305255226E-2</c:v>
                </c:pt>
                <c:pt idx="1287">
                  <c:v>2.8721023361713335E-2</c:v>
                </c:pt>
                <c:pt idx="1288">
                  <c:v>2.8707360117448816E-2</c:v>
                </c:pt>
                <c:pt idx="1289">
                  <c:v>2.8689832614890835E-2</c:v>
                </c:pt>
                <c:pt idx="1290">
                  <c:v>2.8676230854487814E-2</c:v>
                </c:pt>
                <c:pt idx="1291">
                  <c:v>2.8661069761095725E-2</c:v>
                </c:pt>
                <c:pt idx="1292">
                  <c:v>2.8649636611726217E-2</c:v>
                </c:pt>
                <c:pt idx="1293">
                  <c:v>2.8636118105267446E-2</c:v>
                </c:pt>
                <c:pt idx="1294">
                  <c:v>2.8622626503209535E-2</c:v>
                </c:pt>
                <c:pt idx="1295">
                  <c:v>2.8608625515844716E-2</c:v>
                </c:pt>
                <c:pt idx="1296">
                  <c:v>2.8595185136972786E-2</c:v>
                </c:pt>
                <c:pt idx="1297">
                  <c:v>2.8581771653119092E-2</c:v>
                </c:pt>
                <c:pt idx="1298">
                  <c:v>2.8568385063741986E-2</c:v>
                </c:pt>
                <c:pt idx="1299">
                  <c:v>2.8555572039615389E-2</c:v>
                </c:pt>
                <c:pt idx="1300">
                  <c:v>2.8542241852387365E-2</c:v>
                </c:pt>
                <c:pt idx="1301">
                  <c:v>2.8528938565711665E-2</c:v>
                </c:pt>
                <c:pt idx="1302">
                  <c:v>2.8515662179043347E-2</c:v>
                </c:pt>
                <c:pt idx="1303">
                  <c:v>2.8502412691837474E-2</c:v>
                </c:pt>
                <c:pt idx="1304">
                  <c:v>2.8488630281335716E-2</c:v>
                </c:pt>
                <c:pt idx="1305">
                  <c:v>2.8475994413642746E-2</c:v>
                </c:pt>
                <c:pt idx="1306">
                  <c:v>2.8462825621569598E-2</c:v>
                </c:pt>
                <c:pt idx="1307">
                  <c:v>2.84496837267946E-2</c:v>
                </c:pt>
                <c:pt idx="1308">
                  <c:v>2.8435998247953214E-2</c:v>
                </c:pt>
                <c:pt idx="1309">
                  <c:v>2.8422716599717183E-2</c:v>
                </c:pt>
                <c:pt idx="1310">
                  <c:v>2.84096518057101E-2</c:v>
                </c:pt>
                <c:pt idx="1311">
                  <c:v>2.8396613896710204E-2</c:v>
                </c:pt>
                <c:pt idx="1312">
                  <c:v>2.8383602872193957E-2</c:v>
                </c:pt>
                <c:pt idx="1313">
                  <c:v>2.8370813195736911E-2</c:v>
                </c:pt>
                <c:pt idx="1314">
                  <c:v>2.8357856845295432E-2</c:v>
                </c:pt>
                <c:pt idx="1315">
                  <c:v>2.8344927380299513E-2</c:v>
                </c:pt>
                <c:pt idx="1316">
                  <c:v>2.833202480022674E-2</c:v>
                </c:pt>
                <c:pt idx="1317">
                  <c:v>2.8319149104558176E-2</c:v>
                </c:pt>
                <c:pt idx="1318">
                  <c:v>2.8306101270096234E-2</c:v>
                </c:pt>
                <c:pt idx="1319">
                  <c:v>2.8293278422411468E-2</c:v>
                </c:pt>
                <c:pt idx="1320">
                  <c:v>2.8280482455065096E-2</c:v>
                </c:pt>
                <c:pt idx="1321">
                  <c:v>2.8267713367543683E-2</c:v>
                </c:pt>
                <c:pt idx="1322">
                  <c:v>2.825517387412823E-2</c:v>
                </c:pt>
                <c:pt idx="1323">
                  <c:v>2.8242459474012754E-2</c:v>
                </c:pt>
                <c:pt idx="1324">
                  <c:v>2.8229771954688204E-2</c:v>
                </c:pt>
                <c:pt idx="1325">
                  <c:v>2.8209888733260417E-2</c:v>
                </c:pt>
                <c:pt idx="1326">
                  <c:v>2.8202468346881015E-2</c:v>
                </c:pt>
                <c:pt idx="1327">
                  <c:v>2.8191663290138492E-2</c:v>
                </c:pt>
                <c:pt idx="1328">
                  <c:v>2.8179082347112666E-2</c:v>
                </c:pt>
                <c:pt idx="1329">
                  <c:v>2.8166528279844723E-2</c:v>
                </c:pt>
                <c:pt idx="1330">
                  <c:v>2.8154001087831771E-2</c:v>
                </c:pt>
                <c:pt idx="1331">
                  <c:v>2.8141500770570031E-2</c:v>
                </c:pt>
                <c:pt idx="1332">
                  <c:v>2.8129027327559248E-2</c:v>
                </c:pt>
                <c:pt idx="1333">
                  <c:v>2.8116580758298725E-2</c:v>
                </c:pt>
                <c:pt idx="1334">
                  <c:v>2.8104161062289079E-2</c:v>
                </c:pt>
                <c:pt idx="1335">
                  <c:v>2.8092628818334239E-2</c:v>
                </c:pt>
                <c:pt idx="1336">
                  <c:v>2.808026671527818E-2</c:v>
                </c:pt>
                <c:pt idx="1337">
                  <c:v>2.8067931493835189E-2</c:v>
                </c:pt>
                <c:pt idx="1338">
                  <c:v>2.8055623153500717E-2</c:v>
                </c:pt>
                <c:pt idx="1339">
                  <c:v>2.8042684514371124E-2</c:v>
                </c:pt>
                <c:pt idx="1340">
                  <c:v>2.8030427018848933E-2</c:v>
                </c:pt>
                <c:pt idx="1341">
                  <c:v>2.801819639556757E-2</c:v>
                </c:pt>
                <c:pt idx="1342">
                  <c:v>2.8005992644032127E-2</c:v>
                </c:pt>
                <c:pt idx="1343">
                  <c:v>2.7993815763750759E-2</c:v>
                </c:pt>
                <c:pt idx="1344">
                  <c:v>2.7982337586590668E-2</c:v>
                </c:pt>
                <c:pt idx="1345">
                  <c:v>2.7970217399948823E-2</c:v>
                </c:pt>
                <c:pt idx="1346">
                  <c:v>2.7958124090409243E-2</c:v>
                </c:pt>
                <c:pt idx="1347">
                  <c:v>2.7946057657477697E-2</c:v>
                </c:pt>
                <c:pt idx="1348">
                  <c:v>2.7933334414009404E-2</c:v>
                </c:pt>
                <c:pt idx="1349">
                  <c:v>2.7921318750979168E-2</c:v>
                </c:pt>
                <c:pt idx="1350">
                  <c:v>2.790932995578891E-2</c:v>
                </c:pt>
                <c:pt idx="1351">
                  <c:v>2.7897368027953767E-2</c:v>
                </c:pt>
                <c:pt idx="1352">
                  <c:v>2.788612862465327E-2</c:v>
                </c:pt>
                <c:pt idx="1353">
                  <c:v>2.7874223441016501E-2</c:v>
                </c:pt>
                <c:pt idx="1354">
                  <c:v>2.7862345130547941E-2</c:v>
                </c:pt>
                <c:pt idx="1355">
                  <c:v>2.7850493692760235E-2</c:v>
                </c:pt>
                <c:pt idx="1356">
                  <c:v>2.7838669127168609E-2</c:v>
                </c:pt>
                <c:pt idx="1357">
                  <c:v>2.7826871433287433E-2</c:v>
                </c:pt>
                <c:pt idx="1358">
                  <c:v>2.781510061063365E-2</c:v>
                </c:pt>
                <c:pt idx="1359">
                  <c:v>2.7803356658724639E-2</c:v>
                </c:pt>
                <c:pt idx="1360">
                  <c:v>2.7791639577079488E-2</c:v>
                </c:pt>
                <c:pt idx="1361">
                  <c:v>2.7778744890562795E-2</c:v>
                </c:pt>
                <c:pt idx="1362">
                  <c:v>2.7767076422784052E-2</c:v>
                </c:pt>
                <c:pt idx="1363">
                  <c:v>2.7755434811852223E-2</c:v>
                </c:pt>
                <c:pt idx="1364">
                  <c:v>2.7743820057302703E-2</c:v>
                </c:pt>
                <c:pt idx="1365">
                  <c:v>2.7732476944750284E-2</c:v>
                </c:pt>
                <c:pt idx="1366">
                  <c:v>2.7720916935639887E-2</c:v>
                </c:pt>
                <c:pt idx="1367">
                  <c:v>2.7709383783910864E-2</c:v>
                </c:pt>
                <c:pt idx="1368">
                  <c:v>2.7697877489101609E-2</c:v>
                </c:pt>
                <c:pt idx="1369">
                  <c:v>2.7686398050750509E-2</c:v>
                </c:pt>
                <c:pt idx="1370">
                  <c:v>2.767469548817238E-2</c:v>
                </c:pt>
                <c:pt idx="1371">
                  <c:v>2.766326871539003E-2</c:v>
                </c:pt>
                <c:pt idx="1372">
                  <c:v>2.7651868795314258E-2</c:v>
                </c:pt>
                <c:pt idx="1373">
                  <c:v>2.7640495727489736E-2</c:v>
                </c:pt>
                <c:pt idx="1374">
                  <c:v>2.7629403689791415E-2</c:v>
                </c:pt>
                <c:pt idx="1375">
                  <c:v>2.7618085380558717E-2</c:v>
                </c:pt>
                <c:pt idx="1376">
                  <c:v>2.7606793924584094E-2</c:v>
                </c:pt>
                <c:pt idx="1377">
                  <c:v>2.7595529321415162E-2</c:v>
                </c:pt>
                <c:pt idx="1378">
                  <c:v>2.7584291570599544E-2</c:v>
                </c:pt>
                <c:pt idx="1379">
                  <c:v>2.7572821192509627E-2</c:v>
                </c:pt>
                <c:pt idx="1380">
                  <c:v>2.7561636077808226E-2</c:v>
                </c:pt>
                <c:pt idx="1381">
                  <c:v>2.7550477811760513E-2</c:v>
                </c:pt>
                <c:pt idx="1382">
                  <c:v>2.753934639391999E-2</c:v>
                </c:pt>
                <c:pt idx="1383">
                  <c:v>2.7528241823845469E-2</c:v>
                </c:pt>
                <c:pt idx="1384">
                  <c:v>2.7517164101090896E-2</c:v>
                </c:pt>
                <c:pt idx="1385">
                  <c:v>2.75061132252164E-2</c:v>
                </c:pt>
                <c:pt idx="1386">
                  <c:v>2.7495089195781228E-2</c:v>
                </c:pt>
                <c:pt idx="1387">
                  <c:v>2.7485433603578125E-2</c:v>
                </c:pt>
                <c:pt idx="1388">
                  <c:v>2.7474468698356059E-2</c:v>
                </c:pt>
                <c:pt idx="1389">
                  <c:v>2.7463530649917453E-2</c:v>
                </c:pt>
                <c:pt idx="1390">
                  <c:v>2.745261945781536E-2</c:v>
                </c:pt>
                <c:pt idx="1391">
                  <c:v>2.7440916730107671E-2</c:v>
                </c:pt>
                <c:pt idx="1392">
                  <c:v>2.7430055960986466E-2</c:v>
                </c:pt>
                <c:pt idx="1393">
                  <c:v>2.741922203989507E-2</c:v>
                </c:pt>
                <c:pt idx="1394">
                  <c:v>2.7408414966396243E-2</c:v>
                </c:pt>
                <c:pt idx="1395">
                  <c:v>2.7397634740054914E-2</c:v>
                </c:pt>
                <c:pt idx="1396">
                  <c:v>2.7387716263280876E-2</c:v>
                </c:pt>
                <c:pt idx="1397">
                  <c:v>2.7376993053067761E-2</c:v>
                </c:pt>
                <c:pt idx="1398">
                  <c:v>2.7366296695643458E-2</c:v>
                </c:pt>
                <c:pt idx="1399">
                  <c:v>2.7355627190570463E-2</c:v>
                </c:pt>
                <c:pt idx="1400">
                  <c:v>2.7344136300528645E-2</c:v>
                </c:pt>
                <c:pt idx="1401">
                  <c:v>2.733351714803928E-2</c:v>
                </c:pt>
                <c:pt idx="1402">
                  <c:v>2.7322924839687755E-2</c:v>
                </c:pt>
                <c:pt idx="1403">
                  <c:v>2.7312359375045562E-2</c:v>
                </c:pt>
                <c:pt idx="1404">
                  <c:v>2.730182075368856E-2</c:v>
                </c:pt>
                <c:pt idx="1405">
                  <c:v>2.7292174035086533E-2</c:v>
                </c:pt>
                <c:pt idx="1406">
                  <c:v>2.728169248428719E-2</c:v>
                </c:pt>
                <c:pt idx="1407">
                  <c:v>2.727123778237053E-2</c:v>
                </c:pt>
                <c:pt idx="1408">
                  <c:v>2.7260809928909804E-2</c:v>
                </c:pt>
                <c:pt idx="1409">
                  <c:v>2.7250408923476535E-2</c:v>
                </c:pt>
                <c:pt idx="1410">
                  <c:v>2.7240034765644829E-2</c:v>
                </c:pt>
                <c:pt idx="1411">
                  <c:v>2.7229687454989215E-2</c:v>
                </c:pt>
                <c:pt idx="1412">
                  <c:v>2.7219366991086381E-2</c:v>
                </c:pt>
                <c:pt idx="1413">
                  <c:v>2.7207586773904131E-2</c:v>
                </c:pt>
                <c:pt idx="1414">
                  <c:v>2.7197314270176926E-2</c:v>
                </c:pt>
                <c:pt idx="1415">
                  <c:v>2.7187068600574474E-2</c:v>
                </c:pt>
                <c:pt idx="1416">
                  <c:v>2.7176849764687386E-2</c:v>
                </c:pt>
                <c:pt idx="1417">
                  <c:v>2.7166657762108467E-2</c:v>
                </c:pt>
                <c:pt idx="1418">
                  <c:v>2.7156795414962371E-2</c:v>
                </c:pt>
                <c:pt idx="1419">
                  <c:v>2.7146658234999222E-2</c:v>
                </c:pt>
                <c:pt idx="1420">
                  <c:v>2.7136547889389715E-2</c:v>
                </c:pt>
                <c:pt idx="1421">
                  <c:v>2.71264643777289E-2</c:v>
                </c:pt>
                <c:pt idx="1422">
                  <c:v>2.7116100234649797E-2</c:v>
                </c:pt>
                <c:pt idx="1423">
                  <c:v>2.7106069223422839E-2</c:v>
                </c:pt>
                <c:pt idx="1424">
                  <c:v>2.7096065042681122E-2</c:v>
                </c:pt>
                <c:pt idx="1425">
                  <c:v>2.7086087692026726E-2</c:v>
                </c:pt>
                <c:pt idx="1426">
                  <c:v>2.7076449314538974E-2</c:v>
                </c:pt>
                <c:pt idx="1427">
                  <c:v>2.7066526782667657E-2</c:v>
                </c:pt>
                <c:pt idx="1428">
                  <c:v>2.7056630540672987E-2</c:v>
                </c:pt>
                <c:pt idx="1429">
                  <c:v>2.7046759447281958E-2</c:v>
                </c:pt>
                <c:pt idx="1430">
                  <c:v>2.7036912324627533E-2</c:v>
                </c:pt>
                <c:pt idx="1431">
                  <c:v>2.7026771465394381E-2</c:v>
                </c:pt>
                <c:pt idx="1432">
                  <c:v>2.7016968307517757E-2</c:v>
                </c:pt>
                <c:pt idx="1433">
                  <c:v>2.700718571896682E-2</c:v>
                </c:pt>
                <c:pt idx="1434">
                  <c:v>2.6997422515551591E-2</c:v>
                </c:pt>
                <c:pt idx="1435">
                  <c:v>2.6987677513105053E-2</c:v>
                </c:pt>
                <c:pt idx="1436">
                  <c:v>2.697794952748403E-2</c:v>
                </c:pt>
                <c:pt idx="1437">
                  <c:v>2.6968237374569645E-2</c:v>
                </c:pt>
                <c:pt idx="1438">
                  <c:v>2.6958539870264659E-2</c:v>
                </c:pt>
                <c:pt idx="1439">
                  <c:v>2.695043902469673E-2</c:v>
                </c:pt>
                <c:pt idx="1440">
                  <c:v>2.6940765038388794E-2</c:v>
                </c:pt>
                <c:pt idx="1441">
                  <c:v>2.6931101753692066E-2</c:v>
                </c:pt>
                <c:pt idx="1442">
                  <c:v>2.6921448017999939E-2</c:v>
                </c:pt>
                <c:pt idx="1443">
                  <c:v>2.6910859657301472E-2</c:v>
                </c:pt>
                <c:pt idx="1444">
                  <c:v>2.6901223741356967E-2</c:v>
                </c:pt>
                <c:pt idx="1445">
                  <c:v>2.6891594076522692E-2</c:v>
                </c:pt>
                <c:pt idx="1446">
                  <c:v>2.6881969491652846E-2</c:v>
                </c:pt>
                <c:pt idx="1447">
                  <c:v>2.6872348815620405E-2</c:v>
                </c:pt>
                <c:pt idx="1448">
                  <c:v>2.686366158993278E-2</c:v>
                </c:pt>
                <c:pt idx="1449">
                  <c:v>2.6854042426241828E-2</c:v>
                </c:pt>
                <c:pt idx="1450">
                  <c:v>2.6844423591532447E-2</c:v>
                </c:pt>
                <c:pt idx="1451">
                  <c:v>2.6834803933403453E-2</c:v>
                </c:pt>
                <c:pt idx="1452">
                  <c:v>2.6824263080229963E-2</c:v>
                </c:pt>
                <c:pt idx="1453">
                  <c:v>2.681464128022535E-2</c:v>
                </c:pt>
                <c:pt idx="1454">
                  <c:v>2.6805015730093532E-2</c:v>
                </c:pt>
                <c:pt idx="1455">
                  <c:v>2.6795386393473217E-2</c:v>
                </c:pt>
                <c:pt idx="1456">
                  <c:v>2.6785753270419436E-2</c:v>
                </c:pt>
                <c:pt idx="1457">
                  <c:v>2.6777020842470307E-2</c:v>
                </c:pt>
                <c:pt idx="1458">
                  <c:v>2.6767377198854171E-2</c:v>
                </c:pt>
                <c:pt idx="1459">
                  <c:v>2.6757729768908504E-2</c:v>
                </c:pt>
                <c:pt idx="1460">
                  <c:v>2.6748078552690034E-2</c:v>
                </c:pt>
                <c:pt idx="1461">
                  <c:v>2.6738423550255068E-2</c:v>
                </c:pt>
                <c:pt idx="1462">
                  <c:v>2.6728764761658606E-2</c:v>
                </c:pt>
                <c:pt idx="1463">
                  <c:v>2.6719102186958672E-2</c:v>
                </c:pt>
                <c:pt idx="1464">
                  <c:v>2.6709435826211134E-2</c:v>
                </c:pt>
                <c:pt idx="1465">
                  <c:v>2.6698297121437672E-2</c:v>
                </c:pt>
                <c:pt idx="1466">
                  <c:v>2.6688628102378226E-2</c:v>
                </c:pt>
                <c:pt idx="1467">
                  <c:v>2.6678955297532073E-2</c:v>
                </c:pt>
                <c:pt idx="1468">
                  <c:v>2.6669278706954409E-2</c:v>
                </c:pt>
                <c:pt idx="1469">
                  <c:v>2.6659598330700002E-2</c:v>
                </c:pt>
                <c:pt idx="1470">
                  <c:v>2.6650203125798824E-2</c:v>
                </c:pt>
                <c:pt idx="1471">
                  <c:v>2.6640514195655357E-2</c:v>
                </c:pt>
                <c:pt idx="1472">
                  <c:v>2.6630821479982199E-2</c:v>
                </c:pt>
                <c:pt idx="1473">
                  <c:v>2.6621124978836445E-2</c:v>
                </c:pt>
                <c:pt idx="1474">
                  <c:v>2.6611139666204979E-2</c:v>
                </c:pt>
                <c:pt idx="1475">
                  <c:v>2.660143657704675E-2</c:v>
                </c:pt>
                <c:pt idx="1476">
                  <c:v>2.6591729702596441E-2</c:v>
                </c:pt>
                <c:pt idx="1477">
                  <c:v>2.658201904291058E-2</c:v>
                </c:pt>
                <c:pt idx="1478">
                  <c:v>2.657258569294952E-2</c:v>
                </c:pt>
                <c:pt idx="1479">
                  <c:v>2.6562866480128587E-2</c:v>
                </c:pt>
                <c:pt idx="1480">
                  <c:v>2.6553143482222884E-2</c:v>
                </c:pt>
                <c:pt idx="1481">
                  <c:v>2.6543416699287305E-2</c:v>
                </c:pt>
                <c:pt idx="1482">
                  <c:v>2.6532295741273929E-2</c:v>
                </c:pt>
                <c:pt idx="1483">
                  <c:v>2.6522284807539452E-2</c:v>
                </c:pt>
                <c:pt idx="1484">
                  <c:v>2.6512547112058551E-2</c:v>
                </c:pt>
                <c:pt idx="1485">
                  <c:v>2.6502805631791245E-2</c:v>
                </c:pt>
                <c:pt idx="1486">
                  <c:v>2.6493060366792737E-2</c:v>
                </c:pt>
                <c:pt idx="1487">
                  <c:v>2.6483311317118671E-2</c:v>
                </c:pt>
                <c:pt idx="1488">
                  <c:v>2.6473558482824695E-2</c:v>
                </c:pt>
                <c:pt idx="1489">
                  <c:v>2.6463801863966015E-2</c:v>
                </c:pt>
                <c:pt idx="1490">
                  <c:v>2.6454041460597391E-2</c:v>
                </c:pt>
                <c:pt idx="1491">
                  <c:v>2.6445349495088581E-2</c:v>
                </c:pt>
                <c:pt idx="1492">
                  <c:v>2.6435577590569723E-2</c:v>
                </c:pt>
                <c:pt idx="1493">
                  <c:v>2.6425801901667028E-2</c:v>
                </c:pt>
                <c:pt idx="1494">
                  <c:v>2.6410168035792089E-2</c:v>
                </c:pt>
                <c:pt idx="1495">
                  <c:v>2.6405446922687741E-2</c:v>
                </c:pt>
                <c:pt idx="1496">
                  <c:v>2.6396452129221117E-2</c:v>
                </c:pt>
                <c:pt idx="1497">
                  <c:v>2.6386661303349556E-2</c:v>
                </c:pt>
                <c:pt idx="1498">
                  <c:v>2.6376866693377611E-2</c:v>
                </c:pt>
                <c:pt idx="1499">
                  <c:v>2.6367068299362317E-2</c:v>
                </c:pt>
                <c:pt idx="1500">
                  <c:v>2.6357266121360277E-2</c:v>
                </c:pt>
                <c:pt idx="1501">
                  <c:v>2.6347460159428529E-2</c:v>
                </c:pt>
                <c:pt idx="1502">
                  <c:v>2.6337650413623671E-2</c:v>
                </c:pt>
                <c:pt idx="1503">
                  <c:v>2.632783688400404E-2</c:v>
                </c:pt>
                <c:pt idx="1504">
                  <c:v>2.6318019570625371E-2</c:v>
                </c:pt>
                <c:pt idx="1505">
                  <c:v>2.6308198473544271E-2</c:v>
                </c:pt>
                <c:pt idx="1506">
                  <c:v>2.6298373592819071E-2</c:v>
                </c:pt>
                <c:pt idx="1507">
                  <c:v>2.6288544928505943E-2</c:v>
                </c:pt>
                <c:pt idx="1508">
                  <c:v>2.6278712480661919E-2</c:v>
                </c:pt>
                <c:pt idx="1509">
                  <c:v>2.6268876249344469E-2</c:v>
                </c:pt>
                <c:pt idx="1510">
                  <c:v>2.6259036234610195E-2</c:v>
                </c:pt>
                <c:pt idx="1511">
                  <c:v>2.6249192436516997E-2</c:v>
                </c:pt>
                <c:pt idx="1512">
                  <c:v>2.6239344855121478E-2</c:v>
                </c:pt>
                <c:pt idx="1513">
                  <c:v>2.6229493490480246E-2</c:v>
                </c:pt>
                <c:pt idx="1514">
                  <c:v>2.6219638342651626E-2</c:v>
                </c:pt>
                <c:pt idx="1515">
                  <c:v>2.6209779411691794E-2</c:v>
                </c:pt>
                <c:pt idx="1516">
                  <c:v>2.619991669765908E-2</c:v>
                </c:pt>
                <c:pt idx="1517">
                  <c:v>2.6189322844438902E-2</c:v>
                </c:pt>
                <c:pt idx="1518">
                  <c:v>2.6179455514231485E-2</c:v>
                </c:pt>
                <c:pt idx="1519">
                  <c:v>2.6169584401127433E-2</c:v>
                </c:pt>
                <c:pt idx="1520">
                  <c:v>2.6159709505186039E-2</c:v>
                </c:pt>
                <c:pt idx="1521">
                  <c:v>2.6150546383397224E-2</c:v>
                </c:pt>
                <c:pt idx="1522">
                  <c:v>2.6140660972126691E-2</c:v>
                </c:pt>
                <c:pt idx="1523">
                  <c:v>2.6131008165752433E-2</c:v>
                </c:pt>
                <c:pt idx="1524">
                  <c:v>2.6120878801625214E-2</c:v>
                </c:pt>
                <c:pt idx="1525">
                  <c:v>2.611098204251007E-2</c:v>
                </c:pt>
                <c:pt idx="1526">
                  <c:v>2.6100380693076759E-2</c:v>
                </c:pt>
                <c:pt idx="1527">
                  <c:v>2.6090479318843278E-2</c:v>
                </c:pt>
                <c:pt idx="1528">
                  <c:v>2.6080574162222651E-2</c:v>
                </c:pt>
                <c:pt idx="1529">
                  <c:v>2.6070665223271089E-2</c:v>
                </c:pt>
                <c:pt idx="1530">
                  <c:v>2.6060752502045693E-2</c:v>
                </c:pt>
                <c:pt idx="1531">
                  <c:v>2.605152205732978E-2</c:v>
                </c:pt>
                <c:pt idx="1532">
                  <c:v>2.6041598821922345E-2</c:v>
                </c:pt>
                <c:pt idx="1533">
                  <c:v>2.6031671804417244E-2</c:v>
                </c:pt>
                <c:pt idx="1534">
                  <c:v>2.6016807845028665E-2</c:v>
                </c:pt>
                <c:pt idx="1535">
                  <c:v>2.600687459244775E-2</c:v>
                </c:pt>
                <c:pt idx="1536">
                  <c:v>2.5996937557956668E-2</c:v>
                </c:pt>
                <c:pt idx="1537">
                  <c:v>2.5986996741612513E-2</c:v>
                </c:pt>
                <c:pt idx="1538">
                  <c:v>2.5977052143472821E-2</c:v>
                </c:pt>
                <c:pt idx="1539">
                  <c:v>2.5967103763593371E-2</c:v>
                </c:pt>
                <c:pt idx="1540">
                  <c:v>2.5957151602031266E-2</c:v>
                </c:pt>
                <c:pt idx="1541">
                  <c:v>2.5947195658843156E-2</c:v>
                </c:pt>
                <c:pt idx="1542">
                  <c:v>2.5937235934086582E-2</c:v>
                </c:pt>
                <c:pt idx="1543">
                  <c:v>2.5927705443012206E-2</c:v>
                </c:pt>
                <c:pt idx="1544">
                  <c:v>2.5917736188903452E-2</c:v>
                </c:pt>
                <c:pt idx="1545">
                  <c:v>2.590776315340949E-2</c:v>
                </c:pt>
                <c:pt idx="1546">
                  <c:v>2.5897786336586803E-2</c:v>
                </c:pt>
                <c:pt idx="1547">
                  <c:v>2.5887593205457863E-2</c:v>
                </c:pt>
                <c:pt idx="1548">
                  <c:v>2.5877609809342384E-2</c:v>
                </c:pt>
                <c:pt idx="1549">
                  <c:v>2.5864768458349993E-2</c:v>
                </c:pt>
                <c:pt idx="1550">
                  <c:v>2.5857631673680308E-2</c:v>
                </c:pt>
                <c:pt idx="1551">
                  <c:v>2.5847636934248158E-2</c:v>
                </c:pt>
                <c:pt idx="1552">
                  <c:v>2.5836417221825107E-2</c:v>
                </c:pt>
                <c:pt idx="1553">
                  <c:v>2.5826413397191217E-2</c:v>
                </c:pt>
                <c:pt idx="1554">
                  <c:v>2.5816405791698655E-2</c:v>
                </c:pt>
                <c:pt idx="1555">
                  <c:v>2.5806394405405202E-2</c:v>
                </c:pt>
                <c:pt idx="1556">
                  <c:v>2.5796175694199851E-2</c:v>
                </c:pt>
                <c:pt idx="1557">
                  <c:v>2.5786157729588109E-2</c:v>
                </c:pt>
                <c:pt idx="1558">
                  <c:v>2.5776135984339796E-2</c:v>
                </c:pt>
                <c:pt idx="1559">
                  <c:v>2.5766110458510391E-2</c:v>
                </c:pt>
                <c:pt idx="1560">
                  <c:v>2.5756480291414256E-2</c:v>
                </c:pt>
                <c:pt idx="1561">
                  <c:v>2.5746246694064084E-2</c:v>
                </c:pt>
                <c:pt idx="1562">
                  <c:v>2.5736208843783543E-2</c:v>
                </c:pt>
                <c:pt idx="1563">
                  <c:v>2.5726167213165656E-2</c:v>
                </c:pt>
                <c:pt idx="1564">
                  <c:v>2.571612180226733E-2</c:v>
                </c:pt>
                <c:pt idx="1565">
                  <c:v>2.570607261114722E-2</c:v>
                </c:pt>
                <c:pt idx="1566">
                  <c:v>2.5696019639863101E-2</c:v>
                </c:pt>
                <c:pt idx="1567">
                  <c:v>2.5685962888473184E-2</c:v>
                </c:pt>
                <c:pt idx="1568">
                  <c:v>2.5675902357035256E-2</c:v>
                </c:pt>
                <c:pt idx="1569">
                  <c:v>2.5665265497458487E-2</c:v>
                </c:pt>
                <c:pt idx="1570">
                  <c:v>2.5655200354805893E-2</c:v>
                </c:pt>
                <c:pt idx="1571">
                  <c:v>2.5645131432236363E-2</c:v>
                </c:pt>
                <c:pt idx="1572">
                  <c:v>2.5635058729806429E-2</c:v>
                </c:pt>
                <c:pt idx="1573">
                  <c:v>2.5625169250378756E-2</c:v>
                </c:pt>
                <c:pt idx="1574">
                  <c:v>2.5615088005607911E-2</c:v>
                </c:pt>
                <c:pt idx="1575">
                  <c:v>2.560500298116335E-2</c:v>
                </c:pt>
                <c:pt idx="1576">
                  <c:v>2.5594914177104362E-2</c:v>
                </c:pt>
                <c:pt idx="1577">
                  <c:v>2.5584821593488051E-2</c:v>
                </c:pt>
                <c:pt idx="1578">
                  <c:v>2.5574543141377467E-2</c:v>
                </c:pt>
                <c:pt idx="1579">
                  <c:v>2.5564443981532271E-2</c:v>
                </c:pt>
                <c:pt idx="1580">
                  <c:v>2.5554341042284649E-2</c:v>
                </c:pt>
                <c:pt idx="1581">
                  <c:v>2.5544234323693779E-2</c:v>
                </c:pt>
                <c:pt idx="1582">
                  <c:v>2.5534301984064763E-2</c:v>
                </c:pt>
                <c:pt idx="1583">
                  <c:v>2.552418672431583E-2</c:v>
                </c:pt>
                <c:pt idx="1584">
                  <c:v>2.5514067685413207E-2</c:v>
                </c:pt>
                <c:pt idx="1585">
                  <c:v>2.5503944867415744E-2</c:v>
                </c:pt>
                <c:pt idx="1586">
                  <c:v>2.549219721774091E-2</c:v>
                </c:pt>
                <c:pt idx="1587">
                  <c:v>2.5482067284437675E-2</c:v>
                </c:pt>
                <c:pt idx="1588">
                  <c:v>2.5471933572200151E-2</c:v>
                </c:pt>
                <c:pt idx="1589">
                  <c:v>2.5461796081087073E-2</c:v>
                </c:pt>
                <c:pt idx="1590">
                  <c:v>2.5451654811155407E-2</c:v>
                </c:pt>
                <c:pt idx="1591">
                  <c:v>2.5441509762461248E-2</c:v>
                </c:pt>
                <c:pt idx="1592">
                  <c:v>2.5431360935064654E-2</c:v>
                </c:pt>
                <c:pt idx="1593">
                  <c:v>2.5421208329021717E-2</c:v>
                </c:pt>
                <c:pt idx="1594">
                  <c:v>2.5411051944390285E-2</c:v>
                </c:pt>
                <c:pt idx="1595">
                  <c:v>2.5401387258566731E-2</c:v>
                </c:pt>
                <c:pt idx="1596">
                  <c:v>2.5391220369676826E-2</c:v>
                </c:pt>
                <c:pt idx="1597">
                  <c:v>2.5381049702439724E-2</c:v>
                </c:pt>
                <c:pt idx="1598">
                  <c:v>2.5370875256914501E-2</c:v>
                </c:pt>
                <c:pt idx="1599">
                  <c:v>2.5360535889772405E-2</c:v>
                </c:pt>
                <c:pt idx="1600">
                  <c:v>2.5348900130434501E-2</c:v>
                </c:pt>
                <c:pt idx="1601">
                  <c:v>2.5338714793016869E-2</c:v>
                </c:pt>
                <c:pt idx="1602">
                  <c:v>2.5328525677530668E-2</c:v>
                </c:pt>
                <c:pt idx="1603">
                  <c:v>2.5318332784033122E-2</c:v>
                </c:pt>
                <c:pt idx="1604">
                  <c:v>2.5308604127610674E-2</c:v>
                </c:pt>
                <c:pt idx="1605">
                  <c:v>2.5298400731398434E-2</c:v>
                </c:pt>
                <c:pt idx="1606">
                  <c:v>2.5288193557428732E-2</c:v>
                </c:pt>
                <c:pt idx="1607">
                  <c:v>2.5277982605761307E-2</c:v>
                </c:pt>
                <c:pt idx="1608">
                  <c:v>2.5267311648438678E-2</c:v>
                </c:pt>
                <c:pt idx="1609">
                  <c:v>2.5257096088107913E-2</c:v>
                </c:pt>
                <c:pt idx="1610">
                  <c:v>2.5246876750176839E-2</c:v>
                </c:pt>
                <c:pt idx="1611">
                  <c:v>2.5237101023309103E-2</c:v>
                </c:pt>
                <c:pt idx="1612">
                  <c:v>2.5226871184048684E-2</c:v>
                </c:pt>
                <c:pt idx="1613">
                  <c:v>2.5216637567448529E-2</c:v>
                </c:pt>
                <c:pt idx="1614">
                  <c:v>2.5206400173567955E-2</c:v>
                </c:pt>
                <c:pt idx="1615">
                  <c:v>2.5196159002467553E-2</c:v>
                </c:pt>
                <c:pt idx="1616">
                  <c:v>2.5185481396264774E-2</c:v>
                </c:pt>
                <c:pt idx="1617">
                  <c:v>2.5175665328843633E-2</c:v>
                </c:pt>
                <c:pt idx="1618">
                  <c:v>2.5165412826440452E-2</c:v>
                </c:pt>
                <c:pt idx="1619">
                  <c:v>2.5155156547056395E-2</c:v>
                </c:pt>
                <c:pt idx="1620">
                  <c:v>2.5144475615751123E-2</c:v>
                </c:pt>
                <c:pt idx="1621">
                  <c:v>2.5133935672372015E-2</c:v>
                </c:pt>
                <c:pt idx="1622">
                  <c:v>2.5123672971199155E-2</c:v>
                </c:pt>
                <c:pt idx="1623">
                  <c:v>2.5113406493127946E-2</c:v>
                </c:pt>
                <c:pt idx="1624">
                  <c:v>2.5103136238216237E-2</c:v>
                </c:pt>
                <c:pt idx="1625">
                  <c:v>2.5092997851493878E-2</c:v>
                </c:pt>
                <c:pt idx="1626">
                  <c:v>2.5082719061533157E-2</c:v>
                </c:pt>
                <c:pt idx="1627">
                  <c:v>2.5072436494940682E-2</c:v>
                </c:pt>
                <c:pt idx="1628">
                  <c:v>2.506215015177355E-2</c:v>
                </c:pt>
                <c:pt idx="1629">
                  <c:v>2.5051860032090614E-2</c:v>
                </c:pt>
                <c:pt idx="1630">
                  <c:v>2.5041435398358777E-2</c:v>
                </c:pt>
                <c:pt idx="1631">
                  <c:v>2.5031138707197639E-2</c:v>
                </c:pt>
                <c:pt idx="1632">
                  <c:v>2.5020838239661482E-2</c:v>
                </c:pt>
                <c:pt idx="1633">
                  <c:v>2.5010533995811258E-2</c:v>
                </c:pt>
                <c:pt idx="1634">
                  <c:v>2.5000352787999648E-2</c:v>
                </c:pt>
                <c:pt idx="1635">
                  <c:v>2.4990040010457387E-2</c:v>
                </c:pt>
                <c:pt idx="1636">
                  <c:v>2.4979723456811299E-2</c:v>
                </c:pt>
                <c:pt idx="1637">
                  <c:v>2.4969403127120683E-2</c:v>
                </c:pt>
                <c:pt idx="1638">
                  <c:v>2.4958956133881088E-2</c:v>
                </c:pt>
                <c:pt idx="1639">
                  <c:v>2.4948629233369789E-2</c:v>
                </c:pt>
                <c:pt idx="1640">
                  <c:v>2.4938298556953373E-2</c:v>
                </c:pt>
                <c:pt idx="1641">
                  <c:v>2.4927964104691027E-2</c:v>
                </c:pt>
                <c:pt idx="1642">
                  <c:v>2.4917625876640155E-2</c:v>
                </c:pt>
                <c:pt idx="1643">
                  <c:v>2.4907283872861268E-2</c:v>
                </c:pt>
                <c:pt idx="1644">
                  <c:v>2.4896938093410894E-2</c:v>
                </c:pt>
                <c:pt idx="1645">
                  <c:v>2.4886588538349092E-2</c:v>
                </c:pt>
                <c:pt idx="1646">
                  <c:v>2.4876235207735044E-2</c:v>
                </c:pt>
                <c:pt idx="1647">
                  <c:v>2.4866447513446816E-2</c:v>
                </c:pt>
                <c:pt idx="1648">
                  <c:v>2.4856081727724567E-2</c:v>
                </c:pt>
                <c:pt idx="1649">
                  <c:v>2.4845712166824727E-2</c:v>
                </c:pt>
                <c:pt idx="1650">
                  <c:v>2.4835338830808754E-2</c:v>
                </c:pt>
                <c:pt idx="1651">
                  <c:v>2.4824632107557129E-2</c:v>
                </c:pt>
                <c:pt idx="1652">
                  <c:v>2.4814254163642191E-2</c:v>
                </c:pt>
                <c:pt idx="1653">
                  <c:v>2.4803872444668296E-2</c:v>
                </c:pt>
                <c:pt idx="1654">
                  <c:v>2.4793486950694853E-2</c:v>
                </c:pt>
                <c:pt idx="1655">
                  <c:v>2.4783097681782142E-2</c:v>
                </c:pt>
                <c:pt idx="1656">
                  <c:v>2.4773019540662359E-2</c:v>
                </c:pt>
                <c:pt idx="1657">
                  <c:v>2.476261978052844E-2</c:v>
                </c:pt>
                <c:pt idx="1658">
                  <c:v>2.4752216245763587E-2</c:v>
                </c:pt>
                <c:pt idx="1659">
                  <c:v>2.4741808936427113E-2</c:v>
                </c:pt>
                <c:pt idx="1660">
                  <c:v>2.4731094715217079E-2</c:v>
                </c:pt>
                <c:pt idx="1661">
                  <c:v>2.4720682797921525E-2</c:v>
                </c:pt>
                <c:pt idx="1662">
                  <c:v>2.4710267106104297E-2</c:v>
                </c:pt>
                <c:pt idx="1663">
                  <c:v>2.4699847639824791E-2</c:v>
                </c:pt>
                <c:pt idx="1664">
                  <c:v>2.4689715773308467E-2</c:v>
                </c:pt>
                <c:pt idx="1665">
                  <c:v>2.467928581782295E-2</c:v>
                </c:pt>
                <c:pt idx="1666">
                  <c:v>2.4668852088191705E-2</c:v>
                </c:pt>
                <c:pt idx="1667">
                  <c:v>2.4658414584475763E-2</c:v>
                </c:pt>
                <c:pt idx="1668">
                  <c:v>2.4647973306736574E-2</c:v>
                </c:pt>
                <c:pt idx="1669">
                  <c:v>2.4637528255034735E-2</c:v>
                </c:pt>
                <c:pt idx="1670">
                  <c:v>2.4627079429430418E-2</c:v>
                </c:pt>
                <c:pt idx="1671">
                  <c:v>2.4616626829985937E-2</c:v>
                </c:pt>
                <c:pt idx="1672">
                  <c:v>2.4606170456760595E-2</c:v>
                </c:pt>
                <c:pt idx="1673">
                  <c:v>2.4595268337461496E-2</c:v>
                </c:pt>
                <c:pt idx="1674">
                  <c:v>2.4584809315309715E-2</c:v>
                </c:pt>
                <c:pt idx="1675">
                  <c:v>2.4574346519317912E-2</c:v>
                </c:pt>
                <c:pt idx="1676">
                  <c:v>2.4563879949546587E-2</c:v>
                </c:pt>
                <c:pt idx="1677">
                  <c:v>2.4553494261314444E-2</c:v>
                </c:pt>
                <c:pt idx="1678">
                  <c:v>2.4543019164749345E-2</c:v>
                </c:pt>
                <c:pt idx="1679">
                  <c:v>2.4532540294631786E-2</c:v>
                </c:pt>
                <c:pt idx="1680">
                  <c:v>2.4522057651021938E-2</c:v>
                </c:pt>
                <c:pt idx="1681">
                  <c:v>2.4511571233979536E-2</c:v>
                </c:pt>
                <c:pt idx="1682">
                  <c:v>2.4501001284860078E-2</c:v>
                </c:pt>
                <c:pt idx="1683">
                  <c:v>2.4490508300291772E-2</c:v>
                </c:pt>
                <c:pt idx="1684">
                  <c:v>2.4480011542419147E-2</c:v>
                </c:pt>
                <c:pt idx="1685">
                  <c:v>2.4469511011300939E-2</c:v>
                </c:pt>
                <c:pt idx="1686">
                  <c:v>2.4459082549375098E-2</c:v>
                </c:pt>
                <c:pt idx="1687">
                  <c:v>2.4448573708083864E-2</c:v>
                </c:pt>
                <c:pt idx="1688">
                  <c:v>2.4438062851330107E-2</c:v>
                </c:pt>
                <c:pt idx="1689">
                  <c:v>2.442755202745291E-2</c:v>
                </c:pt>
                <c:pt idx="1690">
                  <c:v>2.4417043285746193E-2</c:v>
                </c:pt>
                <c:pt idx="1691">
                  <c:v>2.4406464569869887E-2</c:v>
                </c:pt>
                <c:pt idx="1692">
                  <c:v>2.4395965724010461E-2</c:v>
                </c:pt>
                <c:pt idx="1693">
                  <c:v>2.4385474879062792E-2</c:v>
                </c:pt>
                <c:pt idx="1694">
                  <c:v>2.4374994095337253E-2</c:v>
                </c:pt>
                <c:pt idx="1695">
                  <c:v>2.4364525433100942E-2</c:v>
                </c:pt>
                <c:pt idx="1696">
                  <c:v>2.4354070952578116E-2</c:v>
                </c:pt>
                <c:pt idx="1697">
                  <c:v>2.4343632713951069E-2</c:v>
                </c:pt>
                <c:pt idx="1698">
                  <c:v>2.4333212777359274E-2</c:v>
                </c:pt>
                <c:pt idx="1699">
                  <c:v>2.4323231575928111E-2</c:v>
                </c:pt>
                <c:pt idx="1700">
                  <c:v>2.4312864194406238E-2</c:v>
                </c:pt>
                <c:pt idx="1701">
                  <c:v>2.4302521977362181E-2</c:v>
                </c:pt>
                <c:pt idx="1702">
                  <c:v>2.4292206930030622E-2</c:v>
                </c:pt>
                <c:pt idx="1703">
                  <c:v>2.4281643476846002E-2</c:v>
                </c:pt>
                <c:pt idx="1704">
                  <c:v>2.4271381466813884E-2</c:v>
                </c:pt>
                <c:pt idx="1705">
                  <c:v>2.4261152366879583E-2</c:v>
                </c:pt>
                <c:pt idx="1706">
                  <c:v>2.4250958214597919E-2</c:v>
                </c:pt>
                <c:pt idx="1707">
                  <c:v>2.4240801047483974E-2</c:v>
                </c:pt>
                <c:pt idx="1708">
                  <c:v>2.4230999497994756E-2</c:v>
                </c:pt>
                <c:pt idx="1709">
                  <c:v>2.4220930781801053E-2</c:v>
                </c:pt>
                <c:pt idx="1710">
                  <c:v>2.4210905275740883E-2</c:v>
                </c:pt>
                <c:pt idx="1711">
                  <c:v>2.4200924984691376E-2</c:v>
                </c:pt>
                <c:pt idx="1712">
                  <c:v>2.4190641299717919E-2</c:v>
                </c:pt>
                <c:pt idx="1713">
                  <c:v>2.4180748615343507E-2</c:v>
                </c:pt>
                <c:pt idx="1714">
                  <c:v>2.4170905429830063E-2</c:v>
                </c:pt>
                <c:pt idx="1715">
                  <c:v>2.4161111743434428E-2</c:v>
                </c:pt>
                <c:pt idx="1716">
                  <c:v>2.4151367555427131E-2</c:v>
                </c:pt>
                <c:pt idx="1717">
                  <c:v>2.4142066721043499E-2</c:v>
                </c:pt>
                <c:pt idx="1718">
                  <c:v>2.4132430207660968E-2</c:v>
                </c:pt>
                <c:pt idx="1719">
                  <c:v>2.4122843201000603E-2</c:v>
                </c:pt>
                <c:pt idx="1720">
                  <c:v>2.4113305700336096E-2</c:v>
                </c:pt>
                <c:pt idx="1721">
                  <c:v>2.4103817704945452E-2</c:v>
                </c:pt>
                <c:pt idx="1722">
                  <c:v>2.409437921410924E-2</c:v>
                </c:pt>
                <c:pt idx="1723">
                  <c:v>2.4084990227112763E-2</c:v>
                </c:pt>
                <c:pt idx="1724">
                  <c:v>2.4075650743246059E-2</c:v>
                </c:pt>
                <c:pt idx="1725">
                  <c:v>2.4065743214722733E-2</c:v>
                </c:pt>
                <c:pt idx="1726">
                  <c:v>2.4056491050940806E-2</c:v>
                </c:pt>
                <c:pt idx="1727">
                  <c:v>2.4047288374290633E-2</c:v>
                </c:pt>
                <c:pt idx="1728">
                  <c:v>2.4038135184089246E-2</c:v>
                </c:pt>
                <c:pt idx="1729">
                  <c:v>2.4029031479659822E-2</c:v>
                </c:pt>
                <c:pt idx="1730">
                  <c:v>2.402014585415601E-2</c:v>
                </c:pt>
                <c:pt idx="1731">
                  <c:v>2.4011144056899556E-2</c:v>
                </c:pt>
                <c:pt idx="1732">
                  <c:v>2.4002191746856551E-2</c:v>
                </c:pt>
                <c:pt idx="1733">
                  <c:v>2.399328892335956E-2</c:v>
                </c:pt>
                <c:pt idx="1734">
                  <c:v>2.3984255220594032E-2</c:v>
                </c:pt>
                <c:pt idx="1735">
                  <c:v>2.3975448416750922E-2</c:v>
                </c:pt>
                <c:pt idx="1736">
                  <c:v>2.3966691094033824E-2</c:v>
                </c:pt>
                <c:pt idx="1737">
                  <c:v>2.3957983251793144E-2</c:v>
                </c:pt>
                <c:pt idx="1738">
                  <c:v>2.3949517080965817E-2</c:v>
                </c:pt>
                <c:pt idx="1739">
                  <c:v>2.3940911162939088E-2</c:v>
                </c:pt>
                <c:pt idx="1740">
                  <c:v>2.3932354726891966E-2</c:v>
                </c:pt>
                <c:pt idx="1741">
                  <c:v>2.3923847772186271E-2</c:v>
                </c:pt>
                <c:pt idx="1742">
                  <c:v>2.3915390298188195E-2</c:v>
                </c:pt>
                <c:pt idx="1743">
                  <c:v>2.3906775252471802E-2</c:v>
                </c:pt>
                <c:pt idx="1744">
                  <c:v>2.3898413755702546E-2</c:v>
                </c:pt>
                <c:pt idx="1745">
                  <c:v>2.3890101734349578E-2</c:v>
                </c:pt>
                <c:pt idx="1746">
                  <c:v>2.3881839187796693E-2</c:v>
                </c:pt>
                <c:pt idx="1747">
                  <c:v>2.387362611543295E-2</c:v>
                </c:pt>
                <c:pt idx="1748">
                  <c:v>2.3865462516647847E-2</c:v>
                </c:pt>
                <c:pt idx="1749">
                  <c:v>2.3857348390837911E-2</c:v>
                </c:pt>
                <c:pt idx="1750">
                  <c:v>2.3849283737401427E-2</c:v>
                </c:pt>
                <c:pt idx="1751">
                  <c:v>2.3842194365884615E-2</c:v>
                </c:pt>
                <c:pt idx="1752">
                  <c:v>2.3834240696136422E-2</c:v>
                </c:pt>
                <c:pt idx="1753">
                  <c:v>2.3826336510525875E-2</c:v>
                </c:pt>
                <c:pt idx="1754">
                  <c:v>2.3818481808454747E-2</c:v>
                </c:pt>
                <c:pt idx="1755">
                  <c:v>2.3809945598904418E-2</c:v>
                </c:pt>
                <c:pt idx="1756">
                  <c:v>2.3802180790320766E-2</c:v>
                </c:pt>
                <c:pt idx="1757">
                  <c:v>2.3794465453378325E-2</c:v>
                </c:pt>
                <c:pt idx="1758">
                  <c:v>2.3786799587503998E-2</c:v>
                </c:pt>
                <c:pt idx="1759">
                  <c:v>2.3779183192124697E-2</c:v>
                </c:pt>
                <c:pt idx="1760">
                  <c:v>2.3771057515604665E-2</c:v>
                </c:pt>
                <c:pt idx="1761">
                  <c:v>2.3763553208596216E-2</c:v>
                </c:pt>
                <c:pt idx="1762">
                  <c:v>2.3756098377032481E-2</c:v>
                </c:pt>
                <c:pt idx="1763">
                  <c:v>2.3748693020352183E-2</c:v>
                </c:pt>
                <c:pt idx="1764">
                  <c:v>2.3741337137995762E-2</c:v>
                </c:pt>
                <c:pt idx="1765">
                  <c:v>2.3734030729411017E-2</c:v>
                </c:pt>
                <c:pt idx="1766">
                  <c:v>2.3726773794047466E-2</c:v>
                </c:pt>
                <c:pt idx="1767">
                  <c:v>2.3719566331357227E-2</c:v>
                </c:pt>
                <c:pt idx="1768">
                  <c:v>2.371240834079846E-2</c:v>
                </c:pt>
                <c:pt idx="1769">
                  <c:v>2.3705299821831487E-2</c:v>
                </c:pt>
                <c:pt idx="1770">
                  <c:v>2.3698240773920957E-2</c:v>
                </c:pt>
                <c:pt idx="1771">
                  <c:v>2.3691231196535399E-2</c:v>
                </c:pt>
                <c:pt idx="1772">
                  <c:v>2.3684271089147238E-2</c:v>
                </c:pt>
                <c:pt idx="1773">
                  <c:v>2.3677360451231054E-2</c:v>
                </c:pt>
                <c:pt idx="1774">
                  <c:v>2.3670499282267481E-2</c:v>
                </c:pt>
                <c:pt idx="1775">
                  <c:v>2.3663687581738011E-2</c:v>
                </c:pt>
                <c:pt idx="1776">
                  <c:v>2.3656925349131924E-2</c:v>
                </c:pt>
                <c:pt idx="1777">
                  <c:v>2.3648968812002943E-2</c:v>
                </c:pt>
                <c:pt idx="1778">
                  <c:v>2.3642293124356954E-2</c:v>
                </c:pt>
                <c:pt idx="1779">
                  <c:v>2.3635666889854863E-2</c:v>
                </c:pt>
                <c:pt idx="1780">
                  <c:v>2.3629090108010436E-2</c:v>
                </c:pt>
                <c:pt idx="1781">
                  <c:v>2.3622885663368353E-2</c:v>
                </c:pt>
                <c:pt idx="1782">
                  <c:v>2.3616410895301598E-2</c:v>
                </c:pt>
                <c:pt idx="1783">
                  <c:v>2.360998558175488E-2</c:v>
                </c:pt>
                <c:pt idx="1784">
                  <c:v>2.3604941749245403E-2</c:v>
                </c:pt>
                <c:pt idx="1785">
                  <c:v>2.3597283316316719E-2</c:v>
                </c:pt>
                <c:pt idx="1786">
                  <c:v>2.3590667895842316E-2</c:v>
                </c:pt>
                <c:pt idx="1787">
                  <c:v>2.3584437269226568E-2</c:v>
                </c:pt>
                <c:pt idx="1788">
                  <c:v>2.3578256091492934E-2</c:v>
                </c:pt>
                <c:pt idx="1789">
                  <c:v>2.3572124362184324E-2</c:v>
                </c:pt>
                <c:pt idx="1790">
                  <c:v>2.3566393073925905E-2</c:v>
                </c:pt>
                <c:pt idx="1791">
                  <c:v>2.3560363379698912E-2</c:v>
                </c:pt>
                <c:pt idx="1792">
                  <c:v>2.3554383135837919E-2</c:v>
                </c:pt>
                <c:pt idx="1793">
                  <c:v>2.3548452341899763E-2</c:v>
                </c:pt>
                <c:pt idx="1794">
                  <c:v>2.3538971745112477E-2</c:v>
                </c:pt>
                <c:pt idx="1795">
                  <c:v>2.3534254855647623E-2</c:v>
                </c:pt>
                <c:pt idx="1796">
                  <c:v>2.3528493600988347E-2</c:v>
                </c:pt>
                <c:pt idx="1797">
                  <c:v>2.3522781794333005E-2</c:v>
                </c:pt>
                <c:pt idx="1798">
                  <c:v>2.3517119435259075E-2</c:v>
                </c:pt>
                <c:pt idx="1799">
                  <c:v>2.3511506523346676E-2</c:v>
                </c:pt>
                <c:pt idx="1800">
                  <c:v>2.3505943058179438E-2</c:v>
                </c:pt>
                <c:pt idx="1801">
                  <c:v>2.3500429039347136E-2</c:v>
                </c:pt>
                <c:pt idx="1802">
                  <c:v>2.3494964466439117E-2</c:v>
                </c:pt>
                <c:pt idx="1803">
                  <c:v>2.349033715654739E-2</c:v>
                </c:pt>
                <c:pt idx="1804">
                  <c:v>2.3484977842639945E-2</c:v>
                </c:pt>
                <c:pt idx="1805">
                  <c:v>2.347966797996735E-2</c:v>
                </c:pt>
                <c:pt idx="1806">
                  <c:v>2.3474407568132089E-2</c:v>
                </c:pt>
                <c:pt idx="1807">
                  <c:v>2.3468789780111261E-2</c:v>
                </c:pt>
                <c:pt idx="1808">
                  <c:v>2.3463625071353109E-2</c:v>
                </c:pt>
                <c:pt idx="1809">
                  <c:v>2.3458509809011319E-2</c:v>
                </c:pt>
                <c:pt idx="1810">
                  <c:v>2.3452005698489896E-2</c:v>
                </c:pt>
                <c:pt idx="1811">
                  <c:v>2.3448427622057157E-2</c:v>
                </c:pt>
                <c:pt idx="1812">
                  <c:v>2.3443883542891217E-2</c:v>
                </c:pt>
                <c:pt idx="1813">
                  <c:v>2.3438969276089027E-2</c:v>
                </c:pt>
                <c:pt idx="1814">
                  <c:v>2.3434104457075312E-2</c:v>
                </c:pt>
                <c:pt idx="1815">
                  <c:v>2.3429289085485579E-2</c:v>
                </c:pt>
                <c:pt idx="1816">
                  <c:v>2.3424087440740565E-2</c:v>
                </c:pt>
                <c:pt idx="1817">
                  <c:v>2.3419367736323114E-2</c:v>
                </c:pt>
                <c:pt idx="1818">
                  <c:v>2.3414697475024986E-2</c:v>
                </c:pt>
                <c:pt idx="1819">
                  <c:v>2.3410076656498045E-2</c:v>
                </c:pt>
                <c:pt idx="1820">
                  <c:v>2.3406402901475526E-2</c:v>
                </c:pt>
                <c:pt idx="1821">
                  <c:v>2.3401435231906308E-2</c:v>
                </c:pt>
                <c:pt idx="1822">
                  <c:v>2.3396965982390622E-2</c:v>
                </c:pt>
                <c:pt idx="1823">
                  <c:v>2.3392546177517227E-2</c:v>
                </c:pt>
                <c:pt idx="1824">
                  <c:v>2.338817581695465E-2</c:v>
                </c:pt>
                <c:pt idx="1825">
                  <c:v>2.3383854900374899E-2</c:v>
                </c:pt>
                <c:pt idx="1826">
                  <c:v>2.3379583427455615E-2</c:v>
                </c:pt>
                <c:pt idx="1827">
                  <c:v>2.3375361397874887E-2</c:v>
                </c:pt>
                <c:pt idx="1828">
                  <c:v>2.3371188811318177E-2</c:v>
                </c:pt>
                <c:pt idx="1829">
                  <c:v>2.3366110165030922E-2</c:v>
                </c:pt>
                <c:pt idx="1830">
                  <c:v>2.336202992701621E-2</c:v>
                </c:pt>
                <c:pt idx="1831">
                  <c:v>2.3357999124671999E-2</c:v>
                </c:pt>
                <c:pt idx="1832">
                  <c:v>2.3354017757699193E-2</c:v>
                </c:pt>
                <c:pt idx="1833">
                  <c:v>2.3350085825801756E-2</c:v>
                </c:pt>
                <c:pt idx="1834">
                  <c:v>2.3346697285849288E-2</c:v>
                </c:pt>
                <c:pt idx="1835">
                  <c:v>2.3342370266076572E-2</c:v>
                </c:pt>
                <c:pt idx="1836">
                  <c:v>2.3338586637676094E-2</c:v>
                </c:pt>
                <c:pt idx="1837">
                  <c:v>2.3334852443209046E-2</c:v>
                </c:pt>
                <c:pt idx="1838">
                  <c:v>2.3331167682398287E-2</c:v>
                </c:pt>
                <c:pt idx="1839">
                  <c:v>2.3327532354970627E-2</c:v>
                </c:pt>
                <c:pt idx="1840">
                  <c:v>2.3323946460657274E-2</c:v>
                </c:pt>
                <c:pt idx="1841">
                  <c:v>2.3320409999192944E-2</c:v>
                </c:pt>
                <c:pt idx="1842">
                  <c:v>2.3316922970313674E-2</c:v>
                </c:pt>
                <c:pt idx="1843">
                  <c:v>2.3313485373763838E-2</c:v>
                </c:pt>
                <c:pt idx="1844">
                  <c:v>2.3310097209286507E-2</c:v>
                </c:pt>
                <c:pt idx="1845">
                  <c:v>2.3306758476631766E-2</c:v>
                </c:pt>
                <c:pt idx="1846">
                  <c:v>2.3302469598779237E-2</c:v>
                </c:pt>
                <c:pt idx="1847">
                  <c:v>2.3299233468101772E-2</c:v>
                </c:pt>
                <c:pt idx="1848">
                  <c:v>2.3296046765288982E-2</c:v>
                </c:pt>
                <c:pt idx="1849">
                  <c:v>2.3292909490106799E-2</c:v>
                </c:pt>
                <c:pt idx="1850">
                  <c:v>2.3289821642322923E-2</c:v>
                </c:pt>
                <c:pt idx="1851">
                  <c:v>2.3286783221711238E-2</c:v>
                </c:pt>
                <c:pt idx="1852">
                  <c:v>2.3283794228046505E-2</c:v>
                </c:pt>
                <c:pt idx="1853">
                  <c:v>2.3280854661109678E-2</c:v>
                </c:pt>
                <c:pt idx="1854">
                  <c:v>2.327796452068303E-2</c:v>
                </c:pt>
                <c:pt idx="1855">
                  <c:v>2.3276816028468032E-2</c:v>
                </c:pt>
                <c:pt idx="1856">
                  <c:v>2.3274034795424163E-2</c:v>
                </c:pt>
                <c:pt idx="1857">
                  <c:v>2.3271302997813433E-2</c:v>
                </c:pt>
                <c:pt idx="1858">
                  <c:v>2.3268620635430788E-2</c:v>
                </c:pt>
                <c:pt idx="1859">
                  <c:v>2.3265409861994508E-2</c:v>
                </c:pt>
                <c:pt idx="1860">
                  <c:v>2.3262092981784454E-2</c:v>
                </c:pt>
                <c:pt idx="1861">
                  <c:v>2.3259569679117752E-2</c:v>
                </c:pt>
                <c:pt idx="1862">
                  <c:v>2.3257095807664704E-2</c:v>
                </c:pt>
                <c:pt idx="1863">
                  <c:v>2.3255514945494122E-2</c:v>
                </c:pt>
                <c:pt idx="1864">
                  <c:v>2.3254084407109264E-2</c:v>
                </c:pt>
                <c:pt idx="1865">
                  <c:v>2.3251768974464078E-2</c:v>
                </c:pt>
                <c:pt idx="1866">
                  <c:v>2.3249502981847737E-2</c:v>
                </c:pt>
                <c:pt idx="1867">
                  <c:v>2.3245467912296824E-2</c:v>
                </c:pt>
                <c:pt idx="1868">
                  <c:v>2.3243290624389259E-2</c:v>
                </c:pt>
                <c:pt idx="1869">
                  <c:v>2.3241162766482772E-2</c:v>
                </c:pt>
                <c:pt idx="1870">
                  <c:v>2.3239084338420545E-2</c:v>
                </c:pt>
                <c:pt idx="1871">
                  <c:v>2.3238914613323402E-2</c:v>
                </c:pt>
                <c:pt idx="1872">
                  <c:v>2.3236945257408072E-2</c:v>
                </c:pt>
                <c:pt idx="1873">
                  <c:v>2.3235025340398612E-2</c:v>
                </c:pt>
                <c:pt idx="1874">
                  <c:v>2.3233154862150194E-2</c:v>
                </c:pt>
                <c:pt idx="1875">
                  <c:v>2.3231333822520565E-2</c:v>
                </c:pt>
                <c:pt idx="1876">
                  <c:v>2.3227651788337529E-2</c:v>
                </c:pt>
                <c:pt idx="1877">
                  <c:v>2.322784005857231E-2</c:v>
                </c:pt>
                <c:pt idx="1878">
                  <c:v>2.3226167333988516E-2</c:v>
                </c:pt>
                <c:pt idx="1879">
                  <c:v>2.3224544047494907E-2</c:v>
                </c:pt>
                <c:pt idx="1880">
                  <c:v>2.3221018666924519E-2</c:v>
                </c:pt>
                <c:pt idx="1881">
                  <c:v>2.3218177852290883E-2</c:v>
                </c:pt>
                <c:pt idx="1882">
                  <c:v>2.3216685701539636E-2</c:v>
                </c:pt>
                <c:pt idx="1883">
                  <c:v>2.3215242972571298E-2</c:v>
                </c:pt>
                <c:pt idx="1884">
                  <c:v>2.3213849665278553E-2</c:v>
                </c:pt>
                <c:pt idx="1885">
                  <c:v>2.3213172411833845E-2</c:v>
                </c:pt>
                <c:pt idx="1886">
                  <c:v>2.3211881394924642E-2</c:v>
                </c:pt>
                <c:pt idx="1887">
                  <c:v>2.3210639802560776E-2</c:v>
                </c:pt>
                <c:pt idx="1888">
                  <c:v>2.3209447634650451E-2</c:v>
                </c:pt>
                <c:pt idx="1889">
                  <c:v>2.3208304891104949E-2</c:v>
                </c:pt>
                <c:pt idx="1890">
                  <c:v>2.320652767122881E-2</c:v>
                </c:pt>
                <c:pt idx="1891">
                  <c:v>2.320548031299861E-2</c:v>
                </c:pt>
                <c:pt idx="1892">
                  <c:v>2.3204482375725463E-2</c:v>
                </c:pt>
                <c:pt idx="1893">
                  <c:v>2.3203533859335611E-2</c:v>
                </c:pt>
                <c:pt idx="1894">
                  <c:v>2.3203332536016835E-2</c:v>
                </c:pt>
                <c:pt idx="1895">
                  <c:v>2.3202486337011902E-2</c:v>
                </c:pt>
                <c:pt idx="1896">
                  <c:v>2.3201689561855719E-2</c:v>
                </c:pt>
                <c:pt idx="1897">
                  <c:v>2.3200537342817736E-2</c:v>
                </c:pt>
                <c:pt idx="1898">
                  <c:v>2.3199436420795545E-2</c:v>
                </c:pt>
                <c:pt idx="1899">
                  <c:v>2.3198880595886352E-2</c:v>
                </c:pt>
                <c:pt idx="1900">
                  <c:v>2.3198278023926291E-2</c:v>
                </c:pt>
                <c:pt idx="1901">
                  <c:v>2.3197724872392432E-2</c:v>
                </c:pt>
                <c:pt idx="1902">
                  <c:v>2.3197221141244586E-2</c:v>
                </c:pt>
                <c:pt idx="1903">
                  <c:v>2.3196766830444335E-2</c:v>
                </c:pt>
                <c:pt idx="1904">
                  <c:v>2.3196361939958998E-2</c:v>
                </c:pt>
                <c:pt idx="1905">
                  <c:v>2.3196006469758983E-2</c:v>
                </c:pt>
                <c:pt idx="1906">
                  <c:v>2.3195700419816907E-2</c:v>
                </c:pt>
                <c:pt idx="1907">
                  <c:v>2.3199163493872257E-2</c:v>
                </c:pt>
                <c:pt idx="1908">
                  <c:v>2.3198973873726006E-2</c:v>
                </c:pt>
                <c:pt idx="1909">
                  <c:v>2.3198833689611367E-2</c:v>
                </c:pt>
                <c:pt idx="1910">
                  <c:v>2.3198742941517168E-2</c:v>
                </c:pt>
                <c:pt idx="1911">
                  <c:v>2.319642642637193E-2</c:v>
                </c:pt>
                <c:pt idx="1912">
                  <c:v>2.319642395734629E-2</c:v>
                </c:pt>
                <c:pt idx="1913">
                  <c:v>2.3196470914829872E-2</c:v>
                </c:pt>
                <c:pt idx="1914">
                  <c:v>2.3196567298827925E-2</c:v>
                </c:pt>
                <c:pt idx="1915">
                  <c:v>2.319671310934612E-2</c:v>
                </c:pt>
                <c:pt idx="1916">
                  <c:v>2.3199236609260411E-2</c:v>
                </c:pt>
                <c:pt idx="1917">
                  <c:v>2.319949191332733E-2</c:v>
                </c:pt>
                <c:pt idx="1918">
                  <c:v>2.3199796653464541E-2</c:v>
                </c:pt>
                <c:pt idx="1919">
                  <c:v>2.3200150829695249E-2</c:v>
                </c:pt>
                <c:pt idx="1920">
                  <c:v>2.3198183560261685E-2</c:v>
                </c:pt>
                <c:pt idx="1921">
                  <c:v>2.3198625930262427E-2</c:v>
                </c:pt>
                <c:pt idx="1922">
                  <c:v>2.3199117726937502E-2</c:v>
                </c:pt>
                <c:pt idx="1923">
                  <c:v>2.3202061896146143E-2</c:v>
                </c:pt>
                <c:pt idx="1924">
                  <c:v>2.3202663253320953E-2</c:v>
                </c:pt>
                <c:pt idx="1925">
                  <c:v>2.3203314046806721E-2</c:v>
                </c:pt>
                <c:pt idx="1926">
                  <c:v>2.3204014276652443E-2</c:v>
                </c:pt>
                <c:pt idx="1927">
                  <c:v>2.3204763942910545E-2</c:v>
                </c:pt>
                <c:pt idx="1928">
                  <c:v>2.3203106469457606E-2</c:v>
                </c:pt>
                <c:pt idx="1929">
                  <c:v>2.3206411584897262E-2</c:v>
                </c:pt>
                <c:pt idx="1930">
                  <c:v>2.3207309560750077E-2</c:v>
                </c:pt>
                <c:pt idx="1931">
                  <c:v>2.3208256973264538E-2</c:v>
                </c:pt>
                <c:pt idx="1932">
                  <c:v>2.3209253822513706E-2</c:v>
                </c:pt>
                <c:pt idx="1933">
                  <c:v>2.3206953608774082E-2</c:v>
                </c:pt>
                <c:pt idx="1934">
                  <c:v>2.3208034929610471E-2</c:v>
                </c:pt>
                <c:pt idx="1935">
                  <c:v>2.3209165674707148E-2</c:v>
                </c:pt>
                <c:pt idx="1936">
                  <c:v>2.3210345844148002E-2</c:v>
                </c:pt>
                <c:pt idx="1937">
                  <c:v>2.3212425911651735E-2</c:v>
                </c:pt>
                <c:pt idx="1938">
                  <c:v>2.3213708542601821E-2</c:v>
                </c:pt>
                <c:pt idx="1939">
                  <c:v>2.3218475235108865E-2</c:v>
                </c:pt>
                <c:pt idx="1940">
                  <c:v>2.3216422087993703E-2</c:v>
                </c:pt>
                <c:pt idx="1941">
                  <c:v>2.3217853002638619E-2</c:v>
                </c:pt>
                <c:pt idx="1942">
                  <c:v>2.3218464777172345E-2</c:v>
                </c:pt>
                <c:pt idx="1943">
                  <c:v>2.3219990919675266E-2</c:v>
                </c:pt>
                <c:pt idx="1944">
                  <c:v>2.322156648732436E-2</c:v>
                </c:pt>
                <c:pt idx="1945">
                  <c:v>2.3223191480236459E-2</c:v>
                </c:pt>
                <c:pt idx="1946">
                  <c:v>2.3225748999721896E-2</c:v>
                </c:pt>
                <c:pt idx="1947">
                  <c:v>2.3227476200796082E-2</c:v>
                </c:pt>
                <c:pt idx="1948">
                  <c:v>2.3229251127066305E-2</c:v>
                </c:pt>
                <c:pt idx="1949">
                  <c:v>2.323107207502921E-2</c:v>
                </c:pt>
                <c:pt idx="1950">
                  <c:v>2.3232041445842084E-2</c:v>
                </c:pt>
                <c:pt idx="1951">
                  <c:v>2.3233946662319854E-2</c:v>
                </c:pt>
                <c:pt idx="1952">
                  <c:v>2.3235892985221381E-2</c:v>
                </c:pt>
                <c:pt idx="1953">
                  <c:v>2.3237878701779159E-2</c:v>
                </c:pt>
                <c:pt idx="1954">
                  <c:v>2.3239902099222162E-2</c:v>
                </c:pt>
                <c:pt idx="1955">
                  <c:v>2.3241961464775852E-2</c:v>
                </c:pt>
                <c:pt idx="1956">
                  <c:v>2.3244055085657349E-2</c:v>
                </c:pt>
                <c:pt idx="1957">
                  <c:v>2.3246181249082887E-2</c:v>
                </c:pt>
                <c:pt idx="1958">
                  <c:v>2.3248338242257732E-2</c:v>
                </c:pt>
                <c:pt idx="1959">
                  <c:v>2.325417959033229E-2</c:v>
                </c:pt>
                <c:pt idx="1960">
                  <c:v>2.3256398017587519E-2</c:v>
                </c:pt>
                <c:pt idx="1961">
                  <c:v>2.3258641695438339E-2</c:v>
                </c:pt>
                <c:pt idx="1962">
                  <c:v>2.3260908947473059E-2</c:v>
                </c:pt>
                <c:pt idx="1963">
                  <c:v>2.3260443654062626E-2</c:v>
                </c:pt>
                <c:pt idx="1964">
                  <c:v>2.3262750504369469E-2</c:v>
                </c:pt>
                <c:pt idx="1965">
                  <c:v>2.3265076119710428E-2</c:v>
                </c:pt>
                <c:pt idx="1966">
                  <c:v>2.3267418796490861E-2</c:v>
                </c:pt>
                <c:pt idx="1967">
                  <c:v>2.3269776831107827E-2</c:v>
                </c:pt>
                <c:pt idx="1968">
                  <c:v>2.32749136376449E-2</c:v>
                </c:pt>
                <c:pt idx="1969">
                  <c:v>2.3277298968860889E-2</c:v>
                </c:pt>
                <c:pt idx="1970">
                  <c:v>2.3279694462711054E-2</c:v>
                </c:pt>
                <c:pt idx="1971">
                  <c:v>2.3282098442717083E-2</c:v>
                </c:pt>
                <c:pt idx="1972">
                  <c:v>2.3281737745120937E-2</c:v>
                </c:pt>
                <c:pt idx="1973">
                  <c:v>2.3284152329483335E-2</c:v>
                </c:pt>
                <c:pt idx="1974">
                  <c:v>2.3286571807367824E-2</c:v>
                </c:pt>
                <c:pt idx="1975">
                  <c:v>2.3288996177965E-2</c:v>
                </c:pt>
                <c:pt idx="1976">
                  <c:v>2.3291425441291015E-2</c:v>
                </c:pt>
                <c:pt idx="1977">
                  <c:v>2.3296638666782287E-2</c:v>
                </c:pt>
                <c:pt idx="1978">
                  <c:v>2.3299079235039023E-2</c:v>
                </c:pt>
                <c:pt idx="1979">
                  <c:v>2.3301524697077483E-2</c:v>
                </c:pt>
                <c:pt idx="1980">
                  <c:v>2.3303975052914861E-2</c:v>
                </c:pt>
                <c:pt idx="1981">
                  <c:v>2.3306430302570489E-2</c:v>
                </c:pt>
                <c:pt idx="1982">
                  <c:v>2.3308890446062422E-2</c:v>
                </c:pt>
                <c:pt idx="1983">
                  <c:v>2.3311355483408711E-2</c:v>
                </c:pt>
                <c:pt idx="1984">
                  <c:v>2.3313825414628262E-2</c:v>
                </c:pt>
                <c:pt idx="1985">
                  <c:v>2.3311648594679393E-2</c:v>
                </c:pt>
                <c:pt idx="1986">
                  <c:v>2.3314125768315555E-2</c:v>
                </c:pt>
                <c:pt idx="1987">
                  <c:v>2.3316607834214666E-2</c:v>
                </c:pt>
                <c:pt idx="1988">
                  <c:v>2.3319094792393948E-2</c:v>
                </c:pt>
                <c:pt idx="1989">
                  <c:v>2.3321586642872393E-2</c:v>
                </c:pt>
                <c:pt idx="1990">
                  <c:v>2.3325016085720959E-2</c:v>
                </c:pt>
                <c:pt idx="1991">
                  <c:v>2.3327518231480118E-2</c:v>
                </c:pt>
                <c:pt idx="1992">
                  <c:v>2.3330025269925093E-2</c:v>
                </c:pt>
                <c:pt idx="1993">
                  <c:v>2.3332537201076968E-2</c:v>
                </c:pt>
                <c:pt idx="1994">
                  <c:v>2.3334119280381826E-2</c:v>
                </c:pt>
                <c:pt idx="1995">
                  <c:v>2.3336640485035493E-2</c:v>
                </c:pt>
                <c:pt idx="1996">
                  <c:v>2.3339166582115517E-2</c:v>
                </c:pt>
                <c:pt idx="1997">
                  <c:v>2.3341697571640882E-2</c:v>
                </c:pt>
                <c:pt idx="1998">
                  <c:v>2.3345170248059547E-2</c:v>
                </c:pt>
                <c:pt idx="1999">
                  <c:v>2.3347711535831414E-2</c:v>
                </c:pt>
                <c:pt idx="2000">
                  <c:v>2.3350257716438425E-2</c:v>
                </c:pt>
                <c:pt idx="2001">
                  <c:v>2.3352808789899034E-2</c:v>
                </c:pt>
                <c:pt idx="2002">
                  <c:v>2.3355364756232126E-2</c:v>
                </c:pt>
                <c:pt idx="2003">
                  <c:v>2.3356986251174751E-2</c:v>
                </c:pt>
                <c:pt idx="2004">
                  <c:v>2.3359551488334677E-2</c:v>
                </c:pt>
                <c:pt idx="2005">
                  <c:v>2.3362121618087456E-2</c:v>
                </c:pt>
                <c:pt idx="2006">
                  <c:v>2.3364696640453399E-2</c:v>
                </c:pt>
                <c:pt idx="2007">
                  <c:v>2.3367276555450175E-2</c:v>
                </c:pt>
                <c:pt idx="2008">
                  <c:v>2.3369861363097211E-2</c:v>
                </c:pt>
                <c:pt idx="2009">
                  <c:v>2.3372451063412618E-2</c:v>
                </c:pt>
                <c:pt idx="2010">
                  <c:v>2.3375045656416269E-2</c:v>
                </c:pt>
                <c:pt idx="2011">
                  <c:v>2.338236351010986E-2</c:v>
                </c:pt>
                <c:pt idx="2012">
                  <c:v>2.3384970477425861E-2</c:v>
                </c:pt>
                <c:pt idx="2013">
                  <c:v>2.3387582339166081E-2</c:v>
                </c:pt>
                <c:pt idx="2014">
                  <c:v>2.3390199095350721E-2</c:v>
                </c:pt>
                <c:pt idx="2015">
                  <c:v>2.3389983234937548E-2</c:v>
                </c:pt>
                <c:pt idx="2016">
                  <c:v>2.3392608222530961E-2</c:v>
                </c:pt>
                <c:pt idx="2017">
                  <c:v>2.3395238103617634E-2</c:v>
                </c:pt>
                <c:pt idx="2018">
                  <c:v>2.3397872878217658E-2</c:v>
                </c:pt>
                <c:pt idx="2019">
                  <c:v>2.3400512546349821E-2</c:v>
                </c:pt>
                <c:pt idx="2020">
                  <c:v>2.3406002416889421E-2</c:v>
                </c:pt>
                <c:pt idx="2021">
                  <c:v>2.3408653434735093E-2</c:v>
                </c:pt>
                <c:pt idx="2022">
                  <c:v>2.3411309347183343E-2</c:v>
                </c:pt>
                <c:pt idx="2023">
                  <c:v>2.3413970154253071E-2</c:v>
                </c:pt>
                <c:pt idx="2024">
                  <c:v>2.3413784290682416E-2</c:v>
                </c:pt>
                <c:pt idx="2025">
                  <c:v>2.3416453320420184E-2</c:v>
                </c:pt>
                <c:pt idx="2026">
                  <c:v>2.3419127243827248E-2</c:v>
                </c:pt>
                <c:pt idx="2027">
                  <c:v>2.3421806060923263E-2</c:v>
                </c:pt>
                <c:pt idx="2028">
                  <c:v>2.3424489771728323E-2</c:v>
                </c:pt>
                <c:pt idx="2029">
                  <c:v>2.3430037784854151E-2</c:v>
                </c:pt>
                <c:pt idx="2030">
                  <c:v>2.3432732854838538E-2</c:v>
                </c:pt>
                <c:pt idx="2031">
                  <c:v>2.3435432819605567E-2</c:v>
                </c:pt>
                <c:pt idx="2032">
                  <c:v>2.343813767917587E-2</c:v>
                </c:pt>
                <c:pt idx="2033">
                  <c:v>2.3440847433568782E-2</c:v>
                </c:pt>
                <c:pt idx="2034">
                  <c:v>2.3443562082804507E-2</c:v>
                </c:pt>
                <c:pt idx="2035">
                  <c:v>2.3446281626904961E-2</c:v>
                </c:pt>
                <c:pt idx="2036">
                  <c:v>2.3449006065889053E-2</c:v>
                </c:pt>
                <c:pt idx="2037">
                  <c:v>2.3446949173450207E-2</c:v>
                </c:pt>
                <c:pt idx="2038">
                  <c:v>2.3449680769521752E-2</c:v>
                </c:pt>
                <c:pt idx="2039">
                  <c:v>2.3452417258843304E-2</c:v>
                </c:pt>
                <c:pt idx="2040">
                  <c:v>2.3455158641436057E-2</c:v>
                </c:pt>
                <c:pt idx="2041">
                  <c:v>2.3457904917319444E-2</c:v>
                </c:pt>
                <c:pt idx="2042">
                  <c:v>2.3461615784102177E-2</c:v>
                </c:pt>
                <c:pt idx="2043">
                  <c:v>2.3464372374751546E-2</c:v>
                </c:pt>
                <c:pt idx="2044">
                  <c:v>2.3467133859091206E-2</c:v>
                </c:pt>
                <c:pt idx="2045">
                  <c:v>2.3469900237141357E-2</c:v>
                </c:pt>
                <c:pt idx="2046">
                  <c:v>2.3471709696800312E-2</c:v>
                </c:pt>
                <c:pt idx="2047">
                  <c:v>2.3474485332850153E-2</c:v>
                </c:pt>
                <c:pt idx="2048">
                  <c:v>2.3477265862331509E-2</c:v>
                </c:pt>
                <c:pt idx="2049">
                  <c:v>2.348005128526514E-2</c:v>
                </c:pt>
                <c:pt idx="2050">
                  <c:v>2.3483805533762763E-2</c:v>
                </c:pt>
                <c:pt idx="2051">
                  <c:v>2.3486601274504092E-2</c:v>
                </c:pt>
                <c:pt idx="2052">
                  <c:v>2.3489401909098657E-2</c:v>
                </c:pt>
                <c:pt idx="2053">
                  <c:v>2.3492207437566661E-2</c:v>
                </c:pt>
                <c:pt idx="2054">
                  <c:v>2.3495419748340525E-2</c:v>
                </c:pt>
                <c:pt idx="2055">
                  <c:v>2.3497269097982814E-2</c:v>
                </c:pt>
                <c:pt idx="2056">
                  <c:v>2.3500089474737498E-2</c:v>
                </c:pt>
                <c:pt idx="2057">
                  <c:v>2.3502914745110067E-2</c:v>
                </c:pt>
                <c:pt idx="2058">
                  <c:v>2.350574490912128E-2</c:v>
                </c:pt>
                <c:pt idx="2059">
                  <c:v>2.3508579966792776E-2</c:v>
                </c:pt>
                <c:pt idx="2060">
                  <c:v>2.3511419918144431E-2</c:v>
                </c:pt>
                <c:pt idx="2061">
                  <c:v>2.3514264763196558E-2</c:v>
                </c:pt>
                <c:pt idx="2062">
                  <c:v>2.3517114501970797E-2</c:v>
                </c:pt>
                <c:pt idx="2063">
                  <c:v>2.3523853437858365E-2</c:v>
                </c:pt>
                <c:pt idx="2064">
                  <c:v>2.3526715105803567E-2</c:v>
                </c:pt>
                <c:pt idx="2065">
                  <c:v>2.3529581668901595E-2</c:v>
                </c:pt>
                <c:pt idx="2066">
                  <c:v>2.353312302859227E-2</c:v>
                </c:pt>
                <c:pt idx="2067">
                  <c:v>2.3532409681823782E-2</c:v>
                </c:pt>
                <c:pt idx="2068">
                  <c:v>2.3538210729320018E-2</c:v>
                </c:pt>
                <c:pt idx="2069">
                  <c:v>2.35410968732402E-2</c:v>
                </c:pt>
                <c:pt idx="2070">
                  <c:v>2.3543987912418633E-2</c:v>
                </c:pt>
                <c:pt idx="2071">
                  <c:v>2.3546883846877354E-2</c:v>
                </c:pt>
                <c:pt idx="2072">
                  <c:v>2.3549784676639266E-2</c:v>
                </c:pt>
                <c:pt idx="2073">
                  <c:v>2.3552690401724675E-2</c:v>
                </c:pt>
                <c:pt idx="2074">
                  <c:v>2.355560102215562E-2</c:v>
                </c:pt>
                <c:pt idx="2075">
                  <c:v>2.3558516537953701E-2</c:v>
                </c:pt>
                <c:pt idx="2076">
                  <c:v>2.3561436949140958E-2</c:v>
                </c:pt>
                <c:pt idx="2077">
                  <c:v>2.3564362255738564E-2</c:v>
                </c:pt>
                <c:pt idx="2078">
                  <c:v>2.3567292457768986E-2</c:v>
                </c:pt>
                <c:pt idx="2079">
                  <c:v>2.3570227555254258E-2</c:v>
                </c:pt>
                <c:pt idx="2080">
                  <c:v>2.3573167548215125E-2</c:v>
                </c:pt>
                <c:pt idx="2081">
                  <c:v>2.3576112436674051E-2</c:v>
                </c:pt>
                <c:pt idx="2082">
                  <c:v>2.3579062220652643E-2</c:v>
                </c:pt>
                <c:pt idx="2083">
                  <c:v>2.3582016900174235E-2</c:v>
                </c:pt>
                <c:pt idx="2084">
                  <c:v>2.3584976475259561E-2</c:v>
                </c:pt>
                <c:pt idx="2085">
                  <c:v>2.3587940945931096E-2</c:v>
                </c:pt>
                <c:pt idx="2086">
                  <c:v>2.3590910312210011E-2</c:v>
                </c:pt>
                <c:pt idx="2087">
                  <c:v>2.35938845741205E-2</c:v>
                </c:pt>
                <c:pt idx="2088">
                  <c:v>2.3596863731683307E-2</c:v>
                </c:pt>
                <c:pt idx="2089">
                  <c:v>2.3595907352448351E-2</c:v>
                </c:pt>
                <c:pt idx="2090">
                  <c:v>2.3598894123996229E-2</c:v>
                </c:pt>
                <c:pt idx="2091">
                  <c:v>2.3601885789882739E-2</c:v>
                </c:pt>
                <c:pt idx="2092">
                  <c:v>2.3604882350130852E-2</c:v>
                </c:pt>
                <c:pt idx="2093">
                  <c:v>2.3608870949804628E-2</c:v>
                </c:pt>
                <c:pt idx="2094">
                  <c:v>2.3611877844473269E-2</c:v>
                </c:pt>
                <c:pt idx="2095">
                  <c:v>2.3618843532038285E-2</c:v>
                </c:pt>
                <c:pt idx="2096">
                  <c:v>2.3617906318148689E-2</c:v>
                </c:pt>
                <c:pt idx="2097">
                  <c:v>2.362092789719895E-2</c:v>
                </c:pt>
                <c:pt idx="2098">
                  <c:v>2.362296449441352E-2</c:v>
                </c:pt>
                <c:pt idx="2099">
                  <c:v>2.3625995315799207E-2</c:v>
                </c:pt>
                <c:pt idx="2100">
                  <c:v>2.362903103172094E-2</c:v>
                </c:pt>
                <c:pt idx="2101">
                  <c:v>2.363207164220036E-2</c:v>
                </c:pt>
                <c:pt idx="2102">
                  <c:v>2.3636109215467823E-2</c:v>
                </c:pt>
                <c:pt idx="2103">
                  <c:v>2.3639160163880853E-2</c:v>
                </c:pt>
                <c:pt idx="2104">
                  <c:v>2.3642216007265342E-2</c:v>
                </c:pt>
                <c:pt idx="2105">
                  <c:v>2.3645276745644133E-2</c:v>
                </c:pt>
                <c:pt idx="2106">
                  <c:v>2.3646674504867189E-2</c:v>
                </c:pt>
                <c:pt idx="2107">
                  <c:v>2.3652730346718942E-2</c:v>
                </c:pt>
                <c:pt idx="2108">
                  <c:v>2.3655807868106119E-2</c:v>
                </c:pt>
                <c:pt idx="2109">
                  <c:v>2.3658890284586422E-2</c:v>
                </c:pt>
                <c:pt idx="2110">
                  <c:v>2.3661977596183565E-2</c:v>
                </c:pt>
                <c:pt idx="2111">
                  <c:v>2.3665069802919506E-2</c:v>
                </c:pt>
                <c:pt idx="2112">
                  <c:v>2.3668166904818402E-2</c:v>
                </c:pt>
                <c:pt idx="2113">
                  <c:v>2.3671268901900019E-2</c:v>
                </c:pt>
                <c:pt idx="2114">
                  <c:v>2.3674375794189833E-2</c:v>
                </c:pt>
                <c:pt idx="2115">
                  <c:v>2.3679486803159452E-2</c:v>
                </c:pt>
                <c:pt idx="2116">
                  <c:v>2.3682604592951878E-2</c:v>
                </c:pt>
                <c:pt idx="2117">
                  <c:v>2.3685727278717063E-2</c:v>
                </c:pt>
                <c:pt idx="2118">
                  <c:v>2.3688854860478028E-2</c:v>
                </c:pt>
                <c:pt idx="2119">
                  <c:v>2.3690985463061864E-2</c:v>
                </c:pt>
                <c:pt idx="2120">
                  <c:v>2.369412228194738E-2</c:v>
                </c:pt>
                <c:pt idx="2121">
                  <c:v>2.3698162528509606E-2</c:v>
                </c:pt>
                <c:pt idx="2122">
                  <c:v>2.370041060689098E-2</c:v>
                </c:pt>
                <c:pt idx="2123">
                  <c:v>2.3703562112995367E-2</c:v>
                </c:pt>
                <c:pt idx="2124">
                  <c:v>2.3707723168255097E-2</c:v>
                </c:pt>
                <c:pt idx="2125">
                  <c:v>2.3710885022637761E-2</c:v>
                </c:pt>
                <c:pt idx="2126">
                  <c:v>2.3714051773202582E-2</c:v>
                </c:pt>
                <c:pt idx="2127">
                  <c:v>2.3717223419973014E-2</c:v>
                </c:pt>
                <c:pt idx="2128">
                  <c:v>2.3719393080774021E-2</c:v>
                </c:pt>
                <c:pt idx="2129">
                  <c:v>2.3722573961944722E-2</c:v>
                </c:pt>
                <c:pt idx="2130">
                  <c:v>2.3725759739040838E-2</c:v>
                </c:pt>
                <c:pt idx="2131">
                  <c:v>2.3728950412086829E-2</c:v>
                </c:pt>
                <c:pt idx="2132">
                  <c:v>2.3734164311880211E-2</c:v>
                </c:pt>
                <c:pt idx="2133">
                  <c:v>2.3736356122235083E-2</c:v>
                </c:pt>
                <c:pt idx="2134">
                  <c:v>2.3739562043105598E-2</c:v>
                </c:pt>
                <c:pt idx="2135">
                  <c:v>2.3742772860371141E-2</c:v>
                </c:pt>
                <c:pt idx="2136">
                  <c:v>2.3745988574056038E-2</c:v>
                </c:pt>
                <c:pt idx="2137">
                  <c:v>2.3749209184182888E-2</c:v>
                </c:pt>
                <c:pt idx="2138">
                  <c:v>2.3752434690775575E-2</c:v>
                </c:pt>
                <c:pt idx="2139">
                  <c:v>2.3755665093859301E-2</c:v>
                </c:pt>
                <c:pt idx="2140">
                  <c:v>2.3758900393457093E-2</c:v>
                </c:pt>
                <c:pt idx="2141">
                  <c:v>2.3760112358429199E-2</c:v>
                </c:pt>
                <c:pt idx="2142">
                  <c:v>2.3763356325900549E-2</c:v>
                </c:pt>
                <c:pt idx="2143">
                  <c:v>2.3766605189254275E-2</c:v>
                </c:pt>
                <c:pt idx="2144">
                  <c:v>2.3769858948514543E-2</c:v>
                </c:pt>
                <c:pt idx="2145">
                  <c:v>2.3774133922682794E-2</c:v>
                </c:pt>
                <c:pt idx="2146">
                  <c:v>2.3777398037816606E-2</c:v>
                </c:pt>
                <c:pt idx="2147">
                  <c:v>2.3780667049280751E-2</c:v>
                </c:pt>
                <c:pt idx="2148">
                  <c:v>2.3783940957099261E-2</c:v>
                </c:pt>
                <c:pt idx="2149">
                  <c:v>2.3787219761296153E-2</c:v>
                </c:pt>
                <c:pt idx="2150">
                  <c:v>2.378948431944335E-2</c:v>
                </c:pt>
                <c:pt idx="2151">
                  <c:v>2.3792772350716973E-2</c:v>
                </c:pt>
                <c:pt idx="2152">
                  <c:v>2.3796065278089071E-2</c:v>
                </c:pt>
                <c:pt idx="2153">
                  <c:v>2.3799363101582479E-2</c:v>
                </c:pt>
                <c:pt idx="2154">
                  <c:v>2.3803687228807286E-2</c:v>
                </c:pt>
                <c:pt idx="2155">
                  <c:v>2.380699541178468E-2</c:v>
                </c:pt>
                <c:pt idx="2156">
                  <c:v>2.3810308491309939E-2</c:v>
                </c:pt>
                <c:pt idx="2157">
                  <c:v>2.3813626467409713E-2</c:v>
                </c:pt>
                <c:pt idx="2158">
                  <c:v>2.3816400676351948E-2</c:v>
                </c:pt>
                <c:pt idx="2159">
                  <c:v>2.3819728576556586E-2</c:v>
                </c:pt>
                <c:pt idx="2160">
                  <c:v>2.3823061373058219E-2</c:v>
                </c:pt>
                <c:pt idx="2161">
                  <c:v>2.3826399065878367E-2</c:v>
                </c:pt>
                <c:pt idx="2162">
                  <c:v>2.3829741655043823E-2</c:v>
                </c:pt>
                <c:pt idx="2163">
                  <c:v>2.3833089140579182E-2</c:v>
                </c:pt>
                <c:pt idx="2164">
                  <c:v>2.3836441522507724E-2</c:v>
                </c:pt>
                <c:pt idx="2165">
                  <c:v>2.3839798800854038E-2</c:v>
                </c:pt>
                <c:pt idx="2166">
                  <c:v>2.3843160975643606E-2</c:v>
                </c:pt>
                <c:pt idx="2167">
                  <c:v>2.3848585926742234E-2</c:v>
                </c:pt>
                <c:pt idx="2168">
                  <c:v>2.3851959038208463E-2</c:v>
                </c:pt>
                <c:pt idx="2169">
                  <c:v>2.3855337046902531E-2</c:v>
                </c:pt>
                <c:pt idx="2170">
                  <c:v>2.3858719952850074E-2</c:v>
                </c:pt>
                <c:pt idx="2171">
                  <c:v>2.3861076476570462E-2</c:v>
                </c:pt>
                <c:pt idx="2172">
                  <c:v>2.3865438682432131E-2</c:v>
                </c:pt>
                <c:pt idx="2173">
                  <c:v>2.3868837105758049E-2</c:v>
                </c:pt>
                <c:pt idx="2174">
                  <c:v>2.387224042608874E-2</c:v>
                </c:pt>
                <c:pt idx="2175">
                  <c:v>2.3875648643449095E-2</c:v>
                </c:pt>
                <c:pt idx="2176">
                  <c:v>2.3882165000795763E-2</c:v>
                </c:pt>
                <c:pt idx="2177">
                  <c:v>2.3885584738082229E-2</c:v>
                </c:pt>
                <c:pt idx="2178">
                  <c:v>2.3889009373543893E-2</c:v>
                </c:pt>
                <c:pt idx="2179">
                  <c:v>2.3892438907207405E-2</c:v>
                </c:pt>
                <c:pt idx="2180">
                  <c:v>2.3892763186574743E-2</c:v>
                </c:pt>
                <c:pt idx="2181">
                  <c:v>2.3896200786641203E-2</c:v>
                </c:pt>
                <c:pt idx="2182">
                  <c:v>2.38996432839138E-2</c:v>
                </c:pt>
                <c:pt idx="2183">
                  <c:v>2.390620602439001E-2</c:v>
                </c:pt>
                <c:pt idx="2184">
                  <c:v>2.3909660049446516E-2</c:v>
                </c:pt>
                <c:pt idx="2185">
                  <c:v>2.3913118972859155E-2</c:v>
                </c:pt>
                <c:pt idx="2186">
                  <c:v>2.3916582794654136E-2</c:v>
                </c:pt>
                <c:pt idx="2187">
                  <c:v>2.3920051514857252E-2</c:v>
                </c:pt>
                <c:pt idx="2188">
                  <c:v>2.3920401110305342E-2</c:v>
                </c:pt>
                <c:pt idx="2189">
                  <c:v>2.3927003650591014E-2</c:v>
                </c:pt>
                <c:pt idx="2190">
                  <c:v>2.3930487066174521E-2</c:v>
                </c:pt>
                <c:pt idx="2191">
                  <c:v>2.3933975380270166E-2</c:v>
                </c:pt>
                <c:pt idx="2192">
                  <c:v>2.3934337608585123E-2</c:v>
                </c:pt>
                <c:pt idx="2193">
                  <c:v>2.3935745999485513E-2</c:v>
                </c:pt>
                <c:pt idx="2194">
                  <c:v>2.3939246102854639E-2</c:v>
                </c:pt>
                <c:pt idx="2195">
                  <c:v>2.394275110304395E-2</c:v>
                </c:pt>
                <c:pt idx="2196">
                  <c:v>2.3946261000079062E-2</c:v>
                </c:pt>
                <c:pt idx="2197">
                  <c:v>2.3950822058662787E-2</c:v>
                </c:pt>
                <c:pt idx="2198">
                  <c:v>2.3954342332055574E-2</c:v>
                </c:pt>
                <c:pt idx="2199">
                  <c:v>2.3957867502731819E-2</c:v>
                </c:pt>
                <c:pt idx="2200">
                  <c:v>2.3961397570715678E-2</c:v>
                </c:pt>
                <c:pt idx="2201">
                  <c:v>2.3964932536034822E-2</c:v>
                </c:pt>
                <c:pt idx="2202">
                  <c:v>2.396742321749485E-2</c:v>
                </c:pt>
                <c:pt idx="2203">
                  <c:v>2.3970967393171765E-2</c:v>
                </c:pt>
                <c:pt idx="2204">
                  <c:v>2.3974516465899404E-2</c:v>
                </c:pt>
                <c:pt idx="2205">
                  <c:v>2.3978070435705587E-2</c:v>
                </c:pt>
                <c:pt idx="2206">
                  <c:v>2.3982680823554921E-2</c:v>
                </c:pt>
                <c:pt idx="2207">
                  <c:v>2.3986244887112169E-2</c:v>
                </c:pt>
                <c:pt idx="2208">
                  <c:v>2.3989812130298285E-2</c:v>
                </c:pt>
                <c:pt idx="2209">
                  <c:v>2.3993380835239955E-2</c:v>
                </c:pt>
                <c:pt idx="2210">
                  <c:v>2.399589722196226E-2</c:v>
                </c:pt>
                <c:pt idx="2211">
                  <c:v>2.3999464106909663E-2</c:v>
                </c:pt>
                <c:pt idx="2212">
                  <c:v>2.4003027499433477E-2</c:v>
                </c:pt>
                <c:pt idx="2213">
                  <c:v>2.4006585672236062E-2</c:v>
                </c:pt>
                <c:pt idx="2214">
                  <c:v>2.4010136898008294E-2</c:v>
                </c:pt>
                <c:pt idx="2215">
                  <c:v>2.4013679449428681E-2</c:v>
                </c:pt>
                <c:pt idx="2216">
                  <c:v>2.4017211599163809E-2</c:v>
                </c:pt>
                <c:pt idx="2217">
                  <c:v>2.4020731619867015E-2</c:v>
                </c:pt>
                <c:pt idx="2218">
                  <c:v>2.4024237784180592E-2</c:v>
                </c:pt>
                <c:pt idx="2219">
                  <c:v>2.4032936587174546E-2</c:v>
                </c:pt>
                <c:pt idx="2220">
                  <c:v>2.4036400432830445E-2</c:v>
                </c:pt>
                <c:pt idx="2221">
                  <c:v>2.4039844676372858E-2</c:v>
                </c:pt>
                <c:pt idx="2222">
                  <c:v>2.4043267636266883E-2</c:v>
                </c:pt>
                <c:pt idx="2223">
                  <c:v>2.4043567808651248E-2</c:v>
                </c:pt>
                <c:pt idx="2224">
                  <c:v>2.4046950010280836E-2</c:v>
                </c:pt>
                <c:pt idx="2225">
                  <c:v>2.4050306109247657E-2</c:v>
                </c:pt>
                <c:pt idx="2226">
                  <c:v>2.4053634396754675E-2</c:v>
                </c:pt>
                <c:pt idx="2227">
                  <c:v>2.405693316399175E-2</c:v>
                </c:pt>
                <c:pt idx="2228">
                  <c:v>2.4063264271674625E-2</c:v>
                </c:pt>
                <c:pt idx="2229">
                  <c:v>2.4066491162139565E-2</c:v>
                </c:pt>
                <c:pt idx="2230">
                  <c:v>2.4069683316294336E-2</c:v>
                </c:pt>
                <c:pt idx="2231">
                  <c:v>2.4072839052510765E-2</c:v>
                </c:pt>
                <c:pt idx="2232">
                  <c:v>2.4072924387119065E-2</c:v>
                </c:pt>
                <c:pt idx="2233">
                  <c:v>2.4076010431980908E-2</c:v>
                </c:pt>
                <c:pt idx="2234">
                  <c:v>2.4079056703332359E-2</c:v>
                </c:pt>
                <c:pt idx="2235">
                  <c:v>2.4082063200990843E-2</c:v>
                </c:pt>
                <c:pt idx="2236">
                  <c:v>2.4088030542660472E-2</c:v>
                </c:pt>
                <c:pt idx="2237">
                  <c:v>2.4090949551609436E-2</c:v>
                </c:pt>
                <c:pt idx="2238">
                  <c:v>2.4093828778428118E-2</c:v>
                </c:pt>
                <c:pt idx="2239">
                  <c:v>2.4096668222940321E-2</c:v>
                </c:pt>
                <c:pt idx="2240">
                  <c:v>2.4099467884974569E-2</c:v>
                </c:pt>
                <c:pt idx="2241">
                  <c:v>2.4102227764359812E-2</c:v>
                </c:pt>
                <c:pt idx="2242">
                  <c:v>2.4104947860927584E-2</c:v>
                </c:pt>
                <c:pt idx="2243">
                  <c:v>2.4107628174511998E-2</c:v>
                </c:pt>
                <c:pt idx="2244">
                  <c:v>2.4110268704950172E-2</c:v>
                </c:pt>
                <c:pt idx="2245">
                  <c:v>2.4107986949005372E-2</c:v>
                </c:pt>
                <c:pt idx="2246">
                  <c:v>2.4110561264179663E-2</c:v>
                </c:pt>
                <c:pt idx="2247">
                  <c:v>2.4113095808936277E-2</c:v>
                </c:pt>
                <c:pt idx="2248">
                  <c:v>2.411559058312638E-2</c:v>
                </c:pt>
                <c:pt idx="2249">
                  <c:v>2.411901181689111E-2</c:v>
                </c:pt>
                <c:pt idx="2250">
                  <c:v>2.412142436936934E-2</c:v>
                </c:pt>
                <c:pt idx="2251">
                  <c:v>2.412379714820034E-2</c:v>
                </c:pt>
                <c:pt idx="2252">
                  <c:v>2.4126130153243559E-2</c:v>
                </c:pt>
                <c:pt idx="2253">
                  <c:v>2.412842338436065E-2</c:v>
                </c:pt>
                <c:pt idx="2254">
                  <c:v>2.4129724038240697E-2</c:v>
                </c:pt>
                <c:pt idx="2255">
                  <c:v>2.413194041445298E-2</c:v>
                </c:pt>
                <c:pt idx="2256">
                  <c:v>2.4134117018980536E-2</c:v>
                </c:pt>
                <c:pt idx="2257">
                  <c:v>2.4136253851695728E-2</c:v>
                </c:pt>
                <c:pt idx="2258">
                  <c:v>2.4139292926334831E-2</c:v>
                </c:pt>
                <c:pt idx="2259">
                  <c:v>2.4141347511101766E-2</c:v>
                </c:pt>
                <c:pt idx="2260">
                  <c:v>2.4143362321034288E-2</c:v>
                </c:pt>
                <c:pt idx="2261">
                  <c:v>2.4145337356012927E-2</c:v>
                </c:pt>
                <c:pt idx="2262">
                  <c:v>2.4147272615919979E-2</c:v>
                </c:pt>
                <c:pt idx="2263">
                  <c:v>2.4148239632982096E-2</c:v>
                </c:pt>
                <c:pt idx="2264">
                  <c:v>2.4150098059590279E-2</c:v>
                </c:pt>
                <c:pt idx="2265">
                  <c:v>2.415191671343879E-2</c:v>
                </c:pt>
                <c:pt idx="2266">
                  <c:v>2.415369559441943E-2</c:v>
                </c:pt>
                <c:pt idx="2267">
                  <c:v>2.4155434702426648E-2</c:v>
                </c:pt>
                <c:pt idx="2268">
                  <c:v>2.4157134037357097E-2</c:v>
                </c:pt>
                <c:pt idx="2269">
                  <c:v>2.4158793599109649E-2</c:v>
                </c:pt>
                <c:pt idx="2270">
                  <c:v>2.4160413387586697E-2</c:v>
                </c:pt>
                <c:pt idx="2271">
                  <c:v>2.4166524467376209E-2</c:v>
                </c:pt>
                <c:pt idx="2272">
                  <c:v>2.4168051013275359E-2</c:v>
                </c:pt>
                <c:pt idx="2273">
                  <c:v>2.4169537772348634E-2</c:v>
                </c:pt>
                <c:pt idx="2274">
                  <c:v>2.4170984744504923E-2</c:v>
                </c:pt>
                <c:pt idx="2275">
                  <c:v>2.4169706877373218E-2</c:v>
                </c:pt>
                <c:pt idx="2276">
                  <c:v>2.4171082525849225E-2</c:v>
                </c:pt>
                <c:pt idx="2277">
                  <c:v>2.4172418395117544E-2</c:v>
                </c:pt>
                <c:pt idx="2278">
                  <c:v>2.4173714485097801E-2</c:v>
                </c:pt>
                <c:pt idx="2279">
                  <c:v>2.4174970795711809E-2</c:v>
                </c:pt>
                <c:pt idx="2280">
                  <c:v>2.4178831047415115E-2</c:v>
                </c:pt>
                <c:pt idx="2281">
                  <c:v>2.4179999508819307E-2</c:v>
                </c:pt>
                <c:pt idx="2282">
                  <c:v>2.4181128182668744E-2</c:v>
                </c:pt>
                <c:pt idx="2283">
                  <c:v>2.418221706889509E-2</c:v>
                </c:pt>
                <c:pt idx="2284">
                  <c:v>2.4180655655746331E-2</c:v>
                </c:pt>
                <c:pt idx="2285">
                  <c:v>2.418167328866852E-2</c:v>
                </c:pt>
                <c:pt idx="2286">
                  <c:v>2.4182651141748779E-2</c:v>
                </c:pt>
                <c:pt idx="2287">
                  <c:v>2.4183589214926821E-2</c:v>
                </c:pt>
                <c:pt idx="2288">
                  <c:v>2.4184487508147612E-2</c:v>
                </c:pt>
                <c:pt idx="2289">
                  <c:v>2.4187914842624909E-2</c:v>
                </c:pt>
                <c:pt idx="2290">
                  <c:v>2.4188725213768001E-2</c:v>
                </c:pt>
                <c:pt idx="2291">
                  <c:v>2.418949579682558E-2</c:v>
                </c:pt>
                <c:pt idx="2292">
                  <c:v>2.419022659175037E-2</c:v>
                </c:pt>
                <c:pt idx="2293">
                  <c:v>2.4190917598498105E-2</c:v>
                </c:pt>
                <c:pt idx="2294">
                  <c:v>2.4191568817025812E-2</c:v>
                </c:pt>
                <c:pt idx="2295">
                  <c:v>2.4192180247295237E-2</c:v>
                </c:pt>
                <c:pt idx="2296">
                  <c:v>2.4192751889268133E-2</c:v>
                </c:pt>
                <c:pt idx="2297">
                  <c:v>2.4189113083427763E-2</c:v>
                </c:pt>
                <c:pt idx="2298">
                  <c:v>2.4189619189819035E-2</c:v>
                </c:pt>
                <c:pt idx="2299">
                  <c:v>2.4190085521108198E-2</c:v>
                </c:pt>
                <c:pt idx="2300">
                  <c:v>2.4190512077266552E-2</c:v>
                </c:pt>
                <c:pt idx="2301">
                  <c:v>2.4190898858268913E-2</c:v>
                </c:pt>
                <c:pt idx="2302">
                  <c:v>2.4192066394525872E-2</c:v>
                </c:pt>
                <c:pt idx="2303">
                  <c:v>2.4192370804393733E-2</c:v>
                </c:pt>
                <c:pt idx="2304">
                  <c:v>2.4192635436387416E-2</c:v>
                </c:pt>
                <c:pt idx="2305">
                  <c:v>2.4192860290489348E-2</c:v>
                </c:pt>
                <c:pt idx="2306">
                  <c:v>2.419223613522593E-2</c:v>
                </c:pt>
                <c:pt idx="2307">
                  <c:v>2.4192384264895343E-2</c:v>
                </c:pt>
                <c:pt idx="2308">
                  <c:v>2.4192492619297037E-2</c:v>
                </c:pt>
                <c:pt idx="2309">
                  <c:v>2.4192561198426596E-2</c:v>
                </c:pt>
                <c:pt idx="2310">
                  <c:v>2.4193387892253383E-2</c:v>
                </c:pt>
                <c:pt idx="2311">
                  <c:v>2.419337407881288E-2</c:v>
                </c:pt>
                <c:pt idx="2312">
                  <c:v>2.4193320487437147E-2</c:v>
                </c:pt>
                <c:pt idx="2313">
                  <c:v>2.4193227118129698E-2</c:v>
                </c:pt>
                <c:pt idx="2314">
                  <c:v>2.4193093970896241E-2</c:v>
                </c:pt>
                <c:pt idx="2315">
                  <c:v>2.4192137392403393E-2</c:v>
                </c:pt>
                <c:pt idx="2316">
                  <c:v>2.4191927544638149E-2</c:v>
                </c:pt>
                <c:pt idx="2317">
                  <c:v>2.4191677921634337E-2</c:v>
                </c:pt>
                <c:pt idx="2318">
                  <c:v>2.4191388523404755E-2</c:v>
                </c:pt>
                <c:pt idx="2319">
                  <c:v>2.4191059349967518E-2</c:v>
                </c:pt>
                <c:pt idx="2320">
                  <c:v>2.4190690401342498E-2</c:v>
                </c:pt>
                <c:pt idx="2321">
                  <c:v>2.4190281677551332E-2</c:v>
                </c:pt>
                <c:pt idx="2322">
                  <c:v>2.4189833178617871E-2</c:v>
                </c:pt>
                <c:pt idx="2323">
                  <c:v>2.4193146176862534E-2</c:v>
                </c:pt>
                <c:pt idx="2324">
                  <c:v>2.4192603741258575E-2</c:v>
                </c:pt>
                <c:pt idx="2325">
                  <c:v>2.4192021517331869E-2</c:v>
                </c:pt>
                <c:pt idx="2326">
                  <c:v>2.4191399505118092E-2</c:v>
                </c:pt>
                <c:pt idx="2327">
                  <c:v>2.4188492244476834E-2</c:v>
                </c:pt>
                <c:pt idx="2328">
                  <c:v>2.4187799320668012E-2</c:v>
                </c:pt>
                <c:pt idx="2329">
                  <c:v>2.4187066616649024E-2</c:v>
                </c:pt>
                <c:pt idx="2330">
                  <c:v>2.4186294132463992E-2</c:v>
                </c:pt>
                <c:pt idx="2331">
                  <c:v>2.4185481868159647E-2</c:v>
                </c:pt>
                <c:pt idx="2332">
                  <c:v>2.4186831880110834E-2</c:v>
                </c:pt>
                <c:pt idx="2333">
                  <c:v>2.4185931351087441E-2</c:v>
                </c:pt>
                <c:pt idx="2334">
                  <c:v>2.4184991034148718E-2</c:v>
                </c:pt>
                <c:pt idx="2335">
                  <c:v>2.4184010929351827E-2</c:v>
                </c:pt>
                <c:pt idx="2336">
                  <c:v>2.4180823846630065E-2</c:v>
                </c:pt>
                <c:pt idx="2337">
                  <c:v>2.4179772902713254E-2</c:v>
                </c:pt>
                <c:pt idx="2338">
                  <c:v>2.4178682179068517E-2</c:v>
                </c:pt>
                <c:pt idx="2339">
                  <c:v>2.4177551675760064E-2</c:v>
                </c:pt>
                <c:pt idx="2340">
                  <c:v>2.4176381392855602E-2</c:v>
                </c:pt>
                <c:pt idx="2341">
                  <c:v>2.4177294759054502E-2</c:v>
                </c:pt>
                <c:pt idx="2342">
                  <c:v>2.4176036141056293E-2</c:v>
                </c:pt>
                <c:pt idx="2343">
                  <c:v>2.4174737735744422E-2</c:v>
                </c:pt>
                <c:pt idx="2344">
                  <c:v>2.4173399543198831E-2</c:v>
                </c:pt>
                <c:pt idx="2345">
                  <c:v>2.4172021563500314E-2</c:v>
                </c:pt>
                <c:pt idx="2346">
                  <c:v>2.4170603796734819E-2</c:v>
                </c:pt>
                <c:pt idx="2347">
                  <c:v>2.4169146242986154E-2</c:v>
                </c:pt>
                <c:pt idx="2348">
                  <c:v>2.416764890234414E-2</c:v>
                </c:pt>
                <c:pt idx="2349">
                  <c:v>2.4163373942548014E-2</c:v>
                </c:pt>
                <c:pt idx="2350">
                  <c:v>2.4161808813682382E-2</c:v>
                </c:pt>
                <c:pt idx="2351">
                  <c:v>2.4160203908763531E-2</c:v>
                </c:pt>
                <c:pt idx="2352">
                  <c:v>2.4158559227886327E-2</c:v>
                </c:pt>
                <c:pt idx="2353">
                  <c:v>2.4156874771149597E-2</c:v>
                </c:pt>
                <c:pt idx="2354">
                  <c:v>2.4155820618261454E-2</c:v>
                </c:pt>
                <c:pt idx="2355">
                  <c:v>2.4154053651172087E-2</c:v>
                </c:pt>
                <c:pt idx="2356">
                  <c:v>2.4154901004298807E-2</c:v>
                </c:pt>
                <c:pt idx="2357">
                  <c:v>2.4150400382541088E-2</c:v>
                </c:pt>
                <c:pt idx="2358">
                  <c:v>2.4147855853165728E-2</c:v>
                </c:pt>
                <c:pt idx="2359">
                  <c:v>2.414593274346084E-2</c:v>
                </c:pt>
                <c:pt idx="2360">
                  <c:v>2.4143969858649226E-2</c:v>
                </c:pt>
                <c:pt idx="2361">
                  <c:v>2.4141967198846839E-2</c:v>
                </c:pt>
                <c:pt idx="2362">
                  <c:v>2.4140571098532727E-2</c:v>
                </c:pt>
                <c:pt idx="2363">
                  <c:v>2.4138485909109195E-2</c:v>
                </c:pt>
                <c:pt idx="2364">
                  <c:v>2.4136360942430948E-2</c:v>
                </c:pt>
                <c:pt idx="2365">
                  <c:v>2.413419619862597E-2</c:v>
                </c:pt>
                <c:pt idx="2366">
                  <c:v>2.4131039527660447E-2</c:v>
                </c:pt>
                <c:pt idx="2367">
                  <c:v>2.4128792538482866E-2</c:v>
                </c:pt>
                <c:pt idx="2368">
                  <c:v>2.4126505775219281E-2</c:v>
                </c:pt>
                <c:pt idx="2369">
                  <c:v>2.412417923800585E-2</c:v>
                </c:pt>
                <c:pt idx="2370">
                  <c:v>2.4121812926982678E-2</c:v>
                </c:pt>
                <c:pt idx="2371">
                  <c:v>2.4119406842288995E-2</c:v>
                </c:pt>
                <c:pt idx="2372">
                  <c:v>2.4116960984069302E-2</c:v>
                </c:pt>
                <c:pt idx="2373">
                  <c:v>2.4114475352468977E-2</c:v>
                </c:pt>
                <c:pt idx="2374">
                  <c:v>2.411194994763647E-2</c:v>
                </c:pt>
                <c:pt idx="2375">
                  <c:v>2.411120486352519E-2</c:v>
                </c:pt>
                <c:pt idx="2376">
                  <c:v>2.410859086806532E-2</c:v>
                </c:pt>
                <c:pt idx="2377">
                  <c:v>2.4105937091980816E-2</c:v>
                </c:pt>
                <c:pt idx="2378">
                  <c:v>2.4103243535433277E-2</c:v>
                </c:pt>
                <c:pt idx="2379">
                  <c:v>2.4100510198584311E-2</c:v>
                </c:pt>
                <c:pt idx="2380">
                  <c:v>2.4097737081600266E-2</c:v>
                </c:pt>
                <c:pt idx="2381">
                  <c:v>2.4094924184649657E-2</c:v>
                </c:pt>
                <c:pt idx="2382">
                  <c:v>2.408925619873363E-2</c:v>
                </c:pt>
                <c:pt idx="2383">
                  <c:v>2.4089179051530147E-2</c:v>
                </c:pt>
                <c:pt idx="2384">
                  <c:v>2.4084400062558797E-2</c:v>
                </c:pt>
                <c:pt idx="2385">
                  <c:v>2.4081414039153301E-2</c:v>
                </c:pt>
                <c:pt idx="2386">
                  <c:v>2.4078388239340855E-2</c:v>
                </c:pt>
                <c:pt idx="2387">
                  <c:v>2.4075322663303925E-2</c:v>
                </c:pt>
                <c:pt idx="2388">
                  <c:v>2.4071651316735089E-2</c:v>
                </c:pt>
                <c:pt idx="2389">
                  <c:v>2.4068509238728785E-2</c:v>
                </c:pt>
                <c:pt idx="2390">
                  <c:v>2.4065327387661133E-2</c:v>
                </c:pt>
                <c:pt idx="2391">
                  <c:v>2.406210576372346E-2</c:v>
                </c:pt>
                <c:pt idx="2392">
                  <c:v>2.4059951657595887E-2</c:v>
                </c:pt>
                <c:pt idx="2393">
                  <c:v>2.4056093916888791E-2</c:v>
                </c:pt>
                <c:pt idx="2394">
                  <c:v>2.4052749912588801E-2</c:v>
                </c:pt>
                <c:pt idx="2395">
                  <c:v>2.4049366133609612E-2</c:v>
                </c:pt>
                <c:pt idx="2396">
                  <c:v>2.4045942580155404E-2</c:v>
                </c:pt>
                <c:pt idx="2397">
                  <c:v>2.4042479252431668E-2</c:v>
                </c:pt>
                <c:pt idx="2398">
                  <c:v>2.4038976150646929E-2</c:v>
                </c:pt>
                <c:pt idx="2399">
                  <c:v>2.4035433275013191E-2</c:v>
                </c:pt>
                <c:pt idx="2400">
                  <c:v>2.4031850625743333E-2</c:v>
                </c:pt>
                <c:pt idx="2401">
                  <c:v>2.4027175645858462E-2</c:v>
                </c:pt>
                <c:pt idx="2402">
                  <c:v>2.4023519616870777E-2</c:v>
                </c:pt>
                <c:pt idx="2403">
                  <c:v>2.4019823820072072E-2</c:v>
                </c:pt>
                <c:pt idx="2404">
                  <c:v>2.4016088255681509E-2</c:v>
                </c:pt>
                <c:pt idx="2405">
                  <c:v>2.4012312923922204E-2</c:v>
                </c:pt>
                <c:pt idx="2406">
                  <c:v>2.4009008797153491E-2</c:v>
                </c:pt>
                <c:pt idx="2407">
                  <c:v>2.4004642959200396E-2</c:v>
                </c:pt>
                <c:pt idx="2408">
                  <c:v>2.400074832669467E-2</c:v>
                </c:pt>
                <c:pt idx="2409">
                  <c:v>2.3996813927734197E-2</c:v>
                </c:pt>
                <c:pt idx="2410">
                  <c:v>2.3992839762553959E-2</c:v>
                </c:pt>
                <c:pt idx="2411">
                  <c:v>2.3988825831390247E-2</c:v>
                </c:pt>
                <c:pt idx="2412">
                  <c:v>2.3984772134482867E-2</c:v>
                </c:pt>
                <c:pt idx="2413">
                  <c:v>2.3980678672072511E-2</c:v>
                </c:pt>
                <c:pt idx="2414">
                  <c:v>2.3976545444403818E-2</c:v>
                </c:pt>
                <c:pt idx="2415">
                  <c:v>2.3972372451723619E-2</c:v>
                </c:pt>
                <c:pt idx="2416">
                  <c:v>2.3968159694279192E-2</c:v>
                </c:pt>
                <c:pt idx="2417">
                  <c:v>2.3963907172323082E-2</c:v>
                </c:pt>
                <c:pt idx="2418">
                  <c:v>2.3958524976676197E-2</c:v>
                </c:pt>
                <c:pt idx="2419">
                  <c:v>2.3954190372889574E-2</c:v>
                </c:pt>
                <c:pt idx="2420">
                  <c:v>2.3949816007953883E-2</c:v>
                </c:pt>
                <c:pt idx="2421">
                  <c:v>2.3945401882128802E-2</c:v>
                </c:pt>
                <c:pt idx="2422">
                  <c:v>2.3940947995676226E-2</c:v>
                </c:pt>
                <c:pt idx="2423">
                  <c:v>2.3936454348859805E-2</c:v>
                </c:pt>
                <c:pt idx="2424">
                  <c:v>2.3931920941945413E-2</c:v>
                </c:pt>
                <c:pt idx="2425">
                  <c:v>2.3927347775202439E-2</c:v>
                </c:pt>
                <c:pt idx="2426">
                  <c:v>2.392273484890205E-2</c:v>
                </c:pt>
                <c:pt idx="2427">
                  <c:v>2.3919417053594294E-2</c:v>
                </c:pt>
                <c:pt idx="2428">
                  <c:v>2.3914715157980132E-2</c:v>
                </c:pt>
                <c:pt idx="2429">
                  <c:v>2.3909973496002726E-2</c:v>
                </c:pt>
                <c:pt idx="2430">
                  <c:v>2.3905192067949235E-2</c:v>
                </c:pt>
                <c:pt idx="2431">
                  <c:v>2.3899938810235905E-2</c:v>
                </c:pt>
                <c:pt idx="2432">
                  <c:v>2.3893685766011415E-2</c:v>
                </c:pt>
                <c:pt idx="2433">
                  <c:v>2.3888776844183696E-2</c:v>
                </c:pt>
                <c:pt idx="2434">
                  <c:v>2.3883828160064159E-2</c:v>
                </c:pt>
                <c:pt idx="2435">
                  <c:v>2.387895964100108E-2</c:v>
                </c:pt>
                <c:pt idx="2436">
                  <c:v>2.3875056633735632E-2</c:v>
                </c:pt>
                <c:pt idx="2437">
                  <c:v>2.3869979140541994E-2</c:v>
                </c:pt>
                <c:pt idx="2438">
                  <c:v>2.386486187867742E-2</c:v>
                </c:pt>
                <c:pt idx="2439">
                  <c:v>2.3858488315570411E-2</c:v>
                </c:pt>
                <c:pt idx="2440">
                  <c:v>2.3853301064017524E-2</c:v>
                </c:pt>
                <c:pt idx="2441">
                  <c:v>2.3848074052299204E-2</c:v>
                </c:pt>
                <c:pt idx="2442">
                  <c:v>2.3842807280729517E-2</c:v>
                </c:pt>
                <c:pt idx="2443">
                  <c:v>2.3838679050267955E-2</c:v>
                </c:pt>
                <c:pt idx="2444">
                  <c:v>2.3833323183001277E-2</c:v>
                </c:pt>
                <c:pt idx="2445">
                  <c:v>2.3827927549294997E-2</c:v>
                </c:pt>
                <c:pt idx="2446">
                  <c:v>2.3822492149478739E-2</c:v>
                </c:pt>
                <c:pt idx="2447">
                  <c:v>2.3817016983882139E-2</c:v>
                </c:pt>
                <c:pt idx="2448">
                  <c:v>2.3810371712261039E-2</c:v>
                </c:pt>
                <c:pt idx="2449">
                  <c:v>2.3805947356685755E-2</c:v>
                </c:pt>
                <c:pt idx="2450">
                  <c:v>2.3800352895761129E-2</c:v>
                </c:pt>
                <c:pt idx="2451">
                  <c:v>2.3794718670404325E-2</c:v>
                </c:pt>
                <c:pt idx="2452">
                  <c:v>2.3787952843788786E-2</c:v>
                </c:pt>
                <c:pt idx="2453">
                  <c:v>2.3781525815862632E-2</c:v>
                </c:pt>
                <c:pt idx="2454">
                  <c:v>2.3775788384181939E-2</c:v>
                </c:pt>
                <c:pt idx="2455">
                  <c:v>2.377001120192582E-2</c:v>
                </c:pt>
                <c:pt idx="2456">
                  <c:v>2.3764194269436097E-2</c:v>
                </c:pt>
                <c:pt idx="2457">
                  <c:v>2.3758686312636099E-2</c:v>
                </c:pt>
                <c:pt idx="2458">
                  <c:v>2.3752786654538664E-2</c:v>
                </c:pt>
                <c:pt idx="2459">
                  <c:v>2.3746847244762795E-2</c:v>
                </c:pt>
                <c:pt idx="2460">
                  <c:v>2.3740868083664251E-2</c:v>
                </c:pt>
                <c:pt idx="2461">
                  <c:v>2.3734849171598356E-2</c:v>
                </c:pt>
                <c:pt idx="2462">
                  <c:v>2.3728457939078861E-2</c:v>
                </c:pt>
                <c:pt idx="2463">
                  <c:v>2.3722362764743224E-2</c:v>
                </c:pt>
                <c:pt idx="2464">
                  <c:v>2.3716227842998684E-2</c:v>
                </c:pt>
                <c:pt idx="2465">
                  <c:v>2.3710053174208268E-2</c:v>
                </c:pt>
                <c:pt idx="2466">
                  <c:v>2.370415836058928E-2</c:v>
                </c:pt>
                <c:pt idx="2467">
                  <c:v>2.3697901558034976E-2</c:v>
                </c:pt>
                <c:pt idx="2468">
                  <c:v>2.3691607804141104E-2</c:v>
                </c:pt>
                <c:pt idx="2469">
                  <c:v>2.3681648850167089E-2</c:v>
                </c:pt>
                <c:pt idx="2470">
                  <c:v>2.3677699069781961E-2</c:v>
                </c:pt>
                <c:pt idx="2471">
                  <c:v>2.3672221760318517E-2</c:v>
                </c:pt>
                <c:pt idx="2472">
                  <c:v>2.3665806194062149E-2</c:v>
                </c:pt>
                <c:pt idx="2473">
                  <c:v>2.3659365648069933E-2</c:v>
                </c:pt>
                <c:pt idx="2474">
                  <c:v>2.3652902583332837E-2</c:v>
                </c:pt>
                <c:pt idx="2475">
                  <c:v>2.3646419460812682E-2</c:v>
                </c:pt>
                <c:pt idx="2476">
                  <c:v>2.3639918741439048E-2</c:v>
                </c:pt>
                <c:pt idx="2477">
                  <c:v>2.3633402886109281E-2</c:v>
                </c:pt>
                <c:pt idx="2478">
                  <c:v>2.3626874355691573E-2</c:v>
                </c:pt>
                <c:pt idx="2479">
                  <c:v>2.3621847220041552E-2</c:v>
                </c:pt>
                <c:pt idx="2480">
                  <c:v>2.3615302065204947E-2</c:v>
                </c:pt>
                <c:pt idx="2481">
                  <c:v>2.3608752401114722E-2</c:v>
                </c:pt>
                <c:pt idx="2482">
                  <c:v>2.3602200623134364E-2</c:v>
                </c:pt>
                <c:pt idx="2483">
                  <c:v>2.3594735918382598E-2</c:v>
                </c:pt>
                <c:pt idx="2484">
                  <c:v>2.358818463213206E-2</c:v>
                </c:pt>
                <c:pt idx="2485">
                  <c:v>2.3581638108106234E-2</c:v>
                </c:pt>
                <c:pt idx="2486">
                  <c:v>2.3575098780336239E-2</c:v>
                </c:pt>
                <c:pt idx="2487">
                  <c:v>2.3568569082823492E-2</c:v>
                </c:pt>
                <c:pt idx="2488">
                  <c:v>2.3562979699852334E-2</c:v>
                </c:pt>
                <c:pt idx="2489">
                  <c:v>2.355648019211946E-2</c:v>
                </c:pt>
                <c:pt idx="2490">
                  <c:v>2.3549997732251207E-2</c:v>
                </c:pt>
                <c:pt idx="2491">
                  <c:v>2.3543534715324409E-2</c:v>
                </c:pt>
                <c:pt idx="2492">
                  <c:v>2.3536150235720289E-2</c:v>
                </c:pt>
                <c:pt idx="2493">
                  <c:v>2.3529728827618644E-2</c:v>
                </c:pt>
                <c:pt idx="2494">
                  <c:v>2.3523331305165866E-2</c:v>
                </c:pt>
                <c:pt idx="2495">
                  <c:v>2.3517912584760083E-2</c:v>
                </c:pt>
                <c:pt idx="2496">
                  <c:v>2.3511566715171996E-2</c:v>
                </c:pt>
                <c:pt idx="2497">
                  <c:v>2.3505244735479987E-2</c:v>
                </c:pt>
                <c:pt idx="2498">
                  <c:v>2.3498946645451563E-2</c:v>
                </c:pt>
                <c:pt idx="2499">
                  <c:v>2.3492672444856796E-2</c:v>
                </c:pt>
                <c:pt idx="2500">
                  <c:v>2.348544775626208E-2</c:v>
                </c:pt>
                <c:pt idx="2501">
                  <c:v>2.3480195711053264E-2</c:v>
                </c:pt>
                <c:pt idx="2502">
                  <c:v>2.3473993177388089E-2</c:v>
                </c:pt>
                <c:pt idx="2503">
                  <c:v>2.3467814532243756E-2</c:v>
                </c:pt>
                <c:pt idx="2504">
                  <c:v>2.3460669741157028E-2</c:v>
                </c:pt>
                <c:pt idx="2505">
                  <c:v>2.3453873003568951E-2</c:v>
                </c:pt>
                <c:pt idx="2506">
                  <c:v>2.3447759471291407E-2</c:v>
                </c:pt>
                <c:pt idx="2507">
                  <c:v>2.3441669818473596E-2</c:v>
                </c:pt>
                <c:pt idx="2508">
                  <c:v>2.3435604044897796E-2</c:v>
                </c:pt>
                <c:pt idx="2509">
                  <c:v>2.3429898300886071E-2</c:v>
                </c:pt>
                <c:pt idx="2510">
                  <c:v>2.342388160152448E-2</c:v>
                </c:pt>
                <c:pt idx="2511">
                  <c:v>2.34178887823886E-2</c:v>
                </c:pt>
                <c:pt idx="2512">
                  <c:v>2.3411919843263653E-2</c:v>
                </c:pt>
                <c:pt idx="2513">
                  <c:v>2.3405974783936627E-2</c:v>
                </c:pt>
                <c:pt idx="2514">
                  <c:v>2.3399710855497236E-2</c:v>
                </c:pt>
                <c:pt idx="2515">
                  <c:v>2.3393812230620294E-2</c:v>
                </c:pt>
                <c:pt idx="2516">
                  <c:v>2.3387937483282415E-2</c:v>
                </c:pt>
                <c:pt idx="2517">
                  <c:v>2.3382086613274261E-2</c:v>
                </c:pt>
                <c:pt idx="2518">
                  <c:v>2.3376607676851607E-2</c:v>
                </c:pt>
                <c:pt idx="2519">
                  <c:v>2.3370805891873889E-2</c:v>
                </c:pt>
                <c:pt idx="2520">
                  <c:v>2.3365027985222737E-2</c:v>
                </c:pt>
                <c:pt idx="2521">
                  <c:v>2.3359273956690851E-2</c:v>
                </c:pt>
                <c:pt idx="2522">
                  <c:v>2.3353190415933926E-2</c:v>
                </c:pt>
                <c:pt idx="2523">
                  <c:v>2.3347482805565947E-2</c:v>
                </c:pt>
                <c:pt idx="2524">
                  <c:v>2.3341799071088402E-2</c:v>
                </c:pt>
                <c:pt idx="2525">
                  <c:v>2.333613921230035E-2</c:v>
                </c:pt>
                <c:pt idx="2526">
                  <c:v>2.3330503228999523E-2</c:v>
                </c:pt>
                <c:pt idx="2527">
                  <c:v>2.3324891120984972E-2</c:v>
                </c:pt>
                <c:pt idx="2528">
                  <c:v>2.3319302888057964E-2</c:v>
                </c:pt>
                <c:pt idx="2529">
                  <c:v>2.3313738530018877E-2</c:v>
                </c:pt>
                <c:pt idx="2530">
                  <c:v>2.3308198046671186E-2</c:v>
                </c:pt>
                <c:pt idx="2531">
                  <c:v>2.3304510314716195E-2</c:v>
                </c:pt>
                <c:pt idx="2532">
                  <c:v>2.3299024341973878E-2</c:v>
                </c:pt>
                <c:pt idx="2533">
                  <c:v>2.3293562251355794E-2</c:v>
                </c:pt>
                <c:pt idx="2534">
                  <c:v>2.3288124042662107E-2</c:v>
                </c:pt>
                <c:pt idx="2535">
                  <c:v>2.3281595694687008E-2</c:v>
                </c:pt>
                <c:pt idx="2536">
                  <c:v>2.3276201172300184E-2</c:v>
                </c:pt>
                <c:pt idx="2537">
                  <c:v>2.3270830526442528E-2</c:v>
                </c:pt>
                <c:pt idx="2538">
                  <c:v>2.3265483756921407E-2</c:v>
                </c:pt>
                <c:pt idx="2539">
                  <c:v>2.3260160863543319E-2</c:v>
                </c:pt>
                <c:pt idx="2540">
                  <c:v>2.3255996299843287E-2</c:v>
                </c:pt>
                <c:pt idx="2541">
                  <c:v>2.3250725259103058E-2</c:v>
                </c:pt>
                <c:pt idx="2542">
                  <c:v>2.3245478098721597E-2</c:v>
                </c:pt>
                <c:pt idx="2543">
                  <c:v>2.3240254818506792E-2</c:v>
                </c:pt>
                <c:pt idx="2544">
                  <c:v>2.3233904532142222E-2</c:v>
                </c:pt>
                <c:pt idx="2545">
                  <c:v>2.3228724891637301E-2</c:v>
                </c:pt>
                <c:pt idx="2546">
                  <c:v>2.3223569125953629E-2</c:v>
                </c:pt>
                <c:pt idx="2547">
                  <c:v>2.3218437234906429E-2</c:v>
                </c:pt>
                <c:pt idx="2548">
                  <c:v>2.3214496613278672E-2</c:v>
                </c:pt>
                <c:pt idx="2549">
                  <c:v>2.3209416610083366E-2</c:v>
                </c:pt>
                <c:pt idx="2550">
                  <c:v>2.3204360485736639E-2</c:v>
                </c:pt>
                <c:pt idx="2551">
                  <c:v>2.3199328240052827E-2</c:v>
                </c:pt>
                <c:pt idx="2552">
                  <c:v>2.3194319872848423E-2</c:v>
                </c:pt>
                <c:pt idx="2553">
                  <c:v>2.318933538394035E-2</c:v>
                </c:pt>
                <c:pt idx="2554">
                  <c:v>2.3184374773146815E-2</c:v>
                </c:pt>
                <c:pt idx="2555">
                  <c:v>2.3179438040284741E-2</c:v>
                </c:pt>
                <c:pt idx="2556">
                  <c:v>2.3174525185175775E-2</c:v>
                </c:pt>
                <c:pt idx="2557">
                  <c:v>2.316803008397695E-2</c:v>
                </c:pt>
                <c:pt idx="2558">
                  <c:v>2.3163159408379159E-2</c:v>
                </c:pt>
                <c:pt idx="2559">
                  <c:v>2.3158312603679156E-2</c:v>
                </c:pt>
                <c:pt idx="2560">
                  <c:v>2.3153489669704326E-2</c:v>
                </c:pt>
                <c:pt idx="2561">
                  <c:v>2.3148690606281629E-2</c:v>
                </c:pt>
                <c:pt idx="2562">
                  <c:v>2.3144323702055949E-2</c:v>
                </c:pt>
                <c:pt idx="2563">
                  <c:v>2.313957378066684E-2</c:v>
                </c:pt>
                <c:pt idx="2564">
                  <c:v>2.313484773089149E-2</c:v>
                </c:pt>
                <c:pt idx="2565">
                  <c:v>2.313014555256172E-2</c:v>
                </c:pt>
                <c:pt idx="2566">
                  <c:v>2.3125053341474616E-2</c:v>
                </c:pt>
                <c:pt idx="2567">
                  <c:v>2.3120397497790841E-2</c:v>
                </c:pt>
                <c:pt idx="2568">
                  <c:v>2.3115765523475086E-2</c:v>
                </c:pt>
                <c:pt idx="2569">
                  <c:v>2.311115741836265E-2</c:v>
                </c:pt>
                <c:pt idx="2570">
                  <c:v>2.310699272669537E-2</c:v>
                </c:pt>
                <c:pt idx="2571">
                  <c:v>2.3102433773512319E-2</c:v>
                </c:pt>
                <c:pt idx="2572">
                  <c:v>2.309789869060901E-2</c:v>
                </c:pt>
                <c:pt idx="2573">
                  <c:v>2.3093387477821199E-2</c:v>
                </c:pt>
                <c:pt idx="2574">
                  <c:v>2.3088900134986837E-2</c:v>
                </c:pt>
                <c:pt idx="2575">
                  <c:v>2.3084010031774706E-2</c:v>
                </c:pt>
                <c:pt idx="2576">
                  <c:v>2.3079569006513763E-2</c:v>
                </c:pt>
                <c:pt idx="2577">
                  <c:v>2.307515184916091E-2</c:v>
                </c:pt>
                <c:pt idx="2578">
                  <c:v>2.3070758559558029E-2</c:v>
                </c:pt>
                <c:pt idx="2579">
                  <c:v>2.3066389137548327E-2</c:v>
                </c:pt>
                <c:pt idx="2580">
                  <c:v>2.3062043582974562E-2</c:v>
                </c:pt>
                <c:pt idx="2581">
                  <c:v>2.3057721895682576E-2</c:v>
                </c:pt>
                <c:pt idx="2582">
                  <c:v>2.305342407551601E-2</c:v>
                </c:pt>
                <c:pt idx="2583">
                  <c:v>2.3050903251965207E-2</c:v>
                </c:pt>
                <c:pt idx="2584">
                  <c:v>2.3046658904183157E-2</c:v>
                </c:pt>
                <c:pt idx="2585">
                  <c:v>2.3042438429299601E-2</c:v>
                </c:pt>
                <c:pt idx="2586">
                  <c:v>2.3038241827158967E-2</c:v>
                </c:pt>
                <c:pt idx="2587">
                  <c:v>2.3032736771647581E-2</c:v>
                </c:pt>
                <c:pt idx="2588">
                  <c:v>2.3028583591605954E-2</c:v>
                </c:pt>
                <c:pt idx="2589">
                  <c:v>2.3024454279186961E-2</c:v>
                </c:pt>
                <c:pt idx="2590">
                  <c:v>2.3020348834242959E-2</c:v>
                </c:pt>
                <c:pt idx="2591">
                  <c:v>2.3016267256624558E-2</c:v>
                </c:pt>
                <c:pt idx="2592">
                  <c:v>2.3013563533401633E-2</c:v>
                </c:pt>
                <c:pt idx="2593">
                  <c:v>2.3009534036218828E-2</c:v>
                </c:pt>
                <c:pt idx="2594">
                  <c:v>2.3005528410577757E-2</c:v>
                </c:pt>
                <c:pt idx="2595">
                  <c:v>2.3001546656329721E-2</c:v>
                </c:pt>
                <c:pt idx="2596">
                  <c:v>2.2996217373322959E-2</c:v>
                </c:pt>
                <c:pt idx="2597">
                  <c:v>2.2992278996610556E-2</c:v>
                </c:pt>
                <c:pt idx="2598">
                  <c:v>2.2988364486214725E-2</c:v>
                </c:pt>
                <c:pt idx="2599">
                  <c:v>2.2984473841995253E-2</c:v>
                </c:pt>
                <c:pt idx="2600">
                  <c:v>2.2980607063811921E-2</c:v>
                </c:pt>
                <c:pt idx="2601">
                  <c:v>2.2978157422033279E-2</c:v>
                </c:pt>
                <c:pt idx="2602">
                  <c:v>2.2974342763518618E-2</c:v>
                </c:pt>
                <c:pt idx="2603">
                  <c:v>2.2970551975258123E-2</c:v>
                </c:pt>
                <c:pt idx="2604">
                  <c:v>2.296678505711254E-2</c:v>
                </c:pt>
                <c:pt idx="2605">
                  <c:v>2.2963042008945642E-2</c:v>
                </c:pt>
                <c:pt idx="2606">
                  <c:v>2.295932283061947E-2</c:v>
                </c:pt>
                <c:pt idx="2607">
                  <c:v>2.2955627521997791E-2</c:v>
                </c:pt>
                <c:pt idx="2608">
                  <c:v>2.2951956082946517E-2</c:v>
                </c:pt>
                <c:pt idx="2609">
                  <c:v>2.2945928478663651E-2</c:v>
                </c:pt>
                <c:pt idx="2610">
                  <c:v>2.2942297404351705E-2</c:v>
                </c:pt>
                <c:pt idx="2611">
                  <c:v>2.2938690191514323E-2</c:v>
                </c:pt>
                <c:pt idx="2612">
                  <c:v>2.2935106840025199E-2</c:v>
                </c:pt>
                <c:pt idx="2613">
                  <c:v>2.2931547349756255E-2</c:v>
                </c:pt>
                <c:pt idx="2614">
                  <c:v>2.2928494792585082E-2</c:v>
                </c:pt>
                <c:pt idx="2615">
                  <c:v>2.2924984506452105E-2</c:v>
                </c:pt>
                <c:pt idx="2616">
                  <c:v>2.2921498082698454E-2</c:v>
                </c:pt>
                <c:pt idx="2617">
                  <c:v>2.2918035521198511E-2</c:v>
                </c:pt>
                <c:pt idx="2618">
                  <c:v>2.2914107812307634E-2</c:v>
                </c:pt>
                <c:pt idx="2619">
                  <c:v>2.291069148672896E-2</c:v>
                </c:pt>
                <c:pt idx="2620">
                  <c:v>2.2907299021503093E-2</c:v>
                </c:pt>
                <c:pt idx="2621">
                  <c:v>2.2903930416506381E-2</c:v>
                </c:pt>
                <c:pt idx="2622">
                  <c:v>2.2901080643194082E-2</c:v>
                </c:pt>
                <c:pt idx="2623">
                  <c:v>2.2897761252643523E-2</c:v>
                </c:pt>
                <c:pt idx="2624">
                  <c:v>2.2894465723498125E-2</c:v>
                </c:pt>
                <c:pt idx="2625">
                  <c:v>2.2891194055638862E-2</c:v>
                </c:pt>
                <c:pt idx="2626">
                  <c:v>2.2887484224409393E-2</c:v>
                </c:pt>
                <c:pt idx="2627">
                  <c:v>2.2883761014418885E-2</c:v>
                </c:pt>
                <c:pt idx="2628">
                  <c:v>2.2880562836208228E-2</c:v>
                </c:pt>
                <c:pt idx="2629">
                  <c:v>2.2877388517276762E-2</c:v>
                </c:pt>
                <c:pt idx="2630">
                  <c:v>2.2874238057512753E-2</c:v>
                </c:pt>
                <c:pt idx="2631">
                  <c:v>2.2871111456802266E-2</c:v>
                </c:pt>
                <c:pt idx="2632">
                  <c:v>2.286800871503665E-2</c:v>
                </c:pt>
                <c:pt idx="2633">
                  <c:v>2.2864929832103295E-2</c:v>
                </c:pt>
                <c:pt idx="2634">
                  <c:v>2.2861874807893551E-2</c:v>
                </c:pt>
                <c:pt idx="2635">
                  <c:v>2.2860903575205187E-2</c:v>
                </c:pt>
                <c:pt idx="2636">
                  <c:v>2.2857902327010789E-2</c:v>
                </c:pt>
                <c:pt idx="2637">
                  <c:v>2.2854924943309905E-2</c:v>
                </c:pt>
                <c:pt idx="2638">
                  <c:v>2.2851971423993651E-2</c:v>
                </c:pt>
                <c:pt idx="2639">
                  <c:v>2.284747836419888E-2</c:v>
                </c:pt>
                <c:pt idx="2640">
                  <c:v>2.2846135978086841E-2</c:v>
                </c:pt>
                <c:pt idx="2641">
                  <c:v>2.2843254051284127E-2</c:v>
                </c:pt>
                <c:pt idx="2642">
                  <c:v>2.28377202084959E-2</c:v>
                </c:pt>
                <c:pt idx="2643">
                  <c:v>2.2837561789456826E-2</c:v>
                </c:pt>
                <c:pt idx="2644">
                  <c:v>2.2834751454224839E-2</c:v>
                </c:pt>
                <c:pt idx="2645">
                  <c:v>2.2831964982643366E-2</c:v>
                </c:pt>
                <c:pt idx="2646">
                  <c:v>2.2829202374612594E-2</c:v>
                </c:pt>
                <c:pt idx="2647">
                  <c:v>2.2826463630031851E-2</c:v>
                </c:pt>
                <c:pt idx="2648">
                  <c:v>2.282374874880046E-2</c:v>
                </c:pt>
                <c:pt idx="2649">
                  <c:v>2.2821057730820767E-2</c:v>
                </c:pt>
                <c:pt idx="2650">
                  <c:v>2.2818390575993823E-2</c:v>
                </c:pt>
                <c:pt idx="2651">
                  <c:v>2.2815747284223711E-2</c:v>
                </c:pt>
                <c:pt idx="2652">
                  <c:v>2.2813127855414068E-2</c:v>
                </c:pt>
                <c:pt idx="2653">
                  <c:v>2.2810532289469838E-2</c:v>
                </c:pt>
                <c:pt idx="2654">
                  <c:v>2.2807960586295532E-2</c:v>
                </c:pt>
                <c:pt idx="2655">
                  <c:v>2.2805412745799114E-2</c:v>
                </c:pt>
                <c:pt idx="2656">
                  <c:v>2.280288876788682E-2</c:v>
                </c:pt>
                <c:pt idx="2657">
                  <c:v>2.2800388652467914E-2</c:v>
                </c:pt>
                <c:pt idx="2658">
                  <c:v>2.2797912399450358E-2</c:v>
                </c:pt>
                <c:pt idx="2659">
                  <c:v>2.2795460008745147E-2</c:v>
                </c:pt>
                <c:pt idx="2660">
                  <c:v>2.2793031480263265E-2</c:v>
                </c:pt>
                <c:pt idx="2661">
                  <c:v>2.2788407374793797E-2</c:v>
                </c:pt>
                <c:pt idx="2662">
                  <c:v>2.2786020353822635E-2</c:v>
                </c:pt>
                <c:pt idx="2663">
                  <c:v>2.2783657188767171E-2</c:v>
                </c:pt>
                <c:pt idx="2664">
                  <c:v>2.2781317879545258E-2</c:v>
                </c:pt>
                <c:pt idx="2665">
                  <c:v>2.2779563252551854E-2</c:v>
                </c:pt>
                <c:pt idx="2666">
                  <c:v>2.2777273214644855E-2</c:v>
                </c:pt>
                <c:pt idx="2667">
                  <c:v>2.2777264556116571E-2</c:v>
                </c:pt>
                <c:pt idx="2668">
                  <c:v>2.2772764710032575E-2</c:v>
                </c:pt>
                <c:pt idx="2669">
                  <c:v>2.2770546243166979E-2</c:v>
                </c:pt>
                <c:pt idx="2670">
                  <c:v>2.2767782992092232E-2</c:v>
                </c:pt>
                <c:pt idx="2671">
                  <c:v>2.276561067141486E-2</c:v>
                </c:pt>
                <c:pt idx="2672">
                  <c:v>2.2763462205927575E-2</c:v>
                </c:pt>
                <c:pt idx="2673">
                  <c:v>2.2761337595554858E-2</c:v>
                </c:pt>
                <c:pt idx="2674">
                  <c:v>2.2759811760092244E-2</c:v>
                </c:pt>
                <c:pt idx="2675">
                  <c:v>2.2757736433190706E-2</c:v>
                </c:pt>
                <c:pt idx="2676">
                  <c:v>2.2755684962684271E-2</c:v>
                </c:pt>
                <c:pt idx="2677">
                  <c:v>2.2753657348501783E-2</c:v>
                </c:pt>
                <c:pt idx="2678">
                  <c:v>2.274905696774503E-2</c:v>
                </c:pt>
                <c:pt idx="2679">
                  <c:v>2.2748832462383451E-2</c:v>
                </c:pt>
                <c:pt idx="2680">
                  <c:v>2.2746886640760942E-2</c:v>
                </c:pt>
                <c:pt idx="2681">
                  <c:v>2.274496467514615E-2</c:v>
                </c:pt>
                <c:pt idx="2682">
                  <c:v>2.2743066565469684E-2</c:v>
                </c:pt>
                <c:pt idx="2683">
                  <c:v>2.2741192311664341E-2</c:v>
                </c:pt>
                <c:pt idx="2684">
                  <c:v>2.2739341913664241E-2</c:v>
                </c:pt>
                <c:pt idx="2685">
                  <c:v>2.2737515371401746E-2</c:v>
                </c:pt>
                <c:pt idx="2686">
                  <c:v>2.2735712684810536E-2</c:v>
                </c:pt>
                <c:pt idx="2687">
                  <c:v>2.2735126735575185E-2</c:v>
                </c:pt>
                <c:pt idx="2688">
                  <c:v>2.2733374948090981E-2</c:v>
                </c:pt>
                <c:pt idx="2689">
                  <c:v>2.2731647019090664E-2</c:v>
                </c:pt>
                <c:pt idx="2690">
                  <c:v>2.2729942948514711E-2</c:v>
                </c:pt>
                <c:pt idx="2691">
                  <c:v>2.2727659821419926E-2</c:v>
                </c:pt>
                <c:pt idx="2692">
                  <c:v>2.2726001867418952E-2</c:v>
                </c:pt>
                <c:pt idx="2693">
                  <c:v>2.2723905267068571E-2</c:v>
                </c:pt>
                <c:pt idx="2694">
                  <c:v>2.2722757529579259E-2</c:v>
                </c:pt>
                <c:pt idx="2695">
                  <c:v>2.2721171145621728E-2</c:v>
                </c:pt>
                <c:pt idx="2696">
                  <c:v>2.2720219548545178E-2</c:v>
                </c:pt>
                <c:pt idx="2697">
                  <c:v>2.2718682485251142E-2</c:v>
                </c:pt>
                <c:pt idx="2698">
                  <c:v>2.2717169279912283E-2</c:v>
                </c:pt>
                <c:pt idx="2699">
                  <c:v>2.2715679932472126E-2</c:v>
                </c:pt>
                <c:pt idx="2700">
                  <c:v>2.2713597073218589E-2</c:v>
                </c:pt>
                <c:pt idx="2701">
                  <c:v>2.2712153827833093E-2</c:v>
                </c:pt>
                <c:pt idx="2702">
                  <c:v>2.2710734438688731E-2</c:v>
                </c:pt>
                <c:pt idx="2703">
                  <c:v>2.2709338905735271E-2</c:v>
                </c:pt>
                <c:pt idx="2704">
                  <c:v>2.270921507580758E-2</c:v>
                </c:pt>
                <c:pt idx="2705">
                  <c:v>2.2707244860759278E-2</c:v>
                </c:pt>
                <c:pt idx="2706">
                  <c:v>2.2705922517154229E-2</c:v>
                </c:pt>
                <c:pt idx="2707">
                  <c:v>2.2704624031041683E-2</c:v>
                </c:pt>
                <c:pt idx="2708">
                  <c:v>2.2703349402375155E-2</c:v>
                </c:pt>
                <c:pt idx="2709">
                  <c:v>2.2702098631108596E-2</c:v>
                </c:pt>
                <c:pt idx="2710">
                  <c:v>2.2700871717195523E-2</c:v>
                </c:pt>
                <c:pt idx="2711">
                  <c:v>2.2699668660592053E-2</c:v>
                </c:pt>
                <c:pt idx="2712">
                  <c:v>2.2698489461256483E-2</c:v>
                </c:pt>
                <c:pt idx="2713">
                  <c:v>2.2696057375782831E-2</c:v>
                </c:pt>
                <c:pt idx="2714">
                  <c:v>2.2694922624964683E-2</c:v>
                </c:pt>
                <c:pt idx="2715">
                  <c:v>2.2693811728295963E-2</c:v>
                </c:pt>
                <c:pt idx="2716">
                  <c:v>2.2692724685737138E-2</c:v>
                </c:pt>
                <c:pt idx="2717">
                  <c:v>2.2689084050231251E-2</c:v>
                </c:pt>
                <c:pt idx="2718">
                  <c:v>2.2690622162791944E-2</c:v>
                </c:pt>
                <c:pt idx="2719">
                  <c:v>2.2689606682331342E-2</c:v>
                </c:pt>
                <c:pt idx="2720">
                  <c:v>2.2688615055829552E-2</c:v>
                </c:pt>
                <c:pt idx="2721">
                  <c:v>2.2687647283251434E-2</c:v>
                </c:pt>
                <c:pt idx="2722">
                  <c:v>2.2686703364562289E-2</c:v>
                </c:pt>
                <c:pt idx="2723">
                  <c:v>2.2685783299728299E-2</c:v>
                </c:pt>
                <c:pt idx="2724">
                  <c:v>2.2684887088716521E-2</c:v>
                </c:pt>
                <c:pt idx="2725">
                  <c:v>2.2684014731494458E-2</c:v>
                </c:pt>
                <c:pt idx="2726">
                  <c:v>2.2683166228031799E-2</c:v>
                </c:pt>
                <c:pt idx="2727">
                  <c:v>2.2682341578298685E-2</c:v>
                </c:pt>
                <c:pt idx="2728">
                  <c:v>2.2681540782263487E-2</c:v>
                </c:pt>
                <c:pt idx="2729">
                  <c:v>2.2680763839898976E-2</c:v>
                </c:pt>
                <c:pt idx="2730">
                  <c:v>2.267923882193941E-2</c:v>
                </c:pt>
                <c:pt idx="2731">
                  <c:v>2.2678511336235909E-2</c:v>
                </c:pt>
                <c:pt idx="2732">
                  <c:v>2.2677807702625747E-2</c:v>
                </c:pt>
                <c:pt idx="2733">
                  <c:v>2.2677127921082868E-2</c:v>
                </c:pt>
                <c:pt idx="2734">
                  <c:v>2.2676471991581217E-2</c:v>
                </c:pt>
                <c:pt idx="2735">
                  <c:v>2.2675839914100916E-2</c:v>
                </c:pt>
                <c:pt idx="2736">
                  <c:v>2.2675231688617677E-2</c:v>
                </c:pt>
                <c:pt idx="2737">
                  <c:v>2.267464731510898E-2</c:v>
                </c:pt>
                <c:pt idx="2738">
                  <c:v>2.2674086793556713E-2</c:v>
                </c:pt>
                <c:pt idx="2739">
                  <c:v>2.2675594499978784E-2</c:v>
                </c:pt>
                <c:pt idx="2740">
                  <c:v>2.2675086697999624E-2</c:v>
                </c:pt>
                <c:pt idx="2741">
                  <c:v>2.26746027523969E-2</c:v>
                </c:pt>
                <c:pt idx="2742">
                  <c:v>2.2674142663154977E-2</c:v>
                </c:pt>
                <c:pt idx="2743">
                  <c:v>2.2672897350379879E-2</c:v>
                </c:pt>
                <c:pt idx="2744">
                  <c:v>2.2672490111381075E-2</c:v>
                </c:pt>
                <c:pt idx="2745">
                  <c:v>2.2672106727196783E-2</c:v>
                </c:pt>
                <c:pt idx="2746">
                  <c:v>2.2671747197814344E-2</c:v>
                </c:pt>
                <c:pt idx="2747">
                  <c:v>2.2672757281656606E-2</c:v>
                </c:pt>
                <c:pt idx="2748">
                  <c:v>2.2673191967868631E-2</c:v>
                </c:pt>
                <c:pt idx="2749">
                  <c:v>2.2672909061410802E-2</c:v>
                </c:pt>
                <c:pt idx="2750">
                  <c:v>2.267265001418713E-2</c:v>
                </c:pt>
                <c:pt idx="2751">
                  <c:v>2.267030737250094E-2</c:v>
                </c:pt>
                <c:pt idx="2752">
                  <c:v>2.2670090971686731E-2</c:v>
                </c:pt>
                <c:pt idx="2753">
                  <c:v>2.2669898425600989E-2</c:v>
                </c:pt>
                <c:pt idx="2754">
                  <c:v>2.2669729734237597E-2</c:v>
                </c:pt>
                <c:pt idx="2755">
                  <c:v>2.2671712666294492E-2</c:v>
                </c:pt>
                <c:pt idx="2756">
                  <c:v>2.2671596774314608E-2</c:v>
                </c:pt>
                <c:pt idx="2757">
                  <c:v>2.2671504741519889E-2</c:v>
                </c:pt>
                <c:pt idx="2758">
                  <c:v>2.2671436567909476E-2</c:v>
                </c:pt>
                <c:pt idx="2759">
                  <c:v>2.267139225348036E-2</c:v>
                </c:pt>
                <c:pt idx="2760">
                  <c:v>2.2669218534940496E-2</c:v>
                </c:pt>
                <c:pt idx="2761">
                  <c:v>2.2671375202160865E-2</c:v>
                </c:pt>
                <c:pt idx="2762">
                  <c:v>2.2671402465269195E-2</c:v>
                </c:pt>
                <c:pt idx="2763">
                  <c:v>2.2671453587558822E-2</c:v>
                </c:pt>
                <c:pt idx="2764">
                  <c:v>2.2669354829406921E-2</c:v>
                </c:pt>
                <c:pt idx="2765">
                  <c:v>2.2668722637565294E-2</c:v>
                </c:pt>
                <c:pt idx="2766">
                  <c:v>2.2668838491476811E-2</c:v>
                </c:pt>
                <c:pt idx="2767">
                  <c:v>2.2668978198604875E-2</c:v>
                </c:pt>
                <c:pt idx="2768">
                  <c:v>2.2669141758954316E-2</c:v>
                </c:pt>
                <c:pt idx="2769">
                  <c:v>2.2670061928352438E-2</c:v>
                </c:pt>
                <c:pt idx="2770">
                  <c:v>2.2670274912300729E-2</c:v>
                </c:pt>
                <c:pt idx="2771">
                  <c:v>2.2673458469115188E-2</c:v>
                </c:pt>
                <c:pt idx="2772">
                  <c:v>2.267077244441416E-2</c:v>
                </c:pt>
                <c:pt idx="2773">
                  <c:v>2.26710569925959E-2</c:v>
                </c:pt>
                <c:pt idx="2774">
                  <c:v>2.2670624039081089E-2</c:v>
                </c:pt>
                <c:pt idx="2775">
                  <c:v>2.2670954572190542E-2</c:v>
                </c:pt>
                <c:pt idx="2776">
                  <c:v>2.2671308958591208E-2</c:v>
                </c:pt>
                <c:pt idx="2777">
                  <c:v>2.2671687198297139E-2</c:v>
                </c:pt>
                <c:pt idx="2778">
                  <c:v>2.2672837555195995E-2</c:v>
                </c:pt>
                <c:pt idx="2779">
                  <c:v>2.2673265232144711E-2</c:v>
                </c:pt>
                <c:pt idx="2780">
                  <c:v>2.2673716763935467E-2</c:v>
                </c:pt>
                <c:pt idx="2781">
                  <c:v>2.2674474510453676E-2</c:v>
                </c:pt>
                <c:pt idx="2782">
                  <c:v>2.2674009216461257E-2</c:v>
                </c:pt>
                <c:pt idx="2783">
                  <c:v>2.2674457556742203E-2</c:v>
                </c:pt>
                <c:pt idx="2784">
                  <c:v>2.267500277000575E-2</c:v>
                </c:pt>
                <c:pt idx="2785">
                  <c:v>2.2675571836706765E-2</c:v>
                </c:pt>
                <c:pt idx="2786">
                  <c:v>2.267616475686457E-2</c:v>
                </c:pt>
                <c:pt idx="2787">
                  <c:v>2.2676781530500251E-2</c:v>
                </c:pt>
                <c:pt idx="2788">
                  <c:v>2.2677422157635768E-2</c:v>
                </c:pt>
                <c:pt idx="2789">
                  <c:v>2.2678086638295274E-2</c:v>
                </c:pt>
                <c:pt idx="2790">
                  <c:v>2.2678774972501613E-2</c:v>
                </c:pt>
                <c:pt idx="2791">
                  <c:v>2.2682571870217234E-2</c:v>
                </c:pt>
                <c:pt idx="2792">
                  <c:v>2.26833149130806E-2</c:v>
                </c:pt>
                <c:pt idx="2793">
                  <c:v>2.2684081815558466E-2</c:v>
                </c:pt>
                <c:pt idx="2794">
                  <c:v>2.2684872577680915E-2</c:v>
                </c:pt>
                <c:pt idx="2795">
                  <c:v>2.2683352335073823E-2</c:v>
                </c:pt>
                <c:pt idx="2796">
                  <c:v>2.2684185547148895E-2</c:v>
                </c:pt>
                <c:pt idx="2797">
                  <c:v>2.2685042614459132E-2</c:v>
                </c:pt>
                <c:pt idx="2798">
                  <c:v>2.2685923537035985E-2</c:v>
                </c:pt>
                <c:pt idx="2799">
                  <c:v>2.2686828314911339E-2</c:v>
                </c:pt>
                <c:pt idx="2800">
                  <c:v>2.2690118204606865E-2</c:v>
                </c:pt>
                <c:pt idx="2801">
                  <c:v>2.2691075985091465E-2</c:v>
                </c:pt>
                <c:pt idx="2802">
                  <c:v>2.2692057625475069E-2</c:v>
                </c:pt>
                <c:pt idx="2803">
                  <c:v>2.2693063125794204E-2</c:v>
                </c:pt>
                <c:pt idx="2804">
                  <c:v>2.2691710034935406E-2</c:v>
                </c:pt>
                <c:pt idx="2805">
                  <c:v>2.269275794531464E-2</c:v>
                </c:pt>
                <c:pt idx="2806">
                  <c:v>2.2693829711238737E-2</c:v>
                </c:pt>
                <c:pt idx="2807">
                  <c:v>2.2694925332744826E-2</c:v>
                </c:pt>
                <c:pt idx="2808">
                  <c:v>2.2698448527732364E-2</c:v>
                </c:pt>
                <c:pt idx="2809">
                  <c:v>2.2699597188463629E-2</c:v>
                </c:pt>
                <c:pt idx="2810">
                  <c:v>2.2700769709406331E-2</c:v>
                </c:pt>
                <c:pt idx="2811">
                  <c:v>2.2701966090602592E-2</c:v>
                </c:pt>
                <c:pt idx="2812">
                  <c:v>2.2703186332094959E-2</c:v>
                </c:pt>
                <c:pt idx="2813">
                  <c:v>2.2704430433929414E-2</c:v>
                </c:pt>
                <c:pt idx="2814">
                  <c:v>2.2705698396152375E-2</c:v>
                </c:pt>
                <c:pt idx="2815">
                  <c:v>2.2706990218808103E-2</c:v>
                </c:pt>
                <c:pt idx="2816">
                  <c:v>2.2708305901944732E-2</c:v>
                </c:pt>
                <c:pt idx="2817">
                  <c:v>2.2705560085238292E-2</c:v>
                </c:pt>
                <c:pt idx="2818">
                  <c:v>2.2706914543020908E-2</c:v>
                </c:pt>
                <c:pt idx="2819">
                  <c:v>2.2708292853905999E-2</c:v>
                </c:pt>
                <c:pt idx="2820">
                  <c:v>2.2709695017943034E-2</c:v>
                </c:pt>
                <c:pt idx="2821">
                  <c:v>2.2711944861430338E-2</c:v>
                </c:pt>
                <c:pt idx="2822">
                  <c:v>2.271339652679364E-2</c:v>
                </c:pt>
                <c:pt idx="2823">
                  <c:v>2.2714872046966938E-2</c:v>
                </c:pt>
                <c:pt idx="2824">
                  <c:v>2.2716371422003376E-2</c:v>
                </c:pt>
                <c:pt idx="2825">
                  <c:v>2.2717894651956096E-2</c:v>
                </c:pt>
                <c:pt idx="2826">
                  <c:v>2.2718608921201429E-2</c:v>
                </c:pt>
                <c:pt idx="2827">
                  <c:v>2.2720178058743542E-2</c:v>
                </c:pt>
                <c:pt idx="2828">
                  <c:v>2.272177104986068E-2</c:v>
                </c:pt>
                <c:pt idx="2829">
                  <c:v>2.2723387894608049E-2</c:v>
                </c:pt>
                <c:pt idx="2830">
                  <c:v>2.2725868627400433E-2</c:v>
                </c:pt>
                <c:pt idx="2831">
                  <c:v>2.2727534988025301E-2</c:v>
                </c:pt>
                <c:pt idx="2832">
                  <c:v>2.2729225203965697E-2</c:v>
                </c:pt>
                <c:pt idx="2833">
                  <c:v>2.273093927528223E-2</c:v>
                </c:pt>
                <c:pt idx="2834">
                  <c:v>2.273267720203551E-2</c:v>
                </c:pt>
                <c:pt idx="2835">
                  <c:v>2.2733589892626582E-2</c:v>
                </c:pt>
                <c:pt idx="2836">
                  <c:v>2.2735373714450537E-2</c:v>
                </c:pt>
                <c:pt idx="2837">
                  <c:v>2.2737181390388311E-2</c:v>
                </c:pt>
                <c:pt idx="2838">
                  <c:v>2.2739012920505272E-2</c:v>
                </c:pt>
                <c:pt idx="2839">
                  <c:v>2.2740868304866782E-2</c:v>
                </c:pt>
                <c:pt idx="2840">
                  <c:v>2.2742747543539082E-2</c:v>
                </c:pt>
                <c:pt idx="2841">
                  <c:v>2.2744650636588419E-2</c:v>
                </c:pt>
                <c:pt idx="2842">
                  <c:v>2.2746577584081922E-2</c:v>
                </c:pt>
                <c:pt idx="2843">
                  <c:v>2.275284880486482E-2</c:v>
                </c:pt>
                <c:pt idx="2844">
                  <c:v>2.2754832604180177E-2</c:v>
                </c:pt>
                <c:pt idx="2845">
                  <c:v>2.2756840265725147E-2</c:v>
                </c:pt>
                <c:pt idx="2846">
                  <c:v>2.2758871789572786E-2</c:v>
                </c:pt>
                <c:pt idx="2847">
                  <c:v>2.275831231927921E-2</c:v>
                </c:pt>
                <c:pt idx="2848">
                  <c:v>2.2760386063456244E-2</c:v>
                </c:pt>
                <c:pt idx="2849">
                  <c:v>2.2762483665609418E-2</c:v>
                </c:pt>
                <c:pt idx="2850">
                  <c:v>2.2764605125814741E-2</c:v>
                </c:pt>
                <c:pt idx="2851">
                  <c:v>2.2766750444147773E-2</c:v>
                </c:pt>
                <c:pt idx="2852">
                  <c:v>2.2771562045244463E-2</c:v>
                </c:pt>
                <c:pt idx="2853">
                  <c:v>2.2773760607342861E-2</c:v>
                </c:pt>
                <c:pt idx="2854">
                  <c:v>2.2775983032361929E-2</c:v>
                </c:pt>
                <c:pt idx="2855">
                  <c:v>2.2778229320384185E-2</c:v>
                </c:pt>
                <c:pt idx="2856">
                  <c:v>2.2777834910468323E-2</c:v>
                </c:pt>
                <c:pt idx="2857">
                  <c:v>2.2780123379221837E-2</c:v>
                </c:pt>
                <c:pt idx="2858">
                  <c:v>2.2782435706660432E-2</c:v>
                </c:pt>
                <c:pt idx="2859">
                  <c:v>2.2784771892868851E-2</c:v>
                </c:pt>
                <c:pt idx="2860">
                  <c:v>2.2787131937931835E-2</c:v>
                </c:pt>
                <c:pt idx="2861">
                  <c:v>2.2792208176238549E-2</c:v>
                </c:pt>
                <c:pt idx="2862">
                  <c:v>2.279462150762919E-2</c:v>
                </c:pt>
                <c:pt idx="2863">
                  <c:v>2.2797058702703332E-2</c:v>
                </c:pt>
                <c:pt idx="2864">
                  <c:v>2.2799519761551659E-2</c:v>
                </c:pt>
                <c:pt idx="2865">
                  <c:v>2.280200468426313E-2</c:v>
                </c:pt>
                <c:pt idx="2866">
                  <c:v>2.2804513470928423E-2</c:v>
                </c:pt>
                <c:pt idx="2867">
                  <c:v>2.2807046121639508E-2</c:v>
                </c:pt>
                <c:pt idx="2868">
                  <c:v>2.2809602636488787E-2</c:v>
                </c:pt>
                <c:pt idx="2869">
                  <c:v>2.2807622417224352E-2</c:v>
                </c:pt>
                <c:pt idx="2870">
                  <c:v>2.2810217320105651E-2</c:v>
                </c:pt>
                <c:pt idx="2871">
                  <c:v>2.2812836079765163E-2</c:v>
                </c:pt>
                <c:pt idx="2872">
                  <c:v>2.2815478696295625E-2</c:v>
                </c:pt>
                <c:pt idx="2873">
                  <c:v>2.2818145169789784E-2</c:v>
                </c:pt>
                <c:pt idx="2874">
                  <c:v>2.2821756539985017E-2</c:v>
                </c:pt>
                <c:pt idx="2875">
                  <c:v>2.2824472602990292E-2</c:v>
                </c:pt>
                <c:pt idx="2876">
                  <c:v>2.2827212524778207E-2</c:v>
                </c:pt>
                <c:pt idx="2877">
                  <c:v>2.2829976305448023E-2</c:v>
                </c:pt>
                <c:pt idx="2878">
                  <c:v>2.2831835395076897E-2</c:v>
                </c:pt>
                <c:pt idx="2879">
                  <c:v>2.283464501237991E-2</c:v>
                </c:pt>
                <c:pt idx="2880">
                  <c:v>2.2837478487328502E-2</c:v>
                </c:pt>
                <c:pt idx="2881">
                  <c:v>2.2840335820024257E-2</c:v>
                </c:pt>
                <c:pt idx="2882">
                  <c:v>2.2844153095497609E-2</c:v>
                </c:pt>
                <c:pt idx="2883">
                  <c:v>2.2847060031558702E-2</c:v>
                </c:pt>
                <c:pt idx="2884">
                  <c:v>2.2849990827210585E-2</c:v>
                </c:pt>
                <c:pt idx="2885">
                  <c:v>2.2852945482557344E-2</c:v>
                </c:pt>
                <c:pt idx="2886">
                  <c:v>2.2855923997706591E-2</c:v>
                </c:pt>
                <c:pt idx="2887">
                  <c:v>2.2857980834637887E-2</c:v>
                </c:pt>
                <c:pt idx="2888">
                  <c:v>2.2861005174456911E-2</c:v>
                </c:pt>
                <c:pt idx="2889">
                  <c:v>2.2864053372859107E-2</c:v>
                </c:pt>
                <c:pt idx="2890">
                  <c:v>2.2867125429954446E-2</c:v>
                </c:pt>
                <c:pt idx="2891">
                  <c:v>2.2870221345851129E-2</c:v>
                </c:pt>
                <c:pt idx="2892">
                  <c:v>2.2873341120658683E-2</c:v>
                </c:pt>
                <c:pt idx="2893">
                  <c:v>2.2876484754490604E-2</c:v>
                </c:pt>
                <c:pt idx="2894">
                  <c:v>2.287965224745598E-2</c:v>
                </c:pt>
                <c:pt idx="2895">
                  <c:v>2.2887649543948198E-2</c:v>
                </c:pt>
                <c:pt idx="2896">
                  <c:v>2.2890874295803422E-2</c:v>
                </c:pt>
                <c:pt idx="2897">
                  <c:v>2.2894122914861481E-2</c:v>
                </c:pt>
                <c:pt idx="2898">
                  <c:v>2.2897395401240566E-2</c:v>
                </c:pt>
                <c:pt idx="2899">
                  <c:v>2.2897784592823801E-2</c:v>
                </c:pt>
                <c:pt idx="2900">
                  <c:v>2.2901099070776663E-2</c:v>
                </c:pt>
                <c:pt idx="2901">
                  <c:v>2.2904437411766537E-2</c:v>
                </c:pt>
                <c:pt idx="2902">
                  <c:v>2.2907799615913983E-2</c:v>
                </c:pt>
                <c:pt idx="2903">
                  <c:v>2.2911185683339119E-2</c:v>
                </c:pt>
                <c:pt idx="2904">
                  <c:v>2.2917531540031347E-2</c:v>
                </c:pt>
                <c:pt idx="2905">
                  <c:v>2.292097110106046E-2</c:v>
                </c:pt>
                <c:pt idx="2906">
                  <c:v>2.2924434530391748E-2</c:v>
                </c:pt>
                <c:pt idx="2907">
                  <c:v>2.2927921828153706E-2</c:v>
                </c:pt>
                <c:pt idx="2908">
                  <c:v>2.2928473973935822E-2</c:v>
                </c:pt>
                <c:pt idx="2909">
                  <c:v>2.2932003223618703E-2</c:v>
                </c:pt>
                <c:pt idx="2910">
                  <c:v>2.2935556337450709E-2</c:v>
                </c:pt>
                <c:pt idx="2911">
                  <c:v>2.2939133315559832E-2</c:v>
                </c:pt>
                <c:pt idx="2912">
                  <c:v>2.2942734158073609E-2</c:v>
                </c:pt>
                <c:pt idx="2913">
                  <c:v>2.2949346858947506E-2</c:v>
                </c:pt>
                <c:pt idx="2914">
                  <c:v>2.2953001239334619E-2</c:v>
                </c:pt>
                <c:pt idx="2915">
                  <c:v>2.2956679489195872E-2</c:v>
                </c:pt>
                <c:pt idx="2916">
                  <c:v>2.2960381608665783E-2</c:v>
                </c:pt>
                <c:pt idx="2917">
                  <c:v>2.2964107597879722E-2</c:v>
                </c:pt>
                <c:pt idx="2918">
                  <c:v>2.2967857456973065E-2</c:v>
                </c:pt>
                <c:pt idx="2919">
                  <c:v>2.2971631186084633E-2</c:v>
                </c:pt>
                <c:pt idx="2920">
                  <c:v>2.2975428785350225E-2</c:v>
                </c:pt>
                <c:pt idx="2921">
                  <c:v>2.2974193742302241E-2</c:v>
                </c:pt>
                <c:pt idx="2922">
                  <c:v>2.2978029339886314E-2</c:v>
                </c:pt>
                <c:pt idx="2923">
                  <c:v>2.2981888800218189E-2</c:v>
                </c:pt>
                <c:pt idx="2924">
                  <c:v>2.2985772123433008E-2</c:v>
                </c:pt>
                <c:pt idx="2925">
                  <c:v>2.2989679309671204E-2</c:v>
                </c:pt>
                <c:pt idx="2926">
                  <c:v>2.2994630959462154E-2</c:v>
                </c:pt>
                <c:pt idx="2927">
                  <c:v>2.2998587828001352E-2</c:v>
                </c:pt>
                <c:pt idx="2928">
                  <c:v>2.3002568561551175E-2</c:v>
                </c:pt>
                <c:pt idx="2929">
                  <c:v>2.3006573160253931E-2</c:v>
                </c:pt>
                <c:pt idx="2930">
                  <c:v>2.300957319109076E-2</c:v>
                </c:pt>
                <c:pt idx="2931">
                  <c:v>2.3013623558411415E-2</c:v>
                </c:pt>
                <c:pt idx="2932">
                  <c:v>2.3017697789745158E-2</c:v>
                </c:pt>
                <c:pt idx="2933">
                  <c:v>2.3021795885237728E-2</c:v>
                </c:pt>
                <c:pt idx="2934">
                  <c:v>2.3026954136115645E-2</c:v>
                </c:pt>
                <c:pt idx="2935">
                  <c:v>2.3031101928778386E-2</c:v>
                </c:pt>
                <c:pt idx="2936">
                  <c:v>2.3035273587615219E-2</c:v>
                </c:pt>
                <c:pt idx="2937">
                  <c:v>2.3039469112774595E-2</c:v>
                </c:pt>
                <c:pt idx="2938">
                  <c:v>2.3044293222934286E-2</c:v>
                </c:pt>
                <c:pt idx="2939">
                  <c:v>2.3047493459558574E-2</c:v>
                </c:pt>
                <c:pt idx="2940">
                  <c:v>2.3051762017614101E-2</c:v>
                </c:pt>
                <c:pt idx="2941">
                  <c:v>2.305605444103942E-2</c:v>
                </c:pt>
                <c:pt idx="2942">
                  <c:v>2.3060370729987779E-2</c:v>
                </c:pt>
                <c:pt idx="2943">
                  <c:v>2.3064710884611098E-2</c:v>
                </c:pt>
                <c:pt idx="2944">
                  <c:v>2.3069074905066159E-2</c:v>
                </c:pt>
                <c:pt idx="2945">
                  <c:v>2.3073462791506207E-2</c:v>
                </c:pt>
                <c:pt idx="2946">
                  <c:v>2.3077874544088911E-2</c:v>
                </c:pt>
                <c:pt idx="2947">
                  <c:v>2.3086560725086636E-2</c:v>
                </c:pt>
                <c:pt idx="2948">
                  <c:v>2.3091028168703835E-2</c:v>
                </c:pt>
                <c:pt idx="2949">
                  <c:v>2.3095519485291233E-2</c:v>
                </c:pt>
                <c:pt idx="2950">
                  <c:v>2.3100034675010858E-2</c:v>
                </c:pt>
                <c:pt idx="2951">
                  <c:v>2.3101361558725792E-2</c:v>
                </c:pt>
                <c:pt idx="2952">
                  <c:v>2.310913667450875E-2</c:v>
                </c:pt>
                <c:pt idx="2953">
                  <c:v>2.3114203276243417E-2</c:v>
                </c:pt>
                <c:pt idx="2954">
                  <c:v>2.3118334168518832E-2</c:v>
                </c:pt>
                <c:pt idx="2955">
                  <c:v>2.3122968726384526E-2</c:v>
                </c:pt>
                <c:pt idx="2956">
                  <c:v>2.3127627158381864E-2</c:v>
                </c:pt>
                <c:pt idx="2957">
                  <c:v>2.3132309464678067E-2</c:v>
                </c:pt>
                <c:pt idx="2958">
                  <c:v>2.3137015645446398E-2</c:v>
                </c:pt>
                <c:pt idx="2959">
                  <c:v>2.3141745700856236E-2</c:v>
                </c:pt>
                <c:pt idx="2960">
                  <c:v>2.3146499631080418E-2</c:v>
                </c:pt>
                <c:pt idx="2961">
                  <c:v>2.3151277436290911E-2</c:v>
                </c:pt>
                <c:pt idx="2962">
                  <c:v>2.3156079116662277E-2</c:v>
                </c:pt>
                <c:pt idx="2963">
                  <c:v>2.316090467236822E-2</c:v>
                </c:pt>
                <c:pt idx="2964">
                  <c:v>2.3165754103585026E-2</c:v>
                </c:pt>
                <c:pt idx="2965">
                  <c:v>2.3170627410488993E-2</c:v>
                </c:pt>
                <c:pt idx="2966">
                  <c:v>2.3175524593256405E-2</c:v>
                </c:pt>
                <c:pt idx="2967">
                  <c:v>2.3180445652066582E-2</c:v>
                </c:pt>
                <c:pt idx="2968">
                  <c:v>2.3185390587098408E-2</c:v>
                </c:pt>
                <c:pt idx="2969">
                  <c:v>2.3190359398530334E-2</c:v>
                </c:pt>
                <c:pt idx="2970">
                  <c:v>2.3195352086544267E-2</c:v>
                </c:pt>
                <c:pt idx="2971">
                  <c:v>2.320036865132169E-2</c:v>
                </c:pt>
                <c:pt idx="2972">
                  <c:v>2.3205409093044502E-2</c:v>
                </c:pt>
                <c:pt idx="2973">
                  <c:v>2.3207128384897767E-2</c:v>
                </c:pt>
                <c:pt idx="2974">
                  <c:v>2.3212210487101891E-2</c:v>
                </c:pt>
                <c:pt idx="2975">
                  <c:v>2.3217316461957998E-2</c:v>
                </c:pt>
                <c:pt idx="2976">
                  <c:v>2.3222446309650126E-2</c:v>
                </c:pt>
                <c:pt idx="2977">
                  <c:v>2.3230969462288809E-2</c:v>
                </c:pt>
                <c:pt idx="2978">
                  <c:v>2.3237278837246661E-2</c:v>
                </c:pt>
                <c:pt idx="2979">
                  <c:v>2.3241360755088442E-2</c:v>
                </c:pt>
                <c:pt idx="2980">
                  <c:v>2.3246592219047988E-2</c:v>
                </c:pt>
                <c:pt idx="2981">
                  <c:v>2.3251847561633746E-2</c:v>
                </c:pt>
                <c:pt idx="2982">
                  <c:v>2.3253726735688089E-2</c:v>
                </c:pt>
                <c:pt idx="2983">
                  <c:v>2.3259023698416311E-2</c:v>
                </c:pt>
                <c:pt idx="2984">
                  <c:v>2.3264344535471222E-2</c:v>
                </c:pt>
                <c:pt idx="2985">
                  <c:v>2.32696892470452E-2</c:v>
                </c:pt>
                <c:pt idx="2986">
                  <c:v>2.3275057833327541E-2</c:v>
                </c:pt>
                <c:pt idx="2987">
                  <c:v>2.32838809408746E-2</c:v>
                </c:pt>
                <c:pt idx="2988">
                  <c:v>2.3289302171820271E-2</c:v>
                </c:pt>
                <c:pt idx="2989">
                  <c:v>2.3294744837651378E-2</c:v>
                </c:pt>
                <c:pt idx="2990">
                  <c:v>2.3299107191685049E-2</c:v>
                </c:pt>
                <c:pt idx="2991">
                  <c:v>2.3304592628965719E-2</c:v>
                </c:pt>
                <c:pt idx="2992">
                  <c:v>2.3310095442549861E-2</c:v>
                </c:pt>
                <c:pt idx="2993">
                  <c:v>2.3315614294426017E-2</c:v>
                </c:pt>
                <c:pt idx="2994">
                  <c:v>2.3321147846570425E-2</c:v>
                </c:pt>
                <c:pt idx="2995">
                  <c:v>2.3326694760943522E-2</c:v>
                </c:pt>
                <c:pt idx="2996">
                  <c:v>2.3332253699491684E-2</c:v>
                </c:pt>
                <c:pt idx="2997">
                  <c:v>2.3337823324146346E-2</c:v>
                </c:pt>
                <c:pt idx="2998">
                  <c:v>2.3343402296824467E-2</c:v>
                </c:pt>
                <c:pt idx="2999">
                  <c:v>2.3351300640321149E-2</c:v>
                </c:pt>
                <c:pt idx="3000">
                  <c:v>2.3356894619906352E-2</c:v>
                </c:pt>
                <c:pt idx="3001">
                  <c:v>2.336249375739001E-2</c:v>
                </c:pt>
                <c:pt idx="3002">
                  <c:v>2.3368096729003637E-2</c:v>
                </c:pt>
                <c:pt idx="3003">
                  <c:v>2.3372546368777627E-2</c:v>
                </c:pt>
                <c:pt idx="3004">
                  <c:v>2.3379755175844539E-2</c:v>
                </c:pt>
                <c:pt idx="3005">
                  <c:v>2.3383759922088451E-2</c:v>
                </c:pt>
                <c:pt idx="3006">
                  <c:v>2.3389365250105716E-2</c:v>
                </c:pt>
                <c:pt idx="3007">
                  <c:v>2.3394967837713988E-2</c:v>
                </c:pt>
                <c:pt idx="3008">
                  <c:v>2.3402520269317533E-2</c:v>
                </c:pt>
                <c:pt idx="3009">
                  <c:v>2.340811212887076E-2</c:v>
                </c:pt>
                <c:pt idx="3010">
                  <c:v>2.3413697042731267E-2</c:v>
                </c:pt>
                <c:pt idx="3011">
                  <c:v>2.3419273686992859E-2</c:v>
                </c:pt>
                <c:pt idx="3012">
                  <c:v>2.3423687799290577E-2</c:v>
                </c:pt>
                <c:pt idx="3013">
                  <c:v>2.342924457357675E-2</c:v>
                </c:pt>
                <c:pt idx="3014">
                  <c:v>2.3434790430945717E-2</c:v>
                </c:pt>
                <c:pt idx="3015">
                  <c:v>2.3440325371305748E-2</c:v>
                </c:pt>
                <c:pt idx="3016">
                  <c:v>2.3448151910214706E-2</c:v>
                </c:pt>
                <c:pt idx="3017">
                  <c:v>2.3452513331008368E-2</c:v>
                </c:pt>
                <c:pt idx="3018">
                  <c:v>2.3458015096293028E-2</c:v>
                </c:pt>
                <c:pt idx="3019">
                  <c:v>2.3463505943572924E-2</c:v>
                </c:pt>
                <c:pt idx="3020">
                  <c:v>2.3468985872760306E-2</c:v>
                </c:pt>
                <c:pt idx="3021">
                  <c:v>2.3474454883762201E-2</c:v>
                </c:pt>
                <c:pt idx="3022">
                  <c:v>2.3479912976488247E-2</c:v>
                </c:pt>
                <c:pt idx="3023">
                  <c:v>2.3485360150849385E-2</c:v>
                </c:pt>
                <c:pt idx="3024">
                  <c:v>2.3490796406754819E-2</c:v>
                </c:pt>
                <c:pt idx="3025">
                  <c:v>2.3492779495793571E-2</c:v>
                </c:pt>
                <c:pt idx="3026">
                  <c:v>2.3498195199999988E-2</c:v>
                </c:pt>
                <c:pt idx="3027">
                  <c:v>2.3503599987384039E-2</c:v>
                </c:pt>
                <c:pt idx="3028">
                  <c:v>2.3508993857857846E-2</c:v>
                </c:pt>
                <c:pt idx="3029">
                  <c:v>2.351552250136231E-2</c:v>
                </c:pt>
                <c:pt idx="3030">
                  <c:v>2.3520894106784752E-2</c:v>
                </c:pt>
                <c:pt idx="3031">
                  <c:v>2.3526254794399001E-2</c:v>
                </c:pt>
                <c:pt idx="3032">
                  <c:v>2.3531604564115894E-2</c:v>
                </c:pt>
                <c:pt idx="3033">
                  <c:v>2.353694341584715E-2</c:v>
                </c:pt>
                <c:pt idx="3034">
                  <c:v>2.3541127820681969E-2</c:v>
                </c:pt>
                <c:pt idx="3035">
                  <c:v>2.3546445270335163E-2</c:v>
                </c:pt>
                <c:pt idx="3036">
                  <c:v>2.3551751802380325E-2</c:v>
                </c:pt>
                <c:pt idx="3037">
                  <c:v>2.3557047416731331E-2</c:v>
                </c:pt>
                <c:pt idx="3038">
                  <c:v>2.3563473901679118E-2</c:v>
                </c:pt>
                <c:pt idx="3039">
                  <c:v>2.3568747243672961E-2</c:v>
                </c:pt>
                <c:pt idx="3040">
                  <c:v>2.3574009667072422E-2</c:v>
                </c:pt>
                <c:pt idx="3041">
                  <c:v>2.3579261171792296E-2</c:v>
                </c:pt>
                <c:pt idx="3042">
                  <c:v>2.3584109546574458E-2</c:v>
                </c:pt>
                <c:pt idx="3043">
                  <c:v>2.358933809320304E-2</c:v>
                </c:pt>
                <c:pt idx="3044">
                  <c:v>2.3594555721524482E-2</c:v>
                </c:pt>
                <c:pt idx="3045">
                  <c:v>2.3599762431453987E-2</c:v>
                </c:pt>
                <c:pt idx="3046">
                  <c:v>2.3604958222907643E-2</c:v>
                </c:pt>
                <c:pt idx="3047">
                  <c:v>2.3610143095799774E-2</c:v>
                </c:pt>
                <c:pt idx="3048">
                  <c:v>2.361531705004603E-2</c:v>
                </c:pt>
                <c:pt idx="3049">
                  <c:v>2.3620480085563382E-2</c:v>
                </c:pt>
                <c:pt idx="3050">
                  <c:v>2.3625632202266593E-2</c:v>
                </c:pt>
                <c:pt idx="3051">
                  <c:v>2.363418141287792E-2</c:v>
                </c:pt>
                <c:pt idx="3052">
                  <c:v>2.363931035599379E-2</c:v>
                </c:pt>
                <c:pt idx="3053">
                  <c:v>2.3644428378103387E-2</c:v>
                </c:pt>
                <c:pt idx="3054">
                  <c:v>2.36495354791246E-2</c:v>
                </c:pt>
                <c:pt idx="3055">
                  <c:v>2.3654224631155921E-2</c:v>
                </c:pt>
                <c:pt idx="3056">
                  <c:v>2.3659308777545057E-2</c:v>
                </c:pt>
                <c:pt idx="3057">
                  <c:v>2.3664382003226792E-2</c:v>
                </c:pt>
                <c:pt idx="3058">
                  <c:v>2.3669444308120322E-2</c:v>
                </c:pt>
                <c:pt idx="3059">
                  <c:v>2.3674495692139589E-2</c:v>
                </c:pt>
                <c:pt idx="3060">
                  <c:v>2.3682931920144847E-2</c:v>
                </c:pt>
                <c:pt idx="3061">
                  <c:v>2.368796010824557E-2</c:v>
                </c:pt>
                <c:pt idx="3062">
                  <c:v>2.3692977373271376E-2</c:v>
                </c:pt>
                <c:pt idx="3063">
                  <c:v>2.3697983715137174E-2</c:v>
                </c:pt>
                <c:pt idx="3064">
                  <c:v>2.3699588796230367E-2</c:v>
                </c:pt>
                <c:pt idx="3065">
                  <c:v>2.3704574653269507E-2</c:v>
                </c:pt>
                <c:pt idx="3066">
                  <c:v>2.370954958885562E-2</c:v>
                </c:pt>
                <c:pt idx="3067">
                  <c:v>2.3717899849335776E-2</c:v>
                </c:pt>
                <c:pt idx="3068">
                  <c:v>2.3722851574150907E-2</c:v>
                </c:pt>
                <c:pt idx="3069">
                  <c:v>2.3727792375308358E-2</c:v>
                </c:pt>
                <c:pt idx="3070">
                  <c:v>2.3732722252722608E-2</c:v>
                </c:pt>
                <c:pt idx="3071">
                  <c:v>2.3737641206312866E-2</c:v>
                </c:pt>
                <c:pt idx="3072">
                  <c:v>2.3739169847307947E-2</c:v>
                </c:pt>
                <c:pt idx="3073">
                  <c:v>2.3747446341689613E-2</c:v>
                </c:pt>
                <c:pt idx="3074">
                  <c:v>2.3752332523312363E-2</c:v>
                </c:pt>
                <c:pt idx="3075">
                  <c:v>2.3757207780781487E-2</c:v>
                </c:pt>
                <c:pt idx="3076">
                  <c:v>2.3758698246927081E-2</c:v>
                </c:pt>
                <c:pt idx="3077">
                  <c:v>2.3761304744437158E-2</c:v>
                </c:pt>
                <c:pt idx="3078">
                  <c:v>2.3766149540763927E-2</c:v>
                </c:pt>
                <c:pt idx="3079">
                  <c:v>2.3770983415903651E-2</c:v>
                </c:pt>
                <c:pt idx="3080">
                  <c:v>2.3775806369778597E-2</c:v>
                </c:pt>
                <c:pt idx="3081">
                  <c:v>2.378174069541783E-2</c:v>
                </c:pt>
                <c:pt idx="3082">
                  <c:v>2.3786541341675491E-2</c:v>
                </c:pt>
                <c:pt idx="3083">
                  <c:v>2.3791331065773275E-2</c:v>
                </c:pt>
                <c:pt idx="3084">
                  <c:v>2.3796109867631678E-2</c:v>
                </c:pt>
                <c:pt idx="3085">
                  <c:v>2.3800877747173408E-2</c:v>
                </c:pt>
                <c:pt idx="3086">
                  <c:v>2.3804514742062653E-2</c:v>
                </c:pt>
                <c:pt idx="3087">
                  <c:v>2.3809261244888792E-2</c:v>
                </c:pt>
                <c:pt idx="3088">
                  <c:v>2.3813996825826123E-2</c:v>
                </c:pt>
                <c:pt idx="3089">
                  <c:v>2.3818721484796922E-2</c:v>
                </c:pt>
                <c:pt idx="3090">
                  <c:v>2.3824553307394733E-2</c:v>
                </c:pt>
                <c:pt idx="3091">
                  <c:v>2.3829255651398585E-2</c:v>
                </c:pt>
                <c:pt idx="3092">
                  <c:v>2.3833947072542019E-2</c:v>
                </c:pt>
                <c:pt idx="3093">
                  <c:v>2.383862757074949E-2</c:v>
                </c:pt>
                <c:pt idx="3094">
                  <c:v>2.3842180947469489E-2</c:v>
                </c:pt>
                <c:pt idx="3095">
                  <c:v>2.3846840073033077E-2</c:v>
                </c:pt>
                <c:pt idx="3096">
                  <c:v>2.3851488276095751E-2</c:v>
                </c:pt>
                <c:pt idx="3097">
                  <c:v>2.3856125556580222E-2</c:v>
                </c:pt>
                <c:pt idx="3098">
                  <c:v>2.386075191441318E-2</c:v>
                </c:pt>
                <c:pt idx="3099">
                  <c:v>2.3865367349518225E-2</c:v>
                </c:pt>
                <c:pt idx="3100">
                  <c:v>2.386997186181939E-2</c:v>
                </c:pt>
                <c:pt idx="3101">
                  <c:v>2.3874565451242929E-2</c:v>
                </c:pt>
                <c:pt idx="3102">
                  <c:v>2.3879148117714199E-2</c:v>
                </c:pt>
                <c:pt idx="3103">
                  <c:v>2.3889279457536914E-2</c:v>
                </c:pt>
                <c:pt idx="3104">
                  <c:v>2.389383787981441E-2</c:v>
                </c:pt>
                <c:pt idx="3105">
                  <c:v>2.3898385375570711E-2</c:v>
                </c:pt>
                <c:pt idx="3106">
                  <c:v>2.3902921944728893E-2</c:v>
                </c:pt>
                <c:pt idx="3107">
                  <c:v>2.3904117588812408E-2</c:v>
                </c:pt>
                <c:pt idx="3108">
                  <c:v>2.3908633751648891E-2</c:v>
                </c:pt>
                <c:pt idx="3109">
                  <c:v>2.391313898967241E-2</c:v>
                </c:pt>
                <c:pt idx="3110">
                  <c:v>2.3917633302810014E-2</c:v>
                </c:pt>
                <c:pt idx="3111">
                  <c:v>2.3922116690985266E-2</c:v>
                </c:pt>
                <c:pt idx="3112">
                  <c:v>2.3929911896883403E-2</c:v>
                </c:pt>
                <c:pt idx="3113">
                  <c:v>2.3934371977740298E-2</c:v>
                </c:pt>
                <c:pt idx="3114">
                  <c:v>2.3938821131397836E-2</c:v>
                </c:pt>
                <c:pt idx="3115">
                  <c:v>2.3943259357780373E-2</c:v>
                </c:pt>
                <c:pt idx="3116">
                  <c:v>2.394436975487128E-2</c:v>
                </c:pt>
                <c:pt idx="3117">
                  <c:v>2.3948787591736576E-2</c:v>
                </c:pt>
                <c:pt idx="3118">
                  <c:v>2.3953194503128012E-2</c:v>
                </c:pt>
                <c:pt idx="3119">
                  <c:v>2.3957590488972207E-2</c:v>
                </c:pt>
                <c:pt idx="3120">
                  <c:v>2.396528657797703E-2</c:v>
                </c:pt>
                <c:pt idx="3121">
                  <c:v>2.3969659239156837E-2</c:v>
                </c:pt>
                <c:pt idx="3122">
                  <c:v>2.3974020972545071E-2</c:v>
                </c:pt>
                <c:pt idx="3123">
                  <c:v>2.3978371778070818E-2</c:v>
                </c:pt>
                <c:pt idx="3124">
                  <c:v>2.3982711655658441E-2</c:v>
                </c:pt>
                <c:pt idx="3125">
                  <c:v>2.3987040605237459E-2</c:v>
                </c:pt>
                <c:pt idx="3126">
                  <c:v>2.399135862673395E-2</c:v>
                </c:pt>
                <c:pt idx="3127">
                  <c:v>2.3995665720077008E-2</c:v>
                </c:pt>
                <c:pt idx="3128">
                  <c:v>2.3999961885192708E-2</c:v>
                </c:pt>
                <c:pt idx="3129">
                  <c:v>2.3998750967669624E-2</c:v>
                </c:pt>
                <c:pt idx="3130">
                  <c:v>2.4003027761799519E-2</c:v>
                </c:pt>
                <c:pt idx="3131">
                  <c:v>2.4007293630884233E-2</c:v>
                </c:pt>
                <c:pt idx="3132">
                  <c:v>2.4011548574853547E-2</c:v>
                </c:pt>
                <c:pt idx="3133">
                  <c:v>2.4016889830570168E-2</c:v>
                </c:pt>
                <c:pt idx="3134">
                  <c:v>2.4021122424402512E-2</c:v>
                </c:pt>
                <c:pt idx="3135">
                  <c:v>2.4025344092232337E-2</c:v>
                </c:pt>
                <c:pt idx="3136">
                  <c:v>2.4029554833989806E-2</c:v>
                </c:pt>
                <c:pt idx="3137">
                  <c:v>2.4033754649605523E-2</c:v>
                </c:pt>
                <c:pt idx="3138">
                  <c:v>2.403684880738222E-2</c:v>
                </c:pt>
                <c:pt idx="3139">
                  <c:v>2.4041027273614245E-2</c:v>
                </c:pt>
                <c:pt idx="3140">
                  <c:v>2.4045194814181475E-2</c:v>
                </c:pt>
                <c:pt idx="3141">
                  <c:v>2.4049351429016787E-2</c:v>
                </c:pt>
                <c:pt idx="3142">
                  <c:v>2.4054589833166384E-2</c:v>
                </c:pt>
                <c:pt idx="3143">
                  <c:v>2.4058724090496707E-2</c:v>
                </c:pt>
                <c:pt idx="3144">
                  <c:v>2.4062847421208303E-2</c:v>
                </c:pt>
                <c:pt idx="3145">
                  <c:v>2.4066959825233089E-2</c:v>
                </c:pt>
                <c:pt idx="3146">
                  <c:v>2.407106130250387E-2</c:v>
                </c:pt>
                <c:pt idx="3147">
                  <c:v>2.4074061673863324E-2</c:v>
                </c:pt>
                <c:pt idx="3148">
                  <c:v>2.4078141806683214E-2</c:v>
                </c:pt>
                <c:pt idx="3149">
                  <c:v>2.4082211013235041E-2</c:v>
                </c:pt>
                <c:pt idx="3150">
                  <c:v>2.408626929345167E-2</c:v>
                </c:pt>
                <c:pt idx="3151">
                  <c:v>2.4090316647264211E-2</c:v>
                </c:pt>
                <c:pt idx="3152">
                  <c:v>2.409435307461039E-2</c:v>
                </c:pt>
                <c:pt idx="3153">
                  <c:v>2.4098378575424403E-2</c:v>
                </c:pt>
                <c:pt idx="3154">
                  <c:v>2.4102393149637795E-2</c:v>
                </c:pt>
                <c:pt idx="3155">
                  <c:v>2.4111827215306209E-2</c:v>
                </c:pt>
                <c:pt idx="3156">
                  <c:v>2.411581736155188E-2</c:v>
                </c:pt>
                <c:pt idx="3157">
                  <c:v>2.4119796577560193E-2</c:v>
                </c:pt>
                <c:pt idx="3158">
                  <c:v>2.4123764863264101E-2</c:v>
                </c:pt>
                <c:pt idx="3159">
                  <c:v>2.4124470163342588E-2</c:v>
                </c:pt>
                <c:pt idx="3160">
                  <c:v>2.4128418141494638E-2</c:v>
                </c:pt>
                <c:pt idx="3161">
                  <c:v>2.4132355191214316E-2</c:v>
                </c:pt>
                <c:pt idx="3162">
                  <c:v>2.4136281312435236E-2</c:v>
                </c:pt>
                <c:pt idx="3163">
                  <c:v>2.4140196505094493E-2</c:v>
                </c:pt>
                <c:pt idx="3164">
                  <c:v>2.4147345037384922E-2</c:v>
                </c:pt>
                <c:pt idx="3165">
                  <c:v>2.4151236809106583E-2</c:v>
                </c:pt>
                <c:pt idx="3166">
                  <c:v>2.415511764999824E-2</c:v>
                </c:pt>
                <c:pt idx="3167">
                  <c:v>2.4158987559994568E-2</c:v>
                </c:pt>
                <c:pt idx="3168">
                  <c:v>2.4159608537702736E-2</c:v>
                </c:pt>
                <c:pt idx="3169">
                  <c:v>2.4163458157638346E-2</c:v>
                </c:pt>
                <c:pt idx="3170">
                  <c:v>2.4167296848565004E-2</c:v>
                </c:pt>
                <c:pt idx="3171">
                  <c:v>2.4171124610418059E-2</c:v>
                </c:pt>
                <c:pt idx="3172">
                  <c:v>2.4174941443134611E-2</c:v>
                </c:pt>
                <c:pt idx="3173">
                  <c:v>2.4181977467542567E-2</c:v>
                </c:pt>
                <c:pt idx="3174">
                  <c:v>2.4185770859464009E-2</c:v>
                </c:pt>
                <c:pt idx="3175">
                  <c:v>2.4189553319975694E-2</c:v>
                </c:pt>
                <c:pt idx="3176">
                  <c:v>2.4193324849015738E-2</c:v>
                </c:pt>
                <c:pt idx="3177">
                  <c:v>2.4197085446520102E-2</c:v>
                </c:pt>
                <c:pt idx="3178">
                  <c:v>2.4200835112426478E-2</c:v>
                </c:pt>
                <c:pt idx="3179">
                  <c:v>2.4204573846671254E-2</c:v>
                </c:pt>
                <c:pt idx="3180">
                  <c:v>2.4208301649192118E-2</c:v>
                </c:pt>
                <c:pt idx="3181">
                  <c:v>2.4207728641773143E-2</c:v>
                </c:pt>
                <c:pt idx="3182">
                  <c:v>2.4211436712545335E-2</c:v>
                </c:pt>
                <c:pt idx="3183">
                  <c:v>2.4215133854197501E-2</c:v>
                </c:pt>
                <c:pt idx="3184">
                  <c:v>2.4218820066666834E-2</c:v>
                </c:pt>
                <c:pt idx="3185">
                  <c:v>2.4222495349895359E-2</c:v>
                </c:pt>
                <c:pt idx="3186">
                  <c:v>2.4227229506972679E-2</c:v>
                </c:pt>
                <c:pt idx="3187">
                  <c:v>2.4230882395200645E-2</c:v>
                </c:pt>
                <c:pt idx="3188">
                  <c:v>2.4238799234408782E-2</c:v>
                </c:pt>
                <c:pt idx="3189">
                  <c:v>2.4238155381234399E-2</c:v>
                </c:pt>
                <c:pt idx="3190">
                  <c:v>2.4240707825312367E-2</c:v>
                </c:pt>
                <c:pt idx="3191">
                  <c:v>2.4244317531832434E-2</c:v>
                </c:pt>
                <c:pt idx="3192">
                  <c:v>2.4247916308693124E-2</c:v>
                </c:pt>
                <c:pt idx="3193">
                  <c:v>2.4251504155836462E-2</c:v>
                </c:pt>
                <c:pt idx="3194">
                  <c:v>2.4256146566068778E-2</c:v>
                </c:pt>
                <c:pt idx="3195">
                  <c:v>2.4259712011661317E-2</c:v>
                </c:pt>
                <c:pt idx="3196">
                  <c:v>2.4263266526658847E-2</c:v>
                </c:pt>
                <c:pt idx="3197">
                  <c:v>2.4266810111001527E-2</c:v>
                </c:pt>
                <c:pt idx="3198">
                  <c:v>2.4270342764631258E-2</c:v>
                </c:pt>
                <c:pt idx="3199">
                  <c:v>2.4272801711327074E-2</c:v>
                </c:pt>
                <c:pt idx="3200">
                  <c:v>2.4276313048806314E-2</c:v>
                </c:pt>
                <c:pt idx="3201">
                  <c:v>2.4279813456101324E-2</c:v>
                </c:pt>
                <c:pt idx="3202">
                  <c:v>2.4283302933155008E-2</c:v>
                </c:pt>
                <c:pt idx="3203">
                  <c:v>2.4286781479910265E-2</c:v>
                </c:pt>
                <c:pt idx="3204">
                  <c:v>2.4290249096310879E-2</c:v>
                </c:pt>
                <c:pt idx="3205">
                  <c:v>2.4293705782299752E-2</c:v>
                </c:pt>
                <c:pt idx="3206">
                  <c:v>2.4297151537819788E-2</c:v>
                </c:pt>
                <c:pt idx="3207">
                  <c:v>2.4304819901958163E-2</c:v>
                </c:pt>
                <c:pt idx="3208">
                  <c:v>2.4308241591542306E-2</c:v>
                </c:pt>
                <c:pt idx="3209">
                  <c:v>2.4311652347666291E-2</c:v>
                </c:pt>
                <c:pt idx="3210">
                  <c:v>2.431505217027511E-2</c:v>
                </c:pt>
                <c:pt idx="3211">
                  <c:v>2.4315272540756411E-2</c:v>
                </c:pt>
                <c:pt idx="3212">
                  <c:v>2.4318652158383476E-2</c:v>
                </c:pt>
                <c:pt idx="3213">
                  <c:v>2.4322020844444507E-2</c:v>
                </c:pt>
                <c:pt idx="3214">
                  <c:v>2.4325378598882716E-2</c:v>
                </c:pt>
                <c:pt idx="3215">
                  <c:v>2.4328725421643941E-2</c:v>
                </c:pt>
                <c:pt idx="3216">
                  <c:v>2.4334643613923065E-2</c:v>
                </c:pt>
                <c:pt idx="3217">
                  <c:v>2.4337965896137591E-2</c:v>
                </c:pt>
                <c:pt idx="3218">
                  <c:v>2.4341277245086147E-2</c:v>
                </c:pt>
                <c:pt idx="3219">
                  <c:v>2.4344577660712994E-2</c:v>
                </c:pt>
                <c:pt idx="3220">
                  <c:v>2.4347867142963692E-2</c:v>
                </c:pt>
                <c:pt idx="3221">
                  <c:v>2.43511456917825E-2</c:v>
                </c:pt>
                <c:pt idx="3222">
                  <c:v>2.4354413307115411E-2</c:v>
                </c:pt>
                <c:pt idx="3223">
                  <c:v>2.4357669988908408E-2</c:v>
                </c:pt>
                <c:pt idx="3224">
                  <c:v>2.4360915737106619E-2</c:v>
                </c:pt>
                <c:pt idx="3225">
                  <c:v>2.4364150551656895E-2</c:v>
                </c:pt>
                <c:pt idx="3226">
                  <c:v>2.4367374432504366E-2</c:v>
                </c:pt>
                <c:pt idx="3227">
                  <c:v>2.4370587379595448E-2</c:v>
                </c:pt>
                <c:pt idx="3228">
                  <c:v>2.4373789392876998E-2</c:v>
                </c:pt>
                <c:pt idx="3229">
                  <c:v>2.4376980472295869E-2</c:v>
                </c:pt>
                <c:pt idx="3230">
                  <c:v>2.4380160617798047E-2</c:v>
                </c:pt>
                <c:pt idx="3231">
                  <c:v>2.4383329829331682E-2</c:v>
                </c:pt>
                <c:pt idx="3232">
                  <c:v>2.4386488106843632E-2</c:v>
                </c:pt>
                <c:pt idx="3233">
                  <c:v>2.4385460451683279E-2</c:v>
                </c:pt>
                <c:pt idx="3234">
                  <c:v>2.4388599139633708E-2</c:v>
                </c:pt>
                <c:pt idx="3235">
                  <c:v>2.439172689625713E-2</c:v>
                </c:pt>
                <c:pt idx="3236">
                  <c:v>2.4394843721502323E-2</c:v>
                </c:pt>
                <c:pt idx="3237">
                  <c:v>2.4398991094040322E-2</c:v>
                </c:pt>
                <c:pt idx="3238">
                  <c:v>2.4402085483994706E-2</c:v>
                </c:pt>
                <c:pt idx="3239">
                  <c:v>2.4409330192948969E-2</c:v>
                </c:pt>
                <c:pt idx="3240">
                  <c:v>2.4408241467119719E-2</c:v>
                </c:pt>
                <c:pt idx="3241">
                  <c:v>2.4411303060190213E-2</c:v>
                </c:pt>
                <c:pt idx="3242">
                  <c:v>2.4413315111193049E-2</c:v>
                </c:pt>
                <c:pt idx="3243">
                  <c:v>2.4416355415377372E-2</c:v>
                </c:pt>
                <c:pt idx="3244">
                  <c:v>2.4419384787782012E-2</c:v>
                </c:pt>
                <c:pt idx="3245">
                  <c:v>2.4422403228357509E-2</c:v>
                </c:pt>
                <c:pt idx="3246">
                  <c:v>2.4426447038619729E-2</c:v>
                </c:pt>
                <c:pt idx="3247">
                  <c:v>2.4429443036573191E-2</c:v>
                </c:pt>
                <c:pt idx="3248">
                  <c:v>2.4432428101834977E-2</c:v>
                </c:pt>
                <c:pt idx="3249">
                  <c:v>2.443540223435502E-2</c:v>
                </c:pt>
                <c:pt idx="3250">
                  <c:v>2.4436530804169788E-2</c:v>
                </c:pt>
                <c:pt idx="3251">
                  <c:v>2.4442579611417374E-2</c:v>
                </c:pt>
                <c:pt idx="3252">
                  <c:v>2.4445516259885072E-2</c:v>
                </c:pt>
                <c:pt idx="3253">
                  <c:v>2.4448441975396688E-2</c:v>
                </c:pt>
                <c:pt idx="3254">
                  <c:v>2.4451356757905232E-2</c:v>
                </c:pt>
                <c:pt idx="3255">
                  <c:v>2.4454260607362388E-2</c:v>
                </c:pt>
                <c:pt idx="3256">
                  <c:v>2.4457153523719844E-2</c:v>
                </c:pt>
                <c:pt idx="3257">
                  <c:v>2.4460035506932359E-2</c:v>
                </c:pt>
                <c:pt idx="3258">
                  <c:v>2.4462906556950745E-2</c:v>
                </c:pt>
                <c:pt idx="3259">
                  <c:v>2.4467823581870284E-2</c:v>
                </c:pt>
                <c:pt idx="3260">
                  <c:v>2.4470671588181069E-2</c:v>
                </c:pt>
                <c:pt idx="3261">
                  <c:v>2.4473508659717466E-2</c:v>
                </c:pt>
                <c:pt idx="3262">
                  <c:v>2.4476334796432984E-2</c:v>
                </c:pt>
                <c:pt idx="3263">
                  <c:v>2.4478123908063573E-2</c:v>
                </c:pt>
                <c:pt idx="3264">
                  <c:v>2.4480928766513994E-2</c:v>
                </c:pt>
                <c:pt idx="3265">
                  <c:v>2.4484518946447882E-2</c:v>
                </c:pt>
                <c:pt idx="3266">
                  <c:v>2.4486505680648862E-2</c:v>
                </c:pt>
                <c:pt idx="3267">
                  <c:v>2.4489277736242019E-2</c:v>
                </c:pt>
                <c:pt idx="3268">
                  <c:v>2.4493061982889811E-2</c:v>
                </c:pt>
                <c:pt idx="3269">
                  <c:v>2.4495811574560246E-2</c:v>
                </c:pt>
                <c:pt idx="3270">
                  <c:v>2.4498550231041839E-2</c:v>
                </c:pt>
                <c:pt idx="3271">
                  <c:v>2.4501277952288104E-2</c:v>
                </c:pt>
                <c:pt idx="3272">
                  <c:v>2.4502973997641793E-2</c:v>
                </c:pt>
                <c:pt idx="3273">
                  <c:v>2.4505680446292994E-2</c:v>
                </c:pt>
                <c:pt idx="3274">
                  <c:v>2.4508375960296473E-2</c:v>
                </c:pt>
                <c:pt idx="3275">
                  <c:v>2.451106053960855E-2</c:v>
                </c:pt>
                <c:pt idx="3276">
                  <c:v>2.4515770861106977E-2</c:v>
                </c:pt>
                <c:pt idx="3277">
                  <c:v>2.4517414637303274E-2</c:v>
                </c:pt>
                <c:pt idx="3278">
                  <c:v>2.4520065810646741E-2</c:v>
                </c:pt>
                <c:pt idx="3279">
                  <c:v>2.4522706048398648E-2</c:v>
                </c:pt>
                <c:pt idx="3280">
                  <c:v>2.4525335350514245E-2</c:v>
                </c:pt>
                <c:pt idx="3281">
                  <c:v>2.4527953716950521E-2</c:v>
                </c:pt>
                <c:pt idx="3282">
                  <c:v>2.4530561147665775E-2</c:v>
                </c:pt>
                <c:pt idx="3283">
                  <c:v>2.4533157642614822E-2</c:v>
                </c:pt>
                <c:pt idx="3284">
                  <c:v>2.4535743201754653E-2</c:v>
                </c:pt>
                <c:pt idx="3285">
                  <c:v>2.4536291992675884E-2</c:v>
                </c:pt>
                <c:pt idx="3286">
                  <c:v>2.4538856894833802E-2</c:v>
                </c:pt>
                <c:pt idx="3287">
                  <c:v>2.4541410862505435E-2</c:v>
                </c:pt>
                <c:pt idx="3288">
                  <c:v>2.4543953895650818E-2</c:v>
                </c:pt>
                <c:pt idx="3289">
                  <c:v>2.4542443912685792E-2</c:v>
                </c:pt>
                <c:pt idx="3290">
                  <c:v>2.4549007158195049E-2</c:v>
                </c:pt>
                <c:pt idx="3291">
                  <c:v>2.4551517387511327E-2</c:v>
                </c:pt>
                <c:pt idx="3292">
                  <c:v>2.4554016682134895E-2</c:v>
                </c:pt>
                <c:pt idx="3293">
                  <c:v>2.4556505042025781E-2</c:v>
                </c:pt>
                <c:pt idx="3294">
                  <c:v>2.4558982467142262E-2</c:v>
                </c:pt>
                <c:pt idx="3295">
                  <c:v>2.4561448957443496E-2</c:v>
                </c:pt>
                <c:pt idx="3296">
                  <c:v>2.4563904512889947E-2</c:v>
                </c:pt>
                <c:pt idx="3297">
                  <c:v>2.4566349133442088E-2</c:v>
                </c:pt>
                <c:pt idx="3298">
                  <c:v>2.456878281905776E-2</c:v>
                </c:pt>
                <c:pt idx="3299">
                  <c:v>2.4571205569698745E-2</c:v>
                </c:pt>
                <c:pt idx="3300">
                  <c:v>2.4573617385324639E-2</c:v>
                </c:pt>
                <c:pt idx="3301">
                  <c:v>2.4576018265895914E-2</c:v>
                </c:pt>
                <c:pt idx="3302">
                  <c:v>2.4577746315258817E-2</c:v>
                </c:pt>
                <c:pt idx="3303">
                  <c:v>2.4580124383152581E-2</c:v>
                </c:pt>
                <c:pt idx="3304">
                  <c:v>2.4582491516598744E-2</c:v>
                </c:pt>
                <c:pt idx="3305">
                  <c:v>2.4584847715557561E-2</c:v>
                </c:pt>
                <c:pt idx="3306">
                  <c:v>2.4587192979991488E-2</c:v>
                </c:pt>
                <c:pt idx="3307">
                  <c:v>2.4589527309862105E-2</c:v>
                </c:pt>
                <c:pt idx="3308">
                  <c:v>2.4591850705132312E-2</c:v>
                </c:pt>
                <c:pt idx="3309">
                  <c:v>2.4594163165762368E-2</c:v>
                </c:pt>
                <c:pt idx="3310">
                  <c:v>2.459646469171517E-2</c:v>
                </c:pt>
                <c:pt idx="3311">
                  <c:v>2.4601745700275627E-2</c:v>
                </c:pt>
                <c:pt idx="3312">
                  <c:v>2.4604023477625404E-2</c:v>
                </c:pt>
                <c:pt idx="3313">
                  <c:v>2.4606290317992992E-2</c:v>
                </c:pt>
                <c:pt idx="3314">
                  <c:v>2.4608546221340597E-2</c:v>
                </c:pt>
                <c:pt idx="3315">
                  <c:v>2.4610436496744388E-2</c:v>
                </c:pt>
                <c:pt idx="3316">
                  <c:v>2.4612668030656364E-2</c:v>
                </c:pt>
                <c:pt idx="3317">
                  <c:v>2.4614888628160272E-2</c:v>
                </c:pt>
                <c:pt idx="3318">
                  <c:v>2.4617098289216804E-2</c:v>
                </c:pt>
                <c:pt idx="3319">
                  <c:v>2.4621593184610307E-2</c:v>
                </c:pt>
                <c:pt idx="3320">
                  <c:v>2.4624457591698984E-2</c:v>
                </c:pt>
                <c:pt idx="3321">
                  <c:v>2.4626632543102475E-2</c:v>
                </c:pt>
                <c:pt idx="3322">
                  <c:v>2.462879655571459E-2</c:v>
                </c:pt>
                <c:pt idx="3323">
                  <c:v>2.4627982546532569E-2</c:v>
                </c:pt>
                <c:pt idx="3324">
                  <c:v>2.4630126588151786E-2</c:v>
                </c:pt>
                <c:pt idx="3325">
                  <c:v>2.4632259693072901E-2</c:v>
                </c:pt>
                <c:pt idx="3326">
                  <c:v>2.4634381861261399E-2</c:v>
                </c:pt>
                <c:pt idx="3327">
                  <c:v>2.4639452535657323E-2</c:v>
                </c:pt>
                <c:pt idx="3328">
                  <c:v>2.464155091477295E-2</c:v>
                </c:pt>
                <c:pt idx="3329">
                  <c:v>2.4643638354847508E-2</c:v>
                </c:pt>
                <c:pt idx="3330">
                  <c:v>2.4645714855847045E-2</c:v>
                </c:pt>
                <c:pt idx="3331">
                  <c:v>2.4647780417736315E-2</c:v>
                </c:pt>
                <c:pt idx="3332">
                  <c:v>2.464688519706025E-2</c:v>
                </c:pt>
                <c:pt idx="3333">
                  <c:v>2.4651878724046981E-2</c:v>
                </c:pt>
                <c:pt idx="3334">
                  <c:v>2.4653911468400038E-2</c:v>
                </c:pt>
                <c:pt idx="3335">
                  <c:v>2.4655933273505307E-2</c:v>
                </c:pt>
                <c:pt idx="3336">
                  <c:v>2.4655002015243076E-2</c:v>
                </c:pt>
                <c:pt idx="3337">
                  <c:v>2.4655043664959894E-2</c:v>
                </c:pt>
                <c:pt idx="3338">
                  <c:v>2.465703588090614E-2</c:v>
                </c:pt>
                <c:pt idx="3339">
                  <c:v>2.4659017161151861E-2</c:v>
                </c:pt>
                <c:pt idx="3340">
                  <c:v>2.466098750566394E-2</c:v>
                </c:pt>
                <c:pt idx="3341">
                  <c:v>2.4663924442428181E-2</c:v>
                </c:pt>
                <c:pt idx="3342">
                  <c:v>2.4665872266866187E-2</c:v>
                </c:pt>
                <c:pt idx="3343">
                  <c:v>2.4667809154738696E-2</c:v>
                </c:pt>
                <c:pt idx="3344">
                  <c:v>2.4669735106014078E-2</c:v>
                </c:pt>
                <c:pt idx="3345">
                  <c:v>2.4671650120659399E-2</c:v>
                </c:pt>
                <c:pt idx="3346">
                  <c:v>2.4672579920543013E-2</c:v>
                </c:pt>
                <c:pt idx="3347">
                  <c:v>2.467447371403101E-2</c:v>
                </c:pt>
                <c:pt idx="3348">
                  <c:v>2.4676356571533626E-2</c:v>
                </c:pt>
                <c:pt idx="3349">
                  <c:v>2.4678228493018629E-2</c:v>
                </c:pt>
                <c:pt idx="3350">
                  <c:v>2.4681061143355484E-2</c:v>
                </c:pt>
                <c:pt idx="3351">
                  <c:v>2.4682910537572593E-2</c:v>
                </c:pt>
                <c:pt idx="3352">
                  <c:v>2.4684748994945303E-2</c:v>
                </c:pt>
                <c:pt idx="3353">
                  <c:v>2.4687615902423753E-2</c:v>
                </c:pt>
                <c:pt idx="3354">
                  <c:v>2.4687682772245086E-2</c:v>
                </c:pt>
                <c:pt idx="3355">
                  <c:v>2.4689230363899913E-2</c:v>
                </c:pt>
                <c:pt idx="3356">
                  <c:v>2.4691025732428675E-2</c:v>
                </c:pt>
                <c:pt idx="3357">
                  <c:v>2.469281016470222E-2</c:v>
                </c:pt>
                <c:pt idx="3358">
                  <c:v>2.4694583660691844E-2</c:v>
                </c:pt>
                <c:pt idx="3359">
                  <c:v>2.4696346220367954E-2</c:v>
                </c:pt>
                <c:pt idx="3360">
                  <c:v>2.4698097843701847E-2</c:v>
                </c:pt>
                <c:pt idx="3361">
                  <c:v>2.4699838530666582E-2</c:v>
                </c:pt>
                <c:pt idx="3362">
                  <c:v>2.4701568281231243E-2</c:v>
                </c:pt>
                <c:pt idx="3363">
                  <c:v>2.4708102349643046E-2</c:v>
                </c:pt>
                <c:pt idx="3364">
                  <c:v>2.4709806902594309E-2</c:v>
                </c:pt>
                <c:pt idx="3365">
                  <c:v>2.4711500515364335E-2</c:v>
                </c:pt>
                <c:pt idx="3366">
                  <c:v>2.4713183187920894E-2</c:v>
                </c:pt>
                <c:pt idx="3367">
                  <c:v>2.4711973820860704E-2</c:v>
                </c:pt>
                <c:pt idx="3368">
                  <c:v>2.4713636616927222E-2</c:v>
                </c:pt>
                <c:pt idx="3369">
                  <c:v>2.4715288474919252E-2</c:v>
                </c:pt>
                <c:pt idx="3370">
                  <c:v>2.4716929394810148E-2</c:v>
                </c:pt>
                <c:pt idx="3371">
                  <c:v>2.4718559376575008E-2</c:v>
                </c:pt>
                <c:pt idx="3372">
                  <c:v>2.4723049477256526E-2</c:v>
                </c:pt>
                <c:pt idx="3373">
                  <c:v>2.4724655567552982E-2</c:v>
                </c:pt>
                <c:pt idx="3374">
                  <c:v>2.4726250717418942E-2</c:v>
                </c:pt>
                <c:pt idx="3375">
                  <c:v>2.472783492682604E-2</c:v>
                </c:pt>
                <c:pt idx="3376">
                  <c:v>2.4726545212546528E-2</c:v>
                </c:pt>
                <c:pt idx="3377">
                  <c:v>2.472810956498734E-2</c:v>
                </c:pt>
                <c:pt idx="3378">
                  <c:v>2.4729662979115597E-2</c:v>
                </c:pt>
                <c:pt idx="3379">
                  <c:v>2.4734062359340649E-2</c:v>
                </c:pt>
                <c:pt idx="3380">
                  <c:v>2.4735591866060204E-2</c:v>
                </c:pt>
                <c:pt idx="3381">
                  <c:v>2.4737110432164897E-2</c:v>
                </c:pt>
                <c:pt idx="3382">
                  <c:v>2.4738618057629794E-2</c:v>
                </c:pt>
                <c:pt idx="3383">
                  <c:v>2.4740114742429115E-2</c:v>
                </c:pt>
                <c:pt idx="3384">
                  <c:v>2.4738753757917682E-2</c:v>
                </c:pt>
                <c:pt idx="3385">
                  <c:v>2.4743075289930031E-2</c:v>
                </c:pt>
                <c:pt idx="3386">
                  <c:v>2.4744539152582203E-2</c:v>
                </c:pt>
                <c:pt idx="3387">
                  <c:v>2.4745992074469522E-2</c:v>
                </c:pt>
                <c:pt idx="3388">
                  <c:v>2.4747434055567921E-2</c:v>
                </c:pt>
                <c:pt idx="3389">
                  <c:v>2.4745083055034388E-2</c:v>
                </c:pt>
                <c:pt idx="3390">
                  <c:v>2.4746505891609101E-2</c:v>
                </c:pt>
                <c:pt idx="3391">
                  <c:v>2.4747917790295858E-2</c:v>
                </c:pt>
                <c:pt idx="3392">
                  <c:v>2.4749318751071378E-2</c:v>
                </c:pt>
                <c:pt idx="3393">
                  <c:v>2.4751651576646789E-2</c:v>
                </c:pt>
                <c:pt idx="3394">
                  <c:v>2.4756798208459937E-2</c:v>
                </c:pt>
                <c:pt idx="3395">
                  <c:v>2.4754397433485741E-2</c:v>
                </c:pt>
                <c:pt idx="3396">
                  <c:v>2.4755753953799524E-2</c:v>
                </c:pt>
                <c:pt idx="3397">
                  <c:v>2.4757099535345165E-2</c:v>
                </c:pt>
                <c:pt idx="3398">
                  <c:v>2.4757494818342066E-2</c:v>
                </c:pt>
                <c:pt idx="3399">
                  <c:v>2.47588192131135E-2</c:v>
                </c:pt>
                <c:pt idx="3400">
                  <c:v>2.4760132669796257E-2</c:v>
                </c:pt>
                <c:pt idx="3401">
                  <c:v>2.4761435188369256E-2</c:v>
                </c:pt>
                <c:pt idx="3402">
                  <c:v>2.4763663360795982E-2</c:v>
                </c:pt>
                <c:pt idx="3403">
                  <c:v>2.4764943309279357E-2</c:v>
                </c:pt>
                <c:pt idx="3404">
                  <c:v>2.4766212318843454E-2</c:v>
                </c:pt>
                <c:pt idx="3405">
                  <c:v>2.476747038946818E-2</c:v>
                </c:pt>
                <c:pt idx="3406">
                  <c:v>2.4767783708834624E-2</c:v>
                </c:pt>
                <c:pt idx="3407">
                  <c:v>2.4769020598302837E-2</c:v>
                </c:pt>
                <c:pt idx="3408">
                  <c:v>2.4770246549514593E-2</c:v>
                </c:pt>
                <c:pt idx="3409">
                  <c:v>2.477146156245013E-2</c:v>
                </c:pt>
                <c:pt idx="3410">
                  <c:v>2.4772665637090123E-2</c:v>
                </c:pt>
                <c:pt idx="3411">
                  <c:v>2.477385877341437E-2</c:v>
                </c:pt>
                <c:pt idx="3412">
                  <c:v>2.4775040971403543E-2</c:v>
                </c:pt>
                <c:pt idx="3413">
                  <c:v>2.4776212231038316E-2</c:v>
                </c:pt>
                <c:pt idx="3414">
                  <c:v>2.4777372552297613E-2</c:v>
                </c:pt>
                <c:pt idx="3415">
                  <c:v>2.4782231843047377E-2</c:v>
                </c:pt>
                <c:pt idx="3416">
                  <c:v>2.4783367472915371E-2</c:v>
                </c:pt>
                <c:pt idx="3417">
                  <c:v>2.4784492161368278E-2</c:v>
                </c:pt>
                <c:pt idx="3418">
                  <c:v>2.4785605908387617E-2</c:v>
                </c:pt>
                <c:pt idx="3419">
                  <c:v>2.4783934778274813E-2</c:v>
                </c:pt>
                <c:pt idx="3420">
                  <c:v>2.4785028762418743E-2</c:v>
                </c:pt>
                <c:pt idx="3421">
                  <c:v>2.478611180731273E-2</c:v>
                </c:pt>
                <c:pt idx="3422">
                  <c:v>2.4787183912940609E-2</c:v>
                </c:pt>
                <c:pt idx="3423">
                  <c:v>2.4788245079282293E-2</c:v>
                </c:pt>
                <c:pt idx="3424">
                  <c:v>2.4792058619362196E-2</c:v>
                </c:pt>
                <c:pt idx="3425">
                  <c:v>2.479309577583301E-2</c:v>
                </c:pt>
                <c:pt idx="3426">
                  <c:v>2.4794121990726288E-2</c:v>
                </c:pt>
                <c:pt idx="3427">
                  <c:v>2.4795137264023551E-2</c:v>
                </c:pt>
                <c:pt idx="3428">
                  <c:v>2.4793386821109355E-2</c:v>
                </c:pt>
                <c:pt idx="3429">
                  <c:v>2.4794382351379599E-2</c:v>
                </c:pt>
                <c:pt idx="3430">
                  <c:v>2.4795366942246141E-2</c:v>
                </c:pt>
                <c:pt idx="3431">
                  <c:v>2.4796340593693695E-2</c:v>
                </c:pt>
                <c:pt idx="3432">
                  <c:v>2.4797303305703913E-2</c:v>
                </c:pt>
                <c:pt idx="3433">
                  <c:v>2.4800999129373232E-2</c:v>
                </c:pt>
                <c:pt idx="3434">
                  <c:v>2.4801937811040248E-2</c:v>
                </c:pt>
                <c:pt idx="3435">
                  <c:v>2.4802865550980175E-2</c:v>
                </c:pt>
                <c:pt idx="3436">
                  <c:v>2.4803782349178825E-2</c:v>
                </c:pt>
                <c:pt idx="3437">
                  <c:v>2.4804688205621154E-2</c:v>
                </c:pt>
                <c:pt idx="3438">
                  <c:v>2.4805583120290835E-2</c:v>
                </c:pt>
                <c:pt idx="3439">
                  <c:v>2.4806467093173253E-2</c:v>
                </c:pt>
                <c:pt idx="3440">
                  <c:v>2.4807340124254659E-2</c:v>
                </c:pt>
                <c:pt idx="3441">
                  <c:v>2.4803657447356194E-2</c:v>
                </c:pt>
                <c:pt idx="3442">
                  <c:v>2.4804512209899814E-2</c:v>
                </c:pt>
                <c:pt idx="3443">
                  <c:v>2.4805356034338644E-2</c:v>
                </c:pt>
                <c:pt idx="3444">
                  <c:v>2.4806188920659882E-2</c:v>
                </c:pt>
                <c:pt idx="3445">
                  <c:v>2.4807010868849393E-2</c:v>
                </c:pt>
                <c:pt idx="3446">
                  <c:v>2.4808727265756187E-2</c:v>
                </c:pt>
                <c:pt idx="3447">
                  <c:v>2.4809526611084577E-2</c:v>
                </c:pt>
                <c:pt idx="3448">
                  <c:v>2.4810315017493745E-2</c:v>
                </c:pt>
                <c:pt idx="3449">
                  <c:v>2.4811092484970518E-2</c:v>
                </c:pt>
                <c:pt idx="3450">
                  <c:v>2.4810956537356012E-2</c:v>
                </c:pt>
                <c:pt idx="3451">
                  <c:v>2.4811712856480466E-2</c:v>
                </c:pt>
                <c:pt idx="3452">
                  <c:v>2.4812458237381336E-2</c:v>
                </c:pt>
                <c:pt idx="3453">
                  <c:v>2.4813192680049785E-2</c:v>
                </c:pt>
                <c:pt idx="3454">
                  <c:v>2.4814815737921742E-2</c:v>
                </c:pt>
                <c:pt idx="3455">
                  <c:v>2.4815527571540603E-2</c:v>
                </c:pt>
                <c:pt idx="3456">
                  <c:v>2.4816228466141423E-2</c:v>
                </c:pt>
                <c:pt idx="3457">
                  <c:v>2.481691842171278E-2</c:v>
                </c:pt>
                <c:pt idx="3458">
                  <c:v>2.4817597438243254E-2</c:v>
                </c:pt>
                <c:pt idx="3459">
                  <c:v>2.4817369632486312E-2</c:v>
                </c:pt>
                <c:pt idx="3460">
                  <c:v>2.4818027507190858E-2</c:v>
                </c:pt>
                <c:pt idx="3461">
                  <c:v>2.4818674443571127E-2</c:v>
                </c:pt>
                <c:pt idx="3462">
                  <c:v>2.4819310441616515E-2</c:v>
                </c:pt>
                <c:pt idx="3463">
                  <c:v>2.4819935501316427E-2</c:v>
                </c:pt>
                <c:pt idx="3464">
                  <c:v>2.4820549622659817E-2</c:v>
                </c:pt>
                <c:pt idx="3465">
                  <c:v>2.4821152805637417E-2</c:v>
                </c:pt>
                <c:pt idx="3466">
                  <c:v>2.4821745050240387E-2</c:v>
                </c:pt>
                <c:pt idx="3467">
                  <c:v>2.4826775913286608E-2</c:v>
                </c:pt>
                <c:pt idx="3468">
                  <c:v>2.4827342568650532E-2</c:v>
                </c:pt>
                <c:pt idx="3469">
                  <c:v>2.482789828186404E-2</c:v>
                </c:pt>
                <c:pt idx="3470">
                  <c:v>2.4828443052915965E-2</c:v>
                </c:pt>
                <c:pt idx="3471">
                  <c:v>2.4826316163224071E-2</c:v>
                </c:pt>
                <c:pt idx="3472">
                  <c:v>2.4826841286710186E-2</c:v>
                </c:pt>
                <c:pt idx="3473">
                  <c:v>2.4827355470258383E-2</c:v>
                </c:pt>
                <c:pt idx="3474">
                  <c:v>2.4827858713859053E-2</c:v>
                </c:pt>
                <c:pt idx="3475">
                  <c:v>2.4828351017504337E-2</c:v>
                </c:pt>
                <c:pt idx="3476">
                  <c:v>2.4831481893354605E-2</c:v>
                </c:pt>
                <c:pt idx="3477">
                  <c:v>2.4831950069036914E-2</c:v>
                </c:pt>
                <c:pt idx="3478">
                  <c:v>2.4832407302490162E-2</c:v>
                </c:pt>
                <c:pt idx="3479">
                  <c:v>2.4832853593707051E-2</c:v>
                </c:pt>
                <c:pt idx="3480">
                  <c:v>2.4830648436126892E-2</c:v>
                </c:pt>
                <c:pt idx="3481">
                  <c:v>2.4831075099876469E-2</c:v>
                </c:pt>
                <c:pt idx="3482">
                  <c:v>2.4831490823618237E-2</c:v>
                </c:pt>
                <c:pt idx="3483">
                  <c:v>2.4831895607344775E-2</c:v>
                </c:pt>
                <c:pt idx="3484">
                  <c:v>2.4832289451049965E-2</c:v>
                </c:pt>
                <c:pt idx="3485">
                  <c:v>2.4835301553644603E-2</c:v>
                </c:pt>
                <c:pt idx="3486">
                  <c:v>2.4835671249008817E-2</c:v>
                </c:pt>
                <c:pt idx="3487">
                  <c:v>2.4836030002082947E-2</c:v>
                </c:pt>
                <c:pt idx="3488">
                  <c:v>2.4836377812860116E-2</c:v>
                </c:pt>
                <c:pt idx="3489">
                  <c:v>2.4836714681334304E-2</c:v>
                </c:pt>
                <c:pt idx="3490">
                  <c:v>2.483704060749993E-2</c:v>
                </c:pt>
                <c:pt idx="3491">
                  <c:v>2.4837355591352694E-2</c:v>
                </c:pt>
                <c:pt idx="3492">
                  <c:v>2.4837659632885721E-2</c:v>
                </c:pt>
                <c:pt idx="3493">
                  <c:v>2.483360091748436E-2</c:v>
                </c:pt>
                <c:pt idx="3494">
                  <c:v>2.4833886884301878E-2</c:v>
                </c:pt>
                <c:pt idx="3495">
                  <c:v>2.4834161912536762E-2</c:v>
                </c:pt>
                <c:pt idx="3496">
                  <c:v>2.4834426002183708E-2</c:v>
                </c:pt>
                <c:pt idx="3497">
                  <c:v>2.4834679153238743E-2</c:v>
                </c:pt>
                <c:pt idx="3498">
                  <c:v>2.4835787978281038E-2</c:v>
                </c:pt>
                <c:pt idx="3499">
                  <c:v>2.48360184866139E-2</c:v>
                </c:pt>
                <c:pt idx="3500">
                  <c:v>2.4836238055593599E-2</c:v>
                </c:pt>
                <c:pt idx="3501">
                  <c:v>2.4836446685214873E-2</c:v>
                </c:pt>
                <c:pt idx="3502">
                  <c:v>2.4835780829497469E-2</c:v>
                </c:pt>
                <c:pt idx="3503">
                  <c:v>2.4835968348920663E-2</c:v>
                </c:pt>
                <c:pt idx="3504">
                  <c:v>2.4836144929726332E-2</c:v>
                </c:pt>
                <c:pt idx="3505">
                  <c:v>2.4836310571912264E-2</c:v>
                </c:pt>
                <c:pt idx="3506">
                  <c:v>2.4837325742847711E-2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53051008"/>
        <c:axId val="35305331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Monitor!$M$19:$M$36</c:f>
              <c:numCache>
                <c:formatCode>ddd\,\ dd\-mmm\-yyyy</c:formatCode>
                <c:ptCount val="18"/>
                <c:pt idx="0">
                  <c:v>41823</c:v>
                </c:pt>
                <c:pt idx="1">
                  <c:v>41855</c:v>
                </c:pt>
                <c:pt idx="2">
                  <c:v>41885</c:v>
                </c:pt>
                <c:pt idx="3">
                  <c:v>41915</c:v>
                </c:pt>
                <c:pt idx="4">
                  <c:v>41946</c:v>
                </c:pt>
                <c:pt idx="5">
                  <c:v>41976</c:v>
                </c:pt>
                <c:pt idx="6">
                  <c:v>42009</c:v>
                </c:pt>
                <c:pt idx="7">
                  <c:v>42038</c:v>
                </c:pt>
                <c:pt idx="8">
                  <c:v>42066</c:v>
                </c:pt>
                <c:pt idx="9">
                  <c:v>42101</c:v>
                </c:pt>
                <c:pt idx="10">
                  <c:v>42128</c:v>
                </c:pt>
                <c:pt idx="11">
                  <c:v>42158</c:v>
                </c:pt>
                <c:pt idx="12">
                  <c:v>42188</c:v>
                </c:pt>
                <c:pt idx="13">
                  <c:v>42219</c:v>
                </c:pt>
                <c:pt idx="14">
                  <c:v>42250</c:v>
                </c:pt>
                <c:pt idx="15">
                  <c:v>42282</c:v>
                </c:pt>
                <c:pt idx="16">
                  <c:v>42311</c:v>
                </c:pt>
                <c:pt idx="17">
                  <c:v>42341</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53051008"/>
        <c:axId val="353053312"/>
      </c:scatterChart>
      <c:dateAx>
        <c:axId val="353051008"/>
        <c:scaling>
          <c:orientation val="minMax"/>
          <c:max val="42524"/>
          <c:min val="41729"/>
        </c:scaling>
        <c:delete val="0"/>
        <c:axPos val="b"/>
        <c:numFmt formatCode="[$-409]mmm\-yy;@" sourceLinked="0"/>
        <c:majorTickMark val="out"/>
        <c:minorTickMark val="none"/>
        <c:tickLblPos val="nextTo"/>
        <c:txPr>
          <a:bodyPr rot="-2700000" vert="horz"/>
          <a:lstStyle/>
          <a:p>
            <a:pPr>
              <a:defRPr/>
            </a:pPr>
            <a:endParaRPr lang="en-US"/>
          </a:p>
        </c:txPr>
        <c:crossAx val="353053312"/>
        <c:crosses val="autoZero"/>
        <c:auto val="1"/>
        <c:lblOffset val="100"/>
        <c:baseTimeUnit val="days"/>
        <c:majorUnit val="3"/>
        <c:majorTimeUnit val="months"/>
        <c:minorUnit val="1"/>
        <c:minorTimeUnit val="years"/>
      </c:dateAx>
      <c:valAx>
        <c:axId val="353053312"/>
        <c:scaling>
          <c:orientation val="minMax"/>
          <c:max val="7.4999999999999997E-3"/>
          <c:min val="0"/>
        </c:scaling>
        <c:delete val="0"/>
        <c:axPos val="l"/>
        <c:majorGridlines/>
        <c:numFmt formatCode="0.00%" sourceLinked="0"/>
        <c:majorTickMark val="out"/>
        <c:minorTickMark val="none"/>
        <c:tickLblPos val="nextTo"/>
        <c:crossAx val="35305100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7.3020000000134644E-3</c:v>
                </c:pt>
                <c:pt idx="1">
                  <c:v>7.1759188017317399E-3</c:v>
                </c:pt>
                <c:pt idx="2">
                  <c:v>7.0300256654398652E-3</c:v>
                </c:pt>
                <c:pt idx="3">
                  <c:v>6.7608842002719882E-3</c:v>
                </c:pt>
                <c:pt idx="4">
                  <c:v>6.5140066500823934E-3</c:v>
                </c:pt>
                <c:pt idx="5">
                  <c:v>6.3992027734371959E-3</c:v>
                </c:pt>
                <c:pt idx="6">
                  <c:v>6.2777168830496777E-3</c:v>
                </c:pt>
                <c:pt idx="7">
                  <c:v>6.1468615185056308E-3</c:v>
                </c:pt>
                <c:pt idx="8">
                  <c:v>5.8540144300600616E-3</c:v>
                </c:pt>
                <c:pt idx="9">
                  <c:v>5.5297455346714486E-3</c:v>
                </c:pt>
                <c:pt idx="10">
                  <c:v>5.3575236741387755E-3</c:v>
                </c:pt>
                <c:pt idx="11">
                  <c:v>5.203335926848851E-3</c:v>
                </c:pt>
                <c:pt idx="12">
                  <c:v>5.072662972072095E-3</c:v>
                </c:pt>
                <c:pt idx="13">
                  <c:v>4.8897659949087569E-3</c:v>
                </c:pt>
                <c:pt idx="14">
                  <c:v>4.7851186342118268E-3</c:v>
                </c:pt>
                <c:pt idx="15">
                  <c:v>4.7684754693655407E-3</c:v>
                </c:pt>
                <c:pt idx="16">
                  <c:v>4.7576276113936444E-3</c:v>
                </c:pt>
                <c:pt idx="17">
                  <c:v>4.7490311797471207E-3</c:v>
                </c:pt>
                <c:pt idx="18">
                  <c:v>4.7394054629901206E-3</c:v>
                </c:pt>
                <c:pt idx="19">
                  <c:v>4.7371597134571175E-3</c:v>
                </c:pt>
                <c:pt idx="20">
                  <c:v>4.7398204116788634E-3</c:v>
                </c:pt>
                <c:pt idx="21">
                  <c:v>4.7447325359062376E-3</c:v>
                </c:pt>
                <c:pt idx="22">
                  <c:v>4.7513317131109289E-3</c:v>
                </c:pt>
                <c:pt idx="23">
                  <c:v>4.7619390949105167E-3</c:v>
                </c:pt>
                <c:pt idx="24">
                  <c:v>4.7686377947986358E-3</c:v>
                </c:pt>
                <c:pt idx="25">
                  <c:v>4.7701272851696785E-3</c:v>
                </c:pt>
                <c:pt idx="26">
                  <c:v>4.7704819634564188E-3</c:v>
                </c:pt>
                <c:pt idx="27">
                  <c:v>4.7697018297387928E-3</c:v>
                </c:pt>
                <c:pt idx="28">
                  <c:v>4.7644219088116557E-3</c:v>
                </c:pt>
                <c:pt idx="29">
                  <c:v>4.7552331745048804E-3</c:v>
                </c:pt>
                <c:pt idx="30">
                  <c:v>4.7487789807654224E-3</c:v>
                </c:pt>
                <c:pt idx="31">
                  <c:v>4.7411899751814701E-3</c:v>
                </c:pt>
                <c:pt idx="32">
                  <c:v>4.7324661578329597E-3</c:v>
                </c:pt>
                <c:pt idx="33">
                  <c:v>4.7112974725749268E-3</c:v>
                </c:pt>
                <c:pt idx="34">
                  <c:v>4.6862227723920569E-3</c:v>
                </c:pt>
                <c:pt idx="35">
                  <c:v>4.6718248975796683E-3</c:v>
                </c:pt>
                <c:pt idx="36">
                  <c:v>4.656292211562274E-3</c:v>
                </c:pt>
                <c:pt idx="37">
                  <c:v>4.6396247146596181E-3</c:v>
                </c:pt>
                <c:pt idx="38">
                  <c:v>4.6025658601145381E-3</c:v>
                </c:pt>
                <c:pt idx="39">
                  <c:v>4.5616066204345884E-3</c:v>
                </c:pt>
                <c:pt idx="40">
                  <c:v>4.5392650711839622E-3</c:v>
                </c:pt>
                <c:pt idx="41">
                  <c:v>4.5157887120872431E-3</c:v>
                </c:pt>
                <c:pt idx="42">
                  <c:v>4.4911775433043033E-3</c:v>
                </c:pt>
                <c:pt idx="43">
                  <c:v>4.4382272225096386E-3</c:v>
                </c:pt>
                <c:pt idx="44">
                  <c:v>4.3816689630205019E-3</c:v>
                </c:pt>
                <c:pt idx="45">
                  <c:v>4.3530888688092517E-3</c:v>
                </c:pt>
                <c:pt idx="46">
                  <c:v>4.325079085196748E-3</c:v>
                </c:pt>
                <c:pt idx="47">
                  <c:v>4.2976396121829907E-3</c:v>
                </c:pt>
                <c:pt idx="48">
                  <c:v>4.2447117475852281E-3</c:v>
                </c:pt>
                <c:pt idx="49">
                  <c:v>4.1935848222784955E-3</c:v>
                </c:pt>
                <c:pt idx="50">
                  <c:v>4.1689968998603888E-3</c:v>
                </c:pt>
                <c:pt idx="51">
                  <c:v>4.1449792871617319E-3</c:v>
                </c:pt>
                <c:pt idx="52">
                  <c:v>4.1215319841825249E-3</c:v>
                </c:pt>
                <c:pt idx="53">
                  <c:v>4.0765845709245241E-3</c:v>
                </c:pt>
                <c:pt idx="54">
                  <c:v>4.0334458661828165E-3</c:v>
                </c:pt>
                <c:pt idx="55">
                  <c:v>4.0128501098024572E-3</c:v>
                </c:pt>
                <c:pt idx="56">
                  <c:v>3.992824662342187E-3</c:v>
                </c:pt>
                <c:pt idx="57">
                  <c:v>3.9733695238819422E-3</c:v>
                </c:pt>
                <c:pt idx="58">
                  <c:v>3.9364033175459667E-3</c:v>
                </c:pt>
                <c:pt idx="59">
                  <c:v>3.901252057403326E-3</c:v>
                </c:pt>
                <c:pt idx="60">
                  <c:v>3.8846484621846145E-3</c:v>
                </c:pt>
                <c:pt idx="61">
                  <c:v>3.8686151754063758E-3</c:v>
                </c:pt>
                <c:pt idx="62">
                  <c:v>3.8531521969087379E-3</c:v>
                </c:pt>
                <c:pt idx="63">
                  <c:v>3.8241678894479492E-3</c:v>
                </c:pt>
                <c:pt idx="64">
                  <c:v>3.7970033650047696E-3</c:v>
                </c:pt>
                <c:pt idx="65">
                  <c:v>3.7843919271907112E-3</c:v>
                </c:pt>
                <c:pt idx="66">
                  <c:v>3.7723349941387596E-3</c:v>
                </c:pt>
                <c:pt idx="67">
                  <c:v>3.760769353613469E-3</c:v>
                </c:pt>
                <c:pt idx="68">
                  <c:v>3.7392618751219686E-3</c:v>
                </c:pt>
                <c:pt idx="69">
                  <c:v>3.719261684071995E-3</c:v>
                </c:pt>
                <c:pt idx="70">
                  <c:v>3.7100734896267085E-3</c:v>
                </c:pt>
                <c:pt idx="71">
                  <c:v>3.7013607843494611E-3</c:v>
                </c:pt>
                <c:pt idx="72">
                  <c:v>3.6931235680803809E-3</c:v>
                </c:pt>
                <c:pt idx="73">
                  <c:v>3.6782716807870486E-3</c:v>
                </c:pt>
                <c:pt idx="74">
                  <c:v>3.6649295931656667E-3</c:v>
                </c:pt>
                <c:pt idx="75">
                  <c:v>3.6590698219374218E-3</c:v>
                </c:pt>
                <c:pt idx="76">
                  <c:v>3.6536855394775358E-3</c:v>
                </c:pt>
                <c:pt idx="77">
                  <c:v>3.6487767459458809E-3</c:v>
                </c:pt>
                <c:pt idx="78">
                  <c:v>3.6405809372741516E-3</c:v>
                </c:pt>
                <c:pt idx="79">
                  <c:v>3.6338964603022106E-3</c:v>
                </c:pt>
                <c:pt idx="80">
                  <c:v>3.6313651109320944E-3</c:v>
                </c:pt>
                <c:pt idx="81">
                  <c:v>3.629309250330337E-3</c:v>
                </c:pt>
                <c:pt idx="82">
                  <c:v>3.6277288785768746E-3</c:v>
                </c:pt>
                <c:pt idx="83">
                  <c:v>3.6261896226807977E-3</c:v>
                </c:pt>
                <c:pt idx="84">
                  <c:v>3.6261622792466142E-3</c:v>
                </c:pt>
                <c:pt idx="85">
                  <c:v>3.6269593513349463E-3</c:v>
                </c:pt>
                <c:pt idx="86">
                  <c:v>3.6282319121916373E-3</c:v>
                </c:pt>
                <c:pt idx="87">
                  <c:v>3.6299799618966233E-3</c:v>
                </c:pt>
                <c:pt idx="88">
                  <c:v>3.6308430597031816E-3</c:v>
                </c:pt>
                <c:pt idx="89">
                  <c:v>3.6242359850024997E-3</c:v>
                </c:pt>
                <c:pt idx="90">
                  <c:v>3.6170159241333266E-3</c:v>
                </c:pt>
                <c:pt idx="91">
                  <c:v>3.6074349636283642E-3</c:v>
                </c:pt>
                <c:pt idx="92">
                  <c:v>3.5954931038073568E-3</c:v>
                </c:pt>
                <c:pt idx="93">
                  <c:v>3.5637749988381984E-3</c:v>
                </c:pt>
                <c:pt idx="94">
                  <c:v>3.5241166755994868E-3</c:v>
                </c:pt>
                <c:pt idx="95">
                  <c:v>3.5003703231151206E-3</c:v>
                </c:pt>
                <c:pt idx="96">
                  <c:v>3.4742630733131108E-3</c:v>
                </c:pt>
                <c:pt idx="97">
                  <c:v>3.4457949268329457E-3</c:v>
                </c:pt>
                <c:pt idx="98">
                  <c:v>3.3810207327178432E-3</c:v>
                </c:pt>
                <c:pt idx="99">
                  <c:v>3.3083133847622292E-3</c:v>
                </c:pt>
                <c:pt idx="100">
                  <c:v>3.2680407635243824E-3</c:v>
                </c:pt>
                <c:pt idx="101">
                  <c:v>3.2254072497650554E-3</c:v>
                </c:pt>
                <c:pt idx="102">
                  <c:v>3.1804128439638646E-3</c:v>
                </c:pt>
                <c:pt idx="103">
                  <c:v>3.0825807898526847E-3</c:v>
                </c:pt>
                <c:pt idx="104">
                  <c:v>2.9768263204044132E-3</c:v>
                </c:pt>
                <c:pt idx="105">
                  <c:v>2.920027469421882E-3</c:v>
                </c:pt>
                <c:pt idx="106">
                  <c:v>2.8608677325525633E-3</c:v>
                </c:pt>
                <c:pt idx="107">
                  <c:v>2.7993471109155621E-3</c:v>
                </c:pt>
                <c:pt idx="108">
                  <c:v>2.668456033338984E-3</c:v>
                </c:pt>
                <c:pt idx="109">
                  <c:v>2.5304882651688843E-3</c:v>
                </c:pt>
                <c:pt idx="110">
                  <c:v>2.462158014990834E-3</c:v>
                </c:pt>
                <c:pt idx="111">
                  <c:v>2.3964616612737188E-3</c:v>
                </c:pt>
                <c:pt idx="112">
                  <c:v>2.3333992025786898E-3</c:v>
                </c:pt>
                <c:pt idx="113">
                  <c:v>2.2160675666249574E-3</c:v>
                </c:pt>
                <c:pt idx="114">
                  <c:v>2.107488290601367E-3</c:v>
                </c:pt>
                <c:pt idx="115">
                  <c:v>2.0575952871126901E-3</c:v>
                </c:pt>
                <c:pt idx="116">
                  <c:v>2.010336171212046E-3</c:v>
                </c:pt>
                <c:pt idx="117">
                  <c:v>1.9657109417803298E-3</c:v>
                </c:pt>
                <c:pt idx="118">
                  <c:v>1.8852499711741189E-3</c:v>
                </c:pt>
                <c:pt idx="119">
                  <c:v>1.8135488705173231E-3</c:v>
                </c:pt>
                <c:pt idx="120">
                  <c:v>1.7820930601608609E-3</c:v>
                </c:pt>
                <c:pt idx="121">
                  <c:v>1.7532711311574189E-3</c:v>
                </c:pt>
                <c:pt idx="122">
                  <c:v>1.727083083107317E-3</c:v>
                </c:pt>
                <c:pt idx="123">
                  <c:v>1.6834944593835388E-3</c:v>
                </c:pt>
                <c:pt idx="124">
                  <c:v>1.648669688929516E-3</c:v>
                </c:pt>
                <c:pt idx="125">
                  <c:v>1.635651037732444E-3</c:v>
                </c:pt>
                <c:pt idx="126">
                  <c:v>1.625266264770886E-3</c:v>
                </c:pt>
                <c:pt idx="127">
                  <c:v>1.6175153698849698E-3</c:v>
                </c:pt>
                <c:pt idx="128">
                  <c:v>1.6108003803338988E-3</c:v>
                </c:pt>
                <c:pt idx="129">
                  <c:v>1.6128505683798977E-3</c:v>
                </c:pt>
                <c:pt idx="130">
                  <c:v>1.6182690624333418E-3</c:v>
                </c:pt>
                <c:pt idx="131">
                  <c:v>1.6263214342426835E-3</c:v>
                </c:pt>
                <c:pt idx="132">
                  <c:v>1.6370076842875392E-3</c:v>
                </c:pt>
                <c:pt idx="133">
                  <c:v>1.6671674994395147E-3</c:v>
                </c:pt>
                <c:pt idx="134">
                  <c:v>1.7060914704991603E-3</c:v>
                </c:pt>
                <c:pt idx="135">
                  <c:v>1.7299471154785806E-3</c:v>
                </c:pt>
                <c:pt idx="136">
                  <c:v>1.7564366408517884E-3</c:v>
                </c:pt>
                <c:pt idx="137">
                  <c:v>1.7855600471783362E-3</c:v>
                </c:pt>
                <c:pt idx="138">
                  <c:v>1.8525959986348539E-3</c:v>
                </c:pt>
                <c:pt idx="139">
                  <c:v>1.9283924953672482E-3</c:v>
                </c:pt>
                <c:pt idx="140">
                  <c:v>1.9706853170919914E-3</c:v>
                </c:pt>
                <c:pt idx="141">
                  <c:v>2.0156120244863018E-3</c:v>
                </c:pt>
                <c:pt idx="142">
                  <c:v>2.0631726184294763E-3</c:v>
                </c:pt>
                <c:pt idx="143">
                  <c:v>2.1670864761080821E-3</c:v>
                </c:pt>
                <c:pt idx="144">
                  <c:v>2.2797538823127184E-3</c:v>
                </c:pt>
                <c:pt idx="145">
                  <c:v>2.3404839261065291E-3</c:v>
                </c:pt>
                <c:pt idx="146">
                  <c:v>2.5411471843082012E-3</c:v>
                </c:pt>
                <c:pt idx="147">
                  <c:v>2.7601760089535077E-3</c:v>
                </c:pt>
                <c:pt idx="148">
                  <c:v>2.8393433403639534E-3</c:v>
                </c:pt>
                <c:pt idx="149">
                  <c:v>2.963374341753422E-3</c:v>
                </c:pt>
                <c:pt idx="150">
                  <c:v>3.1832578413482082E-3</c:v>
                </c:pt>
                <c:pt idx="151">
                  <c:v>3.3683517296978494E-3</c:v>
                </c:pt>
                <c:pt idx="152">
                  <c:v>3.4581104566289156E-3</c:v>
                </c:pt>
                <c:pt idx="153">
                  <c:v>3.5426571192598288E-3</c:v>
                </c:pt>
                <c:pt idx="154">
                  <c:v>3.6219917139135305E-3</c:v>
                </c:pt>
                <c:pt idx="155">
                  <c:v>3.7633266623515738E-3</c:v>
                </c:pt>
                <c:pt idx="156">
                  <c:v>3.8872093471287172E-3</c:v>
                </c:pt>
                <c:pt idx="157">
                  <c:v>3.9404835548140227E-3</c:v>
                </c:pt>
                <c:pt idx="158">
                  <c:v>3.988545677175992E-3</c:v>
                </c:pt>
                <c:pt idx="159">
                  <c:v>4.0313957121362876E-3</c:v>
                </c:pt>
                <c:pt idx="160">
                  <c:v>4.0997688362853779E-3</c:v>
                </c:pt>
                <c:pt idx="161">
                  <c:v>4.1506749449471414E-3</c:v>
                </c:pt>
                <c:pt idx="162">
                  <c:v>4.167464519797548E-3</c:v>
                </c:pt>
                <c:pt idx="163">
                  <c:v>4.1790419996523553E-3</c:v>
                </c:pt>
                <c:pt idx="164">
                  <c:v>4.1854073837921391E-3</c:v>
                </c:pt>
                <c:pt idx="165">
                  <c:v>4.1808130515175179E-3</c:v>
                </c:pt>
                <c:pt idx="166">
                  <c:v>4.1587479622418044E-3</c:v>
                </c:pt>
                <c:pt idx="167">
                  <c:v>4.1390528686857664E-3</c:v>
                </c:pt>
                <c:pt idx="168">
                  <c:v>4.114145681253234E-3</c:v>
                </c:pt>
                <c:pt idx="169">
                  <c:v>4.0840264010633121E-3</c:v>
                </c:pt>
                <c:pt idx="170">
                  <c:v>4.0064587905686011E-3</c:v>
                </c:pt>
                <c:pt idx="171">
                  <c:v>3.91142838190639E-3</c:v>
                </c:pt>
                <c:pt idx="172">
                  <c:v>3.8552486618304016E-3</c:v>
                </c:pt>
                <c:pt idx="173">
                  <c:v>3.7951033176852889E-3</c:v>
                </c:pt>
                <c:pt idx="174">
                  <c:v>3.7359781802592806E-3</c:v>
                </c:pt>
                <c:pt idx="175">
                  <c:v>3.6253199526115054E-3</c:v>
                </c:pt>
                <c:pt idx="176">
                  <c:v>3.522144252254833E-3</c:v>
                </c:pt>
                <c:pt idx="177">
                  <c:v>3.4743524207225818E-3</c:v>
                </c:pt>
                <c:pt idx="178">
                  <c:v>3.4288272473315118E-3</c:v>
                </c:pt>
                <c:pt idx="179">
                  <c:v>3.3855687315220706E-3</c:v>
                </c:pt>
                <c:pt idx="180">
                  <c:v>3.3066375905921319E-3</c:v>
                </c:pt>
                <c:pt idx="181">
                  <c:v>3.2352012265945973E-3</c:v>
                </c:pt>
                <c:pt idx="182">
                  <c:v>3.2032759865430194E-3</c:v>
                </c:pt>
                <c:pt idx="183">
                  <c:v>3.173617399596651E-3</c:v>
                </c:pt>
                <c:pt idx="184">
                  <c:v>3.1462254652758759E-3</c:v>
                </c:pt>
                <c:pt idx="185">
                  <c:v>3.0990237796491016E-3</c:v>
                </c:pt>
                <c:pt idx="186">
                  <c:v>3.0593242444165725E-3</c:v>
                </c:pt>
                <c:pt idx="187">
                  <c:v>3.0432655661893904E-3</c:v>
                </c:pt>
                <c:pt idx="188">
                  <c:v>3.0294735381897198E-3</c:v>
                </c:pt>
                <c:pt idx="189">
                  <c:v>3.0179481600978164E-3</c:v>
                </c:pt>
                <c:pt idx="190">
                  <c:v>3.0024779433102111E-3</c:v>
                </c:pt>
                <c:pt idx="191">
                  <c:v>2.9945131426512006E-3</c:v>
                </c:pt>
                <c:pt idx="192">
                  <c:v>2.9940332201494613E-3</c:v>
                </c:pt>
                <c:pt idx="193">
                  <c:v>2.9943809895627282E-3</c:v>
                </c:pt>
                <c:pt idx="194">
                  <c:v>2.9952686595802192E-3</c:v>
                </c:pt>
                <c:pt idx="195">
                  <c:v>2.9988686489534899E-3</c:v>
                </c:pt>
                <c:pt idx="196">
                  <c:v>3.0042183452927418E-3</c:v>
                </c:pt>
                <c:pt idx="197">
                  <c:v>3.0078055182514163E-3</c:v>
                </c:pt>
                <c:pt idx="198">
                  <c:v>3.0119325917343787E-3</c:v>
                </c:pt>
                <c:pt idx="199">
                  <c:v>3.016599565901501E-3</c:v>
                </c:pt>
                <c:pt idx="200">
                  <c:v>3.0277586475335738E-3</c:v>
                </c:pt>
                <c:pt idx="201">
                  <c:v>3.0406664694115904E-3</c:v>
                </c:pt>
                <c:pt idx="202">
                  <c:v>3.0480329470794487E-3</c:v>
                </c:pt>
                <c:pt idx="203">
                  <c:v>3.0559393255913392E-3</c:v>
                </c:pt>
                <c:pt idx="204">
                  <c:v>3.0643856049472618E-3</c:v>
                </c:pt>
                <c:pt idx="205">
                  <c:v>3.0831042370316197E-3</c:v>
                </c:pt>
                <c:pt idx="206">
                  <c:v>3.1035697313708255E-3</c:v>
                </c:pt>
                <c:pt idx="207">
                  <c:v>3.114715515586397E-3</c:v>
                </c:pt>
                <c:pt idx="208">
                  <c:v>3.1264012008058728E-3</c:v>
                </c:pt>
                <c:pt idx="209">
                  <c:v>3.1386267871891249E-3</c:v>
                </c:pt>
                <c:pt idx="210">
                  <c:v>3.1649054541116328E-3</c:v>
                </c:pt>
                <c:pt idx="211">
                  <c:v>3.1929281453191294E-3</c:v>
                </c:pt>
                <c:pt idx="212">
                  <c:v>3.2078532383206237E-3</c:v>
                </c:pt>
                <c:pt idx="213">
                  <c:v>3.2233182328855747E-3</c:v>
                </c:pt>
                <c:pt idx="214">
                  <c:v>3.27355205979174E-3</c:v>
                </c:pt>
                <c:pt idx="215">
                  <c:v>3.3267601780551104E-3</c:v>
                </c:pt>
                <c:pt idx="216">
                  <c:v>3.3418887374203621E-3</c:v>
                </c:pt>
                <c:pt idx="217">
                  <c:v>3.3534414504465815E-3</c:v>
                </c:pt>
                <c:pt idx="218">
                  <c:v>3.3646588338420713E-3</c:v>
                </c:pt>
                <c:pt idx="219">
                  <c:v>3.3638938343649727E-3</c:v>
                </c:pt>
                <c:pt idx="220">
                  <c:v>3.3575673128982686E-3</c:v>
                </c:pt>
                <c:pt idx="221">
                  <c:v>3.3476649446928519E-3</c:v>
                </c:pt>
                <c:pt idx="222">
                  <c:v>3.3341867299885308E-3</c:v>
                </c:pt>
                <c:pt idx="223">
                  <c:v>3.295340978466399E-3</c:v>
                </c:pt>
                <c:pt idx="224">
                  <c:v>3.2445154164140177E-3</c:v>
                </c:pt>
                <c:pt idx="225">
                  <c:v>3.2131579776883967E-3</c:v>
                </c:pt>
                <c:pt idx="226">
                  <c:v>3.1782246963807381E-3</c:v>
                </c:pt>
                <c:pt idx="227">
                  <c:v>3.1397155736900828E-3</c:v>
                </c:pt>
                <c:pt idx="228">
                  <c:v>3.0508037144283406E-3</c:v>
                </c:pt>
                <c:pt idx="229">
                  <c:v>2.9499206935579281E-3</c:v>
                </c:pt>
                <c:pt idx="230">
                  <c:v>2.893532383057007E-3</c:v>
                </c:pt>
                <c:pt idx="231">
                  <c:v>2.8335682398061834E-3</c:v>
                </c:pt>
                <c:pt idx="232">
                  <c:v>2.6658083344988093E-3</c:v>
                </c:pt>
                <c:pt idx="233">
                  <c:v>2.481243397065569E-3</c:v>
                </c:pt>
                <c:pt idx="234">
                  <c:v>2.406624104240862E-3</c:v>
                </c:pt>
                <c:pt idx="235">
                  <c:v>2.3352287957756346E-3</c:v>
                </c:pt>
                <c:pt idx="236">
                  <c:v>2.2670574697514212E-3</c:v>
                </c:pt>
                <c:pt idx="237">
                  <c:v>2.1414741521397218E-3</c:v>
                </c:pt>
                <c:pt idx="238">
                  <c:v>2.0266119550527151E-3</c:v>
                </c:pt>
                <c:pt idx="239">
                  <c:v>1.9745605156540336E-3</c:v>
                </c:pt>
                <c:pt idx="240">
                  <c:v>1.9257330490241031E-3</c:v>
                </c:pt>
                <c:pt idx="241">
                  <c:v>1.8801295538040108E-3</c:v>
                </c:pt>
                <c:pt idx="242">
                  <c:v>1.7996781244988824E-3</c:v>
                </c:pt>
                <c:pt idx="243">
                  <c:v>1.7299552646399263E-3</c:v>
                </c:pt>
                <c:pt idx="244">
                  <c:v>1.7004716101620687E-3</c:v>
                </c:pt>
                <c:pt idx="245">
                  <c:v>1.6742119210189088E-3</c:v>
                </c:pt>
                <c:pt idx="246">
                  <c:v>1.6511761967308303E-3</c:v>
                </c:pt>
                <c:pt idx="247">
                  <c:v>1.6158585465664288E-3</c:v>
                </c:pt>
                <c:pt idx="248">
                  <c:v>1.5912729352596244E-3</c:v>
                </c:pt>
                <c:pt idx="249">
                  <c:v>1.5843570268536666E-3</c:v>
                </c:pt>
                <c:pt idx="250">
                  <c:v>1.5806650807448364E-3</c:v>
                </c:pt>
                <c:pt idx="251">
                  <c:v>1.5801970968531975E-3</c:v>
                </c:pt>
                <c:pt idx="252">
                  <c:v>1.5900146923630842E-3</c:v>
                </c:pt>
                <c:pt idx="253">
                  <c:v>1.6105647843378534E-3</c:v>
                </c:pt>
                <c:pt idx="254">
                  <c:v>1.6262166129710209E-3</c:v>
                </c:pt>
                <c:pt idx="255">
                  <c:v>1.6449190286671467E-3</c:v>
                </c:pt>
                <c:pt idx="256">
                  <c:v>1.6659785268124949E-3</c:v>
                </c:pt>
                <c:pt idx="257">
                  <c:v>1.715384718110613E-3</c:v>
                </c:pt>
                <c:pt idx="258">
                  <c:v>1.7720535878673616E-3</c:v>
                </c:pt>
                <c:pt idx="259">
                  <c:v>1.8040316226475284E-3</c:v>
                </c:pt>
                <c:pt idx="260">
                  <c:v>1.8381933664812777E-3</c:v>
                </c:pt>
                <c:pt idx="261">
                  <c:v>1.874538819848226E-3</c:v>
                </c:pt>
                <c:pt idx="262">
                  <c:v>1.9545193716563602E-3</c:v>
                </c:pt>
                <c:pt idx="263">
                  <c:v>2.0417577427966904E-3</c:v>
                </c:pt>
                <c:pt idx="264">
                  <c:v>2.089021754621001E-3</c:v>
                </c:pt>
                <c:pt idx="265">
                  <c:v>2.138469480694738E-3</c:v>
                </c:pt>
                <c:pt idx="266">
                  <c:v>2.1901009217373257E-3</c:v>
                </c:pt>
                <c:pt idx="267">
                  <c:v>2.3006575583828237E-3</c:v>
                </c:pt>
                <c:pt idx="268">
                  <c:v>2.4184638555801996E-3</c:v>
                </c:pt>
                <c:pt idx="269">
                  <c:v>2.4810138867348286E-3</c:v>
                </c:pt>
                <c:pt idx="270">
                  <c:v>2.5457476390933209E-3</c:v>
                </c:pt>
                <c:pt idx="271">
                  <c:v>2.6126651138547174E-3</c:v>
                </c:pt>
                <c:pt idx="272">
                  <c:v>2.7538002042692966E-3</c:v>
                </c:pt>
                <c:pt idx="273">
                  <c:v>2.902172262269076E-3</c:v>
                </c:pt>
                <c:pt idx="274">
                  <c:v>2.9800083683095835E-3</c:v>
                </c:pt>
                <c:pt idx="275">
                  <c:v>3.060028204746601E-3</c:v>
                </c:pt>
                <c:pt idx="276">
                  <c:v>3.1422317728591054E-3</c:v>
                </c:pt>
                <c:pt idx="277">
                  <c:v>3.313948521466159E-3</c:v>
                </c:pt>
                <c:pt idx="278">
                  <c:v>3.4916901613257778E-3</c:v>
                </c:pt>
                <c:pt idx="279">
                  <c:v>3.5776530131226281E-3</c:v>
                </c:pt>
                <c:pt idx="280">
                  <c:v>3.6586402026372866E-3</c:v>
                </c:pt>
                <c:pt idx="281">
                  <c:v>3.7346517266723112E-3</c:v>
                </c:pt>
                <c:pt idx="282">
                  <c:v>3.8701308082522701E-3</c:v>
                </c:pt>
                <c:pt idx="283">
                  <c:v>3.988941107024857E-3</c:v>
                </c:pt>
                <c:pt idx="284">
                  <c:v>4.04007426009656E-3</c:v>
                </c:pt>
                <c:pt idx="285">
                  <c:v>4.0862317317014174E-3</c:v>
                </c:pt>
                <c:pt idx="286">
                  <c:v>4.127413520080836E-3</c:v>
                </c:pt>
                <c:pt idx="287">
                  <c:v>4.1932403183331246E-3</c:v>
                </c:pt>
                <c:pt idx="288">
                  <c:v>4.2423838094496347E-3</c:v>
                </c:pt>
                <c:pt idx="289">
                  <c:v>4.2586871597993792E-3</c:v>
                </c:pt>
                <c:pt idx="290">
                  <c:v>4.2700148197294396E-3</c:v>
                </c:pt>
                <c:pt idx="291">
                  <c:v>4.2763667887601997E-3</c:v>
                </c:pt>
                <c:pt idx="292">
                  <c:v>4.2725357955841758E-3</c:v>
                </c:pt>
                <c:pt idx="293">
                  <c:v>4.2520177534921544E-3</c:v>
                </c:pt>
                <c:pt idx="294">
                  <c:v>4.2334912681063486E-3</c:v>
                </c:pt>
                <c:pt idx="295">
                  <c:v>4.2099890932600914E-3</c:v>
                </c:pt>
                <c:pt idx="296">
                  <c:v>4.1815112301524238E-3</c:v>
                </c:pt>
                <c:pt idx="297">
                  <c:v>4.1080167566853731E-3</c:v>
                </c:pt>
                <c:pt idx="298">
                  <c:v>4.018944474255548E-3</c:v>
                </c:pt>
                <c:pt idx="299">
                  <c:v>3.9721975171502777E-3</c:v>
                </c:pt>
                <c:pt idx="300">
                  <c:v>3.9270842053440447E-3</c:v>
                </c:pt>
                <c:pt idx="301">
                  <c:v>3.8836045384371687E-3</c:v>
                </c:pt>
                <c:pt idx="302">
                  <c:v>3.802130838304052E-3</c:v>
                </c:pt>
                <c:pt idx="303">
                  <c:v>3.7260223072532739E-3</c:v>
                </c:pt>
                <c:pt idx="304">
                  <c:v>3.6907108558903445E-3</c:v>
                </c:pt>
                <c:pt idx="305">
                  <c:v>3.6570330461493938E-3</c:v>
                </c:pt>
                <c:pt idx="306">
                  <c:v>3.6249888775508055E-3</c:v>
                </c:pt>
                <c:pt idx="307">
                  <c:v>3.5663813379827047E-3</c:v>
                </c:pt>
                <c:pt idx="308">
                  <c:v>3.5131486058670447E-3</c:v>
                </c:pt>
                <c:pt idx="309">
                  <c:v>3.4892726367452553E-3</c:v>
                </c:pt>
                <c:pt idx="310">
                  <c:v>3.4670303064476826E-3</c:v>
                </c:pt>
                <c:pt idx="311">
                  <c:v>3.4464216148144544E-3</c:v>
                </c:pt>
                <c:pt idx="312">
                  <c:v>3.4106820042367758E-3</c:v>
                </c:pt>
                <c:pt idx="313">
                  <c:v>3.3803232280504858E-3</c:v>
                </c:pt>
                <c:pt idx="314">
                  <c:v>3.3678827252625609E-3</c:v>
                </c:pt>
                <c:pt idx="315">
                  <c:v>3.3570758597001316E-3</c:v>
                </c:pt>
                <c:pt idx="316">
                  <c:v>3.3479026312033255E-3</c:v>
                </c:pt>
                <c:pt idx="317">
                  <c:v>3.335032525475512E-3</c:v>
                </c:pt>
                <c:pt idx="318">
                  <c:v>3.3275460852344452E-3</c:v>
                </c:pt>
                <c:pt idx="319">
                  <c:v>3.3265410405469709E-3</c:v>
                </c:pt>
                <c:pt idx="320">
                  <c:v>3.3271696323655675E-3</c:v>
                </c:pt>
                <c:pt idx="321">
                  <c:v>3.3292582087174338E-3</c:v>
                </c:pt>
                <c:pt idx="322">
                  <c:v>3.3357859873817119E-3</c:v>
                </c:pt>
                <c:pt idx="323">
                  <c:v>3.3442243602355148E-3</c:v>
                </c:pt>
                <c:pt idx="324">
                  <c:v>3.3494452075899517E-3</c:v>
                </c:pt>
                <c:pt idx="325">
                  <c:v>3.3552577787343552E-3</c:v>
                </c:pt>
                <c:pt idx="326">
                  <c:v>3.3616620737486613E-3</c:v>
                </c:pt>
                <c:pt idx="327">
                  <c:v>3.376474744545277E-3</c:v>
                </c:pt>
                <c:pt idx="328">
                  <c:v>3.3931964930644654E-3</c:v>
                </c:pt>
                <c:pt idx="329">
                  <c:v>3.4025594079079013E-3</c:v>
                </c:pt>
                <c:pt idx="330">
                  <c:v>3.4125140468610482E-3</c:v>
                </c:pt>
                <c:pt idx="331">
                  <c:v>3.4230604099239059E-3</c:v>
                </c:pt>
                <c:pt idx="332">
                  <c:v>3.4461585384271132E-3</c:v>
                </c:pt>
                <c:pt idx="333">
                  <c:v>3.4711631047912306E-3</c:v>
                </c:pt>
                <c:pt idx="334">
                  <c:v>3.4846680893618753E-3</c:v>
                </c:pt>
                <c:pt idx="335">
                  <c:v>3.4987647985218473E-3</c:v>
                </c:pt>
                <c:pt idx="336">
                  <c:v>3.5134532321112744E-3</c:v>
                </c:pt>
                <c:pt idx="337">
                  <c:v>3.5448374194935184E-3</c:v>
                </c:pt>
                <c:pt idx="338">
                  <c:v>3.578124214040912E-3</c:v>
                </c:pt>
                <c:pt idx="339">
                  <c:v>3.5957712716960799E-3</c:v>
                </c:pt>
                <c:pt idx="340">
                  <c:v>3.6140100544201914E-3</c:v>
                </c:pt>
                <c:pt idx="341">
                  <c:v>3.6328405622132465E-3</c:v>
                </c:pt>
                <c:pt idx="342">
                  <c:v>3.6725114593139097E-3</c:v>
                </c:pt>
                <c:pt idx="343">
                  <c:v>3.7140798468726643E-3</c:v>
                </c:pt>
                <c:pt idx="344">
                  <c:v>3.7358689817690305E-3</c:v>
                </c:pt>
                <c:pt idx="345">
                  <c:v>3.7575544707735276E-3</c:v>
                </c:pt>
                <c:pt idx="346">
                  <c:v>3.7763548269253988E-3</c:v>
                </c:pt>
                <c:pt idx="347">
                  <c:v>3.8020606755218012E-3</c:v>
                </c:pt>
                <c:pt idx="348">
                  <c:v>3.8157511970116076E-3</c:v>
                </c:pt>
                <c:pt idx="349">
                  <c:v>3.8166490245039597E-3</c:v>
                </c:pt>
                <c:pt idx="350">
                  <c:v>3.8139663456249195E-3</c:v>
                </c:pt>
                <c:pt idx="351">
                  <c:v>3.8077031606942313E-3</c:v>
                </c:pt>
                <c:pt idx="352">
                  <c:v>3.7832815292304645E-3</c:v>
                </c:pt>
                <c:pt idx="353">
                  <c:v>3.7468453642119925E-3</c:v>
                </c:pt>
                <c:pt idx="354">
                  <c:v>3.7226796533396111E-3</c:v>
                </c:pt>
                <c:pt idx="355">
                  <c:v>3.6949334389735355E-3</c:v>
                </c:pt>
                <c:pt idx="356">
                  <c:v>3.6636067219131263E-3</c:v>
                </c:pt>
                <c:pt idx="357">
                  <c:v>3.5890540633598533E-3</c:v>
                </c:pt>
                <c:pt idx="358">
                  <c:v>3.5024948479911444E-3</c:v>
                </c:pt>
                <c:pt idx="359">
                  <c:v>3.453265634005831E-3</c:v>
                </c:pt>
                <c:pt idx="360">
                  <c:v>3.4004559246003652E-3</c:v>
                </c:pt>
                <c:pt idx="361">
                  <c:v>3.3440657214534042E-3</c:v>
                </c:pt>
                <c:pt idx="362">
                  <c:v>3.2193791298151808E-3</c:v>
                </c:pt>
                <c:pt idx="363">
                  <c:v>3.0827000055033693E-3</c:v>
                </c:pt>
                <c:pt idx="364">
                  <c:v>3.0084073604275119E-3</c:v>
                </c:pt>
                <c:pt idx="365">
                  <c:v>2.9316710795779244E-3</c:v>
                </c:pt>
                <c:pt idx="366">
                  <c:v>2.8570385486226257E-3</c:v>
                </c:pt>
                <c:pt idx="367">
                  <c:v>2.7185959901387946E-3</c:v>
                </c:pt>
                <c:pt idx="368">
                  <c:v>2.5909143493851872E-3</c:v>
                </c:pt>
                <c:pt idx="369">
                  <c:v>2.5324847718088961E-3</c:v>
                </c:pt>
                <c:pt idx="370">
                  <c:v>2.4772957797924988E-3</c:v>
                </c:pt>
                <c:pt idx="371">
                  <c:v>2.4253473719770824E-3</c:v>
                </c:pt>
                <c:pt idx="372">
                  <c:v>2.332267604163718E-3</c:v>
                </c:pt>
                <c:pt idx="373">
                  <c:v>2.2499595549074769E-3</c:v>
                </c:pt>
                <c:pt idx="374">
                  <c:v>2.2142140483527584E-3</c:v>
                </c:pt>
                <c:pt idx="375">
                  <c:v>2.1817091188047755E-3</c:v>
                </c:pt>
                <c:pt idx="376">
                  <c:v>2.1524447653042955E-3</c:v>
                </c:pt>
                <c:pt idx="377">
                  <c:v>2.1047302798216094E-3</c:v>
                </c:pt>
                <c:pt idx="378">
                  <c:v>2.0677930984280835E-3</c:v>
                </c:pt>
                <c:pt idx="379">
                  <c:v>2.0547316154928552E-3</c:v>
                </c:pt>
                <c:pt idx="380">
                  <c:v>2.0449107053277515E-3</c:v>
                </c:pt>
                <c:pt idx="381">
                  <c:v>2.0383303676130282E-3</c:v>
                </c:pt>
                <c:pt idx="382">
                  <c:v>2.035983113914952E-3</c:v>
                </c:pt>
                <c:pt idx="383">
                  <c:v>2.0444147387799205E-3</c:v>
                </c:pt>
                <c:pt idx="384">
                  <c:v>2.0540372622779302E-3</c:v>
                </c:pt>
                <c:pt idx="385">
                  <c:v>2.0669003584661283E-3</c:v>
                </c:pt>
                <c:pt idx="386">
                  <c:v>2.0829454948856352E-3</c:v>
                </c:pt>
                <c:pt idx="387">
                  <c:v>2.1247966296034093E-3</c:v>
                </c:pt>
                <c:pt idx="388">
                  <c:v>2.1762539420144833E-3</c:v>
                </c:pt>
                <c:pt idx="389">
                  <c:v>2.2068044990586344E-3</c:v>
                </c:pt>
                <c:pt idx="390">
                  <c:v>2.2402444356384166E-3</c:v>
                </c:pt>
                <c:pt idx="391">
                  <c:v>2.2765737525531904E-3</c:v>
                </c:pt>
                <c:pt idx="392">
                  <c:v>2.3588791130269016E-3</c:v>
                </c:pt>
                <c:pt idx="393">
                  <c:v>2.4507848417876232E-3</c:v>
                </c:pt>
                <c:pt idx="394">
                  <c:v>2.5015610746859096E-3</c:v>
                </c:pt>
                <c:pt idx="395">
                  <c:v>2.5552266942341362E-3</c:v>
                </c:pt>
                <c:pt idx="396">
                  <c:v>2.6117817016313438E-3</c:v>
                </c:pt>
                <c:pt idx="397">
                  <c:v>2.7345437838377507E-3</c:v>
                </c:pt>
                <c:pt idx="398">
                  <c:v>2.8668956384869659E-3</c:v>
                </c:pt>
                <c:pt idx="399">
                  <c:v>2.9378976071914309E-3</c:v>
                </c:pt>
                <c:pt idx="400">
                  <c:v>3.0117889729375236E-3</c:v>
                </c:pt>
                <c:pt idx="401">
                  <c:v>3.2110073368829539E-3</c:v>
                </c:pt>
                <c:pt idx="402">
                  <c:v>3.4245868231597143E-3</c:v>
                </c:pt>
                <c:pt idx="403">
                  <c:v>3.5158146113634103E-3</c:v>
                </c:pt>
                <c:pt idx="404">
                  <c:v>3.6099318106774803E-3</c:v>
                </c:pt>
                <c:pt idx="405">
                  <c:v>3.8597339371815309E-3</c:v>
                </c:pt>
                <c:pt idx="406">
                  <c:v>4.1224662837802128E-3</c:v>
                </c:pt>
                <c:pt idx="407">
                  <c:v>4.2255633763232936E-3</c:v>
                </c:pt>
                <c:pt idx="408">
                  <c:v>4.3231932673748474E-3</c:v>
                </c:pt>
                <c:pt idx="409">
                  <c:v>4.4153559524584551E-3</c:v>
                </c:pt>
                <c:pt idx="410">
                  <c:v>4.5815155819273201E-3</c:v>
                </c:pt>
                <c:pt idx="411">
                  <c:v>4.729334553577047E-3</c:v>
                </c:pt>
                <c:pt idx="412">
                  <c:v>4.7941611511870263E-3</c:v>
                </c:pt>
                <c:pt idx="413">
                  <c:v>4.85352052132626E-3</c:v>
                </c:pt>
                <c:pt idx="414">
                  <c:v>4.9074126615167302E-3</c:v>
                </c:pt>
                <c:pt idx="415">
                  <c:v>4.997042188863432E-3</c:v>
                </c:pt>
                <c:pt idx="416">
                  <c:v>5.0683088757885741E-3</c:v>
                </c:pt>
                <c:pt idx="417">
                  <c:v>5.0948648337012514E-3</c:v>
                </c:pt>
                <c:pt idx="418">
                  <c:v>5.1159535504741172E-3</c:v>
                </c:pt>
                <c:pt idx="419">
                  <c:v>5.1315750252278747E-3</c:v>
                </c:pt>
                <c:pt idx="420">
                  <c:v>5.1446673510113783E-3</c:v>
                </c:pt>
                <c:pt idx="421">
                  <c:v>5.1393884935801992E-3</c:v>
                </c:pt>
                <c:pt idx="422">
                  <c:v>5.1276737524830196E-3</c:v>
                </c:pt>
                <c:pt idx="423">
                  <c:v>5.1104917688071794E-3</c:v>
                </c:pt>
                <c:pt idx="424">
                  <c:v>5.0878425434319752E-3</c:v>
                </c:pt>
                <c:pt idx="425">
                  <c:v>5.0243900797219965E-3</c:v>
                </c:pt>
                <c:pt idx="426">
                  <c:v>4.9425732482788476E-3</c:v>
                </c:pt>
                <c:pt idx="427">
                  <c:v>4.892587834390838E-3</c:v>
                </c:pt>
                <c:pt idx="428">
                  <c:v>4.8383472363777713E-3</c:v>
                </c:pt>
                <c:pt idx="429">
                  <c:v>4.7846996463274394E-3</c:v>
                </c:pt>
                <c:pt idx="430">
                  <c:v>4.6834822419228317E-3</c:v>
                </c:pt>
                <c:pt idx="431">
                  <c:v>4.5881598285468783E-3</c:v>
                </c:pt>
                <c:pt idx="432">
                  <c:v>4.5435375060698391E-3</c:v>
                </c:pt>
                <c:pt idx="433">
                  <c:v>4.5007202349811593E-3</c:v>
                </c:pt>
                <c:pt idx="434">
                  <c:v>4.4597080146413504E-3</c:v>
                </c:pt>
                <c:pt idx="435">
                  <c:v>4.3837537858149034E-3</c:v>
                </c:pt>
                <c:pt idx="436">
                  <c:v>4.3137096288603516E-3</c:v>
                </c:pt>
                <c:pt idx="437">
                  <c:v>4.2817226535518671E-3</c:v>
                </c:pt>
                <c:pt idx="438">
                  <c:v>4.2515407257948112E-3</c:v>
                </c:pt>
                <c:pt idx="439">
                  <c:v>4.2231638449496955E-3</c:v>
                </c:pt>
                <c:pt idx="440">
                  <c:v>4.172475262977926E-3</c:v>
                </c:pt>
                <c:pt idx="441">
                  <c:v>4.1277067835743253E-3</c:v>
                </c:pt>
                <c:pt idx="442">
                  <c:v>4.1083551319331946E-3</c:v>
                </c:pt>
                <c:pt idx="443">
                  <c:v>4.0908085251256665E-3</c:v>
                </c:pt>
                <c:pt idx="444">
                  <c:v>4.075066962991869E-3</c:v>
                </c:pt>
                <c:pt idx="445">
                  <c:v>4.0496462062389327E-3</c:v>
                </c:pt>
                <c:pt idx="446">
                  <c:v>4.0301511556783964E-3</c:v>
                </c:pt>
                <c:pt idx="447">
                  <c:v>4.0234348133161291E-3</c:v>
                </c:pt>
                <c:pt idx="448">
                  <c:v>4.0185235146683596E-3</c:v>
                </c:pt>
                <c:pt idx="449">
                  <c:v>4.0153711625290356E-3</c:v>
                </c:pt>
                <c:pt idx="450">
                  <c:v>4.0142982866875343E-3</c:v>
                </c:pt>
                <c:pt idx="451">
                  <c:v>4.0182307596481337E-3</c:v>
                </c:pt>
                <c:pt idx="452">
                  <c:v>4.0227668135006667E-3</c:v>
                </c:pt>
                <c:pt idx="453">
                  <c:v>4.0288313291902966E-3</c:v>
                </c:pt>
                <c:pt idx="454">
                  <c:v>4.0364243068768957E-3</c:v>
                </c:pt>
                <c:pt idx="455">
                  <c:v>4.0567508496991422E-3</c:v>
                </c:pt>
                <c:pt idx="456">
                  <c:v>4.0820808398311925E-3</c:v>
                </c:pt>
                <c:pt idx="457">
                  <c:v>4.0973161292612303E-3</c:v>
                </c:pt>
                <c:pt idx="458">
                  <c:v>4.1140798815675339E-3</c:v>
                </c:pt>
                <c:pt idx="459">
                  <c:v>4.1323720969099753E-3</c:v>
                </c:pt>
                <c:pt idx="460">
                  <c:v>4.1740998018813258E-3</c:v>
                </c:pt>
                <c:pt idx="461">
                  <c:v>4.2208255939968353E-3</c:v>
                </c:pt>
                <c:pt idx="462">
                  <c:v>4.2467601285167689E-3</c:v>
                </c:pt>
                <c:pt idx="463">
                  <c:v>4.2742231279113696E-3</c:v>
                </c:pt>
                <c:pt idx="464">
                  <c:v>4.3674173459820054E-3</c:v>
                </c:pt>
                <c:pt idx="465">
                  <c:v>4.4710989047125338E-3</c:v>
                </c:pt>
                <c:pt idx="466">
                  <c:v>4.509261168221812E-3</c:v>
                </c:pt>
                <c:pt idx="467">
                  <c:v>4.5489518998831358E-3</c:v>
                </c:pt>
                <c:pt idx="468">
                  <c:v>4.6334878929421563E-3</c:v>
                </c:pt>
                <c:pt idx="469">
                  <c:v>4.7229995176412132E-3</c:v>
                </c:pt>
                <c:pt idx="470">
                  <c:v>4.7692843231494919E-3</c:v>
                </c:pt>
                <c:pt idx="471">
                  <c:v>4.8118562263521625E-3</c:v>
                </c:pt>
                <c:pt idx="472">
                  <c:v>4.8496669510633694E-3</c:v>
                </c:pt>
                <c:pt idx="473">
                  <c:v>4.9094847492980875E-3</c:v>
                </c:pt>
                <c:pt idx="474">
                  <c:v>4.9532980382949177E-3</c:v>
                </c:pt>
                <c:pt idx="475">
                  <c:v>4.9673028520835771E-3</c:v>
                </c:pt>
                <c:pt idx="476">
                  <c:v>4.9765464811457605E-3</c:v>
                </c:pt>
                <c:pt idx="477">
                  <c:v>4.9810289254015316E-3</c:v>
                </c:pt>
                <c:pt idx="478">
                  <c:v>4.9741919243029287E-3</c:v>
                </c:pt>
                <c:pt idx="479">
                  <c:v>4.9513468514028602E-3</c:v>
                </c:pt>
                <c:pt idx="480">
                  <c:v>4.9320233717864426E-3</c:v>
                </c:pt>
                <c:pt idx="481">
                  <c:v>4.9079387088823978E-3</c:v>
                </c:pt>
                <c:pt idx="482">
                  <c:v>4.8790928637298947E-3</c:v>
                </c:pt>
                <c:pt idx="483">
                  <c:v>4.8055947183467396E-3</c:v>
                </c:pt>
                <c:pt idx="484">
                  <c:v>4.7160976862947734E-3</c:v>
                </c:pt>
                <c:pt idx="485">
                  <c:v>4.6634459508432258E-3</c:v>
                </c:pt>
                <c:pt idx="486">
                  <c:v>4.6060330427355467E-3</c:v>
                </c:pt>
                <c:pt idx="487">
                  <c:v>4.543858964449754E-3</c:v>
                </c:pt>
                <c:pt idx="488">
                  <c:v>4.4036941147762576E-3</c:v>
                </c:pt>
                <c:pt idx="489">
                  <c:v>4.2475510003647798E-3</c:v>
                </c:pt>
                <c:pt idx="490">
                  <c:v>4.1629440367696446E-3</c:v>
                </c:pt>
                <c:pt idx="491">
                  <c:v>4.0804405447314451E-3</c:v>
                </c:pt>
                <c:pt idx="492">
                  <c:v>4.0014134477850405E-3</c:v>
                </c:pt>
                <c:pt idx="493">
                  <c:v>3.8549885006311513E-3</c:v>
                </c:pt>
                <c:pt idx="494">
                  <c:v>3.7200689647942653E-3</c:v>
                </c:pt>
                <c:pt idx="495">
                  <c:v>3.6584238102133071E-3</c:v>
                </c:pt>
                <c:pt idx="496">
                  <c:v>3.6002550382541187E-3</c:v>
                </c:pt>
                <c:pt idx="497">
                  <c:v>3.5455626473179791E-3</c:v>
                </c:pt>
                <c:pt idx="498">
                  <c:v>3.4477988125036774E-3</c:v>
                </c:pt>
                <c:pt idx="499">
                  <c:v>3.361556863987758E-3</c:v>
                </c:pt>
                <c:pt idx="500">
                  <c:v>3.3242463565041902E-3</c:v>
                </c:pt>
                <c:pt idx="501">
                  <c:v>3.2904122220500653E-3</c:v>
                </c:pt>
                <c:pt idx="502">
                  <c:v>3.2600544597460868E-3</c:v>
                </c:pt>
                <c:pt idx="503">
                  <c:v>3.2109554763337655E-3</c:v>
                </c:pt>
                <c:pt idx="504">
                  <c:v>3.1733871146855108E-3</c:v>
                </c:pt>
                <c:pt idx="505">
                  <c:v>3.1604112015415353E-3</c:v>
                </c:pt>
                <c:pt idx="506">
                  <c:v>3.1509116565509032E-3</c:v>
                </c:pt>
                <c:pt idx="507">
                  <c:v>3.1448884795537424E-3</c:v>
                </c:pt>
                <c:pt idx="508">
                  <c:v>3.1444574835681749E-3</c:v>
                </c:pt>
                <c:pt idx="509">
                  <c:v>3.1555594499010908E-3</c:v>
                </c:pt>
                <c:pt idx="510">
                  <c:v>3.1669181124716062E-3</c:v>
                </c:pt>
                <c:pt idx="511">
                  <c:v>3.181753143435273E-3</c:v>
                </c:pt>
                <c:pt idx="512">
                  <c:v>3.2000645433516439E-3</c:v>
                </c:pt>
                <c:pt idx="513">
                  <c:v>3.2430343124278949E-3</c:v>
                </c:pt>
                <c:pt idx="514">
                  <c:v>3.2864076954997046E-3</c:v>
                </c:pt>
                <c:pt idx="515">
                  <c:v>3.3080472290247798E-3</c:v>
                </c:pt>
                <c:pt idx="516">
                  <c:v>3.3296497034740469E-3</c:v>
                </c:pt>
                <c:pt idx="517">
                  <c:v>3.3512151190873141E-3</c:v>
                </c:pt>
                <c:pt idx="518">
                  <c:v>3.5011353759362152E-3</c:v>
                </c:pt>
                <c:pt idx="519">
                  <c:v>3.6492397402287935E-3</c:v>
                </c:pt>
                <c:pt idx="520">
                  <c:v>3.7955282098067755E-3</c:v>
                </c:pt>
                <c:pt idx="521">
                  <c:v>3.9400007823520156E-3</c:v>
                </c:pt>
                <c:pt idx="522">
                  <c:v>4.082657455626304E-3</c:v>
                </c:pt>
                <c:pt idx="523">
                  <c:v>4.2234982276312394E-3</c:v>
                </c:pt>
                <c:pt idx="524">
                  <c:v>4.3625230961286121E-3</c:v>
                </c:pt>
                <c:pt idx="525">
                  <c:v>4.4997320590400847E-3</c:v>
                </c:pt>
                <c:pt idx="526">
                  <c:v>4.6351251143672556E-3</c:v>
                </c:pt>
                <c:pt idx="527">
                  <c:v>4.7687022598719153E-3</c:v>
                </c:pt>
                <c:pt idx="528">
                  <c:v>4.9004634937954705E-3</c:v>
                </c:pt>
                <c:pt idx="529">
                  <c:v>5.0304088138997116E-3</c:v>
                </c:pt>
                <c:pt idx="530">
                  <c:v>5.1585382182661732E-3</c:v>
                </c:pt>
                <c:pt idx="531">
                  <c:v>5.284851705056326E-3</c:v>
                </c:pt>
                <c:pt idx="532">
                  <c:v>5.4093492723517045E-3</c:v>
                </c:pt>
                <c:pt idx="533">
                  <c:v>5.5320309181539074E-3</c:v>
                </c:pt>
                <c:pt idx="534">
                  <c:v>5.6528966407043413E-3</c:v>
                </c:pt>
                <c:pt idx="535">
                  <c:v>5.7719464381644769E-3</c:v>
                </c:pt>
                <c:pt idx="536">
                  <c:v>5.889180308695785E-3</c:v>
                </c:pt>
                <c:pt idx="537">
                  <c:v>6.0045982505396722E-3</c:v>
                </c:pt>
                <c:pt idx="538">
                  <c:v>6.1182002619375453E-3</c:v>
                </c:pt>
                <c:pt idx="539">
                  <c:v>6.229986341210747E-3</c:v>
                </c:pt>
                <c:pt idx="540">
                  <c:v>6.3399564866006841E-3</c:v>
                </c:pt>
                <c:pt idx="541">
                  <c:v>6.4481106965885715E-3</c:v>
                </c:pt>
                <c:pt idx="542">
                  <c:v>6.5544489693358798E-3</c:v>
                </c:pt>
                <c:pt idx="543">
                  <c:v>6.658971303323824E-3</c:v>
                </c:pt>
                <c:pt idx="544">
                  <c:v>6.761677697033619E-3</c:v>
                </c:pt>
                <c:pt idx="545">
                  <c:v>6.8625681488665435E-3</c:v>
                </c:pt>
                <c:pt idx="546">
                  <c:v>6.9616426572238765E-3</c:v>
                </c:pt>
                <c:pt idx="547">
                  <c:v>7.0589012206667689E-3</c:v>
                </c:pt>
                <c:pt idx="548">
                  <c:v>7.1543438378363078E-3</c:v>
                </c:pt>
                <c:pt idx="549">
                  <c:v>7.2479705070538358E-3</c:v>
                </c:pt>
                <c:pt idx="550">
                  <c:v>7.3397812270403762E-3</c:v>
                </c:pt>
                <c:pt idx="551">
                  <c:v>7.4297759964370158E-3</c:v>
                </c:pt>
                <c:pt idx="552">
                  <c:v>7.5179548138049057E-3</c:v>
                </c:pt>
                <c:pt idx="553">
                  <c:v>7.604317677865069E-3</c:v>
                </c:pt>
                <c:pt idx="554">
                  <c:v>7.6888645872585926E-3</c:v>
                </c:pt>
                <c:pt idx="555">
                  <c:v>7.7715955407064996E-3</c:v>
                </c:pt>
                <c:pt idx="556">
                  <c:v>7.8525105370097492E-3</c:v>
                </c:pt>
                <c:pt idx="557">
                  <c:v>7.9316095749693005E-3</c:v>
                </c:pt>
                <c:pt idx="558">
                  <c:v>8.0088926533061766E-3</c:v>
                </c:pt>
                <c:pt idx="559">
                  <c:v>8.0843597709012727E-3</c:v>
                </c:pt>
                <c:pt idx="560">
                  <c:v>8.1580109265555478E-3</c:v>
                </c:pt>
                <c:pt idx="561">
                  <c:v>8.2503779884266493E-3</c:v>
                </c:pt>
                <c:pt idx="562">
                  <c:v>8.2998653477250883E-3</c:v>
                </c:pt>
                <c:pt idx="563">
                  <c:v>8.3680686110820801E-3</c:v>
                </c:pt>
                <c:pt idx="564">
                  <c:v>8.4344559082616399E-3</c:v>
                </c:pt>
                <c:pt idx="565">
                  <c:v>8.499027238224599E-3</c:v>
                </c:pt>
                <c:pt idx="566">
                  <c:v>8.5617826000117248E-3</c:v>
                </c:pt>
                <c:pt idx="567">
                  <c:v>8.6227219927437204E-3</c:v>
                </c:pt>
                <c:pt idx="568">
                  <c:v>8.6818454153814173E-3</c:v>
                </c:pt>
                <c:pt idx="569">
                  <c:v>8.7394623319791975E-3</c:v>
                </c:pt>
                <c:pt idx="570">
                  <c:v>8.7974128045598121E-3</c:v>
                </c:pt>
                <c:pt idx="571">
                  <c:v>8.8560062981368759E-3</c:v>
                </c:pt>
                <c:pt idx="572">
                  <c:v>8.9152428131100692E-3</c:v>
                </c:pt>
                <c:pt idx="573">
                  <c:v>8.9751223498790722E-3</c:v>
                </c:pt>
                <c:pt idx="574">
                  <c:v>9.0356449086037571E-3</c:v>
                </c:pt>
                <c:pt idx="575">
                  <c:v>9.0968104897637403E-3</c:v>
                </c:pt>
                <c:pt idx="576">
                  <c:v>9.1586190935988299E-3</c:v>
                </c:pt>
                <c:pt idx="577">
                  <c:v>9.2210707204287701E-3</c:v>
                </c:pt>
                <c:pt idx="578">
                  <c:v>9.2841653706532412E-3</c:v>
                </c:pt>
                <c:pt idx="579">
                  <c:v>9.3479030445919875E-3</c:v>
                </c:pt>
                <c:pt idx="580">
                  <c:v>9.4122837425647532E-3</c:v>
                </c:pt>
                <c:pt idx="581">
                  <c:v>9.4773074649712186E-3</c:v>
                </c:pt>
                <c:pt idx="582">
                  <c:v>9.5429742119712557E-3</c:v>
                </c:pt>
                <c:pt idx="583">
                  <c:v>9.6092839842043531E-3</c:v>
                </c:pt>
                <c:pt idx="584">
                  <c:v>9.6762367818303829E-3</c:v>
                </c:pt>
                <c:pt idx="585">
                  <c:v>9.7438326051690893E-3</c:v>
                </c:pt>
                <c:pt idx="586">
                  <c:v>9.8120714547800247E-3</c:v>
                </c:pt>
                <c:pt idx="587">
                  <c:v>9.8809533308230613E-3</c:v>
                </c:pt>
                <c:pt idx="588">
                  <c:v>9.9504782338577513E-3</c:v>
                </c:pt>
                <c:pt idx="589">
                  <c:v>1.0020646164123903E-2</c:v>
                </c:pt>
                <c:pt idx="590">
                  <c:v>1.0091457122101133E-2</c:v>
                </c:pt>
                <c:pt idx="591">
                  <c:v>1.0162911108029249E-2</c:v>
                </c:pt>
                <c:pt idx="592">
                  <c:v>1.0235008122387868E-2</c:v>
                </c:pt>
                <c:pt idx="593">
                  <c:v>1.0307748165576669E-2</c:v>
                </c:pt>
                <c:pt idx="594">
                  <c:v>1.0381131237915397E-2</c:v>
                </c:pt>
                <c:pt idx="595">
                  <c:v>1.0455157339803733E-2</c:v>
                </c:pt>
                <c:pt idx="596">
                  <c:v>1.0529826471721293E-2</c:v>
                </c:pt>
                <c:pt idx="597">
                  <c:v>1.0605138633987821E-2</c:v>
                </c:pt>
                <c:pt idx="598">
                  <c:v>1.0708862519068774E-2</c:v>
                </c:pt>
                <c:pt idx="599">
                  <c:v>1.0780022526581945E-2</c:v>
                </c:pt>
                <c:pt idx="600">
                  <c:v>1.0857452159287462E-2</c:v>
                </c:pt>
                <c:pt idx="601">
                  <c:v>1.0935524896495963E-2</c:v>
                </c:pt>
                <c:pt idx="602">
                  <c:v>1.1014240739433134E-2</c:v>
                </c:pt>
                <c:pt idx="603">
                  <c:v>1.1093599689404599E-2</c:v>
                </c:pt>
                <c:pt idx="604">
                  <c:v>1.1173601747689332E-2</c:v>
                </c:pt>
                <c:pt idx="605">
                  <c:v>1.1254246915513022E-2</c:v>
                </c:pt>
                <c:pt idx="606">
                  <c:v>1.1335535194234581E-2</c:v>
                </c:pt>
                <c:pt idx="607">
                  <c:v>1.1417466585132985E-2</c:v>
                </c:pt>
                <c:pt idx="608">
                  <c:v>1.1500041089540503E-2</c:v>
                </c:pt>
                <c:pt idx="609">
                  <c:v>1.1583258708789401E-2</c:v>
                </c:pt>
                <c:pt idx="610">
                  <c:v>1.1667119444158658E-2</c:v>
                </c:pt>
                <c:pt idx="611">
                  <c:v>1.1787645759966381E-2</c:v>
                </c:pt>
                <c:pt idx="612">
                  <c:v>1.1836770268853769E-2</c:v>
                </c:pt>
                <c:pt idx="613">
                  <c:v>1.1922560360870804E-2</c:v>
                </c:pt>
                <c:pt idx="614">
                  <c:v>1.200899357449714E-2</c:v>
                </c:pt>
                <c:pt idx="615">
                  <c:v>1.209606991114498E-2</c:v>
                </c:pt>
                <c:pt idx="616">
                  <c:v>1.2183789372199882E-2</c:v>
                </c:pt>
                <c:pt idx="617">
                  <c:v>1.2272151959074051E-2</c:v>
                </c:pt>
                <c:pt idx="618">
                  <c:v>1.2361157673206336E-2</c:v>
                </c:pt>
                <c:pt idx="619">
                  <c:v>1.2450806515982293E-2</c:v>
                </c:pt>
                <c:pt idx="620">
                  <c:v>1.2541098488867419E-2</c:v>
                </c:pt>
                <c:pt idx="621">
                  <c:v>1.2631719671558628E-2</c:v>
                </c:pt>
                <c:pt idx="622">
                  <c:v>1.2722021967652708E-2</c:v>
                </c:pt>
                <c:pt idx="623">
                  <c:v>1.2811974996944642E-2</c:v>
                </c:pt>
                <c:pt idx="624">
                  <c:v>1.2901578758581778E-2</c:v>
                </c:pt>
                <c:pt idx="625">
                  <c:v>1.2990833251818046E-2</c:v>
                </c:pt>
                <c:pt idx="626">
                  <c:v>1.3079738475854086E-2</c:v>
                </c:pt>
                <c:pt idx="627">
                  <c:v>1.3168294429917182E-2</c:v>
                </c:pt>
                <c:pt idx="628">
                  <c:v>1.3256501113261265E-2</c:v>
                </c:pt>
                <c:pt idx="629">
                  <c:v>1.3344358525086975E-2</c:v>
                </c:pt>
                <c:pt idx="630">
                  <c:v>1.3431866664621595E-2</c:v>
                </c:pt>
                <c:pt idx="631">
                  <c:v>1.3519025531119055E-2</c:v>
                </c:pt>
                <c:pt idx="632">
                  <c:v>1.3605835123806642E-2</c:v>
                </c:pt>
                <c:pt idx="633">
                  <c:v>1.3692295441938285E-2</c:v>
                </c:pt>
                <c:pt idx="634">
                  <c:v>1.3778406484767913E-2</c:v>
                </c:pt>
                <c:pt idx="635">
                  <c:v>1.3864168251496167E-2</c:v>
                </c:pt>
                <c:pt idx="636">
                  <c:v>1.3949580741430267E-2</c:v>
                </c:pt>
                <c:pt idx="637">
                  <c:v>1.4034643953770853E-2</c:v>
                </c:pt>
                <c:pt idx="638">
                  <c:v>1.4119357887851791E-2</c:v>
                </c:pt>
                <c:pt idx="639">
                  <c:v>1.4203722542847075E-2</c:v>
                </c:pt>
                <c:pt idx="640">
                  <c:v>1.4287737918063925E-2</c:v>
                </c:pt>
                <c:pt idx="641">
                  <c:v>1.4371404012782918E-2</c:v>
                </c:pt>
                <c:pt idx="642">
                  <c:v>1.4454720826231338E-2</c:v>
                </c:pt>
                <c:pt idx="643">
                  <c:v>1.4537688357716405E-2</c:v>
                </c:pt>
                <c:pt idx="644">
                  <c:v>1.4620306606492051E-2</c:v>
                </c:pt>
                <c:pt idx="645">
                  <c:v>1.4702575571865495E-2</c:v>
                </c:pt>
                <c:pt idx="646">
                  <c:v>1.4784495253090668E-2</c:v>
                </c:pt>
                <c:pt idx="647">
                  <c:v>1.4866065649474791E-2</c:v>
                </c:pt>
                <c:pt idx="648">
                  <c:v>1.4947286760271794E-2</c:v>
                </c:pt>
                <c:pt idx="649">
                  <c:v>1.5028158584815543E-2</c:v>
                </c:pt>
                <c:pt idx="650">
                  <c:v>1.5137037776504769E-2</c:v>
                </c:pt>
                <c:pt idx="651">
                  <c:v>1.5211056515722632E-2</c:v>
                </c:pt>
                <c:pt idx="652">
                  <c:v>1.5290773925995538E-2</c:v>
                </c:pt>
                <c:pt idx="653">
                  <c:v>1.5370142041515322E-2</c:v>
                </c:pt>
                <c:pt idx="654">
                  <c:v>1.5449160862042177E-2</c:v>
                </c:pt>
                <c:pt idx="655">
                  <c:v>1.5527830387336294E-2</c:v>
                </c:pt>
                <c:pt idx="656">
                  <c:v>1.5606150617237802E-2</c:v>
                </c:pt>
                <c:pt idx="657">
                  <c:v>1.5684121551426955E-2</c:v>
                </c:pt>
                <c:pt idx="658">
                  <c:v>1.5761743189663946E-2</c:v>
                </c:pt>
                <c:pt idx="659">
                  <c:v>1.5839015531868839E-2</c:v>
                </c:pt>
                <c:pt idx="660">
                  <c:v>1.5915938577641953E-2</c:v>
                </c:pt>
                <c:pt idx="661">
                  <c:v>1.5992512326823416E-2</c:v>
                </c:pt>
                <c:pt idx="662">
                  <c:v>1.6068736779253356E-2</c:v>
                </c:pt>
                <c:pt idx="663">
                  <c:v>1.6144611934691966E-2</c:v>
                </c:pt>
                <c:pt idx="664">
                  <c:v>1.6220137792739564E-2</c:v>
                </c:pt>
                <c:pt idx="665">
                  <c:v>1.6295314353476087E-2</c:v>
                </c:pt>
                <c:pt idx="666">
                  <c:v>1.6391456677737892E-2</c:v>
                </c:pt>
                <c:pt idx="667">
                  <c:v>1.6444619581577058E-2</c:v>
                </c:pt>
                <c:pt idx="668">
                  <c:v>1.6518748248541826E-2</c:v>
                </c:pt>
                <c:pt idx="669">
                  <c:v>1.6592527617236286E-2</c:v>
                </c:pt>
                <c:pt idx="670">
                  <c:v>1.6665957687260757E-2</c:v>
                </c:pt>
                <c:pt idx="671">
                  <c:v>1.6739038458535305E-2</c:v>
                </c:pt>
                <c:pt idx="672">
                  <c:v>1.6811770919629154E-2</c:v>
                </c:pt>
                <c:pt idx="673">
                  <c:v>1.6884319192698172E-2</c:v>
                </c:pt>
                <c:pt idx="674">
                  <c:v>1.6956808841461779E-2</c:v>
                </c:pt>
                <c:pt idx="675">
                  <c:v>1.702923986584004E-2</c:v>
                </c:pt>
                <c:pt idx="676">
                  <c:v>1.7101612265753019E-2</c:v>
                </c:pt>
                <c:pt idx="677">
                  <c:v>1.7173926041280652E-2</c:v>
                </c:pt>
                <c:pt idx="678">
                  <c:v>1.7246181192263066E-2</c:v>
                </c:pt>
                <c:pt idx="679">
                  <c:v>1.7318377718700262E-2</c:v>
                </c:pt>
                <c:pt idx="680">
                  <c:v>1.739051562059224E-2</c:v>
                </c:pt>
                <c:pt idx="681">
                  <c:v>1.7462594897859063E-2</c:v>
                </c:pt>
                <c:pt idx="682">
                  <c:v>1.7534615550420796E-2</c:v>
                </c:pt>
                <c:pt idx="683">
                  <c:v>1.760657757843731E-2</c:v>
                </c:pt>
                <c:pt idx="684">
                  <c:v>1.7678480981668798E-2</c:v>
                </c:pt>
                <c:pt idx="685">
                  <c:v>1.775032576011526E-2</c:v>
                </c:pt>
                <c:pt idx="686">
                  <c:v>1.7822111913856631E-2</c:v>
                </c:pt>
                <c:pt idx="687">
                  <c:v>1.7893839442733039E-2</c:v>
                </c:pt>
                <c:pt idx="688">
                  <c:v>1.7965508346744485E-2</c:v>
                </c:pt>
                <c:pt idx="689">
                  <c:v>1.8037118625890969E-2</c:v>
                </c:pt>
                <c:pt idx="690">
                  <c:v>1.810867028017249E-2</c:v>
                </c:pt>
                <c:pt idx="691">
                  <c:v>1.8180163309429176E-2</c:v>
                </c:pt>
                <c:pt idx="692">
                  <c:v>1.8251597713740964E-2</c:v>
                </c:pt>
                <c:pt idx="693">
                  <c:v>1.832297349294798E-2</c:v>
                </c:pt>
                <c:pt idx="694">
                  <c:v>1.8394290647130163E-2</c:v>
                </c:pt>
                <c:pt idx="695">
                  <c:v>1.846554917628751E-2</c:v>
                </c:pt>
                <c:pt idx="696">
                  <c:v>1.8536749080260151E-2</c:v>
                </c:pt>
                <c:pt idx="697">
                  <c:v>1.8607890359048085E-2</c:v>
                </c:pt>
                <c:pt idx="698">
                  <c:v>1.8678973012651312E-2</c:v>
                </c:pt>
                <c:pt idx="699">
                  <c:v>1.8749997040989896E-2</c:v>
                </c:pt>
                <c:pt idx="700">
                  <c:v>1.8820962444063838E-2</c:v>
                </c:pt>
                <c:pt idx="701">
                  <c:v>1.8891869221873137E-2</c:v>
                </c:pt>
                <c:pt idx="702">
                  <c:v>1.8978391567161523E-2</c:v>
                </c:pt>
                <c:pt idx="703">
                  <c:v>1.9043614905251971E-2</c:v>
                </c:pt>
                <c:pt idx="704">
                  <c:v>1.9114337431886952E-2</c:v>
                </c:pt>
                <c:pt idx="705">
                  <c:v>1.9185001333017482E-2</c:v>
                </c:pt>
                <c:pt idx="706">
                  <c:v>1.9255606608723497E-2</c:v>
                </c:pt>
                <c:pt idx="707">
                  <c:v>1.9326153258925061E-2</c:v>
                </c:pt>
                <c:pt idx="708">
                  <c:v>1.9396641283542237E-2</c:v>
                </c:pt>
                <c:pt idx="709">
                  <c:v>1.9467070682575027E-2</c:v>
                </c:pt>
                <c:pt idx="710">
                  <c:v>1.9537441455943494E-2</c:v>
                </c:pt>
                <c:pt idx="711">
                  <c:v>1.9607753603727573E-2</c:v>
                </c:pt>
                <c:pt idx="712">
                  <c:v>1.9678007125767394E-2</c:v>
                </c:pt>
                <c:pt idx="713">
                  <c:v>1.9748202022142891E-2</c:v>
                </c:pt>
                <c:pt idx="714">
                  <c:v>1.9818338292774129E-2</c:v>
                </c:pt>
                <c:pt idx="715">
                  <c:v>1.9888415937501236E-2</c:v>
                </c:pt>
                <c:pt idx="716">
                  <c:v>1.9958434956484084E-2</c:v>
                </c:pt>
                <c:pt idx="717">
                  <c:v>2.0048373265364461E-2</c:v>
                </c:pt>
                <c:pt idx="718">
                  <c:v>2.0118258282257884E-2</c:v>
                </c:pt>
                <c:pt idx="719">
                  <c:v>2.0204739837994534E-2</c:v>
                </c:pt>
                <c:pt idx="720">
                  <c:v>2.0257852438332336E-2</c:v>
                </c:pt>
                <c:pt idx="721">
                  <c:v>2.0327561577433428E-2</c:v>
                </c:pt>
                <c:pt idx="722">
                  <c:v>2.0397212090390582E-2</c:v>
                </c:pt>
                <c:pt idx="723">
                  <c:v>2.0466803977283732E-2</c:v>
                </c:pt>
                <c:pt idx="724">
                  <c:v>2.0536332557856696E-2</c:v>
                </c:pt>
                <c:pt idx="725">
                  <c:v>2.0605666783577448E-2</c:v>
                </c:pt>
                <c:pt idx="726">
                  <c:v>2.0674745810476125E-2</c:v>
                </c:pt>
                <c:pt idx="727">
                  <c:v>2.0743569638552728E-2</c:v>
                </c:pt>
                <c:pt idx="728">
                  <c:v>2.0812138267487512E-2</c:v>
                </c:pt>
                <c:pt idx="729">
                  <c:v>2.0880451697280478E-2</c:v>
                </c:pt>
                <c:pt idx="730">
                  <c:v>2.094850992761188E-2</c:v>
                </c:pt>
                <c:pt idx="731">
                  <c:v>2.101631295848172E-2</c:v>
                </c:pt>
                <c:pt idx="732">
                  <c:v>2.1083860789650188E-2</c:v>
                </c:pt>
                <c:pt idx="733">
                  <c:v>2.1151153421117286E-2</c:v>
                </c:pt>
                <c:pt idx="734">
                  <c:v>2.1218190852563268E-2</c:v>
                </c:pt>
                <c:pt idx="735">
                  <c:v>2.1284973083988135E-2</c:v>
                </c:pt>
                <c:pt idx="736">
                  <c:v>2.1351500115152078E-2</c:v>
                </c:pt>
                <c:pt idx="737">
                  <c:v>2.1417771945975161E-2</c:v>
                </c:pt>
                <c:pt idx="738">
                  <c:v>2.1483788576217577E-2</c:v>
                </c:pt>
                <c:pt idx="739">
                  <c:v>2.1549550005879325E-2</c:v>
                </c:pt>
                <c:pt idx="740">
                  <c:v>2.1615056234720598E-2</c:v>
                </c:pt>
                <c:pt idx="741">
                  <c:v>2.1680307262661458E-2</c:v>
                </c:pt>
                <c:pt idx="742">
                  <c:v>2.1745303089542034E-2</c:v>
                </c:pt>
                <c:pt idx="743">
                  <c:v>2.1810043715202454E-2</c:v>
                </c:pt>
                <c:pt idx="744">
                  <c:v>2.1874529139562782E-2</c:v>
                </c:pt>
                <c:pt idx="745">
                  <c:v>2.1938759362383209E-2</c:v>
                </c:pt>
                <c:pt idx="746">
                  <c:v>2.2002734383663736E-2</c:v>
                </c:pt>
                <c:pt idx="747">
                  <c:v>2.2066454203084618E-2</c:v>
                </c:pt>
                <c:pt idx="748">
                  <c:v>2.2129918820725791E-2</c:v>
                </c:pt>
                <c:pt idx="749">
                  <c:v>2.2193128236267512E-2</c:v>
                </c:pt>
                <c:pt idx="750">
                  <c:v>2.225608244970978E-2</c:v>
                </c:pt>
                <c:pt idx="751">
                  <c:v>2.2318781460812787E-2</c:v>
                </c:pt>
                <c:pt idx="752">
                  <c:v>2.2381225269496596E-2</c:v>
                </c:pt>
                <c:pt idx="753">
                  <c:v>2.2458804900036267E-2</c:v>
                </c:pt>
                <c:pt idx="754">
                  <c:v>2.2520695213810171E-2</c:v>
                </c:pt>
                <c:pt idx="755">
                  <c:v>2.2567025479753866E-2</c:v>
                </c:pt>
                <c:pt idx="756">
                  <c:v>2.2628448477481911E-2</c:v>
                </c:pt>
                <c:pt idx="757">
                  <c:v>2.2689616272071333E-2</c:v>
                </c:pt>
                <c:pt idx="758">
                  <c:v>2.2750528863522135E-2</c:v>
                </c:pt>
                <c:pt idx="759">
                  <c:v>2.281118625151457E-2</c:v>
                </c:pt>
                <c:pt idx="760">
                  <c:v>2.2871588436128576E-2</c:v>
                </c:pt>
                <c:pt idx="761">
                  <c:v>2.2931735417124344E-2</c:v>
                </c:pt>
                <c:pt idx="762">
                  <c:v>2.2991627194421937E-2</c:v>
                </c:pt>
                <c:pt idx="763">
                  <c:v>2.3051263767781549E-2</c:v>
                </c:pt>
                <c:pt idx="764">
                  <c:v>2.3110645137283115E-2</c:v>
                </c:pt>
                <c:pt idx="765">
                  <c:v>2.316977130260689E-2</c:v>
                </c:pt>
                <c:pt idx="766">
                  <c:v>2.3228642263672938E-2</c:v>
                </c:pt>
                <c:pt idx="767">
                  <c:v>2.3306970571145058E-2</c:v>
                </c:pt>
                <c:pt idx="768">
                  <c:v>2.3345618572632176E-2</c:v>
                </c:pt>
                <c:pt idx="769">
                  <c:v>2.3403723920285557E-2</c:v>
                </c:pt>
                <c:pt idx="770">
                  <c:v>2.3461574063201596E-2</c:v>
                </c:pt>
                <c:pt idx="771">
                  <c:v>2.3519169001220419E-2</c:v>
                </c:pt>
                <c:pt idx="772">
                  <c:v>2.3576508734342028E-2</c:v>
                </c:pt>
                <c:pt idx="773">
                  <c:v>2.3633593262326613E-2</c:v>
                </c:pt>
                <c:pt idx="774">
                  <c:v>2.369042258509424E-2</c:v>
                </c:pt>
                <c:pt idx="775">
                  <c:v>2.3746996702564971E-2</c:v>
                </c:pt>
                <c:pt idx="776">
                  <c:v>2.3803315086681209E-2</c:v>
                </c:pt>
                <c:pt idx="777">
                  <c:v>2.3859290118410925E-2</c:v>
                </c:pt>
                <c:pt idx="778">
                  <c:v>2.3914854763615878E-2</c:v>
                </c:pt>
                <c:pt idx="779">
                  <c:v>2.397000902205626E-2</c:v>
                </c:pt>
                <c:pt idx="780">
                  <c:v>2.4024752893652135E-2</c:v>
                </c:pt>
                <c:pt idx="781">
                  <c:v>2.407908637824363E-2</c:v>
                </c:pt>
                <c:pt idx="782">
                  <c:v>2.4133009475590939E-2</c:v>
                </c:pt>
                <c:pt idx="783">
                  <c:v>2.4186522185454251E-2</c:v>
                </c:pt>
                <c:pt idx="784">
                  <c:v>2.4239624507673696E-2</c:v>
                </c:pt>
                <c:pt idx="785">
                  <c:v>2.4292316442169337E-2</c:v>
                </c:pt>
                <c:pt idx="786">
                  <c:v>2.4344597988701366E-2</c:v>
                </c:pt>
                <c:pt idx="787">
                  <c:v>2.4396469147029975E-2</c:v>
                </c:pt>
                <c:pt idx="788">
                  <c:v>2.4447929917075228E-2</c:v>
                </c:pt>
                <c:pt idx="789">
                  <c:v>2.4498980298597317E-2</c:v>
                </c:pt>
                <c:pt idx="790">
                  <c:v>2.4549620291356433E-2</c:v>
                </c:pt>
                <c:pt idx="791">
                  <c:v>2.4599849895352577E-2</c:v>
                </c:pt>
                <c:pt idx="792">
                  <c:v>2.4649669110266004E-2</c:v>
                </c:pt>
                <c:pt idx="793">
                  <c:v>2.4699077936016778E-2</c:v>
                </c:pt>
                <c:pt idx="794">
                  <c:v>2.4748076372365091E-2</c:v>
                </c:pt>
                <c:pt idx="795">
                  <c:v>2.4796664419231007E-2</c:v>
                </c:pt>
                <c:pt idx="796">
                  <c:v>2.4844842076374718E-2</c:v>
                </c:pt>
                <c:pt idx="797">
                  <c:v>2.4892609343636352E-2</c:v>
                </c:pt>
                <c:pt idx="798">
                  <c:v>2.4939966220856036E-2</c:v>
                </c:pt>
                <c:pt idx="799">
                  <c:v>2.4986912707873898E-2</c:v>
                </c:pt>
                <c:pt idx="800">
                  <c:v>2.5033448804610003E-2</c:v>
                </c:pt>
                <c:pt idx="801">
                  <c:v>2.5079574510824543E-2</c:v>
                </c:pt>
                <c:pt idx="802">
                  <c:v>2.5125289826357644E-2</c:v>
                </c:pt>
                <c:pt idx="803">
                  <c:v>2.5170594751049435E-2</c:v>
                </c:pt>
                <c:pt idx="804">
                  <c:v>2.5215489284740045E-2</c:v>
                </c:pt>
                <c:pt idx="805">
                  <c:v>2.5259973427349536E-2</c:v>
                </c:pt>
                <c:pt idx="806">
                  <c:v>2.53040471786381E-2</c:v>
                </c:pt>
                <c:pt idx="807">
                  <c:v>2.5347710538525803E-2</c:v>
                </c:pt>
                <c:pt idx="808">
                  <c:v>2.5390963506692898E-2</c:v>
                </c:pt>
                <c:pt idx="809">
                  <c:v>2.543380608329926E-2</c:v>
                </c:pt>
                <c:pt idx="810">
                  <c:v>2.5476238267945206E-2</c:v>
                </c:pt>
                <c:pt idx="811">
                  <c:v>2.5518260060630737E-2</c:v>
                </c:pt>
                <c:pt idx="812">
                  <c:v>2.5559871461116046E-2</c:v>
                </c:pt>
                <c:pt idx="813">
                  <c:v>2.5601072469241259E-2</c:v>
                </c:pt>
                <c:pt idx="814">
                  <c:v>2.5641863084926442E-2</c:v>
                </c:pt>
                <c:pt idx="815">
                  <c:v>2.5682243308011721E-2</c:v>
                </c:pt>
                <c:pt idx="816">
                  <c:v>2.572221313841716E-2</c:v>
                </c:pt>
                <c:pt idx="817">
                  <c:v>2.5761772575982889E-2</c:v>
                </c:pt>
                <c:pt idx="818">
                  <c:v>2.5800921620469097E-2</c:v>
                </c:pt>
                <c:pt idx="819">
                  <c:v>2.5839660271875786E-2</c:v>
                </c:pt>
                <c:pt idx="820">
                  <c:v>2.5877988529963147E-2</c:v>
                </c:pt>
                <c:pt idx="821">
                  <c:v>2.5930390982724205E-2</c:v>
                </c:pt>
                <c:pt idx="822">
                  <c:v>2.5953413865860142E-2</c:v>
                </c:pt>
                <c:pt idx="823">
                  <c:v>2.5990510943429967E-2</c:v>
                </c:pt>
                <c:pt idx="824">
                  <c:v>2.6027197627200849E-2</c:v>
                </c:pt>
                <c:pt idx="825">
                  <c:v>2.6063473917012914E-2</c:v>
                </c:pt>
                <c:pt idx="826">
                  <c:v>2.6099339812866162E-2</c:v>
                </c:pt>
                <c:pt idx="827">
                  <c:v>2.6134795314520787E-2</c:v>
                </c:pt>
                <c:pt idx="828">
                  <c:v>2.6169840421896851E-2</c:v>
                </c:pt>
                <c:pt idx="829">
                  <c:v>2.6204596304308936E-2</c:v>
                </c:pt>
                <c:pt idx="830">
                  <c:v>2.6239221340507157E-2</c:v>
                </c:pt>
                <c:pt idx="831">
                  <c:v>2.62737164846083E-2</c:v>
                </c:pt>
                <c:pt idx="832">
                  <c:v>2.6308081736692301E-2</c:v>
                </c:pt>
                <c:pt idx="833">
                  <c:v>2.6342317096519352E-2</c:v>
                </c:pt>
                <c:pt idx="834">
                  <c:v>2.6376422564169388E-2</c:v>
                </c:pt>
                <c:pt idx="835">
                  <c:v>2.6410398139562474E-2</c:v>
                </c:pt>
                <c:pt idx="836">
                  <c:v>2.6444243822778546E-2</c:v>
                </c:pt>
                <c:pt idx="837">
                  <c:v>2.6477959613497859E-2</c:v>
                </c:pt>
                <c:pt idx="838">
                  <c:v>2.6511545511960222E-2</c:v>
                </c:pt>
                <c:pt idx="839">
                  <c:v>2.6545001518005762E-2</c:v>
                </c:pt>
                <c:pt idx="840">
                  <c:v>2.657832763163448E-2</c:v>
                </c:pt>
                <c:pt idx="841">
                  <c:v>2.6611523852846375E-2</c:v>
                </c:pt>
                <c:pt idx="842">
                  <c:v>2.6644590181481576E-2</c:v>
                </c:pt>
                <c:pt idx="843">
                  <c:v>2.6677526617699954E-2</c:v>
                </c:pt>
                <c:pt idx="844">
                  <c:v>2.6710333161261701E-2</c:v>
                </c:pt>
                <c:pt idx="845">
                  <c:v>2.6743009812246754E-2</c:v>
                </c:pt>
                <c:pt idx="846">
                  <c:v>2.6775556570575176E-2</c:v>
                </c:pt>
                <c:pt idx="847">
                  <c:v>2.6807973436246968E-2</c:v>
                </c:pt>
                <c:pt idx="848">
                  <c:v>2.6840260409182193E-2</c:v>
                </c:pt>
                <c:pt idx="849">
                  <c:v>2.6872417489380851E-2</c:v>
                </c:pt>
                <c:pt idx="850">
                  <c:v>2.6904444676842942E-2</c:v>
                </c:pt>
                <c:pt idx="851">
                  <c:v>2.6936341971488531E-2</c:v>
                </c:pt>
                <c:pt idx="852">
                  <c:v>2.6968109373237681E-2</c:v>
                </c:pt>
                <c:pt idx="853">
                  <c:v>2.6999746882170328E-2</c:v>
                </c:pt>
                <c:pt idx="854">
                  <c:v>2.70312544981266E-2</c:v>
                </c:pt>
                <c:pt idx="855">
                  <c:v>2.7062632221186433E-2</c:v>
                </c:pt>
                <c:pt idx="856">
                  <c:v>2.709388005111002E-2</c:v>
                </c:pt>
                <c:pt idx="857">
                  <c:v>2.7124997988137167E-2</c:v>
                </c:pt>
                <c:pt idx="858">
                  <c:v>2.7155986032108004E-2</c:v>
                </c:pt>
                <c:pt idx="859">
                  <c:v>2.7186844183022529E-2</c:v>
                </c:pt>
                <c:pt idx="860">
                  <c:v>2.7217572440800808E-2</c:v>
                </c:pt>
                <c:pt idx="861">
                  <c:v>2.7248170805362903E-2</c:v>
                </c:pt>
                <c:pt idx="862">
                  <c:v>2.7278639276788752E-2</c:v>
                </c:pt>
                <c:pt idx="863">
                  <c:v>2.7308977854998417E-2</c:v>
                </c:pt>
                <c:pt idx="864">
                  <c:v>2.7339186539911964E-2</c:v>
                </c:pt>
                <c:pt idx="865">
                  <c:v>2.7369265331609327E-2</c:v>
                </c:pt>
                <c:pt idx="866">
                  <c:v>2.7399214229930635E-2</c:v>
                </c:pt>
                <c:pt idx="867">
                  <c:v>2.7429033234955824E-2</c:v>
                </c:pt>
                <c:pt idx="868">
                  <c:v>2.7458722346525022E-2</c:v>
                </c:pt>
                <c:pt idx="869">
                  <c:v>2.7488281564718164E-2</c:v>
                </c:pt>
                <c:pt idx="870">
                  <c:v>2.7517710889535252E-2</c:v>
                </c:pt>
                <c:pt idx="871">
                  <c:v>2.7547010320816412E-2</c:v>
                </c:pt>
                <c:pt idx="872">
                  <c:v>2.7588715071381387E-2</c:v>
                </c:pt>
                <c:pt idx="873">
                  <c:v>2.760521950277095E-2</c:v>
                </c:pt>
                <c:pt idx="874">
                  <c:v>2.7634129253524264E-2</c:v>
                </c:pt>
                <c:pt idx="875">
                  <c:v>2.7662909110501843E-2</c:v>
                </c:pt>
                <c:pt idx="876">
                  <c:v>2.7691559073943495E-2</c:v>
                </c:pt>
                <c:pt idx="877">
                  <c:v>2.7720079143689347E-2</c:v>
                </c:pt>
                <c:pt idx="878">
                  <c:v>2.7748469319739399E-2</c:v>
                </c:pt>
                <c:pt idx="879">
                  <c:v>2.7776729602013717E-2</c:v>
                </c:pt>
                <c:pt idx="880">
                  <c:v>2.7804859990592234E-2</c:v>
                </c:pt>
                <c:pt idx="881">
                  <c:v>2.7832864364132348E-2</c:v>
                </c:pt>
                <c:pt idx="882">
                  <c:v>2.7860765784746278E-2</c:v>
                </c:pt>
                <c:pt idx="883">
                  <c:v>2.7888568131171354E-2</c:v>
                </c:pt>
                <c:pt idx="884">
                  <c:v>2.7916271403407578E-2</c:v>
                </c:pt>
                <c:pt idx="885">
                  <c:v>2.7943875601375012E-2</c:v>
                </c:pt>
                <c:pt idx="886">
                  <c:v>2.7971380725153594E-2</c:v>
                </c:pt>
                <c:pt idx="887">
                  <c:v>2.7998786774663387E-2</c:v>
                </c:pt>
                <c:pt idx="888">
                  <c:v>2.8026093749824454E-2</c:v>
                </c:pt>
                <c:pt idx="889">
                  <c:v>2.8053301650636797E-2</c:v>
                </c:pt>
                <c:pt idx="890">
                  <c:v>2.8080410477180351E-2</c:v>
                </c:pt>
                <c:pt idx="891">
                  <c:v>2.8107420229455116E-2</c:v>
                </c:pt>
                <c:pt idx="892">
                  <c:v>2.8134330907221283E-2</c:v>
                </c:pt>
                <c:pt idx="893">
                  <c:v>2.816114251055879E-2</c:v>
                </c:pt>
                <c:pt idx="894">
                  <c:v>2.8187855039547571E-2</c:v>
                </c:pt>
                <c:pt idx="895">
                  <c:v>2.821446849394782E-2</c:v>
                </c:pt>
                <c:pt idx="896">
                  <c:v>2.8240982873999343E-2</c:v>
                </c:pt>
                <c:pt idx="897">
                  <c:v>2.8267398179462333E-2</c:v>
                </c:pt>
                <c:pt idx="898">
                  <c:v>2.8293714410496662E-2</c:v>
                </c:pt>
                <c:pt idx="899">
                  <c:v>2.8319931567022394E-2</c:v>
                </c:pt>
                <c:pt idx="900">
                  <c:v>2.8346049648879657E-2</c:v>
                </c:pt>
                <c:pt idx="901">
                  <c:v>2.8372068656228322E-2</c:v>
                </c:pt>
                <c:pt idx="902">
                  <c:v>2.8397988588988454E-2</c:v>
                </c:pt>
                <c:pt idx="903">
                  <c:v>2.8423809447080117E-2</c:v>
                </c:pt>
                <c:pt idx="904">
                  <c:v>2.8449531230503311E-2</c:v>
                </c:pt>
                <c:pt idx="905">
                  <c:v>2.8475153939258036E-2</c:v>
                </c:pt>
                <c:pt idx="906">
                  <c:v>2.8500677573264355E-2</c:v>
                </c:pt>
                <c:pt idx="907">
                  <c:v>2.8526102132682141E-2</c:v>
                </c:pt>
                <c:pt idx="908">
                  <c:v>2.8551427617431457E-2</c:v>
                </c:pt>
                <c:pt idx="909">
                  <c:v>2.8576654027272497E-2</c:v>
                </c:pt>
                <c:pt idx="910">
                  <c:v>2.8614141041645169E-2</c:v>
                </c:pt>
                <c:pt idx="911">
                  <c:v>2.8636219250479655E-2</c:v>
                </c:pt>
                <c:pt idx="912">
                  <c:v>2.8661124091948764E-2</c:v>
                </c:pt>
                <c:pt idx="913">
                  <c:v>2.8685929846226088E-2</c:v>
                </c:pt>
                <c:pt idx="914">
                  <c:v>2.8710636513284982E-2</c:v>
                </c:pt>
                <c:pt idx="915">
                  <c:v>2.8735244093018864E-2</c:v>
                </c:pt>
                <c:pt idx="916">
                  <c:v>2.8759752585374443E-2</c:v>
                </c:pt>
                <c:pt idx="917">
                  <c:v>2.8784161990325074E-2</c:v>
                </c:pt>
                <c:pt idx="918">
                  <c:v>2.8808472307764177E-2</c:v>
                </c:pt>
                <c:pt idx="919">
                  <c:v>2.8832683537638459E-2</c:v>
                </c:pt>
                <c:pt idx="920">
                  <c:v>2.8856795679921277E-2</c:v>
                </c:pt>
                <c:pt idx="921">
                  <c:v>2.8880808734559338E-2</c:v>
                </c:pt>
                <c:pt idx="922">
                  <c:v>2.8904722701446062E-2</c:v>
                </c:pt>
                <c:pt idx="923">
                  <c:v>2.893638836223289E-2</c:v>
                </c:pt>
                <c:pt idx="924">
                  <c:v>2.895225337177898E-2</c:v>
                </c:pt>
                <c:pt idx="925">
                  <c:v>2.8975870075145238E-2</c:v>
                </c:pt>
                <c:pt idx="926">
                  <c:v>2.8999387690546996E-2</c:v>
                </c:pt>
                <c:pt idx="927">
                  <c:v>2.9022806217904318E-2</c:v>
                </c:pt>
                <c:pt idx="928">
                  <c:v>2.9050426522827522E-2</c:v>
                </c:pt>
                <c:pt idx="929">
                  <c:v>2.907361481907067E-2</c:v>
                </c:pt>
                <c:pt idx="930">
                  <c:v>2.9096704040085797E-2</c:v>
                </c:pt>
                <c:pt idx="931">
                  <c:v>2.9119694185872902E-2</c:v>
                </c:pt>
                <c:pt idx="932">
                  <c:v>2.9142585117023501E-2</c:v>
                </c:pt>
                <c:pt idx="933">
                  <c:v>2.9165353681097628E-2</c:v>
                </c:pt>
                <c:pt idx="934">
                  <c:v>2.9187982165144177E-2</c:v>
                </c:pt>
                <c:pt idx="935">
                  <c:v>2.9210470569243085E-2</c:v>
                </c:pt>
                <c:pt idx="936">
                  <c:v>2.923281889323448E-2</c:v>
                </c:pt>
                <c:pt idx="937">
                  <c:v>2.9255027137118361E-2</c:v>
                </c:pt>
                <c:pt idx="938">
                  <c:v>2.9277095300814793E-2</c:v>
                </c:pt>
                <c:pt idx="939">
                  <c:v>2.9299023384563583E-2</c:v>
                </c:pt>
                <c:pt idx="940">
                  <c:v>2.9320811388044987E-2</c:v>
                </c:pt>
                <c:pt idx="941">
                  <c:v>2.9342459311338942E-2</c:v>
                </c:pt>
                <c:pt idx="942">
                  <c:v>2.9363967154445447E-2</c:v>
                </c:pt>
                <c:pt idx="943">
                  <c:v>2.9385334917284567E-2</c:v>
                </c:pt>
                <c:pt idx="944">
                  <c:v>2.9406562599856301E-2</c:v>
                </c:pt>
                <c:pt idx="945">
                  <c:v>2.9427650202160649E-2</c:v>
                </c:pt>
                <c:pt idx="946">
                  <c:v>2.9448597724117676E-2</c:v>
                </c:pt>
                <c:pt idx="947">
                  <c:v>2.9469405165807316E-2</c:v>
                </c:pt>
                <c:pt idx="948">
                  <c:v>2.94900725270697E-2</c:v>
                </c:pt>
                <c:pt idx="949">
                  <c:v>2.9510599808064697E-2</c:v>
                </c:pt>
                <c:pt idx="950">
                  <c:v>2.9530987008552501E-2</c:v>
                </c:pt>
                <c:pt idx="951">
                  <c:v>2.9551234128613046E-2</c:v>
                </c:pt>
                <c:pt idx="952">
                  <c:v>2.9571341168246335E-2</c:v>
                </c:pt>
                <c:pt idx="953">
                  <c:v>2.9591308127292493E-2</c:v>
                </c:pt>
                <c:pt idx="954">
                  <c:v>2.9611135005911393E-2</c:v>
                </c:pt>
                <c:pt idx="955">
                  <c:v>2.9630821804103036E-2</c:v>
                </c:pt>
                <c:pt idx="956">
                  <c:v>2.9650368521627612E-2</c:v>
                </c:pt>
                <c:pt idx="957">
                  <c:v>2.9669775158644995E-2</c:v>
                </c:pt>
                <c:pt idx="958">
                  <c:v>2.9689041714995312E-2</c:v>
                </c:pt>
                <c:pt idx="959">
                  <c:v>2.9708168190758499E-2</c:v>
                </c:pt>
                <c:pt idx="960">
                  <c:v>2.9727154585934557E-2</c:v>
                </c:pt>
                <c:pt idx="961">
                  <c:v>2.9746000900443548E-2</c:v>
                </c:pt>
                <c:pt idx="962">
                  <c:v>2.97699278297614E-2</c:v>
                </c:pt>
                <c:pt idx="963">
                  <c:v>2.9785914159701221E-2</c:v>
                </c:pt>
                <c:pt idx="964">
                  <c:v>2.9804320220456759E-2</c:v>
                </c:pt>
                <c:pt idx="965">
                  <c:v>2.9822586200545231E-2</c:v>
                </c:pt>
                <c:pt idx="966">
                  <c:v>2.9840712099886701E-2</c:v>
                </c:pt>
                <c:pt idx="967">
                  <c:v>2.9858697918321297E-2</c:v>
                </c:pt>
                <c:pt idx="968">
                  <c:v>2.9876543656088828E-2</c:v>
                </c:pt>
                <c:pt idx="969">
                  <c:v>2.9894249312869547E-2</c:v>
                </c:pt>
                <c:pt idx="970">
                  <c:v>2.9911814888823329E-2</c:v>
                </c:pt>
                <c:pt idx="971">
                  <c:v>2.9929240384030109E-2</c:v>
                </c:pt>
                <c:pt idx="972">
                  <c:v>2.9946525798170143E-2</c:v>
                </c:pt>
                <c:pt idx="973">
                  <c:v>2.9963671131563174E-2</c:v>
                </c:pt>
                <c:pt idx="974">
                  <c:v>2.998067638388946E-2</c:v>
                </c:pt>
                <c:pt idx="975">
                  <c:v>2.9997541555308871E-2</c:v>
                </c:pt>
                <c:pt idx="976">
                  <c:v>3.0014266645741472E-2</c:v>
                </c:pt>
                <c:pt idx="977">
                  <c:v>3.0030851655107327E-2</c:v>
                </c:pt>
                <c:pt idx="978">
                  <c:v>3.00519694053758E-2</c:v>
                </c:pt>
                <c:pt idx="979">
                  <c:v>3.0075366867263753E-2</c:v>
                </c:pt>
                <c:pt idx="980">
                  <c:v>3.008435897272399E-2</c:v>
                </c:pt>
                <c:pt idx="981">
                  <c:v>3.0100343634877902E-2</c:v>
                </c:pt>
                <c:pt idx="982">
                  <c:v>3.0116188215885131E-2</c:v>
                </c:pt>
                <c:pt idx="983">
                  <c:v>3.0131892715665742E-2</c:v>
                </c:pt>
                <c:pt idx="984">
                  <c:v>3.0147457134539479E-2</c:v>
                </c:pt>
                <c:pt idx="985">
                  <c:v>3.0162881472106662E-2</c:v>
                </c:pt>
                <c:pt idx="986">
                  <c:v>3.0178165728527162E-2</c:v>
                </c:pt>
                <c:pt idx="987">
                  <c:v>3.0193309903721044E-2</c:v>
                </c:pt>
                <c:pt idx="988">
                  <c:v>3.0208313997768244E-2</c:v>
                </c:pt>
                <c:pt idx="989">
                  <c:v>3.0223178010588825E-2</c:v>
                </c:pt>
                <c:pt idx="990">
                  <c:v>3.0237901942102852E-2</c:v>
                </c:pt>
                <c:pt idx="991">
                  <c:v>3.025248579239026E-2</c:v>
                </c:pt>
                <c:pt idx="992">
                  <c:v>3.026692956145105E-2</c:v>
                </c:pt>
                <c:pt idx="993">
                  <c:v>3.0281233249205286E-2</c:v>
                </c:pt>
                <c:pt idx="994">
                  <c:v>3.0295396855573031E-2</c:v>
                </c:pt>
                <c:pt idx="995">
                  <c:v>3.0309420380714158E-2</c:v>
                </c:pt>
                <c:pt idx="996">
                  <c:v>3.0323303824468795E-2</c:v>
                </c:pt>
                <c:pt idx="997">
                  <c:v>3.0337047186916877E-2</c:v>
                </c:pt>
                <c:pt idx="998">
                  <c:v>3.0350650467898532E-2</c:v>
                </c:pt>
                <c:pt idx="999">
                  <c:v>3.0364113667573633E-2</c:v>
                </c:pt>
                <c:pt idx="1000">
                  <c:v>3.0377436785782308E-2</c:v>
                </c:pt>
                <c:pt idx="1001">
                  <c:v>3.0390619822604492E-2</c:v>
                </c:pt>
                <c:pt idx="1002">
                  <c:v>3.0403662778040186E-2</c:v>
                </c:pt>
                <c:pt idx="1003">
                  <c:v>3.0416565652009453E-2</c:v>
                </c:pt>
                <c:pt idx="1004">
                  <c:v>3.0429328444432358E-2</c:v>
                </c:pt>
                <c:pt idx="1005">
                  <c:v>3.0441951155388836E-2</c:v>
                </c:pt>
                <c:pt idx="1006">
                  <c:v>3.0454433784878887E-2</c:v>
                </c:pt>
                <c:pt idx="1007">
                  <c:v>3.0466776332902512E-2</c:v>
                </c:pt>
                <c:pt idx="1008">
                  <c:v>3.0478978799299838E-2</c:v>
                </c:pt>
                <c:pt idx="1009">
                  <c:v>3.0491041184230738E-2</c:v>
                </c:pt>
                <c:pt idx="1010">
                  <c:v>3.0502963487615276E-2</c:v>
                </c:pt>
                <c:pt idx="1011">
                  <c:v>3.051474570945345E-2</c:v>
                </c:pt>
                <c:pt idx="1012">
                  <c:v>3.052638784958539E-2</c:v>
                </c:pt>
                <c:pt idx="1013">
                  <c:v>3.0544399619421014E-2</c:v>
                </c:pt>
                <c:pt idx="1014">
                  <c:v>3.055506448196077E-2</c:v>
                </c:pt>
                <c:pt idx="1015">
                  <c:v>3.0560473780623099E-2</c:v>
                </c:pt>
                <c:pt idx="1016">
                  <c:v>3.0571555594409716E-2</c:v>
                </c:pt>
                <c:pt idx="1017">
                  <c:v>3.0582497326490099E-2</c:v>
                </c:pt>
                <c:pt idx="1018">
                  <c:v>3.0593298976944183E-2</c:v>
                </c:pt>
                <c:pt idx="1019">
                  <c:v>3.0603960545771969E-2</c:v>
                </c:pt>
                <c:pt idx="1020">
                  <c:v>3.061448203289352E-2</c:v>
                </c:pt>
                <c:pt idx="1021">
                  <c:v>3.06248634382289E-2</c:v>
                </c:pt>
                <c:pt idx="1022">
                  <c:v>3.0635104761937981E-2</c:v>
                </c:pt>
                <c:pt idx="1023">
                  <c:v>3.0645206003940828E-2</c:v>
                </c:pt>
                <c:pt idx="1024">
                  <c:v>3.0655167164077568E-2</c:v>
                </c:pt>
                <c:pt idx="1025">
                  <c:v>3.0664988242588009E-2</c:v>
                </c:pt>
                <c:pt idx="1026">
                  <c:v>3.067466923931228E-2</c:v>
                </c:pt>
                <c:pt idx="1027">
                  <c:v>3.0692139578359701E-2</c:v>
                </c:pt>
                <c:pt idx="1028">
                  <c:v>3.0693610987482245E-2</c:v>
                </c:pt>
                <c:pt idx="1029">
                  <c:v>3.0702871738848003E-2</c:v>
                </c:pt>
                <c:pt idx="1030">
                  <c:v>3.0711992408507527E-2</c:v>
                </c:pt>
                <c:pt idx="1031">
                  <c:v>3.0726810516648051E-2</c:v>
                </c:pt>
                <c:pt idx="1032">
                  <c:v>3.0729813502228254E-2</c:v>
                </c:pt>
                <c:pt idx="1033">
                  <c:v>3.0738513926369393E-2</c:v>
                </c:pt>
                <c:pt idx="1034">
                  <c:v>3.0747074268644425E-2</c:v>
                </c:pt>
                <c:pt idx="1035">
                  <c:v>3.0755494529133287E-2</c:v>
                </c:pt>
                <c:pt idx="1036">
                  <c:v>3.0763774308395497E-2</c:v>
                </c:pt>
                <c:pt idx="1037">
                  <c:v>3.0771902428492481E-2</c:v>
                </c:pt>
                <c:pt idx="1038">
                  <c:v>3.0779873699415816E-2</c:v>
                </c:pt>
                <c:pt idx="1039">
                  <c:v>3.0787688121165502E-2</c:v>
                </c:pt>
                <c:pt idx="1040">
                  <c:v>3.0795345693741538E-2</c:v>
                </c:pt>
                <c:pt idx="1041">
                  <c:v>3.0802846417143925E-2</c:v>
                </c:pt>
                <c:pt idx="1042">
                  <c:v>3.0810190291292727E-2</c:v>
                </c:pt>
                <c:pt idx="1043">
                  <c:v>3.0817377316187944E-2</c:v>
                </c:pt>
                <c:pt idx="1044">
                  <c:v>3.0824407491989447E-2</c:v>
                </c:pt>
                <c:pt idx="1045">
                  <c:v>3.0831280818377493E-2</c:v>
                </c:pt>
                <c:pt idx="1046">
                  <c:v>3.0837997295671826E-2</c:v>
                </c:pt>
                <c:pt idx="1047">
                  <c:v>3.0844556923712574E-2</c:v>
                </c:pt>
                <c:pt idx="1048">
                  <c:v>3.0850959702499736E-2</c:v>
                </c:pt>
                <c:pt idx="1049">
                  <c:v>3.0857205632033313E-2</c:v>
                </c:pt>
                <c:pt idx="1050">
                  <c:v>3.0863294712233369E-2</c:v>
                </c:pt>
                <c:pt idx="1051">
                  <c:v>3.0869226943179839E-2</c:v>
                </c:pt>
                <c:pt idx="1052">
                  <c:v>3.0875002324792788E-2</c:v>
                </c:pt>
                <c:pt idx="1053">
                  <c:v>3.0880620857152152E-2</c:v>
                </c:pt>
                <c:pt idx="1054">
                  <c:v>3.0886082540177995E-2</c:v>
                </c:pt>
                <c:pt idx="1055">
                  <c:v>3.0891387373950252E-2</c:v>
                </c:pt>
                <c:pt idx="1056">
                  <c:v>3.0896535358388988E-2</c:v>
                </c:pt>
                <c:pt idx="1057">
                  <c:v>3.0901526493494202E-2</c:v>
                </c:pt>
                <c:pt idx="1058">
                  <c:v>3.0906360779265896E-2</c:v>
                </c:pt>
                <c:pt idx="1059">
                  <c:v>3.0911038215704068E-2</c:v>
                </c:pt>
                <c:pt idx="1060">
                  <c:v>3.0915558802808718E-2</c:v>
                </c:pt>
                <c:pt idx="1061">
                  <c:v>3.0919922540499911E-2</c:v>
                </c:pt>
                <c:pt idx="1062">
                  <c:v>3.0924129428937519E-2</c:v>
                </c:pt>
                <c:pt idx="1063">
                  <c:v>3.092817946796167E-2</c:v>
                </c:pt>
                <c:pt idx="1064">
                  <c:v>3.0932072657572363E-2</c:v>
                </c:pt>
                <c:pt idx="1065">
                  <c:v>3.0940575265430148E-2</c:v>
                </c:pt>
                <c:pt idx="1066">
                  <c:v>3.0944122060028167E-2</c:v>
                </c:pt>
                <c:pt idx="1067">
                  <c:v>3.0942811130323378E-2</c:v>
                </c:pt>
                <c:pt idx="1068">
                  <c:v>3.0946076922440113E-2</c:v>
                </c:pt>
                <c:pt idx="1069">
                  <c:v>3.0949185865223328E-2</c:v>
                </c:pt>
                <c:pt idx="1070">
                  <c:v>3.0952137958593084E-2</c:v>
                </c:pt>
                <c:pt idx="1071">
                  <c:v>3.0954933202549384E-2</c:v>
                </c:pt>
                <c:pt idx="1072">
                  <c:v>3.0957571597092226E-2</c:v>
                </c:pt>
                <c:pt idx="1073">
                  <c:v>3.0960053142301547E-2</c:v>
                </c:pt>
                <c:pt idx="1074">
                  <c:v>3.0962377838017474E-2</c:v>
                </c:pt>
                <c:pt idx="1075">
                  <c:v>3.096454568439988E-2</c:v>
                </c:pt>
                <c:pt idx="1076">
                  <c:v>3.0966556681288893E-2</c:v>
                </c:pt>
                <c:pt idx="1077">
                  <c:v>3.0968410828844384E-2</c:v>
                </c:pt>
                <c:pt idx="1078">
                  <c:v>3.0975890271221829E-2</c:v>
                </c:pt>
                <c:pt idx="1079">
                  <c:v>3.0971648575555122E-2</c:v>
                </c:pt>
                <c:pt idx="1080">
                  <c:v>3.0973032174870241E-2</c:v>
                </c:pt>
                <c:pt idx="1081">
                  <c:v>3.0974258924691966E-2</c:v>
                </c:pt>
                <c:pt idx="1082">
                  <c:v>3.0975328825100235E-2</c:v>
                </c:pt>
                <c:pt idx="1083">
                  <c:v>3.0976241876095045E-2</c:v>
                </c:pt>
                <c:pt idx="1084">
                  <c:v>3.0976998077596463E-2</c:v>
                </c:pt>
                <c:pt idx="1085">
                  <c:v>3.0977597429764359E-2</c:v>
                </c:pt>
                <c:pt idx="1086">
                  <c:v>3.0978039932438861E-2</c:v>
                </c:pt>
                <c:pt idx="1087">
                  <c:v>3.0978325585699906E-2</c:v>
                </c:pt>
                <c:pt idx="1088">
                  <c:v>3.0978454389467558E-2</c:v>
                </c:pt>
                <c:pt idx="1089">
                  <c:v>3.0978426343901688E-2</c:v>
                </c:pt>
                <c:pt idx="1090">
                  <c:v>3.0978241448842425E-2</c:v>
                </c:pt>
                <c:pt idx="1091">
                  <c:v>3.0977899704369705E-2</c:v>
                </c:pt>
                <c:pt idx="1092">
                  <c:v>3.0977401110483527E-2</c:v>
                </c:pt>
                <c:pt idx="1093">
                  <c:v>3.0976745667183891E-2</c:v>
                </c:pt>
                <c:pt idx="1094">
                  <c:v>3.0975933374390863E-2</c:v>
                </c:pt>
                <c:pt idx="1095">
                  <c:v>3.0974964232184377E-2</c:v>
                </c:pt>
                <c:pt idx="1096">
                  <c:v>3.0973838240644369E-2</c:v>
                </c:pt>
                <c:pt idx="1097">
                  <c:v>3.0972555399610968E-2</c:v>
                </c:pt>
                <c:pt idx="1098">
                  <c:v>3.0971115709084174E-2</c:v>
                </c:pt>
                <c:pt idx="1099">
                  <c:v>3.0969519169223858E-2</c:v>
                </c:pt>
                <c:pt idx="1100">
                  <c:v>3.0967765779870149E-2</c:v>
                </c:pt>
                <c:pt idx="1101">
                  <c:v>3.0965855541182918E-2</c:v>
                </c:pt>
                <c:pt idx="1102">
                  <c:v>3.0963788453002294E-2</c:v>
                </c:pt>
                <c:pt idx="1103">
                  <c:v>3.0961564515568085E-2</c:v>
                </c:pt>
                <c:pt idx="1104">
                  <c:v>3.0959183728560546E-2</c:v>
                </c:pt>
                <c:pt idx="1105">
                  <c:v>3.0956646092219486E-2</c:v>
                </c:pt>
                <c:pt idx="1106">
                  <c:v>3.0953951606464969E-2</c:v>
                </c:pt>
                <c:pt idx="1107">
                  <c:v>3.0951100271296994E-2</c:v>
                </c:pt>
                <c:pt idx="1108">
                  <c:v>3.0948092086715562E-2</c:v>
                </c:pt>
                <c:pt idx="1109">
                  <c:v>3.0944927052720672E-2</c:v>
                </c:pt>
                <c:pt idx="1110">
                  <c:v>3.0941605169392261E-2</c:v>
                </c:pt>
                <c:pt idx="1111">
                  <c:v>3.0938126436730329E-2</c:v>
                </c:pt>
                <c:pt idx="1112">
                  <c:v>3.0934490854654939E-2</c:v>
                </c:pt>
                <c:pt idx="1113">
                  <c:v>3.0930698423086156E-2</c:v>
                </c:pt>
                <c:pt idx="1114">
                  <c:v>3.0926749142263787E-2</c:v>
                </c:pt>
                <c:pt idx="1115">
                  <c:v>3.0922643012027962E-2</c:v>
                </c:pt>
                <c:pt idx="1116">
                  <c:v>3.0918380032458614E-2</c:v>
                </c:pt>
                <c:pt idx="1117">
                  <c:v>3.0913960203555746E-2</c:v>
                </c:pt>
                <c:pt idx="1118">
                  <c:v>3.090938352523942E-2</c:v>
                </c:pt>
                <c:pt idx="1119">
                  <c:v>3.0904649997669509E-2</c:v>
                </c:pt>
                <c:pt idx="1120">
                  <c:v>3.0899759620766076E-2</c:v>
                </c:pt>
                <c:pt idx="1121">
                  <c:v>3.0894712394449186E-2</c:v>
                </c:pt>
                <c:pt idx="1122">
                  <c:v>3.0889508318878711E-2</c:v>
                </c:pt>
                <c:pt idx="1123">
                  <c:v>3.0884147394054651E-2</c:v>
                </c:pt>
                <c:pt idx="1124">
                  <c:v>3.0878629619737197E-2</c:v>
                </c:pt>
                <c:pt idx="1125">
                  <c:v>3.0872954996246094E-2</c:v>
                </c:pt>
                <c:pt idx="1126">
                  <c:v>3.0867123523421469E-2</c:v>
                </c:pt>
                <c:pt idx="1127">
                  <c:v>3.0861135201263323E-2</c:v>
                </c:pt>
                <c:pt idx="1128">
                  <c:v>3.0854990029931528E-2</c:v>
                </c:pt>
                <c:pt idx="1129">
                  <c:v>3.0848688009266212E-2</c:v>
                </c:pt>
                <c:pt idx="1130">
                  <c:v>3.084222913934731E-2</c:v>
                </c:pt>
                <c:pt idx="1131">
                  <c:v>3.0835613420254759E-2</c:v>
                </c:pt>
                <c:pt idx="1132">
                  <c:v>3.0828840851748751E-2</c:v>
                </c:pt>
                <c:pt idx="1133">
                  <c:v>3.0825177076817312E-2</c:v>
                </c:pt>
                <c:pt idx="1134">
                  <c:v>3.0814825167375659E-2</c:v>
                </c:pt>
                <c:pt idx="1135">
                  <c:v>3.0807582051188831E-2</c:v>
                </c:pt>
                <c:pt idx="1136">
                  <c:v>3.0800182085988226E-2</c:v>
                </c:pt>
                <c:pt idx="1137">
                  <c:v>3.0792625271454099E-2</c:v>
                </c:pt>
                <c:pt idx="1138">
                  <c:v>3.0784911607746324E-2</c:v>
                </c:pt>
                <c:pt idx="1139">
                  <c:v>3.0777041094944835E-2</c:v>
                </c:pt>
                <c:pt idx="1140">
                  <c:v>3.0769013732809825E-2</c:v>
                </c:pt>
                <c:pt idx="1141">
                  <c:v>3.0760829521661037E-2</c:v>
                </c:pt>
                <c:pt idx="1142">
                  <c:v>3.0752488461338601E-2</c:v>
                </c:pt>
                <c:pt idx="1143">
                  <c:v>3.0743990551922451E-2</c:v>
                </c:pt>
                <c:pt idx="1144">
                  <c:v>3.0735335793252716E-2</c:v>
                </c:pt>
                <c:pt idx="1145">
                  <c:v>3.0726524185569204E-2</c:v>
                </c:pt>
                <c:pt idx="1146">
                  <c:v>3.0717555728712043E-2</c:v>
                </c:pt>
                <c:pt idx="1147">
                  <c:v>3.0708430422841104E-2</c:v>
                </c:pt>
                <c:pt idx="1148">
                  <c:v>3.0699148267876453E-2</c:v>
                </c:pt>
                <c:pt idx="1149">
                  <c:v>3.0689709263818088E-2</c:v>
                </c:pt>
                <c:pt idx="1150">
                  <c:v>3.0680113410745946E-2</c:v>
                </c:pt>
                <c:pt idx="1151">
                  <c:v>3.0670360708580091E-2</c:v>
                </c:pt>
                <c:pt idx="1152">
                  <c:v>3.0660451157400459E-2</c:v>
                </c:pt>
                <c:pt idx="1153">
                  <c:v>3.065038475720705E-2</c:v>
                </c:pt>
                <c:pt idx="1154">
                  <c:v>3.06401615080798E-2</c:v>
                </c:pt>
                <c:pt idx="1155">
                  <c:v>3.0629781409858836E-2</c:v>
                </c:pt>
                <c:pt idx="1156">
                  <c:v>3.0619244462624096E-2</c:v>
                </c:pt>
                <c:pt idx="1157">
                  <c:v>3.0608550666615386E-2</c:v>
                </c:pt>
                <c:pt idx="1158">
                  <c:v>3.0597700021512964E-2</c:v>
                </c:pt>
                <c:pt idx="1159">
                  <c:v>3.0586692527556636E-2</c:v>
                </c:pt>
                <c:pt idx="1160">
                  <c:v>3.0575528184586531E-2</c:v>
                </c:pt>
                <c:pt idx="1161">
                  <c:v>3.0564206992842458E-2</c:v>
                </c:pt>
                <c:pt idx="1162">
                  <c:v>3.0552728952084607E-2</c:v>
                </c:pt>
                <c:pt idx="1163">
                  <c:v>3.0541094062472851E-2</c:v>
                </c:pt>
                <c:pt idx="1164">
                  <c:v>3.052930232400719E-2</c:v>
                </c:pt>
                <c:pt idx="1165">
                  <c:v>3.0517353736767561E-2</c:v>
                </c:pt>
                <c:pt idx="1166">
                  <c:v>3.0505248300674026E-2</c:v>
                </c:pt>
                <c:pt idx="1167">
                  <c:v>3.0492986015726586E-2</c:v>
                </c:pt>
                <c:pt idx="1168">
                  <c:v>3.0480566882005178E-2</c:v>
                </c:pt>
                <c:pt idx="1169">
                  <c:v>3.0467990899429864E-2</c:v>
                </c:pt>
                <c:pt idx="1170">
                  <c:v>3.045453434779688E-2</c:v>
                </c:pt>
                <c:pt idx="1171">
                  <c:v>3.0441229462816466E-2</c:v>
                </c:pt>
                <c:pt idx="1172">
                  <c:v>3.0428135906710452E-2</c:v>
                </c:pt>
                <c:pt idx="1173">
                  <c:v>3.0414885476384157E-2</c:v>
                </c:pt>
                <c:pt idx="1174">
                  <c:v>3.0401478171810936E-2</c:v>
                </c:pt>
                <c:pt idx="1175">
                  <c:v>3.0387913993124016E-2</c:v>
                </c:pt>
                <c:pt idx="1176">
                  <c:v>3.0374192940350042E-2</c:v>
                </c:pt>
                <c:pt idx="1177">
                  <c:v>3.0360315013489014E-2</c:v>
                </c:pt>
                <c:pt idx="1178">
                  <c:v>3.0346280212647514E-2</c:v>
                </c:pt>
                <c:pt idx="1179">
                  <c:v>3.0332088537852187E-2</c:v>
                </c:pt>
                <c:pt idx="1180">
                  <c:v>3.0317739989182968E-2</c:v>
                </c:pt>
                <c:pt idx="1181">
                  <c:v>3.0303234566719794E-2</c:v>
                </c:pt>
                <c:pt idx="1182">
                  <c:v>3.0288572270436021E-2</c:v>
                </c:pt>
                <c:pt idx="1183">
                  <c:v>3.0264810671027931E-2</c:v>
                </c:pt>
                <c:pt idx="1184">
                  <c:v>3.0258777056859643E-2</c:v>
                </c:pt>
                <c:pt idx="1185">
                  <c:v>3.0243644139620329E-2</c:v>
                </c:pt>
                <c:pt idx="1186">
                  <c:v>3.0228354348906805E-2</c:v>
                </c:pt>
                <c:pt idx="1187">
                  <c:v>3.021290768466578E-2</c:v>
                </c:pt>
                <c:pt idx="1188">
                  <c:v>3.0197304147030479E-2</c:v>
                </c:pt>
                <c:pt idx="1189">
                  <c:v>3.0181543736000904E-2</c:v>
                </c:pt>
                <c:pt idx="1190">
                  <c:v>3.0165626451736927E-2</c:v>
                </c:pt>
                <c:pt idx="1191">
                  <c:v>3.0149552294211901E-2</c:v>
                </c:pt>
                <c:pt idx="1192">
                  <c:v>3.0133321263532409E-2</c:v>
                </c:pt>
                <c:pt idx="1193">
                  <c:v>3.0116991343209776E-2</c:v>
                </c:pt>
                <c:pt idx="1194">
                  <c:v>3.010068224108764E-2</c:v>
                </c:pt>
                <c:pt idx="1195">
                  <c:v>3.0084399568437448E-2</c:v>
                </c:pt>
                <c:pt idx="1196">
                  <c:v>3.0068143325232555E-2</c:v>
                </c:pt>
                <c:pt idx="1197">
                  <c:v>3.0051913511526251E-2</c:v>
                </c:pt>
                <c:pt idx="1198">
                  <c:v>3.0035710127238602E-2</c:v>
                </c:pt>
                <c:pt idx="1199">
                  <c:v>3.0019533172396251E-2</c:v>
                </c:pt>
                <c:pt idx="1200">
                  <c:v>3.0003382646972554E-2</c:v>
                </c:pt>
                <c:pt idx="1201">
                  <c:v>2.9987258550994156E-2</c:v>
                </c:pt>
                <c:pt idx="1202">
                  <c:v>2.9971160884381121E-2</c:v>
                </c:pt>
                <c:pt idx="1203">
                  <c:v>2.9955089647160094E-2</c:v>
                </c:pt>
                <c:pt idx="1204">
                  <c:v>2.993904483935772E-2</c:v>
                </c:pt>
                <c:pt idx="1205">
                  <c:v>2.9923026460947355E-2</c:v>
                </c:pt>
                <c:pt idx="1206">
                  <c:v>2.9907034511849062E-2</c:v>
                </c:pt>
                <c:pt idx="1207">
                  <c:v>2.9891068992116132E-2</c:v>
                </c:pt>
                <c:pt idx="1208">
                  <c:v>2.987512990172192E-2</c:v>
                </c:pt>
                <c:pt idx="1209">
                  <c:v>2.9859217240666425E-2</c:v>
                </c:pt>
                <c:pt idx="1210">
                  <c:v>2.9843331008923002E-2</c:v>
                </c:pt>
                <c:pt idx="1211">
                  <c:v>2.9827471206491651E-2</c:v>
                </c:pt>
                <c:pt idx="1212">
                  <c:v>2.9811637833372373E-2</c:v>
                </c:pt>
                <c:pt idx="1213">
                  <c:v>2.9795830889538522E-2</c:v>
                </c:pt>
                <c:pt idx="1214">
                  <c:v>2.9780050374963452E-2</c:v>
                </c:pt>
                <c:pt idx="1215">
                  <c:v>2.9764296289673808E-2</c:v>
                </c:pt>
                <c:pt idx="1216">
                  <c:v>2.9748568633642947E-2</c:v>
                </c:pt>
                <c:pt idx="1217">
                  <c:v>2.9732867406817576E-2</c:v>
                </c:pt>
                <c:pt idx="1218">
                  <c:v>2.9717192609277632E-2</c:v>
                </c:pt>
                <c:pt idx="1219">
                  <c:v>2.9701544240969824E-2</c:v>
                </c:pt>
                <c:pt idx="1220">
                  <c:v>2.9685922301840861E-2</c:v>
                </c:pt>
                <c:pt idx="1221">
                  <c:v>2.9670326791944035E-2</c:v>
                </c:pt>
                <c:pt idx="1222">
                  <c:v>2.9647982814156038E-2</c:v>
                </c:pt>
                <c:pt idx="1223">
                  <c:v>2.9632339810943265E-2</c:v>
                </c:pt>
                <c:pt idx="1224">
                  <c:v>2.9616833691914479E-2</c:v>
                </c:pt>
                <c:pt idx="1225">
                  <c:v>2.9601353996389079E-2</c:v>
                </c:pt>
                <c:pt idx="1226">
                  <c:v>2.9585900724287129E-2</c:v>
                </c:pt>
                <c:pt idx="1227">
                  <c:v>2.9570473875688563E-2</c:v>
                </c:pt>
                <c:pt idx="1228">
                  <c:v>2.9555073450513447E-2</c:v>
                </c:pt>
                <c:pt idx="1229">
                  <c:v>2.9539699448921652E-2</c:v>
                </c:pt>
                <c:pt idx="1230">
                  <c:v>2.9524351870673371E-2</c:v>
                </c:pt>
                <c:pt idx="1231">
                  <c:v>2.9509030715928475E-2</c:v>
                </c:pt>
                <c:pt idx="1232">
                  <c:v>2.9493735984607028E-2</c:v>
                </c:pt>
                <c:pt idx="1233">
                  <c:v>2.9478467676788966E-2</c:v>
                </c:pt>
                <c:pt idx="1234">
                  <c:v>2.9463225792394354E-2</c:v>
                </c:pt>
                <c:pt idx="1235">
                  <c:v>2.9448010331423191E-2</c:v>
                </c:pt>
                <c:pt idx="1236">
                  <c:v>2.9432821293955413E-2</c:v>
                </c:pt>
                <c:pt idx="1237">
                  <c:v>2.9417658679831149E-2</c:v>
                </c:pt>
                <c:pt idx="1238">
                  <c:v>2.9398202716670596E-2</c:v>
                </c:pt>
                <c:pt idx="1239">
                  <c:v>2.9387412722092776E-2</c:v>
                </c:pt>
                <c:pt idx="1240">
                  <c:v>2.9372329378318796E-2</c:v>
                </c:pt>
                <c:pt idx="1241">
                  <c:v>2.9357272457968264E-2</c:v>
                </c:pt>
                <c:pt idx="1242">
                  <c:v>2.9342241961041182E-2</c:v>
                </c:pt>
                <c:pt idx="1243">
                  <c:v>2.9327237887537549E-2</c:v>
                </c:pt>
                <c:pt idx="1244">
                  <c:v>2.9312260237457366E-2</c:v>
                </c:pt>
                <c:pt idx="1245">
                  <c:v>2.9297309010880568E-2</c:v>
                </c:pt>
                <c:pt idx="1246">
                  <c:v>2.9282384207567347E-2</c:v>
                </c:pt>
                <c:pt idx="1247">
                  <c:v>2.9267485827757511E-2</c:v>
                </c:pt>
                <c:pt idx="1248">
                  <c:v>2.9252613871291189E-2</c:v>
                </c:pt>
                <c:pt idx="1249">
                  <c:v>2.9237768338248316E-2</c:v>
                </c:pt>
                <c:pt idx="1250">
                  <c:v>2.9222949228628892E-2</c:v>
                </c:pt>
                <c:pt idx="1251">
                  <c:v>2.9208156542352981E-2</c:v>
                </c:pt>
                <c:pt idx="1252">
                  <c:v>2.919339027950052E-2</c:v>
                </c:pt>
                <c:pt idx="1253">
                  <c:v>2.9178650439991571E-2</c:v>
                </c:pt>
                <c:pt idx="1254">
                  <c:v>2.9163937023986009E-2</c:v>
                </c:pt>
                <c:pt idx="1255">
                  <c:v>2.9149250031244023E-2</c:v>
                </c:pt>
                <c:pt idx="1256">
                  <c:v>2.9134589461925486E-2</c:v>
                </c:pt>
                <c:pt idx="1257">
                  <c:v>2.9119955315950463E-2</c:v>
                </c:pt>
                <c:pt idx="1258">
                  <c:v>2.9105347593318953E-2</c:v>
                </c:pt>
                <c:pt idx="1259">
                  <c:v>2.9090766294110892E-2</c:v>
                </c:pt>
                <c:pt idx="1260">
                  <c:v>2.9076211418246345E-2</c:v>
                </c:pt>
                <c:pt idx="1261">
                  <c:v>2.9061682965805247E-2</c:v>
                </c:pt>
                <c:pt idx="1262">
                  <c:v>2.904718093654779E-2</c:v>
                </c:pt>
                <c:pt idx="1263">
                  <c:v>2.9032705330873654E-2</c:v>
                </c:pt>
                <c:pt idx="1264">
                  <c:v>2.9018256148463095E-2</c:v>
                </c:pt>
                <c:pt idx="1265">
                  <c:v>2.900383338939605E-2</c:v>
                </c:pt>
                <c:pt idx="1266">
                  <c:v>2.8989437053592582E-2</c:v>
                </c:pt>
                <c:pt idx="1267">
                  <c:v>2.8975067141212563E-2</c:v>
                </c:pt>
                <c:pt idx="1268">
                  <c:v>2.8960723652176057E-2</c:v>
                </c:pt>
                <c:pt idx="1269">
                  <c:v>2.8946406586483064E-2</c:v>
                </c:pt>
                <c:pt idx="1270">
                  <c:v>2.8932115944053649E-2</c:v>
                </c:pt>
                <c:pt idx="1271">
                  <c:v>2.8917851725047683E-2</c:v>
                </c:pt>
                <c:pt idx="1272">
                  <c:v>2.8903613929305294E-2</c:v>
                </c:pt>
                <c:pt idx="1273">
                  <c:v>2.8889402556906418E-2</c:v>
                </c:pt>
                <c:pt idx="1274">
                  <c:v>2.8873339262731612E-2</c:v>
                </c:pt>
                <c:pt idx="1275">
                  <c:v>2.8859038592523589E-2</c:v>
                </c:pt>
                <c:pt idx="1276">
                  <c:v>2.8844910264815837E-2</c:v>
                </c:pt>
                <c:pt idx="1277">
                  <c:v>2.8830808360451599E-2</c:v>
                </c:pt>
                <c:pt idx="1278">
                  <c:v>2.8816732879350937E-2</c:v>
                </c:pt>
                <c:pt idx="1279">
                  <c:v>2.8802683821593789E-2</c:v>
                </c:pt>
                <c:pt idx="1280">
                  <c:v>2.8788661187100217E-2</c:v>
                </c:pt>
                <c:pt idx="1281">
                  <c:v>2.8774664975870223E-2</c:v>
                </c:pt>
                <c:pt idx="1282">
                  <c:v>2.8760695187983742E-2</c:v>
                </c:pt>
                <c:pt idx="1283">
                  <c:v>2.8746751823360839E-2</c:v>
                </c:pt>
                <c:pt idx="1284">
                  <c:v>2.8732834882161384E-2</c:v>
                </c:pt>
                <c:pt idx="1285">
                  <c:v>2.8718944364145571E-2</c:v>
                </c:pt>
                <c:pt idx="1286">
                  <c:v>2.8705080269393335E-2</c:v>
                </c:pt>
                <c:pt idx="1287">
                  <c:v>2.8691242597904676E-2</c:v>
                </c:pt>
                <c:pt idx="1288">
                  <c:v>2.867743134975953E-2</c:v>
                </c:pt>
                <c:pt idx="1289">
                  <c:v>2.8659712856766717E-2</c:v>
                </c:pt>
                <c:pt idx="1290">
                  <c:v>2.864596200454983E-2</c:v>
                </c:pt>
                <c:pt idx="1291">
                  <c:v>2.8630598016947673E-2</c:v>
                </c:pt>
                <c:pt idx="1292">
                  <c:v>2.8618539570066659E-2</c:v>
                </c:pt>
                <c:pt idx="1293">
                  <c:v>2.8604867987720439E-2</c:v>
                </c:pt>
                <c:pt idx="1294">
                  <c:v>2.8591222828717733E-2</c:v>
                </c:pt>
                <c:pt idx="1295">
                  <c:v>2.8577604092898667E-2</c:v>
                </c:pt>
                <c:pt idx="1296">
                  <c:v>2.8564011780263243E-2</c:v>
                </c:pt>
                <c:pt idx="1297">
                  <c:v>2.8550445890971332E-2</c:v>
                </c:pt>
                <c:pt idx="1298">
                  <c:v>2.8536906424863062E-2</c:v>
                </c:pt>
                <c:pt idx="1299">
                  <c:v>2.8523393382018369E-2</c:v>
                </c:pt>
                <c:pt idx="1300">
                  <c:v>2.8509906762437254E-2</c:v>
                </c:pt>
                <c:pt idx="1301">
                  <c:v>2.8496446566039779E-2</c:v>
                </c:pt>
                <c:pt idx="1302">
                  <c:v>2.8483012792985818E-2</c:v>
                </c:pt>
                <c:pt idx="1303">
                  <c:v>2.8469605443035562E-2</c:v>
                </c:pt>
                <c:pt idx="1304">
                  <c:v>2.8456224516348883E-2</c:v>
                </c:pt>
                <c:pt idx="1305">
                  <c:v>2.8442870013005717E-2</c:v>
                </c:pt>
                <c:pt idx="1306">
                  <c:v>2.842954193268632E-2</c:v>
                </c:pt>
                <c:pt idx="1307">
                  <c:v>2.8416240275790372E-2</c:v>
                </c:pt>
                <c:pt idx="1308">
                  <c:v>2.8402965041918193E-2</c:v>
                </c:pt>
                <c:pt idx="1309">
                  <c:v>2.8389716231309592E-2</c:v>
                </c:pt>
                <c:pt idx="1310">
                  <c:v>2.8376493843964568E-2</c:v>
                </c:pt>
                <c:pt idx="1311">
                  <c:v>2.8363297879803184E-2</c:v>
                </c:pt>
                <c:pt idx="1312">
                  <c:v>2.8350128338905378E-2</c:v>
                </c:pt>
                <c:pt idx="1313">
                  <c:v>2.8336985221111277E-2</c:v>
                </c:pt>
                <c:pt idx="1314">
                  <c:v>2.8323868526580753E-2</c:v>
                </c:pt>
                <c:pt idx="1315">
                  <c:v>2.831077825523387E-2</c:v>
                </c:pt>
                <c:pt idx="1316">
                  <c:v>2.8297714407070629E-2</c:v>
                </c:pt>
                <c:pt idx="1317">
                  <c:v>2.8284676982091028E-2</c:v>
                </c:pt>
                <c:pt idx="1318">
                  <c:v>2.8271665980215133E-2</c:v>
                </c:pt>
                <c:pt idx="1319">
                  <c:v>2.825868140168275E-2</c:v>
                </c:pt>
                <c:pt idx="1320">
                  <c:v>2.8245723246254073E-2</c:v>
                </c:pt>
                <c:pt idx="1321">
                  <c:v>2.8232791514009037E-2</c:v>
                </c:pt>
                <c:pt idx="1322">
                  <c:v>2.8219886204947642E-2</c:v>
                </c:pt>
                <c:pt idx="1323">
                  <c:v>2.8207007318989952E-2</c:v>
                </c:pt>
                <c:pt idx="1324">
                  <c:v>2.8194154856295839E-2</c:v>
                </c:pt>
                <c:pt idx="1325">
                  <c:v>2.8174011514741082E-2</c:v>
                </c:pt>
                <c:pt idx="1326">
                  <c:v>2.816708075839891E-2</c:v>
                </c:pt>
                <c:pt idx="1327">
                  <c:v>2.8155756007075539E-2</c:v>
                </c:pt>
                <c:pt idx="1328">
                  <c:v>2.8143009237036054E-2</c:v>
                </c:pt>
                <c:pt idx="1329">
                  <c:v>2.8130288890100275E-2</c:v>
                </c:pt>
                <c:pt idx="1330">
                  <c:v>2.8117594966348136E-2</c:v>
                </c:pt>
                <c:pt idx="1331">
                  <c:v>2.8104927465699703E-2</c:v>
                </c:pt>
                <c:pt idx="1332">
                  <c:v>2.8092286388234911E-2</c:v>
                </c:pt>
                <c:pt idx="1333">
                  <c:v>2.8079671733873823E-2</c:v>
                </c:pt>
                <c:pt idx="1334">
                  <c:v>2.8067083502856249E-2</c:v>
                </c:pt>
                <c:pt idx="1335">
                  <c:v>2.8054521694622636E-2</c:v>
                </c:pt>
                <c:pt idx="1336">
                  <c:v>2.8041986309812472E-2</c:v>
                </c:pt>
                <c:pt idx="1337">
                  <c:v>2.8029477347946141E-2</c:v>
                </c:pt>
                <c:pt idx="1338">
                  <c:v>2.8017793837435079E-2</c:v>
                </c:pt>
                <c:pt idx="1339">
                  <c:v>2.8004538693924275E-2</c:v>
                </c:pt>
                <c:pt idx="1340">
                  <c:v>2.7992109001528931E-2</c:v>
                </c:pt>
                <c:pt idx="1341">
                  <c:v>2.7979705732237292E-2</c:v>
                </c:pt>
                <c:pt idx="1342">
                  <c:v>2.7967328886049359E-2</c:v>
                </c:pt>
                <c:pt idx="1343">
                  <c:v>2.7954978463045066E-2</c:v>
                </c:pt>
                <c:pt idx="1344">
                  <c:v>2.7942654463144478E-2</c:v>
                </c:pt>
                <c:pt idx="1345">
                  <c:v>2.7930356886347596E-2</c:v>
                </c:pt>
                <c:pt idx="1346">
                  <c:v>2.7918085732574482E-2</c:v>
                </c:pt>
                <c:pt idx="1347">
                  <c:v>2.7905841002064946E-2</c:v>
                </c:pt>
                <c:pt idx="1348">
                  <c:v>2.7893622694499243E-2</c:v>
                </c:pt>
                <c:pt idx="1349">
                  <c:v>2.788143081011718E-2</c:v>
                </c:pt>
                <c:pt idx="1350">
                  <c:v>2.7869265348918759E-2</c:v>
                </c:pt>
                <c:pt idx="1351">
                  <c:v>2.7857126310664171E-2</c:v>
                </c:pt>
                <c:pt idx="1352">
                  <c:v>2.7845013695593224E-2</c:v>
                </c:pt>
                <c:pt idx="1353">
                  <c:v>2.7832927503546046E-2</c:v>
                </c:pt>
                <c:pt idx="1354">
                  <c:v>2.7820867734762444E-2</c:v>
                </c:pt>
                <c:pt idx="1355">
                  <c:v>2.7808834388762804E-2</c:v>
                </c:pt>
                <c:pt idx="1356">
                  <c:v>2.7796827466106677E-2</c:v>
                </c:pt>
                <c:pt idx="1357">
                  <c:v>2.7784846966394383E-2</c:v>
                </c:pt>
                <c:pt idx="1358">
                  <c:v>2.7772892889785794E-2</c:v>
                </c:pt>
                <c:pt idx="1359">
                  <c:v>2.776096523628091E-2</c:v>
                </c:pt>
                <c:pt idx="1360">
                  <c:v>2.7749064005879731E-2</c:v>
                </c:pt>
                <c:pt idx="1361">
                  <c:v>2.7737189198502321E-2</c:v>
                </c:pt>
                <c:pt idx="1362">
                  <c:v>2.7725340814068744E-2</c:v>
                </c:pt>
                <c:pt idx="1363">
                  <c:v>2.7713518852898744E-2</c:v>
                </c:pt>
                <c:pt idx="1364">
                  <c:v>2.7701723314672577E-2</c:v>
                </c:pt>
                <c:pt idx="1365">
                  <c:v>2.7689954199550115E-2</c:v>
                </c:pt>
                <c:pt idx="1366">
                  <c:v>2.7678211507531358E-2</c:v>
                </c:pt>
                <c:pt idx="1367">
                  <c:v>2.7666495238456434E-2</c:v>
                </c:pt>
                <c:pt idx="1368">
                  <c:v>2.7654805392485216E-2</c:v>
                </c:pt>
                <c:pt idx="1369">
                  <c:v>2.7643141969537766E-2</c:v>
                </c:pt>
                <c:pt idx="1370">
                  <c:v>2.7631504969694021E-2</c:v>
                </c:pt>
                <c:pt idx="1371">
                  <c:v>2.7619894392794109E-2</c:v>
                </c:pt>
                <c:pt idx="1372">
                  <c:v>2.7608310239077838E-2</c:v>
                </c:pt>
                <c:pt idx="1373">
                  <c:v>2.7596752508225464E-2</c:v>
                </c:pt>
                <c:pt idx="1374">
                  <c:v>2.7585221200636667E-2</c:v>
                </c:pt>
                <c:pt idx="1375">
                  <c:v>2.7573716315831831E-2</c:v>
                </c:pt>
                <c:pt idx="1376">
                  <c:v>2.7562237854210636E-2</c:v>
                </c:pt>
                <c:pt idx="1377">
                  <c:v>2.755078581561321E-2</c:v>
                </c:pt>
                <c:pt idx="1378">
                  <c:v>2.7539360200039553E-2</c:v>
                </c:pt>
                <c:pt idx="1379">
                  <c:v>2.7527961007409729E-2</c:v>
                </c:pt>
                <c:pt idx="1380">
                  <c:v>2.7516588237803674E-2</c:v>
                </c:pt>
                <c:pt idx="1381">
                  <c:v>2.7505241891301324E-2</c:v>
                </c:pt>
                <c:pt idx="1382">
                  <c:v>2.7493921967742807E-2</c:v>
                </c:pt>
                <c:pt idx="1383">
                  <c:v>2.7482628467367931E-2</c:v>
                </c:pt>
                <c:pt idx="1384">
                  <c:v>2.7471361389777016E-2</c:v>
                </c:pt>
                <c:pt idx="1385">
                  <c:v>2.7460120735289806E-2</c:v>
                </c:pt>
                <c:pt idx="1386">
                  <c:v>2.7448906503826365E-2</c:v>
                </c:pt>
                <c:pt idx="1387">
                  <c:v>2.7437718695306756E-2</c:v>
                </c:pt>
                <c:pt idx="1388">
                  <c:v>2.7426557309810917E-2</c:v>
                </c:pt>
                <c:pt idx="1389">
                  <c:v>2.7415422347258911E-2</c:v>
                </c:pt>
                <c:pt idx="1390">
                  <c:v>2.740431380781061E-2</c:v>
                </c:pt>
                <c:pt idx="1391">
                  <c:v>2.7393231691306141E-2</c:v>
                </c:pt>
                <c:pt idx="1392">
                  <c:v>2.7382175997825442E-2</c:v>
                </c:pt>
                <c:pt idx="1393">
                  <c:v>2.7372162368571651E-2</c:v>
                </c:pt>
                <c:pt idx="1394">
                  <c:v>2.7360143879775478E-2</c:v>
                </c:pt>
                <c:pt idx="1395">
                  <c:v>2.7349167455206214E-2</c:v>
                </c:pt>
                <c:pt idx="1396">
                  <c:v>2.7338217453660718E-2</c:v>
                </c:pt>
                <c:pt idx="1397">
                  <c:v>2.7327293874979119E-2</c:v>
                </c:pt>
                <c:pt idx="1398">
                  <c:v>2.7316396719401226E-2</c:v>
                </c:pt>
                <c:pt idx="1399">
                  <c:v>2.7305525986847101E-2</c:v>
                </c:pt>
                <c:pt idx="1400">
                  <c:v>2.7294681677156873E-2</c:v>
                </c:pt>
                <c:pt idx="1401">
                  <c:v>2.7283863790410479E-2</c:v>
                </c:pt>
                <c:pt idx="1402">
                  <c:v>2.7273072326687853E-2</c:v>
                </c:pt>
                <c:pt idx="1403">
                  <c:v>2.726230728590906E-2</c:v>
                </c:pt>
                <c:pt idx="1404">
                  <c:v>2.72515686680741E-2</c:v>
                </c:pt>
                <c:pt idx="1405">
                  <c:v>2.7240856473182973E-2</c:v>
                </c:pt>
                <c:pt idx="1406">
                  <c:v>2.7230170701395551E-2</c:v>
                </c:pt>
                <c:pt idx="1407">
                  <c:v>2.721951135239209E-2</c:v>
                </c:pt>
                <c:pt idx="1408">
                  <c:v>2.7208878426412397E-2</c:v>
                </c:pt>
                <c:pt idx="1409">
                  <c:v>2.7198271923376538E-2</c:v>
                </c:pt>
                <c:pt idx="1410">
                  <c:v>2.7187691843364448E-2</c:v>
                </c:pt>
                <c:pt idx="1411">
                  <c:v>2.7177138186136318E-2</c:v>
                </c:pt>
                <c:pt idx="1412">
                  <c:v>2.7166610952011894E-2</c:v>
                </c:pt>
                <c:pt idx="1413">
                  <c:v>2.715611014067143E-2</c:v>
                </c:pt>
                <c:pt idx="1414">
                  <c:v>2.7145635752354735E-2</c:v>
                </c:pt>
                <c:pt idx="1415">
                  <c:v>2.7135187786981874E-2</c:v>
                </c:pt>
                <c:pt idx="1416">
                  <c:v>2.7124766244552845E-2</c:v>
                </c:pt>
                <c:pt idx="1417">
                  <c:v>2.7114371125067649E-2</c:v>
                </c:pt>
                <c:pt idx="1418">
                  <c:v>2.710400242844635E-2</c:v>
                </c:pt>
                <c:pt idx="1419">
                  <c:v>2.709366015484882E-2</c:v>
                </c:pt>
                <c:pt idx="1420">
                  <c:v>2.7083344304035251E-2</c:v>
                </c:pt>
                <c:pt idx="1421">
                  <c:v>2.707305487624545E-2</c:v>
                </c:pt>
                <c:pt idx="1422">
                  <c:v>2.7062791871319547E-2</c:v>
                </c:pt>
                <c:pt idx="1423">
                  <c:v>2.7052555289337477E-2</c:v>
                </c:pt>
                <c:pt idx="1424">
                  <c:v>2.7042345130299239E-2</c:v>
                </c:pt>
                <c:pt idx="1425">
                  <c:v>2.7032161394204834E-2</c:v>
                </c:pt>
                <c:pt idx="1426">
                  <c:v>2.7022004080894391E-2</c:v>
                </c:pt>
                <c:pt idx="1427">
                  <c:v>2.7011873190607716E-2</c:v>
                </c:pt>
                <c:pt idx="1428">
                  <c:v>2.7001768723184938E-2</c:v>
                </c:pt>
                <c:pt idx="1429">
                  <c:v>2.6991690678626057E-2</c:v>
                </c:pt>
                <c:pt idx="1430">
                  <c:v>2.6981639057090945E-2</c:v>
                </c:pt>
                <c:pt idx="1431">
                  <c:v>2.6971613858339794E-2</c:v>
                </c:pt>
                <c:pt idx="1432">
                  <c:v>2.6961615082532475E-2</c:v>
                </c:pt>
                <c:pt idx="1433">
                  <c:v>2.6951642729589054E-2</c:v>
                </c:pt>
                <c:pt idx="1434">
                  <c:v>2.6941696799589465E-2</c:v>
                </c:pt>
                <c:pt idx="1435">
                  <c:v>2.6931777292453773E-2</c:v>
                </c:pt>
                <c:pt idx="1436">
                  <c:v>2.6921884208181979E-2</c:v>
                </c:pt>
                <c:pt idx="1437">
                  <c:v>2.6912017546854017E-2</c:v>
                </c:pt>
                <c:pt idx="1438">
                  <c:v>2.6902177308310016E-2</c:v>
                </c:pt>
                <c:pt idx="1439">
                  <c:v>2.6892363492789784E-2</c:v>
                </c:pt>
                <c:pt idx="1440">
                  <c:v>2.6882576100053512E-2</c:v>
                </c:pt>
                <c:pt idx="1441">
                  <c:v>2.6872815130181138E-2</c:v>
                </c:pt>
                <c:pt idx="1442">
                  <c:v>2.686308058317266E-2</c:v>
                </c:pt>
                <c:pt idx="1443">
                  <c:v>2.6853372459187952E-2</c:v>
                </c:pt>
                <c:pt idx="1444">
                  <c:v>2.6844932668002031E-2</c:v>
                </c:pt>
                <c:pt idx="1445">
                  <c:v>2.6834035479650353E-2</c:v>
                </c:pt>
                <c:pt idx="1446">
                  <c:v>2.6824406624177399E-2</c:v>
                </c:pt>
                <c:pt idx="1447">
                  <c:v>2.6814804191568342E-2</c:v>
                </c:pt>
                <c:pt idx="1448">
                  <c:v>2.6805228181823182E-2</c:v>
                </c:pt>
                <c:pt idx="1449">
                  <c:v>2.6795678594861982E-2</c:v>
                </c:pt>
                <c:pt idx="1450">
                  <c:v>2.6786155430924552E-2</c:v>
                </c:pt>
                <c:pt idx="1451">
                  <c:v>2.6776658689691146E-2</c:v>
                </c:pt>
                <c:pt idx="1452">
                  <c:v>2.6767188371401573E-2</c:v>
                </c:pt>
                <c:pt idx="1453">
                  <c:v>2.6757740674696606E-2</c:v>
                </c:pt>
                <c:pt idx="1454">
                  <c:v>2.6748292997735845E-2</c:v>
                </c:pt>
                <c:pt idx="1455">
                  <c:v>2.6738841539319935E-2</c:v>
                </c:pt>
                <c:pt idx="1456">
                  <c:v>2.6729386299448876E-2</c:v>
                </c:pt>
                <c:pt idx="1457">
                  <c:v>2.6719927278122668E-2</c:v>
                </c:pt>
                <c:pt idx="1458">
                  <c:v>2.6710464475181439E-2</c:v>
                </c:pt>
                <c:pt idx="1459">
                  <c:v>2.6700997890944933E-2</c:v>
                </c:pt>
                <c:pt idx="1460">
                  <c:v>2.6691527525093406E-2</c:v>
                </c:pt>
                <c:pt idx="1461">
                  <c:v>2.6682053377866666E-2</c:v>
                </c:pt>
                <c:pt idx="1462">
                  <c:v>2.6672575449024905E-2</c:v>
                </c:pt>
                <c:pt idx="1463">
                  <c:v>2.666309373880793E-2</c:v>
                </c:pt>
                <c:pt idx="1464">
                  <c:v>2.6653608247055871E-2</c:v>
                </c:pt>
                <c:pt idx="1465">
                  <c:v>2.6644118973848663E-2</c:v>
                </c:pt>
                <c:pt idx="1466">
                  <c:v>2.6634625919266242E-2</c:v>
                </c:pt>
                <c:pt idx="1467">
                  <c:v>2.6625129083068799E-2</c:v>
                </c:pt>
                <c:pt idx="1468">
                  <c:v>2.6615628465496144E-2</c:v>
                </c:pt>
                <c:pt idx="1469">
                  <c:v>2.6606124066388404E-2</c:v>
                </c:pt>
                <c:pt idx="1470">
                  <c:v>2.6596615885825514E-2</c:v>
                </c:pt>
                <c:pt idx="1471">
                  <c:v>2.6587103923807476E-2</c:v>
                </c:pt>
                <c:pt idx="1472">
                  <c:v>2.6577588180254352E-2</c:v>
                </c:pt>
                <c:pt idx="1473">
                  <c:v>2.6568068655326016E-2</c:v>
                </c:pt>
                <c:pt idx="1474">
                  <c:v>2.6558545348862594E-2</c:v>
                </c:pt>
                <c:pt idx="1475">
                  <c:v>2.6549018260944024E-2</c:v>
                </c:pt>
                <c:pt idx="1476">
                  <c:v>2.6539487391490368E-2</c:v>
                </c:pt>
                <c:pt idx="1477">
                  <c:v>2.65299527406615E-2</c:v>
                </c:pt>
                <c:pt idx="1478">
                  <c:v>2.6520414308297546E-2</c:v>
                </c:pt>
                <c:pt idx="1479">
                  <c:v>2.6510872094398508E-2</c:v>
                </c:pt>
                <c:pt idx="1480">
                  <c:v>2.6501326099204192E-2</c:v>
                </c:pt>
                <c:pt idx="1481">
                  <c:v>2.6491776322474792E-2</c:v>
                </c:pt>
                <c:pt idx="1482">
                  <c:v>2.6481731321723601E-2</c:v>
                </c:pt>
                <c:pt idx="1483">
                  <c:v>2.6471880354002053E-2</c:v>
                </c:pt>
                <c:pt idx="1484">
                  <c:v>2.6462316746442838E-2</c:v>
                </c:pt>
                <c:pt idx="1485">
                  <c:v>2.6452749357348537E-2</c:v>
                </c:pt>
                <c:pt idx="1486">
                  <c:v>2.6443178186745797E-2</c:v>
                </c:pt>
                <c:pt idx="1487">
                  <c:v>2.6433603234661263E-2</c:v>
                </c:pt>
                <c:pt idx="1488">
                  <c:v>2.6424024500988352E-2</c:v>
                </c:pt>
                <c:pt idx="1489">
                  <c:v>2.6414441985886938E-2</c:v>
                </c:pt>
                <c:pt idx="1490">
                  <c:v>2.6404855689223794E-2</c:v>
                </c:pt>
                <c:pt idx="1491">
                  <c:v>2.6395265611078855E-2</c:v>
                </c:pt>
                <c:pt idx="1492">
                  <c:v>2.6385671751398831E-2</c:v>
                </c:pt>
                <c:pt idx="1493">
                  <c:v>2.6376074110183723E-2</c:v>
                </c:pt>
                <c:pt idx="1494">
                  <c:v>2.6360426412805893E-2</c:v>
                </c:pt>
                <c:pt idx="1495">
                  <c:v>2.6356867483308122E-2</c:v>
                </c:pt>
                <c:pt idx="1496">
                  <c:v>2.6347258497594339E-2</c:v>
                </c:pt>
                <c:pt idx="1497">
                  <c:v>2.6337645730372117E-2</c:v>
                </c:pt>
                <c:pt idx="1498">
                  <c:v>2.6328029181641455E-2</c:v>
                </c:pt>
                <c:pt idx="1499">
                  <c:v>2.6318408851455644E-2</c:v>
                </c:pt>
                <c:pt idx="1500">
                  <c:v>2.6308784739681457E-2</c:v>
                </c:pt>
                <c:pt idx="1501">
                  <c:v>2.6299156846478766E-2</c:v>
                </c:pt>
                <c:pt idx="1502">
                  <c:v>2.6289525171714345E-2</c:v>
                </c:pt>
                <c:pt idx="1503">
                  <c:v>2.6279889715494775E-2</c:v>
                </c:pt>
                <c:pt idx="1504">
                  <c:v>2.627025047774012E-2</c:v>
                </c:pt>
                <c:pt idx="1505">
                  <c:v>2.6260607458503671E-2</c:v>
                </c:pt>
                <c:pt idx="1506">
                  <c:v>2.6250960657758782E-2</c:v>
                </c:pt>
                <c:pt idx="1507">
                  <c:v>2.6241310075558744E-2</c:v>
                </c:pt>
                <c:pt idx="1508">
                  <c:v>2.623165571182362E-2</c:v>
                </c:pt>
                <c:pt idx="1509">
                  <c:v>2.6221997566606703E-2</c:v>
                </c:pt>
                <c:pt idx="1510">
                  <c:v>2.62123356398547E-2</c:v>
                </c:pt>
                <c:pt idx="1511">
                  <c:v>2.6202669931647549E-2</c:v>
                </c:pt>
                <c:pt idx="1512">
                  <c:v>2.6193000441985248E-2</c:v>
                </c:pt>
                <c:pt idx="1513">
                  <c:v>2.6183327170761217E-2</c:v>
                </c:pt>
                <c:pt idx="1514">
                  <c:v>2.6173650118055392E-2</c:v>
                </c:pt>
                <c:pt idx="1515">
                  <c:v>2.6163969283894417E-2</c:v>
                </c:pt>
                <c:pt idx="1516">
                  <c:v>2.6154284668225003E-2</c:v>
                </c:pt>
                <c:pt idx="1517">
                  <c:v>2.6144596271073794E-2</c:v>
                </c:pt>
                <c:pt idx="1518">
                  <c:v>2.6134904092440792E-2</c:v>
                </c:pt>
                <c:pt idx="1519">
                  <c:v>2.6125208132272704E-2</c:v>
                </c:pt>
                <c:pt idx="1520">
                  <c:v>2.6115508390676112E-2</c:v>
                </c:pt>
                <c:pt idx="1521">
                  <c:v>2.6105804867597726E-2</c:v>
                </c:pt>
                <c:pt idx="1522">
                  <c:v>2.6096097562984255E-2</c:v>
                </c:pt>
                <c:pt idx="1523">
                  <c:v>2.6086386476915635E-2</c:v>
                </c:pt>
                <c:pt idx="1524">
                  <c:v>2.6076671609365221E-2</c:v>
                </c:pt>
                <c:pt idx="1525">
                  <c:v>2.6066952960359657E-2</c:v>
                </c:pt>
                <c:pt idx="1526">
                  <c:v>2.6057230529845654E-2</c:v>
                </c:pt>
                <c:pt idx="1527">
                  <c:v>2.6047504317876502E-2</c:v>
                </c:pt>
                <c:pt idx="1528">
                  <c:v>2.6037774324372265E-2</c:v>
                </c:pt>
                <c:pt idx="1529">
                  <c:v>2.6028040549412879E-2</c:v>
                </c:pt>
                <c:pt idx="1530">
                  <c:v>2.6018302992998343E-2</c:v>
                </c:pt>
                <c:pt idx="1531">
                  <c:v>2.6008561655102014E-2</c:v>
                </c:pt>
                <c:pt idx="1532">
                  <c:v>2.5998816535750535E-2</c:v>
                </c:pt>
                <c:pt idx="1533">
                  <c:v>2.5989067634890617E-2</c:v>
                </c:pt>
                <c:pt idx="1534">
                  <c:v>2.5974893897413587E-2</c:v>
                </c:pt>
                <c:pt idx="1535">
                  <c:v>2.5964897503021334E-2</c:v>
                </c:pt>
                <c:pt idx="1536">
                  <c:v>2.5955137584947607E-2</c:v>
                </c:pt>
                <c:pt idx="1537">
                  <c:v>2.5945373885578604E-2</c:v>
                </c:pt>
                <c:pt idx="1538">
                  <c:v>2.5935606404514644E-2</c:v>
                </c:pt>
                <c:pt idx="1539">
                  <c:v>2.5925835142235343E-2</c:v>
                </c:pt>
                <c:pt idx="1540">
                  <c:v>2.5916060098420957E-2</c:v>
                </c:pt>
                <c:pt idx="1541">
                  <c:v>2.5906281273071485E-2</c:v>
                </c:pt>
                <c:pt idx="1542">
                  <c:v>2.5896498666346801E-2</c:v>
                </c:pt>
                <c:pt idx="1543">
                  <c:v>2.5886712278087032E-2</c:v>
                </c:pt>
                <c:pt idx="1544">
                  <c:v>2.587692210845205E-2</c:v>
                </c:pt>
                <c:pt idx="1545">
                  <c:v>2.5867128157361918E-2</c:v>
                </c:pt>
                <c:pt idx="1546">
                  <c:v>2.5857330424736702E-2</c:v>
                </c:pt>
                <c:pt idx="1547">
                  <c:v>2.5847528910736273E-2</c:v>
                </c:pt>
                <c:pt idx="1548">
                  <c:v>2.5837723615280694E-2</c:v>
                </c:pt>
                <c:pt idx="1549">
                  <c:v>2.5825111250368238E-2</c:v>
                </c:pt>
                <c:pt idx="1550">
                  <c:v>2.5818101680084027E-2</c:v>
                </c:pt>
                <c:pt idx="1551">
                  <c:v>2.5808285040342938E-2</c:v>
                </c:pt>
                <c:pt idx="1552">
                  <c:v>2.5797061392971443E-2</c:v>
                </c:pt>
                <c:pt idx="1553">
                  <c:v>2.5787236650032241E-2</c:v>
                </c:pt>
                <c:pt idx="1554">
                  <c:v>2.5777408125717827E-2</c:v>
                </c:pt>
                <c:pt idx="1555">
                  <c:v>2.5767575819868327E-2</c:v>
                </c:pt>
                <c:pt idx="1556">
                  <c:v>2.575773973272355E-2</c:v>
                </c:pt>
                <c:pt idx="1557">
                  <c:v>2.5747899863963752E-2</c:v>
                </c:pt>
                <c:pt idx="1558">
                  <c:v>2.5738056213908678E-2</c:v>
                </c:pt>
                <c:pt idx="1559">
                  <c:v>2.5728208782238582E-2</c:v>
                </c:pt>
                <c:pt idx="1560">
                  <c:v>2.5718357569113337E-2</c:v>
                </c:pt>
                <c:pt idx="1561">
                  <c:v>2.5708502574612879E-2</c:v>
                </c:pt>
                <c:pt idx="1562">
                  <c:v>2.5698643798737208E-2</c:v>
                </c:pt>
                <c:pt idx="1563">
                  <c:v>2.5688781241326453E-2</c:v>
                </c:pt>
                <c:pt idx="1564">
                  <c:v>2.5678914902460548E-2</c:v>
                </c:pt>
                <c:pt idx="1565">
                  <c:v>2.566904478221943E-2</c:v>
                </c:pt>
                <c:pt idx="1566">
                  <c:v>2.5659170880523163E-2</c:v>
                </c:pt>
                <c:pt idx="1567">
                  <c:v>2.5649293197451684E-2</c:v>
                </c:pt>
                <c:pt idx="1568">
                  <c:v>2.5639411732765183E-2</c:v>
                </c:pt>
                <c:pt idx="1569">
                  <c:v>2.5629526486703469E-2</c:v>
                </c:pt>
                <c:pt idx="1570">
                  <c:v>2.5619637459266542E-2</c:v>
                </c:pt>
                <c:pt idx="1571">
                  <c:v>2.5609744650374466E-2</c:v>
                </c:pt>
                <c:pt idx="1572">
                  <c:v>2.5599848059947306E-2</c:v>
                </c:pt>
                <c:pt idx="1573">
                  <c:v>2.5589947688064996E-2</c:v>
                </c:pt>
                <c:pt idx="1574">
                  <c:v>2.5580043534887409E-2</c:v>
                </c:pt>
                <c:pt idx="1575">
                  <c:v>2.5570135600094801E-2</c:v>
                </c:pt>
                <c:pt idx="1576">
                  <c:v>2.5560223884086852E-2</c:v>
                </c:pt>
                <c:pt idx="1577">
                  <c:v>2.5550308386463882E-2</c:v>
                </c:pt>
                <c:pt idx="1578">
                  <c:v>2.5540389107385764E-2</c:v>
                </c:pt>
                <c:pt idx="1579">
                  <c:v>2.5530466046932432E-2</c:v>
                </c:pt>
                <c:pt idx="1580">
                  <c:v>2.5520539204944015E-2</c:v>
                </c:pt>
                <c:pt idx="1581">
                  <c:v>2.5510608581660321E-2</c:v>
                </c:pt>
                <c:pt idx="1582">
                  <c:v>2.5500674176841542E-2</c:v>
                </c:pt>
                <c:pt idx="1583">
                  <c:v>2.5490735990567615E-2</c:v>
                </c:pt>
                <c:pt idx="1584">
                  <c:v>2.548079402299841E-2</c:v>
                </c:pt>
                <c:pt idx="1585">
                  <c:v>2.547084827389412E-2</c:v>
                </c:pt>
                <c:pt idx="1586">
                  <c:v>2.5459666406022485E-2</c:v>
                </c:pt>
                <c:pt idx="1587">
                  <c:v>2.5449523220890669E-2</c:v>
                </c:pt>
                <c:pt idx="1588">
                  <c:v>2.5439565587292989E-2</c:v>
                </c:pt>
                <c:pt idx="1589">
                  <c:v>2.5429604172240161E-2</c:v>
                </c:pt>
                <c:pt idx="1590">
                  <c:v>2.541963897581212E-2</c:v>
                </c:pt>
                <c:pt idx="1591">
                  <c:v>2.5409669997769058E-2</c:v>
                </c:pt>
                <c:pt idx="1592">
                  <c:v>2.5399697238350782E-2</c:v>
                </c:pt>
                <c:pt idx="1593">
                  <c:v>2.5389720697557294E-2</c:v>
                </c:pt>
                <c:pt idx="1594">
                  <c:v>2.5379740375308657E-2</c:v>
                </c:pt>
                <c:pt idx="1595">
                  <c:v>2.5369756271604871E-2</c:v>
                </c:pt>
                <c:pt idx="1596">
                  <c:v>2.5359768386525872E-2</c:v>
                </c:pt>
                <c:pt idx="1597">
                  <c:v>2.5349776719991723E-2</c:v>
                </c:pt>
                <c:pt idx="1598">
                  <c:v>2.5339781272002426E-2</c:v>
                </c:pt>
                <c:pt idx="1599">
                  <c:v>2.532978204255798E-2</c:v>
                </c:pt>
                <c:pt idx="1600">
                  <c:v>2.5318349721468181E-2</c:v>
                </c:pt>
                <c:pt idx="1601">
                  <c:v>2.5308342388985494E-2</c:v>
                </c:pt>
                <c:pt idx="1602">
                  <c:v>2.5298331275047659E-2</c:v>
                </c:pt>
                <c:pt idx="1603">
                  <c:v>2.5288834041807817E-2</c:v>
                </c:pt>
                <c:pt idx="1604">
                  <c:v>2.5278297702886476E-2</c:v>
                </c:pt>
                <c:pt idx="1605">
                  <c:v>2.526827524466313E-2</c:v>
                </c:pt>
                <c:pt idx="1606">
                  <c:v>2.525824900506457E-2</c:v>
                </c:pt>
                <c:pt idx="1607">
                  <c:v>2.5248218983930926E-2</c:v>
                </c:pt>
                <c:pt idx="1608">
                  <c:v>2.5238185181342132E-2</c:v>
                </c:pt>
                <c:pt idx="1609">
                  <c:v>2.5228147597378126E-2</c:v>
                </c:pt>
                <c:pt idx="1610">
                  <c:v>2.5218106232038906E-2</c:v>
                </c:pt>
                <c:pt idx="1611">
                  <c:v>2.5208061085164601E-2</c:v>
                </c:pt>
                <c:pt idx="1612">
                  <c:v>2.5198012156915084E-2</c:v>
                </c:pt>
                <c:pt idx="1613">
                  <c:v>2.5187959447370289E-2</c:v>
                </c:pt>
                <c:pt idx="1614">
                  <c:v>2.5177902956130538E-2</c:v>
                </c:pt>
                <c:pt idx="1615">
                  <c:v>2.5167842683675445E-2</c:v>
                </c:pt>
                <c:pt idx="1616">
                  <c:v>2.5157778629685268E-2</c:v>
                </c:pt>
                <c:pt idx="1617">
                  <c:v>2.5147710794239941E-2</c:v>
                </c:pt>
                <c:pt idx="1618">
                  <c:v>2.5137639177419402E-2</c:v>
                </c:pt>
                <c:pt idx="1619">
                  <c:v>2.5127563779223649E-2</c:v>
                </c:pt>
                <c:pt idx="1620">
                  <c:v>2.5117484599572748E-2</c:v>
                </c:pt>
                <c:pt idx="1621">
                  <c:v>2.5107401638466698E-2</c:v>
                </c:pt>
                <c:pt idx="1622">
                  <c:v>2.5097314895905498E-2</c:v>
                </c:pt>
                <c:pt idx="1623">
                  <c:v>2.5087224371969086E-2</c:v>
                </c:pt>
                <c:pt idx="1624">
                  <c:v>2.5077130066577524E-2</c:v>
                </c:pt>
                <c:pt idx="1625">
                  <c:v>2.506703197981075E-2</c:v>
                </c:pt>
                <c:pt idx="1626">
                  <c:v>2.505693011150889E-2</c:v>
                </c:pt>
                <c:pt idx="1627">
                  <c:v>2.5046824461831818E-2</c:v>
                </c:pt>
                <c:pt idx="1628">
                  <c:v>2.5036715030859469E-2</c:v>
                </c:pt>
                <c:pt idx="1629">
                  <c:v>2.5026601818192162E-2</c:v>
                </c:pt>
                <c:pt idx="1630">
                  <c:v>2.5016484824309515E-2</c:v>
                </c:pt>
                <c:pt idx="1631">
                  <c:v>2.5006364049051655E-2</c:v>
                </c:pt>
                <c:pt idx="1632">
                  <c:v>2.4996239492098837E-2</c:v>
                </c:pt>
                <c:pt idx="1633">
                  <c:v>2.4986111153930679E-2</c:v>
                </c:pt>
                <c:pt idx="1634">
                  <c:v>2.4975979034387308E-2</c:v>
                </c:pt>
                <c:pt idx="1635">
                  <c:v>2.4965843133308852E-2</c:v>
                </c:pt>
                <c:pt idx="1636">
                  <c:v>2.4955703450775246E-2</c:v>
                </c:pt>
                <c:pt idx="1637">
                  <c:v>2.4945978352408638E-2</c:v>
                </c:pt>
                <c:pt idx="1638">
                  <c:v>2.4935828187719888E-2</c:v>
                </c:pt>
                <c:pt idx="1639">
                  <c:v>2.4925261714843217E-2</c:v>
                </c:pt>
                <c:pt idx="1640">
                  <c:v>2.4915106906648887E-2</c:v>
                </c:pt>
                <c:pt idx="1641">
                  <c:v>2.4904948317079345E-2</c:v>
                </c:pt>
                <c:pt idx="1642">
                  <c:v>2.489478594613459E-2</c:v>
                </c:pt>
                <c:pt idx="1643">
                  <c:v>2.488461979365475E-2</c:v>
                </c:pt>
                <c:pt idx="1644">
                  <c:v>2.4874449859799697E-2</c:v>
                </c:pt>
                <c:pt idx="1645">
                  <c:v>2.4864276144489494E-2</c:v>
                </c:pt>
                <c:pt idx="1646">
                  <c:v>2.4854098647804079E-2</c:v>
                </c:pt>
                <c:pt idx="1647">
                  <c:v>2.4843917369663515E-2</c:v>
                </c:pt>
                <c:pt idx="1648">
                  <c:v>2.4833732310227674E-2</c:v>
                </c:pt>
                <c:pt idx="1649">
                  <c:v>2.4823543469256748E-2</c:v>
                </c:pt>
                <c:pt idx="1650">
                  <c:v>2.4813350846910609E-2</c:v>
                </c:pt>
                <c:pt idx="1651">
                  <c:v>2.4803154443109321E-2</c:v>
                </c:pt>
                <c:pt idx="1652">
                  <c:v>2.479295425793282E-2</c:v>
                </c:pt>
                <c:pt idx="1653">
                  <c:v>2.4782750291381106E-2</c:v>
                </c:pt>
                <c:pt idx="1654">
                  <c:v>2.4773034030753038E-2</c:v>
                </c:pt>
                <c:pt idx="1655">
                  <c:v>2.4762331013832295E-2</c:v>
                </c:pt>
                <c:pt idx="1656">
                  <c:v>2.475211570299507E-2</c:v>
                </c:pt>
                <c:pt idx="1657">
                  <c:v>2.4741896610702696E-2</c:v>
                </c:pt>
                <c:pt idx="1658">
                  <c:v>2.4731673736955173E-2</c:v>
                </c:pt>
                <c:pt idx="1659">
                  <c:v>2.4721447081912373E-2</c:v>
                </c:pt>
                <c:pt idx="1660">
                  <c:v>2.4711216645414424E-2</c:v>
                </c:pt>
                <c:pt idx="1661">
                  <c:v>2.4700982427461327E-2</c:v>
                </c:pt>
                <c:pt idx="1662">
                  <c:v>2.4690744428212952E-2</c:v>
                </c:pt>
                <c:pt idx="1663">
                  <c:v>2.468050264726962E-2</c:v>
                </c:pt>
                <c:pt idx="1664">
                  <c:v>2.4670257085110947E-2</c:v>
                </c:pt>
                <c:pt idx="1665">
                  <c:v>2.4660007741577061E-2</c:v>
                </c:pt>
                <c:pt idx="1666">
                  <c:v>2.4649754616508091E-2</c:v>
                </c:pt>
                <c:pt idx="1667">
                  <c:v>2.4639497710143843E-2</c:v>
                </c:pt>
                <c:pt idx="1668">
                  <c:v>2.462923702224451E-2</c:v>
                </c:pt>
                <c:pt idx="1669">
                  <c:v>2.4618972553129836E-2</c:v>
                </c:pt>
                <c:pt idx="1670">
                  <c:v>2.4608704302400142E-2</c:v>
                </c:pt>
                <c:pt idx="1671">
                  <c:v>2.459843227037517E-2</c:v>
                </c:pt>
                <c:pt idx="1672">
                  <c:v>2.4588156456815113E-2</c:v>
                </c:pt>
                <c:pt idx="1673">
                  <c:v>2.457787686195978E-2</c:v>
                </c:pt>
                <c:pt idx="1674">
                  <c:v>2.4567593485649297E-2</c:v>
                </c:pt>
                <c:pt idx="1675">
                  <c:v>2.4557306327883666E-2</c:v>
                </c:pt>
                <c:pt idx="1676">
                  <c:v>2.4547015388822757E-2</c:v>
                </c:pt>
                <c:pt idx="1677">
                  <c:v>2.45367206683067E-2</c:v>
                </c:pt>
                <c:pt idx="1678">
                  <c:v>2.4526422166415429E-2</c:v>
                </c:pt>
                <c:pt idx="1679">
                  <c:v>2.451611988306901E-2</c:v>
                </c:pt>
                <c:pt idx="1680">
                  <c:v>2.4505813818267441E-2</c:v>
                </c:pt>
                <c:pt idx="1681">
                  <c:v>2.449550397209066E-2</c:v>
                </c:pt>
                <c:pt idx="1682">
                  <c:v>2.4485190344538665E-2</c:v>
                </c:pt>
                <c:pt idx="1683">
                  <c:v>2.4474872935531522E-2</c:v>
                </c:pt>
                <c:pt idx="1684">
                  <c:v>2.4464551745149166E-2</c:v>
                </c:pt>
                <c:pt idx="1685">
                  <c:v>2.445422677331166E-2</c:v>
                </c:pt>
                <c:pt idx="1686">
                  <c:v>2.4443898020178878E-2</c:v>
                </c:pt>
                <c:pt idx="1687">
                  <c:v>2.4433565485511011E-2</c:v>
                </c:pt>
                <c:pt idx="1688">
                  <c:v>2.4423229169627803E-2</c:v>
                </c:pt>
                <c:pt idx="1689">
                  <c:v>2.4412889072129573E-2</c:v>
                </c:pt>
                <c:pt idx="1690">
                  <c:v>2.4402545193336067E-2</c:v>
                </c:pt>
                <c:pt idx="1691">
                  <c:v>2.4392197533167348E-2</c:v>
                </c:pt>
                <c:pt idx="1692">
                  <c:v>2.4381846091463544E-2</c:v>
                </c:pt>
                <c:pt idx="1693">
                  <c:v>2.4371490868464463E-2</c:v>
                </c:pt>
                <c:pt idx="1694">
                  <c:v>2.4361131863930297E-2</c:v>
                </c:pt>
                <c:pt idx="1695">
                  <c:v>2.435076907818079E-2</c:v>
                </c:pt>
                <c:pt idx="1696">
                  <c:v>2.4340402510896197E-2</c:v>
                </c:pt>
                <c:pt idx="1697">
                  <c:v>2.4330032162236392E-2</c:v>
                </c:pt>
                <c:pt idx="1698">
                  <c:v>2.4319658032201374E-2</c:v>
                </c:pt>
                <c:pt idx="1699">
                  <c:v>2.4309280120711207E-2</c:v>
                </c:pt>
                <c:pt idx="1700">
                  <c:v>2.4298898427845828E-2</c:v>
                </c:pt>
                <c:pt idx="1701">
                  <c:v>2.4288512953605235E-2</c:v>
                </c:pt>
                <c:pt idx="1702">
                  <c:v>2.4278123697989429E-2</c:v>
                </c:pt>
                <c:pt idx="1703">
                  <c:v>2.4267730660918474E-2</c:v>
                </c:pt>
                <c:pt idx="1704">
                  <c:v>2.4257630960850207E-2</c:v>
                </c:pt>
                <c:pt idx="1705">
                  <c:v>2.4246933242570989E-2</c:v>
                </c:pt>
                <c:pt idx="1706">
                  <c:v>2.4236528861374396E-2</c:v>
                </c:pt>
                <c:pt idx="1707">
                  <c:v>2.4226120698642717E-2</c:v>
                </c:pt>
                <c:pt idx="1708">
                  <c:v>2.4215708754615761E-2</c:v>
                </c:pt>
                <c:pt idx="1709">
                  <c:v>2.4205293029213593E-2</c:v>
                </c:pt>
                <c:pt idx="1710">
                  <c:v>2.4194873522276339E-2</c:v>
                </c:pt>
                <c:pt idx="1711">
                  <c:v>2.4184450234043808E-2</c:v>
                </c:pt>
                <c:pt idx="1712">
                  <c:v>2.4174023164356129E-2</c:v>
                </c:pt>
                <c:pt idx="1713">
                  <c:v>2.4163615050465381E-2</c:v>
                </c:pt>
                <c:pt idx="1714">
                  <c:v>2.4153255611558677E-2</c:v>
                </c:pt>
                <c:pt idx="1715">
                  <c:v>2.414294502661285E-2</c:v>
                </c:pt>
                <c:pt idx="1716">
                  <c:v>2.4132683295867707E-2</c:v>
                </c:pt>
                <c:pt idx="1717">
                  <c:v>2.4122470419083442E-2</c:v>
                </c:pt>
                <c:pt idx="1718">
                  <c:v>2.4112306396419925E-2</c:v>
                </c:pt>
                <c:pt idx="1719">
                  <c:v>2.4102191227717285E-2</c:v>
                </c:pt>
                <c:pt idx="1720">
                  <c:v>2.4092124913135393E-2</c:v>
                </c:pt>
                <c:pt idx="1721">
                  <c:v>2.4082107452594315E-2</c:v>
                </c:pt>
                <c:pt idx="1722">
                  <c:v>2.4072138846094049E-2</c:v>
                </c:pt>
                <c:pt idx="1723">
                  <c:v>2.4062219093474724E-2</c:v>
                </c:pt>
                <c:pt idx="1724">
                  <c:v>2.4052348195056084E-2</c:v>
                </c:pt>
                <c:pt idx="1725">
                  <c:v>2.4042526150678256E-2</c:v>
                </c:pt>
                <c:pt idx="1726">
                  <c:v>2.4032752960101433E-2</c:v>
                </c:pt>
                <c:pt idx="1727">
                  <c:v>2.4023028623725295E-2</c:v>
                </c:pt>
                <c:pt idx="1728">
                  <c:v>2.4013353141230098E-2</c:v>
                </c:pt>
                <c:pt idx="1729">
                  <c:v>2.4003726512775714E-2</c:v>
                </c:pt>
                <c:pt idx="1730">
                  <c:v>2.3994148738442078E-2</c:v>
                </c:pt>
                <c:pt idx="1731">
                  <c:v>2.3984619817909447E-2</c:v>
                </c:pt>
                <c:pt idx="1732">
                  <c:v>2.3975139751577501E-2</c:v>
                </c:pt>
                <c:pt idx="1733">
                  <c:v>2.3965708539126496E-2</c:v>
                </c:pt>
                <c:pt idx="1734">
                  <c:v>2.3956326180636367E-2</c:v>
                </c:pt>
                <c:pt idx="1735">
                  <c:v>2.3946992676107115E-2</c:v>
                </c:pt>
                <c:pt idx="1736">
                  <c:v>2.3937708025778548E-2</c:v>
                </c:pt>
                <c:pt idx="1737">
                  <c:v>2.3928472229171049E-2</c:v>
                </c:pt>
                <c:pt idx="1738">
                  <c:v>2.3919285286764236E-2</c:v>
                </c:pt>
                <c:pt idx="1739">
                  <c:v>2.3910147198078491E-2</c:v>
                </c:pt>
                <c:pt idx="1740">
                  <c:v>2.3901057963513495E-2</c:v>
                </c:pt>
                <c:pt idx="1741">
                  <c:v>2.3892017582829439E-2</c:v>
                </c:pt>
                <c:pt idx="1742">
                  <c:v>2.388302605610626E-2</c:v>
                </c:pt>
                <c:pt idx="1743">
                  <c:v>2.3874083383343958E-2</c:v>
                </c:pt>
                <c:pt idx="1744">
                  <c:v>2.3865189564542533E-2</c:v>
                </c:pt>
                <c:pt idx="1745">
                  <c:v>2.385634459978192E-2</c:v>
                </c:pt>
                <c:pt idx="1746">
                  <c:v>2.3847548488742376E-2</c:v>
                </c:pt>
                <c:pt idx="1747">
                  <c:v>2.3838801231903517E-2</c:v>
                </c:pt>
                <c:pt idx="1748">
                  <c:v>2.3830102828785726E-2</c:v>
                </c:pt>
                <c:pt idx="1749">
                  <c:v>2.3821453279628813E-2</c:v>
                </c:pt>
                <c:pt idx="1750">
                  <c:v>2.3812852584512711E-2</c:v>
                </c:pt>
                <c:pt idx="1751">
                  <c:v>2.3804300743277551E-2</c:v>
                </c:pt>
                <c:pt idx="1752">
                  <c:v>2.3795797755923331E-2</c:v>
                </c:pt>
                <c:pt idx="1753">
                  <c:v>2.3787343622450052E-2</c:v>
                </c:pt>
                <c:pt idx="1754">
                  <c:v>2.3778938343017586E-2</c:v>
                </c:pt>
                <c:pt idx="1755">
                  <c:v>2.3771343030974279E-2</c:v>
                </c:pt>
                <c:pt idx="1756">
                  <c:v>2.3762274345795475E-2</c:v>
                </c:pt>
                <c:pt idx="1757">
                  <c:v>2.3754015627925895E-2</c:v>
                </c:pt>
                <c:pt idx="1758">
                  <c:v>2.3745805764097128E-2</c:v>
                </c:pt>
                <c:pt idx="1759">
                  <c:v>2.3737644754149301E-2</c:v>
                </c:pt>
                <c:pt idx="1760">
                  <c:v>2.3728788015553448E-2</c:v>
                </c:pt>
                <c:pt idx="1761">
                  <c:v>2.372073761073068E-2</c:v>
                </c:pt>
                <c:pt idx="1762">
                  <c:v>2.3712736066556772E-2</c:v>
                </c:pt>
                <c:pt idx="1763">
                  <c:v>2.370478338305837E-2</c:v>
                </c:pt>
                <c:pt idx="1764">
                  <c:v>2.3696879560208828E-2</c:v>
                </c:pt>
                <c:pt idx="1765">
                  <c:v>2.3689024598008146E-2</c:v>
                </c:pt>
                <c:pt idx="1766">
                  <c:v>2.368121849648297E-2</c:v>
                </c:pt>
                <c:pt idx="1767">
                  <c:v>2.3673461255553363E-2</c:v>
                </c:pt>
                <c:pt idx="1768">
                  <c:v>2.3665752875272617E-2</c:v>
                </c:pt>
                <c:pt idx="1769">
                  <c:v>2.3658093355614085E-2</c:v>
                </c:pt>
                <c:pt idx="1770">
                  <c:v>2.3650482696551123E-2</c:v>
                </c:pt>
                <c:pt idx="1771">
                  <c:v>2.364292089808373E-2</c:v>
                </c:pt>
                <c:pt idx="1772">
                  <c:v>2.3635407960185262E-2</c:v>
                </c:pt>
                <c:pt idx="1773">
                  <c:v>2.3627943882882363E-2</c:v>
                </c:pt>
                <c:pt idx="1774">
                  <c:v>2.3620528666148388E-2</c:v>
                </c:pt>
                <c:pt idx="1775">
                  <c:v>2.3613162309983338E-2</c:v>
                </c:pt>
                <c:pt idx="1776">
                  <c:v>2.3605844814333921E-2</c:v>
                </c:pt>
                <c:pt idx="1777">
                  <c:v>2.3598576179253428E-2</c:v>
                </c:pt>
                <c:pt idx="1778">
                  <c:v>2.3591356404715214E-2</c:v>
                </c:pt>
                <c:pt idx="1779">
                  <c:v>2.3584185490665988E-2</c:v>
                </c:pt>
                <c:pt idx="1780">
                  <c:v>2.357706343715904E-2</c:v>
                </c:pt>
                <c:pt idx="1781">
                  <c:v>2.3569990244167727E-2</c:v>
                </c:pt>
                <c:pt idx="1782">
                  <c:v>2.3562965911638756E-2</c:v>
                </c:pt>
                <c:pt idx="1783">
                  <c:v>2.3555990439625418E-2</c:v>
                </c:pt>
                <c:pt idx="1784">
                  <c:v>2.3549063828074424E-2</c:v>
                </c:pt>
                <c:pt idx="1785">
                  <c:v>2.3542186077012417E-2</c:v>
                </c:pt>
                <c:pt idx="1786">
                  <c:v>2.3535357186386108E-2</c:v>
                </c:pt>
                <c:pt idx="1787">
                  <c:v>2.3528577156222141E-2</c:v>
                </c:pt>
                <c:pt idx="1788">
                  <c:v>2.3521845986547163E-2</c:v>
                </c:pt>
                <c:pt idx="1789">
                  <c:v>2.3515163677281237E-2</c:v>
                </c:pt>
                <c:pt idx="1790">
                  <c:v>2.3508530228424362E-2</c:v>
                </c:pt>
                <c:pt idx="1791">
                  <c:v>2.3501945640003186E-2</c:v>
                </c:pt>
                <c:pt idx="1792">
                  <c:v>2.3495409912017706E-2</c:v>
                </c:pt>
                <c:pt idx="1793">
                  <c:v>2.3488923044414634E-2</c:v>
                </c:pt>
                <c:pt idx="1794">
                  <c:v>2.3479431727189137E-2</c:v>
                </c:pt>
                <c:pt idx="1795">
                  <c:v>2.3472748556612189E-2</c:v>
                </c:pt>
                <c:pt idx="1796">
                  <c:v>2.3466423055049646E-2</c:v>
                </c:pt>
                <c:pt idx="1797">
                  <c:v>2.3460146407368043E-2</c:v>
                </c:pt>
                <c:pt idx="1798">
                  <c:v>2.3453918613407509E-2</c:v>
                </c:pt>
                <c:pt idx="1799">
                  <c:v>2.3447739673168044E-2</c:v>
                </c:pt>
                <c:pt idx="1800">
                  <c:v>2.3441609586729584E-2</c:v>
                </c:pt>
                <c:pt idx="1801">
                  <c:v>2.3435528354172064E-2</c:v>
                </c:pt>
                <c:pt idx="1802">
                  <c:v>2.3429495975255676E-2</c:v>
                </c:pt>
                <c:pt idx="1803">
                  <c:v>2.342351245022023E-2</c:v>
                </c:pt>
                <c:pt idx="1804">
                  <c:v>2.3417577778825915E-2</c:v>
                </c:pt>
                <c:pt idx="1805">
                  <c:v>2.3411691961232606E-2</c:v>
                </c:pt>
                <c:pt idx="1806">
                  <c:v>2.3405854997360365E-2</c:v>
                </c:pt>
                <c:pt idx="1807">
                  <c:v>2.3400066887369064E-2</c:v>
                </c:pt>
                <c:pt idx="1808">
                  <c:v>2.3394327631018896E-2</c:v>
                </c:pt>
                <c:pt idx="1809">
                  <c:v>2.3388637228549669E-2</c:v>
                </c:pt>
                <c:pt idx="1810">
                  <c:v>2.3381392781827159E-2</c:v>
                </c:pt>
                <c:pt idx="1811">
                  <c:v>2.3377402984694484E-2</c:v>
                </c:pt>
                <c:pt idx="1812">
                  <c:v>2.3371859143468399E-2</c:v>
                </c:pt>
                <c:pt idx="1813">
                  <c:v>2.3366364155883446E-2</c:v>
                </c:pt>
                <c:pt idx="1814">
                  <c:v>2.3360918022099497E-2</c:v>
                </c:pt>
                <c:pt idx="1815">
                  <c:v>2.3355520742036617E-2</c:v>
                </c:pt>
                <c:pt idx="1816">
                  <c:v>2.3350172315694806E-2</c:v>
                </c:pt>
                <c:pt idx="1817">
                  <c:v>2.3344872743074063E-2</c:v>
                </c:pt>
                <c:pt idx="1818">
                  <c:v>2.3339622024254325E-2</c:v>
                </c:pt>
                <c:pt idx="1819">
                  <c:v>2.3334420159075719E-2</c:v>
                </c:pt>
                <c:pt idx="1820">
                  <c:v>2.3329267147618182E-2</c:v>
                </c:pt>
                <c:pt idx="1821">
                  <c:v>2.332416298996165E-2</c:v>
                </c:pt>
                <c:pt idx="1822">
                  <c:v>2.331910768594625E-2</c:v>
                </c:pt>
                <c:pt idx="1823">
                  <c:v>2.3314101235891727E-2</c:v>
                </c:pt>
                <c:pt idx="1824">
                  <c:v>2.3309143639318464E-2</c:v>
                </c:pt>
                <c:pt idx="1825">
                  <c:v>2.3304234896546205E-2</c:v>
                </c:pt>
                <c:pt idx="1826">
                  <c:v>2.3299375007495016E-2</c:v>
                </c:pt>
                <c:pt idx="1827">
                  <c:v>2.3294563972084958E-2</c:v>
                </c:pt>
                <c:pt idx="1828">
                  <c:v>2.328980179039597E-2</c:v>
                </c:pt>
                <c:pt idx="1829">
                  <c:v>2.3285088462507986E-2</c:v>
                </c:pt>
                <c:pt idx="1830">
                  <c:v>2.3280423988261134E-2</c:v>
                </c:pt>
                <c:pt idx="1831">
                  <c:v>2.3275808367735351E-2</c:v>
                </c:pt>
                <c:pt idx="1832">
                  <c:v>2.3271241601010573E-2</c:v>
                </c:pt>
                <c:pt idx="1833">
                  <c:v>2.3266723687846991E-2</c:v>
                </c:pt>
                <c:pt idx="1834">
                  <c:v>2.3262254628484413E-2</c:v>
                </c:pt>
                <c:pt idx="1835">
                  <c:v>2.3257834422842905E-2</c:v>
                </c:pt>
                <c:pt idx="1836">
                  <c:v>2.3253463070682656E-2</c:v>
                </c:pt>
                <c:pt idx="1837">
                  <c:v>2.3249140572403348E-2</c:v>
                </c:pt>
                <c:pt idx="1838">
                  <c:v>2.3244866927765173E-2</c:v>
                </c:pt>
                <c:pt idx="1839">
                  <c:v>2.3240642136848066E-2</c:v>
                </c:pt>
                <c:pt idx="1840">
                  <c:v>2.3236466199731964E-2</c:v>
                </c:pt>
                <c:pt idx="1841">
                  <c:v>2.3232339116177059E-2</c:v>
                </c:pt>
                <c:pt idx="1842">
                  <c:v>2.3228260886263286E-2</c:v>
                </c:pt>
                <c:pt idx="1843">
                  <c:v>2.3224231510150517E-2</c:v>
                </c:pt>
                <c:pt idx="1844">
                  <c:v>2.3220250987678881E-2</c:v>
                </c:pt>
                <c:pt idx="1845">
                  <c:v>2.3216319318768441E-2</c:v>
                </c:pt>
                <c:pt idx="1846">
                  <c:v>2.3212359256490345E-2</c:v>
                </c:pt>
                <c:pt idx="1847">
                  <c:v>2.3208058821522215E-2</c:v>
                </c:pt>
                <c:pt idx="1848">
                  <c:v>2.3204280692912249E-2</c:v>
                </c:pt>
                <c:pt idx="1849">
                  <c:v>2.320055141786348E-2</c:v>
                </c:pt>
                <c:pt idx="1850">
                  <c:v>2.3196870996615715E-2</c:v>
                </c:pt>
                <c:pt idx="1851">
                  <c:v>2.3193239428929147E-2</c:v>
                </c:pt>
                <c:pt idx="1852">
                  <c:v>2.3189656714963647E-2</c:v>
                </c:pt>
                <c:pt idx="1853">
                  <c:v>2.3186122854719216E-2</c:v>
                </c:pt>
                <c:pt idx="1854">
                  <c:v>2.3182637848035981E-2</c:v>
                </c:pt>
                <c:pt idx="1855">
                  <c:v>2.3179201694993878E-2</c:v>
                </c:pt>
                <c:pt idx="1856">
                  <c:v>2.3175814395752781E-2</c:v>
                </c:pt>
                <c:pt idx="1857">
                  <c:v>2.3172475950152815E-2</c:v>
                </c:pt>
                <c:pt idx="1858">
                  <c:v>2.3169186358193983E-2</c:v>
                </c:pt>
                <c:pt idx="1859">
                  <c:v>2.3165945619796346E-2</c:v>
                </c:pt>
                <c:pt idx="1860">
                  <c:v>2.3161850741280077E-2</c:v>
                </c:pt>
                <c:pt idx="1861">
                  <c:v>2.3158721668439242E-2</c:v>
                </c:pt>
                <c:pt idx="1862">
                  <c:v>2.3155641449239539E-2</c:v>
                </c:pt>
                <c:pt idx="1863">
                  <c:v>2.3153242215920855E-2</c:v>
                </c:pt>
                <c:pt idx="1864">
                  <c:v>2.314962757200334E-2</c:v>
                </c:pt>
                <c:pt idx="1865">
                  <c:v>2.3146693913886907E-2</c:v>
                </c:pt>
                <c:pt idx="1866">
                  <c:v>2.3143809109251734E-2</c:v>
                </c:pt>
                <c:pt idx="1867">
                  <c:v>2.3140973158497502E-2</c:v>
                </c:pt>
                <c:pt idx="1868">
                  <c:v>2.313818606122453E-2</c:v>
                </c:pt>
                <c:pt idx="1869">
                  <c:v>2.3135447817592691E-2</c:v>
                </c:pt>
                <c:pt idx="1870">
                  <c:v>2.3132758427681921E-2</c:v>
                </c:pt>
                <c:pt idx="1871">
                  <c:v>2.3130117891412283E-2</c:v>
                </c:pt>
                <c:pt idx="1872">
                  <c:v>2.3127526208783777E-2</c:v>
                </c:pt>
                <c:pt idx="1873">
                  <c:v>2.3124983379796404E-2</c:v>
                </c:pt>
                <c:pt idx="1874">
                  <c:v>2.31224894045301E-2</c:v>
                </c:pt>
                <c:pt idx="1875">
                  <c:v>2.3120044282824992E-2</c:v>
                </c:pt>
                <c:pt idx="1876">
                  <c:v>2.3117648014761016E-2</c:v>
                </c:pt>
                <c:pt idx="1877">
                  <c:v>2.3115300600258237E-2</c:v>
                </c:pt>
                <c:pt idx="1878">
                  <c:v>2.3113002039476527E-2</c:v>
                </c:pt>
                <c:pt idx="1879">
                  <c:v>2.3110752332335949E-2</c:v>
                </c:pt>
                <c:pt idx="1880">
                  <c:v>2.3108551478916439E-2</c:v>
                </c:pt>
                <c:pt idx="1881">
                  <c:v>2.3106399479058126E-2</c:v>
                </c:pt>
                <c:pt idx="1882">
                  <c:v>2.3104296332840946E-2</c:v>
                </c:pt>
                <c:pt idx="1883">
                  <c:v>2.3102242040184962E-2</c:v>
                </c:pt>
                <c:pt idx="1884">
                  <c:v>2.3100236601329982E-2</c:v>
                </c:pt>
                <c:pt idx="1885">
                  <c:v>2.3098280015876327E-2</c:v>
                </c:pt>
                <c:pt idx="1886">
                  <c:v>2.3096372284223676E-2</c:v>
                </c:pt>
                <c:pt idx="1887">
                  <c:v>2.3094513406132222E-2</c:v>
                </c:pt>
                <c:pt idx="1888">
                  <c:v>2.3092703381841773E-2</c:v>
                </c:pt>
                <c:pt idx="1889">
                  <c:v>2.3090942210872711E-2</c:v>
                </c:pt>
                <c:pt idx="1890">
                  <c:v>2.3089229893784591E-2</c:v>
                </c:pt>
                <c:pt idx="1891">
                  <c:v>2.3087566430257667E-2</c:v>
                </c:pt>
                <c:pt idx="1892">
                  <c:v>2.3085951820451811E-2</c:v>
                </c:pt>
                <c:pt idx="1893">
                  <c:v>2.3084386064127216E-2</c:v>
                </c:pt>
                <c:pt idx="1894">
                  <c:v>2.3082869161443753E-2</c:v>
                </c:pt>
                <c:pt idx="1895">
                  <c:v>2.3081401112481359E-2</c:v>
                </c:pt>
                <c:pt idx="1896">
                  <c:v>2.3079981917000225E-2</c:v>
                </c:pt>
                <c:pt idx="1897">
                  <c:v>2.3077850457111637E-2</c:v>
                </c:pt>
                <c:pt idx="1898">
                  <c:v>2.3078401145886218E-2</c:v>
                </c:pt>
                <c:pt idx="1899">
                  <c:v>2.3076017452563491E-2</c:v>
                </c:pt>
                <c:pt idx="1900">
                  <c:v>2.3074793671646887E-2</c:v>
                </c:pt>
                <c:pt idx="1901">
                  <c:v>2.3073618744371416E-2</c:v>
                </c:pt>
                <c:pt idx="1902">
                  <c:v>2.3072492670737077E-2</c:v>
                </c:pt>
                <c:pt idx="1903">
                  <c:v>2.3071415450743871E-2</c:v>
                </c:pt>
                <c:pt idx="1904">
                  <c:v>2.3070387084311861E-2</c:v>
                </c:pt>
                <c:pt idx="1905">
                  <c:v>2.3069407571600919E-2</c:v>
                </c:pt>
                <c:pt idx="1906">
                  <c:v>2.3068476912371239E-2</c:v>
                </c:pt>
                <c:pt idx="1907">
                  <c:v>2.306759510678269E-2</c:v>
                </c:pt>
                <c:pt idx="1908">
                  <c:v>2.3066762154835274E-2</c:v>
                </c:pt>
                <c:pt idx="1909">
                  <c:v>2.3065978056528991E-2</c:v>
                </c:pt>
                <c:pt idx="1910">
                  <c:v>2.3067998435928772E-2</c:v>
                </c:pt>
                <c:pt idx="1911">
                  <c:v>2.3064556420839821E-2</c:v>
                </c:pt>
                <c:pt idx="1912">
                  <c:v>2.3063918883456935E-2</c:v>
                </c:pt>
                <c:pt idx="1913">
                  <c:v>2.306333019955531E-2</c:v>
                </c:pt>
                <c:pt idx="1914">
                  <c:v>2.3062790369454689E-2</c:v>
                </c:pt>
                <c:pt idx="1915">
                  <c:v>2.306441736193543E-2</c:v>
                </c:pt>
                <c:pt idx="1916">
                  <c:v>2.30618572698571E-2</c:v>
                </c:pt>
                <c:pt idx="1917">
                  <c:v>2.3061464000440068E-2</c:v>
                </c:pt>
                <c:pt idx="1918">
                  <c:v>2.3061119584744105E-2</c:v>
                </c:pt>
                <c:pt idx="1919">
                  <c:v>2.3060824022689275E-2</c:v>
                </c:pt>
                <c:pt idx="1920">
                  <c:v>2.306057731419564E-2</c:v>
                </c:pt>
                <c:pt idx="1921">
                  <c:v>2.3060379459263203E-2</c:v>
                </c:pt>
                <c:pt idx="1922">
                  <c:v>2.3060230457971898E-2</c:v>
                </c:pt>
                <c:pt idx="1923">
                  <c:v>2.3060130310401661E-2</c:v>
                </c:pt>
                <c:pt idx="1924">
                  <c:v>2.3060079016312685E-2</c:v>
                </c:pt>
                <c:pt idx="1925">
                  <c:v>2.3060076575864841E-2</c:v>
                </c:pt>
                <c:pt idx="1926">
                  <c:v>2.3060122989138065E-2</c:v>
                </c:pt>
                <c:pt idx="1927">
                  <c:v>2.3060218255892551E-2</c:v>
                </c:pt>
                <c:pt idx="1928">
                  <c:v>2.3060362376527976E-2</c:v>
                </c:pt>
                <c:pt idx="1929">
                  <c:v>2.306055535048479E-2</c:v>
                </c:pt>
                <c:pt idx="1930">
                  <c:v>2.3060797178162673E-2</c:v>
                </c:pt>
                <c:pt idx="1931">
                  <c:v>2.3061087859481688E-2</c:v>
                </c:pt>
                <c:pt idx="1932">
                  <c:v>2.3061427394441836E-2</c:v>
                </c:pt>
                <c:pt idx="1933">
                  <c:v>2.3061815782883244E-2</c:v>
                </c:pt>
                <c:pt idx="1934">
                  <c:v>2.3062253025125656E-2</c:v>
                </c:pt>
                <c:pt idx="1935">
                  <c:v>2.3062739120769393E-2</c:v>
                </c:pt>
                <c:pt idx="1936">
                  <c:v>2.3063274070214135E-2</c:v>
                </c:pt>
                <c:pt idx="1937">
                  <c:v>2.3063857873140137E-2</c:v>
                </c:pt>
                <c:pt idx="1938">
                  <c:v>2.3064490529867143E-2</c:v>
                </c:pt>
                <c:pt idx="1939">
                  <c:v>2.306517204007541E-2</c:v>
                </c:pt>
                <c:pt idx="1940">
                  <c:v>2.306590240392481E-2</c:v>
                </c:pt>
                <c:pt idx="1941">
                  <c:v>2.3066681621415341E-2</c:v>
                </c:pt>
                <c:pt idx="1942">
                  <c:v>2.3067509692547006E-2</c:v>
                </c:pt>
                <c:pt idx="1943">
                  <c:v>2.3068386617239867E-2</c:v>
                </c:pt>
                <c:pt idx="1944">
                  <c:v>2.3069312395653796E-2</c:v>
                </c:pt>
                <c:pt idx="1945">
                  <c:v>2.3070287027548986E-2</c:v>
                </c:pt>
                <c:pt idx="1946">
                  <c:v>2.3071310513165244E-2</c:v>
                </c:pt>
                <c:pt idx="1947">
                  <c:v>2.3072382852342699E-2</c:v>
                </c:pt>
                <c:pt idx="1948">
                  <c:v>2.3073504045241222E-2</c:v>
                </c:pt>
                <c:pt idx="1949">
                  <c:v>2.3077150441785932E-2</c:v>
                </c:pt>
                <c:pt idx="1950">
                  <c:v>2.3078380046923641E-2</c:v>
                </c:pt>
                <c:pt idx="1951">
                  <c:v>2.3077160745463843E-2</c:v>
                </c:pt>
                <c:pt idx="1952">
                  <c:v>2.3078477352767024E-2</c:v>
                </c:pt>
                <c:pt idx="1953">
                  <c:v>2.3079842813711338E-2</c:v>
                </c:pt>
                <c:pt idx="1954">
                  <c:v>2.3081257128296784E-2</c:v>
                </c:pt>
                <c:pt idx="1955">
                  <c:v>2.3082720296523362E-2</c:v>
                </c:pt>
                <c:pt idx="1956">
                  <c:v>2.3084232318391074E-2</c:v>
                </c:pt>
                <c:pt idx="1957">
                  <c:v>2.3085793193819981E-2</c:v>
                </c:pt>
                <c:pt idx="1958">
                  <c:v>2.3087402922890021E-2</c:v>
                </c:pt>
                <c:pt idx="1959">
                  <c:v>2.308906150568113E-2</c:v>
                </c:pt>
                <c:pt idx="1960">
                  <c:v>2.3090768942033435E-2</c:v>
                </c:pt>
                <c:pt idx="1961">
                  <c:v>2.3092525232026873E-2</c:v>
                </c:pt>
                <c:pt idx="1962">
                  <c:v>2.3094330375501571E-2</c:v>
                </c:pt>
                <c:pt idx="1963">
                  <c:v>2.3096184372857209E-2</c:v>
                </c:pt>
                <c:pt idx="1964">
                  <c:v>2.3098087223694108E-2</c:v>
                </c:pt>
                <c:pt idx="1965">
                  <c:v>2.3103571374075926E-2</c:v>
                </c:pt>
                <c:pt idx="1966">
                  <c:v>2.3102039486291304E-2</c:v>
                </c:pt>
                <c:pt idx="1967">
                  <c:v>2.31040888980516E-2</c:v>
                </c:pt>
                <c:pt idx="1968">
                  <c:v>2.3106187163532965E-2</c:v>
                </c:pt>
                <c:pt idx="1969">
                  <c:v>2.3108334282495591E-2</c:v>
                </c:pt>
                <c:pt idx="1970">
                  <c:v>2.3110530255259221E-2</c:v>
                </c:pt>
                <c:pt idx="1971">
                  <c:v>2.3112775081504111E-2</c:v>
                </c:pt>
                <c:pt idx="1972">
                  <c:v>2.3115068761550006E-2</c:v>
                </c:pt>
                <c:pt idx="1973">
                  <c:v>2.3117392279328186E-2</c:v>
                </c:pt>
                <c:pt idx="1974">
                  <c:v>2.3119720779760655E-2</c:v>
                </c:pt>
                <c:pt idx="1975">
                  <c:v>2.3122054113127177E-2</c:v>
                </c:pt>
                <c:pt idx="1976">
                  <c:v>2.3124392279347816E-2</c:v>
                </c:pt>
                <c:pt idx="1977">
                  <c:v>2.3126735278422572E-2</c:v>
                </c:pt>
                <c:pt idx="1978">
                  <c:v>2.3129083110431381E-2</c:v>
                </c:pt>
                <c:pt idx="1979">
                  <c:v>2.3131435775294307E-2</c:v>
                </c:pt>
                <c:pt idx="1980">
                  <c:v>2.3133793273011349E-2</c:v>
                </c:pt>
                <c:pt idx="1981">
                  <c:v>2.3136155603662445E-2</c:v>
                </c:pt>
                <c:pt idx="1982">
                  <c:v>2.3138522767247593E-2</c:v>
                </c:pt>
                <c:pt idx="1983">
                  <c:v>2.3140894763606923E-2</c:v>
                </c:pt>
                <c:pt idx="1984">
                  <c:v>2.3143271592980241E-2</c:v>
                </c:pt>
                <c:pt idx="1985">
                  <c:v>2.3145653255207677E-2</c:v>
                </c:pt>
                <c:pt idx="1986">
                  <c:v>2.3148039750289229E-2</c:v>
                </c:pt>
                <c:pt idx="1987">
                  <c:v>2.3150431078144962E-2</c:v>
                </c:pt>
                <c:pt idx="1988">
                  <c:v>2.315282723909462E-2</c:v>
                </c:pt>
                <c:pt idx="1989">
                  <c:v>2.3155228232818459E-2</c:v>
                </c:pt>
                <c:pt idx="1990">
                  <c:v>2.3157634059396415E-2</c:v>
                </c:pt>
                <c:pt idx="1991">
                  <c:v>2.316004471898836E-2</c:v>
                </c:pt>
                <c:pt idx="1992">
                  <c:v>2.3162460211354485E-2</c:v>
                </c:pt>
                <c:pt idx="1993">
                  <c:v>2.3164880536654664E-2</c:v>
                </c:pt>
                <c:pt idx="1994">
                  <c:v>2.3167305694888896E-2</c:v>
                </c:pt>
                <c:pt idx="1995">
                  <c:v>2.3169735685977244E-2</c:v>
                </c:pt>
                <c:pt idx="1996">
                  <c:v>2.3172170509999646E-2</c:v>
                </c:pt>
                <c:pt idx="1997">
                  <c:v>2.3174610166716292E-2</c:v>
                </c:pt>
                <c:pt idx="1998">
                  <c:v>2.3177054656526863E-2</c:v>
                </c:pt>
                <c:pt idx="1999">
                  <c:v>2.3179503979111615E-2</c:v>
                </c:pt>
                <c:pt idx="2000">
                  <c:v>2.318195813463042E-2</c:v>
                </c:pt>
                <c:pt idx="2001">
                  <c:v>2.3184417123083279E-2</c:v>
                </c:pt>
                <c:pt idx="2002">
                  <c:v>2.3186880944310317E-2</c:v>
                </c:pt>
                <c:pt idx="2003">
                  <c:v>2.3189349598551345E-2</c:v>
                </c:pt>
                <c:pt idx="2004">
                  <c:v>2.319182308564649E-2</c:v>
                </c:pt>
                <c:pt idx="2005">
                  <c:v>2.3194301405515816E-2</c:v>
                </c:pt>
                <c:pt idx="2006">
                  <c:v>2.3196784558479067E-2</c:v>
                </c:pt>
                <c:pt idx="2007">
                  <c:v>2.3199272544136562E-2</c:v>
                </c:pt>
                <c:pt idx="2008">
                  <c:v>2.3201765362808047E-2</c:v>
                </c:pt>
                <c:pt idx="2009">
                  <c:v>2.3204263014253712E-2</c:v>
                </c:pt>
                <c:pt idx="2010">
                  <c:v>2.320676549863343E-2</c:v>
                </c:pt>
                <c:pt idx="2011">
                  <c:v>2.3209272815947202E-2</c:v>
                </c:pt>
                <c:pt idx="2012">
                  <c:v>2.321178496611509E-2</c:v>
                </c:pt>
                <c:pt idx="2013">
                  <c:v>2.3214301949217031E-2</c:v>
                </c:pt>
                <c:pt idx="2014">
                  <c:v>2.3216823765173089E-2</c:v>
                </c:pt>
                <c:pt idx="2015">
                  <c:v>2.32193504140632E-2</c:v>
                </c:pt>
                <c:pt idx="2016">
                  <c:v>2.3225602408281532E-2</c:v>
                </c:pt>
                <c:pt idx="2017">
                  <c:v>2.3224418210405773E-2</c:v>
                </c:pt>
                <c:pt idx="2018">
                  <c:v>2.3226959357938171E-2</c:v>
                </c:pt>
                <c:pt idx="2019">
                  <c:v>2.3229505338324685E-2</c:v>
                </c:pt>
                <c:pt idx="2020">
                  <c:v>2.3232056151565317E-2</c:v>
                </c:pt>
                <c:pt idx="2021">
                  <c:v>2.3234611797819937E-2</c:v>
                </c:pt>
                <c:pt idx="2022">
                  <c:v>2.3237172276928675E-2</c:v>
                </c:pt>
                <c:pt idx="2023">
                  <c:v>2.3239737588891529E-2</c:v>
                </c:pt>
                <c:pt idx="2024">
                  <c:v>2.3242307733788437E-2</c:v>
                </c:pt>
                <c:pt idx="2025">
                  <c:v>2.3244882711539461E-2</c:v>
                </c:pt>
                <c:pt idx="2026">
                  <c:v>2.3247462522144602E-2</c:v>
                </c:pt>
                <c:pt idx="2027">
                  <c:v>2.3250047165683796E-2</c:v>
                </c:pt>
                <c:pt idx="2028">
                  <c:v>2.3252636642157043E-2</c:v>
                </c:pt>
                <c:pt idx="2029">
                  <c:v>2.3255230951404471E-2</c:v>
                </c:pt>
                <c:pt idx="2030">
                  <c:v>2.3257830093665888E-2</c:v>
                </c:pt>
                <c:pt idx="2031">
                  <c:v>2.3260434068781422E-2</c:v>
                </c:pt>
                <c:pt idx="2032">
                  <c:v>2.3263042876751072E-2</c:v>
                </c:pt>
                <c:pt idx="2033">
                  <c:v>2.3265656517654776E-2</c:v>
                </c:pt>
                <c:pt idx="2034">
                  <c:v>2.3268274991412596E-2</c:v>
                </c:pt>
                <c:pt idx="2035">
                  <c:v>2.327089829810447E-2</c:v>
                </c:pt>
                <c:pt idx="2036">
                  <c:v>2.3273526437730396E-2</c:v>
                </c:pt>
                <c:pt idx="2037">
                  <c:v>2.3276159410130504E-2</c:v>
                </c:pt>
                <c:pt idx="2038">
                  <c:v>2.3278797215464664E-2</c:v>
                </c:pt>
                <c:pt idx="2039">
                  <c:v>2.3281439853732877E-2</c:v>
                </c:pt>
                <c:pt idx="2040">
                  <c:v>2.3284087324855207E-2</c:v>
                </c:pt>
                <c:pt idx="2041">
                  <c:v>2.328673962891159E-2</c:v>
                </c:pt>
                <c:pt idx="2042">
                  <c:v>2.328939676582209E-2</c:v>
                </c:pt>
                <c:pt idx="2043">
                  <c:v>2.3292058735586707E-2</c:v>
                </c:pt>
                <c:pt idx="2044">
                  <c:v>2.3294725538365313E-2</c:v>
                </c:pt>
                <c:pt idx="2045">
                  <c:v>2.32973971739181E-2</c:v>
                </c:pt>
                <c:pt idx="2046">
                  <c:v>2.3300073642404939E-2</c:v>
                </c:pt>
                <c:pt idx="2047">
                  <c:v>2.3302754943825832E-2</c:v>
                </c:pt>
                <c:pt idx="2048">
                  <c:v>2.3305441078100841E-2</c:v>
                </c:pt>
                <c:pt idx="2049">
                  <c:v>2.3308132045229968E-2</c:v>
                </c:pt>
                <c:pt idx="2050">
                  <c:v>2.3310827845293147E-2</c:v>
                </c:pt>
                <c:pt idx="2051">
                  <c:v>2.331352847829038E-2</c:v>
                </c:pt>
                <c:pt idx="2052">
                  <c:v>2.3316233944141729E-2</c:v>
                </c:pt>
                <c:pt idx="2053">
                  <c:v>2.3318944242847195E-2</c:v>
                </c:pt>
                <c:pt idx="2054">
                  <c:v>2.3324896832987996E-2</c:v>
                </c:pt>
                <c:pt idx="2055">
                  <c:v>2.3326668710978993E-2</c:v>
                </c:pt>
                <c:pt idx="2056">
                  <c:v>2.3329395242539519E-2</c:v>
                </c:pt>
                <c:pt idx="2057">
                  <c:v>2.3332126607673587E-2</c:v>
                </c:pt>
                <c:pt idx="2058">
                  <c:v>2.3334862806327905E-2</c:v>
                </c:pt>
                <c:pt idx="2059">
                  <c:v>2.333760383858241E-2</c:v>
                </c:pt>
                <c:pt idx="2060">
                  <c:v>2.3340349704383812E-2</c:v>
                </c:pt>
                <c:pt idx="2061">
                  <c:v>2.3343100403758754E-2</c:v>
                </c:pt>
                <c:pt idx="2062">
                  <c:v>2.3345855936680593E-2</c:v>
                </c:pt>
                <c:pt idx="2063">
                  <c:v>2.3348616303202618E-2</c:v>
                </c:pt>
                <c:pt idx="2064">
                  <c:v>2.3351381503244895E-2</c:v>
                </c:pt>
                <c:pt idx="2065">
                  <c:v>2.3354151536887358E-2</c:v>
                </c:pt>
                <c:pt idx="2066">
                  <c:v>2.3356601683452993E-2</c:v>
                </c:pt>
                <c:pt idx="2067">
                  <c:v>2.3359706104839617E-2</c:v>
                </c:pt>
                <c:pt idx="2068">
                  <c:v>2.3362490639149414E-2</c:v>
                </c:pt>
                <c:pt idx="2069">
                  <c:v>2.3365280007059397E-2</c:v>
                </c:pt>
                <c:pt idx="2070">
                  <c:v>2.3368074208516276E-2</c:v>
                </c:pt>
                <c:pt idx="2071">
                  <c:v>2.3370873243520052E-2</c:v>
                </c:pt>
                <c:pt idx="2072">
                  <c:v>2.3373677112124014E-2</c:v>
                </c:pt>
                <c:pt idx="2073">
                  <c:v>2.3376485814274872E-2</c:v>
                </c:pt>
                <c:pt idx="2074">
                  <c:v>2.3379299349999272E-2</c:v>
                </c:pt>
                <c:pt idx="2075">
                  <c:v>2.3382117719323858E-2</c:v>
                </c:pt>
                <c:pt idx="2076">
                  <c:v>2.338494092214205E-2</c:v>
                </c:pt>
                <c:pt idx="2077">
                  <c:v>2.3387768958587074E-2</c:v>
                </c:pt>
                <c:pt idx="2078">
                  <c:v>2.3390601828605639E-2</c:v>
                </c:pt>
                <c:pt idx="2079">
                  <c:v>2.3393439532197746E-2</c:v>
                </c:pt>
                <c:pt idx="2080">
                  <c:v>2.3396282069310104E-2</c:v>
                </c:pt>
                <c:pt idx="2081">
                  <c:v>2.3399129440022648E-2</c:v>
                </c:pt>
                <c:pt idx="2082">
                  <c:v>2.3401981644308734E-2</c:v>
                </c:pt>
                <c:pt idx="2083">
                  <c:v>2.3404838682141715E-2</c:v>
                </c:pt>
                <c:pt idx="2084">
                  <c:v>2.3407700553574884E-2</c:v>
                </c:pt>
                <c:pt idx="2085">
                  <c:v>2.3410567258581594E-2</c:v>
                </c:pt>
                <c:pt idx="2086">
                  <c:v>2.34134387971352E-2</c:v>
                </c:pt>
                <c:pt idx="2087">
                  <c:v>2.3416315169288993E-2</c:v>
                </c:pt>
                <c:pt idx="2088">
                  <c:v>2.3419196375016327E-2</c:v>
                </c:pt>
                <c:pt idx="2089">
                  <c:v>2.3422082414290557E-2</c:v>
                </c:pt>
                <c:pt idx="2090">
                  <c:v>2.3424973287138329E-2</c:v>
                </c:pt>
                <c:pt idx="2091">
                  <c:v>2.3427868993559642E-2</c:v>
                </c:pt>
                <c:pt idx="2092">
                  <c:v>2.3430769533581142E-2</c:v>
                </c:pt>
                <c:pt idx="2093">
                  <c:v>2.3433674907149538E-2</c:v>
                </c:pt>
                <c:pt idx="2094">
                  <c:v>2.3436585114291475E-2</c:v>
                </c:pt>
                <c:pt idx="2095">
                  <c:v>2.3439500155033599E-2</c:v>
                </c:pt>
                <c:pt idx="2096">
                  <c:v>2.3442420029349265E-2</c:v>
                </c:pt>
                <c:pt idx="2097">
                  <c:v>2.3445344737211826E-2</c:v>
                </c:pt>
                <c:pt idx="2098">
                  <c:v>2.344827427870122E-2</c:v>
                </c:pt>
                <c:pt idx="2099">
                  <c:v>2.345120865373751E-2</c:v>
                </c:pt>
                <c:pt idx="2100">
                  <c:v>2.3454147862347341E-2</c:v>
                </c:pt>
                <c:pt idx="2101">
                  <c:v>2.3457091904504068E-2</c:v>
                </c:pt>
                <c:pt idx="2102">
                  <c:v>2.3460040780314273E-2</c:v>
                </c:pt>
                <c:pt idx="2103">
                  <c:v>2.3462994489644728E-2</c:v>
                </c:pt>
                <c:pt idx="2104">
                  <c:v>2.3465953032548725E-2</c:v>
                </c:pt>
                <c:pt idx="2105">
                  <c:v>2.3468916409052909E-2</c:v>
                </c:pt>
                <c:pt idx="2106">
                  <c:v>2.3472180662640341E-2</c:v>
                </c:pt>
                <c:pt idx="2107">
                  <c:v>2.3474177267202023E-2</c:v>
                </c:pt>
                <c:pt idx="2108">
                  <c:v>2.3477156136992861E-2</c:v>
                </c:pt>
                <c:pt idx="2109">
                  <c:v>2.3480139839477943E-2</c:v>
                </c:pt>
                <c:pt idx="2110">
                  <c:v>2.3483128375136886E-2</c:v>
                </c:pt>
                <c:pt idx="2111">
                  <c:v>2.3486121743490074E-2</c:v>
                </c:pt>
                <c:pt idx="2112">
                  <c:v>2.3489119944937187E-2</c:v>
                </c:pt>
                <c:pt idx="2113">
                  <c:v>2.3492122979078545E-2</c:v>
                </c:pt>
                <c:pt idx="2114">
                  <c:v>2.3495130846313828E-2</c:v>
                </c:pt>
                <c:pt idx="2115">
                  <c:v>2.3498143546323291E-2</c:v>
                </c:pt>
                <c:pt idx="2116">
                  <c:v>2.3501161079266808E-2</c:v>
                </c:pt>
                <c:pt idx="2117">
                  <c:v>2.3504183445144378E-2</c:v>
                </c:pt>
                <c:pt idx="2118">
                  <c:v>2.3507210643956E-2</c:v>
                </c:pt>
                <c:pt idx="2119">
                  <c:v>2.3510242675541804E-2</c:v>
                </c:pt>
                <c:pt idx="2120">
                  <c:v>2.351327954006166E-2</c:v>
                </c:pt>
                <c:pt idx="2121">
                  <c:v>2.3517191181632313E-2</c:v>
                </c:pt>
                <c:pt idx="2122">
                  <c:v>2.3519367767903532E-2</c:v>
                </c:pt>
                <c:pt idx="2123">
                  <c:v>2.3522419131145611E-2</c:v>
                </c:pt>
                <c:pt idx="2124">
                  <c:v>2.3525475327321743E-2</c:v>
                </c:pt>
                <c:pt idx="2125">
                  <c:v>2.3528536356431928E-2</c:v>
                </c:pt>
                <c:pt idx="2126">
                  <c:v>2.353160221839623E-2</c:v>
                </c:pt>
                <c:pt idx="2127">
                  <c:v>2.3534672913214649E-2</c:v>
                </c:pt>
                <c:pt idx="2128">
                  <c:v>2.3537748440967121E-2</c:v>
                </c:pt>
                <c:pt idx="2129">
                  <c:v>2.3540828801733582E-2</c:v>
                </c:pt>
                <c:pt idx="2130">
                  <c:v>2.3543913995274224E-2</c:v>
                </c:pt>
                <c:pt idx="2131">
                  <c:v>2.3547004021748918E-2</c:v>
                </c:pt>
                <c:pt idx="2132">
                  <c:v>2.3550098881237602E-2</c:v>
                </c:pt>
                <c:pt idx="2133">
                  <c:v>2.3553198573420531E-2</c:v>
                </c:pt>
                <c:pt idx="2134">
                  <c:v>2.3556303098617448E-2</c:v>
                </c:pt>
                <c:pt idx="2135">
                  <c:v>2.3559412456668483E-2</c:v>
                </c:pt>
                <c:pt idx="2136">
                  <c:v>2.3562526647733506E-2</c:v>
                </c:pt>
                <c:pt idx="2137">
                  <c:v>2.3565645671652646E-2</c:v>
                </c:pt>
                <c:pt idx="2138">
                  <c:v>2.3568769528425904E-2</c:v>
                </c:pt>
                <c:pt idx="2139">
                  <c:v>2.357189821821315E-2</c:v>
                </c:pt>
                <c:pt idx="2140">
                  <c:v>2.3575031740854513E-2</c:v>
                </c:pt>
                <c:pt idx="2141">
                  <c:v>2.3578170096270057E-2</c:v>
                </c:pt>
                <c:pt idx="2142">
                  <c:v>2.358131328469959E-2</c:v>
                </c:pt>
                <c:pt idx="2143">
                  <c:v>2.3584461306143112E-2</c:v>
                </c:pt>
                <c:pt idx="2144">
                  <c:v>2.3587614160280879E-2</c:v>
                </c:pt>
                <c:pt idx="2145">
                  <c:v>2.3590771847432634E-2</c:v>
                </c:pt>
                <c:pt idx="2146">
                  <c:v>2.3593934367518443E-2</c:v>
                </c:pt>
                <c:pt idx="2147">
                  <c:v>2.3597101720458369E-2</c:v>
                </c:pt>
                <c:pt idx="2148">
                  <c:v>2.3600273906332347E-2</c:v>
                </c:pt>
                <c:pt idx="2149">
                  <c:v>2.3603450924980507E-2</c:v>
                </c:pt>
                <c:pt idx="2150">
                  <c:v>2.3606632776722591E-2</c:v>
                </c:pt>
                <c:pt idx="2151">
                  <c:v>2.3609819461318793E-2</c:v>
                </c:pt>
                <c:pt idx="2152">
                  <c:v>2.3613010978689175E-2</c:v>
                </c:pt>
                <c:pt idx="2153">
                  <c:v>2.3616207329153482E-2</c:v>
                </c:pt>
                <c:pt idx="2154">
                  <c:v>2.3619408512471907E-2</c:v>
                </c:pt>
                <c:pt idx="2155">
                  <c:v>2.3622614528644448E-2</c:v>
                </c:pt>
                <c:pt idx="2156">
                  <c:v>2.3625825377671106E-2</c:v>
                </c:pt>
                <c:pt idx="2157">
                  <c:v>2.3629041059791689E-2</c:v>
                </c:pt>
                <c:pt idx="2158">
                  <c:v>2.3633728043352953E-2</c:v>
                </c:pt>
                <c:pt idx="2159">
                  <c:v>2.363594808098668E-2</c:v>
                </c:pt>
                <c:pt idx="2160">
                  <c:v>2.363917895215728E-2</c:v>
                </c:pt>
                <c:pt idx="2161">
                  <c:v>2.3642414656102062E-2</c:v>
                </c:pt>
                <c:pt idx="2162">
                  <c:v>2.3645655193140769E-2</c:v>
                </c:pt>
                <c:pt idx="2163">
                  <c:v>2.3648900563033592E-2</c:v>
                </c:pt>
                <c:pt idx="2164">
                  <c:v>2.3652150765780533E-2</c:v>
                </c:pt>
                <c:pt idx="2165">
                  <c:v>2.365540580138159E-2</c:v>
                </c:pt>
                <c:pt idx="2166">
                  <c:v>2.3658665670076573E-2</c:v>
                </c:pt>
                <c:pt idx="2167">
                  <c:v>2.3661930371545736E-2</c:v>
                </c:pt>
                <c:pt idx="2168">
                  <c:v>2.3665199905869017E-2</c:v>
                </c:pt>
                <c:pt idx="2169">
                  <c:v>2.3668474273286222E-2</c:v>
                </c:pt>
                <c:pt idx="2170">
                  <c:v>2.3671753473477608E-2</c:v>
                </c:pt>
                <c:pt idx="2171">
                  <c:v>2.3675037506603047E-2</c:v>
                </c:pt>
                <c:pt idx="2172">
                  <c:v>2.3679266936369459E-2</c:v>
                </c:pt>
                <c:pt idx="2173">
                  <c:v>2.368256201609853E-2</c:v>
                </c:pt>
                <c:pt idx="2174">
                  <c:v>2.3685861928761653E-2</c:v>
                </c:pt>
                <c:pt idx="2175">
                  <c:v>2.3692214002948297E-2</c:v>
                </c:pt>
                <c:pt idx="2176">
                  <c:v>2.369247625289006E-2</c:v>
                </c:pt>
                <c:pt idx="2177">
                  <c:v>2.3695790664275407E-2</c:v>
                </c:pt>
                <c:pt idx="2178">
                  <c:v>2.369910990851487E-2</c:v>
                </c:pt>
                <c:pt idx="2179">
                  <c:v>2.3702433985768323E-2</c:v>
                </c:pt>
                <c:pt idx="2180">
                  <c:v>2.3705762895955829E-2</c:v>
                </c:pt>
                <c:pt idx="2181">
                  <c:v>2.3709096638997451E-2</c:v>
                </c:pt>
                <c:pt idx="2182">
                  <c:v>2.3712435214893191E-2</c:v>
                </c:pt>
                <c:pt idx="2183">
                  <c:v>2.3715778623882855E-2</c:v>
                </c:pt>
                <c:pt idx="2184">
                  <c:v>2.37191268656467E-2</c:v>
                </c:pt>
                <c:pt idx="2185">
                  <c:v>2.3722479940264662E-2</c:v>
                </c:pt>
                <c:pt idx="2186">
                  <c:v>2.3725837847816678E-2</c:v>
                </c:pt>
                <c:pt idx="2187">
                  <c:v>2.3729200588462618E-2</c:v>
                </c:pt>
                <c:pt idx="2188">
                  <c:v>2.3732568161882739E-2</c:v>
                </c:pt>
                <c:pt idx="2189">
                  <c:v>2.3735940568077041E-2</c:v>
                </c:pt>
                <c:pt idx="2190">
                  <c:v>2.3739317807365268E-2</c:v>
                </c:pt>
                <c:pt idx="2191">
                  <c:v>2.3742699879587548E-2</c:v>
                </c:pt>
                <c:pt idx="2192">
                  <c:v>2.3746086784663945E-2</c:v>
                </c:pt>
                <c:pt idx="2193">
                  <c:v>2.3749478522514522E-2</c:v>
                </c:pt>
                <c:pt idx="2194">
                  <c:v>2.3752875093459025E-2</c:v>
                </c:pt>
                <c:pt idx="2195">
                  <c:v>2.3756276497257645E-2</c:v>
                </c:pt>
                <c:pt idx="2196">
                  <c:v>2.3759682733910381E-2</c:v>
                </c:pt>
                <c:pt idx="2197">
                  <c:v>2.3763093803577107E-2</c:v>
                </c:pt>
                <c:pt idx="2198">
                  <c:v>2.3766509706177885E-2</c:v>
                </c:pt>
                <c:pt idx="2199">
                  <c:v>2.3769930441552845E-2</c:v>
                </c:pt>
                <c:pt idx="2200">
                  <c:v>2.3773356009861857E-2</c:v>
                </c:pt>
                <c:pt idx="2201">
                  <c:v>2.3776786411264794E-2</c:v>
                </c:pt>
                <c:pt idx="2202">
                  <c:v>2.3780221645361976E-2</c:v>
                </c:pt>
                <c:pt idx="2203">
                  <c:v>2.3783661712553084E-2</c:v>
                </c:pt>
                <c:pt idx="2204">
                  <c:v>2.3787106612438436E-2</c:v>
                </c:pt>
                <c:pt idx="2205">
                  <c:v>2.3790556345417713E-2</c:v>
                </c:pt>
                <c:pt idx="2206">
                  <c:v>2.3794010911251107E-2</c:v>
                </c:pt>
                <c:pt idx="2207">
                  <c:v>2.3797470309858682E-2</c:v>
                </c:pt>
                <c:pt idx="2208">
                  <c:v>2.3800934541560181E-2</c:v>
                </c:pt>
                <c:pt idx="2209">
                  <c:v>2.380750895943029E-2</c:v>
                </c:pt>
                <c:pt idx="2210">
                  <c:v>2.3810984581980055E-2</c:v>
                </c:pt>
                <c:pt idx="2211">
                  <c:v>2.3811356234109127E-2</c:v>
                </c:pt>
                <c:pt idx="2212">
                  <c:v>2.3814839797466902E-2</c:v>
                </c:pt>
                <c:pt idx="2213">
                  <c:v>2.3818328193678795E-2</c:v>
                </c:pt>
                <c:pt idx="2214">
                  <c:v>2.3821821422744804E-2</c:v>
                </c:pt>
                <c:pt idx="2215">
                  <c:v>2.3825319484744867E-2</c:v>
                </c:pt>
                <c:pt idx="2216">
                  <c:v>2.3828822379838854E-2</c:v>
                </c:pt>
                <c:pt idx="2217">
                  <c:v>2.3832330107707023E-2</c:v>
                </c:pt>
                <c:pt idx="2218">
                  <c:v>2.3835842668429308E-2</c:v>
                </c:pt>
                <c:pt idx="2219">
                  <c:v>2.3839360062245518E-2</c:v>
                </c:pt>
                <c:pt idx="2220">
                  <c:v>2.3842882288915845E-2</c:v>
                </c:pt>
                <c:pt idx="2221">
                  <c:v>2.3846409348440289E-2</c:v>
                </c:pt>
                <c:pt idx="2222">
                  <c:v>2.384994124081885E-2</c:v>
                </c:pt>
                <c:pt idx="2223">
                  <c:v>2.38534779662114E-2</c:v>
                </c:pt>
                <c:pt idx="2224">
                  <c:v>2.3857019524538003E-2</c:v>
                </c:pt>
                <c:pt idx="2225">
                  <c:v>2.3864743560812585E-2</c:v>
                </c:pt>
                <c:pt idx="2226">
                  <c:v>2.3864117139833496E-2</c:v>
                </c:pt>
                <c:pt idx="2227">
                  <c:v>2.3867673196882322E-2</c:v>
                </c:pt>
                <c:pt idx="2228">
                  <c:v>2.3871234086865201E-2</c:v>
                </c:pt>
                <c:pt idx="2229">
                  <c:v>2.387479980962226E-2</c:v>
                </c:pt>
                <c:pt idx="2230">
                  <c:v>2.3878370365473245E-2</c:v>
                </c:pt>
                <c:pt idx="2231">
                  <c:v>2.3881945754258282E-2</c:v>
                </c:pt>
                <c:pt idx="2232">
                  <c:v>2.388552582577752E-2</c:v>
                </c:pt>
                <c:pt idx="2233">
                  <c:v>2.3889085661483733E-2</c:v>
                </c:pt>
                <c:pt idx="2234">
                  <c:v>2.3892606197506439E-2</c:v>
                </c:pt>
                <c:pt idx="2235">
                  <c:v>2.3896087433605828E-2</c:v>
                </c:pt>
                <c:pt idx="2236">
                  <c:v>2.3899529369701966E-2</c:v>
                </c:pt>
                <c:pt idx="2237">
                  <c:v>2.3902932006034661E-2</c:v>
                </c:pt>
                <c:pt idx="2238">
                  <c:v>2.3906295342683848E-2</c:v>
                </c:pt>
                <c:pt idx="2239">
                  <c:v>2.3909619379329783E-2</c:v>
                </c:pt>
                <c:pt idx="2240">
                  <c:v>2.3912904115972466E-2</c:v>
                </c:pt>
                <c:pt idx="2241">
                  <c:v>2.3916149552931643E-2</c:v>
                </c:pt>
                <c:pt idx="2242">
                  <c:v>2.3919355690047439E-2</c:v>
                </c:pt>
                <c:pt idx="2243">
                  <c:v>2.3922522527080048E-2</c:v>
                </c:pt>
                <c:pt idx="2244">
                  <c:v>2.3925650064429149E-2</c:v>
                </c:pt>
                <c:pt idx="2245">
                  <c:v>2.3928738301854935E-2</c:v>
                </c:pt>
                <c:pt idx="2246">
                  <c:v>2.3931787239437341E-2</c:v>
                </c:pt>
                <c:pt idx="2247">
                  <c:v>2.3934796877016495E-2</c:v>
                </c:pt>
                <c:pt idx="2248">
                  <c:v>2.3937767214912142E-2</c:v>
                </c:pt>
                <c:pt idx="2249">
                  <c:v>2.3940698252804538E-2</c:v>
                </c:pt>
                <c:pt idx="2250">
                  <c:v>2.3943589990853553E-2</c:v>
                </c:pt>
                <c:pt idx="2251">
                  <c:v>2.3946442428979253E-2</c:v>
                </c:pt>
                <c:pt idx="2252">
                  <c:v>2.3949255567261574E-2</c:v>
                </c:pt>
                <c:pt idx="2253">
                  <c:v>2.3952029405780451E-2</c:v>
                </c:pt>
                <c:pt idx="2254">
                  <c:v>2.395476394421614E-2</c:v>
                </c:pt>
                <c:pt idx="2255">
                  <c:v>2.3957459182888385E-2</c:v>
                </c:pt>
                <c:pt idx="2256">
                  <c:v>2.3960115121637315E-2</c:v>
                </c:pt>
                <c:pt idx="2257">
                  <c:v>2.3962731760542866E-2</c:v>
                </c:pt>
                <c:pt idx="2258">
                  <c:v>2.3965309099525101E-2</c:v>
                </c:pt>
                <c:pt idx="2259">
                  <c:v>2.3967847138663956E-2</c:v>
                </c:pt>
                <c:pt idx="2260">
                  <c:v>2.3970345877959431E-2</c:v>
                </c:pt>
                <c:pt idx="2261">
                  <c:v>2.3972805317251655E-2</c:v>
                </c:pt>
                <c:pt idx="2262">
                  <c:v>2.39752254567005E-2</c:v>
                </c:pt>
                <c:pt idx="2263">
                  <c:v>2.3977606296305964E-2</c:v>
                </c:pt>
                <c:pt idx="2264">
                  <c:v>2.3979947835908177E-2</c:v>
                </c:pt>
                <c:pt idx="2265">
                  <c:v>2.3982250075746947E-2</c:v>
                </c:pt>
                <c:pt idx="2266">
                  <c:v>2.3984513015662401E-2</c:v>
                </c:pt>
                <c:pt idx="2267">
                  <c:v>2.3986736655734475E-2</c:v>
                </c:pt>
                <c:pt idx="2268">
                  <c:v>2.3988920995883234E-2</c:v>
                </c:pt>
                <c:pt idx="2269">
                  <c:v>2.3991066035948805E-2</c:v>
                </c:pt>
                <c:pt idx="2270">
                  <c:v>2.3993171776330868E-2</c:v>
                </c:pt>
                <c:pt idx="2271">
                  <c:v>2.3995238216789616E-2</c:v>
                </c:pt>
                <c:pt idx="2272">
                  <c:v>2.3997265357245112E-2</c:v>
                </c:pt>
                <c:pt idx="2273">
                  <c:v>2.3999253197937165E-2</c:v>
                </c:pt>
                <c:pt idx="2274">
                  <c:v>2.4001201738705902E-2</c:v>
                </c:pt>
                <c:pt idx="2275">
                  <c:v>2.4003110979631259E-2</c:v>
                </c:pt>
                <c:pt idx="2276">
                  <c:v>2.4008708851221527E-2</c:v>
                </c:pt>
                <c:pt idx="2277">
                  <c:v>2.4006811561632091E-2</c:v>
                </c:pt>
                <c:pt idx="2278">
                  <c:v>2.4008602902787501E-2</c:v>
                </c:pt>
                <c:pt idx="2279">
                  <c:v>2.4010354944019596E-2</c:v>
                </c:pt>
                <c:pt idx="2280">
                  <c:v>2.4012067685408311E-2</c:v>
                </c:pt>
                <c:pt idx="2281">
                  <c:v>2.4013741126873711E-2</c:v>
                </c:pt>
                <c:pt idx="2282">
                  <c:v>2.4015375268495731E-2</c:v>
                </c:pt>
                <c:pt idx="2283">
                  <c:v>2.4016970110114499E-2</c:v>
                </c:pt>
                <c:pt idx="2284">
                  <c:v>2.4018525651809952E-2</c:v>
                </c:pt>
                <c:pt idx="2285">
                  <c:v>2.4020041893662025E-2</c:v>
                </c:pt>
                <c:pt idx="2286">
                  <c:v>2.4021518835750655E-2</c:v>
                </c:pt>
                <c:pt idx="2287">
                  <c:v>2.4022956477676161E-2</c:v>
                </c:pt>
                <c:pt idx="2288">
                  <c:v>2.4024354819918159E-2</c:v>
                </c:pt>
                <c:pt idx="2289">
                  <c:v>2.4025713862156906E-2</c:v>
                </c:pt>
                <c:pt idx="2290">
                  <c:v>2.4027033604472336E-2</c:v>
                </c:pt>
                <c:pt idx="2291">
                  <c:v>2.4028314046944388E-2</c:v>
                </c:pt>
                <c:pt idx="2292">
                  <c:v>2.4029555189493124E-2</c:v>
                </c:pt>
                <c:pt idx="2293">
                  <c:v>2.4030757032118544E-2</c:v>
                </c:pt>
                <c:pt idx="2294">
                  <c:v>2.4031919574820648E-2</c:v>
                </c:pt>
                <c:pt idx="2295">
                  <c:v>2.4033042817679373E-2</c:v>
                </c:pt>
                <c:pt idx="2296">
                  <c:v>2.4034126760614782E-2</c:v>
                </c:pt>
                <c:pt idx="2297">
                  <c:v>2.4035171403626876E-2</c:v>
                </c:pt>
                <c:pt idx="2298">
                  <c:v>2.4036176746635718E-2</c:v>
                </c:pt>
                <c:pt idx="2299">
                  <c:v>2.4037142789881116E-2</c:v>
                </c:pt>
                <c:pt idx="2300">
                  <c:v>2.4038069533123263E-2</c:v>
                </c:pt>
                <c:pt idx="2301">
                  <c:v>2.4038956976442094E-2</c:v>
                </c:pt>
                <c:pt idx="2302">
                  <c:v>2.4039805119917546E-2</c:v>
                </c:pt>
                <c:pt idx="2303">
                  <c:v>2.4040613963549617E-2</c:v>
                </c:pt>
                <c:pt idx="2304">
                  <c:v>2.4041383507178438E-2</c:v>
                </c:pt>
                <c:pt idx="2305">
                  <c:v>2.4042113750883942E-2</c:v>
                </c:pt>
                <c:pt idx="2306">
                  <c:v>2.4042804694746067E-2</c:v>
                </c:pt>
                <c:pt idx="2307">
                  <c:v>2.4043456338684877E-2</c:v>
                </c:pt>
                <c:pt idx="2308">
                  <c:v>2.4044068682540498E-2</c:v>
                </c:pt>
                <c:pt idx="2309">
                  <c:v>2.4044641726712612E-2</c:v>
                </c:pt>
                <c:pt idx="2310">
                  <c:v>2.4045175470961411E-2</c:v>
                </c:pt>
                <c:pt idx="2311">
                  <c:v>2.4045669915206958E-2</c:v>
                </c:pt>
                <c:pt idx="2312">
                  <c:v>2.4046125059529189E-2</c:v>
                </c:pt>
                <c:pt idx="2313">
                  <c:v>2.404654090400804E-2</c:v>
                </c:pt>
                <c:pt idx="2314">
                  <c:v>2.4046917448563576E-2</c:v>
                </c:pt>
                <c:pt idx="2315">
                  <c:v>2.4047254693195796E-2</c:v>
                </c:pt>
                <c:pt idx="2316">
                  <c:v>2.4047552637824765E-2</c:v>
                </c:pt>
                <c:pt idx="2317">
                  <c:v>2.404781128269029E-2</c:v>
                </c:pt>
                <c:pt idx="2318">
                  <c:v>2.4048030627552563E-2</c:v>
                </c:pt>
                <c:pt idx="2319">
                  <c:v>2.4048210672491521E-2</c:v>
                </c:pt>
                <c:pt idx="2320">
                  <c:v>2.4048351417587099E-2</c:v>
                </c:pt>
                <c:pt idx="2321">
                  <c:v>2.4048452862839298E-2</c:v>
                </c:pt>
                <c:pt idx="2322">
                  <c:v>2.4048515008088245E-2</c:v>
                </c:pt>
                <c:pt idx="2323">
                  <c:v>2.404853785333394E-2</c:v>
                </c:pt>
                <c:pt idx="2324">
                  <c:v>2.4048521398816192E-2</c:v>
                </c:pt>
                <c:pt idx="2325">
                  <c:v>2.4048465644295192E-2</c:v>
                </c:pt>
                <c:pt idx="2326">
                  <c:v>2.4048370589850876E-2</c:v>
                </c:pt>
                <c:pt idx="2327">
                  <c:v>2.4051402906408725E-2</c:v>
                </c:pt>
                <c:pt idx="2328">
                  <c:v>2.4048062581432106E-2</c:v>
                </c:pt>
                <c:pt idx="2329">
                  <c:v>2.4047849627297779E-2</c:v>
                </c:pt>
                <c:pt idx="2330">
                  <c:v>2.4047597373160201E-2</c:v>
                </c:pt>
                <c:pt idx="2331">
                  <c:v>2.4047305819259179E-2</c:v>
                </c:pt>
                <c:pt idx="2332">
                  <c:v>2.4046974965354906E-2</c:v>
                </c:pt>
                <c:pt idx="2333">
                  <c:v>2.4046604811607253E-2</c:v>
                </c:pt>
                <c:pt idx="2334">
                  <c:v>2.4046195357856348E-2</c:v>
                </c:pt>
                <c:pt idx="2335">
                  <c:v>2.4045746604262064E-2</c:v>
                </c:pt>
                <c:pt idx="2336">
                  <c:v>2.4045258550744464E-2</c:v>
                </c:pt>
                <c:pt idx="2337">
                  <c:v>2.4044731197303548E-2</c:v>
                </c:pt>
                <c:pt idx="2338">
                  <c:v>2.4044164543939317E-2</c:v>
                </c:pt>
                <c:pt idx="2339">
                  <c:v>2.4043558590811642E-2</c:v>
                </c:pt>
                <c:pt idx="2340">
                  <c:v>2.404291333760078E-2</c:v>
                </c:pt>
                <c:pt idx="2341">
                  <c:v>2.4042228784466602E-2</c:v>
                </c:pt>
                <c:pt idx="2342">
                  <c:v>2.404150493156898E-2</c:v>
                </c:pt>
                <c:pt idx="2343">
                  <c:v>2.4040741778668107E-2</c:v>
                </c:pt>
                <c:pt idx="2344">
                  <c:v>2.4039939325923854E-2</c:v>
                </c:pt>
                <c:pt idx="2345">
                  <c:v>2.4039097573096413E-2</c:v>
                </c:pt>
                <c:pt idx="2346">
                  <c:v>2.4038216520585465E-2</c:v>
                </c:pt>
                <c:pt idx="2347">
                  <c:v>2.4037296168071265E-2</c:v>
                </c:pt>
                <c:pt idx="2348">
                  <c:v>2.4036336515553813E-2</c:v>
                </c:pt>
                <c:pt idx="2349">
                  <c:v>2.4035337563272918E-2</c:v>
                </c:pt>
                <c:pt idx="2350">
                  <c:v>2.4034299311068708E-2</c:v>
                </c:pt>
                <c:pt idx="2351">
                  <c:v>2.4033221758861245E-2</c:v>
                </c:pt>
                <c:pt idx="2352">
                  <c:v>2.4032104906730467E-2</c:v>
                </c:pt>
                <c:pt idx="2353">
                  <c:v>2.4030948754836245E-2</c:v>
                </c:pt>
                <c:pt idx="2354">
                  <c:v>2.4029753302938772E-2</c:v>
                </c:pt>
                <c:pt idx="2355">
                  <c:v>2.4028518551117983E-2</c:v>
                </c:pt>
                <c:pt idx="2356">
                  <c:v>2.4027244499453815E-2</c:v>
                </c:pt>
                <c:pt idx="2357">
                  <c:v>2.4025931147946267E-2</c:v>
                </c:pt>
                <c:pt idx="2358">
                  <c:v>2.4024578496435467E-2</c:v>
                </c:pt>
                <c:pt idx="2359">
                  <c:v>2.4023186545001352E-2</c:v>
                </c:pt>
                <c:pt idx="2360">
                  <c:v>2.4021755293723857E-2</c:v>
                </c:pt>
                <c:pt idx="2361">
                  <c:v>2.4020284742523046E-2</c:v>
                </c:pt>
                <c:pt idx="2362">
                  <c:v>2.401877489139892E-2</c:v>
                </c:pt>
                <c:pt idx="2363">
                  <c:v>2.4017225740351478E-2</c:v>
                </c:pt>
                <c:pt idx="2364">
                  <c:v>2.4015637289540592E-2</c:v>
                </c:pt>
                <c:pt idx="2365">
                  <c:v>2.4014009538726455E-2</c:v>
                </c:pt>
                <c:pt idx="2366">
                  <c:v>2.4014139542054558E-2</c:v>
                </c:pt>
                <c:pt idx="2367">
                  <c:v>2.4011742510960943E-2</c:v>
                </c:pt>
                <c:pt idx="2368">
                  <c:v>2.4009985397546174E-2</c:v>
                </c:pt>
                <c:pt idx="2369">
                  <c:v>2.4008188979012246E-2</c:v>
                </c:pt>
                <c:pt idx="2370">
                  <c:v>2.4006353255359159E-2</c:v>
                </c:pt>
                <c:pt idx="2371">
                  <c:v>2.4004478226586912E-2</c:v>
                </c:pt>
                <c:pt idx="2372">
                  <c:v>2.4002563892722151E-2</c:v>
                </c:pt>
                <c:pt idx="2373">
                  <c:v>2.4000610253711585E-2</c:v>
                </c:pt>
                <c:pt idx="2374">
                  <c:v>2.3998617309608505E-2</c:v>
                </c:pt>
                <c:pt idx="2375">
                  <c:v>2.3996585060386266E-2</c:v>
                </c:pt>
                <c:pt idx="2376">
                  <c:v>2.3994513506044868E-2</c:v>
                </c:pt>
                <c:pt idx="2377">
                  <c:v>2.399240264658431E-2</c:v>
                </c:pt>
                <c:pt idx="2378">
                  <c:v>2.3990252482031238E-2</c:v>
                </c:pt>
                <c:pt idx="2379">
                  <c:v>2.3988063012385652E-2</c:v>
                </c:pt>
                <c:pt idx="2380">
                  <c:v>2.3985834237647552E-2</c:v>
                </c:pt>
                <c:pt idx="2381">
                  <c:v>2.3983566157790293E-2</c:v>
                </c:pt>
                <c:pt idx="2382">
                  <c:v>2.3978660937320484E-2</c:v>
                </c:pt>
                <c:pt idx="2383">
                  <c:v>2.3978912082771586E-2</c:v>
                </c:pt>
                <c:pt idx="2384">
                  <c:v>2.3974240820088255E-2</c:v>
                </c:pt>
                <c:pt idx="2385">
                  <c:v>2.3971804614371095E-2</c:v>
                </c:pt>
                <c:pt idx="2386">
                  <c:v>2.3969329108650683E-2</c:v>
                </c:pt>
                <c:pt idx="2387">
                  <c:v>2.3966814303006956E-2</c:v>
                </c:pt>
                <c:pt idx="2388">
                  <c:v>2.3964260197679721E-2</c:v>
                </c:pt>
                <c:pt idx="2389">
                  <c:v>2.3961666792349234E-2</c:v>
                </c:pt>
                <c:pt idx="2390">
                  <c:v>2.3959034087095432E-2</c:v>
                </c:pt>
                <c:pt idx="2391">
                  <c:v>2.3956362082078186E-2</c:v>
                </c:pt>
                <c:pt idx="2392">
                  <c:v>2.3953650777137625E-2</c:v>
                </c:pt>
                <c:pt idx="2393">
                  <c:v>2.3950900172193812E-2</c:v>
                </c:pt>
                <c:pt idx="2394">
                  <c:v>2.3948110267406619E-2</c:v>
                </c:pt>
                <c:pt idx="2395">
                  <c:v>2.3945281062855983E-2</c:v>
                </c:pt>
                <c:pt idx="2396">
                  <c:v>2.3942412558382031E-2</c:v>
                </c:pt>
                <c:pt idx="2397">
                  <c:v>2.3939504753984764E-2</c:v>
                </c:pt>
                <c:pt idx="2398">
                  <c:v>2.3936557649744117E-2</c:v>
                </c:pt>
                <c:pt idx="2399">
                  <c:v>2.393357124566009E-2</c:v>
                </c:pt>
                <c:pt idx="2400">
                  <c:v>2.3930545541652748E-2</c:v>
                </c:pt>
                <c:pt idx="2401">
                  <c:v>2.392748053772209E-2</c:v>
                </c:pt>
                <c:pt idx="2402">
                  <c:v>2.3924376234107925E-2</c:v>
                </c:pt>
                <c:pt idx="2403">
                  <c:v>2.3921232630410572E-2</c:v>
                </c:pt>
                <c:pt idx="2404">
                  <c:v>2.3918049726949775E-2</c:v>
                </c:pt>
                <c:pt idx="2405">
                  <c:v>2.3914827523565663E-2</c:v>
                </c:pt>
                <c:pt idx="2406">
                  <c:v>2.3911566020418107E-2</c:v>
                </c:pt>
                <c:pt idx="2407">
                  <c:v>2.3908265217347235E-2</c:v>
                </c:pt>
                <c:pt idx="2408">
                  <c:v>2.3904925114273112E-2</c:v>
                </c:pt>
                <c:pt idx="2409">
                  <c:v>2.3901545711515482E-2</c:v>
                </c:pt>
                <c:pt idx="2410">
                  <c:v>2.3898127008914472E-2</c:v>
                </c:pt>
                <c:pt idx="2411">
                  <c:v>2.389466900631021E-2</c:v>
                </c:pt>
                <c:pt idx="2412">
                  <c:v>2.3891171703862568E-2</c:v>
                </c:pt>
                <c:pt idx="2413">
                  <c:v>2.3887635101651483E-2</c:v>
                </c:pt>
                <c:pt idx="2414">
                  <c:v>2.3884059199517083E-2</c:v>
                </c:pt>
                <c:pt idx="2415">
                  <c:v>2.3880443997459366E-2</c:v>
                </c:pt>
                <c:pt idx="2416">
                  <c:v>2.3876789495718143E-2</c:v>
                </c:pt>
                <c:pt idx="2417">
                  <c:v>2.3873095694053603E-2</c:v>
                </c:pt>
                <c:pt idx="2418">
                  <c:v>2.3869348690066516E-2</c:v>
                </c:pt>
                <c:pt idx="2419">
                  <c:v>2.3865048068527628E-2</c:v>
                </c:pt>
                <c:pt idx="2420">
                  <c:v>2.386123075286406E-2</c:v>
                </c:pt>
                <c:pt idx="2421">
                  <c:v>2.3857374137516985E-2</c:v>
                </c:pt>
                <c:pt idx="2422">
                  <c:v>2.385347822232653E-2</c:v>
                </c:pt>
                <c:pt idx="2423">
                  <c:v>2.3849543007372631E-2</c:v>
                </c:pt>
                <c:pt idx="2424">
                  <c:v>2.3845568492335545E-2</c:v>
                </c:pt>
                <c:pt idx="2425">
                  <c:v>2.3841554677614951E-2</c:v>
                </c:pt>
                <c:pt idx="2426">
                  <c:v>2.3837501563050978E-2</c:v>
                </c:pt>
                <c:pt idx="2427">
                  <c:v>2.3833409148483753E-2</c:v>
                </c:pt>
                <c:pt idx="2428">
                  <c:v>2.382927743423302E-2</c:v>
                </c:pt>
                <c:pt idx="2429">
                  <c:v>2.3825106420138908E-2</c:v>
                </c:pt>
                <c:pt idx="2430">
                  <c:v>2.3820896106201417E-2</c:v>
                </c:pt>
                <c:pt idx="2431">
                  <c:v>2.381664649234061E-2</c:v>
                </c:pt>
                <c:pt idx="2432">
                  <c:v>2.3811124956552021E-2</c:v>
                </c:pt>
                <c:pt idx="2433">
                  <c:v>2.3806785514546291E-2</c:v>
                </c:pt>
                <c:pt idx="2434">
                  <c:v>2.3802406772697182E-2</c:v>
                </c:pt>
                <c:pt idx="2435">
                  <c:v>2.3798291993060161E-2</c:v>
                </c:pt>
                <c:pt idx="2436">
                  <c:v>2.3793531389628697E-2</c:v>
                </c:pt>
                <c:pt idx="2437">
                  <c:v>2.3789034748169513E-2</c:v>
                </c:pt>
                <c:pt idx="2438">
                  <c:v>2.3784498807106758E-2</c:v>
                </c:pt>
                <c:pt idx="2439">
                  <c:v>2.3779923566120686E-2</c:v>
                </c:pt>
                <c:pt idx="2440">
                  <c:v>2.3775309025371172E-2</c:v>
                </c:pt>
                <c:pt idx="2441">
                  <c:v>2.3770655184698342E-2</c:v>
                </c:pt>
                <c:pt idx="2442">
                  <c:v>2.3765962044262068E-2</c:v>
                </c:pt>
                <c:pt idx="2443">
                  <c:v>2.3761229604062351E-2</c:v>
                </c:pt>
                <c:pt idx="2444">
                  <c:v>2.3756457863939318E-2</c:v>
                </c:pt>
                <c:pt idx="2445">
                  <c:v>2.3751646824052841E-2</c:v>
                </c:pt>
                <c:pt idx="2446">
                  <c:v>2.3746796484322985E-2</c:v>
                </c:pt>
                <c:pt idx="2447">
                  <c:v>2.3741906844909622E-2</c:v>
                </c:pt>
                <c:pt idx="2448">
                  <c:v>2.3736977905493006E-2</c:v>
                </c:pt>
                <c:pt idx="2449">
                  <c:v>2.3732009666312948E-2</c:v>
                </c:pt>
                <c:pt idx="2450">
                  <c:v>2.3727002127449381E-2</c:v>
                </c:pt>
                <c:pt idx="2451">
                  <c:v>2.37219552886625E-2</c:v>
                </c:pt>
                <c:pt idx="2452">
                  <c:v>2.3716869150112174E-2</c:v>
                </c:pt>
                <c:pt idx="2453">
                  <c:v>2.3711743711798405E-2</c:v>
                </c:pt>
                <c:pt idx="2454">
                  <c:v>2.3706578973561321E-2</c:v>
                </c:pt>
                <c:pt idx="2455">
                  <c:v>2.3701374935720665E-2</c:v>
                </c:pt>
                <c:pt idx="2456">
                  <c:v>2.3696131597796821E-2</c:v>
                </c:pt>
                <c:pt idx="2457">
                  <c:v>2.3690848960349342E-2</c:v>
                </c:pt>
                <c:pt idx="2458">
                  <c:v>2.3685527023058484E-2</c:v>
                </c:pt>
                <c:pt idx="2459">
                  <c:v>2.3680165785844309E-2</c:v>
                </c:pt>
                <c:pt idx="2460">
                  <c:v>2.3674765248786755E-2</c:v>
                </c:pt>
                <c:pt idx="2461">
                  <c:v>2.366932541212563E-2</c:v>
                </c:pt>
                <c:pt idx="2462">
                  <c:v>2.3663846275621125E-2</c:v>
                </c:pt>
                <c:pt idx="2463">
                  <c:v>2.3658327839353177E-2</c:v>
                </c:pt>
                <c:pt idx="2464">
                  <c:v>2.3652770103321785E-2</c:v>
                </c:pt>
                <c:pt idx="2465">
                  <c:v>2.3647173067367078E-2</c:v>
                </c:pt>
                <c:pt idx="2466">
                  <c:v>2.3641536731728863E-2</c:v>
                </c:pt>
                <c:pt idx="2467">
                  <c:v>2.3635861096247268E-2</c:v>
                </c:pt>
                <c:pt idx="2468">
                  <c:v>2.3630146161162102E-2</c:v>
                </c:pt>
                <c:pt idx="2469">
                  <c:v>2.3621086146983217E-2</c:v>
                </c:pt>
                <c:pt idx="2470">
                  <c:v>2.3618484976291043E-2</c:v>
                </c:pt>
                <c:pt idx="2471">
                  <c:v>2.3612765556926263E-2</c:v>
                </c:pt>
                <c:pt idx="2472">
                  <c:v>2.3606893422547515E-2</c:v>
                </c:pt>
                <c:pt idx="2473">
                  <c:v>2.3600981988565195E-2</c:v>
                </c:pt>
                <c:pt idx="2474">
                  <c:v>2.359503125465956E-2</c:v>
                </c:pt>
                <c:pt idx="2475">
                  <c:v>2.3589041221070417E-2</c:v>
                </c:pt>
                <c:pt idx="2476">
                  <c:v>2.3583011887797767E-2</c:v>
                </c:pt>
                <c:pt idx="2477">
                  <c:v>2.3576943254601801E-2</c:v>
                </c:pt>
                <c:pt idx="2478">
                  <c:v>2.3570835321722328E-2</c:v>
                </c:pt>
                <c:pt idx="2479">
                  <c:v>2.3564688089239283E-2</c:v>
                </c:pt>
                <c:pt idx="2480">
                  <c:v>2.3558501556832923E-2</c:v>
                </c:pt>
                <c:pt idx="2481">
                  <c:v>2.3552275724663119E-2</c:v>
                </c:pt>
                <c:pt idx="2482">
                  <c:v>2.3547292346984605E-2</c:v>
                </c:pt>
                <c:pt idx="2483">
                  <c:v>2.3539706161193052E-2</c:v>
                </c:pt>
                <c:pt idx="2484">
                  <c:v>2.3533362429812854E-2</c:v>
                </c:pt>
                <c:pt idx="2485">
                  <c:v>2.3526979398669212E-2</c:v>
                </c:pt>
                <c:pt idx="2486">
                  <c:v>2.3520557067842063E-2</c:v>
                </c:pt>
                <c:pt idx="2487">
                  <c:v>2.3515008818641991E-2</c:v>
                </c:pt>
                <c:pt idx="2488">
                  <c:v>2.3507594506897433E-2</c:v>
                </c:pt>
                <c:pt idx="2489">
                  <c:v>2.3501054276939826E-2</c:v>
                </c:pt>
                <c:pt idx="2490">
                  <c:v>2.3494474747138838E-2</c:v>
                </c:pt>
                <c:pt idx="2491">
                  <c:v>2.3487855917574407E-2</c:v>
                </c:pt>
                <c:pt idx="2492">
                  <c:v>2.3481199285528831E-2</c:v>
                </c:pt>
                <c:pt idx="2493">
                  <c:v>2.3474546773947225E-2</c:v>
                </c:pt>
                <c:pt idx="2494">
                  <c:v>2.3467917847019848E-2</c:v>
                </c:pt>
                <c:pt idx="2495">
                  <c:v>2.3461312504506893E-2</c:v>
                </c:pt>
                <c:pt idx="2496">
                  <c:v>2.3454730746728103E-2</c:v>
                </c:pt>
                <c:pt idx="2497">
                  <c:v>2.3448172573603543E-2</c:v>
                </c:pt>
                <c:pt idx="2498">
                  <c:v>2.3441637984893404E-2</c:v>
                </c:pt>
                <c:pt idx="2499">
                  <c:v>2.3435126980837495E-2</c:v>
                </c:pt>
                <c:pt idx="2500">
                  <c:v>2.342863956135588E-2</c:v>
                </c:pt>
                <c:pt idx="2501">
                  <c:v>2.342217572660843E-2</c:v>
                </c:pt>
                <c:pt idx="2502">
                  <c:v>2.3415735476355337E-2</c:v>
                </c:pt>
                <c:pt idx="2503">
                  <c:v>2.3409318810596602E-2</c:v>
                </c:pt>
                <c:pt idx="2504">
                  <c:v>2.3402925729572033E-2</c:v>
                </c:pt>
                <c:pt idx="2505">
                  <c:v>2.3396556233121757E-2</c:v>
                </c:pt>
                <c:pt idx="2506">
                  <c:v>2.3390210321085902E-2</c:v>
                </c:pt>
                <c:pt idx="2507">
                  <c:v>2.3383887993784214E-2</c:v>
                </c:pt>
                <c:pt idx="2508">
                  <c:v>2.3377589251056818E-2</c:v>
                </c:pt>
                <c:pt idx="2509">
                  <c:v>2.3371314092903717E-2</c:v>
                </c:pt>
                <c:pt idx="2510">
                  <c:v>2.3365062519244972E-2</c:v>
                </c:pt>
                <c:pt idx="2511">
                  <c:v>2.3358834530320394E-2</c:v>
                </c:pt>
                <c:pt idx="2512">
                  <c:v>2.3352630125890173E-2</c:v>
                </c:pt>
                <c:pt idx="2513">
                  <c:v>2.3346449306034245E-2</c:v>
                </c:pt>
                <c:pt idx="2514">
                  <c:v>2.3340292070752611E-2</c:v>
                </c:pt>
                <c:pt idx="2515">
                  <c:v>2.3334158420125206E-2</c:v>
                </c:pt>
                <c:pt idx="2516">
                  <c:v>2.3328048353912223E-2</c:v>
                </c:pt>
                <c:pt idx="2517">
                  <c:v>2.3321961872273533E-2</c:v>
                </c:pt>
                <c:pt idx="2518">
                  <c:v>2.3315898975369009E-2</c:v>
                </c:pt>
                <c:pt idx="2519">
                  <c:v>2.3309859662958843E-2</c:v>
                </c:pt>
                <c:pt idx="2520">
                  <c:v>2.330384393512297E-2</c:v>
                </c:pt>
                <c:pt idx="2521">
                  <c:v>2.3298832603753095E-2</c:v>
                </c:pt>
                <c:pt idx="2522">
                  <c:v>2.3292867941189233E-2</c:v>
                </c:pt>
                <c:pt idx="2523">
                  <c:v>2.3285938258821304E-2</c:v>
                </c:pt>
                <c:pt idx="2524">
                  <c:v>2.3280016869202669E-2</c:v>
                </c:pt>
                <c:pt idx="2525">
                  <c:v>2.3274119064238263E-2</c:v>
                </c:pt>
                <c:pt idx="2526">
                  <c:v>2.3268244843688279E-2</c:v>
                </c:pt>
                <c:pt idx="2527">
                  <c:v>2.3262394207792525E-2</c:v>
                </c:pt>
                <c:pt idx="2528">
                  <c:v>2.3256567156391128E-2</c:v>
                </c:pt>
                <c:pt idx="2529">
                  <c:v>2.3250763689564025E-2</c:v>
                </c:pt>
                <c:pt idx="2530">
                  <c:v>2.3244983807391151E-2</c:v>
                </c:pt>
                <c:pt idx="2531">
                  <c:v>2.3239227509552762E-2</c:v>
                </c:pt>
                <c:pt idx="2532">
                  <c:v>2.3233494796448539E-2</c:v>
                </c:pt>
                <c:pt idx="2533">
                  <c:v>2.3227785667838674E-2</c:v>
                </c:pt>
                <c:pt idx="2534">
                  <c:v>2.3222100123803102E-2</c:v>
                </c:pt>
                <c:pt idx="2535">
                  <c:v>2.3216438164261888E-2</c:v>
                </c:pt>
                <c:pt idx="2536">
                  <c:v>2.3210799789374903E-2</c:v>
                </c:pt>
                <c:pt idx="2537">
                  <c:v>2.3206576925684175E-2</c:v>
                </c:pt>
                <c:pt idx="2538">
                  <c:v>2.3199593793163942E-2</c:v>
                </c:pt>
                <c:pt idx="2539">
                  <c:v>2.3194026171760029E-2</c:v>
                </c:pt>
                <c:pt idx="2540">
                  <c:v>2.3188482135010346E-2</c:v>
                </c:pt>
                <c:pt idx="2541">
                  <c:v>2.3182961682755021E-2</c:v>
                </c:pt>
                <c:pt idx="2542">
                  <c:v>2.3177464815073989E-2</c:v>
                </c:pt>
                <c:pt idx="2543">
                  <c:v>2.3171991531967251E-2</c:v>
                </c:pt>
                <c:pt idx="2544">
                  <c:v>2.316654183335487E-2</c:v>
                </c:pt>
                <c:pt idx="2545">
                  <c:v>2.3161115719316783E-2</c:v>
                </c:pt>
                <c:pt idx="2546">
                  <c:v>2.3155713189693117E-2</c:v>
                </c:pt>
                <c:pt idx="2547">
                  <c:v>2.3150334244803616E-2</c:v>
                </c:pt>
                <c:pt idx="2548">
                  <c:v>2.3144978884328538E-2</c:v>
                </c:pt>
                <c:pt idx="2549">
                  <c:v>2.3139647108427752E-2</c:v>
                </c:pt>
                <c:pt idx="2550">
                  <c:v>2.3134338917021324E-2</c:v>
                </c:pt>
                <c:pt idx="2551">
                  <c:v>2.312905431018919E-2</c:v>
                </c:pt>
                <c:pt idx="2552">
                  <c:v>2.3123793287851413E-2</c:v>
                </c:pt>
                <c:pt idx="2553">
                  <c:v>2.3118555850007994E-2</c:v>
                </c:pt>
                <c:pt idx="2554">
                  <c:v>2.3113341996738868E-2</c:v>
                </c:pt>
                <c:pt idx="2555">
                  <c:v>2.3108151728044035E-2</c:v>
                </c:pt>
                <c:pt idx="2556">
                  <c:v>2.310298504384356E-2</c:v>
                </c:pt>
                <c:pt idx="2557">
                  <c:v>2.3097841944137443E-2</c:v>
                </c:pt>
                <c:pt idx="2558">
                  <c:v>2.3092722429005619E-2</c:v>
                </c:pt>
                <c:pt idx="2559">
                  <c:v>2.3087626498448088E-2</c:v>
                </c:pt>
                <c:pt idx="2560">
                  <c:v>2.3082554152225043E-2</c:v>
                </c:pt>
                <c:pt idx="2561">
                  <c:v>2.3077505390736164E-2</c:v>
                </c:pt>
                <c:pt idx="2562">
                  <c:v>2.3072480213661706E-2</c:v>
                </c:pt>
                <c:pt idx="2563">
                  <c:v>2.3067478621161541E-2</c:v>
                </c:pt>
                <c:pt idx="2564">
                  <c:v>2.3062500613075798E-2</c:v>
                </c:pt>
                <c:pt idx="2565">
                  <c:v>2.3057546189564349E-2</c:v>
                </c:pt>
                <c:pt idx="2566">
                  <c:v>2.3052615350627192E-2</c:v>
                </c:pt>
                <c:pt idx="2567">
                  <c:v>2.3047708096104458E-2</c:v>
                </c:pt>
                <c:pt idx="2568">
                  <c:v>2.3042824426156017E-2</c:v>
                </c:pt>
                <c:pt idx="2569">
                  <c:v>2.3037964340781869E-2</c:v>
                </c:pt>
                <c:pt idx="2570">
                  <c:v>2.3033127839742207E-2</c:v>
                </c:pt>
                <c:pt idx="2571">
                  <c:v>2.3028314923356774E-2</c:v>
                </c:pt>
                <c:pt idx="2572">
                  <c:v>2.3023525591385763E-2</c:v>
                </c:pt>
                <c:pt idx="2573">
                  <c:v>2.3018759844068981E-2</c:v>
                </c:pt>
                <c:pt idx="2574">
                  <c:v>2.3014017681246557E-2</c:v>
                </c:pt>
                <c:pt idx="2575">
                  <c:v>2.3009299102758618E-2</c:v>
                </c:pt>
                <c:pt idx="2576">
                  <c:v>2.3004604108924909E-2</c:v>
                </c:pt>
                <c:pt idx="2577">
                  <c:v>2.2999932699585557E-2</c:v>
                </c:pt>
                <c:pt idx="2578">
                  <c:v>2.2995284874660626E-2</c:v>
                </c:pt>
                <c:pt idx="2579">
                  <c:v>2.2990660634389926E-2</c:v>
                </c:pt>
                <c:pt idx="2580">
                  <c:v>2.2986059978533646E-2</c:v>
                </c:pt>
                <c:pt idx="2581">
                  <c:v>2.298148290725166E-2</c:v>
                </c:pt>
                <c:pt idx="2582">
                  <c:v>2.297692942030416E-2</c:v>
                </c:pt>
                <c:pt idx="2583">
                  <c:v>2.2972399518090825E-2</c:v>
                </c:pt>
                <c:pt idx="2584">
                  <c:v>2.2967893200211975E-2</c:v>
                </c:pt>
                <c:pt idx="2585">
                  <c:v>2.2963410466907419E-2</c:v>
                </c:pt>
                <c:pt idx="2586">
                  <c:v>2.2958951318017284E-2</c:v>
                </c:pt>
                <c:pt idx="2587">
                  <c:v>2.2956180403991056E-2</c:v>
                </c:pt>
                <c:pt idx="2588">
                  <c:v>2.2950103773800024E-2</c:v>
                </c:pt>
                <c:pt idx="2589">
                  <c:v>2.2945715378472897E-2</c:v>
                </c:pt>
                <c:pt idx="2590">
                  <c:v>2.2941350567560193E-2</c:v>
                </c:pt>
                <c:pt idx="2591">
                  <c:v>2.2937009341221781E-2</c:v>
                </c:pt>
                <c:pt idx="2592">
                  <c:v>2.2932691699457664E-2</c:v>
                </c:pt>
                <c:pt idx="2593">
                  <c:v>2.2928397641948095E-2</c:v>
                </c:pt>
                <c:pt idx="2594">
                  <c:v>2.2924127169172692E-2</c:v>
                </c:pt>
                <c:pt idx="2595">
                  <c:v>2.2919880280811711E-2</c:v>
                </c:pt>
                <c:pt idx="2596">
                  <c:v>2.2915656976865151E-2</c:v>
                </c:pt>
                <c:pt idx="2597">
                  <c:v>2.2911457257412948E-2</c:v>
                </c:pt>
                <c:pt idx="2598">
                  <c:v>2.2907281122535039E-2</c:v>
                </c:pt>
                <c:pt idx="2599">
                  <c:v>2.2903128572151488E-2</c:v>
                </c:pt>
                <c:pt idx="2600">
                  <c:v>2.2898999606102421E-2</c:v>
                </c:pt>
                <c:pt idx="2601">
                  <c:v>2.2894894224627649E-2</c:v>
                </c:pt>
                <c:pt idx="2602">
                  <c:v>2.289081242772717E-2</c:v>
                </c:pt>
                <c:pt idx="2603">
                  <c:v>2.2886754215241112E-2</c:v>
                </c:pt>
                <c:pt idx="2604">
                  <c:v>2.2882719587249412E-2</c:v>
                </c:pt>
                <c:pt idx="2605">
                  <c:v>2.2878708543752069E-2</c:v>
                </c:pt>
                <c:pt idx="2606">
                  <c:v>2.2874721084749083E-2</c:v>
                </c:pt>
                <c:pt idx="2607">
                  <c:v>2.2870757210000647E-2</c:v>
                </c:pt>
                <c:pt idx="2608">
                  <c:v>2.2866816919986377E-2</c:v>
                </c:pt>
                <c:pt idx="2609">
                  <c:v>2.2862900214466464E-2</c:v>
                </c:pt>
                <c:pt idx="2610">
                  <c:v>2.2859007093440908E-2</c:v>
                </c:pt>
                <c:pt idx="2611">
                  <c:v>2.2855137556669902E-2</c:v>
                </c:pt>
                <c:pt idx="2612">
                  <c:v>2.2851291604553126E-2</c:v>
                </c:pt>
                <c:pt idx="2613">
                  <c:v>2.2847469236770834E-2</c:v>
                </c:pt>
                <c:pt idx="2614">
                  <c:v>2.2843670453642773E-2</c:v>
                </c:pt>
                <c:pt idx="2615">
                  <c:v>2.283989525476926E-2</c:v>
                </c:pt>
                <c:pt idx="2616">
                  <c:v>2.2836143640629913E-2</c:v>
                </c:pt>
                <c:pt idx="2617">
                  <c:v>2.2832415610825052E-2</c:v>
                </c:pt>
                <c:pt idx="2618">
                  <c:v>2.2828711165434612E-2</c:v>
                </c:pt>
                <c:pt idx="2619">
                  <c:v>2.2825030304618465E-2</c:v>
                </c:pt>
                <c:pt idx="2620">
                  <c:v>2.2821373028376613E-2</c:v>
                </c:pt>
                <c:pt idx="2621">
                  <c:v>2.2817739336549181E-2</c:v>
                </c:pt>
                <c:pt idx="2622">
                  <c:v>2.2814129228976299E-2</c:v>
                </c:pt>
                <c:pt idx="2623">
                  <c:v>2.2810542706137582E-2</c:v>
                </c:pt>
                <c:pt idx="2624">
                  <c:v>2.2806979767553415E-2</c:v>
                </c:pt>
                <c:pt idx="2625">
                  <c:v>2.2803440413543541E-2</c:v>
                </c:pt>
                <c:pt idx="2626">
                  <c:v>2.2800840868164585E-2</c:v>
                </c:pt>
                <c:pt idx="2627">
                  <c:v>2.2796882636848537E-2</c:v>
                </c:pt>
                <c:pt idx="2628">
                  <c:v>2.2793420336215675E-2</c:v>
                </c:pt>
                <c:pt idx="2629">
                  <c:v>2.2789981623141387E-2</c:v>
                </c:pt>
                <c:pt idx="2630">
                  <c:v>2.278656649757238E-2</c:v>
                </c:pt>
                <c:pt idx="2631">
                  <c:v>2.2783174959535302E-2</c:v>
                </c:pt>
                <c:pt idx="2632">
                  <c:v>2.2779807009003505E-2</c:v>
                </c:pt>
                <c:pt idx="2633">
                  <c:v>2.2776462646003637E-2</c:v>
                </c:pt>
                <c:pt idx="2634">
                  <c:v>2.2773141870429114E-2</c:v>
                </c:pt>
                <c:pt idx="2635">
                  <c:v>2.276984468243981E-2</c:v>
                </c:pt>
                <c:pt idx="2636">
                  <c:v>2.2766571081929143E-2</c:v>
                </c:pt>
                <c:pt idx="2637">
                  <c:v>2.2763321068923759E-2</c:v>
                </c:pt>
                <c:pt idx="2638">
                  <c:v>2.2760094643423656E-2</c:v>
                </c:pt>
                <c:pt idx="2639">
                  <c:v>2.2756891805375545E-2</c:v>
                </c:pt>
                <c:pt idx="2640">
                  <c:v>2.2753712554859362E-2</c:v>
                </c:pt>
                <c:pt idx="2641">
                  <c:v>2.2750556891821816E-2</c:v>
                </c:pt>
                <c:pt idx="2642">
                  <c:v>2.274465253034208E-2</c:v>
                </c:pt>
                <c:pt idx="2643">
                  <c:v>2.2744316328315861E-2</c:v>
                </c:pt>
                <c:pt idx="2644">
                  <c:v>2.2741231427767516E-2</c:v>
                </c:pt>
                <c:pt idx="2645">
                  <c:v>2.2738170114671163E-2</c:v>
                </c:pt>
                <c:pt idx="2646">
                  <c:v>2.2735132389133383E-2</c:v>
                </c:pt>
                <c:pt idx="2647">
                  <c:v>2.2732118250994304E-2</c:v>
                </c:pt>
                <c:pt idx="2648">
                  <c:v>2.2729127700387153E-2</c:v>
                </c:pt>
                <c:pt idx="2649">
                  <c:v>2.2726160737285284E-2</c:v>
                </c:pt>
                <c:pt idx="2650">
                  <c:v>2.2723217361635406E-2</c:v>
                </c:pt>
                <c:pt idx="2651">
                  <c:v>2.2720297573464165E-2</c:v>
                </c:pt>
                <c:pt idx="2652">
                  <c:v>2.2717401372691626E-2</c:v>
                </c:pt>
                <c:pt idx="2653">
                  <c:v>2.2714528759477659E-2</c:v>
                </c:pt>
                <c:pt idx="2654">
                  <c:v>2.2711679733715684E-2</c:v>
                </c:pt>
                <c:pt idx="2655">
                  <c:v>2.2708854295458991E-2</c:v>
                </c:pt>
                <c:pt idx="2656">
                  <c:v>2.2706052444627645E-2</c:v>
                </c:pt>
                <c:pt idx="2657">
                  <c:v>2.270327418124829E-2</c:v>
                </c:pt>
                <c:pt idx="2658">
                  <c:v>2.2700519505347572E-2</c:v>
                </c:pt>
                <c:pt idx="2659">
                  <c:v>2.2697788416952136E-2</c:v>
                </c:pt>
                <c:pt idx="2660">
                  <c:v>2.2695080916008692E-2</c:v>
                </c:pt>
                <c:pt idx="2661">
                  <c:v>2.2692397002490594E-2</c:v>
                </c:pt>
                <c:pt idx="2662">
                  <c:v>2.2689736676451133E-2</c:v>
                </c:pt>
                <c:pt idx="2663">
                  <c:v>2.2687099937810373E-2</c:v>
                </c:pt>
                <c:pt idx="2664">
                  <c:v>2.2684486786701541E-2</c:v>
                </c:pt>
                <c:pt idx="2665">
                  <c:v>2.2681897223018055E-2</c:v>
                </c:pt>
                <c:pt idx="2666">
                  <c:v>2.267933124678656E-2</c:v>
                </c:pt>
                <c:pt idx="2667">
                  <c:v>2.2676788858033703E-2</c:v>
                </c:pt>
                <c:pt idx="2668">
                  <c:v>2.2674270056652901E-2</c:v>
                </c:pt>
                <c:pt idx="2669">
                  <c:v>2.2671774842777381E-2</c:v>
                </c:pt>
                <c:pt idx="2670">
                  <c:v>2.2669303216327208E-2</c:v>
                </c:pt>
                <c:pt idx="2671">
                  <c:v>2.2666855177355671E-2</c:v>
                </c:pt>
                <c:pt idx="2672">
                  <c:v>2.2664430725756191E-2</c:v>
                </c:pt>
                <c:pt idx="2673">
                  <c:v>2.2662029861688637E-2</c:v>
                </c:pt>
                <c:pt idx="2674">
                  <c:v>2.2659652585019785E-2</c:v>
                </c:pt>
                <c:pt idx="2675">
                  <c:v>2.2657298895802924E-2</c:v>
                </c:pt>
                <c:pt idx="2676">
                  <c:v>2.2654968793958119E-2</c:v>
                </c:pt>
                <c:pt idx="2677">
                  <c:v>2.2652662279591951E-2</c:v>
                </c:pt>
                <c:pt idx="2678">
                  <c:v>2.2648857193279248E-2</c:v>
                </c:pt>
                <c:pt idx="2679">
                  <c:v>2.2646054063670817E-2</c:v>
                </c:pt>
                <c:pt idx="2680">
                  <c:v>2.2643825331272183E-2</c:v>
                </c:pt>
                <c:pt idx="2681">
                  <c:v>2.2641620183367905E-2</c:v>
                </c:pt>
                <c:pt idx="2682">
                  <c:v>2.2639438619798113E-2</c:v>
                </c:pt>
                <c:pt idx="2683">
                  <c:v>2.2637280640722679E-2</c:v>
                </c:pt>
                <c:pt idx="2684">
                  <c:v>2.2635146246061666E-2</c:v>
                </c:pt>
                <c:pt idx="2685">
                  <c:v>2.263303543589501E-2</c:v>
                </c:pt>
                <c:pt idx="2686">
                  <c:v>2.2630948209982904E-2</c:v>
                </c:pt>
                <c:pt idx="2687">
                  <c:v>2.2628884568804963E-2</c:v>
                </c:pt>
                <c:pt idx="2688">
                  <c:v>2.2626844511881572E-2</c:v>
                </c:pt>
                <c:pt idx="2689">
                  <c:v>2.2624828039292666E-2</c:v>
                </c:pt>
                <c:pt idx="2690">
                  <c:v>2.2622835151278053E-2</c:v>
                </c:pt>
                <c:pt idx="2691">
                  <c:v>2.2620865847597926E-2</c:v>
                </c:pt>
                <c:pt idx="2692">
                  <c:v>2.2618920128412157E-2</c:v>
                </c:pt>
                <c:pt idx="2693">
                  <c:v>2.2616453144115312E-2</c:v>
                </c:pt>
                <c:pt idx="2694">
                  <c:v>2.2615099443443754E-2</c:v>
                </c:pt>
                <c:pt idx="2695">
                  <c:v>2.2613224477421312E-2</c:v>
                </c:pt>
                <c:pt idx="2696">
                  <c:v>2.2611373095893228E-2</c:v>
                </c:pt>
                <c:pt idx="2697">
                  <c:v>2.2609545298939437E-2</c:v>
                </c:pt>
                <c:pt idx="2698">
                  <c:v>2.2607741086320132E-2</c:v>
                </c:pt>
                <c:pt idx="2699">
                  <c:v>2.2605960458275121E-2</c:v>
                </c:pt>
                <c:pt idx="2700">
                  <c:v>2.2604203414324786E-2</c:v>
                </c:pt>
                <c:pt idx="2701">
                  <c:v>2.2602469955028681E-2</c:v>
                </c:pt>
                <c:pt idx="2702">
                  <c:v>2.2600760080146998E-2</c:v>
                </c:pt>
                <c:pt idx="2703">
                  <c:v>2.2599073789759672E-2</c:v>
                </c:pt>
                <c:pt idx="2704">
                  <c:v>2.2597411083546959E-2</c:v>
                </c:pt>
                <c:pt idx="2705">
                  <c:v>2.2595771962068412E-2</c:v>
                </c:pt>
                <c:pt idx="2706">
                  <c:v>2.2594156424844414E-2</c:v>
                </c:pt>
                <c:pt idx="2707">
                  <c:v>2.2592564472034837E-2</c:v>
                </c:pt>
                <c:pt idx="2708">
                  <c:v>2.2590996103719618E-2</c:v>
                </c:pt>
                <c:pt idx="2709">
                  <c:v>2.2589451319898757E-2</c:v>
                </c:pt>
                <c:pt idx="2710">
                  <c:v>2.2587930120412381E-2</c:v>
                </c:pt>
                <c:pt idx="2711">
                  <c:v>2.2586432505180554E-2</c:v>
                </c:pt>
                <c:pt idx="2712">
                  <c:v>2.2584958474762828E-2</c:v>
                </c:pt>
                <c:pt idx="2713">
                  <c:v>2.2583508028519717E-2</c:v>
                </c:pt>
                <c:pt idx="2714">
                  <c:v>2.2582081166691026E-2</c:v>
                </c:pt>
                <c:pt idx="2715">
                  <c:v>2.2580677889276757E-2</c:v>
                </c:pt>
                <c:pt idx="2716">
                  <c:v>2.2579298196356845E-2</c:v>
                </c:pt>
                <c:pt idx="2717">
                  <c:v>2.2577942087851355E-2</c:v>
                </c:pt>
                <c:pt idx="2718">
                  <c:v>2.2576609563760286E-2</c:v>
                </c:pt>
                <c:pt idx="2719">
                  <c:v>2.2575300624163575E-2</c:v>
                </c:pt>
                <c:pt idx="2720">
                  <c:v>2.2574015268901348E-2</c:v>
                </c:pt>
                <c:pt idx="2721">
                  <c:v>2.2572753498053544E-2</c:v>
                </c:pt>
                <c:pt idx="2722">
                  <c:v>2.2571515311540225E-2</c:v>
                </c:pt>
                <c:pt idx="2723">
                  <c:v>2.2570300709681135E-2</c:v>
                </c:pt>
                <c:pt idx="2724">
                  <c:v>2.2569109692076594E-2</c:v>
                </c:pt>
                <c:pt idx="2725">
                  <c:v>2.2567942258966411E-2</c:v>
                </c:pt>
                <c:pt idx="2726">
                  <c:v>2.256679841027065E-2</c:v>
                </c:pt>
                <c:pt idx="2727">
                  <c:v>2.2565678146069246E-2</c:v>
                </c:pt>
                <c:pt idx="2728">
                  <c:v>2.2564581466042455E-2</c:v>
                </c:pt>
                <c:pt idx="2729">
                  <c:v>2.2563508370669894E-2</c:v>
                </c:pt>
                <c:pt idx="2730">
                  <c:v>2.256294411306925E-2</c:v>
                </c:pt>
                <c:pt idx="2731">
                  <c:v>2.2561288297264781E-2</c:v>
                </c:pt>
                <c:pt idx="2732">
                  <c:v>2.2560289324280447E-2</c:v>
                </c:pt>
                <c:pt idx="2733">
                  <c:v>2.255931393579047E-2</c:v>
                </c:pt>
                <c:pt idx="2734">
                  <c:v>2.2558362131555043E-2</c:v>
                </c:pt>
                <c:pt idx="2735">
                  <c:v>2.2557433911813973E-2</c:v>
                </c:pt>
                <c:pt idx="2736">
                  <c:v>2.2556529276487325E-2</c:v>
                </c:pt>
                <c:pt idx="2737">
                  <c:v>2.2555648225495162E-2</c:v>
                </c:pt>
                <c:pt idx="2738">
                  <c:v>2.2554790759157228E-2</c:v>
                </c:pt>
                <c:pt idx="2739">
                  <c:v>2.2553956877073844E-2</c:v>
                </c:pt>
                <c:pt idx="2740">
                  <c:v>2.2553146579404881E-2</c:v>
                </c:pt>
                <c:pt idx="2741">
                  <c:v>2.2552359866230276E-2</c:v>
                </c:pt>
                <c:pt idx="2742">
                  <c:v>2.2551596737470092E-2</c:v>
                </c:pt>
                <c:pt idx="2743">
                  <c:v>2.2550650226520474E-2</c:v>
                </c:pt>
                <c:pt idx="2744">
                  <c:v>2.2549941005038932E-2</c:v>
                </c:pt>
                <c:pt idx="2745">
                  <c:v>2.2549255367811938E-2</c:v>
                </c:pt>
                <c:pt idx="2746">
                  <c:v>2.2548593315079302E-2</c:v>
                </c:pt>
                <c:pt idx="2747">
                  <c:v>2.2549189177452078E-2</c:v>
                </c:pt>
                <c:pt idx="2748">
                  <c:v>2.2547339962777357E-2</c:v>
                </c:pt>
                <c:pt idx="2749">
                  <c:v>2.2546748663367921E-2</c:v>
                </c:pt>
                <c:pt idx="2750">
                  <c:v>2.2546180948452843E-2</c:v>
                </c:pt>
                <c:pt idx="2751">
                  <c:v>2.2545636817632442E-2</c:v>
                </c:pt>
                <c:pt idx="2752">
                  <c:v>2.254511627146627E-2</c:v>
                </c:pt>
                <c:pt idx="2753">
                  <c:v>2.254461930971452E-2</c:v>
                </c:pt>
                <c:pt idx="2754">
                  <c:v>2.2544145932297255E-2</c:v>
                </c:pt>
                <c:pt idx="2755">
                  <c:v>2.2543696139294411E-2</c:v>
                </c:pt>
                <c:pt idx="2756">
                  <c:v>2.2543269930705989E-2</c:v>
                </c:pt>
                <c:pt idx="2757">
                  <c:v>2.2542867306611925E-2</c:v>
                </c:pt>
                <c:pt idx="2758">
                  <c:v>2.2542488266772409E-2</c:v>
                </c:pt>
                <c:pt idx="2759">
                  <c:v>2.2542132811427251E-2</c:v>
                </c:pt>
                <c:pt idx="2760">
                  <c:v>2.2541800940656387E-2</c:v>
                </c:pt>
                <c:pt idx="2761">
                  <c:v>2.2541492654140072E-2</c:v>
                </c:pt>
                <c:pt idx="2762">
                  <c:v>2.2541207952118114E-2</c:v>
                </c:pt>
                <c:pt idx="2763">
                  <c:v>2.2540946834510578E-2</c:v>
                </c:pt>
                <c:pt idx="2764">
                  <c:v>2.2540709301237527E-2</c:v>
                </c:pt>
                <c:pt idx="2765">
                  <c:v>2.2540495352458834E-2</c:v>
                </c:pt>
                <c:pt idx="2766">
                  <c:v>2.2540304988014626E-2</c:v>
                </c:pt>
                <c:pt idx="2767">
                  <c:v>2.2540138208064775E-2</c:v>
                </c:pt>
                <c:pt idx="2768">
                  <c:v>2.253999501244941E-2</c:v>
                </c:pt>
                <c:pt idx="2769">
                  <c:v>2.2539875401248466E-2</c:v>
                </c:pt>
                <c:pt idx="2770">
                  <c:v>2.2539779374621816E-2</c:v>
                </c:pt>
                <c:pt idx="2771">
                  <c:v>2.2539706932249715E-2</c:v>
                </c:pt>
                <c:pt idx="2772">
                  <c:v>2.2539658074451907E-2</c:v>
                </c:pt>
                <c:pt idx="2773">
                  <c:v>2.2539632800828713E-2</c:v>
                </c:pt>
                <c:pt idx="2774">
                  <c:v>2.2539631111779812E-2</c:v>
                </c:pt>
                <c:pt idx="2775">
                  <c:v>2.2539653007145333E-2</c:v>
                </c:pt>
                <c:pt idx="2776">
                  <c:v>2.2539698486845339E-2</c:v>
                </c:pt>
                <c:pt idx="2777">
                  <c:v>2.2539767551039702E-2</c:v>
                </c:pt>
                <c:pt idx="2778">
                  <c:v>2.2539860199648487E-2</c:v>
                </c:pt>
                <c:pt idx="2779">
                  <c:v>2.2539976432591757E-2</c:v>
                </c:pt>
                <c:pt idx="2780">
                  <c:v>2.2540116250109321E-2</c:v>
                </c:pt>
                <c:pt idx="2781">
                  <c:v>2.2540383613360859E-2</c:v>
                </c:pt>
                <c:pt idx="2782">
                  <c:v>2.2541935904696331E-2</c:v>
                </c:pt>
                <c:pt idx="2783">
                  <c:v>2.2540677208828797E-2</c:v>
                </c:pt>
                <c:pt idx="2784">
                  <c:v>2.2540911363844174E-2</c:v>
                </c:pt>
                <c:pt idx="2785">
                  <c:v>2.2541169103433845E-2</c:v>
                </c:pt>
                <c:pt idx="2786">
                  <c:v>2.2541450427358001E-2</c:v>
                </c:pt>
                <c:pt idx="2787">
                  <c:v>2.2541755335696578E-2</c:v>
                </c:pt>
                <c:pt idx="2788">
                  <c:v>2.2542083828369641E-2</c:v>
                </c:pt>
                <c:pt idx="2789">
                  <c:v>2.2542435905616998E-2</c:v>
                </c:pt>
                <c:pt idx="2790">
                  <c:v>2.2542811567198839E-2</c:v>
                </c:pt>
                <c:pt idx="2791">
                  <c:v>2.2543210813115167E-2</c:v>
                </c:pt>
                <c:pt idx="2792">
                  <c:v>2.2543633643525851E-2</c:v>
                </c:pt>
                <c:pt idx="2793">
                  <c:v>2.2544080058350957E-2</c:v>
                </c:pt>
                <c:pt idx="2794">
                  <c:v>2.2544550057510548E-2</c:v>
                </c:pt>
                <c:pt idx="2795">
                  <c:v>2.2545043641244433E-2</c:v>
                </c:pt>
                <c:pt idx="2796">
                  <c:v>2.254556080939274E-2</c:v>
                </c:pt>
                <c:pt idx="2797">
                  <c:v>2.254908512970033E-2</c:v>
                </c:pt>
                <c:pt idx="2798">
                  <c:v>2.2546665898772744E-2</c:v>
                </c:pt>
                <c:pt idx="2799">
                  <c:v>2.2547253820164315E-2</c:v>
                </c:pt>
                <c:pt idx="2800">
                  <c:v>2.2547865325890371E-2</c:v>
                </c:pt>
                <c:pt idx="2801">
                  <c:v>2.2548500416030848E-2</c:v>
                </c:pt>
                <c:pt idx="2802">
                  <c:v>2.2549159090585746E-2</c:v>
                </c:pt>
                <c:pt idx="2803">
                  <c:v>2.2549841349555066E-2</c:v>
                </c:pt>
                <c:pt idx="2804">
                  <c:v>2.2550547193018744E-2</c:v>
                </c:pt>
                <c:pt idx="2805">
                  <c:v>2.2551276620816907E-2</c:v>
                </c:pt>
                <c:pt idx="2806">
                  <c:v>2.2552029633029491E-2</c:v>
                </c:pt>
                <c:pt idx="2807">
                  <c:v>2.2552806229736433E-2</c:v>
                </c:pt>
                <c:pt idx="2808">
                  <c:v>2.2553606410857796E-2</c:v>
                </c:pt>
                <c:pt idx="2809">
                  <c:v>2.2554430176313645E-2</c:v>
                </c:pt>
                <c:pt idx="2810">
                  <c:v>2.2555277526263851E-2</c:v>
                </c:pt>
                <c:pt idx="2811">
                  <c:v>2.2556148460708414E-2</c:v>
                </c:pt>
                <c:pt idx="2812">
                  <c:v>2.2557042979407527E-2</c:v>
                </c:pt>
                <c:pt idx="2813">
                  <c:v>2.2557961082600997E-2</c:v>
                </c:pt>
                <c:pt idx="2814">
                  <c:v>2.2558902770208888E-2</c:v>
                </c:pt>
                <c:pt idx="2815">
                  <c:v>2.2559868042151265E-2</c:v>
                </c:pt>
                <c:pt idx="2816">
                  <c:v>2.2560856898588E-2</c:v>
                </c:pt>
                <c:pt idx="2817">
                  <c:v>2.2561869339519092E-2</c:v>
                </c:pt>
                <c:pt idx="2818">
                  <c:v>2.2562905364704733E-2</c:v>
                </c:pt>
                <c:pt idx="2819">
                  <c:v>2.2563964974464668E-2</c:v>
                </c:pt>
                <c:pt idx="2820">
                  <c:v>2.2565048168559088E-2</c:v>
                </c:pt>
                <c:pt idx="2821">
                  <c:v>2.2566154947147865E-2</c:v>
                </c:pt>
                <c:pt idx="2822">
                  <c:v>2.2567285310071128E-2</c:v>
                </c:pt>
                <c:pt idx="2823">
                  <c:v>2.2568439257408812E-2</c:v>
                </c:pt>
                <c:pt idx="2824">
                  <c:v>2.2569616789240854E-2</c:v>
                </c:pt>
                <c:pt idx="2825">
                  <c:v>2.2570817905487317E-2</c:v>
                </c:pt>
                <c:pt idx="2826">
                  <c:v>2.2572042606228138E-2</c:v>
                </c:pt>
                <c:pt idx="2827">
                  <c:v>2.2573290891143571E-2</c:v>
                </c:pt>
                <c:pt idx="2828">
                  <c:v>2.2574562760633299E-2</c:v>
                </c:pt>
                <c:pt idx="2829">
                  <c:v>2.2575858214537448E-2</c:v>
                </c:pt>
                <c:pt idx="2830">
                  <c:v>2.2577177252856018E-2</c:v>
                </c:pt>
                <c:pt idx="2831">
                  <c:v>2.2578519875668945E-2</c:v>
                </c:pt>
                <c:pt idx="2832">
                  <c:v>2.2579886082896294E-2</c:v>
                </c:pt>
                <c:pt idx="2833">
                  <c:v>2.2581275874378193E-2</c:v>
                </c:pt>
                <c:pt idx="2834">
                  <c:v>2.2582689250434385E-2</c:v>
                </c:pt>
                <c:pt idx="2835">
                  <c:v>2.2584126210825062E-2</c:v>
                </c:pt>
                <c:pt idx="2836">
                  <c:v>2.2585586755869969E-2</c:v>
                </c:pt>
                <c:pt idx="2837">
                  <c:v>2.2587070885009553E-2</c:v>
                </c:pt>
                <c:pt idx="2838">
                  <c:v>2.2588578598803366E-2</c:v>
                </c:pt>
                <c:pt idx="2839">
                  <c:v>2.2590109896851729E-2</c:v>
                </c:pt>
                <c:pt idx="2840">
                  <c:v>2.2591664779474385E-2</c:v>
                </c:pt>
                <c:pt idx="2841">
                  <c:v>2.2593243246511463E-2</c:v>
                </c:pt>
                <c:pt idx="2842">
                  <c:v>2.2594845297962962E-2</c:v>
                </c:pt>
                <c:pt idx="2843">
                  <c:v>2.2596470933748947E-2</c:v>
                </c:pt>
                <c:pt idx="2844">
                  <c:v>2.2598120154189161E-2</c:v>
                </c:pt>
                <c:pt idx="2845">
                  <c:v>2.2599792958803988E-2</c:v>
                </c:pt>
                <c:pt idx="2846">
                  <c:v>2.2601489347913173E-2</c:v>
                </c:pt>
                <c:pt idx="2847">
                  <c:v>2.2603209321516715E-2</c:v>
                </c:pt>
                <c:pt idx="2848">
                  <c:v>2.2608294956086183E-2</c:v>
                </c:pt>
                <c:pt idx="2849">
                  <c:v>2.2606720021887128E-2</c:v>
                </c:pt>
                <c:pt idx="2850">
                  <c:v>2.260851074881387E-2</c:v>
                </c:pt>
                <c:pt idx="2851">
                  <c:v>2.2610325060075098E-2</c:v>
                </c:pt>
                <c:pt idx="2852">
                  <c:v>2.2612162955750748E-2</c:v>
                </c:pt>
                <c:pt idx="2853">
                  <c:v>2.2614024435920754E-2</c:v>
                </c:pt>
                <c:pt idx="2854">
                  <c:v>2.2615909500505182E-2</c:v>
                </c:pt>
                <c:pt idx="2855">
                  <c:v>2.2617818149424096E-2</c:v>
                </c:pt>
                <c:pt idx="2856">
                  <c:v>2.2619750382757431E-2</c:v>
                </c:pt>
                <c:pt idx="2857">
                  <c:v>2.2621706200744995E-2</c:v>
                </c:pt>
                <c:pt idx="2858">
                  <c:v>2.2623685603067045E-2</c:v>
                </c:pt>
                <c:pt idx="2859">
                  <c:v>2.2625688589643644E-2</c:v>
                </c:pt>
                <c:pt idx="2860">
                  <c:v>2.2627715160874473E-2</c:v>
                </c:pt>
                <c:pt idx="2861">
                  <c:v>2.2629765316519723E-2</c:v>
                </c:pt>
                <c:pt idx="2862">
                  <c:v>2.2631839056579395E-2</c:v>
                </c:pt>
                <c:pt idx="2863">
                  <c:v>2.2633936380973552E-2</c:v>
                </c:pt>
                <c:pt idx="2864">
                  <c:v>2.2636057289942002E-2</c:v>
                </c:pt>
                <c:pt idx="2865">
                  <c:v>2.2638201783244938E-2</c:v>
                </c:pt>
                <c:pt idx="2866">
                  <c:v>2.2640369860962295E-2</c:v>
                </c:pt>
                <c:pt idx="2867">
                  <c:v>2.264256152317401E-2</c:v>
                </c:pt>
                <c:pt idx="2868">
                  <c:v>2.2644776769800146E-2</c:v>
                </c:pt>
                <c:pt idx="2869">
                  <c:v>2.2647015600920639E-2</c:v>
                </c:pt>
                <c:pt idx="2870">
                  <c:v>2.2649278016295682E-2</c:v>
                </c:pt>
                <c:pt idx="2871">
                  <c:v>2.2651564016165082E-2</c:v>
                </c:pt>
                <c:pt idx="2872">
                  <c:v>2.2653873600688712E-2</c:v>
                </c:pt>
                <c:pt idx="2873">
                  <c:v>2.2656206769466891E-2</c:v>
                </c:pt>
                <c:pt idx="2874">
                  <c:v>2.2658563522659492E-2</c:v>
                </c:pt>
                <c:pt idx="2875">
                  <c:v>2.2660943860426386E-2</c:v>
                </c:pt>
                <c:pt idx="2876">
                  <c:v>2.2663347782527765E-2</c:v>
                </c:pt>
                <c:pt idx="2877">
                  <c:v>2.2665775289123502E-2</c:v>
                </c:pt>
                <c:pt idx="2878">
                  <c:v>2.2668226380053724E-2</c:v>
                </c:pt>
                <c:pt idx="2879">
                  <c:v>2.2670701055638176E-2</c:v>
                </c:pt>
                <c:pt idx="2880">
                  <c:v>2.2673199315557113E-2</c:v>
                </c:pt>
                <c:pt idx="2881">
                  <c:v>2.26757211597306E-2</c:v>
                </c:pt>
                <c:pt idx="2882">
                  <c:v>2.2678266588558316E-2</c:v>
                </c:pt>
                <c:pt idx="2883">
                  <c:v>2.2680835601880389E-2</c:v>
                </c:pt>
                <c:pt idx="2884">
                  <c:v>2.2683428199457012E-2</c:v>
                </c:pt>
                <c:pt idx="2885">
                  <c:v>2.2686044381607928E-2</c:v>
                </c:pt>
                <c:pt idx="2886">
                  <c:v>2.2688684148173266E-2</c:v>
                </c:pt>
                <c:pt idx="2887">
                  <c:v>2.2691347499153025E-2</c:v>
                </c:pt>
                <c:pt idx="2888">
                  <c:v>2.2694034434627142E-2</c:v>
                </c:pt>
                <c:pt idx="2889">
                  <c:v>2.2696744954435744E-2</c:v>
                </c:pt>
                <c:pt idx="2890">
                  <c:v>2.2699479058898575E-2</c:v>
                </c:pt>
                <c:pt idx="2891">
                  <c:v>2.2702236747615956E-2</c:v>
                </c:pt>
                <c:pt idx="2892">
                  <c:v>2.2705018020827694E-2</c:v>
                </c:pt>
                <c:pt idx="2893">
                  <c:v>2.270782287853379E-2</c:v>
                </c:pt>
                <c:pt idx="2894">
                  <c:v>2.2710651320654307E-2</c:v>
                </c:pt>
                <c:pt idx="2895">
                  <c:v>2.2713503347269182E-2</c:v>
                </c:pt>
                <c:pt idx="2896">
                  <c:v>2.2716378958218542E-2</c:v>
                </c:pt>
                <c:pt idx="2897">
                  <c:v>2.2719278153742195E-2</c:v>
                </c:pt>
                <c:pt idx="2898">
                  <c:v>2.272590954442677E-2</c:v>
                </c:pt>
                <c:pt idx="2899">
                  <c:v>2.2725147298032766E-2</c:v>
                </c:pt>
                <c:pt idx="2900">
                  <c:v>2.2728117246799684E-2</c:v>
                </c:pt>
                <c:pt idx="2901">
                  <c:v>2.2731110780220831E-2</c:v>
                </c:pt>
                <c:pt idx="2902">
                  <c:v>2.2734127897896528E-2</c:v>
                </c:pt>
                <c:pt idx="2903">
                  <c:v>2.2737168599986646E-2</c:v>
                </c:pt>
                <c:pt idx="2904">
                  <c:v>2.2740232886810929E-2</c:v>
                </c:pt>
                <c:pt idx="2905">
                  <c:v>2.2743320757809826E-2</c:v>
                </c:pt>
                <c:pt idx="2906">
                  <c:v>2.2746432213303081E-2</c:v>
                </c:pt>
                <c:pt idx="2907">
                  <c:v>2.2749567253290692E-2</c:v>
                </c:pt>
                <c:pt idx="2908">
                  <c:v>2.2752725877852598E-2</c:v>
                </c:pt>
                <c:pt idx="2909">
                  <c:v>2.2755908086828924E-2</c:v>
                </c:pt>
                <c:pt idx="2910">
                  <c:v>2.2759113880139736E-2</c:v>
                </c:pt>
                <c:pt idx="2911">
                  <c:v>2.2762343258104778E-2</c:v>
                </c:pt>
                <c:pt idx="2912">
                  <c:v>2.2765596220404305E-2</c:v>
                </c:pt>
                <c:pt idx="2913">
                  <c:v>2.2768872767198189E-2</c:v>
                </c:pt>
                <c:pt idx="2914">
                  <c:v>2.2772172898406495E-2</c:v>
                </c:pt>
                <c:pt idx="2915">
                  <c:v>2.2775496613949286E-2</c:v>
                </c:pt>
                <c:pt idx="2916">
                  <c:v>2.2778843914066371E-2</c:v>
                </c:pt>
                <c:pt idx="2917">
                  <c:v>2.2782214798677813E-2</c:v>
                </c:pt>
                <c:pt idx="2918">
                  <c:v>2.2785609267783613E-2</c:v>
                </c:pt>
                <c:pt idx="2919">
                  <c:v>2.278902732138377E-2</c:v>
                </c:pt>
                <c:pt idx="2920">
                  <c:v>2.2792468959398349E-2</c:v>
                </c:pt>
                <c:pt idx="2921">
                  <c:v>2.2795934181747413E-2</c:v>
                </c:pt>
                <c:pt idx="2922">
                  <c:v>2.2799422988830642E-2</c:v>
                </c:pt>
                <c:pt idx="2923">
                  <c:v>2.2802935380168421E-2</c:v>
                </c:pt>
                <c:pt idx="2924">
                  <c:v>2.2806471356000557E-2</c:v>
                </c:pt>
                <c:pt idx="2925">
                  <c:v>2.2810030916327051E-2</c:v>
                </c:pt>
                <c:pt idx="2926">
                  <c:v>2.2813614061227838E-2</c:v>
                </c:pt>
                <c:pt idx="2927">
                  <c:v>2.2817220790383175E-2</c:v>
                </c:pt>
                <c:pt idx="2928">
                  <c:v>2.2820851104112805E-2</c:v>
                </c:pt>
                <c:pt idx="2929">
                  <c:v>2.2824505002336792E-2</c:v>
                </c:pt>
                <c:pt idx="2930">
                  <c:v>2.2828182485055137E-2</c:v>
                </c:pt>
                <c:pt idx="2931">
                  <c:v>2.2831883552187904E-2</c:v>
                </c:pt>
                <c:pt idx="2932">
                  <c:v>2.2835608203815028E-2</c:v>
                </c:pt>
                <c:pt idx="2933">
                  <c:v>2.2839356440016445E-2</c:v>
                </c:pt>
                <c:pt idx="2934">
                  <c:v>2.2843128260632284E-2</c:v>
                </c:pt>
                <c:pt idx="2935">
                  <c:v>2.2846923665502672E-2</c:v>
                </c:pt>
                <c:pt idx="2936">
                  <c:v>2.2850742655107226E-2</c:v>
                </c:pt>
                <c:pt idx="2937">
                  <c:v>2.2854585229126201E-2</c:v>
                </c:pt>
                <c:pt idx="2938">
                  <c:v>2.2862015651303746E-2</c:v>
                </c:pt>
                <c:pt idx="2939">
                  <c:v>2.2864909057824789E-2</c:v>
                </c:pt>
                <c:pt idx="2940">
                  <c:v>2.2868829621645048E-2</c:v>
                </c:pt>
                <c:pt idx="2941">
                  <c:v>2.2872773773077171E-2</c:v>
                </c:pt>
                <c:pt idx="2942">
                  <c:v>2.2876741512041221E-2</c:v>
                </c:pt>
                <c:pt idx="2943">
                  <c:v>2.288073283859049E-2</c:v>
                </c:pt>
                <c:pt idx="2944">
                  <c:v>2.2884747752698331E-2</c:v>
                </c:pt>
                <c:pt idx="2945">
                  <c:v>2.2888786254364746E-2</c:v>
                </c:pt>
                <c:pt idx="2946">
                  <c:v>2.2892848343616379E-2</c:v>
                </c:pt>
                <c:pt idx="2947">
                  <c:v>2.289693402045323E-2</c:v>
                </c:pt>
                <c:pt idx="2948">
                  <c:v>2.2901043284848654E-2</c:v>
                </c:pt>
                <c:pt idx="2949">
                  <c:v>2.2905176136855943E-2</c:v>
                </c:pt>
                <c:pt idx="2950">
                  <c:v>2.2909332576421804E-2</c:v>
                </c:pt>
                <c:pt idx="2951">
                  <c:v>2.2913512603572883E-2</c:v>
                </c:pt>
                <c:pt idx="2952">
                  <c:v>2.2917716218362472E-2</c:v>
                </c:pt>
                <c:pt idx="2953">
                  <c:v>2.292230257477712E-2</c:v>
                </c:pt>
                <c:pt idx="2954">
                  <c:v>2.2926194210590722E-2</c:v>
                </c:pt>
                <c:pt idx="2955">
                  <c:v>2.2930468588109321E-2</c:v>
                </c:pt>
                <c:pt idx="2956">
                  <c:v>2.2934766553266428E-2</c:v>
                </c:pt>
                <c:pt idx="2957">
                  <c:v>2.2939088105982108E-2</c:v>
                </c:pt>
                <c:pt idx="2958">
                  <c:v>2.2943433246309652E-2</c:v>
                </c:pt>
                <c:pt idx="2959">
                  <c:v>2.294780197424906E-2</c:v>
                </c:pt>
                <c:pt idx="2960">
                  <c:v>2.2952194289800332E-2</c:v>
                </c:pt>
                <c:pt idx="2961">
                  <c:v>2.2956610192963467E-2</c:v>
                </c:pt>
                <c:pt idx="2962">
                  <c:v>2.2961049683711821E-2</c:v>
                </c:pt>
                <c:pt idx="2963">
                  <c:v>2.2965512762125329E-2</c:v>
                </c:pt>
                <c:pt idx="2964">
                  <c:v>2.2969999428124055E-2</c:v>
                </c:pt>
                <c:pt idx="2965">
                  <c:v>2.2974509681734645E-2</c:v>
                </c:pt>
                <c:pt idx="2966">
                  <c:v>2.2979043522983744E-2</c:v>
                </c:pt>
                <c:pt idx="2967">
                  <c:v>2.2983600951871352E-2</c:v>
                </c:pt>
                <c:pt idx="2968">
                  <c:v>2.298818196839747E-2</c:v>
                </c:pt>
                <c:pt idx="2969">
                  <c:v>2.2992786572508805E-2</c:v>
                </c:pt>
                <c:pt idx="2970">
                  <c:v>2.2997414764338586E-2</c:v>
                </c:pt>
                <c:pt idx="2971">
                  <c:v>2.300206654372694E-2</c:v>
                </c:pt>
                <c:pt idx="2972">
                  <c:v>2.3006741910807094E-2</c:v>
                </c:pt>
                <c:pt idx="2973">
                  <c:v>2.3011440865499111E-2</c:v>
                </c:pt>
                <c:pt idx="2974">
                  <c:v>2.3016163407829637E-2</c:v>
                </c:pt>
                <c:pt idx="2975">
                  <c:v>2.3020909537851963E-2</c:v>
                </c:pt>
                <c:pt idx="2976">
                  <c:v>2.3025679255486153E-2</c:v>
                </c:pt>
                <c:pt idx="2977">
                  <c:v>2.3030472560812143E-2</c:v>
                </c:pt>
                <c:pt idx="2978">
                  <c:v>2.3035289453776642E-2</c:v>
                </c:pt>
                <c:pt idx="2979">
                  <c:v>2.3040129934406295E-2</c:v>
                </c:pt>
                <c:pt idx="2980">
                  <c:v>2.3044994002647812E-2</c:v>
                </c:pt>
                <c:pt idx="2981">
                  <c:v>2.3049881658607774E-2</c:v>
                </c:pt>
                <c:pt idx="2982">
                  <c:v>2.305479290223289E-2</c:v>
                </c:pt>
                <c:pt idx="2983">
                  <c:v>2.3059727733496516E-2</c:v>
                </c:pt>
                <c:pt idx="2984">
                  <c:v>2.3064686152478586E-2</c:v>
                </c:pt>
                <c:pt idx="2985">
                  <c:v>2.3069668159152457E-2</c:v>
                </c:pt>
                <c:pt idx="2986">
                  <c:v>2.3074673753438191E-2</c:v>
                </c:pt>
                <c:pt idx="2987">
                  <c:v>2.307970293544237E-2</c:v>
                </c:pt>
                <c:pt idx="2988">
                  <c:v>2.308475570519164E-2</c:v>
                </c:pt>
                <c:pt idx="2989">
                  <c:v>2.3089832062552773E-2</c:v>
                </c:pt>
                <c:pt idx="2990">
                  <c:v>2.3096018178998534E-2</c:v>
                </c:pt>
                <c:pt idx="2991">
                  <c:v>2.3100041291801432E-2</c:v>
                </c:pt>
                <c:pt idx="2992">
                  <c:v>2.3105194490229408E-2</c:v>
                </c:pt>
                <c:pt idx="2993">
                  <c:v>2.3110371273151742E-2</c:v>
                </c:pt>
                <c:pt idx="2994">
                  <c:v>2.3115571640568433E-2</c:v>
                </c:pt>
                <c:pt idx="2995">
                  <c:v>2.3120795592479482E-2</c:v>
                </c:pt>
                <c:pt idx="2996">
                  <c:v>2.312604312904476E-2</c:v>
                </c:pt>
                <c:pt idx="2997">
                  <c:v>2.3131314250104396E-2</c:v>
                </c:pt>
                <c:pt idx="2998">
                  <c:v>2.3136608955658389E-2</c:v>
                </c:pt>
                <c:pt idx="2999">
                  <c:v>2.3141927245786675E-2</c:v>
                </c:pt>
                <c:pt idx="3000">
                  <c:v>2.3147269120489256E-2</c:v>
                </c:pt>
                <c:pt idx="3001">
                  <c:v>2.3152634579606257E-2</c:v>
                </c:pt>
                <c:pt idx="3002">
                  <c:v>2.3158023623297552E-2</c:v>
                </c:pt>
                <c:pt idx="3003">
                  <c:v>2.3163436251483205E-2</c:v>
                </c:pt>
                <c:pt idx="3004">
                  <c:v>2.3170429999863629E-2</c:v>
                </c:pt>
                <c:pt idx="3005">
                  <c:v>2.3174332261657327E-2</c:v>
                </c:pt>
                <c:pt idx="3006">
                  <c:v>2.3179815643485924E-2</c:v>
                </c:pt>
                <c:pt idx="3007">
                  <c:v>2.3185322609888814E-2</c:v>
                </c:pt>
                <c:pt idx="3008">
                  <c:v>2.3191645164848396E-2</c:v>
                </c:pt>
                <c:pt idx="3009">
                  <c:v>2.31972026694649E-2</c:v>
                </c:pt>
                <c:pt idx="3010">
                  <c:v>2.3202783758815571E-2</c:v>
                </c:pt>
                <c:pt idx="3011">
                  <c:v>2.3208388432500726E-2</c:v>
                </c:pt>
                <c:pt idx="3012">
                  <c:v>2.3214016573893659E-2</c:v>
                </c:pt>
                <c:pt idx="3013">
                  <c:v>2.3219648765966383E-2</c:v>
                </c:pt>
                <c:pt idx="3014">
                  <c:v>2.3225270153801603E-2</c:v>
                </c:pt>
                <c:pt idx="3015">
                  <c:v>2.3230880737159509E-2</c:v>
                </c:pt>
                <c:pt idx="3016">
                  <c:v>2.3236480516359848E-2</c:v>
                </c:pt>
                <c:pt idx="3017">
                  <c:v>2.3242069491082873E-2</c:v>
                </c:pt>
                <c:pt idx="3018">
                  <c:v>2.3247647661408521E-2</c:v>
                </c:pt>
                <c:pt idx="3019">
                  <c:v>2.3253215027416729E-2</c:v>
                </c:pt>
                <c:pt idx="3020">
                  <c:v>2.3258771589267369E-2</c:v>
                </c:pt>
                <c:pt idx="3021">
                  <c:v>2.3264317346640695E-2</c:v>
                </c:pt>
                <c:pt idx="3022">
                  <c:v>2.3269852299616645E-2</c:v>
                </c:pt>
                <c:pt idx="3023">
                  <c:v>2.3275376448514962E-2</c:v>
                </c:pt>
                <c:pt idx="3024">
                  <c:v>2.3280889792776094E-2</c:v>
                </c:pt>
                <c:pt idx="3025">
                  <c:v>2.3286392332799721E-2</c:v>
                </c:pt>
                <c:pt idx="3026">
                  <c:v>2.3291884068425972E-2</c:v>
                </c:pt>
                <c:pt idx="3027">
                  <c:v>2.3297364999894654E-2</c:v>
                </c:pt>
                <c:pt idx="3028">
                  <c:v>2.3302835126806087E-2</c:v>
                </c:pt>
                <c:pt idx="3029">
                  <c:v>2.3308294449559952E-2</c:v>
                </c:pt>
                <c:pt idx="3030">
                  <c:v>2.3313742967756568E-2</c:v>
                </c:pt>
                <c:pt idx="3031">
                  <c:v>2.3319180681795615E-2</c:v>
                </c:pt>
                <c:pt idx="3032">
                  <c:v>2.3324607591357349E-2</c:v>
                </c:pt>
                <c:pt idx="3033">
                  <c:v>2.3330023696601643E-2</c:v>
                </c:pt>
                <c:pt idx="3034">
                  <c:v>2.3335428997608432E-2</c:v>
                </c:pt>
                <c:pt idx="3035">
                  <c:v>2.3340823494137908E-2</c:v>
                </c:pt>
                <c:pt idx="3036">
                  <c:v>2.3346207186429879E-2</c:v>
                </c:pt>
                <c:pt idx="3037">
                  <c:v>2.3351580074244538E-2</c:v>
                </c:pt>
                <c:pt idx="3038">
                  <c:v>2.3356942157821692E-2</c:v>
                </c:pt>
                <c:pt idx="3039">
                  <c:v>2.3362293437001469E-2</c:v>
                </c:pt>
                <c:pt idx="3040">
                  <c:v>2.3367633911783869E-2</c:v>
                </c:pt>
                <c:pt idx="3041">
                  <c:v>2.3372963582408701E-2</c:v>
                </c:pt>
                <c:pt idx="3042">
                  <c:v>2.3380179935204026E-2</c:v>
                </c:pt>
                <c:pt idx="3043">
                  <c:v>2.3384347922839055E-2</c:v>
                </c:pt>
                <c:pt idx="3044">
                  <c:v>2.3389643636786417E-2</c:v>
                </c:pt>
                <c:pt idx="3045">
                  <c:v>2.3394928546256466E-2</c:v>
                </c:pt>
                <c:pt idx="3046">
                  <c:v>2.3400202651648883E-2</c:v>
                </c:pt>
                <c:pt idx="3047">
                  <c:v>2.340546595248405E-2</c:v>
                </c:pt>
                <c:pt idx="3048">
                  <c:v>2.3410718449001777E-2</c:v>
                </c:pt>
                <c:pt idx="3049">
                  <c:v>2.3415960141282E-2</c:v>
                </c:pt>
                <c:pt idx="3050">
                  <c:v>2.3421191029164845E-2</c:v>
                </c:pt>
                <c:pt idx="3051">
                  <c:v>2.3426411112570378E-2</c:v>
                </c:pt>
                <c:pt idx="3052">
                  <c:v>2.3431620391738406E-2</c:v>
                </c:pt>
                <c:pt idx="3053">
                  <c:v>2.3436818866509057E-2</c:v>
                </c:pt>
                <c:pt idx="3054">
                  <c:v>2.3442006536962268E-2</c:v>
                </c:pt>
                <c:pt idx="3055">
                  <c:v>2.3447922073263072E-2</c:v>
                </c:pt>
                <c:pt idx="3056">
                  <c:v>2.3453086591596062E-2</c:v>
                </c:pt>
                <c:pt idx="3057">
                  <c:v>2.345824030521193E-2</c:v>
                </c:pt>
                <c:pt idx="3058">
                  <c:v>2.3463383214910039E-2</c:v>
                </c:pt>
                <c:pt idx="3059">
                  <c:v>2.3471908707961564E-2</c:v>
                </c:pt>
                <c:pt idx="3060">
                  <c:v>2.347363662079438E-2</c:v>
                </c:pt>
                <c:pt idx="3061">
                  <c:v>2.3478747117220422E-2</c:v>
                </c:pt>
                <c:pt idx="3062">
                  <c:v>2.3483846809408959E-2</c:v>
                </c:pt>
                <c:pt idx="3063">
                  <c:v>2.3488935697040247E-2</c:v>
                </c:pt>
                <c:pt idx="3064">
                  <c:v>2.3494013780354095E-2</c:v>
                </c:pt>
                <c:pt idx="3065">
                  <c:v>2.3499081059350502E-2</c:v>
                </c:pt>
                <c:pt idx="3066">
                  <c:v>2.3504137534029468E-2</c:v>
                </c:pt>
                <c:pt idx="3067">
                  <c:v>2.3509183204311057E-2</c:v>
                </c:pt>
                <c:pt idx="3068">
                  <c:v>2.3514218070035398E-2</c:v>
                </c:pt>
                <c:pt idx="3069">
                  <c:v>2.3519242131762041E-2</c:v>
                </c:pt>
                <c:pt idx="3070">
                  <c:v>2.35242553888515E-2</c:v>
                </c:pt>
                <c:pt idx="3071">
                  <c:v>2.3529257841703455E-2</c:v>
                </c:pt>
                <c:pt idx="3072">
                  <c:v>2.3534249490078096E-2</c:v>
                </c:pt>
                <c:pt idx="3073">
                  <c:v>2.3539230334215233E-2</c:v>
                </c:pt>
                <c:pt idx="3074">
                  <c:v>2.3544200373954993E-2</c:v>
                </c:pt>
                <c:pt idx="3075">
                  <c:v>2.354915960921744E-2</c:v>
                </c:pt>
                <c:pt idx="3076">
                  <c:v>2.3554108040162447E-2</c:v>
                </c:pt>
                <c:pt idx="3077">
                  <c:v>2.3559045666949885E-2</c:v>
                </c:pt>
                <c:pt idx="3078">
                  <c:v>2.356397248926001E-2</c:v>
                </c:pt>
                <c:pt idx="3079">
                  <c:v>2.356888850693295E-2</c:v>
                </c:pt>
                <c:pt idx="3080">
                  <c:v>2.3573793720528258E-2</c:v>
                </c:pt>
                <c:pt idx="3081">
                  <c:v>2.3578688129806125E-2</c:v>
                </c:pt>
                <c:pt idx="3082">
                  <c:v>2.358357173436687E-2</c:v>
                </c:pt>
                <c:pt idx="3083">
                  <c:v>2.3588444534849984E-2</c:v>
                </c:pt>
                <c:pt idx="3084">
                  <c:v>2.359330653093572E-2</c:v>
                </c:pt>
                <c:pt idx="3085">
                  <c:v>2.359815772262408E-2</c:v>
                </c:pt>
                <c:pt idx="3086">
                  <c:v>2.3602998109835127E-2</c:v>
                </c:pt>
                <c:pt idx="3087">
                  <c:v>2.3607827692808669E-2</c:v>
                </c:pt>
                <c:pt idx="3088">
                  <c:v>2.3612646471464771E-2</c:v>
                </c:pt>
                <c:pt idx="3089">
                  <c:v>2.3617454445563624E-2</c:v>
                </c:pt>
                <c:pt idx="3090">
                  <c:v>2.3622251615424972E-2</c:v>
                </c:pt>
                <c:pt idx="3091">
                  <c:v>2.3627037980888943E-2</c:v>
                </c:pt>
                <c:pt idx="3092">
                  <c:v>2.3631813541875601E-2</c:v>
                </c:pt>
                <c:pt idx="3093">
                  <c:v>2.3639925943066409E-2</c:v>
                </c:pt>
                <c:pt idx="3094">
                  <c:v>2.3644678516281381E-2</c:v>
                </c:pt>
                <c:pt idx="3095">
                  <c:v>2.3646075398850996E-2</c:v>
                </c:pt>
                <c:pt idx="3096">
                  <c:v>2.365080774240802E-2</c:v>
                </c:pt>
                <c:pt idx="3097">
                  <c:v>2.365552928148773E-2</c:v>
                </c:pt>
                <c:pt idx="3098">
                  <c:v>2.3660240016409873E-2</c:v>
                </c:pt>
                <c:pt idx="3099">
                  <c:v>2.3664939946934638E-2</c:v>
                </c:pt>
                <c:pt idx="3100">
                  <c:v>2.3669629072822218E-2</c:v>
                </c:pt>
                <c:pt idx="3101">
                  <c:v>2.367430739455223E-2</c:v>
                </c:pt>
                <c:pt idx="3102">
                  <c:v>2.3678974911884865E-2</c:v>
                </c:pt>
                <c:pt idx="3103">
                  <c:v>2.3683631624900059E-2</c:v>
                </c:pt>
                <c:pt idx="3104">
                  <c:v>2.3688277533278068E-2</c:v>
                </c:pt>
                <c:pt idx="3105">
                  <c:v>2.3692912637658381E-2</c:v>
                </c:pt>
                <c:pt idx="3106">
                  <c:v>2.3697536937401509E-2</c:v>
                </c:pt>
                <c:pt idx="3107">
                  <c:v>2.370215043274726E-2</c:v>
                </c:pt>
                <c:pt idx="3108">
                  <c:v>2.3711188803471117E-2</c:v>
                </c:pt>
                <c:pt idx="3109">
                  <c:v>2.3711345010406504E-2</c:v>
                </c:pt>
                <c:pt idx="3110">
                  <c:v>2.3715926092799933E-2</c:v>
                </c:pt>
                <c:pt idx="3111">
                  <c:v>2.3720496370556177E-2</c:v>
                </c:pt>
                <c:pt idx="3112">
                  <c:v>2.3725055844154852E-2</c:v>
                </c:pt>
                <c:pt idx="3113">
                  <c:v>2.3729604513276215E-2</c:v>
                </c:pt>
                <c:pt idx="3114">
                  <c:v>2.3734142378080136E-2</c:v>
                </c:pt>
                <c:pt idx="3115">
                  <c:v>2.3738669438406745E-2</c:v>
                </c:pt>
                <c:pt idx="3116">
                  <c:v>2.3743185694335978E-2</c:v>
                </c:pt>
                <c:pt idx="3117">
                  <c:v>2.3747691146027705E-2</c:v>
                </c:pt>
                <c:pt idx="3118">
                  <c:v>2.375218579324212E-2</c:v>
                </c:pt>
                <c:pt idx="3119">
                  <c:v>2.3756669635979222E-2</c:v>
                </c:pt>
                <c:pt idx="3120">
                  <c:v>2.3761142674478819E-2</c:v>
                </c:pt>
                <c:pt idx="3121">
                  <c:v>2.3765604908501103E-2</c:v>
                </c:pt>
                <c:pt idx="3122">
                  <c:v>2.3770056338046075E-2</c:v>
                </c:pt>
                <c:pt idx="3123">
                  <c:v>2.3774496963513414E-2</c:v>
                </c:pt>
                <c:pt idx="3124">
                  <c:v>2.3778926784423504E-2</c:v>
                </c:pt>
                <c:pt idx="3125">
                  <c:v>2.3783345800856281E-2</c:v>
                </c:pt>
                <c:pt idx="3126">
                  <c:v>2.3787754013051554E-2</c:v>
                </c:pt>
                <c:pt idx="3127">
                  <c:v>2.3792151420769514E-2</c:v>
                </c:pt>
                <c:pt idx="3128">
                  <c:v>2.3796538024090097E-2</c:v>
                </c:pt>
                <c:pt idx="3129">
                  <c:v>2.3800913823013303E-2</c:v>
                </c:pt>
                <c:pt idx="3130">
                  <c:v>2.3805278817619069E-2</c:v>
                </c:pt>
                <c:pt idx="3131">
                  <c:v>2.3809633007827458E-2</c:v>
                </c:pt>
                <c:pt idx="3132">
                  <c:v>2.3813976393558534E-2</c:v>
                </c:pt>
                <c:pt idx="3133">
                  <c:v>2.3818308974972169E-2</c:v>
                </c:pt>
                <c:pt idx="3134">
                  <c:v>2.3822630752068363E-2</c:v>
                </c:pt>
                <c:pt idx="3135">
                  <c:v>2.3826941724607309E-2</c:v>
                </c:pt>
                <c:pt idx="3136">
                  <c:v>2.3831241892988686E-2</c:v>
                </c:pt>
                <c:pt idx="3137">
                  <c:v>2.3835531256732878E-2</c:v>
                </c:pt>
                <c:pt idx="3138">
                  <c:v>2.3839809816239566E-2</c:v>
                </c:pt>
                <c:pt idx="3139">
                  <c:v>2.384407757126894E-2</c:v>
                </c:pt>
                <c:pt idx="3140">
                  <c:v>2.3848334521741066E-2</c:v>
                </c:pt>
                <c:pt idx="3141">
                  <c:v>2.3852580668215495E-2</c:v>
                </c:pt>
                <c:pt idx="3142">
                  <c:v>2.3856816010052739E-2</c:v>
                </c:pt>
                <c:pt idx="3143">
                  <c:v>2.3861040547492607E-2</c:v>
                </c:pt>
                <c:pt idx="3144">
                  <c:v>2.3865254280535098E-2</c:v>
                </c:pt>
                <c:pt idx="3145">
                  <c:v>2.3869457209340084E-2</c:v>
                </c:pt>
                <c:pt idx="3146">
                  <c:v>2.3873649333667757E-2</c:v>
                </c:pt>
                <c:pt idx="3147">
                  <c:v>2.3877830653438181E-2</c:v>
                </c:pt>
                <c:pt idx="3148">
                  <c:v>2.3882001168971101E-2</c:v>
                </c:pt>
                <c:pt idx="3149">
                  <c:v>2.3886160880106644E-2</c:v>
                </c:pt>
                <c:pt idx="3150">
                  <c:v>2.389030978684481E-2</c:v>
                </c:pt>
                <c:pt idx="3151">
                  <c:v>2.3894447889105663E-2</c:v>
                </c:pt>
                <c:pt idx="3152">
                  <c:v>2.3898575187049076E-2</c:v>
                </c:pt>
                <c:pt idx="3153">
                  <c:v>2.3902691680595112E-2</c:v>
                </c:pt>
                <c:pt idx="3154">
                  <c:v>2.3906797369743771E-2</c:v>
                </c:pt>
                <c:pt idx="3155">
                  <c:v>2.3910892254495053E-2</c:v>
                </c:pt>
                <c:pt idx="3156">
                  <c:v>2.3914976334769023E-2</c:v>
                </c:pt>
                <c:pt idx="3157">
                  <c:v>2.3919049610645615E-2</c:v>
                </c:pt>
                <c:pt idx="3158">
                  <c:v>2.3923112082284703E-2</c:v>
                </c:pt>
                <c:pt idx="3159">
                  <c:v>2.3931500288622232E-2</c:v>
                </c:pt>
                <c:pt idx="3160">
                  <c:v>2.3931204612051005E-2</c:v>
                </c:pt>
                <c:pt idx="3161">
                  <c:v>2.393523467033809E-2</c:v>
                </c:pt>
                <c:pt idx="3162">
                  <c:v>2.3939253924227799E-2</c:v>
                </c:pt>
                <c:pt idx="3163">
                  <c:v>2.3943262373880003E-2</c:v>
                </c:pt>
                <c:pt idx="3164">
                  <c:v>2.3947260018974958E-2</c:v>
                </c:pt>
                <c:pt idx="3165">
                  <c:v>2.3951246859672537E-2</c:v>
                </c:pt>
                <c:pt idx="3166">
                  <c:v>2.3955222895892803E-2</c:v>
                </c:pt>
                <c:pt idx="3167">
                  <c:v>2.3959188127875564E-2</c:v>
                </c:pt>
                <c:pt idx="3168">
                  <c:v>2.3963142555460948E-2</c:v>
                </c:pt>
                <c:pt idx="3169">
                  <c:v>2.3967086178569019E-2</c:v>
                </c:pt>
                <c:pt idx="3170">
                  <c:v>2.3971018997119842E-2</c:v>
                </c:pt>
                <c:pt idx="3171">
                  <c:v>2.3974941011593032E-2</c:v>
                </c:pt>
                <c:pt idx="3172">
                  <c:v>2.3978852221429037E-2</c:v>
                </c:pt>
                <c:pt idx="3173">
                  <c:v>2.3982752626947601E-2</c:v>
                </c:pt>
                <c:pt idx="3174">
                  <c:v>2.3986642228068789E-2</c:v>
                </c:pt>
                <c:pt idx="3175">
                  <c:v>2.3990521024712663E-2</c:v>
                </c:pt>
                <c:pt idx="3176">
                  <c:v>2.3994389016959161E-2</c:v>
                </c:pt>
                <c:pt idx="3177">
                  <c:v>2.3998246204808282E-2</c:v>
                </c:pt>
                <c:pt idx="3178">
                  <c:v>2.4002092588339963E-2</c:v>
                </c:pt>
                <c:pt idx="3179">
                  <c:v>2.400592816739433E-2</c:v>
                </c:pt>
                <c:pt idx="3180">
                  <c:v>2.4009752941971385E-2</c:v>
                </c:pt>
                <c:pt idx="3181">
                  <c:v>2.4013566912310935E-2</c:v>
                </c:pt>
                <c:pt idx="3182">
                  <c:v>2.40173700780133E-2</c:v>
                </c:pt>
                <c:pt idx="3183">
                  <c:v>2.4021162439478161E-2</c:v>
                </c:pt>
                <c:pt idx="3184">
                  <c:v>2.4024943996465709E-2</c:v>
                </c:pt>
                <c:pt idx="3185">
                  <c:v>2.4028714749055879E-2</c:v>
                </c:pt>
                <c:pt idx="3186">
                  <c:v>2.4032474697248674E-2</c:v>
                </c:pt>
                <c:pt idx="3187">
                  <c:v>2.4036223841124027E-2</c:v>
                </c:pt>
                <c:pt idx="3188">
                  <c:v>2.4039962180442132E-2</c:v>
                </c:pt>
                <c:pt idx="3189">
                  <c:v>2.4043689715522731E-2</c:v>
                </c:pt>
                <c:pt idx="3190">
                  <c:v>2.4047406446046082E-2</c:v>
                </c:pt>
                <c:pt idx="3191">
                  <c:v>2.4051112372012184E-2</c:v>
                </c:pt>
                <c:pt idx="3192">
                  <c:v>2.4054807493900654E-2</c:v>
                </c:pt>
                <c:pt idx="3193">
                  <c:v>2.4058491811231875E-2</c:v>
                </c:pt>
                <c:pt idx="3194">
                  <c:v>2.4062165324085782E-2</c:v>
                </c:pt>
                <c:pt idx="3195">
                  <c:v>2.4065828032542314E-2</c:v>
                </c:pt>
                <c:pt idx="3196">
                  <c:v>2.406947993676134E-2</c:v>
                </c:pt>
                <c:pt idx="3197">
                  <c:v>2.4073121036343181E-2</c:v>
                </c:pt>
                <c:pt idx="3198">
                  <c:v>2.4076751331527646E-2</c:v>
                </c:pt>
                <c:pt idx="3199">
                  <c:v>2.408037082239467E-2</c:v>
                </c:pt>
                <c:pt idx="3200">
                  <c:v>2.4083979508944253E-2</c:v>
                </c:pt>
                <c:pt idx="3201">
                  <c:v>2.4087577390936588E-2</c:v>
                </c:pt>
                <c:pt idx="3202">
                  <c:v>2.4091164468531545E-2</c:v>
                </c:pt>
                <c:pt idx="3203">
                  <c:v>2.4094740741729126E-2</c:v>
                </c:pt>
                <c:pt idx="3204">
                  <c:v>2.4098306210449394E-2</c:v>
                </c:pt>
                <c:pt idx="3205">
                  <c:v>2.4101860874772285E-2</c:v>
                </c:pt>
                <c:pt idx="3206">
                  <c:v>2.41054047346978E-2</c:v>
                </c:pt>
                <c:pt idx="3207">
                  <c:v>2.4108937790305873E-2</c:v>
                </c:pt>
                <c:pt idx="3208">
                  <c:v>2.4112460041356698E-2</c:v>
                </c:pt>
                <c:pt idx="3209">
                  <c:v>2.411597148793021E-2</c:v>
                </c:pt>
                <c:pt idx="3210">
                  <c:v>2.411947213042609E-2</c:v>
                </c:pt>
                <c:pt idx="3211">
                  <c:v>2.4122961968284784E-2</c:v>
                </c:pt>
                <c:pt idx="3212">
                  <c:v>2.412644100158623E-2</c:v>
                </c:pt>
                <c:pt idx="3213">
                  <c:v>2.4129909230570235E-2</c:v>
                </c:pt>
                <c:pt idx="3214">
                  <c:v>2.4137588430358292E-2</c:v>
                </c:pt>
                <c:pt idx="3215">
                  <c:v>2.413681327542605E-2</c:v>
                </c:pt>
                <c:pt idx="3216">
                  <c:v>2.4142847616959173E-2</c:v>
                </c:pt>
                <c:pt idx="3217">
                  <c:v>2.4146270000269254E-2</c:v>
                </c:pt>
                <c:pt idx="3218">
                  <c:v>2.4149681577823046E-2</c:v>
                </c:pt>
                <c:pt idx="3219">
                  <c:v>2.4153082349567256E-2</c:v>
                </c:pt>
                <c:pt idx="3220">
                  <c:v>2.4156472315528532E-2</c:v>
                </c:pt>
                <c:pt idx="3221">
                  <c:v>2.4159851475626937E-2</c:v>
                </c:pt>
                <c:pt idx="3222">
                  <c:v>2.4163219829969051E-2</c:v>
                </c:pt>
                <c:pt idx="3223">
                  <c:v>2.4166577378448295E-2</c:v>
                </c:pt>
                <c:pt idx="3224">
                  <c:v>2.4169924121171249E-2</c:v>
                </c:pt>
                <c:pt idx="3225">
                  <c:v>2.4173260058057977E-2</c:v>
                </c:pt>
                <c:pt idx="3226">
                  <c:v>2.417658518916177E-2</c:v>
                </c:pt>
                <c:pt idx="3227">
                  <c:v>2.4179899514429337E-2</c:v>
                </c:pt>
                <c:pt idx="3228">
                  <c:v>2.4183203033860678E-2</c:v>
                </c:pt>
                <c:pt idx="3229">
                  <c:v>2.418649574753573E-2</c:v>
                </c:pt>
                <c:pt idx="3230">
                  <c:v>2.418977765534791E-2</c:v>
                </c:pt>
                <c:pt idx="3231">
                  <c:v>2.4193048757377156E-2</c:v>
                </c:pt>
                <c:pt idx="3232">
                  <c:v>2.419630905354353E-2</c:v>
                </c:pt>
                <c:pt idx="3233">
                  <c:v>2.4199558543900324E-2</c:v>
                </c:pt>
                <c:pt idx="3234">
                  <c:v>2.4202797228474182E-2</c:v>
                </c:pt>
                <c:pt idx="3235">
                  <c:v>2.4206025107211815E-2</c:v>
                </c:pt>
                <c:pt idx="3236">
                  <c:v>2.4209242180139867E-2</c:v>
                </c:pt>
                <c:pt idx="3237">
                  <c:v>2.4212448447258339E-2</c:v>
                </c:pt>
                <c:pt idx="3238">
                  <c:v>2.4215643908540585E-2</c:v>
                </c:pt>
                <c:pt idx="3239">
                  <c:v>2.4218828563933315E-2</c:v>
                </c:pt>
                <c:pt idx="3240">
                  <c:v>2.42220024135964E-2</c:v>
                </c:pt>
                <c:pt idx="3241">
                  <c:v>2.4225165457369968E-2</c:v>
                </c:pt>
                <c:pt idx="3242">
                  <c:v>2.4228317695360602E-2</c:v>
                </c:pt>
                <c:pt idx="3243">
                  <c:v>2.4231459127541655E-2</c:v>
                </c:pt>
                <c:pt idx="3244">
                  <c:v>2.4234589753833191E-2</c:v>
                </c:pt>
                <c:pt idx="3245">
                  <c:v>2.4237709574368438E-2</c:v>
                </c:pt>
                <c:pt idx="3246">
                  <c:v>2.4240818589014168E-2</c:v>
                </c:pt>
                <c:pt idx="3247">
                  <c:v>2.4243916797850318E-2</c:v>
                </c:pt>
                <c:pt idx="3248">
                  <c:v>2.4247004200850242E-2</c:v>
                </c:pt>
                <c:pt idx="3249">
                  <c:v>2.425008079801394E-2</c:v>
                </c:pt>
                <c:pt idx="3250">
                  <c:v>2.4253421976401235E-2</c:v>
                </c:pt>
                <c:pt idx="3251">
                  <c:v>2.4255438240237126E-2</c:v>
                </c:pt>
                <c:pt idx="3252">
                  <c:v>2.425847892274291E-2</c:v>
                </c:pt>
                <c:pt idx="3253">
                  <c:v>2.4261508800931253E-2</c:v>
                </c:pt>
                <c:pt idx="3254">
                  <c:v>2.4264527874402475E-2</c:v>
                </c:pt>
                <c:pt idx="3255">
                  <c:v>2.4267536143716129E-2</c:v>
                </c:pt>
                <c:pt idx="3256">
                  <c:v>2.4270533608472533E-2</c:v>
                </c:pt>
                <c:pt idx="3257">
                  <c:v>2.4273520268911497E-2</c:v>
                </c:pt>
                <c:pt idx="3258">
                  <c:v>2.4276496124793212E-2</c:v>
                </c:pt>
                <c:pt idx="3259">
                  <c:v>2.4279461176357486E-2</c:v>
                </c:pt>
                <c:pt idx="3260">
                  <c:v>2.4282415423364512E-2</c:v>
                </c:pt>
                <c:pt idx="3261">
                  <c:v>2.428535886597416E-2</c:v>
                </c:pt>
                <c:pt idx="3262">
                  <c:v>2.4288291504106496E-2</c:v>
                </c:pt>
                <c:pt idx="3263">
                  <c:v>2.4291213338081263E-2</c:v>
                </c:pt>
                <c:pt idx="3264">
                  <c:v>2.429412436733891E-2</c:v>
                </c:pt>
                <c:pt idx="3265">
                  <c:v>2.4297851243346713E-2</c:v>
                </c:pt>
                <c:pt idx="3266">
                  <c:v>2.4299914012662072E-2</c:v>
                </c:pt>
                <c:pt idx="3267">
                  <c:v>2.4302792628727587E-2</c:v>
                </c:pt>
                <c:pt idx="3268">
                  <c:v>2.4305660440395727E-2</c:v>
                </c:pt>
                <c:pt idx="3269">
                  <c:v>2.4308517447426681E-2</c:v>
                </c:pt>
                <c:pt idx="3270">
                  <c:v>2.4311363650300066E-2</c:v>
                </c:pt>
                <c:pt idx="3271">
                  <c:v>2.4314199048536267E-2</c:v>
                </c:pt>
                <c:pt idx="3272">
                  <c:v>2.4317023642295155E-2</c:v>
                </c:pt>
                <c:pt idx="3273">
                  <c:v>2.4319837431736602E-2</c:v>
                </c:pt>
                <c:pt idx="3274">
                  <c:v>2.4322640416780672E-2</c:v>
                </c:pt>
                <c:pt idx="3275">
                  <c:v>2.4325432597347429E-2</c:v>
                </c:pt>
                <c:pt idx="3276">
                  <c:v>2.4328213973356938E-2</c:v>
                </c:pt>
                <c:pt idx="3277">
                  <c:v>2.4330984545128942E-2</c:v>
                </c:pt>
                <c:pt idx="3278">
                  <c:v>2.4333744312423633E-2</c:v>
                </c:pt>
                <c:pt idx="3279">
                  <c:v>2.4336493275241011E-2</c:v>
                </c:pt>
                <c:pt idx="3280">
                  <c:v>2.4339231433501141E-2</c:v>
                </c:pt>
                <c:pt idx="3281">
                  <c:v>2.4341958787523765E-2</c:v>
                </c:pt>
                <c:pt idx="3282">
                  <c:v>2.4344675336989141E-2</c:v>
                </c:pt>
                <c:pt idx="3283">
                  <c:v>2.4347381081977204E-2</c:v>
                </c:pt>
                <c:pt idx="3284">
                  <c:v>2.435007602256789E-2</c:v>
                </c:pt>
                <c:pt idx="3285">
                  <c:v>2.4352760158841136E-2</c:v>
                </c:pt>
                <c:pt idx="3286">
                  <c:v>2.4355433490637068E-2</c:v>
                </c:pt>
                <c:pt idx="3287">
                  <c:v>2.4358096017795816E-2</c:v>
                </c:pt>
                <c:pt idx="3288">
                  <c:v>2.4360747740717059E-2</c:v>
                </c:pt>
                <c:pt idx="3289">
                  <c:v>2.4363388659160989E-2</c:v>
                </c:pt>
                <c:pt idx="3290">
                  <c:v>2.4366018773127607E-2</c:v>
                </c:pt>
                <c:pt idx="3291">
                  <c:v>2.4368638082696847E-2</c:v>
                </c:pt>
                <c:pt idx="3292">
                  <c:v>2.4371246587788775E-2</c:v>
                </c:pt>
                <c:pt idx="3293">
                  <c:v>2.4373844288483326E-2</c:v>
                </c:pt>
                <c:pt idx="3294">
                  <c:v>2.4376431184700564E-2</c:v>
                </c:pt>
                <c:pt idx="3295">
                  <c:v>2.4379007276520426E-2</c:v>
                </c:pt>
                <c:pt idx="3296">
                  <c:v>2.4381572563862974E-2</c:v>
                </c:pt>
                <c:pt idx="3297">
                  <c:v>2.4384127046808146E-2</c:v>
                </c:pt>
                <c:pt idx="3298">
                  <c:v>2.4386670725196069E-2</c:v>
                </c:pt>
                <c:pt idx="3299">
                  <c:v>2.4389203599266551E-2</c:v>
                </c:pt>
                <c:pt idx="3300">
                  <c:v>2.4391725668779785E-2</c:v>
                </c:pt>
                <c:pt idx="3301">
                  <c:v>2.4394236933895641E-2</c:v>
                </c:pt>
                <c:pt idx="3302">
                  <c:v>2.4398098478379815E-2</c:v>
                </c:pt>
                <c:pt idx="3303">
                  <c:v>2.4399581834098072E-2</c:v>
                </c:pt>
                <c:pt idx="3304">
                  <c:v>2.4402059142376586E-2</c:v>
                </c:pt>
                <c:pt idx="3305">
                  <c:v>2.440452564633766E-2</c:v>
                </c:pt>
                <c:pt idx="3306">
                  <c:v>2.4406981345741485E-2</c:v>
                </c:pt>
                <c:pt idx="3307">
                  <c:v>2.4409426240588061E-2</c:v>
                </c:pt>
                <c:pt idx="3308">
                  <c:v>2.4411860331277069E-2</c:v>
                </c:pt>
                <c:pt idx="3309">
                  <c:v>2.4414283617408827E-2</c:v>
                </c:pt>
                <c:pt idx="3310">
                  <c:v>2.4416696098983337E-2</c:v>
                </c:pt>
                <c:pt idx="3311">
                  <c:v>2.4419097776240406E-2</c:v>
                </c:pt>
                <c:pt idx="3312">
                  <c:v>2.4421488648940226E-2</c:v>
                </c:pt>
                <c:pt idx="3313">
                  <c:v>2.4423868717242669E-2</c:v>
                </c:pt>
                <c:pt idx="3314">
                  <c:v>2.44262379810678E-2</c:v>
                </c:pt>
                <c:pt idx="3315">
                  <c:v>2.4429268301622287E-2</c:v>
                </c:pt>
                <c:pt idx="3316">
                  <c:v>2.4431612869602048E-2</c:v>
                </c:pt>
                <c:pt idx="3317">
                  <c:v>2.4433946633184433E-2</c:v>
                </c:pt>
                <c:pt idx="3318">
                  <c:v>2.4436269592289506E-2</c:v>
                </c:pt>
                <c:pt idx="3319">
                  <c:v>2.4440899443485264E-2</c:v>
                </c:pt>
                <c:pt idx="3320">
                  <c:v>2.4440883097147648E-2</c:v>
                </c:pt>
                <c:pt idx="3321">
                  <c:v>2.4443173642980653E-2</c:v>
                </c:pt>
                <c:pt idx="3322">
                  <c:v>2.4445453384336346E-2</c:v>
                </c:pt>
                <c:pt idx="3323">
                  <c:v>2.4447722321214727E-2</c:v>
                </c:pt>
                <c:pt idx="3324">
                  <c:v>2.4449980453535858E-2</c:v>
                </c:pt>
                <c:pt idx="3325">
                  <c:v>2.445222778169942E-2</c:v>
                </c:pt>
                <c:pt idx="3326">
                  <c:v>2.4454464305225798E-2</c:v>
                </c:pt>
                <c:pt idx="3327">
                  <c:v>2.4456690024194927E-2</c:v>
                </c:pt>
                <c:pt idx="3328">
                  <c:v>2.4458904938846615E-2</c:v>
                </c:pt>
                <c:pt idx="3329">
                  <c:v>2.446110904902099E-2</c:v>
                </c:pt>
                <c:pt idx="3330">
                  <c:v>2.4463302354877925E-2</c:v>
                </c:pt>
                <c:pt idx="3331">
                  <c:v>2.4465484856177611E-2</c:v>
                </c:pt>
                <c:pt idx="3332">
                  <c:v>2.4467656553079919E-2</c:v>
                </c:pt>
                <c:pt idx="3333">
                  <c:v>2.4469817445345043E-2</c:v>
                </c:pt>
                <c:pt idx="3334">
                  <c:v>2.4471967533212791E-2</c:v>
                </c:pt>
                <c:pt idx="3335">
                  <c:v>2.4474106816763097E-2</c:v>
                </c:pt>
                <c:pt idx="3336">
                  <c:v>2.4476235295756155E-2</c:v>
                </c:pt>
                <c:pt idx="3337">
                  <c:v>2.4478352970431771E-2</c:v>
                </c:pt>
                <c:pt idx="3338">
                  <c:v>2.4480459840550139E-2</c:v>
                </c:pt>
                <c:pt idx="3339">
                  <c:v>2.4482555906271131E-2</c:v>
                </c:pt>
                <c:pt idx="3340">
                  <c:v>2.4484641167514809E-2</c:v>
                </c:pt>
                <c:pt idx="3341">
                  <c:v>2.4486715624441047E-2</c:v>
                </c:pt>
                <c:pt idx="3342">
                  <c:v>2.4488779276650163E-2</c:v>
                </c:pt>
                <c:pt idx="3343">
                  <c:v>2.4490832124621775E-2</c:v>
                </c:pt>
                <c:pt idx="3344">
                  <c:v>2.4492874168036138E-2</c:v>
                </c:pt>
                <c:pt idx="3345">
                  <c:v>2.4494905406973189E-2</c:v>
                </c:pt>
                <c:pt idx="3346">
                  <c:v>2.4496925841512862E-2</c:v>
                </c:pt>
                <c:pt idx="3347">
                  <c:v>2.4498935471655159E-2</c:v>
                </c:pt>
                <c:pt idx="3348">
                  <c:v>2.4500934297320143E-2</c:v>
                </c:pt>
                <c:pt idx="3349">
                  <c:v>2.4502922318347942E-2</c:v>
                </c:pt>
                <c:pt idx="3350">
                  <c:v>2.4504899535218172E-2</c:v>
                </c:pt>
                <c:pt idx="3351">
                  <c:v>2.4506865947451217E-2</c:v>
                </c:pt>
                <c:pt idx="3352">
                  <c:v>2.4508821555366822E-2</c:v>
                </c:pt>
                <c:pt idx="3353">
                  <c:v>2.4511872824044545E-2</c:v>
                </c:pt>
                <c:pt idx="3354">
                  <c:v>2.4514920073857027E-2</c:v>
                </c:pt>
                <c:pt idx="3355">
                  <c:v>2.4514623552249759E-2</c:v>
                </c:pt>
                <c:pt idx="3356">
                  <c:v>2.451653594209624E-2</c:v>
                </c:pt>
                <c:pt idx="3357">
                  <c:v>2.4518437527705217E-2</c:v>
                </c:pt>
                <c:pt idx="3358">
                  <c:v>2.4520328308916817E-2</c:v>
                </c:pt>
                <c:pt idx="3359">
                  <c:v>2.4522208285411295E-2</c:v>
                </c:pt>
                <c:pt idx="3360">
                  <c:v>2.4524077457588334E-2</c:v>
                </c:pt>
                <c:pt idx="3361">
                  <c:v>2.4525935825607803E-2</c:v>
                </c:pt>
                <c:pt idx="3362">
                  <c:v>2.4527783388830215E-2</c:v>
                </c:pt>
                <c:pt idx="3363">
                  <c:v>2.4529620147655251E-2</c:v>
                </c:pt>
                <c:pt idx="3364">
                  <c:v>2.4531446101843102E-2</c:v>
                </c:pt>
                <c:pt idx="3365">
                  <c:v>2.4533261252033256E-2</c:v>
                </c:pt>
                <c:pt idx="3366">
                  <c:v>2.4535065597426353E-2</c:v>
                </c:pt>
                <c:pt idx="3367">
                  <c:v>2.4536859138342137E-2</c:v>
                </c:pt>
                <c:pt idx="3368">
                  <c:v>2.4538641875020417E-2</c:v>
                </c:pt>
                <c:pt idx="3369">
                  <c:v>2.4544263966788549E-2</c:v>
                </c:pt>
                <c:pt idx="3370">
                  <c:v>2.454217493470523E-2</c:v>
                </c:pt>
                <c:pt idx="3371">
                  <c:v>2.4546808991983138E-2</c:v>
                </c:pt>
                <c:pt idx="3372">
                  <c:v>2.4545664776880471E-2</c:v>
                </c:pt>
                <c:pt idx="3373">
                  <c:v>2.4547393491012315E-2</c:v>
                </c:pt>
                <c:pt idx="3374">
                  <c:v>2.4549111400906654E-2</c:v>
                </c:pt>
                <c:pt idx="3375">
                  <c:v>2.4550818506163807E-2</c:v>
                </c:pt>
                <c:pt idx="3376">
                  <c:v>2.455251480710352E-2</c:v>
                </c:pt>
                <c:pt idx="3377">
                  <c:v>2.4554200303565921E-2</c:v>
                </c:pt>
                <c:pt idx="3378">
                  <c:v>2.4555874995630944E-2</c:v>
                </c:pt>
                <c:pt idx="3379">
                  <c:v>2.4557538883058783E-2</c:v>
                </c:pt>
                <c:pt idx="3380">
                  <c:v>2.4559191966249116E-2</c:v>
                </c:pt>
                <c:pt idx="3381">
                  <c:v>2.4560834244802265E-2</c:v>
                </c:pt>
                <c:pt idx="3382">
                  <c:v>2.4562465719037974E-2</c:v>
                </c:pt>
                <c:pt idx="3383">
                  <c:v>2.4564086388876305E-2</c:v>
                </c:pt>
                <c:pt idx="3384">
                  <c:v>2.4565696254077451E-2</c:v>
                </c:pt>
                <c:pt idx="3385">
                  <c:v>2.4567295314881221E-2</c:v>
                </c:pt>
                <c:pt idx="3386">
                  <c:v>2.4568883571287614E-2</c:v>
                </c:pt>
                <c:pt idx="3387">
                  <c:v>2.4570461023136758E-2</c:v>
                </c:pt>
                <c:pt idx="3388">
                  <c:v>2.4572027670588525E-2</c:v>
                </c:pt>
                <c:pt idx="3389">
                  <c:v>2.4573583513403108E-2</c:v>
                </c:pt>
                <c:pt idx="3390">
                  <c:v>2.4575128552140058E-2</c:v>
                </c:pt>
                <c:pt idx="3391">
                  <c:v>2.4576662786159886E-2</c:v>
                </c:pt>
                <c:pt idx="3392">
                  <c:v>2.457818621554253E-2</c:v>
                </c:pt>
                <c:pt idx="3393">
                  <c:v>2.4579698840767605E-2</c:v>
                </c:pt>
                <c:pt idx="3394">
                  <c:v>2.4581200661595304E-2</c:v>
                </c:pt>
                <c:pt idx="3395">
                  <c:v>2.4582691677785817E-2</c:v>
                </c:pt>
                <c:pt idx="3396">
                  <c:v>2.4584171889499018E-2</c:v>
                </c:pt>
                <c:pt idx="3397">
                  <c:v>2.4585641296894778E-2</c:v>
                </c:pt>
                <c:pt idx="3398">
                  <c:v>2.4587099899653353E-2</c:v>
                </c:pt>
                <c:pt idx="3399">
                  <c:v>2.4588547698014551E-2</c:v>
                </c:pt>
                <c:pt idx="3400">
                  <c:v>2.4589984691898437E-2</c:v>
                </c:pt>
                <c:pt idx="3401">
                  <c:v>2.4591410881544817E-2</c:v>
                </c:pt>
                <c:pt idx="3402">
                  <c:v>2.4592826266394141E-2</c:v>
                </c:pt>
                <c:pt idx="3403">
                  <c:v>2.4594230846926024E-2</c:v>
                </c:pt>
                <c:pt idx="3404">
                  <c:v>2.459562462306053E-2</c:v>
                </c:pt>
                <c:pt idx="3405">
                  <c:v>2.4599823464135362E-2</c:v>
                </c:pt>
                <c:pt idx="3406">
                  <c:v>2.4601193596862636E-2</c:v>
                </c:pt>
                <c:pt idx="3407">
                  <c:v>2.4599741124520236E-2</c:v>
                </c:pt>
                <c:pt idx="3408">
                  <c:v>2.4601091682825427E-2</c:v>
                </c:pt>
                <c:pt idx="3409">
                  <c:v>2.4602431436573369E-2</c:v>
                </c:pt>
                <c:pt idx="3410">
                  <c:v>2.4603760385843998E-2</c:v>
                </c:pt>
                <c:pt idx="3411">
                  <c:v>2.4605078530637314E-2</c:v>
                </c:pt>
                <c:pt idx="3412">
                  <c:v>2.4606385871193126E-2</c:v>
                </c:pt>
                <c:pt idx="3413">
                  <c:v>2.4607682407191689E-2</c:v>
                </c:pt>
                <c:pt idx="3414">
                  <c:v>2.4608968138633003E-2</c:v>
                </c:pt>
                <c:pt idx="3415">
                  <c:v>2.461024306567694E-2</c:v>
                </c:pt>
                <c:pt idx="3416">
                  <c:v>2.4611507188243564E-2</c:v>
                </c:pt>
                <c:pt idx="3417">
                  <c:v>2.4612760506173004E-2</c:v>
                </c:pt>
                <c:pt idx="3418">
                  <c:v>2.4614003019864938E-2</c:v>
                </c:pt>
                <c:pt idx="3419">
                  <c:v>2.461523472907956E-2</c:v>
                </c:pt>
                <c:pt idx="3420">
                  <c:v>2.4620169083076959E-2</c:v>
                </c:pt>
                <c:pt idx="3421">
                  <c:v>2.4617665733916994E-2</c:v>
                </c:pt>
                <c:pt idx="3422">
                  <c:v>2.4618865029779613E-2</c:v>
                </c:pt>
                <c:pt idx="3423">
                  <c:v>2.4620053521005048E-2</c:v>
                </c:pt>
                <c:pt idx="3424">
                  <c:v>2.4621231207833105E-2</c:v>
                </c:pt>
                <c:pt idx="3425">
                  <c:v>2.4622398090263786E-2</c:v>
                </c:pt>
                <c:pt idx="3426">
                  <c:v>2.462355416829709E-2</c:v>
                </c:pt>
                <c:pt idx="3427">
                  <c:v>2.4624699441773146E-2</c:v>
                </c:pt>
                <c:pt idx="3428">
                  <c:v>2.4625833910612016E-2</c:v>
                </c:pt>
                <c:pt idx="3429">
                  <c:v>2.4626957575213382E-2</c:v>
                </c:pt>
                <c:pt idx="3430">
                  <c:v>2.4628070435337435E-2</c:v>
                </c:pt>
                <c:pt idx="3431">
                  <c:v>2.4629172491064111E-2</c:v>
                </c:pt>
                <c:pt idx="3432">
                  <c:v>2.4630263742073666E-2</c:v>
                </c:pt>
                <c:pt idx="3433">
                  <c:v>2.4631344188685844E-2</c:v>
                </c:pt>
                <c:pt idx="3434">
                  <c:v>2.4632413831060518E-2</c:v>
                </c:pt>
                <c:pt idx="3435">
                  <c:v>2.4633472668798007E-2</c:v>
                </c:pt>
                <c:pt idx="3436">
                  <c:v>2.4634520702058182E-2</c:v>
                </c:pt>
                <c:pt idx="3437">
                  <c:v>2.4635557930920982E-2</c:v>
                </c:pt>
                <c:pt idx="3438">
                  <c:v>2.4636584355226532E-2</c:v>
                </c:pt>
                <c:pt idx="3439">
                  <c:v>2.4637599975134705E-2</c:v>
                </c:pt>
                <c:pt idx="3440">
                  <c:v>2.463860479048563E-2</c:v>
                </c:pt>
                <c:pt idx="3441">
                  <c:v>2.4639598801678986E-2</c:v>
                </c:pt>
                <c:pt idx="3442">
                  <c:v>2.4640582008075285E-2</c:v>
                </c:pt>
                <c:pt idx="3443">
                  <c:v>2.4641554410074207E-2</c:v>
                </c:pt>
                <c:pt idx="3444">
                  <c:v>2.4642516007675752E-2</c:v>
                </c:pt>
                <c:pt idx="3445">
                  <c:v>2.4643466800799985E-2</c:v>
                </c:pt>
                <c:pt idx="3446">
                  <c:v>2.4644406789446904E-2</c:v>
                </c:pt>
                <c:pt idx="3447">
                  <c:v>2.4645335973536575E-2</c:v>
                </c:pt>
                <c:pt idx="3448">
                  <c:v>2.4646254353388741E-2</c:v>
                </c:pt>
                <c:pt idx="3449">
                  <c:v>2.4647161928683659E-2</c:v>
                </c:pt>
                <c:pt idx="3450">
                  <c:v>2.4648058699341391E-2</c:v>
                </c:pt>
                <c:pt idx="3451">
                  <c:v>2.4648944665761618E-2</c:v>
                </c:pt>
                <c:pt idx="3452">
                  <c:v>2.4649819827624597E-2</c:v>
                </c:pt>
                <c:pt idx="3453">
                  <c:v>2.4650684184930327E-2</c:v>
                </c:pt>
                <c:pt idx="3454">
                  <c:v>2.4651537737998552E-2</c:v>
                </c:pt>
                <c:pt idx="3455">
                  <c:v>2.4652380486349657E-2</c:v>
                </c:pt>
                <c:pt idx="3456">
                  <c:v>2.465321243038332E-2</c:v>
                </c:pt>
                <c:pt idx="3457">
                  <c:v>2.4654033569859735E-2</c:v>
                </c:pt>
                <c:pt idx="3458">
                  <c:v>2.4654843905018708E-2</c:v>
                </c:pt>
                <c:pt idx="3459">
                  <c:v>2.465564343570037E-2</c:v>
                </c:pt>
                <c:pt idx="3460">
                  <c:v>2.4656432161744846E-2</c:v>
                </c:pt>
                <c:pt idx="3461">
                  <c:v>2.4657210083312009E-2</c:v>
                </c:pt>
                <c:pt idx="3462">
                  <c:v>2.4657977200641668E-2</c:v>
                </c:pt>
                <c:pt idx="3463">
                  <c:v>2.4658733513414077E-2</c:v>
                </c:pt>
                <c:pt idx="3464">
                  <c:v>2.4659479021629238E-2</c:v>
                </c:pt>
                <c:pt idx="3465">
                  <c:v>2.4660213725367086E-2</c:v>
                </c:pt>
                <c:pt idx="3466">
                  <c:v>2.4660937624707557E-2</c:v>
                </c:pt>
                <c:pt idx="3467">
                  <c:v>2.4661650719650652E-2</c:v>
                </c:pt>
                <c:pt idx="3468">
                  <c:v>2.4662353010036497E-2</c:v>
                </c:pt>
                <c:pt idx="3469">
                  <c:v>2.4663044496024966E-2</c:v>
                </c:pt>
                <c:pt idx="3470">
                  <c:v>2.4667297177879632E-2</c:v>
                </c:pt>
                <c:pt idx="3471">
                  <c:v>2.4664395054410093E-2</c:v>
                </c:pt>
                <c:pt idx="3472">
                  <c:v>2.4665054126966623E-2</c:v>
                </c:pt>
                <c:pt idx="3473">
                  <c:v>2.4665702395125777E-2</c:v>
                </c:pt>
                <c:pt idx="3474">
                  <c:v>2.4666339858727682E-2</c:v>
                </c:pt>
                <c:pt idx="3475">
                  <c:v>2.4666966517692401E-2</c:v>
                </c:pt>
                <c:pt idx="3476">
                  <c:v>2.4667582372419616E-2</c:v>
                </c:pt>
                <c:pt idx="3477">
                  <c:v>2.4668187422749455E-2</c:v>
                </c:pt>
                <c:pt idx="3478">
                  <c:v>2.4668781668442108E-2</c:v>
                </c:pt>
                <c:pt idx="3479">
                  <c:v>2.4669365109737385E-2</c:v>
                </c:pt>
                <c:pt idx="3480">
                  <c:v>2.4669937746555348E-2</c:v>
                </c:pt>
                <c:pt idx="3481">
                  <c:v>2.4670499578816063E-2</c:v>
                </c:pt>
                <c:pt idx="3482">
                  <c:v>2.4671050606679401E-2</c:v>
                </c:pt>
                <c:pt idx="3483">
                  <c:v>2.467159082998549E-2</c:v>
                </c:pt>
                <c:pt idx="3484">
                  <c:v>2.4672120249054075E-2</c:v>
                </c:pt>
                <c:pt idx="3485">
                  <c:v>2.467263886356541E-2</c:v>
                </c:pt>
                <c:pt idx="3486">
                  <c:v>2.4673146673439561E-2</c:v>
                </c:pt>
                <c:pt idx="3487">
                  <c:v>2.4673643678916335E-2</c:v>
                </c:pt>
                <c:pt idx="3488">
                  <c:v>2.4674129880155604E-2</c:v>
                </c:pt>
                <c:pt idx="3489">
                  <c:v>2.4674605276757688E-2</c:v>
                </c:pt>
                <c:pt idx="3490">
                  <c:v>2.4675069868802524E-2</c:v>
                </c:pt>
                <c:pt idx="3491">
                  <c:v>2.4675523656529919E-2</c:v>
                </c:pt>
                <c:pt idx="3492">
                  <c:v>2.4675966639700064E-2</c:v>
                </c:pt>
                <c:pt idx="3493">
                  <c:v>2.4676398818472833E-2</c:v>
                </c:pt>
                <c:pt idx="3494">
                  <c:v>2.4676820192688353E-2</c:v>
                </c:pt>
                <c:pt idx="3495">
                  <c:v>2.4677230762506497E-2</c:v>
                </c:pt>
                <c:pt idx="3496">
                  <c:v>2.4677630527847327E-2</c:v>
                </c:pt>
                <c:pt idx="3497">
                  <c:v>2.4678019488710845E-2</c:v>
                </c:pt>
                <c:pt idx="3498">
                  <c:v>2.467839764509705E-2</c:v>
                </c:pt>
                <c:pt idx="3499">
                  <c:v>2.4678764997005942E-2</c:v>
                </c:pt>
                <c:pt idx="3500">
                  <c:v>2.4679121544517457E-2</c:v>
                </c:pt>
                <c:pt idx="3501">
                  <c:v>2.4679467287391788E-2</c:v>
                </c:pt>
                <c:pt idx="3502">
                  <c:v>2.4679802225948677E-2</c:v>
                </c:pt>
                <c:pt idx="3503">
                  <c:v>2.4680126359948318E-2</c:v>
                </c:pt>
                <c:pt idx="3504">
                  <c:v>2.4680439689550582E-2</c:v>
                </c:pt>
                <c:pt idx="3505">
                  <c:v>2.4680742214595597E-2</c:v>
                </c:pt>
                <c:pt idx="3506">
                  <c:v>2.4681033935403107E-2</c:v>
                </c:pt>
                <c:pt idx="3507">
                  <c:v>2.4681314851493497E-2</c:v>
                </c:pt>
                <c:pt idx="3508">
                  <c:v>2.4681584963186509E-2</c:v>
                </c:pt>
                <c:pt idx="3509">
                  <c:v>2.4681844270402209E-2</c:v>
                </c:pt>
                <c:pt idx="3510">
                  <c:v>2.4684717258789401E-2</c:v>
                </c:pt>
                <c:pt idx="3511">
                  <c:v>2.4684088645727797E-2</c:v>
                </c:pt>
                <c:pt idx="3512">
                  <c:v>2.4684312483236326E-2</c:v>
                </c:pt>
                <c:pt idx="3513">
                  <c:v>2.4684525514828692E-2</c:v>
                </c:pt>
                <c:pt idx="3514">
                  <c:v>2.4684727740478252E-2</c:v>
                </c:pt>
                <c:pt idx="3515">
                  <c:v>2.4684919160131713E-2</c:v>
                </c:pt>
                <c:pt idx="3516">
                  <c:v>2.4685099773869013E-2</c:v>
                </c:pt>
                <c:pt idx="3517">
                  <c:v>2.4685269581716796E-2</c:v>
                </c:pt>
                <c:pt idx="3518">
                  <c:v>2.468542858351519E-2</c:v>
                </c:pt>
                <c:pt idx="3519">
                  <c:v>2.4685576779424068E-2</c:v>
                </c:pt>
                <c:pt idx="3520">
                  <c:v>2.4685714169310202E-2</c:v>
                </c:pt>
                <c:pt idx="3521">
                  <c:v>2.4685840753333466E-2</c:v>
                </c:pt>
                <c:pt idx="3522">
                  <c:v>2.4685956531360631E-2</c:v>
                </c:pt>
                <c:pt idx="3523">
                  <c:v>2.4686061503471635E-2</c:v>
                </c:pt>
                <c:pt idx="3524">
                  <c:v>2.468615566958654E-2</c:v>
                </c:pt>
                <c:pt idx="3525">
                  <c:v>2.4684578903482191E-2</c:v>
                </c:pt>
                <c:pt idx="3526">
                  <c:v>2.4686311584041221E-2</c:v>
                </c:pt>
                <c:pt idx="3527">
                  <c:v>2.4686373332274414E-2</c:v>
                </c:pt>
                <c:pt idx="3528">
                  <c:v>2.4686424274644736E-2</c:v>
                </c:pt>
                <c:pt idx="3529">
                  <c:v>2.468646441101896E-2</c:v>
                </c:pt>
                <c:pt idx="3530">
                  <c:v>2.4686493741477022E-2</c:v>
                </c:pt>
                <c:pt idx="3531">
                  <c:v>2.4686512265938987E-2</c:v>
                </c:pt>
                <c:pt idx="3532">
                  <c:v>2.4686519984484789E-2</c:v>
                </c:pt>
                <c:pt idx="3533">
                  <c:v>#N/A</c:v>
                </c:pt>
              </c:numCache>
            </c:numRef>
          </c:val>
          <c:smooth val="0"/>
        </c:ser>
        <c:dLbls>
          <c:showLegendKey val="0"/>
          <c:showVal val="0"/>
          <c:showCatName val="0"/>
          <c:showSerName val="0"/>
          <c:showPercent val="0"/>
          <c:showBubbleSize val="0"/>
        </c:dLbls>
        <c:marker val="1"/>
        <c:smooth val="0"/>
        <c:axId val="359516800"/>
        <c:axId val="359547648"/>
      </c:lineChart>
      <c:dateAx>
        <c:axId val="359516800"/>
        <c:scaling>
          <c:orientation val="minMax"/>
          <c:max val="4252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9547648"/>
        <c:crosses val="autoZero"/>
        <c:auto val="1"/>
        <c:lblOffset val="100"/>
        <c:baseTimeUnit val="days"/>
        <c:majorUnit val="3"/>
        <c:majorTimeUnit val="months"/>
      </c:dateAx>
      <c:valAx>
        <c:axId val="359547648"/>
        <c:scaling>
          <c:orientation val="minMax"/>
          <c:max val="0.01"/>
          <c:min val="0"/>
        </c:scaling>
        <c:delete val="0"/>
        <c:axPos val="l"/>
        <c:majorGridlines/>
        <c:numFmt formatCode="0.00%" sourceLinked="0"/>
        <c:majorTickMark val="out"/>
        <c:minorTickMark val="none"/>
        <c:tickLblPos val="nextTo"/>
        <c:crossAx val="359516800"/>
        <c:crosses val="autoZero"/>
        <c:crossBetween val="between"/>
        <c:majorUnit val="1.5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Refresh"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84" t="s">
        <v>103</v>
      </c>
      <c r="C2" s="285"/>
      <c r="D2" s="285"/>
      <c r="E2" s="285"/>
      <c r="F2" s="286"/>
      <c r="K2" s="284" t="s">
        <v>124</v>
      </c>
      <c r="L2" s="285"/>
      <c r="M2" s="285"/>
      <c r="N2" s="287"/>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84" t="s">
        <v>120</v>
      </c>
      <c r="L9" s="285"/>
      <c r="M9" s="285"/>
      <c r="N9" s="287"/>
    </row>
    <row r="10" spans="2:14" ht="12.75" x14ac:dyDescent="0.2">
      <c r="B10" s="29"/>
      <c r="C10" s="55" t="s">
        <v>89</v>
      </c>
      <c r="D10" s="30" t="b">
        <v>1</v>
      </c>
      <c r="E10" s="27"/>
      <c r="F10" s="26"/>
      <c r="K10" s="89"/>
      <c r="L10" s="91"/>
      <c r="M10" s="91"/>
      <c r="N10" s="86"/>
    </row>
    <row r="11" spans="2:14" ht="12.75" x14ac:dyDescent="0.2">
      <c r="B11" s="29"/>
      <c r="C11" s="55" t="s">
        <v>88</v>
      </c>
      <c r="D11" s="54">
        <v>41789.522291666668</v>
      </c>
      <c r="E11" s="27"/>
      <c r="F11" s="26"/>
      <c r="K11" s="89"/>
      <c r="L11" s="88" t="s">
        <v>119</v>
      </c>
      <c r="M11" s="90" t="s">
        <v>118</v>
      </c>
      <c r="N11" s="86"/>
    </row>
    <row r="12" spans="2:14" ht="12.75" x14ac:dyDescent="0.2">
      <c r="B12" s="29"/>
      <c r="C12" s="53" t="s">
        <v>87</v>
      </c>
      <c r="D12" s="52" t="b">
        <v>1</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_EURYC6M#0000</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41793</v>
      </c>
      <c r="D27" s="32">
        <f>MAX(_xll.ohPack(Selected!I1:I126))</f>
        <v>1</v>
      </c>
      <c r="E27" s="27"/>
      <c r="F27" s="26"/>
    </row>
    <row r="28" spans="2:6" x14ac:dyDescent="0.2">
      <c r="B28" s="29"/>
      <c r="C28" s="31">
        <f>MAX(_xll.ohPack(Selected!H2:H126))</f>
        <v>63709</v>
      </c>
      <c r="D28" s="30">
        <f>MIN(_xll.ohPack(Selected!I1:I126))</f>
        <v>0.24031371112693273</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167</v>
      </c>
      <c r="D31" s="52" t="b">
        <v>0</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E1" sqref="E1"/>
    </sheetView>
  </sheetViews>
  <sheetFormatPr defaultRowHeight="11.25" x14ac:dyDescent="0.2"/>
  <cols>
    <col min="1" max="1" width="20.140625" style="64" hidden="1" customWidth="1"/>
    <col min="2" max="2" width="24.140625" style="2" hidden="1" customWidth="1"/>
    <col min="3" max="3" width="36.5703125" style="2" hidden="1" customWidth="1"/>
    <col min="4" max="4" width="30" style="2" hidden="1"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hidden="1" customWidth="1"/>
    <col min="15" max="15" width="28.140625" style="64" bestFit="1" customWidth="1"/>
    <col min="16" max="16" width="3.5703125" style="64" customWidth="1"/>
    <col min="17" max="16384" width="9.140625" style="64"/>
  </cols>
  <sheetData>
    <row r="1" spans="2:14" ht="33.75" x14ac:dyDescent="0.2">
      <c r="B1" s="288" t="s">
        <v>64</v>
      </c>
      <c r="C1" s="289"/>
      <c r="D1" s="290"/>
      <c r="E1" s="169" t="s">
        <v>63</v>
      </c>
      <c r="F1" s="169" t="s">
        <v>62</v>
      </c>
      <c r="G1" s="169" t="s">
        <v>61</v>
      </c>
      <c r="H1" s="169" t="s">
        <v>60</v>
      </c>
      <c r="I1" s="169" t="s">
        <v>59</v>
      </c>
      <c r="J1" s="169" t="s">
        <v>58</v>
      </c>
      <c r="K1" s="169" t="s">
        <v>57</v>
      </c>
      <c r="L1" s="169" t="s">
        <v>56</v>
      </c>
    </row>
    <row r="2" spans="2:14" x14ac:dyDescent="0.2">
      <c r="B2" s="170"/>
      <c r="C2" s="171"/>
      <c r="D2" s="172" t="s">
        <v>55</v>
      </c>
      <c r="E2" s="172" t="str">
        <f t="shared" ref="E2:E29" si="0">RateHelperPrefix&amp;"_"&amp;$B2&amp;$C2&amp;$D2</f>
        <v>EUR_YC6MRH_SND</v>
      </c>
      <c r="F2" s="173">
        <f>_xll.qlRateHelperQuoteValue($E2,Trigger)</f>
        <v>7.3020000000000003E-3</v>
      </c>
      <c r="G2" s="173"/>
      <c r="H2" s="174" t="b">
        <v>1</v>
      </c>
      <c r="I2" s="174">
        <v>10</v>
      </c>
      <c r="J2" s="174">
        <v>1</v>
      </c>
      <c r="K2" s="191">
        <f>_xll.qlRateHelperEarliestDate($E2,Trigger)</f>
        <v>41793</v>
      </c>
      <c r="L2" s="192">
        <f>_xll.qlRateHelperLatestDate($E2,Trigger)</f>
        <v>41794</v>
      </c>
    </row>
    <row r="3" spans="2:14" x14ac:dyDescent="0.2">
      <c r="B3" s="170"/>
      <c r="C3" s="171"/>
      <c r="D3" s="172" t="s">
        <v>54</v>
      </c>
      <c r="E3" s="172" t="str">
        <f t="shared" si="0"/>
        <v>EUR_YC6MRH_SWD</v>
      </c>
      <c r="F3" s="173">
        <f>_xll.qlRateHelperQuoteValue($E3,Trigger)</f>
        <v>6.901E-3</v>
      </c>
      <c r="G3" s="173"/>
      <c r="H3" s="174" t="b">
        <v>1</v>
      </c>
      <c r="I3" s="174">
        <v>10</v>
      </c>
      <c r="J3" s="174">
        <v>1</v>
      </c>
      <c r="K3" s="191">
        <f>_xll.qlRateHelperEarliestDate($E3,Trigger)</f>
        <v>41793</v>
      </c>
      <c r="L3" s="192">
        <f>_xll.qlRateHelperLatestDate($E3,Trigger)</f>
        <v>41800</v>
      </c>
    </row>
    <row r="4" spans="2:14" x14ac:dyDescent="0.2">
      <c r="B4" s="170"/>
      <c r="C4" s="171"/>
      <c r="D4" s="172" t="s">
        <v>53</v>
      </c>
      <c r="E4" s="172" t="str">
        <f t="shared" si="0"/>
        <v>EUR_YC6MRH_2WD</v>
      </c>
      <c r="F4" s="173">
        <f>_xll.qlRateHelperQuoteValue($E4,Trigger)</f>
        <v>6.4450000000000002E-3</v>
      </c>
      <c r="G4" s="173"/>
      <c r="H4" s="174" t="b">
        <v>1</v>
      </c>
      <c r="I4" s="174">
        <v>10</v>
      </c>
      <c r="J4" s="174">
        <v>1</v>
      </c>
      <c r="K4" s="191">
        <f>_xll.qlRateHelperEarliestDate($E4,Trigger)</f>
        <v>41793</v>
      </c>
      <c r="L4" s="192">
        <f>_xll.qlRateHelperLatestDate($E4,Trigger)</f>
        <v>41807</v>
      </c>
    </row>
    <row r="5" spans="2:14" x14ac:dyDescent="0.2">
      <c r="B5" s="170"/>
      <c r="C5" s="171"/>
      <c r="D5" s="172" t="s">
        <v>52</v>
      </c>
      <c r="E5" s="172" t="str">
        <f t="shared" si="0"/>
        <v>EUR_YC6MRH_3WD</v>
      </c>
      <c r="F5" s="173">
        <f>_xll.qlRateHelperQuoteValue($E5,Trigger)</f>
        <v>5.9680000000000002E-3</v>
      </c>
      <c r="G5" s="173"/>
      <c r="H5" s="174" t="b">
        <v>1</v>
      </c>
      <c r="I5" s="174">
        <v>10</v>
      </c>
      <c r="J5" s="174">
        <v>1</v>
      </c>
      <c r="K5" s="191">
        <f>_xll.qlRateHelperEarliestDate($E5,Trigger)</f>
        <v>41793</v>
      </c>
      <c r="L5" s="192">
        <f>_xll.qlRateHelperLatestDate($E5,Trigger)</f>
        <v>41814</v>
      </c>
    </row>
    <row r="6" spans="2:14" x14ac:dyDescent="0.2">
      <c r="B6" s="170"/>
      <c r="C6" s="171"/>
      <c r="D6" s="172" t="s">
        <v>51</v>
      </c>
      <c r="E6" s="172" t="str">
        <f t="shared" si="0"/>
        <v>EUR_YC6MRH_1MD</v>
      </c>
      <c r="F6" s="173">
        <f>_xll.qlRateHelperQuoteValue($E6,Trigger)</f>
        <v>5.6020000000000002E-3</v>
      </c>
      <c r="G6" s="173"/>
      <c r="H6" s="174" t="b">
        <v>1</v>
      </c>
      <c r="I6" s="174">
        <v>10</v>
      </c>
      <c r="J6" s="174">
        <v>1</v>
      </c>
      <c r="K6" s="191">
        <f>_xll.qlRateHelperEarliestDate($E6,Trigger)</f>
        <v>41793</v>
      </c>
      <c r="L6" s="192">
        <f>_xll.qlRateHelperLatestDate($E6,Trigger)</f>
        <v>41823</v>
      </c>
    </row>
    <row r="7" spans="2:14" x14ac:dyDescent="0.2">
      <c r="B7" s="170"/>
      <c r="C7" s="171"/>
      <c r="D7" s="172" t="s">
        <v>50</v>
      </c>
      <c r="E7" s="172" t="str">
        <f t="shared" si="0"/>
        <v>EUR_YC6MRH_2MD</v>
      </c>
      <c r="F7" s="173">
        <f>_xll.qlRateHelperQuoteValue($E7,Trigger)</f>
        <v>5.1219999999999998E-3</v>
      </c>
      <c r="G7" s="173"/>
      <c r="H7" s="174" t="b">
        <v>1</v>
      </c>
      <c r="I7" s="174">
        <v>10</v>
      </c>
      <c r="J7" s="174">
        <v>1</v>
      </c>
      <c r="K7" s="191">
        <f>_xll.qlRateHelperEarliestDate($E7,Trigger)</f>
        <v>41793</v>
      </c>
      <c r="L7" s="192">
        <f>_xll.qlRateHelperLatestDate($E7,Trigger)</f>
        <v>41855</v>
      </c>
    </row>
    <row r="8" spans="2:14" x14ac:dyDescent="0.2">
      <c r="B8" s="170"/>
      <c r="C8" s="171"/>
      <c r="D8" s="172" t="s">
        <v>49</v>
      </c>
      <c r="E8" s="172" t="str">
        <f t="shared" si="0"/>
        <v>EUR_YC6MRH_3MD</v>
      </c>
      <c r="F8" s="173">
        <f>_xll.qlRateHelperQuoteValue($E8,Trigger)</f>
        <v>4.7720000000000002E-3</v>
      </c>
      <c r="G8" s="173"/>
      <c r="H8" s="174" t="b">
        <v>1</v>
      </c>
      <c r="I8" s="174">
        <v>10</v>
      </c>
      <c r="J8" s="174">
        <v>1</v>
      </c>
      <c r="K8" s="191">
        <f>_xll.qlRateHelperEarliestDate($E8,Trigger)</f>
        <v>41793</v>
      </c>
      <c r="L8" s="192">
        <f>_xll.qlRateHelperLatestDate($E8,Trigger)</f>
        <v>41885</v>
      </c>
    </row>
    <row r="9" spans="2:14" x14ac:dyDescent="0.2">
      <c r="B9" s="170"/>
      <c r="C9" s="171"/>
      <c r="D9" s="172" t="s">
        <v>48</v>
      </c>
      <c r="E9" s="172" t="str">
        <f t="shared" si="0"/>
        <v>EUR_YC6MRH_4MD</v>
      </c>
      <c r="F9" s="173">
        <f>_xll.qlRateHelperQuoteValue($E9,Trigger)</f>
        <v>4.5019999999999999E-3</v>
      </c>
      <c r="G9" s="173"/>
      <c r="H9" s="174" t="b">
        <v>1</v>
      </c>
      <c r="I9" s="174">
        <v>10</v>
      </c>
      <c r="J9" s="174">
        <v>1</v>
      </c>
      <c r="K9" s="191">
        <f>_xll.qlRateHelperEarliestDate($E9,Trigger)</f>
        <v>41793</v>
      </c>
      <c r="L9" s="192">
        <f>_xll.qlRateHelperLatestDate($E9,Trigger)</f>
        <v>41915</v>
      </c>
    </row>
    <row r="10" spans="2:14"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41793</v>
      </c>
      <c r="L10" s="192">
        <f>_xll.qlRateHelperLatestDate($E10,Trigger)</f>
        <v>41946</v>
      </c>
    </row>
    <row r="11" spans="2:14" x14ac:dyDescent="0.2">
      <c r="B11" s="170"/>
      <c r="C11" s="171"/>
      <c r="D11" s="172" t="s">
        <v>46</v>
      </c>
      <c r="E11" s="172" t="str">
        <f t="shared" si="0"/>
        <v>EUR_YC6MRH_6MD</v>
      </c>
      <c r="F11" s="173">
        <f>_xll.qlRateHelperQuoteValue($E11,Trigger)</f>
        <v>4.0220000000000004E-3</v>
      </c>
      <c r="G11" s="173"/>
      <c r="H11" s="174" t="b">
        <v>0</v>
      </c>
      <c r="I11" s="174">
        <v>10</v>
      </c>
      <c r="J11" s="174">
        <v>1</v>
      </c>
      <c r="K11" s="191">
        <f>_xll.qlRateHelperEarliestDate($E11,Trigger)</f>
        <v>41793</v>
      </c>
      <c r="L11" s="192">
        <f>_xll.qlRateHelperLatestDate($E11,Trigger)</f>
        <v>41976</v>
      </c>
    </row>
    <row r="12" spans="2:14"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41793</v>
      </c>
      <c r="L12" s="194">
        <f>_xll.qlRateHelperLatestDate($E12,Trigger)</f>
        <v>41976</v>
      </c>
    </row>
    <row r="13" spans="2:14"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41794</v>
      </c>
      <c r="L13" s="196">
        <f>_xll.qlRateHelperLatestDate($E13,Trigger)</f>
        <v>41977</v>
      </c>
    </row>
    <row r="14" spans="2:14" x14ac:dyDescent="0.2">
      <c r="B14" s="185">
        <v>1</v>
      </c>
      <c r="C14" s="171" t="s">
        <v>42</v>
      </c>
      <c r="D14" s="172" t="str">
        <f t="shared" ref="D14:D31" si="1">(B14+Months)&amp;"F"</f>
        <v>7F</v>
      </c>
      <c r="E14" s="172" t="str">
        <f t="shared" si="0"/>
        <v>EUR_YC6MRH_1x7F</v>
      </c>
      <c r="F14" s="173">
        <f>_xll.qlRateHelperQuoteValue($E14,Trigger)</f>
        <v>3.2999999999999995E-3</v>
      </c>
      <c r="G14" s="173"/>
      <c r="H14" s="174" t="b">
        <v>1</v>
      </c>
      <c r="I14" s="174">
        <v>20</v>
      </c>
      <c r="J14" s="174">
        <v>1</v>
      </c>
      <c r="K14" s="191">
        <f>_xll.qlRateHelperEarliestDate($E14,Trigger)</f>
        <v>41823</v>
      </c>
      <c r="L14" s="192">
        <f>_xll.qlRateHelperLatestDate($E14,Trigger)</f>
        <v>42009</v>
      </c>
      <c r="N14" s="64" t="b">
        <f>IF(ISERROR(F14),FALSE,TRUE)</f>
        <v>1</v>
      </c>
    </row>
    <row r="15" spans="2:14" x14ac:dyDescent="0.2">
      <c r="B15" s="185">
        <v>2</v>
      </c>
      <c r="C15" s="171" t="s">
        <v>42</v>
      </c>
      <c r="D15" s="172" t="str">
        <f t="shared" si="1"/>
        <v>8F</v>
      </c>
      <c r="E15" s="172" t="str">
        <f t="shared" si="0"/>
        <v>EUR_YC6MRH_2x8F</v>
      </c>
      <c r="F15" s="173">
        <f>_xll.qlRateHelperQuoteValue($E15,Trigger)</f>
        <v>3.1700000000000001E-3</v>
      </c>
      <c r="G15" s="173"/>
      <c r="H15" s="174" t="b">
        <v>1</v>
      </c>
      <c r="I15" s="174">
        <v>20</v>
      </c>
      <c r="J15" s="174">
        <v>1</v>
      </c>
      <c r="K15" s="191">
        <f>_xll.qlRateHelperEarliestDate($E15,Trigger)</f>
        <v>41855</v>
      </c>
      <c r="L15" s="192">
        <f>_xll.qlRateHelperLatestDate($E15,Trigger)</f>
        <v>42039</v>
      </c>
      <c r="N15" s="64" t="b">
        <f t="shared" ref="N15:N31" si="2">IF(ISERROR(F15),FALSE,TRUE)</f>
        <v>1</v>
      </c>
    </row>
    <row r="16" spans="2:14" x14ac:dyDescent="0.2">
      <c r="B16" s="185">
        <v>3</v>
      </c>
      <c r="C16" s="171" t="s">
        <v>42</v>
      </c>
      <c r="D16" s="172" t="str">
        <f t="shared" si="1"/>
        <v>9F</v>
      </c>
      <c r="E16" s="172" t="str">
        <f t="shared" si="0"/>
        <v>EUR_YC6MRH_3x9F</v>
      </c>
      <c r="F16" s="173">
        <f>_xll.qlRateHelperQuoteValue($E16,Trigger)</f>
        <v>3.0400000000000006E-3</v>
      </c>
      <c r="G16" s="173"/>
      <c r="H16" s="174" t="b">
        <v>1</v>
      </c>
      <c r="I16" s="174">
        <v>20</v>
      </c>
      <c r="J16" s="174">
        <v>1</v>
      </c>
      <c r="K16" s="191">
        <f>_xll.qlRateHelperEarliestDate($E16,Trigger)</f>
        <v>41885</v>
      </c>
      <c r="L16" s="192">
        <f>_xll.qlRateHelperLatestDate($E16,Trigger)</f>
        <v>42066</v>
      </c>
      <c r="N16" s="64" t="b">
        <f t="shared" si="2"/>
        <v>1</v>
      </c>
    </row>
    <row r="17" spans="1:14" x14ac:dyDescent="0.2">
      <c r="B17" s="185">
        <v>4</v>
      </c>
      <c r="C17" s="171" t="s">
        <v>42</v>
      </c>
      <c r="D17" s="172" t="str">
        <f t="shared" si="1"/>
        <v>10F</v>
      </c>
      <c r="E17" s="172" t="str">
        <f t="shared" si="0"/>
        <v>EUR_YC6MRH_4x10F</v>
      </c>
      <c r="F17" s="173">
        <f>_xll.qlRateHelperQuoteValue($E17,Trigger)</f>
        <v>2.9500000000000004E-3</v>
      </c>
      <c r="G17" s="173"/>
      <c r="H17" s="174" t="b">
        <v>1</v>
      </c>
      <c r="I17" s="174">
        <v>20</v>
      </c>
      <c r="J17" s="174">
        <v>1</v>
      </c>
      <c r="K17" s="191">
        <f>_xll.qlRateHelperEarliestDate($E17,Trigger)</f>
        <v>41915</v>
      </c>
      <c r="L17" s="192">
        <f>_xll.qlRateHelperLatestDate($E17,Trigger)</f>
        <v>42101</v>
      </c>
      <c r="N17" s="64" t="b">
        <f t="shared" si="2"/>
        <v>1</v>
      </c>
    </row>
    <row r="18" spans="1:14" x14ac:dyDescent="0.2">
      <c r="B18" s="185">
        <v>5</v>
      </c>
      <c r="C18" s="171" t="s">
        <v>42</v>
      </c>
      <c r="D18" s="172" t="str">
        <f t="shared" si="1"/>
        <v>11F</v>
      </c>
      <c r="E18" s="172" t="str">
        <f t="shared" si="0"/>
        <v>EUR_YC6MRH_5x11F</v>
      </c>
      <c r="F18" s="173">
        <f>_xll.qlRateHelperQuoteValue($E18,Trigger)</f>
        <v>2.9200000000000003E-3</v>
      </c>
      <c r="G18" s="173"/>
      <c r="H18" s="174" t="b">
        <v>1</v>
      </c>
      <c r="I18" s="174">
        <v>20</v>
      </c>
      <c r="J18" s="174">
        <v>1</v>
      </c>
      <c r="K18" s="191">
        <f>_xll.qlRateHelperEarliestDate($E18,Trigger)</f>
        <v>41946</v>
      </c>
      <c r="L18" s="192">
        <f>_xll.qlRateHelperLatestDate($E18,Trigger)</f>
        <v>42128</v>
      </c>
      <c r="N18" s="64" t="b">
        <f t="shared" si="2"/>
        <v>1</v>
      </c>
    </row>
    <row r="19" spans="1:14" x14ac:dyDescent="0.2">
      <c r="B19" s="185">
        <v>6</v>
      </c>
      <c r="C19" s="171" t="s">
        <v>42</v>
      </c>
      <c r="D19" s="172" t="str">
        <f t="shared" si="1"/>
        <v>12F</v>
      </c>
      <c r="E19" s="172" t="str">
        <f t="shared" si="0"/>
        <v>EUR_YC6MRH_6x12F</v>
      </c>
      <c r="F19" s="173">
        <f>_xll.qlRateHelperQuoteValue($E19,Trigger)</f>
        <v>2.9100000000000003E-3</v>
      </c>
      <c r="G19" s="173"/>
      <c r="H19" s="174" t="b">
        <v>1</v>
      </c>
      <c r="I19" s="174">
        <v>20</v>
      </c>
      <c r="J19" s="174">
        <v>1</v>
      </c>
      <c r="K19" s="191">
        <f>_xll.qlRateHelperEarliestDate($E19,Trigger)</f>
        <v>41976</v>
      </c>
      <c r="L19" s="192">
        <f>_xll.qlRateHelperLatestDate($E19,Trigger)</f>
        <v>42158</v>
      </c>
      <c r="N19" s="64" t="b">
        <f t="shared" si="2"/>
        <v>1</v>
      </c>
    </row>
    <row r="20" spans="1:14" x14ac:dyDescent="0.2">
      <c r="B20" s="185">
        <v>7</v>
      </c>
      <c r="C20" s="171" t="s">
        <v>42</v>
      </c>
      <c r="D20" s="172" t="str">
        <f t="shared" si="1"/>
        <v>13F</v>
      </c>
      <c r="E20" s="172" t="str">
        <f t="shared" si="0"/>
        <v>EUR_YC6MRH_7x13F</v>
      </c>
      <c r="F20" s="173">
        <f>_xll.qlRateHelperQuoteValue($E20,Trigger)</f>
        <v>2.9300000000000003E-3</v>
      </c>
      <c r="G20" s="173"/>
      <c r="H20" s="174" t="b">
        <v>1</v>
      </c>
      <c r="I20" s="174">
        <v>20</v>
      </c>
      <c r="J20" s="174">
        <v>1</v>
      </c>
      <c r="K20" s="191">
        <f>_xll.qlRateHelperEarliestDate($E20,Trigger)</f>
        <v>42009</v>
      </c>
      <c r="L20" s="192">
        <f>_xll.qlRateHelperLatestDate($E20,Trigger)</f>
        <v>42191</v>
      </c>
      <c r="N20" s="64" t="b">
        <f t="shared" si="2"/>
        <v>1</v>
      </c>
    </row>
    <row r="21" spans="1:14" x14ac:dyDescent="0.2">
      <c r="B21" s="185">
        <v>8</v>
      </c>
      <c r="C21" s="171" t="s">
        <v>42</v>
      </c>
      <c r="D21" s="172" t="str">
        <f t="shared" si="1"/>
        <v>14F</v>
      </c>
      <c r="E21" s="172" t="str">
        <f t="shared" si="0"/>
        <v>EUR_YC6MRH_8x14F</v>
      </c>
      <c r="F21" s="173">
        <f>_xll.qlRateHelperQuoteValue($E21,Trigger)</f>
        <v>2.9400000000000003E-3</v>
      </c>
      <c r="G21" s="173"/>
      <c r="H21" s="174" t="b">
        <v>1</v>
      </c>
      <c r="I21" s="174">
        <v>20</v>
      </c>
      <c r="J21" s="174">
        <v>1</v>
      </c>
      <c r="K21" s="191">
        <f>_xll.qlRateHelperEarliestDate($E21,Trigger)</f>
        <v>42038</v>
      </c>
      <c r="L21" s="192">
        <f>_xll.qlRateHelperLatestDate($E21,Trigger)</f>
        <v>42219</v>
      </c>
      <c r="N21" s="64" t="b">
        <f t="shared" si="2"/>
        <v>1</v>
      </c>
    </row>
    <row r="22" spans="1:14"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42066</v>
      </c>
      <c r="L22" s="192">
        <f>_xll.qlRateHelperLatestDate($E22,Trigger)</f>
        <v>42250</v>
      </c>
      <c r="N22" s="64" t="b">
        <f t="shared" si="2"/>
        <v>1</v>
      </c>
    </row>
    <row r="23" spans="1:14"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42101</v>
      </c>
      <c r="L23" s="192">
        <f>_xll.qlRateHelperLatestDate($E23,Trigger)</f>
        <v>42284</v>
      </c>
      <c r="N23" s="64" t="b">
        <f t="shared" si="2"/>
        <v>1</v>
      </c>
    </row>
    <row r="24" spans="1:14" x14ac:dyDescent="0.2">
      <c r="B24" s="185">
        <v>11</v>
      </c>
      <c r="C24" s="171" t="s">
        <v>42</v>
      </c>
      <c r="D24" s="172" t="str">
        <f t="shared" si="1"/>
        <v>17F</v>
      </c>
      <c r="E24" s="172" t="str">
        <f t="shared" si="0"/>
        <v>EUR_YC6MRH_11x17F</v>
      </c>
      <c r="F24" s="173">
        <f>_xll.qlRateHelperQuoteValue($E24,Trigger)</f>
        <v>3.13E-3</v>
      </c>
      <c r="G24" s="173"/>
      <c r="H24" s="174" t="b">
        <v>1</v>
      </c>
      <c r="I24" s="174">
        <v>20</v>
      </c>
      <c r="J24" s="174">
        <v>1</v>
      </c>
      <c r="K24" s="191">
        <f>_xll.qlRateHelperEarliestDate($E24,Trigger)</f>
        <v>42128</v>
      </c>
      <c r="L24" s="192">
        <f>_xll.qlRateHelperLatestDate($E24,Trigger)</f>
        <v>42312</v>
      </c>
      <c r="N24" s="64" t="b">
        <f t="shared" si="2"/>
        <v>1</v>
      </c>
    </row>
    <row r="25" spans="1:14" x14ac:dyDescent="0.2">
      <c r="B25" s="185">
        <v>12</v>
      </c>
      <c r="C25" s="171" t="s">
        <v>42</v>
      </c>
      <c r="D25" s="172" t="str">
        <f t="shared" si="1"/>
        <v>18F</v>
      </c>
      <c r="E25" s="172" t="str">
        <f t="shared" si="0"/>
        <v>EUR_YC6MRH_12x18F</v>
      </c>
      <c r="F25" s="173">
        <f>_xll.qlRateHelperQuoteValue($E25,Trigger)</f>
        <v>3.2099999999999993E-3</v>
      </c>
      <c r="G25" s="173"/>
      <c r="H25" s="174" t="b">
        <v>1</v>
      </c>
      <c r="I25" s="174">
        <v>20</v>
      </c>
      <c r="J25" s="174">
        <v>1</v>
      </c>
      <c r="K25" s="191">
        <f>_xll.qlRateHelperEarliestDate($E25,Trigger)</f>
        <v>42158</v>
      </c>
      <c r="L25" s="192">
        <f>_xll.qlRateHelperLatestDate($E25,Trigger)</f>
        <v>42341</v>
      </c>
      <c r="N25" s="64" t="b">
        <f t="shared" si="2"/>
        <v>1</v>
      </c>
    </row>
    <row r="26" spans="1:14" x14ac:dyDescent="0.2">
      <c r="B26" s="185">
        <v>13</v>
      </c>
      <c r="C26" s="171" t="s">
        <v>42</v>
      </c>
      <c r="D26" s="172" t="str">
        <f t="shared" si="1"/>
        <v>19F</v>
      </c>
      <c r="E26" s="172" t="str">
        <f t="shared" si="0"/>
        <v>EUR_YC6MRH_13x19F</v>
      </c>
      <c r="F26" s="173">
        <f>_xll.qlRateHelperQuoteValue($E26,Trigger)</f>
        <v>3.2999999999999995E-3</v>
      </c>
      <c r="G26" s="173"/>
      <c r="H26" s="174" t="b">
        <v>1</v>
      </c>
      <c r="I26" s="174">
        <v>20</v>
      </c>
      <c r="J26" s="174">
        <v>1</v>
      </c>
      <c r="K26" s="191">
        <f>_xll.qlRateHelperEarliestDate($E26,Trigger)</f>
        <v>42188</v>
      </c>
      <c r="L26" s="192">
        <f>_xll.qlRateHelperLatestDate($E26,Trigger)</f>
        <v>42373</v>
      </c>
      <c r="N26" s="64" t="b">
        <f t="shared" si="2"/>
        <v>1</v>
      </c>
    </row>
    <row r="27" spans="1:14" x14ac:dyDescent="0.2">
      <c r="B27" s="185">
        <v>14</v>
      </c>
      <c r="C27" s="171" t="s">
        <v>42</v>
      </c>
      <c r="D27" s="172" t="str">
        <f t="shared" si="1"/>
        <v>20F</v>
      </c>
      <c r="E27" s="172" t="str">
        <f t="shared" si="0"/>
        <v>EUR_YC6MRH_14x20F</v>
      </c>
      <c r="F27" s="173">
        <f>_xll.qlRateHelperQuoteValue($E27,Trigger)</f>
        <v>3.4399999999999999E-3</v>
      </c>
      <c r="G27" s="173"/>
      <c r="H27" s="174" t="b">
        <v>1</v>
      </c>
      <c r="I27" s="174">
        <v>20</v>
      </c>
      <c r="J27" s="174">
        <v>1</v>
      </c>
      <c r="K27" s="191">
        <f>_xll.qlRateHelperEarliestDate($E27,Trigger)</f>
        <v>42219</v>
      </c>
      <c r="L27" s="192">
        <f>_xll.qlRateHelperLatestDate($E27,Trigger)</f>
        <v>42403</v>
      </c>
      <c r="N27" s="64" t="b">
        <f t="shared" si="2"/>
        <v>1</v>
      </c>
    </row>
    <row r="28" spans="1:14" x14ac:dyDescent="0.2">
      <c r="B28" s="185">
        <v>15</v>
      </c>
      <c r="C28" s="171" t="s">
        <v>42</v>
      </c>
      <c r="D28" s="172" t="str">
        <f t="shared" si="1"/>
        <v>21F</v>
      </c>
      <c r="E28" s="172" t="str">
        <f t="shared" si="0"/>
        <v>EUR_YC6MRH_15x21F</v>
      </c>
      <c r="F28" s="173">
        <f>_xll.qlRateHelperQuoteValue($E28,Trigger)</f>
        <v>3.5599999999999998E-3</v>
      </c>
      <c r="G28" s="173"/>
      <c r="H28" s="174" t="b">
        <v>1</v>
      </c>
      <c r="I28" s="174">
        <v>20</v>
      </c>
      <c r="J28" s="174">
        <v>1</v>
      </c>
      <c r="K28" s="191">
        <f>_xll.qlRateHelperEarliestDate($E28,Trigger)</f>
        <v>42250</v>
      </c>
      <c r="L28" s="192">
        <f>_xll.qlRateHelperLatestDate($E28,Trigger)</f>
        <v>42432</v>
      </c>
      <c r="N28" s="64" t="b">
        <f t="shared" si="2"/>
        <v>1</v>
      </c>
    </row>
    <row r="29" spans="1:14" x14ac:dyDescent="0.2">
      <c r="B29" s="185">
        <v>16</v>
      </c>
      <c r="C29" s="171" t="s">
        <v>42</v>
      </c>
      <c r="D29" s="172" t="str">
        <f t="shared" si="1"/>
        <v>22F</v>
      </c>
      <c r="E29" s="172" t="str">
        <f t="shared" si="0"/>
        <v>EUR_YC6MRH_16x22F</v>
      </c>
      <c r="F29" s="173">
        <f>_xll.qlRateHelperQuoteValue($E29,Trigger)</f>
        <v>3.7000000000000002E-3</v>
      </c>
      <c r="G29" s="173"/>
      <c r="H29" s="174" t="b">
        <v>1</v>
      </c>
      <c r="I29" s="174">
        <v>20</v>
      </c>
      <c r="J29" s="174">
        <v>1</v>
      </c>
      <c r="K29" s="191">
        <f>_xll.qlRateHelperEarliestDate($E29,Trigger)</f>
        <v>42282</v>
      </c>
      <c r="L29" s="192">
        <f>_xll.qlRateHelperLatestDate($E29,Trigger)</f>
        <v>42465</v>
      </c>
      <c r="N29" s="64" t="b">
        <f t="shared" si="2"/>
        <v>1</v>
      </c>
    </row>
    <row r="30" spans="1:14" x14ac:dyDescent="0.2">
      <c r="B30" s="185">
        <v>17</v>
      </c>
      <c r="C30" s="171" t="s">
        <v>42</v>
      </c>
      <c r="D30" s="172" t="str">
        <f t="shared" si="1"/>
        <v>23F</v>
      </c>
      <c r="E30" s="172" t="str">
        <f t="shared" ref="E30:E61" si="3">RateHelperPrefix&amp;"_"&amp;$B30&amp;$C30&amp;$D30</f>
        <v>EUR_YC6MRH_17x23F</v>
      </c>
      <c r="F30" s="173">
        <f>_xll.qlRateHelperQuoteValue($E30,Trigger)</f>
        <v>3.8800000000000002E-3</v>
      </c>
      <c r="G30" s="173"/>
      <c r="H30" s="174" t="b">
        <v>1</v>
      </c>
      <c r="I30" s="174">
        <v>20</v>
      </c>
      <c r="J30" s="174">
        <v>1</v>
      </c>
      <c r="K30" s="191">
        <f>_xll.qlRateHelperEarliestDate($E30,Trigger)</f>
        <v>42311</v>
      </c>
      <c r="L30" s="192">
        <f>_xll.qlRateHelperLatestDate($E30,Trigger)</f>
        <v>42493</v>
      </c>
      <c r="N30" s="64" t="b">
        <f t="shared" si="2"/>
        <v>1</v>
      </c>
    </row>
    <row r="31" spans="1:14" x14ac:dyDescent="0.2">
      <c r="B31" s="180">
        <v>18</v>
      </c>
      <c r="C31" s="181" t="s">
        <v>42</v>
      </c>
      <c r="D31" s="182" t="str">
        <f t="shared" si="1"/>
        <v>24F</v>
      </c>
      <c r="E31" s="182" t="str">
        <f t="shared" si="3"/>
        <v>EUR_YC6MRH_18x24F</v>
      </c>
      <c r="F31" s="183">
        <f>_xll.qlRateHelperQuoteValue($E31,Trigger)</f>
        <v>4.0600000000000002E-3</v>
      </c>
      <c r="G31" s="183"/>
      <c r="H31" s="174" t="b">
        <v>1</v>
      </c>
      <c r="I31" s="184">
        <v>20</v>
      </c>
      <c r="J31" s="184">
        <v>1</v>
      </c>
      <c r="K31" s="195">
        <f>_xll.qlRateHelperEarliestDate($E31,Trigger)</f>
        <v>42341</v>
      </c>
      <c r="L31" s="196">
        <f>_xll.qlRateHelperLatestDate($E31,Trigger)</f>
        <v>42524</v>
      </c>
      <c r="N31" s="64" t="b">
        <f t="shared" si="2"/>
        <v>1</v>
      </c>
    </row>
    <row r="32" spans="1:14" ht="11.25" customHeight="1" x14ac:dyDescent="0.2">
      <c r="A32" s="176" t="b">
        <v>0</v>
      </c>
      <c r="B32" s="185"/>
      <c r="C32" s="171" t="str">
        <f t="shared" ref="C32:C73" si="4">IF(IndexTenor="6M","IMMFRA","FUT")&amp;IndexTenor</f>
        <v>IMMFRA6M</v>
      </c>
      <c r="D32" s="172" t="str">
        <f t="array" ref="D32:D73">_xll.qlIMMNextCodes(_xll.qlSettingsEvaluationDate(Trigger)-1,$A32:$A73)</f>
        <v>M4</v>
      </c>
      <c r="E32" s="172" t="str">
        <f t="shared" si="3"/>
        <v>EUR_YC6MRH_IMMFRA6MM4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4"/>
        <v>IMMFRA6M</v>
      </c>
      <c r="D33" s="172" t="str">
        <v>N4</v>
      </c>
      <c r="E33" s="172" t="str">
        <f t="shared" si="3"/>
        <v>EUR_YC6MRH_IMMFRA6MN4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4"/>
        <v>IMMFRA6M</v>
      </c>
      <c r="D34" s="172" t="str">
        <v>Q4</v>
      </c>
      <c r="E34" s="172" t="str">
        <f t="shared" si="3"/>
        <v>EUR_YC6MRH_IMMFRA6MQ4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4"/>
        <v>IMMFRA6M</v>
      </c>
      <c r="D35" s="172" t="str">
        <v>U4</v>
      </c>
      <c r="E35" s="172" t="str">
        <f t="shared" si="3"/>
        <v>EUR_YC6MRH_IMMFRA6MU4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4"/>
        <v>IMMFRA6M</v>
      </c>
      <c r="D36" s="172" t="str">
        <v>V4</v>
      </c>
      <c r="E36" s="172" t="str">
        <f t="shared" si="3"/>
        <v>EUR_YC6MRH_IMMFRA6MV4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4"/>
        <v>IMMFRA6M</v>
      </c>
      <c r="D37" s="172" t="str">
        <v>X4</v>
      </c>
      <c r="E37" s="172" t="str">
        <f t="shared" si="3"/>
        <v>EUR_YC6MRH_IMMFRA6MX4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4"/>
        <v>IMMFRA6M</v>
      </c>
      <c r="D38" s="172" t="str">
        <v>Z4</v>
      </c>
      <c r="E38" s="172" t="str">
        <f t="shared" si="3"/>
        <v>EUR_YC6MRH_IMMFRA6MZ4</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4"/>
        <v>IMMFRA6M</v>
      </c>
      <c r="D39" s="172" t="str">
        <v>F5</v>
      </c>
      <c r="E39" s="172" t="str">
        <f t="shared" si="3"/>
        <v>EUR_YC6MRH_IMMFRA6MF5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4"/>
        <v>IMMFRA6M</v>
      </c>
      <c r="D40" s="172" t="str">
        <v>G5</v>
      </c>
      <c r="E40" s="172" t="str">
        <f t="shared" si="3"/>
        <v>EUR_YC6MRH_IMMFRA6MG5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4"/>
        <v>IMMFRA6M</v>
      </c>
      <c r="D41" s="172" t="str">
        <v>H5</v>
      </c>
      <c r="E41" s="172" t="str">
        <f t="shared" si="3"/>
        <v>EUR_YC6MRH_IMMFRA6MH5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4"/>
        <v>IMMFRA6M</v>
      </c>
      <c r="D42" s="172" t="str">
        <v>J5</v>
      </c>
      <c r="E42" s="172" t="str">
        <f t="shared" si="3"/>
        <v>EUR_YC6MRH_IMMFRA6MJ5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4"/>
        <v>IMMFRA6M</v>
      </c>
      <c r="D43" s="172" t="str">
        <v>K5</v>
      </c>
      <c r="E43" s="172" t="str">
        <f t="shared" si="3"/>
        <v>EUR_YC6MRH_IMMFRA6MK5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4"/>
        <v>IMMFRA6M</v>
      </c>
      <c r="D44" s="172" t="str">
        <v>M5</v>
      </c>
      <c r="E44" s="172" t="str">
        <f t="shared" si="3"/>
        <v>EUR_YC6MRH_IMMFRA6MM5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4"/>
        <v>IMMFRA6M</v>
      </c>
      <c r="D45" s="172" t="str">
        <v>U5</v>
      </c>
      <c r="E45" s="172" t="str">
        <f t="shared" si="3"/>
        <v>EUR_YC6MRH_IMMFRA6MU5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4"/>
        <v>IMMFRA6M</v>
      </c>
      <c r="D46" s="172" t="str">
        <v>Z5</v>
      </c>
      <c r="E46" s="172" t="str">
        <f t="shared" si="3"/>
        <v>EUR_YC6MRH_IMMFRA6MZ5</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4"/>
        <v>IMMFRA6M</v>
      </c>
      <c r="D47" s="172" t="str">
        <v>H6</v>
      </c>
      <c r="E47" s="172" t="str">
        <f t="shared" si="3"/>
        <v>EUR_YC6MRH_IMMFRA6MH6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4"/>
        <v>IMMFRA6M</v>
      </c>
      <c r="D48" s="172" t="str">
        <v>M6</v>
      </c>
      <c r="E48" s="172" t="str">
        <f t="shared" si="3"/>
        <v>EUR_YC6MRH_IMMFRA6MM6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4"/>
        <v>IMMFRA6M</v>
      </c>
      <c r="D49" s="172" t="str">
        <v>U6</v>
      </c>
      <c r="E49" s="172" t="str">
        <f t="shared" si="3"/>
        <v>EUR_YC6MRH_IMMFRA6MU6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4"/>
        <v>IMMFRA6M</v>
      </c>
      <c r="D50" s="172" t="str">
        <v>Z6</v>
      </c>
      <c r="E50" s="172" t="str">
        <f t="shared" si="3"/>
        <v>EUR_YC6MRH_IMMFRA6MZ6</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4"/>
        <v>IMMFRA6M</v>
      </c>
      <c r="D51" s="172" t="str">
        <v>H7</v>
      </c>
      <c r="E51" s="172" t="str">
        <f t="shared" si="3"/>
        <v>EUR_YC6MRH_IMMFRA6MH7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4"/>
        <v>IMMFRA6M</v>
      </c>
      <c r="D52" s="172" t="str">
        <v>M7</v>
      </c>
      <c r="E52" s="172" t="str">
        <f t="shared" si="3"/>
        <v>EUR_YC6MRH_IMMFRA6MM7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4"/>
        <v>IMMFRA6M</v>
      </c>
      <c r="D53" s="172" t="str">
        <v>U7</v>
      </c>
      <c r="E53" s="172" t="str">
        <f t="shared" si="3"/>
        <v>EUR_YC6MRH_IMMFRA6MU7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4"/>
        <v>IMMFRA6M</v>
      </c>
      <c r="D54" s="172" t="str">
        <v>Z7</v>
      </c>
      <c r="E54" s="172" t="str">
        <f t="shared" si="3"/>
        <v>EUR_YC6MRH_IMMFRA6MZ7</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4"/>
        <v>IMMFRA6M</v>
      </c>
      <c r="D55" s="172" t="str">
        <v>H8</v>
      </c>
      <c r="E55" s="172" t="str">
        <f t="shared" si="3"/>
        <v>EUR_YC6MRH_IMMFRA6MH8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4"/>
        <v>IMMFRA6M</v>
      </c>
      <c r="D56" s="172" t="str">
        <v>M8</v>
      </c>
      <c r="E56" s="172" t="str">
        <f t="shared" si="3"/>
        <v>EUR_YC6MRH_IMMFRA6MM8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4"/>
        <v>IMMFRA6M</v>
      </c>
      <c r="D57" s="172" t="str">
        <v>U8</v>
      </c>
      <c r="E57" s="172" t="str">
        <f t="shared" si="3"/>
        <v>EUR_YC6MRH_IMMFRA6MU8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4"/>
        <v>IMMFRA6M</v>
      </c>
      <c r="D58" s="172" t="str">
        <v>Z8</v>
      </c>
      <c r="E58" s="172" t="str">
        <f t="shared" si="3"/>
        <v>EUR_YC6MRH_IMMFRA6MZ8</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4"/>
        <v>IMMFRA6M</v>
      </c>
      <c r="D59" s="172" t="str">
        <v>H9</v>
      </c>
      <c r="E59" s="172" t="str">
        <f t="shared" si="3"/>
        <v>EUR_YC6MRH_IMMFRA6MH9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4"/>
        <v>IMMFRA6M</v>
      </c>
      <c r="D60" s="172" t="str">
        <v>M9</v>
      </c>
      <c r="E60" s="172" t="str">
        <f t="shared" si="3"/>
        <v>EUR_YC6MRH_IMMFRA6MM9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4"/>
        <v>IMMFRA6M</v>
      </c>
      <c r="D61" s="172" t="str">
        <v>U9</v>
      </c>
      <c r="E61" s="172" t="str">
        <f t="shared" si="3"/>
        <v>EUR_YC6MRH_IMMFRA6MU9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4"/>
        <v>IMMFRA6M</v>
      </c>
      <c r="D62" s="172" t="str">
        <v>Z9</v>
      </c>
      <c r="E62" s="172" t="str">
        <f t="shared" ref="E62:E93" si="5">RateHelperPrefix&amp;"_"&amp;$B62&amp;$C62&amp;$D62</f>
        <v>EUR_YC6MRH_IMMFRA6MZ9</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4"/>
        <v>IMMFRA6M</v>
      </c>
      <c r="D63" s="172" t="str">
        <v>H0</v>
      </c>
      <c r="E63" s="172" t="str">
        <f t="shared" si="5"/>
        <v>EUR_YC6MRH_IMMFRA6MH0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4"/>
        <v>IMMFRA6M</v>
      </c>
      <c r="D64" s="172" t="str">
        <v>M0</v>
      </c>
      <c r="E64" s="172" t="str">
        <f t="shared" si="5"/>
        <v>EUR_YC6MRH_IMMFRA6MM0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4"/>
        <v>IMMFRA6M</v>
      </c>
      <c r="D65" s="172" t="str">
        <v>U0</v>
      </c>
      <c r="E65" s="172" t="str">
        <f t="shared" si="5"/>
        <v>EUR_YC6MRH_IMMFRA6MU0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4"/>
        <v>IMMFRA6M</v>
      </c>
      <c r="D66" s="172" t="str">
        <v>Z0</v>
      </c>
      <c r="E66" s="172" t="str">
        <f t="shared" si="5"/>
        <v>EUR_YC6MRH_IMMFRA6MZ0</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4"/>
        <v>IMMFRA6M</v>
      </c>
      <c r="D67" s="172" t="str">
        <v>H1</v>
      </c>
      <c r="E67" s="172" t="str">
        <f t="shared" si="5"/>
        <v>EUR_YC6MRH_IMMFRA6MH1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4"/>
        <v>IMMFRA6M</v>
      </c>
      <c r="D68" s="172" t="str">
        <v>M1</v>
      </c>
      <c r="E68" s="172" t="str">
        <f t="shared" si="5"/>
        <v>EUR_YC6MRH_IMMFRA6MM1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4"/>
        <v>IMMFRA6M</v>
      </c>
      <c r="D69" s="172" t="str">
        <v>U1</v>
      </c>
      <c r="E69" s="172" t="str">
        <f t="shared" si="5"/>
        <v>EUR_YC6MRH_IMMFRA6MU1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4"/>
        <v>IMMFRA6M</v>
      </c>
      <c r="D70" s="172" t="str">
        <v>Z1</v>
      </c>
      <c r="E70" s="172" t="str">
        <f t="shared" si="5"/>
        <v>EUR_YC6MRH_IMMFRA6MZ1</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4"/>
        <v>IMMFRA6M</v>
      </c>
      <c r="D71" s="172" t="str">
        <v>H2</v>
      </c>
      <c r="E71" s="172" t="str">
        <f t="shared" si="5"/>
        <v>EUR_YC6MRH_IMMFRA6MH2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4"/>
        <v>IMMFRA6M</v>
      </c>
      <c r="D72" s="172" t="str">
        <v>M2</v>
      </c>
      <c r="E72" s="172" t="str">
        <f t="shared" si="5"/>
        <v>EUR_YC6MRH_IMMFRA6MM2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4"/>
        <v>IMMFRA6M</v>
      </c>
      <c r="D73" s="182" t="str">
        <v>U2</v>
      </c>
      <c r="E73" s="182" t="str">
        <f t="shared" si="5"/>
        <v>EUR_YC6MRH_IMMFRA6MU2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5"/>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5"/>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5"/>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5"/>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5"/>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5"/>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5"/>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5"/>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5"/>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5"/>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5"/>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5"/>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5"/>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5"/>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5"/>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5"/>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5"/>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5"/>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6">SwapFixedFreq</f>
        <v>AB</v>
      </c>
      <c r="C92" s="171" t="str">
        <f t="shared" ref="C92:C128" si="7">IborType</f>
        <v>6E</v>
      </c>
      <c r="D92" s="172" t="s">
        <v>36</v>
      </c>
      <c r="E92" s="172" t="str">
        <f t="shared" si="5"/>
        <v>EUR_YC6MRH_AB6E1Y</v>
      </c>
      <c r="F92" s="173">
        <f>_xll.qlRateHelperQuoteValue($E92,Trigger)</f>
        <v>3.5299999999999997E-3</v>
      </c>
      <c r="G92" s="173">
        <f>_xll.qlSwapRateHelperSpread($E92,Trigger)</f>
        <v>0</v>
      </c>
      <c r="H92" s="174" t="b">
        <v>0</v>
      </c>
      <c r="I92" s="174">
        <v>50</v>
      </c>
      <c r="J92" s="174">
        <v>1</v>
      </c>
      <c r="K92" s="191">
        <f>_xll.qlRateHelperEarliestDate($E92,Trigger)</f>
        <v>41793</v>
      </c>
      <c r="L92" s="192">
        <f>_xll.qlRateHelperLatestDate($E92,Trigger)</f>
        <v>42158</v>
      </c>
      <c r="N92" s="189" t="b">
        <f>IF(ISERROR(F92),FALSE,TRUE)</f>
        <v>1</v>
      </c>
    </row>
    <row r="93" spans="2:14" x14ac:dyDescent="0.2">
      <c r="B93" s="185" t="str">
        <f t="shared" si="6"/>
        <v>AB</v>
      </c>
      <c r="C93" s="171" t="str">
        <f t="shared" si="7"/>
        <v>6E</v>
      </c>
      <c r="D93" s="172" t="s">
        <v>35</v>
      </c>
      <c r="E93" s="172" t="str">
        <f t="shared" si="5"/>
        <v>EUR_YC6MRH_AB6E15M</v>
      </c>
      <c r="F93" s="173">
        <f>_xll.qlRateHelperQuoteValue($E93,Trigger)</f>
        <v>3.0999999999999999E-3</v>
      </c>
      <c r="G93" s="173">
        <f>_xll.qlSwapRateHelperSpread($E93,Trigger)</f>
        <v>0</v>
      </c>
      <c r="H93" s="174" t="b">
        <v>0</v>
      </c>
      <c r="I93" s="174">
        <v>50</v>
      </c>
      <c r="J93" s="174">
        <v>1</v>
      </c>
      <c r="K93" s="191">
        <f>_xll.qlRateHelperEarliestDate($E93,Trigger)</f>
        <v>41793</v>
      </c>
      <c r="L93" s="192">
        <f>_xll.qlRateHelperLatestDate($E93,Trigger)</f>
        <v>42250</v>
      </c>
      <c r="N93" s="189" t="b">
        <f t="shared" ref="N93:N128" si="8">IF(ISERROR(F93),FALSE,TRUE)</f>
        <v>1</v>
      </c>
    </row>
    <row r="94" spans="2:14" x14ac:dyDescent="0.2">
      <c r="B94" s="185" t="str">
        <f t="shared" si="6"/>
        <v>AB</v>
      </c>
      <c r="C94" s="171" t="str">
        <f t="shared" si="7"/>
        <v>6E</v>
      </c>
      <c r="D94" s="172" t="s">
        <v>34</v>
      </c>
      <c r="E94" s="172" t="str">
        <f t="shared" ref="E94:E125" si="9">RateHelperPrefix&amp;"_"&amp;$B94&amp;$C94&amp;$D94</f>
        <v>EUR_YC6MRH_AB6E18M</v>
      </c>
      <c r="F94" s="173">
        <f>_xll.qlRateHelperQuoteValue($E94,Trigger)</f>
        <v>3.4399999999999999E-3</v>
      </c>
      <c r="G94" s="173">
        <f>_xll.qlSwapRateHelperSpread($E94,Trigger)</f>
        <v>0</v>
      </c>
      <c r="H94" s="174" t="b">
        <v>0</v>
      </c>
      <c r="I94" s="174">
        <v>50</v>
      </c>
      <c r="J94" s="174">
        <v>1</v>
      </c>
      <c r="K94" s="191">
        <f>_xll.qlRateHelperEarliestDate($E94,Trigger)</f>
        <v>41793</v>
      </c>
      <c r="L94" s="192">
        <f>_xll.qlRateHelperLatestDate($E94,Trigger)</f>
        <v>42341</v>
      </c>
      <c r="N94" s="189" t="b">
        <f t="shared" si="8"/>
        <v>1</v>
      </c>
    </row>
    <row r="95" spans="2:14" x14ac:dyDescent="0.2">
      <c r="B95" s="185" t="str">
        <f t="shared" si="6"/>
        <v>AB</v>
      </c>
      <c r="C95" s="171" t="str">
        <f t="shared" si="7"/>
        <v>6E</v>
      </c>
      <c r="D95" s="172" t="s">
        <v>33</v>
      </c>
      <c r="E95" s="172" t="str">
        <f t="shared" si="9"/>
        <v>EUR_YC6MRH_AB6E21M</v>
      </c>
      <c r="F95" s="173">
        <f>_xll.qlRateHelperQuoteValue($E95,Trigger)</f>
        <v>3.2499999999999994E-3</v>
      </c>
      <c r="G95" s="173">
        <f>_xll.qlSwapRateHelperSpread($E95,Trigger)</f>
        <v>0</v>
      </c>
      <c r="H95" s="174" t="b">
        <v>0</v>
      </c>
      <c r="I95" s="174">
        <v>50</v>
      </c>
      <c r="J95" s="174">
        <v>1</v>
      </c>
      <c r="K95" s="191">
        <f>_xll.qlRateHelperEarliestDate($E95,Trigger)</f>
        <v>41793</v>
      </c>
      <c r="L95" s="192">
        <f>_xll.qlRateHelperLatestDate($E95,Trigger)</f>
        <v>42432</v>
      </c>
      <c r="N95" s="189" t="b">
        <f t="shared" si="8"/>
        <v>1</v>
      </c>
    </row>
    <row r="96" spans="2:14" x14ac:dyDescent="0.2">
      <c r="B96" s="185" t="str">
        <f t="shared" si="6"/>
        <v>AB</v>
      </c>
      <c r="C96" s="171" t="str">
        <f t="shared" si="7"/>
        <v>6E</v>
      </c>
      <c r="D96" s="172" t="s">
        <v>32</v>
      </c>
      <c r="E96" s="172" t="str">
        <f t="shared" si="9"/>
        <v>EUR_YC6MRH_AB6E2Y</v>
      </c>
      <c r="F96" s="173">
        <f>_xll.qlRateHelperQuoteValue($E96,Trigger)</f>
        <v>3.6099999999999999E-3</v>
      </c>
      <c r="G96" s="173">
        <f>_xll.qlSwapRateHelperSpread($E96,Trigger)</f>
        <v>0</v>
      </c>
      <c r="H96" s="174" t="b">
        <v>0</v>
      </c>
      <c r="I96" s="174">
        <v>50</v>
      </c>
      <c r="J96" s="174">
        <v>1</v>
      </c>
      <c r="K96" s="191">
        <f>_xll.qlRateHelperEarliestDate($E96,Trigger)</f>
        <v>41793</v>
      </c>
      <c r="L96" s="192">
        <f>_xll.qlRateHelperLatestDate($E96,Trigger)</f>
        <v>42524</v>
      </c>
      <c r="N96" s="189" t="b">
        <f t="shared" si="8"/>
        <v>1</v>
      </c>
    </row>
    <row r="97" spans="2:14" x14ac:dyDescent="0.2">
      <c r="B97" s="185" t="str">
        <f t="shared" si="6"/>
        <v>AB</v>
      </c>
      <c r="C97" s="171" t="str">
        <f t="shared" si="7"/>
        <v>6E</v>
      </c>
      <c r="D97" s="172" t="s">
        <v>31</v>
      </c>
      <c r="E97" s="172" t="str">
        <f t="shared" si="9"/>
        <v>EUR_YC6MRH_AB6E3Y</v>
      </c>
      <c r="F97" s="173">
        <f>_xll.qlRateHelperQuoteValue($E97,Trigger)</f>
        <v>4.5399999999999998E-3</v>
      </c>
      <c r="G97" s="173">
        <f>_xll.qlSwapRateHelperSpread($E97,Trigger)</f>
        <v>0</v>
      </c>
      <c r="H97" s="174" t="b">
        <v>1</v>
      </c>
      <c r="I97" s="174">
        <v>50</v>
      </c>
      <c r="J97" s="174">
        <v>1</v>
      </c>
      <c r="K97" s="191">
        <f>_xll.qlRateHelperEarliestDate($E97,Trigger)</f>
        <v>41793</v>
      </c>
      <c r="L97" s="192">
        <f>_xll.qlRateHelperLatestDate($E97,Trigger)</f>
        <v>42891</v>
      </c>
      <c r="N97" s="189" t="b">
        <f t="shared" si="8"/>
        <v>1</v>
      </c>
    </row>
    <row r="98" spans="2:14" x14ac:dyDescent="0.2">
      <c r="B98" s="185" t="str">
        <f t="shared" si="6"/>
        <v>AB</v>
      </c>
      <c r="C98" s="171" t="str">
        <f t="shared" si="7"/>
        <v>6E</v>
      </c>
      <c r="D98" s="172" t="s">
        <v>30</v>
      </c>
      <c r="E98" s="172" t="str">
        <f t="shared" si="9"/>
        <v>EUR_YC6MRH_AB6E4Y</v>
      </c>
      <c r="F98" s="173">
        <f>_xll.qlRateHelperQuoteValue($E98,Trigger)</f>
        <v>6.0599999999999994E-3</v>
      </c>
      <c r="G98" s="173">
        <f>_xll.qlSwapRateHelperSpread($E98,Trigger)</f>
        <v>0</v>
      </c>
      <c r="H98" s="174" t="b">
        <v>1</v>
      </c>
      <c r="I98" s="174">
        <v>50</v>
      </c>
      <c r="J98" s="174">
        <v>1</v>
      </c>
      <c r="K98" s="191">
        <f>_xll.qlRateHelperEarliestDate($E98,Trigger)</f>
        <v>41793</v>
      </c>
      <c r="L98" s="192">
        <f>_xll.qlRateHelperLatestDate($E98,Trigger)</f>
        <v>43255</v>
      </c>
      <c r="N98" s="189" t="b">
        <f t="shared" si="8"/>
        <v>1</v>
      </c>
    </row>
    <row r="99" spans="2:14" x14ac:dyDescent="0.2">
      <c r="B99" s="185" t="str">
        <f t="shared" si="6"/>
        <v>AB</v>
      </c>
      <c r="C99" s="171" t="str">
        <f t="shared" si="7"/>
        <v>6E</v>
      </c>
      <c r="D99" s="172" t="s">
        <v>29</v>
      </c>
      <c r="E99" s="172" t="str">
        <f t="shared" si="9"/>
        <v>EUR_YC6MRH_AB6E5Y</v>
      </c>
      <c r="F99" s="173">
        <f>_xll.qlRateHelperQuoteValue($E99,Trigger)</f>
        <v>7.8300000000000002E-3</v>
      </c>
      <c r="G99" s="173">
        <f>_xll.qlSwapRateHelperSpread($E99,Trigger)</f>
        <v>0</v>
      </c>
      <c r="H99" s="174" t="b">
        <v>1</v>
      </c>
      <c r="I99" s="174">
        <v>50</v>
      </c>
      <c r="J99" s="174">
        <v>1</v>
      </c>
      <c r="K99" s="191">
        <f>_xll.qlRateHelperEarliestDate($E99,Trigger)</f>
        <v>41793</v>
      </c>
      <c r="L99" s="192">
        <f>_xll.qlRateHelperLatestDate($E99,Trigger)</f>
        <v>43619</v>
      </c>
      <c r="N99" s="189" t="b">
        <f t="shared" si="8"/>
        <v>1</v>
      </c>
    </row>
    <row r="100" spans="2:14" x14ac:dyDescent="0.2">
      <c r="B100" s="185" t="str">
        <f t="shared" si="6"/>
        <v>AB</v>
      </c>
      <c r="C100" s="171" t="str">
        <f t="shared" si="7"/>
        <v>6E</v>
      </c>
      <c r="D100" s="172" t="s">
        <v>28</v>
      </c>
      <c r="E100" s="172" t="str">
        <f t="shared" si="9"/>
        <v>EUR_YC6MRH_AB6E6Y</v>
      </c>
      <c r="F100" s="173">
        <f>_xll.qlRateHelperQuoteValue($E100,Trigger)</f>
        <v>9.6699999999999998E-3</v>
      </c>
      <c r="G100" s="173">
        <f>_xll.qlSwapRateHelperSpread($E100,Trigger)</f>
        <v>0</v>
      </c>
      <c r="H100" s="174" t="b">
        <v>1</v>
      </c>
      <c r="I100" s="174">
        <v>50</v>
      </c>
      <c r="J100" s="174">
        <v>1</v>
      </c>
      <c r="K100" s="191">
        <f>_xll.qlRateHelperEarliestDate($E100,Trigger)</f>
        <v>41793</v>
      </c>
      <c r="L100" s="192">
        <f>_xll.qlRateHelperLatestDate($E100,Trigger)</f>
        <v>43985</v>
      </c>
      <c r="N100" s="189" t="b">
        <f t="shared" si="8"/>
        <v>1</v>
      </c>
    </row>
    <row r="101" spans="2:14" x14ac:dyDescent="0.2">
      <c r="B101" s="185" t="str">
        <f t="shared" si="6"/>
        <v>AB</v>
      </c>
      <c r="C101" s="171" t="str">
        <f t="shared" si="7"/>
        <v>6E</v>
      </c>
      <c r="D101" s="172" t="s">
        <v>27</v>
      </c>
      <c r="E101" s="172" t="str">
        <f t="shared" si="9"/>
        <v>EUR_YC6MRH_AB6E7Y</v>
      </c>
      <c r="F101" s="173">
        <f>_xll.qlRateHelperQuoteValue($E101,Trigger)</f>
        <v>1.1470000000000001E-2</v>
      </c>
      <c r="G101" s="173">
        <f>_xll.qlSwapRateHelperSpread($E101,Trigger)</f>
        <v>0</v>
      </c>
      <c r="H101" s="174" t="b">
        <v>1</v>
      </c>
      <c r="I101" s="174">
        <v>50</v>
      </c>
      <c r="J101" s="174">
        <v>1</v>
      </c>
      <c r="K101" s="191">
        <f>_xll.qlRateHelperEarliestDate($E101,Trigger)</f>
        <v>41793</v>
      </c>
      <c r="L101" s="192">
        <f>_xll.qlRateHelperLatestDate($E101,Trigger)</f>
        <v>44350</v>
      </c>
      <c r="N101" s="189" t="b">
        <f t="shared" si="8"/>
        <v>1</v>
      </c>
    </row>
    <row r="102" spans="2:14" x14ac:dyDescent="0.2">
      <c r="B102" s="185" t="str">
        <f t="shared" si="6"/>
        <v>AB</v>
      </c>
      <c r="C102" s="171" t="str">
        <f t="shared" si="7"/>
        <v>6E</v>
      </c>
      <c r="D102" s="172" t="s">
        <v>26</v>
      </c>
      <c r="E102" s="172" t="str">
        <f t="shared" si="9"/>
        <v>EUR_YC6MRH_AB6E8Y</v>
      </c>
      <c r="F102" s="173">
        <f>_xll.qlRateHelperQuoteValue($E102,Trigger)</f>
        <v>1.316E-2</v>
      </c>
      <c r="G102" s="173">
        <f>_xll.qlSwapRateHelperSpread($E102,Trigger)</f>
        <v>0</v>
      </c>
      <c r="H102" s="174" t="b">
        <v>1</v>
      </c>
      <c r="I102" s="174">
        <v>50</v>
      </c>
      <c r="J102" s="174">
        <v>1</v>
      </c>
      <c r="K102" s="191">
        <f>_xll.qlRateHelperEarliestDate($E102,Trigger)</f>
        <v>41793</v>
      </c>
      <c r="L102" s="192">
        <f>_xll.qlRateHelperLatestDate($E102,Trigger)</f>
        <v>44715</v>
      </c>
      <c r="N102" s="189" t="b">
        <f t="shared" si="8"/>
        <v>1</v>
      </c>
    </row>
    <row r="103" spans="2:14" x14ac:dyDescent="0.2">
      <c r="B103" s="185" t="str">
        <f t="shared" si="6"/>
        <v>AB</v>
      </c>
      <c r="C103" s="171" t="str">
        <f t="shared" si="7"/>
        <v>6E</v>
      </c>
      <c r="D103" s="172" t="s">
        <v>25</v>
      </c>
      <c r="E103" s="172" t="str">
        <f t="shared" si="9"/>
        <v>EUR_YC6MRH_AB6E9Y</v>
      </c>
      <c r="F103" s="173">
        <f>_xll.qlRateHelperQuoteValue($E103,Trigger)</f>
        <v>1.468E-2</v>
      </c>
      <c r="G103" s="173">
        <f>_xll.qlSwapRateHelperSpread($E103,Trigger)</f>
        <v>0</v>
      </c>
      <c r="H103" s="174" t="b">
        <v>1</v>
      </c>
      <c r="I103" s="174">
        <v>50</v>
      </c>
      <c r="J103" s="174">
        <v>1</v>
      </c>
      <c r="K103" s="191">
        <f>_xll.qlRateHelperEarliestDate($E103,Trigger)</f>
        <v>41793</v>
      </c>
      <c r="L103" s="192">
        <f>_xll.qlRateHelperLatestDate($E103,Trigger)</f>
        <v>45082</v>
      </c>
      <c r="N103" s="189" t="b">
        <f t="shared" si="8"/>
        <v>1</v>
      </c>
    </row>
    <row r="104" spans="2:14" x14ac:dyDescent="0.2">
      <c r="B104" s="185" t="str">
        <f t="shared" si="6"/>
        <v>AB</v>
      </c>
      <c r="C104" s="171" t="str">
        <f t="shared" si="7"/>
        <v>6E</v>
      </c>
      <c r="D104" s="172" t="s">
        <v>24</v>
      </c>
      <c r="E104" s="172" t="str">
        <f t="shared" si="9"/>
        <v>EUR_YC6MRH_AB6E10Y</v>
      </c>
      <c r="F104" s="173">
        <f>_xll.qlRateHelperQuoteValue($E104,Trigger)</f>
        <v>1.602E-2</v>
      </c>
      <c r="G104" s="173">
        <f>_xll.qlSwapRateHelperSpread($E104,Trigger)</f>
        <v>0</v>
      </c>
      <c r="H104" s="174" t="b">
        <v>1</v>
      </c>
      <c r="I104" s="174">
        <v>50</v>
      </c>
      <c r="J104" s="174">
        <v>1</v>
      </c>
      <c r="K104" s="191">
        <f>_xll.qlRateHelperEarliestDate($E104,Trigger)</f>
        <v>41793</v>
      </c>
      <c r="L104" s="192">
        <f>_xll.qlRateHelperLatestDate($E104,Trigger)</f>
        <v>45446</v>
      </c>
      <c r="N104" s="189" t="b">
        <f t="shared" si="8"/>
        <v>1</v>
      </c>
    </row>
    <row r="105" spans="2:14" x14ac:dyDescent="0.2">
      <c r="B105" s="185" t="str">
        <f t="shared" si="6"/>
        <v>AB</v>
      </c>
      <c r="C105" s="171" t="str">
        <f t="shared" si="7"/>
        <v>6E</v>
      </c>
      <c r="D105" s="172" t="s">
        <v>23</v>
      </c>
      <c r="E105" s="172" t="str">
        <f t="shared" si="9"/>
        <v>EUR_YC6MRH_AB6E11Y</v>
      </c>
      <c r="F105" s="173">
        <f>_xll.qlRateHelperQuoteValue($E105,Trigger)</f>
        <v>1.721E-2</v>
      </c>
      <c r="G105" s="173">
        <f>_xll.qlSwapRateHelperSpread($E105,Trigger)</f>
        <v>0</v>
      </c>
      <c r="H105" s="174" t="b">
        <v>0</v>
      </c>
      <c r="I105" s="174">
        <v>50</v>
      </c>
      <c r="J105" s="174">
        <v>1</v>
      </c>
      <c r="K105" s="191">
        <f>_xll.qlRateHelperEarliestDate($E105,Trigger)</f>
        <v>41793</v>
      </c>
      <c r="L105" s="192">
        <f>_xll.qlRateHelperLatestDate($E105,Trigger)</f>
        <v>45811</v>
      </c>
      <c r="N105" s="189" t="b">
        <f t="shared" si="8"/>
        <v>1</v>
      </c>
    </row>
    <row r="106" spans="2:14" x14ac:dyDescent="0.2">
      <c r="B106" s="185" t="str">
        <f t="shared" si="6"/>
        <v>AB</v>
      </c>
      <c r="C106" s="171" t="str">
        <f t="shared" si="7"/>
        <v>6E</v>
      </c>
      <c r="D106" s="172" t="s">
        <v>22</v>
      </c>
      <c r="E106" s="172" t="str">
        <f t="shared" si="9"/>
        <v>EUR_YC6MRH_AB6E12Y</v>
      </c>
      <c r="F106" s="173">
        <f>_xll.qlRateHelperQuoteValue($E106,Trigger)</f>
        <v>1.8249999999999999E-2</v>
      </c>
      <c r="G106" s="173">
        <f>_xll.qlSwapRateHelperSpread($E106,Trigger)</f>
        <v>0</v>
      </c>
      <c r="H106" s="174" t="b">
        <v>1</v>
      </c>
      <c r="I106" s="174">
        <v>50</v>
      </c>
      <c r="J106" s="174">
        <v>1</v>
      </c>
      <c r="K106" s="191">
        <f>_xll.qlRateHelperEarliestDate($E106,Trigger)</f>
        <v>41793</v>
      </c>
      <c r="L106" s="192">
        <f>_xll.qlRateHelperLatestDate($E106,Trigger)</f>
        <v>46176</v>
      </c>
      <c r="N106" s="189" t="b">
        <f t="shared" si="8"/>
        <v>1</v>
      </c>
    </row>
    <row r="107" spans="2:14" x14ac:dyDescent="0.2">
      <c r="B107" s="185" t="str">
        <f t="shared" si="6"/>
        <v>AB</v>
      </c>
      <c r="C107" s="171" t="str">
        <f t="shared" si="7"/>
        <v>6E</v>
      </c>
      <c r="D107" s="172" t="s">
        <v>21</v>
      </c>
      <c r="E107" s="172" t="str">
        <f t="shared" si="9"/>
        <v>EUR_YC6MRH_AB6E13Y</v>
      </c>
      <c r="F107" s="173">
        <f>_xll.qlRateHelperQuoteValue($E107,Trigger)</f>
        <v>1.915E-2</v>
      </c>
      <c r="G107" s="173">
        <f>_xll.qlSwapRateHelperSpread($E107,Trigger)</f>
        <v>0</v>
      </c>
      <c r="H107" s="174" t="b">
        <v>0</v>
      </c>
      <c r="I107" s="174">
        <v>50</v>
      </c>
      <c r="J107" s="174">
        <v>1</v>
      </c>
      <c r="K107" s="191">
        <f>_xll.qlRateHelperEarliestDate($E107,Trigger)</f>
        <v>41793</v>
      </c>
      <c r="L107" s="192">
        <f>_xll.qlRateHelperLatestDate($E107,Trigger)</f>
        <v>46541</v>
      </c>
      <c r="N107" s="189" t="b">
        <f t="shared" si="8"/>
        <v>1</v>
      </c>
    </row>
    <row r="108" spans="2:14" x14ac:dyDescent="0.2">
      <c r="B108" s="185" t="str">
        <f t="shared" si="6"/>
        <v>AB</v>
      </c>
      <c r="C108" s="171" t="str">
        <f t="shared" si="7"/>
        <v>6E</v>
      </c>
      <c r="D108" s="172" t="s">
        <v>20</v>
      </c>
      <c r="E108" s="172" t="str">
        <f t="shared" si="9"/>
        <v>EUR_YC6MRH_AB6E14Y</v>
      </c>
      <c r="F108" s="173">
        <f>_xll.qlRateHelperQuoteValue($E108,Trigger)</f>
        <v>1.993E-2</v>
      </c>
      <c r="G108" s="173">
        <f>_xll.qlSwapRateHelperSpread($E108,Trigger)</f>
        <v>0</v>
      </c>
      <c r="H108" s="174" t="b">
        <v>0</v>
      </c>
      <c r="I108" s="174">
        <v>50</v>
      </c>
      <c r="J108" s="174">
        <v>1</v>
      </c>
      <c r="K108" s="191">
        <f>_xll.qlRateHelperEarliestDate($E108,Trigger)</f>
        <v>41793</v>
      </c>
      <c r="L108" s="192">
        <f>_xll.qlRateHelperLatestDate($E108,Trigger)</f>
        <v>46909</v>
      </c>
      <c r="N108" s="189" t="b">
        <f t="shared" si="8"/>
        <v>1</v>
      </c>
    </row>
    <row r="109" spans="2:14" x14ac:dyDescent="0.2">
      <c r="B109" s="185" t="str">
        <f t="shared" si="6"/>
        <v>AB</v>
      </c>
      <c r="C109" s="171" t="str">
        <f t="shared" si="7"/>
        <v>6E</v>
      </c>
      <c r="D109" s="172" t="s">
        <v>19</v>
      </c>
      <c r="E109" s="172" t="str">
        <f t="shared" si="9"/>
        <v>EUR_YC6MRH_AB6E15Y</v>
      </c>
      <c r="F109" s="173">
        <f>_xll.qlRateHelperQuoteValue($E109,Trigger)</f>
        <v>2.0569999999999998E-2</v>
      </c>
      <c r="G109" s="173">
        <f>_xll.qlSwapRateHelperSpread($E109,Trigger)</f>
        <v>0</v>
      </c>
      <c r="H109" s="174" t="b">
        <v>1</v>
      </c>
      <c r="I109" s="174">
        <v>50</v>
      </c>
      <c r="J109" s="174">
        <v>1</v>
      </c>
      <c r="K109" s="191">
        <f>_xll.qlRateHelperEarliestDate($E109,Trigger)</f>
        <v>41793</v>
      </c>
      <c r="L109" s="192">
        <f>_xll.qlRateHelperLatestDate($E109,Trigger)</f>
        <v>47273</v>
      </c>
      <c r="N109" s="189" t="b">
        <f t="shared" si="8"/>
        <v>1</v>
      </c>
    </row>
    <row r="110" spans="2:14" x14ac:dyDescent="0.2">
      <c r="B110" s="185" t="str">
        <f t="shared" si="6"/>
        <v>AB</v>
      </c>
      <c r="C110" s="171" t="str">
        <f t="shared" si="7"/>
        <v>6E</v>
      </c>
      <c r="D110" s="172" t="s">
        <v>18</v>
      </c>
      <c r="E110" s="172" t="str">
        <f t="shared" si="9"/>
        <v>EUR_YC6MRH_AB6E16Y</v>
      </c>
      <c r="F110" s="173">
        <f>_xll.qlRateHelperQuoteValue($E110,Trigger)</f>
        <v>2.1090000000000001E-2</v>
      </c>
      <c r="G110" s="173">
        <f>_xll.qlSwapRateHelperSpread($E110,Trigger)</f>
        <v>0</v>
      </c>
      <c r="H110" s="174" t="b">
        <v>0</v>
      </c>
      <c r="I110" s="174">
        <v>50</v>
      </c>
      <c r="J110" s="174">
        <v>1</v>
      </c>
      <c r="K110" s="191">
        <f>_xll.qlRateHelperEarliestDate($E110,Trigger)</f>
        <v>41793</v>
      </c>
      <c r="L110" s="192">
        <f>_xll.qlRateHelperLatestDate($E110,Trigger)</f>
        <v>47637</v>
      </c>
      <c r="N110" s="189" t="b">
        <f t="shared" si="8"/>
        <v>1</v>
      </c>
    </row>
    <row r="111" spans="2:14" x14ac:dyDescent="0.2">
      <c r="B111" s="185" t="str">
        <f t="shared" si="6"/>
        <v>AB</v>
      </c>
      <c r="C111" s="171" t="str">
        <f t="shared" si="7"/>
        <v>6E</v>
      </c>
      <c r="D111" s="172" t="s">
        <v>17</v>
      </c>
      <c r="E111" s="172" t="str">
        <f t="shared" si="9"/>
        <v>EUR_YC6MRH_AB6E17Y</v>
      </c>
      <c r="F111" s="173">
        <f>_xll.qlRateHelperQuoteValue($E111,Trigger)</f>
        <v>2.1509999999999998E-2</v>
      </c>
      <c r="G111" s="173">
        <f>_xll.qlSwapRateHelperSpread($E111,Trigger)</f>
        <v>0</v>
      </c>
      <c r="H111" s="174" t="b">
        <v>0</v>
      </c>
      <c r="I111" s="174">
        <v>50</v>
      </c>
      <c r="J111" s="174">
        <v>1</v>
      </c>
      <c r="K111" s="191">
        <f>_xll.qlRateHelperEarliestDate($E111,Trigger)</f>
        <v>41793</v>
      </c>
      <c r="L111" s="192">
        <f>_xll.qlRateHelperLatestDate($E111,Trigger)</f>
        <v>48002</v>
      </c>
      <c r="N111" s="189" t="b">
        <f t="shared" si="8"/>
        <v>1</v>
      </c>
    </row>
    <row r="112" spans="2:14" x14ac:dyDescent="0.2">
      <c r="B112" s="185" t="str">
        <f t="shared" si="6"/>
        <v>AB</v>
      </c>
      <c r="C112" s="171" t="str">
        <f t="shared" si="7"/>
        <v>6E</v>
      </c>
      <c r="D112" s="172" t="s">
        <v>16</v>
      </c>
      <c r="E112" s="172" t="str">
        <f t="shared" si="9"/>
        <v>EUR_YC6MRH_AB6E18Y</v>
      </c>
      <c r="F112" s="173">
        <f>_xll.qlRateHelperQuoteValue($E112,Trigger)</f>
        <v>2.1850000000000001E-2</v>
      </c>
      <c r="G112" s="173">
        <f>_xll.qlSwapRateHelperSpread($E112,Trigger)</f>
        <v>0</v>
      </c>
      <c r="H112" s="174" t="b">
        <v>0</v>
      </c>
      <c r="I112" s="174">
        <v>50</v>
      </c>
      <c r="J112" s="174">
        <v>1</v>
      </c>
      <c r="K112" s="191">
        <f>_xll.qlRateHelperEarliestDate($E112,Trigger)</f>
        <v>41793</v>
      </c>
      <c r="L112" s="192">
        <f>_xll.qlRateHelperLatestDate($E112,Trigger)</f>
        <v>48368</v>
      </c>
      <c r="N112" s="189" t="b">
        <f t="shared" si="8"/>
        <v>1</v>
      </c>
    </row>
    <row r="113" spans="2:14" x14ac:dyDescent="0.2">
      <c r="B113" s="185" t="str">
        <f t="shared" si="6"/>
        <v>AB</v>
      </c>
      <c r="C113" s="171" t="str">
        <f t="shared" si="7"/>
        <v>6E</v>
      </c>
      <c r="D113" s="172" t="s">
        <v>15</v>
      </c>
      <c r="E113" s="172" t="str">
        <f t="shared" si="9"/>
        <v>EUR_YC6MRH_AB6E19Y</v>
      </c>
      <c r="F113" s="173">
        <f>_xll.qlRateHelperQuoteValue($E113,Trigger)</f>
        <v>2.2109999999999998E-2</v>
      </c>
      <c r="G113" s="173">
        <f>_xll.qlSwapRateHelperSpread($E113,Trigger)</f>
        <v>0</v>
      </c>
      <c r="H113" s="174" t="b">
        <v>0</v>
      </c>
      <c r="I113" s="174">
        <v>50</v>
      </c>
      <c r="J113" s="174">
        <v>1</v>
      </c>
      <c r="K113" s="191">
        <f>_xll.qlRateHelperEarliestDate($E113,Trigger)</f>
        <v>41793</v>
      </c>
      <c r="L113" s="192">
        <f>_xll.qlRateHelperLatestDate($E113,Trigger)</f>
        <v>48733</v>
      </c>
      <c r="N113" s="189" t="b">
        <f t="shared" si="8"/>
        <v>1</v>
      </c>
    </row>
    <row r="114" spans="2:14" x14ac:dyDescent="0.2">
      <c r="B114" s="185" t="str">
        <f t="shared" si="6"/>
        <v>AB</v>
      </c>
      <c r="C114" s="171" t="str">
        <f t="shared" si="7"/>
        <v>6E</v>
      </c>
      <c r="D114" s="172" t="s">
        <v>14</v>
      </c>
      <c r="E114" s="172" t="str">
        <f t="shared" si="9"/>
        <v>EUR_YC6MRH_AB6E20Y</v>
      </c>
      <c r="F114" s="173">
        <f>_xll.qlRateHelperQuoteValue($E114,Trigger)</f>
        <v>2.2320000000000003E-2</v>
      </c>
      <c r="G114" s="173">
        <f>_xll.qlSwapRateHelperSpread($E114,Trigger)</f>
        <v>0</v>
      </c>
      <c r="H114" s="174" t="b">
        <v>1</v>
      </c>
      <c r="I114" s="174">
        <v>50</v>
      </c>
      <c r="J114" s="174">
        <v>1</v>
      </c>
      <c r="K114" s="191">
        <f>_xll.qlRateHelperEarliestDate($E114,Trigger)</f>
        <v>41793</v>
      </c>
      <c r="L114" s="192">
        <f>_xll.qlRateHelperLatestDate($E114,Trigger)</f>
        <v>49100</v>
      </c>
      <c r="N114" s="189" t="b">
        <f t="shared" si="8"/>
        <v>1</v>
      </c>
    </row>
    <row r="115" spans="2:14" x14ac:dyDescent="0.2">
      <c r="B115" s="185" t="str">
        <f t="shared" si="6"/>
        <v>AB</v>
      </c>
      <c r="C115" s="171" t="str">
        <f t="shared" si="7"/>
        <v>6E</v>
      </c>
      <c r="D115" s="172" t="s">
        <v>13</v>
      </c>
      <c r="E115" s="172" t="str">
        <f t="shared" si="9"/>
        <v>EUR_YC6MRH_AB6E21Y</v>
      </c>
      <c r="F115" s="173">
        <f>_xll.qlRateHelperQuoteValue($E115,Trigger)</f>
        <v>2.249E-2</v>
      </c>
      <c r="G115" s="173">
        <f>_xll.qlSwapRateHelperSpread($E115,Trigger)</f>
        <v>0</v>
      </c>
      <c r="H115" s="174" t="b">
        <v>0</v>
      </c>
      <c r="I115" s="174">
        <v>50</v>
      </c>
      <c r="J115" s="174">
        <v>1</v>
      </c>
      <c r="K115" s="191">
        <f>_xll.qlRateHelperEarliestDate($E115,Trigger)</f>
        <v>41793</v>
      </c>
      <c r="L115" s="192">
        <f>_xll.qlRateHelperLatestDate($E115,Trigger)</f>
        <v>49464</v>
      </c>
      <c r="N115" s="189" t="b">
        <f t="shared" si="8"/>
        <v>1</v>
      </c>
    </row>
    <row r="116" spans="2:14" x14ac:dyDescent="0.2">
      <c r="B116" s="185" t="str">
        <f t="shared" si="6"/>
        <v>AB</v>
      </c>
      <c r="C116" s="171" t="str">
        <f t="shared" si="7"/>
        <v>6E</v>
      </c>
      <c r="D116" s="172" t="s">
        <v>12</v>
      </c>
      <c r="E116" s="172" t="str">
        <f t="shared" si="9"/>
        <v>EUR_YC6MRH_AB6E22Y</v>
      </c>
      <c r="F116" s="173">
        <f>_xll.qlRateHelperQuoteValue($E116,Trigger)</f>
        <v>2.2640000000000004E-2</v>
      </c>
      <c r="G116" s="173">
        <f>_xll.qlSwapRateHelperSpread($E116,Trigger)</f>
        <v>0</v>
      </c>
      <c r="H116" s="174" t="b">
        <v>0</v>
      </c>
      <c r="I116" s="174">
        <v>50</v>
      </c>
      <c r="J116" s="174">
        <v>1</v>
      </c>
      <c r="K116" s="191">
        <f>_xll.qlRateHelperEarliestDate($E116,Trigger)</f>
        <v>41793</v>
      </c>
      <c r="L116" s="192">
        <f>_xll.qlRateHelperLatestDate($E116,Trigger)</f>
        <v>49829</v>
      </c>
      <c r="N116" s="189" t="b">
        <f t="shared" si="8"/>
        <v>1</v>
      </c>
    </row>
    <row r="117" spans="2:14" x14ac:dyDescent="0.2">
      <c r="B117" s="185" t="str">
        <f t="shared" si="6"/>
        <v>AB</v>
      </c>
      <c r="C117" s="171" t="str">
        <f t="shared" si="7"/>
        <v>6E</v>
      </c>
      <c r="D117" s="172" t="s">
        <v>11</v>
      </c>
      <c r="E117" s="172" t="str">
        <f t="shared" si="9"/>
        <v>EUR_YC6MRH_AB6E23Y</v>
      </c>
      <c r="F117" s="173">
        <f>_xll.qlRateHelperQuoteValue($E117,Trigger)</f>
        <v>2.2749999999999999E-2</v>
      </c>
      <c r="G117" s="173">
        <f>_xll.qlSwapRateHelperSpread($E117,Trigger)</f>
        <v>0</v>
      </c>
      <c r="H117" s="174" t="b">
        <v>0</v>
      </c>
      <c r="I117" s="174">
        <v>50</v>
      </c>
      <c r="J117" s="174">
        <v>1</v>
      </c>
      <c r="K117" s="191">
        <f>_xll.qlRateHelperEarliestDate($E117,Trigger)</f>
        <v>41793</v>
      </c>
      <c r="L117" s="192">
        <f>_xll.qlRateHelperLatestDate($E117,Trigger)</f>
        <v>50194</v>
      </c>
      <c r="N117" s="189" t="b">
        <f t="shared" si="8"/>
        <v>1</v>
      </c>
    </row>
    <row r="118" spans="2:14" x14ac:dyDescent="0.2">
      <c r="B118" s="185" t="str">
        <f t="shared" si="6"/>
        <v>AB</v>
      </c>
      <c r="C118" s="171" t="str">
        <f t="shared" si="7"/>
        <v>6E</v>
      </c>
      <c r="D118" s="172" t="s">
        <v>10</v>
      </c>
      <c r="E118" s="172" t="str">
        <f t="shared" si="9"/>
        <v>EUR_YC6MRH_AB6E24Y</v>
      </c>
      <c r="F118" s="173">
        <f>_xll.qlRateHelperQuoteValue($E118,Trigger)</f>
        <v>2.2850000000000002E-2</v>
      </c>
      <c r="G118" s="173">
        <f>_xll.qlSwapRateHelperSpread($E118,Trigger)</f>
        <v>0</v>
      </c>
      <c r="H118" s="174" t="b">
        <v>0</v>
      </c>
      <c r="I118" s="174">
        <v>50</v>
      </c>
      <c r="J118" s="174">
        <v>1</v>
      </c>
      <c r="K118" s="191">
        <f>_xll.qlRateHelperEarliestDate($E118,Trigger)</f>
        <v>41793</v>
      </c>
      <c r="L118" s="192">
        <f>_xll.qlRateHelperLatestDate($E118,Trigger)</f>
        <v>50559</v>
      </c>
      <c r="N118" s="189" t="b">
        <f t="shared" si="8"/>
        <v>1</v>
      </c>
    </row>
    <row r="119" spans="2:14" x14ac:dyDescent="0.2">
      <c r="B119" s="185" t="str">
        <f t="shared" si="6"/>
        <v>AB</v>
      </c>
      <c r="C119" s="171" t="str">
        <f t="shared" si="7"/>
        <v>6E</v>
      </c>
      <c r="D119" s="172" t="s">
        <v>9</v>
      </c>
      <c r="E119" s="172" t="str">
        <f t="shared" si="9"/>
        <v>EUR_YC6MRH_AB6E25Y</v>
      </c>
      <c r="F119" s="173">
        <f>_xll.qlRateHelperQuoteValue($E119,Trigger)</f>
        <v>2.291E-2</v>
      </c>
      <c r="G119" s="173">
        <f>_xll.qlSwapRateHelperSpread($E119,Trigger)</f>
        <v>0</v>
      </c>
      <c r="H119" s="174" t="b">
        <v>1</v>
      </c>
      <c r="I119" s="174">
        <v>50</v>
      </c>
      <c r="J119" s="174">
        <v>1</v>
      </c>
      <c r="K119" s="191">
        <f>_xll.qlRateHelperEarliestDate($E119,Trigger)</f>
        <v>41793</v>
      </c>
      <c r="L119" s="192">
        <f>_xll.qlRateHelperLatestDate($E119,Trigger)</f>
        <v>50924</v>
      </c>
      <c r="N119" s="189" t="b">
        <f t="shared" si="8"/>
        <v>1</v>
      </c>
    </row>
    <row r="120" spans="2:14" x14ac:dyDescent="0.2">
      <c r="B120" s="185" t="str">
        <f t="shared" si="6"/>
        <v>AB</v>
      </c>
      <c r="C120" s="171" t="str">
        <f t="shared" si="7"/>
        <v>6E</v>
      </c>
      <c r="D120" s="172" t="s">
        <v>8</v>
      </c>
      <c r="E120" s="172" t="str">
        <f t="shared" si="9"/>
        <v>EUR_YC6MRH_AB6E26Y</v>
      </c>
      <c r="F120" s="173">
        <f>_xll.qlRateHelperQuoteValue($E120,Trigger)</f>
        <v>2.2959999999999998E-2</v>
      </c>
      <c r="G120" s="173">
        <f>_xll.qlSwapRateHelperSpread($E120,Trigger)</f>
        <v>0</v>
      </c>
      <c r="H120" s="174" t="b">
        <v>0</v>
      </c>
      <c r="I120" s="174">
        <v>50</v>
      </c>
      <c r="J120" s="174">
        <v>1</v>
      </c>
      <c r="K120" s="191">
        <f>_xll.qlRateHelperEarliestDate($E120,Trigger)</f>
        <v>41793</v>
      </c>
      <c r="L120" s="192">
        <f>_xll.qlRateHelperLatestDate($E120,Trigger)</f>
        <v>51291</v>
      </c>
      <c r="N120" s="189" t="b">
        <f t="shared" si="8"/>
        <v>1</v>
      </c>
    </row>
    <row r="121" spans="2:14" x14ac:dyDescent="0.2">
      <c r="B121" s="185" t="str">
        <f t="shared" si="6"/>
        <v>AB</v>
      </c>
      <c r="C121" s="171" t="str">
        <f t="shared" si="7"/>
        <v>6E</v>
      </c>
      <c r="D121" s="172" t="s">
        <v>7</v>
      </c>
      <c r="E121" s="172" t="str">
        <f t="shared" si="9"/>
        <v>EUR_YC6MRH_AB6E27Y</v>
      </c>
      <c r="F121" s="173">
        <f>_xll.qlRateHelperQuoteValue($E121,Trigger)</f>
        <v>2.299E-2</v>
      </c>
      <c r="G121" s="173">
        <f>_xll.qlSwapRateHelperSpread($E121,Trigger)</f>
        <v>0</v>
      </c>
      <c r="H121" s="174" t="b">
        <v>0</v>
      </c>
      <c r="I121" s="174">
        <v>50</v>
      </c>
      <c r="J121" s="174">
        <v>1</v>
      </c>
      <c r="K121" s="191">
        <f>_xll.qlRateHelperEarliestDate($E121,Trigger)</f>
        <v>41793</v>
      </c>
      <c r="L121" s="192">
        <f>_xll.qlRateHelperLatestDate($E121,Trigger)</f>
        <v>51655</v>
      </c>
      <c r="N121" s="189" t="b">
        <f t="shared" si="8"/>
        <v>1</v>
      </c>
    </row>
    <row r="122" spans="2:14" x14ac:dyDescent="0.2">
      <c r="B122" s="185" t="str">
        <f t="shared" si="6"/>
        <v>AB</v>
      </c>
      <c r="C122" s="171" t="str">
        <f t="shared" si="7"/>
        <v>6E</v>
      </c>
      <c r="D122" s="172" t="s">
        <v>6</v>
      </c>
      <c r="E122" s="172" t="str">
        <f t="shared" si="9"/>
        <v>EUR_YC6MRH_AB6E28Y</v>
      </c>
      <c r="F122" s="173">
        <f>_xll.qlRateHelperQuoteValue($E122,Trigger)</f>
        <v>2.3010000000000003E-2</v>
      </c>
      <c r="G122" s="173">
        <f>_xll.qlSwapRateHelperSpread($E122,Trigger)</f>
        <v>0</v>
      </c>
      <c r="H122" s="174" t="b">
        <v>0</v>
      </c>
      <c r="I122" s="174">
        <v>50</v>
      </c>
      <c r="J122" s="174">
        <v>1</v>
      </c>
      <c r="K122" s="191">
        <f>_xll.qlRateHelperEarliestDate($E122,Trigger)</f>
        <v>41793</v>
      </c>
      <c r="L122" s="192">
        <f>_xll.qlRateHelperLatestDate($E122,Trigger)</f>
        <v>52020</v>
      </c>
      <c r="N122" s="189" t="b">
        <f t="shared" si="8"/>
        <v>1</v>
      </c>
    </row>
    <row r="123" spans="2:14" x14ac:dyDescent="0.2">
      <c r="B123" s="185" t="str">
        <f t="shared" si="6"/>
        <v>AB</v>
      </c>
      <c r="C123" s="171" t="str">
        <f t="shared" si="7"/>
        <v>6E</v>
      </c>
      <c r="D123" s="172" t="s">
        <v>5</v>
      </c>
      <c r="E123" s="172" t="str">
        <f t="shared" si="9"/>
        <v>EUR_YC6MRH_AB6E29Y</v>
      </c>
      <c r="F123" s="173">
        <f>_xll.qlRateHelperQuoteValue($E123,Trigger)</f>
        <v>2.3029999999999998E-2</v>
      </c>
      <c r="G123" s="173">
        <f>_xll.qlSwapRateHelperSpread($E123,Trigger)</f>
        <v>0</v>
      </c>
      <c r="H123" s="174" t="b">
        <v>0</v>
      </c>
      <c r="I123" s="174">
        <v>50</v>
      </c>
      <c r="J123" s="174">
        <v>1</v>
      </c>
      <c r="K123" s="191">
        <f>_xll.qlRateHelperEarliestDate($E123,Trigger)</f>
        <v>41793</v>
      </c>
      <c r="L123" s="192">
        <f>_xll.qlRateHelperLatestDate($E123,Trigger)</f>
        <v>52385</v>
      </c>
      <c r="N123" s="189" t="b">
        <f t="shared" si="8"/>
        <v>1</v>
      </c>
    </row>
    <row r="124" spans="2:14" x14ac:dyDescent="0.2">
      <c r="B124" s="185" t="str">
        <f t="shared" ref="B124:B155" si="10">SwapFixedFreq</f>
        <v>AB</v>
      </c>
      <c r="C124" s="171" t="str">
        <f t="shared" si="7"/>
        <v>6E</v>
      </c>
      <c r="D124" s="172" t="s">
        <v>4</v>
      </c>
      <c r="E124" s="172" t="str">
        <f t="shared" si="9"/>
        <v>EUR_YC6MRH_AB6E30Y</v>
      </c>
      <c r="F124" s="173">
        <f>_xll.qlRateHelperQuoteValue($E124,Trigger)</f>
        <v>2.3039999999999998E-2</v>
      </c>
      <c r="G124" s="173">
        <f>_xll.qlSwapRateHelperSpread($E124,Trigger)</f>
        <v>0</v>
      </c>
      <c r="H124" s="174" t="b">
        <v>1</v>
      </c>
      <c r="I124" s="174">
        <v>50</v>
      </c>
      <c r="J124" s="174">
        <v>1</v>
      </c>
      <c r="K124" s="191">
        <f>_xll.qlRateHelperEarliestDate($E124,Trigger)</f>
        <v>41793</v>
      </c>
      <c r="L124" s="192">
        <f>_xll.qlRateHelperLatestDate($E124,Trigger)</f>
        <v>52751</v>
      </c>
      <c r="N124" s="189" t="b">
        <f t="shared" si="8"/>
        <v>1</v>
      </c>
    </row>
    <row r="125" spans="2:14" x14ac:dyDescent="0.2">
      <c r="B125" s="185" t="str">
        <f t="shared" si="10"/>
        <v>AB</v>
      </c>
      <c r="C125" s="171" t="str">
        <f t="shared" si="7"/>
        <v>6E</v>
      </c>
      <c r="D125" s="172" t="s">
        <v>3</v>
      </c>
      <c r="E125" s="172" t="str">
        <f t="shared" si="9"/>
        <v>EUR_YC6MRH_AB6E35Y</v>
      </c>
      <c r="F125" s="173">
        <f>_xll.qlRateHelperQuoteValue($E125,Trigger)</f>
        <v>2.3140000000000001E-2</v>
      </c>
      <c r="G125" s="173">
        <f>_xll.qlSwapRateHelperSpread($E125,Trigger)</f>
        <v>0</v>
      </c>
      <c r="H125" s="174" t="b">
        <v>1</v>
      </c>
      <c r="I125" s="174">
        <v>50</v>
      </c>
      <c r="J125" s="174">
        <v>1</v>
      </c>
      <c r="K125" s="191">
        <f>_xll.qlRateHelperEarliestDate($E125,Trigger)</f>
        <v>41793</v>
      </c>
      <c r="L125" s="192">
        <f>_xll.qlRateHelperLatestDate($E125,Trigger)</f>
        <v>54577</v>
      </c>
      <c r="N125" s="189" t="b">
        <f t="shared" si="8"/>
        <v>1</v>
      </c>
    </row>
    <row r="126" spans="2:14" x14ac:dyDescent="0.2">
      <c r="B126" s="185" t="str">
        <f t="shared" si="10"/>
        <v>AB</v>
      </c>
      <c r="C126" s="171" t="str">
        <f t="shared" si="7"/>
        <v>6E</v>
      </c>
      <c r="D126" s="172" t="s">
        <v>2</v>
      </c>
      <c r="E126" s="172" t="str">
        <f t="shared" ref="E126:E157" si="11">RateHelperPrefix&amp;"_"&amp;$B126&amp;$C126&amp;$D126</f>
        <v>EUR_YC6MRH_AB6E40Y</v>
      </c>
      <c r="F126" s="173">
        <f>_xll.qlRateHelperQuoteValue($E126,Trigger)</f>
        <v>2.3250000000000003E-2</v>
      </c>
      <c r="G126" s="173">
        <f>_xll.qlSwapRateHelperSpread($E126,Trigger)</f>
        <v>0</v>
      </c>
      <c r="H126" s="174" t="b">
        <v>1</v>
      </c>
      <c r="I126" s="174">
        <v>50</v>
      </c>
      <c r="J126" s="174">
        <v>1</v>
      </c>
      <c r="K126" s="191">
        <f>_xll.qlRateHelperEarliestDate($E126,Trigger)</f>
        <v>41793</v>
      </c>
      <c r="L126" s="192">
        <f>_xll.qlRateHelperLatestDate($E126,Trigger)</f>
        <v>56403</v>
      </c>
      <c r="N126" s="189" t="b">
        <f t="shared" si="8"/>
        <v>1</v>
      </c>
    </row>
    <row r="127" spans="2:14" x14ac:dyDescent="0.2">
      <c r="B127" s="185" t="str">
        <f t="shared" si="10"/>
        <v>AB</v>
      </c>
      <c r="C127" s="171" t="str">
        <f t="shared" si="7"/>
        <v>6E</v>
      </c>
      <c r="D127" s="172" t="s">
        <v>1</v>
      </c>
      <c r="E127" s="172" t="str">
        <f t="shared" si="11"/>
        <v>EUR_YC6MRH_AB6E50Y</v>
      </c>
      <c r="F127" s="173">
        <f>_xll.qlRateHelperQuoteValue($E127,Trigger)</f>
        <v>2.3269999999999999E-2</v>
      </c>
      <c r="G127" s="173">
        <f>_xll.qlSwapRateHelperSpread($E127,Trigger)</f>
        <v>0</v>
      </c>
      <c r="H127" s="174" t="b">
        <v>1</v>
      </c>
      <c r="I127" s="174">
        <v>50</v>
      </c>
      <c r="J127" s="174">
        <v>1</v>
      </c>
      <c r="K127" s="191">
        <f>_xll.qlRateHelperEarliestDate($E127,Trigger)</f>
        <v>41793</v>
      </c>
      <c r="L127" s="192">
        <f>_xll.qlRateHelperLatestDate($E127,Trigger)</f>
        <v>60056</v>
      </c>
      <c r="N127" s="189" t="b">
        <f t="shared" si="8"/>
        <v>1</v>
      </c>
    </row>
    <row r="128" spans="2:14" x14ac:dyDescent="0.2">
      <c r="B128" s="180" t="str">
        <f t="shared" si="10"/>
        <v>AB</v>
      </c>
      <c r="C128" s="181" t="str">
        <f t="shared" si="7"/>
        <v>6E</v>
      </c>
      <c r="D128" s="182" t="s">
        <v>0</v>
      </c>
      <c r="E128" s="182" t="str">
        <f t="shared" si="11"/>
        <v>EUR_YC6MRH_AB6E60Y</v>
      </c>
      <c r="F128" s="183">
        <f>_xll.qlRateHelperQuoteValue($E128,Trigger)</f>
        <v>2.3399999999999997E-2</v>
      </c>
      <c r="G128" s="183">
        <f>_xll.qlSwapRateHelperSpread($E128,Trigger)</f>
        <v>0</v>
      </c>
      <c r="H128" s="184" t="b">
        <v>1</v>
      </c>
      <c r="I128" s="184">
        <v>50</v>
      </c>
      <c r="J128" s="184">
        <v>1</v>
      </c>
      <c r="K128" s="195">
        <f>_xll.qlRateHelperEarliestDate($E128,Trigger)</f>
        <v>41793</v>
      </c>
      <c r="L128" s="196">
        <f>_xll.qlRateHelperLatestDate($E128,Trigger)</f>
        <v>63709</v>
      </c>
      <c r="N128" s="189" t="b">
        <f t="shared" si="8"/>
        <v>1</v>
      </c>
    </row>
    <row r="129" spans="2:12" x14ac:dyDescent="0.2">
      <c r="B129" s="185" t="str">
        <f t="shared" si="10"/>
        <v>AB</v>
      </c>
      <c r="C129" s="171" t="str">
        <f t="shared" ref="C129:C165" si="12">IborType&amp;"BASIS"</f>
        <v>6EBASIS</v>
      </c>
      <c r="D129" s="172" t="s">
        <v>36</v>
      </c>
      <c r="E129" s="172" t="str">
        <f t="shared" si="11"/>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10"/>
        <v>AB</v>
      </c>
      <c r="C130" s="171" t="str">
        <f t="shared" si="12"/>
        <v>6EBASIS</v>
      </c>
      <c r="D130" s="172" t="s">
        <v>35</v>
      </c>
      <c r="E130" s="172" t="str">
        <f t="shared" si="11"/>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10"/>
        <v>AB</v>
      </c>
      <c r="C131" s="171" t="str">
        <f t="shared" si="12"/>
        <v>6EBASIS</v>
      </c>
      <c r="D131" s="172" t="s">
        <v>34</v>
      </c>
      <c r="E131" s="172" t="str">
        <f t="shared" si="11"/>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10"/>
        <v>AB</v>
      </c>
      <c r="C132" s="171" t="str">
        <f t="shared" si="12"/>
        <v>6EBASIS</v>
      </c>
      <c r="D132" s="172" t="s">
        <v>33</v>
      </c>
      <c r="E132" s="172" t="str">
        <f t="shared" si="11"/>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10"/>
        <v>AB</v>
      </c>
      <c r="C133" s="171" t="str">
        <f t="shared" si="12"/>
        <v>6EBASIS</v>
      </c>
      <c r="D133" s="172" t="s">
        <v>32</v>
      </c>
      <c r="E133" s="172" t="str">
        <f t="shared" si="11"/>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10"/>
        <v>AB</v>
      </c>
      <c r="C134" s="171" t="str">
        <f t="shared" si="12"/>
        <v>6EBASIS</v>
      </c>
      <c r="D134" s="172" t="s">
        <v>31</v>
      </c>
      <c r="E134" s="172" t="str">
        <f t="shared" si="11"/>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10"/>
        <v>AB</v>
      </c>
      <c r="C135" s="171" t="str">
        <f t="shared" si="12"/>
        <v>6EBASIS</v>
      </c>
      <c r="D135" s="172" t="s">
        <v>30</v>
      </c>
      <c r="E135" s="172" t="str">
        <f t="shared" si="11"/>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10"/>
        <v>AB</v>
      </c>
      <c r="C136" s="171" t="str">
        <f t="shared" si="12"/>
        <v>6EBASIS</v>
      </c>
      <c r="D136" s="172" t="s">
        <v>29</v>
      </c>
      <c r="E136" s="172" t="str">
        <f t="shared" si="11"/>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10"/>
        <v>AB</v>
      </c>
      <c r="C137" s="171" t="str">
        <f t="shared" si="12"/>
        <v>6EBASIS</v>
      </c>
      <c r="D137" s="172" t="s">
        <v>28</v>
      </c>
      <c r="E137" s="172" t="str">
        <f t="shared" si="11"/>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10"/>
        <v>AB</v>
      </c>
      <c r="C138" s="171" t="str">
        <f t="shared" si="12"/>
        <v>6EBASIS</v>
      </c>
      <c r="D138" s="172" t="s">
        <v>27</v>
      </c>
      <c r="E138" s="172" t="str">
        <f t="shared" si="11"/>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10"/>
        <v>AB</v>
      </c>
      <c r="C139" s="171" t="str">
        <f t="shared" si="12"/>
        <v>6EBASIS</v>
      </c>
      <c r="D139" s="172" t="s">
        <v>26</v>
      </c>
      <c r="E139" s="172" t="str">
        <f t="shared" si="11"/>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10"/>
        <v>AB</v>
      </c>
      <c r="C140" s="171" t="str">
        <f t="shared" si="12"/>
        <v>6EBASIS</v>
      </c>
      <c r="D140" s="172" t="s">
        <v>25</v>
      </c>
      <c r="E140" s="172" t="str">
        <f t="shared" si="11"/>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10"/>
        <v>AB</v>
      </c>
      <c r="C141" s="171" t="str">
        <f t="shared" si="12"/>
        <v>6EBASIS</v>
      </c>
      <c r="D141" s="172" t="s">
        <v>24</v>
      </c>
      <c r="E141" s="172" t="str">
        <f t="shared" si="11"/>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10"/>
        <v>AB</v>
      </c>
      <c r="C142" s="171" t="str">
        <f t="shared" si="12"/>
        <v>6EBASIS</v>
      </c>
      <c r="D142" s="172" t="s">
        <v>23</v>
      </c>
      <c r="E142" s="172" t="str">
        <f t="shared" si="11"/>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10"/>
        <v>AB</v>
      </c>
      <c r="C143" s="171" t="str">
        <f t="shared" si="12"/>
        <v>6EBASIS</v>
      </c>
      <c r="D143" s="172" t="s">
        <v>22</v>
      </c>
      <c r="E143" s="172" t="str">
        <f t="shared" si="11"/>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10"/>
        <v>AB</v>
      </c>
      <c r="C144" s="171" t="str">
        <f t="shared" si="12"/>
        <v>6EBASIS</v>
      </c>
      <c r="D144" s="172" t="s">
        <v>21</v>
      </c>
      <c r="E144" s="172" t="str">
        <f t="shared" si="11"/>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10"/>
        <v>AB</v>
      </c>
      <c r="C145" s="171" t="str">
        <f t="shared" si="12"/>
        <v>6EBASIS</v>
      </c>
      <c r="D145" s="172" t="s">
        <v>20</v>
      </c>
      <c r="E145" s="172" t="str">
        <f t="shared" si="11"/>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10"/>
        <v>AB</v>
      </c>
      <c r="C146" s="171" t="str">
        <f t="shared" si="12"/>
        <v>6EBASIS</v>
      </c>
      <c r="D146" s="172" t="s">
        <v>19</v>
      </c>
      <c r="E146" s="172" t="str">
        <f t="shared" si="11"/>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10"/>
        <v>AB</v>
      </c>
      <c r="C147" s="171" t="str">
        <f t="shared" si="12"/>
        <v>6EBASIS</v>
      </c>
      <c r="D147" s="172" t="s">
        <v>18</v>
      </c>
      <c r="E147" s="172" t="str">
        <f t="shared" si="11"/>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10"/>
        <v>AB</v>
      </c>
      <c r="C148" s="171" t="str">
        <f t="shared" si="12"/>
        <v>6EBASIS</v>
      </c>
      <c r="D148" s="172" t="s">
        <v>17</v>
      </c>
      <c r="E148" s="172" t="str">
        <f t="shared" si="11"/>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10"/>
        <v>AB</v>
      </c>
      <c r="C149" s="171" t="str">
        <f t="shared" si="12"/>
        <v>6EBASIS</v>
      </c>
      <c r="D149" s="172" t="s">
        <v>16</v>
      </c>
      <c r="E149" s="172" t="str">
        <f t="shared" si="11"/>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10"/>
        <v>AB</v>
      </c>
      <c r="C150" s="171" t="str">
        <f t="shared" si="12"/>
        <v>6EBASIS</v>
      </c>
      <c r="D150" s="172" t="s">
        <v>15</v>
      </c>
      <c r="E150" s="172" t="str">
        <f t="shared" si="11"/>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10"/>
        <v>AB</v>
      </c>
      <c r="C151" s="171" t="str">
        <f t="shared" si="12"/>
        <v>6EBASIS</v>
      </c>
      <c r="D151" s="172" t="s">
        <v>14</v>
      </c>
      <c r="E151" s="172" t="str">
        <f t="shared" si="11"/>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10"/>
        <v>AB</v>
      </c>
      <c r="C152" s="171" t="str">
        <f t="shared" si="12"/>
        <v>6EBASIS</v>
      </c>
      <c r="D152" s="172" t="s">
        <v>13</v>
      </c>
      <c r="E152" s="172" t="str">
        <f t="shared" si="11"/>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10"/>
        <v>AB</v>
      </c>
      <c r="C153" s="171" t="str">
        <f t="shared" si="12"/>
        <v>6EBASIS</v>
      </c>
      <c r="D153" s="172" t="s">
        <v>12</v>
      </c>
      <c r="E153" s="172" t="str">
        <f t="shared" si="11"/>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10"/>
        <v>AB</v>
      </c>
      <c r="C154" s="171" t="str">
        <f t="shared" si="12"/>
        <v>6EBASIS</v>
      </c>
      <c r="D154" s="172" t="s">
        <v>11</v>
      </c>
      <c r="E154" s="172" t="str">
        <f t="shared" si="11"/>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10"/>
        <v>AB</v>
      </c>
      <c r="C155" s="171" t="str">
        <f t="shared" si="12"/>
        <v>6EBASIS</v>
      </c>
      <c r="D155" s="172" t="s">
        <v>10</v>
      </c>
      <c r="E155" s="172" t="str">
        <f t="shared" si="11"/>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3">SwapFixedFreq</f>
        <v>AB</v>
      </c>
      <c r="C156" s="171" t="str">
        <f t="shared" si="12"/>
        <v>6EBASIS</v>
      </c>
      <c r="D156" s="172" t="s">
        <v>9</v>
      </c>
      <c r="E156" s="172" t="str">
        <f t="shared" si="11"/>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3"/>
        <v>AB</v>
      </c>
      <c r="C157" s="171" t="str">
        <f t="shared" si="12"/>
        <v>6EBASIS</v>
      </c>
      <c r="D157" s="172" t="s">
        <v>8</v>
      </c>
      <c r="E157" s="172" t="str">
        <f t="shared" si="11"/>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3"/>
        <v>AB</v>
      </c>
      <c r="C158" s="171" t="str">
        <f t="shared" si="12"/>
        <v>6EBASIS</v>
      </c>
      <c r="D158" s="172" t="s">
        <v>7</v>
      </c>
      <c r="E158" s="172" t="str">
        <f t="shared" ref="E158:E165" si="14">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3"/>
        <v>AB</v>
      </c>
      <c r="C159" s="171" t="str">
        <f t="shared" si="12"/>
        <v>6EBASIS</v>
      </c>
      <c r="D159" s="172" t="s">
        <v>6</v>
      </c>
      <c r="E159" s="172" t="str">
        <f t="shared" si="14"/>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3"/>
        <v>AB</v>
      </c>
      <c r="C160" s="171" t="str">
        <f t="shared" si="12"/>
        <v>6EBASIS</v>
      </c>
      <c r="D160" s="172" t="s">
        <v>5</v>
      </c>
      <c r="E160" s="172" t="str">
        <f t="shared" si="14"/>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3"/>
        <v>AB</v>
      </c>
      <c r="C161" s="171" t="str">
        <f t="shared" si="12"/>
        <v>6EBASIS</v>
      </c>
      <c r="D161" s="172" t="s">
        <v>4</v>
      </c>
      <c r="E161" s="172" t="str">
        <f t="shared" si="14"/>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3"/>
        <v>AB</v>
      </c>
      <c r="C162" s="171" t="str">
        <f t="shared" si="12"/>
        <v>6EBASIS</v>
      </c>
      <c r="D162" s="172" t="s">
        <v>3</v>
      </c>
      <c r="E162" s="172" t="str">
        <f t="shared" si="14"/>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3"/>
        <v>AB</v>
      </c>
      <c r="C163" s="171" t="str">
        <f t="shared" si="12"/>
        <v>6EBASIS</v>
      </c>
      <c r="D163" s="172" t="s">
        <v>2</v>
      </c>
      <c r="E163" s="172" t="str">
        <f t="shared" si="14"/>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3"/>
        <v>AB</v>
      </c>
      <c r="C164" s="171" t="str">
        <f t="shared" si="12"/>
        <v>6EBASIS</v>
      </c>
      <c r="D164" s="172" t="s">
        <v>1</v>
      </c>
      <c r="E164" s="172" t="str">
        <f t="shared" si="14"/>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3"/>
        <v>AB</v>
      </c>
      <c r="C165" s="181" t="str">
        <f t="shared" si="12"/>
        <v>6EBASIS</v>
      </c>
      <c r="D165" s="182" t="s">
        <v>0</v>
      </c>
      <c r="E165" s="182" t="str">
        <f t="shared" si="14"/>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91" t="s">
        <v>73</v>
      </c>
      <c r="B1" s="292"/>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7.3020000000000003E-3</v>
      </c>
      <c r="F2" s="10" t="str">
        <f>IF(ISERROR(_xll.qlSwapRateHelperSpread($D2)),IF(ISERROR(_xll.qlFuturesRateHelperConvexityAdjustment($D2)),"--",_xll.qlFuturesRateHelperConvexityAdjustment($D2)),_xll.qlSwapRateHelperSpread($D2))</f>
        <v>--</v>
      </c>
      <c r="G2" s="9">
        <f>_xll.qlRateHelperEarliestDate($D2)</f>
        <v>41793</v>
      </c>
      <c r="H2" s="8">
        <f>_xll.qlRateHelperLatestDate($D2)</f>
        <v>41794</v>
      </c>
      <c r="I2" s="3">
        <v>0.99997971707807187</v>
      </c>
    </row>
    <row r="3" spans="1:9" x14ac:dyDescent="0.2">
      <c r="A3" s="15" t="s">
        <v>69</v>
      </c>
      <c r="B3" s="17">
        <v>1</v>
      </c>
      <c r="D3" s="11" t="str">
        <v>EUR_YC6MRH_SWD</v>
      </c>
      <c r="E3" s="10">
        <f>_xll.qlRateHelperRate($D3)</f>
        <v>6.901E-3</v>
      </c>
      <c r="F3" s="10" t="str">
        <f>IF(ISERROR(_xll.qlSwapRateHelperSpread($D3)),IF(ISERROR(_xll.qlFuturesRateHelperConvexityAdjustment($D3)),"--",_xll.qlFuturesRateHelperConvexityAdjustment($D3)),_xll.qlSwapRateHelperSpread($D3))</f>
        <v>--</v>
      </c>
      <c r="G3" s="9">
        <f>_xll.qlRateHelperEarliestDate($D3)</f>
        <v>41793</v>
      </c>
      <c r="H3" s="8">
        <f>_xll.qlRateHelperLatestDate($D3)</f>
        <v>41800</v>
      </c>
      <c r="I3" s="3">
        <v>0.99986583189238554</v>
      </c>
    </row>
    <row r="4" spans="1:9" x14ac:dyDescent="0.2">
      <c r="A4" s="15" t="s">
        <v>68</v>
      </c>
      <c r="B4" s="17">
        <v>2</v>
      </c>
      <c r="D4" s="11" t="str">
        <v>EUR_YC6MRH_2WD</v>
      </c>
      <c r="E4" s="10">
        <f>_xll.qlRateHelperRate($D4)</f>
        <v>6.4450000000000002E-3</v>
      </c>
      <c r="F4" s="10" t="str">
        <f>IF(ISERROR(_xll.qlSwapRateHelperSpread($D4)),IF(ISERROR(_xll.qlFuturesRateHelperConvexityAdjustment($D4)),"--",_xll.qlFuturesRateHelperConvexityAdjustment($D4)),_xll.qlSwapRateHelperSpread($D4))</f>
        <v>--</v>
      </c>
      <c r="G4" s="9">
        <f>_xll.qlRateHelperEarliestDate($D4)</f>
        <v>41793</v>
      </c>
      <c r="H4" s="8">
        <f>_xll.qlRateHelperLatestDate($D4)</f>
        <v>41807</v>
      </c>
      <c r="I4" s="3">
        <v>0.9997494239152227</v>
      </c>
    </row>
    <row r="5" spans="1:9" x14ac:dyDescent="0.2">
      <c r="A5" s="15" t="s">
        <v>67</v>
      </c>
      <c r="B5" s="16" t="s">
        <v>66</v>
      </c>
      <c r="D5" s="11" t="str">
        <v>EUR_YC6MRH_3WD</v>
      </c>
      <c r="E5" s="10">
        <f>_xll.qlRateHelperRate($D5)</f>
        <v>5.9680000000000002E-3</v>
      </c>
      <c r="F5" s="10" t="str">
        <f>IF(ISERROR(_xll.qlSwapRateHelperSpread($D5)),IF(ISERROR(_xll.qlFuturesRateHelperConvexityAdjustment($D5)),"--",_xll.qlFuturesRateHelperConvexityAdjustment($D5)),_xll.qlSwapRateHelperSpread($D5))</f>
        <v>--</v>
      </c>
      <c r="G5" s="9">
        <f>_xll.qlRateHelperEarliestDate($D5)</f>
        <v>41793</v>
      </c>
      <c r="H5" s="8">
        <f>_xll.qlRateHelperLatestDate($D5)</f>
        <v>41814</v>
      </c>
      <c r="I5" s="3">
        <v>0.99965198782130649</v>
      </c>
    </row>
    <row r="6" spans="1:9" x14ac:dyDescent="0.2">
      <c r="A6" s="15" t="s">
        <v>65</v>
      </c>
      <c r="B6" s="14" t="str">
        <f>_xll.ohRangeRetrieveError(Selected!D2)</f>
        <v/>
      </c>
      <c r="D6" s="11" t="str">
        <v>EUR_YC6MRH_1MD</v>
      </c>
      <c r="E6" s="10">
        <f>_xll.qlRateHelperRate($D6)</f>
        <v>5.6020000000000002E-3</v>
      </c>
      <c r="F6" s="10" t="str">
        <f>IF(ISERROR(_xll.qlSwapRateHelperSpread($D6)),IF(ISERROR(_xll.qlFuturesRateHelperConvexityAdjustment($D6)),"--",_xll.qlFuturesRateHelperConvexityAdjustment($D6)),_xll.qlSwapRateHelperSpread($D6))</f>
        <v>--</v>
      </c>
      <c r="G6" s="9">
        <f>_xll.qlRateHelperEarliestDate($D6)</f>
        <v>41793</v>
      </c>
      <c r="H6" s="8">
        <f>_xll.qlRateHelperLatestDate($D6)</f>
        <v>41823</v>
      </c>
      <c r="I6" s="3">
        <v>0.99953338449833662</v>
      </c>
    </row>
    <row r="7" spans="1:9" ht="12" thickBot="1" x14ac:dyDescent="0.25">
      <c r="A7" s="13" t="str">
        <f>_xll.ohGroup(RateHelperPrefix&amp;"_RateHelpersSelected",_xll.ohPack(Selected!D2:D126),TRUE,,ObjectOverwrite)</f>
        <v>EUR_YC6MRH_RateHelpersSelected#0000</v>
      </c>
      <c r="B7" s="12" t="str">
        <f>_xll.ohRangeRetrieveError(RateHelpersSelected)</f>
        <v/>
      </c>
      <c r="D7" s="11" t="str">
        <v>EUR_YC6MRH_2MD</v>
      </c>
      <c r="E7" s="10">
        <f>_xll.qlRateHelperRate($D7)</f>
        <v>5.1219999999999998E-3</v>
      </c>
      <c r="F7" s="10" t="str">
        <f>IF(ISERROR(_xll.qlSwapRateHelperSpread($D7)),IF(ISERROR(_xll.qlFuturesRateHelperConvexityAdjustment($D7)),"--",_xll.qlFuturesRateHelperConvexityAdjustment($D7)),_xll.qlSwapRateHelperSpread($D7))</f>
        <v>--</v>
      </c>
      <c r="G7" s="9">
        <f>_xll.qlRateHelperEarliestDate($D7)</f>
        <v>41793</v>
      </c>
      <c r="H7" s="8">
        <f>_xll.qlRateHelperLatestDate($D7)</f>
        <v>41855</v>
      </c>
      <c r="I7" s="3">
        <v>0.9991186552315835</v>
      </c>
    </row>
    <row r="8" spans="1:9" x14ac:dyDescent="0.2">
      <c r="D8" s="11" t="str">
        <v>EUR_YC6MRH_3MD</v>
      </c>
      <c r="E8" s="10">
        <f>_xll.qlRateHelperRate($D8)</f>
        <v>4.7720000000000002E-3</v>
      </c>
      <c r="F8" s="10" t="str">
        <f>IF(ISERROR(_xll.qlSwapRateHelperSpread($D8)),IF(ISERROR(_xll.qlFuturesRateHelperConvexityAdjustment($D8)),"--",_xll.qlFuturesRateHelperConvexityAdjustment($D8)),_xll.qlSwapRateHelperSpread($D8))</f>
        <v>--</v>
      </c>
      <c r="G8" s="9">
        <f>_xll.qlRateHelperEarliestDate($D8)</f>
        <v>41793</v>
      </c>
      <c r="H8" s="8">
        <f>_xll.qlRateHelperLatestDate($D8)</f>
        <v>41885</v>
      </c>
      <c r="I8" s="3">
        <v>0.99878197428478221</v>
      </c>
    </row>
    <row r="9" spans="1:9" x14ac:dyDescent="0.2">
      <c r="D9" s="11" t="str">
        <v>EUR_YC6MRH_4MD</v>
      </c>
      <c r="E9" s="10">
        <f>_xll.qlRateHelperRate($D9)</f>
        <v>4.5019999999999999E-3</v>
      </c>
      <c r="F9" s="10" t="str">
        <f>IF(ISERROR(_xll.qlSwapRateHelperSpread($D9)),IF(ISERROR(_xll.qlFuturesRateHelperConvexityAdjustment($D9)),"--",_xll.qlFuturesRateHelperConvexityAdjustment($D9)),_xll.qlSwapRateHelperSpread($D9))</f>
        <v>--</v>
      </c>
      <c r="G9" s="9">
        <f>_xll.qlRateHelperEarliestDate($D9)</f>
        <v>41793</v>
      </c>
      <c r="H9" s="8">
        <f>_xll.qlRateHelperLatestDate($D9)</f>
        <v>41915</v>
      </c>
      <c r="I9" s="3">
        <v>0.99847664636900479</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41793</v>
      </c>
      <c r="H10" s="8">
        <f>_xll.qlRateHelperLatestDate($D10)</f>
        <v>41946</v>
      </c>
      <c r="I10" s="3">
        <v>0.99819404238366849</v>
      </c>
    </row>
    <row r="11" spans="1:9" x14ac:dyDescent="0.2">
      <c r="D11" s="11" t="str">
        <v>EUR_YC6MRH_1x7F</v>
      </c>
      <c r="E11" s="10">
        <f>_xll.qlRateHelperRate($D11)</f>
        <v>3.2999999999999995E-3</v>
      </c>
      <c r="F11" s="10" t="str">
        <f>IF(ISERROR(_xll.qlSwapRateHelperSpread($D11)),IF(ISERROR(_xll.qlFuturesRateHelperConvexityAdjustment($D11)),"--",_xll.qlFuturesRateHelperConvexityAdjustment($D11)),_xll.qlSwapRateHelperSpread($D11))</f>
        <v>--</v>
      </c>
      <c r="G11" s="9">
        <f>_xll.qlRateHelperEarliestDate($D11)</f>
        <v>41823</v>
      </c>
      <c r="H11" s="8">
        <f>_xll.qlRateHelperLatestDate($D11)</f>
        <v>42009</v>
      </c>
      <c r="I11" s="3">
        <v>0.99783208080057084</v>
      </c>
    </row>
    <row r="12" spans="1:9" x14ac:dyDescent="0.2">
      <c r="D12" s="11" t="str">
        <v>EUR_YC6MRH_2x8F</v>
      </c>
      <c r="E12" s="10">
        <f>_xll.qlRateHelperRate($D12)</f>
        <v>3.1700000000000001E-3</v>
      </c>
      <c r="F12" s="10" t="str">
        <f>IF(ISERROR(_xll.qlSwapRateHelperSpread($D12)),IF(ISERROR(_xll.qlFuturesRateHelperConvexityAdjustment($D12)),"--",_xll.qlFuturesRateHelperConvexityAdjustment($D12)),_xll.qlSwapRateHelperSpread($D12))</f>
        <v>--</v>
      </c>
      <c r="G12" s="9">
        <f>_xll.qlRateHelperEarliestDate($D12)</f>
        <v>41855</v>
      </c>
      <c r="H12" s="8">
        <f>_xll.qlRateHelperLatestDate($D12)</f>
        <v>42039</v>
      </c>
      <c r="I12" s="3">
        <v>0.99750247954749882</v>
      </c>
    </row>
    <row r="13" spans="1:9" x14ac:dyDescent="0.2">
      <c r="D13" s="11" t="str">
        <v>EUR_YC6MRH_3x9F</v>
      </c>
      <c r="E13" s="10">
        <f>_xll.qlRateHelperRate($D13)</f>
        <v>3.0400000000000006E-3</v>
      </c>
      <c r="F13" s="10" t="str">
        <f>IF(ISERROR(_xll.qlSwapRateHelperSpread($D13)),IF(ISERROR(_xll.qlFuturesRateHelperConvexityAdjustment($D13)),"--",_xll.qlFuturesRateHelperConvexityAdjustment($D13)),_xll.qlSwapRateHelperSpread($D13))</f>
        <v>--</v>
      </c>
      <c r="G13" s="9">
        <f>_xll.qlRateHelperEarliestDate($D13)</f>
        <v>41885</v>
      </c>
      <c r="H13" s="8">
        <f>_xll.qlRateHelperLatestDate($D13)</f>
        <v>42066</v>
      </c>
      <c r="I13" s="3">
        <v>0.9972577212610414</v>
      </c>
    </row>
    <row r="14" spans="1:9" x14ac:dyDescent="0.2">
      <c r="D14" s="11" t="str">
        <v>EUR_YC6MRH_4x10F</v>
      </c>
      <c r="E14" s="10">
        <f>_xll.qlRateHelperRate($D14)</f>
        <v>2.9500000000000004E-3</v>
      </c>
      <c r="F14" s="10" t="str">
        <f>IF(ISERROR(_xll.qlSwapRateHelperSpread($D14)),IF(ISERROR(_xll.qlFuturesRateHelperConvexityAdjustment($D14)),"--",_xll.qlFuturesRateHelperConvexityAdjustment($D14)),_xll.qlSwapRateHelperSpread($D14))</f>
        <v>--</v>
      </c>
      <c r="G14" s="9">
        <f>_xll.qlRateHelperEarliestDate($D14)</f>
        <v>41915</v>
      </c>
      <c r="H14" s="8">
        <f>_xll.qlRateHelperLatestDate($D14)</f>
        <v>42101</v>
      </c>
      <c r="I14" s="3">
        <v>0.99695711756232031</v>
      </c>
    </row>
    <row r="15" spans="1:9" x14ac:dyDescent="0.2">
      <c r="D15" s="11" t="str">
        <v>EUR_YC6MRH_5x11F</v>
      </c>
      <c r="E15" s="10">
        <f>_xll.qlRateHelperRate($D15)</f>
        <v>2.9200000000000003E-3</v>
      </c>
      <c r="F15" s="10" t="str">
        <f>IF(ISERROR(_xll.qlSwapRateHelperSpread($D15)),IF(ISERROR(_xll.qlFuturesRateHelperConvexityAdjustment($D15)),"--",_xll.qlFuturesRateHelperConvexityAdjustment($D15)),_xll.qlSwapRateHelperSpread($D15))</f>
        <v>--</v>
      </c>
      <c r="G15" s="9">
        <f>_xll.qlRateHelperEarliestDate($D15)</f>
        <v>41946</v>
      </c>
      <c r="H15" s="8">
        <f>_xll.qlRateHelperLatestDate($D15)</f>
        <v>42128</v>
      </c>
      <c r="I15" s="3">
        <v>0.99672265824617323</v>
      </c>
    </row>
    <row r="16" spans="1:9" x14ac:dyDescent="0.2">
      <c r="D16" s="11" t="str">
        <v>EUR_YC6MRH_6x12F</v>
      </c>
      <c r="E16" s="10">
        <f>_xll.qlRateHelperRate($D16)</f>
        <v>2.9100000000000003E-3</v>
      </c>
      <c r="F16" s="10" t="str">
        <f>IF(ISERROR(_xll.qlSwapRateHelperSpread($D16)),IF(ISERROR(_xll.qlFuturesRateHelperConvexityAdjustment($D16)),"--",_xll.qlFuturesRateHelperConvexityAdjustment($D16)),_xll.qlSwapRateHelperSpread($D16))</f>
        <v>--</v>
      </c>
      <c r="G16" s="9">
        <f>_xll.qlRateHelperEarliestDate($D16)</f>
        <v>41976</v>
      </c>
      <c r="H16" s="8">
        <f>_xll.qlRateHelperLatestDate($D16)</f>
        <v>42158</v>
      </c>
      <c r="I16" s="3">
        <v>0.99657020704903498</v>
      </c>
    </row>
    <row r="17" spans="4:9" x14ac:dyDescent="0.2">
      <c r="D17" s="11" t="str">
        <v>EUR_YC6MRH_7x13F</v>
      </c>
      <c r="E17" s="10">
        <f>_xll.qlRateHelperRate($D17)</f>
        <v>2.9300000000000003E-3</v>
      </c>
      <c r="F17" s="10" t="str">
        <f>IF(ISERROR(_xll.qlSwapRateHelperSpread($D17)),IF(ISERROR(_xll.qlFuturesRateHelperConvexityAdjustment($D17)),"--",_xll.qlFuturesRateHelperConvexityAdjustment($D17)),_xll.qlSwapRateHelperSpread($D17))</f>
        <v>--</v>
      </c>
      <c r="G17" s="9">
        <f>_xll.qlRateHelperEarliestDate($D17)</f>
        <v>42009</v>
      </c>
      <c r="H17" s="8">
        <f>_xll.qlRateHelperLatestDate($D17)</f>
        <v>42191</v>
      </c>
      <c r="I17" s="3">
        <v>0.99635620050201623</v>
      </c>
    </row>
    <row r="18" spans="4:9" x14ac:dyDescent="0.2">
      <c r="D18" s="11" t="str">
        <v>EUR_YC6MRH_8x14F</v>
      </c>
      <c r="E18" s="10">
        <f>_xll.qlRateHelperRate($D18)</f>
        <v>2.9400000000000003E-3</v>
      </c>
      <c r="F18" s="10" t="str">
        <f>IF(ISERROR(_xll.qlSwapRateHelperSpread($D18)),IF(ISERROR(_xll.qlFuturesRateHelperConvexityAdjustment($D18)),"--",_xll.qlFuturesRateHelperConvexityAdjustment($D18)),_xll.qlSwapRateHelperSpread($D18))</f>
        <v>--</v>
      </c>
      <c r="G18" s="9">
        <f>_xll.qlRateHelperEarliestDate($D18)</f>
        <v>42038</v>
      </c>
      <c r="H18" s="8">
        <f>_xll.qlRateHelperLatestDate($D18)</f>
        <v>42219</v>
      </c>
      <c r="I18" s="3">
        <v>0.99604084744622101</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42066</v>
      </c>
      <c r="H19" s="8">
        <f>_xll.qlRateHelperLatestDate($D19)</f>
        <v>42250</v>
      </c>
      <c r="I19" s="3">
        <v>0.99573601535490897</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42101</v>
      </c>
      <c r="H20" s="8">
        <f>_xll.qlRateHelperLatestDate($D20)</f>
        <v>42284</v>
      </c>
      <c r="I20" s="3">
        <v>0.99540875923732675</v>
      </c>
    </row>
    <row r="21" spans="4:9" x14ac:dyDescent="0.2">
      <c r="D21" s="11" t="str">
        <v>EUR_YC6MRH_11x17F</v>
      </c>
      <c r="E21" s="10">
        <f>_xll.qlRateHelperRate($D21)</f>
        <v>3.13E-3</v>
      </c>
      <c r="F21" s="10" t="str">
        <f>IF(ISERROR(_xll.qlSwapRateHelperSpread($D21)),IF(ISERROR(_xll.qlFuturesRateHelperConvexityAdjustment($D21)),"--",_xll.qlFuturesRateHelperConvexityAdjustment($D21)),_xll.qlSwapRateHelperSpread($D21))</f>
        <v>--</v>
      </c>
      <c r="G21" s="9">
        <f>_xll.qlRateHelperEarliestDate($D21)</f>
        <v>42128</v>
      </c>
      <c r="H21" s="8">
        <f>_xll.qlRateHelperLatestDate($D21)</f>
        <v>42312</v>
      </c>
      <c r="I21" s="3">
        <v>0.99513067031382008</v>
      </c>
    </row>
    <row r="22" spans="4:9" x14ac:dyDescent="0.2">
      <c r="D22" s="11" t="str">
        <v>EUR_YC6MRH_12x18F</v>
      </c>
      <c r="E22" s="10">
        <f>_xll.qlRateHelperRate($D22)</f>
        <v>3.2099999999999993E-3</v>
      </c>
      <c r="F22" s="10" t="str">
        <f>IF(ISERROR(_xll.qlSwapRateHelperSpread($D22)),IF(ISERROR(_xll.qlFuturesRateHelperConvexityAdjustment($D22)),"--",_xll.qlFuturesRateHelperConvexityAdjustment($D22)),_xll.qlSwapRateHelperSpread($D22))</f>
        <v>--</v>
      </c>
      <c r="G22" s="9">
        <f>_xll.qlRateHelperEarliestDate($D22)</f>
        <v>42158</v>
      </c>
      <c r="H22" s="8">
        <f>_xll.qlRateHelperLatestDate($D22)</f>
        <v>42341</v>
      </c>
      <c r="I22" s="3">
        <v>0.99494670276679531</v>
      </c>
    </row>
    <row r="23" spans="4:9" x14ac:dyDescent="0.2">
      <c r="D23" s="11" t="str">
        <v>EUR_YC6MRH_13x19F</v>
      </c>
      <c r="E23" s="10">
        <f>_xll.qlRateHelperRate($D23)</f>
        <v>3.2999999999999995E-3</v>
      </c>
      <c r="F23" s="10" t="str">
        <f>IF(ISERROR(_xll.qlSwapRateHelperSpread($D23)),IF(ISERROR(_xll.qlFuturesRateHelperConvexityAdjustment($D23)),"--",_xll.qlFuturesRateHelperConvexityAdjustment($D23)),_xll.qlSwapRateHelperSpread($D23))</f>
        <v>--</v>
      </c>
      <c r="G23" s="9">
        <f>_xll.qlRateHelperEarliestDate($D23)</f>
        <v>42188</v>
      </c>
      <c r="H23" s="8">
        <f>_xll.qlRateHelperLatestDate($D23)</f>
        <v>42373</v>
      </c>
      <c r="I23" s="3">
        <v>0.99469687599278134</v>
      </c>
    </row>
    <row r="24" spans="4:9" x14ac:dyDescent="0.2">
      <c r="D24" s="11" t="str">
        <v>EUR_YC6MRH_14x20F</v>
      </c>
      <c r="E24" s="10">
        <f>_xll.qlRateHelperRate($D24)</f>
        <v>3.4399999999999999E-3</v>
      </c>
      <c r="F24" s="10" t="str">
        <f>IF(ISERROR(_xll.qlSwapRateHelperSpread($D24)),IF(ISERROR(_xll.qlFuturesRateHelperConvexityAdjustment($D24)),"--",_xll.qlFuturesRateHelperConvexityAdjustment($D24)),_xll.qlSwapRateHelperSpread($D24))</f>
        <v>--</v>
      </c>
      <c r="G24" s="9">
        <f>_xll.qlRateHelperEarliestDate($D24)</f>
        <v>42219</v>
      </c>
      <c r="H24" s="8">
        <f>_xll.qlRateHelperLatestDate($D24)</f>
        <v>42403</v>
      </c>
      <c r="I24" s="3">
        <v>0.99429265999602368</v>
      </c>
    </row>
    <row r="25" spans="4:9" x14ac:dyDescent="0.2">
      <c r="D25" s="11" t="str">
        <v>EUR_YC6MRH_15x21F</v>
      </c>
      <c r="E25" s="10">
        <f>_xll.qlRateHelperRate($D25)</f>
        <v>3.5599999999999998E-3</v>
      </c>
      <c r="F25" s="10" t="str">
        <f>IF(ISERROR(_xll.qlSwapRateHelperSpread($D25)),IF(ISERROR(_xll.qlFuturesRateHelperConvexityAdjustment($D25)),"--",_xll.qlFuturesRateHelperConvexityAdjustment($D25)),_xll.qlSwapRateHelperSpread($D25))</f>
        <v>--</v>
      </c>
      <c r="G25" s="9">
        <f>_xll.qlRateHelperEarliestDate($D25)</f>
        <v>42250</v>
      </c>
      <c r="H25" s="8">
        <f>_xll.qlRateHelperLatestDate($D25)</f>
        <v>42432</v>
      </c>
      <c r="I25" s="3">
        <v>0.99394713139553759</v>
      </c>
    </row>
    <row r="26" spans="4:9" x14ac:dyDescent="0.2">
      <c r="D26" s="11" t="str">
        <v>EUR_YC6MRH_16x22F</v>
      </c>
      <c r="E26" s="10">
        <f>_xll.qlRateHelperRate($D26)</f>
        <v>3.7000000000000002E-3</v>
      </c>
      <c r="F26" s="10" t="str">
        <f>IF(ISERROR(_xll.qlSwapRateHelperSpread($D26)),IF(ISERROR(_xll.qlFuturesRateHelperConvexityAdjustment($D26)),"--",_xll.qlFuturesRateHelperConvexityAdjustment($D26)),_xll.qlSwapRateHelperSpread($D26))</f>
        <v>--</v>
      </c>
      <c r="G26" s="9">
        <f>_xll.qlRateHelperEarliestDate($D26)</f>
        <v>42282</v>
      </c>
      <c r="H26" s="8">
        <f>_xll.qlRateHelperLatestDate($D26)</f>
        <v>42465</v>
      </c>
      <c r="I26" s="3">
        <v>0.99356063666955252</v>
      </c>
    </row>
    <row r="27" spans="4:9" x14ac:dyDescent="0.2">
      <c r="D27" s="11" t="str">
        <v>EUR_YC6MRH_17x23F</v>
      </c>
      <c r="E27" s="10">
        <f>_xll.qlRateHelperRate($D27)</f>
        <v>3.8800000000000002E-3</v>
      </c>
      <c r="F27" s="10" t="str">
        <f>IF(ISERROR(_xll.qlSwapRateHelperSpread($D27)),IF(ISERROR(_xll.qlFuturesRateHelperConvexityAdjustment($D27)),"--",_xll.qlFuturesRateHelperConvexityAdjustment($D27)),_xll.qlSwapRateHelperSpread($D27))</f>
        <v>--</v>
      </c>
      <c r="G27" s="9">
        <f>_xll.qlRateHelperEarliestDate($D27)</f>
        <v>42311</v>
      </c>
      <c r="H27" s="8">
        <f>_xll.qlRateHelperLatestDate($D27)</f>
        <v>42493</v>
      </c>
      <c r="I27" s="3">
        <v>0.99319078740267119</v>
      </c>
    </row>
    <row r="28" spans="4:9" x14ac:dyDescent="0.2">
      <c r="D28" s="11" t="str">
        <v>EUR_YC6MRH_18x24F</v>
      </c>
      <c r="E28" s="10">
        <f>_xll.qlRateHelperRate($D28)</f>
        <v>4.0600000000000002E-3</v>
      </c>
      <c r="F28" s="10" t="str">
        <f>IF(ISERROR(_xll.qlSwapRateHelperSpread($D28)),IF(ISERROR(_xll.qlFuturesRateHelperConvexityAdjustment($D28)),"--",_xll.qlFuturesRateHelperConvexityAdjustment($D28)),_xll.qlSwapRateHelperSpread($D28))</f>
        <v>--</v>
      </c>
      <c r="G28" s="9">
        <f>_xll.qlRateHelperEarliestDate($D28)</f>
        <v>42341</v>
      </c>
      <c r="H28" s="8">
        <f>_xll.qlRateHelperLatestDate($D28)</f>
        <v>42524</v>
      </c>
      <c r="I28" s="3">
        <v>0.99289752775243556</v>
      </c>
    </row>
    <row r="29" spans="4:9" x14ac:dyDescent="0.2">
      <c r="D29" s="11" t="str">
        <v>EUR_YC6MRH_AB6E3Y</v>
      </c>
      <c r="E29" s="10">
        <f>_xll.qlRateHelperRate($D29)</f>
        <v>4.5399999999999998E-3</v>
      </c>
      <c r="F29" s="10">
        <f>IF(ISERROR(_xll.qlSwapRateHelperSpread($D29)),IF(ISERROR(_xll.qlFuturesRateHelperConvexityAdjustment($D29)),"--",_xll.qlFuturesRateHelperConvexityAdjustment($D29)),_xll.qlSwapRateHelperSpread($D29))</f>
        <v>0</v>
      </c>
      <c r="G29" s="9">
        <f>_xll.qlRateHelperEarliestDate($D29)</f>
        <v>41793</v>
      </c>
      <c r="H29" s="8">
        <f>_xll.qlRateHelperLatestDate($D29)</f>
        <v>42891</v>
      </c>
      <c r="I29" s="3">
        <v>0.98646418549929016</v>
      </c>
    </row>
    <row r="30" spans="4:9" x14ac:dyDescent="0.2">
      <c r="D30" s="11" t="str">
        <v>EUR_YC6MRH_AB6E4Y</v>
      </c>
      <c r="E30" s="10">
        <f>_xll.qlRateHelperRate($D30)</f>
        <v>6.0599999999999994E-3</v>
      </c>
      <c r="F30" s="10">
        <f>IF(ISERROR(_xll.qlSwapRateHelperSpread($D30)),IF(ISERROR(_xll.qlFuturesRateHelperConvexityAdjustment($D30)),"--",_xll.qlFuturesRateHelperConvexityAdjustment($D30)),_xll.qlSwapRateHelperSpread($D30))</f>
        <v>0</v>
      </c>
      <c r="G30" s="9">
        <f>_xll.qlRateHelperEarliestDate($D30)</f>
        <v>41793</v>
      </c>
      <c r="H30" s="8">
        <f>_xll.qlRateHelperLatestDate($D30)</f>
        <v>43255</v>
      </c>
      <c r="I30" s="3">
        <v>0.97605613862173779</v>
      </c>
    </row>
    <row r="31" spans="4:9" x14ac:dyDescent="0.2">
      <c r="D31" s="11" t="str">
        <v>EUR_YC6MRH_AB6E5Y</v>
      </c>
      <c r="E31" s="10">
        <f>_xll.qlRateHelperRate($D31)</f>
        <v>7.8300000000000002E-3</v>
      </c>
      <c r="F31" s="10">
        <f>IF(ISERROR(_xll.qlSwapRateHelperSpread($D31)),IF(ISERROR(_xll.qlFuturesRateHelperConvexityAdjustment($D31)),"--",_xll.qlFuturesRateHelperConvexityAdjustment($D31)),_xll.qlSwapRateHelperSpread($D31))</f>
        <v>0</v>
      </c>
      <c r="G31" s="9">
        <f>_xll.qlRateHelperEarliestDate($D31)</f>
        <v>41793</v>
      </c>
      <c r="H31" s="8">
        <f>_xll.qlRateHelperLatestDate($D31)</f>
        <v>43619</v>
      </c>
      <c r="I31" s="3">
        <v>0.96159594306664109</v>
      </c>
    </row>
    <row r="32" spans="4:9" x14ac:dyDescent="0.2">
      <c r="D32" s="11" t="str">
        <v>EUR_YC6MRH_AB6E6Y</v>
      </c>
      <c r="E32" s="10">
        <f>_xll.qlRateHelperRate($D32)</f>
        <v>9.6699999999999998E-3</v>
      </c>
      <c r="F32" s="10">
        <f>IF(ISERROR(_xll.qlSwapRateHelperSpread($D32)),IF(ISERROR(_xll.qlFuturesRateHelperConvexityAdjustment($D32)),"--",_xll.qlFuturesRateHelperConvexityAdjustment($D32)),_xll.qlSwapRateHelperSpread($D32))</f>
        <v>0</v>
      </c>
      <c r="G32" s="9">
        <f>_xll.qlRateHelperEarliestDate($D32)</f>
        <v>41793</v>
      </c>
      <c r="H32" s="8">
        <f>_xll.qlRateHelperLatestDate($D32)</f>
        <v>43985</v>
      </c>
      <c r="I32" s="3">
        <v>0.94350925997660506</v>
      </c>
    </row>
    <row r="33" spans="4:9" x14ac:dyDescent="0.2">
      <c r="D33" s="11" t="str">
        <v>EUR_YC6MRH_AB6E7Y</v>
      </c>
      <c r="E33" s="10">
        <f>_xll.qlRateHelperRate($D33)</f>
        <v>1.1470000000000001E-2</v>
      </c>
      <c r="F33" s="10">
        <f>IF(ISERROR(_xll.qlSwapRateHelperSpread($D33)),IF(ISERROR(_xll.qlFuturesRateHelperConvexityAdjustment($D33)),"--",_xll.qlFuturesRateHelperConvexityAdjustment($D33)),_xll.qlSwapRateHelperSpread($D33))</f>
        <v>0</v>
      </c>
      <c r="G33" s="9">
        <f>_xll.qlRateHelperEarliestDate($D33)</f>
        <v>41793</v>
      </c>
      <c r="H33" s="8">
        <f>_xll.qlRateHelperLatestDate($D33)</f>
        <v>44350</v>
      </c>
      <c r="I33" s="3">
        <v>0.92249328408406572</v>
      </c>
    </row>
    <row r="34" spans="4:9" x14ac:dyDescent="0.2">
      <c r="D34" s="11" t="str">
        <v>EUR_YC6MRH_AB6E8Y</v>
      </c>
      <c r="E34" s="10">
        <f>_xll.qlRateHelperRate($D34)</f>
        <v>1.316E-2</v>
      </c>
      <c r="F34" s="10">
        <f>IF(ISERROR(_xll.qlSwapRateHelperSpread($D34)),IF(ISERROR(_xll.qlFuturesRateHelperConvexityAdjustment($D34)),"--",_xll.qlFuturesRateHelperConvexityAdjustment($D34)),_xll.qlSwapRateHelperSpread($D34))</f>
        <v>0</v>
      </c>
      <c r="G34" s="9">
        <f>_xll.qlRateHelperEarliestDate($D34)</f>
        <v>41793</v>
      </c>
      <c r="H34" s="8">
        <f>_xll.qlRateHelperLatestDate($D34)</f>
        <v>44715</v>
      </c>
      <c r="I34" s="3">
        <v>0.8993334402595996</v>
      </c>
    </row>
    <row r="35" spans="4:9" x14ac:dyDescent="0.2">
      <c r="D35" s="11" t="str">
        <v>EUR_YC6MRH_AB6E9Y</v>
      </c>
      <c r="E35" s="10">
        <f>_xll.qlRateHelperRate($D35)</f>
        <v>1.468E-2</v>
      </c>
      <c r="F35" s="10">
        <f>IF(ISERROR(_xll.qlSwapRateHelperSpread($D35)),IF(ISERROR(_xll.qlFuturesRateHelperConvexityAdjustment($D35)),"--",_xll.qlFuturesRateHelperConvexityAdjustment($D35)),_xll.qlSwapRateHelperSpread($D35))</f>
        <v>0</v>
      </c>
      <c r="G35" s="9">
        <f>_xll.qlRateHelperEarliestDate($D35)</f>
        <v>41793</v>
      </c>
      <c r="H35" s="8">
        <f>_xll.qlRateHelperLatestDate($D35)</f>
        <v>45082</v>
      </c>
      <c r="I35" s="3">
        <v>0.87489515144554542</v>
      </c>
    </row>
    <row r="36" spans="4:9" x14ac:dyDescent="0.2">
      <c r="D36" s="11" t="str">
        <v>EUR_YC6MRH_AB6E10Y</v>
      </c>
      <c r="E36" s="10">
        <f>_xll.qlRateHelperRate($D36)</f>
        <v>1.602E-2</v>
      </c>
      <c r="F36" s="10">
        <f>IF(ISERROR(_xll.qlSwapRateHelperSpread($D36)),IF(ISERROR(_xll.qlFuturesRateHelperConvexityAdjustment($D36)),"--",_xll.qlFuturesRateHelperConvexityAdjustment($D36)),_xll.qlSwapRateHelperSpread($D36))</f>
        <v>0</v>
      </c>
      <c r="G36" s="9">
        <f>_xll.qlRateHelperEarliestDate($D36)</f>
        <v>41793</v>
      </c>
      <c r="H36" s="8">
        <f>_xll.qlRateHelperLatestDate($D36)</f>
        <v>45446</v>
      </c>
      <c r="I36" s="3">
        <v>0.85004242651349249</v>
      </c>
    </row>
    <row r="37" spans="4:9" x14ac:dyDescent="0.2">
      <c r="D37" s="11" t="str">
        <v>EUR_YC6MRH_AB6E12Y</v>
      </c>
      <c r="E37" s="10">
        <f>_xll.qlRateHelperRate($D37)</f>
        <v>1.8249999999999999E-2</v>
      </c>
      <c r="F37" s="10">
        <f>IF(ISERROR(_xll.qlSwapRateHelperSpread($D37)),IF(ISERROR(_xll.qlFuturesRateHelperConvexityAdjustment($D37)),"--",_xll.qlFuturesRateHelperConvexityAdjustment($D37)),_xll.qlSwapRateHelperSpread($D37))</f>
        <v>0</v>
      </c>
      <c r="G37" s="9">
        <f>_xll.qlRateHelperEarliestDate($D37)</f>
        <v>41793</v>
      </c>
      <c r="H37" s="8">
        <f>_xll.qlRateHelperLatestDate($D37)</f>
        <v>46176</v>
      </c>
      <c r="I37" s="3">
        <v>0.79974779631592086</v>
      </c>
    </row>
    <row r="38" spans="4:9" x14ac:dyDescent="0.2">
      <c r="D38" s="11" t="str">
        <v>EUR_YC6MRH_AB6E15Y</v>
      </c>
      <c r="E38" s="10">
        <f>_xll.qlRateHelperRate($D38)</f>
        <v>2.0569999999999998E-2</v>
      </c>
      <c r="F38" s="10">
        <f>IF(ISERROR(_xll.qlSwapRateHelperSpread($D38)),IF(ISERROR(_xll.qlFuturesRateHelperConvexityAdjustment($D38)),"--",_xll.qlFuturesRateHelperConvexityAdjustment($D38)),_xll.qlSwapRateHelperSpread($D38))</f>
        <v>0</v>
      </c>
      <c r="G38" s="9">
        <f>_xll.qlRateHelperEarliestDate($D38)</f>
        <v>41793</v>
      </c>
      <c r="H38" s="8">
        <f>_xll.qlRateHelperLatestDate($D38)</f>
        <v>47273</v>
      </c>
      <c r="I38" s="3">
        <v>0.72818169944368083</v>
      </c>
    </row>
    <row r="39" spans="4:9" x14ac:dyDescent="0.2">
      <c r="D39" s="11" t="str">
        <v>EUR_YC6MRH_AB6E20Y</v>
      </c>
      <c r="E39" s="10">
        <f>_xll.qlRateHelperRate($D39)</f>
        <v>2.2320000000000003E-2</v>
      </c>
      <c r="F39" s="10">
        <f>IF(ISERROR(_xll.qlSwapRateHelperSpread($D39)),IF(ISERROR(_xll.qlFuturesRateHelperConvexityAdjustment($D39)),"--",_xll.qlFuturesRateHelperConvexityAdjustment($D39)),_xll.qlSwapRateHelperSpread($D39))</f>
        <v>0</v>
      </c>
      <c r="G39" s="9">
        <f>_xll.qlRateHelperEarliestDate($D39)</f>
        <v>41793</v>
      </c>
      <c r="H39" s="8">
        <f>_xll.qlRateHelperLatestDate($D39)</f>
        <v>49100</v>
      </c>
      <c r="I39" s="3">
        <v>0.63078161679678213</v>
      </c>
    </row>
    <row r="40" spans="4:9" x14ac:dyDescent="0.2">
      <c r="D40" s="11" t="str">
        <v>EUR_YC6MRH_AB6E25Y</v>
      </c>
      <c r="E40" s="10">
        <f>_xll.qlRateHelperRate($D40)</f>
        <v>2.291E-2</v>
      </c>
      <c r="F40" s="10">
        <f>IF(ISERROR(_xll.qlSwapRateHelperSpread($D40)),IF(ISERROR(_xll.qlFuturesRateHelperConvexityAdjustment($D40)),"--",_xll.qlFuturesRateHelperConvexityAdjustment($D40)),_xll.qlSwapRateHelperSpread($D40))</f>
        <v>0</v>
      </c>
      <c r="G40" s="9">
        <f>_xll.qlRateHelperEarliestDate($D40)</f>
        <v>41793</v>
      </c>
      <c r="H40" s="8">
        <f>_xll.qlRateHelperLatestDate($D40)</f>
        <v>50924</v>
      </c>
      <c r="I40" s="3">
        <v>0.55436242560089366</v>
      </c>
    </row>
    <row r="41" spans="4:9" x14ac:dyDescent="0.2">
      <c r="D41" s="11" t="str">
        <v>EUR_YC6MRH_AB6E30Y</v>
      </c>
      <c r="E41" s="10">
        <f>_xll.qlRateHelperRate($D41)</f>
        <v>2.3039999999999998E-2</v>
      </c>
      <c r="F41" s="10">
        <f>IF(ISERROR(_xll.qlSwapRateHelperSpread($D41)),IF(ISERROR(_xll.qlFuturesRateHelperConvexityAdjustment($D41)),"--",_xll.qlFuturesRateHelperConvexityAdjustment($D41)),_xll.qlSwapRateHelperSpread($D41))</f>
        <v>0</v>
      </c>
      <c r="G41" s="9">
        <f>_xll.qlRateHelperEarliestDate($D41)</f>
        <v>41793</v>
      </c>
      <c r="H41" s="8">
        <f>_xll.qlRateHelperLatestDate($D41)</f>
        <v>52751</v>
      </c>
      <c r="I41" s="3">
        <v>0.49237241470080362</v>
      </c>
    </row>
    <row r="42" spans="4:9" x14ac:dyDescent="0.2">
      <c r="D42" s="11" t="str">
        <v>EUR_YC6MRH_AB6E35Y</v>
      </c>
      <c r="E42" s="10">
        <f>_xll.qlRateHelperRate($D42)</f>
        <v>2.3140000000000001E-2</v>
      </c>
      <c r="F42" s="10">
        <f>IF(ISERROR(_xll.qlSwapRateHelperSpread($D42)),IF(ISERROR(_xll.qlFuturesRateHelperConvexityAdjustment($D42)),"--",_xll.qlFuturesRateHelperConvexityAdjustment($D42)),_xll.qlSwapRateHelperSpread($D42))</f>
        <v>0</v>
      </c>
      <c r="G42" s="9">
        <f>_xll.qlRateHelperEarliestDate($D42)</f>
        <v>41793</v>
      </c>
      <c r="H42" s="8">
        <f>_xll.qlRateHelperLatestDate($D42)</f>
        <v>54577</v>
      </c>
      <c r="I42" s="3">
        <v>0.43710776019196851</v>
      </c>
    </row>
    <row r="43" spans="4:9" x14ac:dyDescent="0.2">
      <c r="D43" s="11" t="str">
        <v>EUR_YC6MRH_AB6E40Y</v>
      </c>
      <c r="E43" s="10">
        <f>_xll.qlRateHelperRate($D43)</f>
        <v>2.3250000000000003E-2</v>
      </c>
      <c r="F43" s="10">
        <f>IF(ISERROR(_xll.qlSwapRateHelperSpread($D43)),IF(ISERROR(_xll.qlFuturesRateHelperConvexityAdjustment($D43)),"--",_xll.qlFuturesRateHelperConvexityAdjustment($D43)),_xll.qlSwapRateHelperSpread($D43))</f>
        <v>0</v>
      </c>
      <c r="G43" s="9">
        <f>_xll.qlRateHelperEarliestDate($D43)</f>
        <v>41793</v>
      </c>
      <c r="H43" s="8">
        <f>_xll.qlRateHelperLatestDate($D43)</f>
        <v>56403</v>
      </c>
      <c r="I43" s="3">
        <v>0.38719296157976074</v>
      </c>
    </row>
    <row r="44" spans="4:9" x14ac:dyDescent="0.2">
      <c r="D44" s="11" t="str">
        <v>EUR_YC6MRH_AB6E50Y</v>
      </c>
      <c r="E44" s="10">
        <f>_xll.qlRateHelperRate($D44)</f>
        <v>2.3269999999999999E-2</v>
      </c>
      <c r="F44" s="10">
        <f>IF(ISERROR(_xll.qlSwapRateHelperSpread($D44)),IF(ISERROR(_xll.qlFuturesRateHelperConvexityAdjustment($D44)),"--",_xll.qlFuturesRateHelperConvexityAdjustment($D44)),_xll.qlSwapRateHelperSpread($D44))</f>
        <v>0</v>
      </c>
      <c r="G44" s="9">
        <f>_xll.qlRateHelperEarliestDate($D44)</f>
        <v>41793</v>
      </c>
      <c r="H44" s="8">
        <f>_xll.qlRateHelperLatestDate($D44)</f>
        <v>60056</v>
      </c>
      <c r="I44" s="3">
        <v>0.30718283701817573</v>
      </c>
    </row>
    <row r="45" spans="4:9" x14ac:dyDescent="0.2">
      <c r="D45" s="11" t="str">
        <v>EUR_YC6MRH_AB6E60Y</v>
      </c>
      <c r="E45" s="10">
        <f>_xll.qlRateHelperRate($D45)</f>
        <v>2.3399999999999997E-2</v>
      </c>
      <c r="F45" s="10">
        <f>IF(ISERROR(_xll.qlSwapRateHelperSpread($D45)),IF(ISERROR(_xll.qlFuturesRateHelperConvexityAdjustment($D45)),"--",_xll.qlFuturesRateHelperConvexityAdjustment($D45)),_xll.qlSwapRateHelperSpread($D45))</f>
        <v>0</v>
      </c>
      <c r="G45" s="9">
        <f>_xll.qlRateHelperEarliestDate($D45)</f>
        <v>41793</v>
      </c>
      <c r="H45" s="8">
        <f>_xll.qlRateHelperLatestDate($D45)</f>
        <v>63709</v>
      </c>
      <c r="I45" s="3">
        <v>0.24031371112693273</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EUR_YC6MRH_SND#0000</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EUR_YC6MRH_SWD#0000</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EUR_YC6MRH_2WD#0000</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EUR_YC6MRH_3WD#0000</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EUR_YC6MRH_1MD#0000</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EUR_YC6MRH_2MD#0000</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EUR_YC6MRH_3MD#0000</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EUR_YC6MRH_4MD#0000</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EUR_YC6MRH_5MD#0000</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EUR_YC6MRH_6MD#0000</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EUR_YC6MRH_T6F1#0000</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EUR_YC6MRH_TOM6F1#0000</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EUR_YC6MRH_1x7F#0000</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EUR_YC6MRH_2x8F#0000</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EUR_YC6MRH_3x9F#0000</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EUR_YC6MRH_4x10F#0000</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EUR_YC6MRH_5x11F#0000</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EUR_YC6MRH_6x12F#0000</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EUR_YC6MRH_7x13F#0000</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EUR_YC6MRH_8x14F#0000</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EUR_YC6MRH_9x15F#0000</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EUR_YC6MRH_10x16F#0000</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EUR_YC6MRH_11x17F#0000</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EUR_YC6MRH_12x18F#0000</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EUR_YC6MRH_13x19F#0000</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EUR_YC6MRH_14x20F#0000</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EUR_YC6MRH_15x21F#0000</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EUR_YC6MRH_16x22F#0000</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EUR_YC6MRH_17x23F#0000</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EUR_YC6MRH_18x24F#0000</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workbookViewId="0"/>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EUR_YC6MRH_AB6E_ibor6M#0000</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EUR_YC6MRH_AB6E1Y#0000</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EUR_YC6MRH_AB6E15M#0000</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EUR_YC6MRH_AB6E18M#0000</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EUR_YC6MRH_AB6E21M#0000</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EUR_YC6MRH_AB6E2Y#0000</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EUR_YC6MRH_AB6E3Y#0000</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EUR_YC6MRH_AB6E4Y#0000</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EUR_YC6MRH_AB6E5Y#0000</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EUR_YC6MRH_AB6E6Y#0000</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EUR_YC6MRH_AB6E7Y#0000</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EUR_YC6MRH_AB6E8Y#0000</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EUR_YC6MRH_AB6E9Y#0000</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EUR_YC6MRH_AB6E10Y#0000</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EUR_YC6MRH_AB6E11Y#0000</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EUR_YC6MRH_AB6E12Y#0000</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EUR_YC6MRH_AB6E13Y#0000</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EUR_YC6MRH_AB6E14Y#0000</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EUR_YC6MRH_AB6E15Y#0000</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EUR_YC6MRH_AB6E16Y#0000</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EUR_YC6MRH_AB6E17Y#0000</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EUR_YC6MRH_AB6E18Y#0000</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EUR_YC6MRH_AB6E19Y#0000</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EUR_YC6MRH_AB6E20Y#0000</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EUR_YC6MRH_AB6E21Y#0000</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EUR_YC6MRH_AB6E22Y#0000</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EUR_YC6MRH_AB6E23Y#0000</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EUR_YC6MRH_AB6E24Y#0000</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EUR_YC6MRH_AB6E25Y#0000</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EUR_YC6MRH_AB6E26Y#0000</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EUR_YC6MRH_AB6E27Y#0000</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EUR_YC6MRH_AB6E28Y#0000</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EUR_YC6MRH_AB6E29Y#0000</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EUR_YC6MRH_AB6E30Y#0000</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EUR_YC6MRH_AB6E35Y#0000</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EUR_YC6MRH_AB6E40Y#0000</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EUR_YC6MRH_AB6E50Y#0000</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EUR_YC6MRH_AB6E60Y#0000</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553"/>
  <sheetViews>
    <sheetView topLeftCell="A17" workbookViewId="0">
      <selection activeCell="J20" sqref="J20"/>
    </sheetView>
  </sheetViews>
  <sheetFormatPr defaultRowHeight="11.25" outlineLevelRow="1" outlineLevelCol="1" x14ac:dyDescent="0.2"/>
  <cols>
    <col min="1" max="1" width="7.7109375" style="64" customWidth="1"/>
    <col min="2" max="2" width="6" style="223" bestFit="1" customWidth="1"/>
    <col min="3" max="3" width="17.28515625" style="223" bestFit="1" customWidth="1"/>
    <col min="4" max="4" width="7" style="64" bestFit="1" customWidth="1"/>
    <col min="5" max="5" width="17.28515625" style="64" bestFit="1" customWidth="1"/>
    <col min="6" max="6" width="11" style="223" bestFit="1" customWidth="1"/>
    <col min="7" max="7" width="7.28515625" style="223" customWidth="1"/>
    <col min="8" max="8" width="10.140625" style="223" customWidth="1"/>
    <col min="9" max="9" width="11.42578125" style="223" customWidth="1"/>
    <col min="10" max="10" width="15.7109375" style="223" customWidth="1"/>
    <col min="11" max="11" width="13.5703125" style="223" customWidth="1"/>
    <col min="12" max="12" width="19.28515625" style="64" bestFit="1" customWidth="1"/>
    <col min="13" max="13" width="17.28515625" style="64" bestFit="1" customWidth="1"/>
    <col min="14" max="14" width="12" style="64" bestFit="1" customWidth="1"/>
    <col min="15" max="15" width="6" style="64" hidden="1" customWidth="1" outlineLevel="1"/>
    <col min="16" max="16" width="17.28515625" style="64" hidden="1" customWidth="1" outlineLevel="1"/>
    <col min="17" max="17" width="15.140625" style="64" hidden="1" customWidth="1" outlineLevel="1"/>
    <col min="18" max="18" width="16.140625" style="215" bestFit="1" customWidth="1" collapsed="1"/>
    <col min="19" max="19" width="10" style="64" bestFit="1" customWidth="1"/>
    <col min="20" max="20" width="3.7109375" style="64" customWidth="1"/>
    <col min="21" max="21" width="19.28515625" style="64" customWidth="1"/>
    <col min="22" max="23" width="17.28515625" style="64" bestFit="1" customWidth="1"/>
    <col min="24" max="25" width="15.140625" style="64" bestFit="1" customWidth="1"/>
    <col min="26" max="26" width="22.42578125" style="64" bestFit="1" customWidth="1"/>
    <col min="27" max="27" width="13.140625" style="64" bestFit="1" customWidth="1"/>
    <col min="28" max="16384" width="9.140625" style="64"/>
  </cols>
  <sheetData>
    <row r="1" spans="1:26" s="223" customFormat="1" ht="11.25" hidden="1" customHeight="1" outlineLevel="1" thickBot="1" x14ac:dyDescent="0.25">
      <c r="A1" s="261"/>
      <c r="B1" s="247" t="s">
        <v>179</v>
      </c>
      <c r="C1" s="246"/>
      <c r="D1" s="246"/>
      <c r="E1" s="246"/>
      <c r="F1" s="246"/>
      <c r="G1" s="247" t="s">
        <v>180</v>
      </c>
      <c r="H1" s="246"/>
      <c r="I1" s="248"/>
    </row>
    <row r="2" spans="1:26" ht="11.25" hidden="1" customHeight="1" outlineLevel="1" thickBot="1" x14ac:dyDescent="0.25">
      <c r="A2" s="262"/>
      <c r="B2" s="245" t="s">
        <v>174</v>
      </c>
      <c r="C2" s="245" t="s">
        <v>176</v>
      </c>
      <c r="D2" s="245" t="s">
        <v>100</v>
      </c>
      <c r="E2" s="245" t="s">
        <v>177</v>
      </c>
      <c r="F2" s="249" t="s">
        <v>178</v>
      </c>
      <c r="G2" s="245" t="s">
        <v>176</v>
      </c>
      <c r="H2" s="245" t="s">
        <v>177</v>
      </c>
      <c r="I2" s="249" t="s">
        <v>178</v>
      </c>
    </row>
    <row r="3" spans="1:26" ht="11.25" hidden="1" customHeight="1" outlineLevel="1" x14ac:dyDescent="0.2">
      <c r="A3" s="267"/>
      <c r="B3" s="263" t="str">
        <f>_xll.qlPeriodEquivalent(D3&amp;"M")</f>
        <v>1Y</v>
      </c>
      <c r="C3" s="264">
        <f>_xll.qlDateEndOfMonth(EDATE(_xll.qlIMMNextDate(_xll.qlSettingsEvaluationDate(Trigger)-1,TRUE),-3))</f>
        <v>41729</v>
      </c>
      <c r="D3" s="253">
        <v>12</v>
      </c>
      <c r="E3" s="264">
        <f t="shared" ref="E3:E16" si="0">EDATE($W$19,D3)</f>
        <v>42158</v>
      </c>
      <c r="F3" s="256">
        <v>1</v>
      </c>
      <c r="G3" s="257">
        <v>2E-3</v>
      </c>
      <c r="H3" s="254">
        <v>4.4999999999999997E-3</v>
      </c>
      <c r="I3" s="255">
        <v>5.0000000000000001E-4</v>
      </c>
    </row>
    <row r="4" spans="1:26" ht="11.25" hidden="1" customHeight="1" outlineLevel="1" x14ac:dyDescent="0.2">
      <c r="A4" s="268"/>
      <c r="B4" s="265" t="str">
        <f>_xll.qlPeriodEquivalent(D4&amp;"M")</f>
        <v>2Y</v>
      </c>
      <c r="C4" s="266">
        <f>C3</f>
        <v>41729</v>
      </c>
      <c r="D4" s="242">
        <v>24</v>
      </c>
      <c r="E4" s="266">
        <f t="shared" si="0"/>
        <v>42524</v>
      </c>
      <c r="F4" s="258">
        <v>3</v>
      </c>
      <c r="G4" s="259">
        <v>0</v>
      </c>
      <c r="H4" s="243">
        <v>7.4999999999999997E-3</v>
      </c>
      <c r="I4" s="244">
        <v>1E-3</v>
      </c>
    </row>
    <row r="5" spans="1:26" ht="11.25" hidden="1" customHeight="1" outlineLevel="1" x14ac:dyDescent="0.2">
      <c r="A5" s="268"/>
      <c r="B5" s="265" t="str">
        <f>_xll.qlPeriodEquivalent(D5&amp;"M")</f>
        <v>5Y</v>
      </c>
      <c r="C5" s="266">
        <f t="shared" ref="C5:C16" si="1">C4</f>
        <v>41729</v>
      </c>
      <c r="D5" s="242">
        <v>60</v>
      </c>
      <c r="E5" s="266">
        <f t="shared" si="0"/>
        <v>43619</v>
      </c>
      <c r="F5" s="258">
        <v>3</v>
      </c>
      <c r="G5" s="259">
        <v>0</v>
      </c>
      <c r="H5" s="243">
        <v>2.5000000000000001E-2</v>
      </c>
      <c r="I5" s="244">
        <v>5.0000000000000001E-3</v>
      </c>
    </row>
    <row r="6" spans="1:26" ht="11.25" hidden="1" customHeight="1" outlineLevel="1" x14ac:dyDescent="0.2">
      <c r="A6" s="269" t="s">
        <v>175</v>
      </c>
      <c r="B6" s="265" t="str">
        <f>_xll.qlPeriodEquivalent(D6&amp;"M")</f>
        <v>10Y</v>
      </c>
      <c r="C6" s="266">
        <f t="shared" si="1"/>
        <v>41729</v>
      </c>
      <c r="D6" s="242">
        <v>120</v>
      </c>
      <c r="E6" s="266">
        <f t="shared" si="0"/>
        <v>45446</v>
      </c>
      <c r="F6" s="258">
        <v>12</v>
      </c>
      <c r="G6" s="259">
        <v>0</v>
      </c>
      <c r="H6" s="243">
        <v>3.5000000000000003E-2</v>
      </c>
      <c r="I6" s="244">
        <v>5.0000000000000001E-3</v>
      </c>
    </row>
    <row r="7" spans="1:26" ht="11.25" hidden="1" customHeight="1" outlineLevel="1" x14ac:dyDescent="0.2">
      <c r="A7" s="268"/>
      <c r="B7" s="265" t="str">
        <f>_xll.qlPeriodEquivalent(D7&amp;"M")</f>
        <v>20Y</v>
      </c>
      <c r="C7" s="266">
        <f t="shared" si="1"/>
        <v>41729</v>
      </c>
      <c r="D7" s="242">
        <v>240</v>
      </c>
      <c r="E7" s="266">
        <f t="shared" si="0"/>
        <v>49098</v>
      </c>
      <c r="F7" s="260">
        <v>24</v>
      </c>
      <c r="G7" s="259">
        <v>0</v>
      </c>
      <c r="H7" s="243">
        <v>3.5000000000000003E-2</v>
      </c>
      <c r="I7" s="244">
        <v>5.0000000000000001E-3</v>
      </c>
    </row>
    <row r="8" spans="1:26" ht="11.25" hidden="1" customHeight="1" outlineLevel="1" x14ac:dyDescent="0.2">
      <c r="A8" s="268"/>
      <c r="B8" s="265" t="str">
        <f>_xll.qlPeriodEquivalent(D8&amp;"M")</f>
        <v>30Y</v>
      </c>
      <c r="C8" s="266">
        <f t="shared" si="1"/>
        <v>41729</v>
      </c>
      <c r="D8" s="242">
        <v>360</v>
      </c>
      <c r="E8" s="266">
        <f t="shared" si="0"/>
        <v>52751</v>
      </c>
      <c r="F8" s="260">
        <v>36</v>
      </c>
      <c r="G8" s="259">
        <v>0</v>
      </c>
      <c r="H8" s="243">
        <v>3.5000000000000003E-2</v>
      </c>
      <c r="I8" s="244">
        <v>5.0000000000000001E-3</v>
      </c>
    </row>
    <row r="9" spans="1:26" ht="11.25" hidden="1" customHeight="1" outlineLevel="1" thickBot="1" x14ac:dyDescent="0.25">
      <c r="A9" s="268"/>
      <c r="B9" s="265" t="str">
        <f>_xll.qlPeriodEquivalent(D9&amp;"M")</f>
        <v>60Y</v>
      </c>
      <c r="C9" s="266">
        <f t="shared" si="1"/>
        <v>41729</v>
      </c>
      <c r="D9" s="242">
        <v>720</v>
      </c>
      <c r="E9" s="266">
        <f t="shared" si="0"/>
        <v>63708</v>
      </c>
      <c r="F9" s="260">
        <v>36</v>
      </c>
      <c r="G9" s="259">
        <v>0</v>
      </c>
      <c r="H9" s="243">
        <v>3.5000000000000003E-2</v>
      </c>
      <c r="I9" s="244">
        <v>5.0000000000000001E-3</v>
      </c>
      <c r="Z9" s="226"/>
    </row>
    <row r="10" spans="1:26" ht="11.25" hidden="1" customHeight="1" outlineLevel="1" x14ac:dyDescent="0.2">
      <c r="A10" s="267"/>
      <c r="B10" s="263" t="str">
        <f>_xll.qlPeriodEquivalent(D10&amp;"M")</f>
        <v>1Y</v>
      </c>
      <c r="C10" s="264">
        <f t="shared" si="1"/>
        <v>41729</v>
      </c>
      <c r="D10" s="253">
        <v>12</v>
      </c>
      <c r="E10" s="264">
        <f t="shared" si="0"/>
        <v>42158</v>
      </c>
      <c r="F10" s="256">
        <v>1</v>
      </c>
      <c r="G10" s="283">
        <v>0</v>
      </c>
      <c r="H10" s="254">
        <v>8.0000000000000002E-3</v>
      </c>
      <c r="I10" s="255">
        <v>1E-3</v>
      </c>
    </row>
    <row r="11" spans="1:26" ht="11.25" hidden="1" customHeight="1" outlineLevel="1" x14ac:dyDescent="0.2">
      <c r="A11" s="268"/>
      <c r="B11" s="265" t="str">
        <f>_xll.qlPeriodEquivalent(D11&amp;"M")</f>
        <v>2Y</v>
      </c>
      <c r="C11" s="266">
        <f t="shared" si="1"/>
        <v>41729</v>
      </c>
      <c r="D11" s="242">
        <v>24</v>
      </c>
      <c r="E11" s="266">
        <f t="shared" si="0"/>
        <v>42524</v>
      </c>
      <c r="F11" s="258">
        <v>3</v>
      </c>
      <c r="G11" s="259">
        <v>0</v>
      </c>
      <c r="H11" s="243">
        <v>0.01</v>
      </c>
      <c r="I11" s="244">
        <v>1.5E-3</v>
      </c>
    </row>
    <row r="12" spans="1:26" ht="11.25" hidden="1" customHeight="1" outlineLevel="1" x14ac:dyDescent="0.2">
      <c r="A12" s="268"/>
      <c r="B12" s="265" t="str">
        <f>_xll.qlPeriodEquivalent(D12&amp;"M")</f>
        <v>5Y</v>
      </c>
      <c r="C12" s="266">
        <f t="shared" si="1"/>
        <v>41729</v>
      </c>
      <c r="D12" s="242">
        <v>60</v>
      </c>
      <c r="E12" s="266">
        <f t="shared" si="0"/>
        <v>43619</v>
      </c>
      <c r="F12" s="258">
        <v>3</v>
      </c>
      <c r="G12" s="259">
        <v>0</v>
      </c>
      <c r="H12" s="243">
        <v>2.5000000000000001E-2</v>
      </c>
      <c r="I12" s="244">
        <v>5.0000000000000001E-3</v>
      </c>
    </row>
    <row r="13" spans="1:26" ht="11.25" hidden="1" customHeight="1" outlineLevel="1" x14ac:dyDescent="0.2">
      <c r="A13" s="269" t="s">
        <v>159</v>
      </c>
      <c r="B13" s="265" t="str">
        <f>_xll.qlPeriodEquivalent(D13&amp;"M")</f>
        <v>10Y</v>
      </c>
      <c r="C13" s="266">
        <f t="shared" si="1"/>
        <v>41729</v>
      </c>
      <c r="D13" s="242">
        <v>120</v>
      </c>
      <c r="E13" s="266">
        <f t="shared" si="0"/>
        <v>45446</v>
      </c>
      <c r="F13" s="258">
        <v>12</v>
      </c>
      <c r="G13" s="259">
        <v>0</v>
      </c>
      <c r="H13" s="243">
        <v>3.5000000000000003E-2</v>
      </c>
      <c r="I13" s="244">
        <v>5.0000000000000001E-3</v>
      </c>
    </row>
    <row r="14" spans="1:26" ht="11.25" hidden="1" customHeight="1" outlineLevel="1" x14ac:dyDescent="0.2">
      <c r="A14" s="268"/>
      <c r="B14" s="265" t="str">
        <f>_xll.qlPeriodEquivalent(D14&amp;"M")</f>
        <v>20Y</v>
      </c>
      <c r="C14" s="266">
        <f t="shared" si="1"/>
        <v>41729</v>
      </c>
      <c r="D14" s="242">
        <v>240</v>
      </c>
      <c r="E14" s="266">
        <f t="shared" si="0"/>
        <v>49098</v>
      </c>
      <c r="F14" s="260">
        <v>24</v>
      </c>
      <c r="G14" s="259">
        <v>0</v>
      </c>
      <c r="H14" s="243">
        <v>3.5000000000000003E-2</v>
      </c>
      <c r="I14" s="244">
        <v>5.0000000000000001E-3</v>
      </c>
    </row>
    <row r="15" spans="1:26" ht="11.25" hidden="1" customHeight="1" outlineLevel="1" x14ac:dyDescent="0.2">
      <c r="A15" s="268"/>
      <c r="B15" s="265" t="str">
        <f>_xll.qlPeriodEquivalent(D15&amp;"M")</f>
        <v>30Y</v>
      </c>
      <c r="C15" s="266">
        <f t="shared" si="1"/>
        <v>41729</v>
      </c>
      <c r="D15" s="242">
        <v>360</v>
      </c>
      <c r="E15" s="266">
        <f t="shared" si="0"/>
        <v>52751</v>
      </c>
      <c r="F15" s="260">
        <v>36</v>
      </c>
      <c r="G15" s="259">
        <v>0</v>
      </c>
      <c r="H15" s="243">
        <v>3.5000000000000003E-2</v>
      </c>
      <c r="I15" s="244">
        <v>5.0000000000000001E-3</v>
      </c>
      <c r="L15" s="223"/>
      <c r="M15" s="223"/>
      <c r="N15" s="223"/>
      <c r="O15" s="223"/>
      <c r="P15" s="223"/>
      <c r="Q15" s="223"/>
      <c r="R15" s="224"/>
      <c r="S15" s="223"/>
      <c r="T15" s="223"/>
      <c r="X15" s="222" t="s">
        <v>157</v>
      </c>
      <c r="Y15" s="222" t="s">
        <v>158</v>
      </c>
    </row>
    <row r="16" spans="1:26" ht="11.25" hidden="1" customHeight="1" outlineLevel="1" thickBot="1" x14ac:dyDescent="0.25">
      <c r="A16" s="275"/>
      <c r="B16" s="276" t="str">
        <f>_xll.qlPeriodEquivalent(D16&amp;"M")</f>
        <v>60Y</v>
      </c>
      <c r="C16" s="277">
        <f t="shared" si="1"/>
        <v>41729</v>
      </c>
      <c r="D16" s="278">
        <v>720</v>
      </c>
      <c r="E16" s="277">
        <f t="shared" si="0"/>
        <v>63708</v>
      </c>
      <c r="F16" s="279">
        <v>36</v>
      </c>
      <c r="G16" s="280">
        <v>0</v>
      </c>
      <c r="H16" s="281">
        <v>3.5000000000000003E-2</v>
      </c>
      <c r="I16" s="282">
        <v>5.0000000000000001E-3</v>
      </c>
      <c r="T16" s="199"/>
      <c r="X16" s="204" t="str">
        <f>_xll.qlEuribor(,IndexTenor,YieldCurve)</f>
        <v>obj_0072e#0001</v>
      </c>
      <c r="Y16" s="204" t="str">
        <f>_xll.qlEonia(,YieldCurve)</f>
        <v>obj_00721#0001</v>
      </c>
    </row>
    <row r="17" spans="10:25" ht="12" collapsed="1" thickBot="1" x14ac:dyDescent="0.25"/>
    <row r="18" spans="10:25" ht="12" thickBot="1" x14ac:dyDescent="0.25">
      <c r="L18" s="205" t="s">
        <v>162</v>
      </c>
      <c r="M18" s="206" t="s">
        <v>155</v>
      </c>
      <c r="N18" s="206" t="s">
        <v>62</v>
      </c>
      <c r="O18" s="206" t="s">
        <v>169</v>
      </c>
      <c r="P18" s="206" t="s">
        <v>156</v>
      </c>
      <c r="Q18" s="206" t="s">
        <v>181</v>
      </c>
      <c r="R18" s="217" t="s">
        <v>170</v>
      </c>
      <c r="S18" s="222" t="s">
        <v>172</v>
      </c>
      <c r="U18" s="238" t="s">
        <v>163</v>
      </c>
      <c r="V18" s="239" t="s">
        <v>156</v>
      </c>
      <c r="W18" s="239" t="s">
        <v>155</v>
      </c>
      <c r="X18" s="240" t="s">
        <v>160</v>
      </c>
      <c r="Y18" s="241" t="s">
        <v>159</v>
      </c>
    </row>
    <row r="19" spans="10:25" ht="12" thickBot="1" x14ac:dyDescent="0.25">
      <c r="J19" s="236" t="s">
        <v>173</v>
      </c>
      <c r="L19" s="207" t="str">
        <f t="array" ref="L19:L36">_xll.ohFilter(RateHelpers!E14:E31,RateHelpers!N14:N31)</f>
        <v>EUR_YC6MRH_1x7F</v>
      </c>
      <c r="M19" s="203">
        <f>_xll.qlRateHelperEarliestDate(L19,Trigger)</f>
        <v>41823</v>
      </c>
      <c r="N19" s="270">
        <f>_xll.qlRateHelperQuoteValue(L19,_xll.ohTrigger(RecalcTrigger,Trigger))</f>
        <v>3.2999999999999995E-3</v>
      </c>
      <c r="O19" s="270" t="e">
        <f>NA()</f>
        <v>#N/A</v>
      </c>
      <c r="P19" s="203">
        <f>_xll.qlInterestRateIndexFixingDate(IborIndex,M19,_xll.ohTrigger(RecalcTrigger,Trigger))</f>
        <v>41821</v>
      </c>
      <c r="Q19" s="270">
        <f>_xll.qlIndexFixing(IborIndex,P19,TRUE,RecalcTrigger)</f>
        <v>3.3000000000014199E-3</v>
      </c>
      <c r="R19" s="271">
        <f>Q19-N19</f>
        <v>1.4203048459560108E-15</v>
      </c>
      <c r="S19" s="274">
        <f t="array" ref="S19">MAX(ABS(R19:R36))</f>
        <v>1.0677396466984845E-13</v>
      </c>
      <c r="U19" s="213" t="s">
        <v>125</v>
      </c>
      <c r="V19" s="225">
        <f>_xll.qlSettingsEvaluationDate(Trigger)</f>
        <v>41789</v>
      </c>
      <c r="W19" s="225">
        <f>_xll.qlCalendarAdvance(Calendar,V19,NDays&amp;"D")</f>
        <v>41793</v>
      </c>
      <c r="X19" s="200">
        <f t="array" ref="X19:X3552">IFERROR(_xll.qlIndexFixing(IborIndex,V19:V3552,TRUE,RecalcTrigger),NA())</f>
        <v>3.8705619859355548E-3</v>
      </c>
      <c r="Y19" s="209">
        <f t="array" ref="Y19:Y3552">IFERROR(_xll.qlIndexFixing(OverNightIndex,W19:W3552,TRUE,RecalcTrigger),NA())</f>
        <v>7.3020000000134644E-3</v>
      </c>
    </row>
    <row r="20" spans="10:25" ht="12" thickBot="1" x14ac:dyDescent="0.25">
      <c r="J20" s="250"/>
      <c r="L20" s="208" t="str">
        <v>EUR_YC6MRH_2x8F</v>
      </c>
      <c r="M20" s="201">
        <f>_xll.qlRateHelperEarliestDate(L20,Trigger)</f>
        <v>41855</v>
      </c>
      <c r="N20" s="200">
        <f>_xll.qlRateHelperQuoteValue(L20,_xll.ohTrigger(RecalcTrigger,Trigger))</f>
        <v>3.1700000000000001E-3</v>
      </c>
      <c r="O20" s="200" t="e">
        <f>NA()</f>
        <v>#N/A</v>
      </c>
      <c r="P20" s="201">
        <f>_xll.qlInterestRateIndexFixingDate(IborIndex,M20,_xll.ohTrigger(RecalcTrigger,Trigger))</f>
        <v>41851</v>
      </c>
      <c r="Q20" s="200">
        <f>_xll.qlIndexFixing(IborIndex,P20,TRUE,RecalcTrigger)</f>
        <v>3.170000000000262E-3</v>
      </c>
      <c r="R20" s="272">
        <f t="shared" ref="R20:R36" si="2">Q20-N20</f>
        <v>2.6194324487249787E-16</v>
      </c>
      <c r="U20" s="213" t="str">
        <f>U19</f>
        <v>1D</v>
      </c>
      <c r="V20" s="201">
        <f>_xll.qlCalendarAdvance(Calendar,V19,U20,"f",FALSE)</f>
        <v>41792</v>
      </c>
      <c r="W20" s="225">
        <f>_xll.qlCalendarAdvance(Calendar,V20,NDays&amp;"D")</f>
        <v>41794</v>
      </c>
      <c r="X20" s="200">
        <v>3.8394869568649393E-3</v>
      </c>
      <c r="Y20" s="209">
        <v>7.1759188017317399E-3</v>
      </c>
    </row>
    <row r="21" spans="10:25" x14ac:dyDescent="0.2">
      <c r="L21" s="208" t="str">
        <v>EUR_YC6MRH_3x9F</v>
      </c>
      <c r="M21" s="201">
        <f>_xll.qlRateHelperEarliestDate(L21,Trigger)</f>
        <v>41885</v>
      </c>
      <c r="N21" s="200">
        <f>_xll.qlRateHelperQuoteValue(L21,_xll.ohTrigger(RecalcTrigger,Trigger))</f>
        <v>3.0400000000000006E-3</v>
      </c>
      <c r="O21" s="200" t="e">
        <f>NA()</f>
        <v>#N/A</v>
      </c>
      <c r="P21" s="201">
        <f>_xll.qlInterestRateIndexFixingDate(IborIndex,M21,_xll.ohTrigger(RecalcTrigger,Trigger))</f>
        <v>41883</v>
      </c>
      <c r="Q21" s="200">
        <f>_xll.qlIndexFixing(IborIndex,P21,TRUE,RecalcTrigger)</f>
        <v>3.0400000000002187E-3</v>
      </c>
      <c r="R21" s="272">
        <f t="shared" si="2"/>
        <v>2.1814147710408349E-16</v>
      </c>
      <c r="U21" s="213" t="str">
        <f t="shared" ref="U21:U84" si="3">U20</f>
        <v>1D</v>
      </c>
      <c r="V21" s="201">
        <f>_xll.qlCalendarAdvance(Calendar,V20,U21,"f",FALSE)</f>
        <v>41793</v>
      </c>
      <c r="W21" s="225">
        <f>_xll.qlCalendarAdvance(Calendar,V21,NDays&amp;"D")</f>
        <v>41795</v>
      </c>
      <c r="X21" s="200">
        <v>3.8091612136604636E-3</v>
      </c>
      <c r="Y21" s="209">
        <v>7.0300256654398652E-3</v>
      </c>
    </row>
    <row r="22" spans="10:25" x14ac:dyDescent="0.2">
      <c r="L22" s="208" t="str">
        <v>EUR_YC6MRH_4x10F</v>
      </c>
      <c r="M22" s="201">
        <f>_xll.qlRateHelperEarliestDate(L22,Trigger)</f>
        <v>41915</v>
      </c>
      <c r="N22" s="200">
        <f>_xll.qlRateHelperQuoteValue(L22,_xll.ohTrigger(RecalcTrigger,Trigger))</f>
        <v>2.9500000000000004E-3</v>
      </c>
      <c r="O22" s="200" t="e">
        <f>NA()</f>
        <v>#N/A</v>
      </c>
      <c r="P22" s="201">
        <f>_xll.qlInterestRateIndexFixingDate(IborIndex,M22,_xll.ohTrigger(RecalcTrigger,Trigger))</f>
        <v>41913</v>
      </c>
      <c r="Q22" s="200">
        <f>_xll.qlIndexFixing(IborIndex,P22,TRUE,RecalcTrigger)</f>
        <v>2.9499999999997714E-3</v>
      </c>
      <c r="R22" s="272">
        <f t="shared" si="2"/>
        <v>-2.2898349882893854E-16</v>
      </c>
      <c r="U22" s="213" t="str">
        <f t="shared" si="3"/>
        <v>1D</v>
      </c>
      <c r="V22" s="201">
        <f>_xll.qlCalendarAdvance(Calendar,V21,U22,"f",FALSE)</f>
        <v>41794</v>
      </c>
      <c r="W22" s="225">
        <f>_xll.qlCalendarAdvance(Calendar,V22,NDays&amp;"D")</f>
        <v>41796</v>
      </c>
      <c r="X22" s="200">
        <v>3.7569950851027707E-3</v>
      </c>
      <c r="Y22" s="209">
        <v>6.7608842002719882E-3</v>
      </c>
    </row>
    <row r="23" spans="10:25" x14ac:dyDescent="0.2">
      <c r="L23" s="208" t="str">
        <v>EUR_YC6MRH_5x11F</v>
      </c>
      <c r="M23" s="201">
        <f>_xll.qlRateHelperEarliestDate(L23,Trigger)</f>
        <v>41946</v>
      </c>
      <c r="N23" s="200">
        <f>_xll.qlRateHelperQuoteValue(L23,_xll.ohTrigger(RecalcTrigger,Trigger))</f>
        <v>2.9200000000000003E-3</v>
      </c>
      <c r="O23" s="200" t="e">
        <f>NA()</f>
        <v>#N/A</v>
      </c>
      <c r="P23" s="201">
        <f>_xll.qlInterestRateIndexFixingDate(IborIndex,M23,_xll.ohTrigger(RecalcTrigger,Trigger))</f>
        <v>41942</v>
      </c>
      <c r="Q23" s="200">
        <f>_xll.qlIndexFixing(IborIndex,P23,TRUE,RecalcTrigger)</f>
        <v>2.919999999999541E-3</v>
      </c>
      <c r="R23" s="272">
        <f t="shared" si="2"/>
        <v>-4.5926804026485968E-16</v>
      </c>
      <c r="U23" s="213" t="str">
        <f t="shared" si="3"/>
        <v>1D</v>
      </c>
      <c r="V23" s="201">
        <f>_xll.qlCalendarAdvance(Calendar,V22,U23,"f",FALSE)</f>
        <v>41795</v>
      </c>
      <c r="W23" s="225">
        <f>_xll.qlCalendarAdvance(Calendar,V23,NDays&amp;"D")</f>
        <v>41799</v>
      </c>
      <c r="X23" s="200">
        <v>3.6963536220402022E-3</v>
      </c>
      <c r="Y23" s="209">
        <v>6.5140066500823934E-3</v>
      </c>
    </row>
    <row r="24" spans="10:25" x14ac:dyDescent="0.2">
      <c r="L24" s="208" t="str">
        <v>EUR_YC6MRH_6x12F</v>
      </c>
      <c r="M24" s="201">
        <f>_xll.qlRateHelperEarliestDate(L24,Trigger)</f>
        <v>41976</v>
      </c>
      <c r="N24" s="200">
        <f>_xll.qlRateHelperQuoteValue(L24,_xll.ohTrigger(RecalcTrigger,Trigger))</f>
        <v>2.9100000000000003E-3</v>
      </c>
      <c r="O24" s="200" t="e">
        <f>NA()</f>
        <v>#N/A</v>
      </c>
      <c r="P24" s="201">
        <f>_xll.qlInterestRateIndexFixingDate(IborIndex,M24,_xll.ohTrigger(RecalcTrigger,Trigger))</f>
        <v>41974</v>
      </c>
      <c r="Q24" s="200">
        <f>_xll.qlIndexFixing(IborIndex,P24,TRUE,RecalcTrigger)</f>
        <v>2.9100000001067742E-3</v>
      </c>
      <c r="R24" s="272">
        <f t="shared" si="2"/>
        <v>1.0677396466984845E-13</v>
      </c>
      <c r="U24" s="213" t="str">
        <f t="shared" si="3"/>
        <v>1D</v>
      </c>
      <c r="V24" s="201">
        <f>_xll.qlCalendarAdvance(Calendar,V23,U24,"f",FALSE)</f>
        <v>41796</v>
      </c>
      <c r="W24" s="225">
        <f>_xll.qlCalendarAdvance(Calendar,V24,NDays&amp;"D")</f>
        <v>41800</v>
      </c>
      <c r="X24" s="200">
        <v>3.6701625730812888E-3</v>
      </c>
      <c r="Y24" s="209">
        <v>6.3992027734371959E-3</v>
      </c>
    </row>
    <row r="25" spans="10:25" x14ac:dyDescent="0.2">
      <c r="L25" s="208" t="str">
        <v>EUR_YC6MRH_7x13F</v>
      </c>
      <c r="M25" s="201">
        <f>_xll.qlRateHelperEarliestDate(L25,Trigger)</f>
        <v>42009</v>
      </c>
      <c r="N25" s="200">
        <f>_xll.qlRateHelperQuoteValue(L25,_xll.ohTrigger(RecalcTrigger,Trigger))</f>
        <v>2.9300000000000003E-3</v>
      </c>
      <c r="O25" s="200" t="e">
        <f>NA()</f>
        <v>#N/A</v>
      </c>
      <c r="P25" s="201">
        <f>_xll.qlInterestRateIndexFixingDate(IborIndex,M25,_xll.ohTrigger(RecalcTrigger,Trigger))</f>
        <v>42004</v>
      </c>
      <c r="Q25" s="200">
        <f>_xll.qlIndexFixing(IborIndex,P25,TRUE,RecalcTrigger)</f>
        <v>2.929999999999914E-3</v>
      </c>
      <c r="R25" s="272">
        <f t="shared" si="2"/>
        <v>-8.6302492929846153E-17</v>
      </c>
      <c r="U25" s="213" t="str">
        <f t="shared" si="3"/>
        <v>1D</v>
      </c>
      <c r="V25" s="201">
        <f>_xll.qlCalendarAdvance(Calendar,V24,U25,"f",FALSE)</f>
        <v>41799</v>
      </c>
      <c r="W25" s="225">
        <f>_xll.qlCalendarAdvance(Calendar,V25,NDays&amp;"D")</f>
        <v>41801</v>
      </c>
      <c r="X25" s="200">
        <v>3.6447453856327675E-3</v>
      </c>
      <c r="Y25" s="209">
        <v>6.2777168830496777E-3</v>
      </c>
    </row>
    <row r="26" spans="10:25" x14ac:dyDescent="0.2">
      <c r="L26" s="208" t="str">
        <v>EUR_YC6MRH_8x14F</v>
      </c>
      <c r="M26" s="201">
        <f>_xll.qlRateHelperEarliestDate(L26,Trigger)</f>
        <v>42038</v>
      </c>
      <c r="N26" s="200">
        <f>_xll.qlRateHelperQuoteValue(L26,_xll.ohTrigger(RecalcTrigger,Trigger))</f>
        <v>2.9400000000000003E-3</v>
      </c>
      <c r="O26" s="200" t="e">
        <f>NA()</f>
        <v>#N/A</v>
      </c>
      <c r="P26" s="201">
        <f>_xll.qlInterestRateIndexFixingDate(IborIndex,M26,_xll.ohTrigger(RecalcTrigger,Trigger))</f>
        <v>42034</v>
      </c>
      <c r="Q26" s="200">
        <f>_xll.qlIndexFixing(IborIndex,P26,TRUE,RecalcTrigger)</f>
        <v>2.9399999999971346E-3</v>
      </c>
      <c r="R26" s="272">
        <f t="shared" si="2"/>
        <v>-2.8657631823136853E-15</v>
      </c>
      <c r="U26" s="213" t="str">
        <f t="shared" si="3"/>
        <v>1D</v>
      </c>
      <c r="V26" s="201">
        <f>_xll.qlCalendarAdvance(Calendar,V25,U26,"f",FALSE)</f>
        <v>41800</v>
      </c>
      <c r="W26" s="225">
        <f>_xll.qlCalendarAdvance(Calendar,V26,NDays&amp;"D")</f>
        <v>41802</v>
      </c>
      <c r="X26" s="200">
        <v>3.6201530294515775E-3</v>
      </c>
      <c r="Y26" s="209">
        <v>6.1468615185056308E-3</v>
      </c>
    </row>
    <row r="27" spans="10:25" x14ac:dyDescent="0.2">
      <c r="L27" s="208" t="str">
        <v>EUR_YC6MRH_9x15F</v>
      </c>
      <c r="M27" s="201">
        <f>_xll.qlRateHelperEarliestDate(L27,Trigger)</f>
        <v>42066</v>
      </c>
      <c r="N27" s="200">
        <f>_xll.qlRateHelperQuoteValue(L27,_xll.ohTrigger(RecalcTrigger,Trigger))</f>
        <v>2.9900000000000005E-3</v>
      </c>
      <c r="O27" s="200" t="e">
        <f>NA()</f>
        <v>#N/A</v>
      </c>
      <c r="P27" s="201">
        <f>_xll.qlInterestRateIndexFixingDate(IborIndex,M27,_xll.ohTrigger(RecalcTrigger,Trigger))</f>
        <v>42062</v>
      </c>
      <c r="Q27" s="200">
        <f>_xll.qlIndexFixing(IborIndex,P27,TRUE,RecalcTrigger)</f>
        <v>2.9900000000002993E-3</v>
      </c>
      <c r="R27" s="272">
        <f t="shared" si="2"/>
        <v>2.9880611873700502E-16</v>
      </c>
      <c r="U27" s="213" t="str">
        <f t="shared" si="3"/>
        <v>1D</v>
      </c>
      <c r="V27" s="201">
        <f>_xll.qlCalendarAdvance(Calendar,V26,U27,"f",FALSE)</f>
        <v>41801</v>
      </c>
      <c r="W27" s="225">
        <f>_xll.qlCalendarAdvance(Calendar,V27,NDays&amp;"D")</f>
        <v>41803</v>
      </c>
      <c r="X27" s="200">
        <v>3.5778262535366427E-3</v>
      </c>
      <c r="Y27" s="209">
        <v>5.8540144300600616E-3</v>
      </c>
    </row>
    <row r="28" spans="10:25" x14ac:dyDescent="0.2">
      <c r="L28" s="208" t="str">
        <v>EUR_YC6MRH_10x16F</v>
      </c>
      <c r="M28" s="201">
        <f>_xll.qlRateHelperEarliestDate(L28,Trigger)</f>
        <v>42101</v>
      </c>
      <c r="N28" s="200">
        <f>_xll.qlRateHelperQuoteValue(L28,_xll.ohTrigger(RecalcTrigger,Trigger))</f>
        <v>3.0600000000000007E-3</v>
      </c>
      <c r="O28" s="200" t="e">
        <f>NA()</f>
        <v>#N/A</v>
      </c>
      <c r="P28" s="201">
        <f>_xll.qlInterestRateIndexFixingDate(IborIndex,M28,_xll.ohTrigger(RecalcTrigger,Trigger))</f>
        <v>42095</v>
      </c>
      <c r="Q28" s="200">
        <f>_xll.qlIndexFixing(IborIndex,P28,TRUE,RecalcTrigger)</f>
        <v>3.0599999999996481E-3</v>
      </c>
      <c r="R28" s="272">
        <f t="shared" si="2"/>
        <v>-3.5258254649228604E-16</v>
      </c>
      <c r="U28" s="213" t="str">
        <f t="shared" si="3"/>
        <v>1D</v>
      </c>
      <c r="V28" s="201">
        <f>_xll.qlCalendarAdvance(Calendar,V27,U28,"f",FALSE)</f>
        <v>41802</v>
      </c>
      <c r="W28" s="225">
        <f>_xll.qlCalendarAdvance(Calendar,V28,NDays&amp;"D")</f>
        <v>41806</v>
      </c>
      <c r="X28" s="200">
        <v>3.5313454974151637E-3</v>
      </c>
      <c r="Y28" s="209">
        <v>5.5297455346714486E-3</v>
      </c>
    </row>
    <row r="29" spans="10:25" x14ac:dyDescent="0.2">
      <c r="L29" s="208" t="str">
        <v>EUR_YC6MRH_11x17F</v>
      </c>
      <c r="M29" s="201">
        <f>_xll.qlRateHelperEarliestDate(L29,Trigger)</f>
        <v>42128</v>
      </c>
      <c r="N29" s="200">
        <f>_xll.qlRateHelperQuoteValue(L29,_xll.ohTrigger(RecalcTrigger,Trigger))</f>
        <v>3.13E-3</v>
      </c>
      <c r="O29" s="200" t="e">
        <f>NA()</f>
        <v>#N/A</v>
      </c>
      <c r="P29" s="201">
        <f>_xll.qlInterestRateIndexFixingDate(IborIndex,M29,_xll.ohTrigger(RecalcTrigger,Trigger))</f>
        <v>42123</v>
      </c>
      <c r="Q29" s="200">
        <f>_xll.qlIndexFixing(IborIndex,P29,TRUE,RecalcTrigger)</f>
        <v>3.1300000000001739E-3</v>
      </c>
      <c r="R29" s="272">
        <f t="shared" si="2"/>
        <v>1.7390602846667491E-16</v>
      </c>
      <c r="U29" s="213" t="str">
        <f t="shared" si="3"/>
        <v>1D</v>
      </c>
      <c r="V29" s="201">
        <f>_xll.qlCalendarAdvance(Calendar,V28,U29,"f",FALSE)</f>
        <v>41803</v>
      </c>
      <c r="W29" s="225">
        <f>_xll.qlCalendarAdvance(Calendar,V29,NDays&amp;"D")</f>
        <v>41807</v>
      </c>
      <c r="X29" s="200">
        <v>3.5118624683282804E-3</v>
      </c>
      <c r="Y29" s="209">
        <v>5.3575236741387755E-3</v>
      </c>
    </row>
    <row r="30" spans="10:25" x14ac:dyDescent="0.2">
      <c r="L30" s="208" t="str">
        <v>EUR_YC6MRH_12x18F</v>
      </c>
      <c r="M30" s="201">
        <f>_xll.qlRateHelperEarliestDate(L30,Trigger)</f>
        <v>42158</v>
      </c>
      <c r="N30" s="200">
        <f>_xll.qlRateHelperQuoteValue(L30,_xll.ohTrigger(RecalcTrigger,Trigger))</f>
        <v>3.2099999999999993E-3</v>
      </c>
      <c r="O30" s="200" t="e">
        <f>NA()</f>
        <v>#N/A</v>
      </c>
      <c r="P30" s="201">
        <f>_xll.qlInterestRateIndexFixingDate(IborIndex,M30,_xll.ohTrigger(RecalcTrigger,Trigger))</f>
        <v>42156</v>
      </c>
      <c r="Q30" s="200">
        <f>_xll.qlIndexFixing(IborIndex,P30,TRUE,RecalcTrigger)</f>
        <v>3.2100000000000847E-3</v>
      </c>
      <c r="R30" s="272">
        <f t="shared" si="2"/>
        <v>8.5435131191857749E-17</v>
      </c>
      <c r="U30" s="213" t="str">
        <f t="shared" si="3"/>
        <v>1D</v>
      </c>
      <c r="V30" s="201">
        <f>_xll.qlCalendarAdvance(Calendar,V29,U30,"f",FALSE)</f>
        <v>41806</v>
      </c>
      <c r="W30" s="225">
        <f>_xll.qlCalendarAdvance(Calendar,V30,NDays&amp;"D")</f>
        <v>41808</v>
      </c>
      <c r="X30" s="200">
        <v>3.4935683273607148E-3</v>
      </c>
      <c r="Y30" s="209">
        <v>5.203335926848851E-3</v>
      </c>
    </row>
    <row r="31" spans="10:25" x14ac:dyDescent="0.2">
      <c r="L31" s="208" t="str">
        <v>EUR_YC6MRH_13x19F</v>
      </c>
      <c r="M31" s="201">
        <f>_xll.qlRateHelperEarliestDate(L31,Trigger)</f>
        <v>42188</v>
      </c>
      <c r="N31" s="200">
        <f>_xll.qlRateHelperQuoteValue(L31,_xll.ohTrigger(RecalcTrigger,Trigger))</f>
        <v>3.2999999999999995E-3</v>
      </c>
      <c r="O31" s="200" t="e">
        <f>NA()</f>
        <v>#N/A</v>
      </c>
      <c r="P31" s="201">
        <f>_xll.qlInterestRateIndexFixingDate(IborIndex,M31,_xll.ohTrigger(RecalcTrigger,Trigger))</f>
        <v>42186</v>
      </c>
      <c r="Q31" s="200">
        <f>_xll.qlIndexFixing(IborIndex,P31,TRUE,RecalcTrigger)</f>
        <v>3.3000000000188109E-3</v>
      </c>
      <c r="R31" s="272">
        <f t="shared" si="2"/>
        <v>1.8811341373492496E-14</v>
      </c>
      <c r="U31" s="213" t="str">
        <f t="shared" si="3"/>
        <v>1D</v>
      </c>
      <c r="V31" s="201">
        <f>_xll.qlCalendarAdvance(Calendar,V30,U31,"f",FALSE)</f>
        <v>41807</v>
      </c>
      <c r="W31" s="225">
        <f>_xll.qlCalendarAdvance(Calendar,V31,NDays&amp;"D")</f>
        <v>41809</v>
      </c>
      <c r="X31" s="200">
        <v>3.4763787402085564E-3</v>
      </c>
      <c r="Y31" s="209">
        <v>5.072662972072095E-3</v>
      </c>
    </row>
    <row r="32" spans="10:25" x14ac:dyDescent="0.2">
      <c r="L32" s="208" t="str">
        <v>EUR_YC6MRH_14x20F</v>
      </c>
      <c r="M32" s="201">
        <f>_xll.qlRateHelperEarliestDate(L32,Trigger)</f>
        <v>42219</v>
      </c>
      <c r="N32" s="200">
        <f>_xll.qlRateHelperQuoteValue(L32,_xll.ohTrigger(RecalcTrigger,Trigger))</f>
        <v>3.4399999999999999E-3</v>
      </c>
      <c r="O32" s="200" t="e">
        <f>NA()</f>
        <v>#N/A</v>
      </c>
      <c r="P32" s="201">
        <f>_xll.qlInterestRateIndexFixingDate(IborIndex,M32,_xll.ohTrigger(RecalcTrigger,Trigger))</f>
        <v>42215</v>
      </c>
      <c r="Q32" s="200">
        <f>_xll.qlIndexFixing(IborIndex,P32,TRUE,RecalcTrigger)</f>
        <v>3.4399999999997718E-3</v>
      </c>
      <c r="R32" s="272">
        <f t="shared" si="2"/>
        <v>-2.2811613709095013E-16</v>
      </c>
      <c r="U32" s="213" t="str">
        <f t="shared" si="3"/>
        <v>1D</v>
      </c>
      <c r="V32" s="201">
        <f>_xll.qlCalendarAdvance(Calendar,V31,U32,"f",FALSE)</f>
        <v>41808</v>
      </c>
      <c r="W32" s="225">
        <f>_xll.qlCalendarAdvance(Calendar,V32,NDays&amp;"D")</f>
        <v>41810</v>
      </c>
      <c r="X32" s="200">
        <v>3.4465319476029818E-3</v>
      </c>
      <c r="Y32" s="209">
        <v>4.8897659949087569E-3</v>
      </c>
    </row>
    <row r="33" spans="12:25" x14ac:dyDescent="0.2">
      <c r="L33" s="208" t="str">
        <v>EUR_YC6MRH_15x21F</v>
      </c>
      <c r="M33" s="201">
        <f>_xll.qlRateHelperEarliestDate(L33,Trigger)</f>
        <v>42250</v>
      </c>
      <c r="N33" s="200">
        <f>_xll.qlRateHelperQuoteValue(L33,_xll.ohTrigger(RecalcTrigger,Trigger))</f>
        <v>3.5599999999999998E-3</v>
      </c>
      <c r="O33" s="200" t="e">
        <f>NA()</f>
        <v>#N/A</v>
      </c>
      <c r="P33" s="201">
        <f>_xll.qlInterestRateIndexFixingDate(IborIndex,M33,_xll.ohTrigger(RecalcTrigger,Trigger))</f>
        <v>42248</v>
      </c>
      <c r="Q33" s="200">
        <f>_xll.qlIndexFixing(IborIndex,P33,TRUE,RecalcTrigger)</f>
        <v>3.5599999999992539E-3</v>
      </c>
      <c r="R33" s="272">
        <f t="shared" si="2"/>
        <v>-7.4593109467002705E-16</v>
      </c>
      <c r="U33" s="213" t="str">
        <f t="shared" si="3"/>
        <v>1D</v>
      </c>
      <c r="V33" s="201">
        <f>_xll.qlCalendarAdvance(Calendar,V32,U33,"f",FALSE)</f>
        <v>41809</v>
      </c>
      <c r="W33" s="225">
        <f>_xll.qlCalendarAdvance(Calendar,V33,NDays&amp;"D")</f>
        <v>41813</v>
      </c>
      <c r="X33" s="200">
        <v>3.4163793900479954E-3</v>
      </c>
      <c r="Y33" s="209">
        <v>4.7851186342118268E-3</v>
      </c>
    </row>
    <row r="34" spans="12:25" x14ac:dyDescent="0.2">
      <c r="L34" s="208" t="str">
        <v>EUR_YC6MRH_16x22F</v>
      </c>
      <c r="M34" s="201">
        <f>_xll.qlRateHelperEarliestDate(L34,Trigger)</f>
        <v>42282</v>
      </c>
      <c r="N34" s="200">
        <f>_xll.qlRateHelperQuoteValue(L34,_xll.ohTrigger(RecalcTrigger,Trigger))</f>
        <v>3.7000000000000002E-3</v>
      </c>
      <c r="O34" s="200" t="e">
        <f>NA()</f>
        <v>#N/A</v>
      </c>
      <c r="P34" s="201">
        <f>_xll.qlInterestRateIndexFixingDate(IborIndex,M34,_xll.ohTrigger(RecalcTrigger,Trigger))</f>
        <v>42278</v>
      </c>
      <c r="Q34" s="200">
        <f>_xll.qlIndexFixing(IborIndex,P34,TRUE,RecalcTrigger)</f>
        <v>3.6999999999737881E-3</v>
      </c>
      <c r="R34" s="272">
        <f t="shared" si="2"/>
        <v>-2.6212105402878549E-14</v>
      </c>
      <c r="U34" s="213" t="str">
        <f t="shared" si="3"/>
        <v>1D</v>
      </c>
      <c r="V34" s="201">
        <f>_xll.qlCalendarAdvance(Calendar,V33,U34,"f",FALSE)</f>
        <v>41810</v>
      </c>
      <c r="W34" s="225">
        <f>_xll.qlCalendarAdvance(Calendar,V34,NDays&amp;"D")</f>
        <v>41814</v>
      </c>
      <c r="X34" s="200">
        <v>3.4029977088671443E-3</v>
      </c>
      <c r="Y34" s="209">
        <v>4.7684754693655407E-3</v>
      </c>
    </row>
    <row r="35" spans="12:25" x14ac:dyDescent="0.2">
      <c r="L35" s="208" t="str">
        <v>EUR_YC6MRH_17x23F</v>
      </c>
      <c r="M35" s="201">
        <f>_xll.qlRateHelperEarliestDate(L35,Trigger)</f>
        <v>42311</v>
      </c>
      <c r="N35" s="200">
        <f>_xll.qlRateHelperQuoteValue(L35,_xll.ohTrigger(RecalcTrigger,Trigger))</f>
        <v>3.8800000000000002E-3</v>
      </c>
      <c r="O35" s="200" t="e">
        <f>NA()</f>
        <v>#N/A</v>
      </c>
      <c r="P35" s="201">
        <f>_xll.qlInterestRateIndexFixingDate(IborIndex,M35,_xll.ohTrigger(RecalcTrigger,Trigger))</f>
        <v>42307</v>
      </c>
      <c r="Q35" s="200">
        <f>_xll.qlIndexFixing(IborIndex,P35,TRUE,RecalcTrigger)</f>
        <v>3.8800000000801444E-3</v>
      </c>
      <c r="R35" s="272">
        <f t="shared" si="2"/>
        <v>8.0144224590128488E-14</v>
      </c>
      <c r="U35" s="213" t="str">
        <f t="shared" si="3"/>
        <v>1D</v>
      </c>
      <c r="V35" s="201">
        <f>_xll.qlCalendarAdvance(Calendar,V34,U35,"f",FALSE)</f>
        <v>41813</v>
      </c>
      <c r="W35" s="225">
        <f>_xll.qlCalendarAdvance(Calendar,V35,NDays&amp;"D")</f>
        <v>41815</v>
      </c>
      <c r="X35" s="200">
        <v>3.3727244181081385E-3</v>
      </c>
      <c r="Y35" s="209">
        <v>4.7576276113936444E-3</v>
      </c>
    </row>
    <row r="36" spans="12:25" ht="12" thickBot="1" x14ac:dyDescent="0.25">
      <c r="L36" s="210" t="str">
        <v>EUR_YC6MRH_18x24F</v>
      </c>
      <c r="M36" s="211">
        <f>_xll.qlRateHelperEarliestDate(L36,Trigger)</f>
        <v>42341</v>
      </c>
      <c r="N36" s="227">
        <f>_xll.qlRateHelperQuoteValue(L36,_xll.ohTrigger(RecalcTrigger,Trigger))</f>
        <v>4.0600000000000002E-3</v>
      </c>
      <c r="O36" s="227" t="e">
        <f>NA()</f>
        <v>#N/A</v>
      </c>
      <c r="P36" s="211">
        <f>_xll.qlInterestRateIndexFixingDate(IborIndex,M36,_xll.ohTrigger(RecalcTrigger,Trigger))</f>
        <v>42339</v>
      </c>
      <c r="Q36" s="227">
        <f>_xll.qlIndexFixing(IborIndex,P36,TRUE,RecalcTrigger)</f>
        <v>4.0600000000000835E-3</v>
      </c>
      <c r="R36" s="273">
        <f t="shared" si="2"/>
        <v>8.3266726846886741E-17</v>
      </c>
      <c r="U36" s="213" t="str">
        <f t="shared" si="3"/>
        <v>1D</v>
      </c>
      <c r="V36" s="201">
        <f>_xll.qlCalendarAdvance(Calendar,V35,U36,"f",FALSE)</f>
        <v>41814</v>
      </c>
      <c r="W36" s="225">
        <f>_xll.qlCalendarAdvance(Calendar,V36,NDays&amp;"D")</f>
        <v>41816</v>
      </c>
      <c r="X36" s="200">
        <v>3.3652342283169334E-3</v>
      </c>
      <c r="Y36" s="209">
        <v>4.7490311797471207E-3</v>
      </c>
    </row>
    <row r="37" spans="12:25" ht="12" thickBot="1" x14ac:dyDescent="0.25">
      <c r="U37" s="213" t="str">
        <f t="shared" si="3"/>
        <v>1D</v>
      </c>
      <c r="V37" s="201">
        <f>_xll.qlCalendarAdvance(Calendar,V36,U37,"f",FALSE)</f>
        <v>41815</v>
      </c>
      <c r="W37" s="225">
        <f>_xll.qlCalendarAdvance(Calendar,V37,NDays&amp;"D")</f>
        <v>41817</v>
      </c>
      <c r="X37" s="200">
        <v>3.357709950714638E-3</v>
      </c>
      <c r="Y37" s="209">
        <v>4.7394054629901206E-3</v>
      </c>
    </row>
    <row r="38" spans="12:25" x14ac:dyDescent="0.2">
      <c r="L38" s="205" t="s">
        <v>171</v>
      </c>
      <c r="M38" s="206" t="s">
        <v>56</v>
      </c>
      <c r="N38" s="206" t="s">
        <v>62</v>
      </c>
      <c r="O38" s="216" t="s">
        <v>165</v>
      </c>
      <c r="P38" s="206" t="s">
        <v>164</v>
      </c>
      <c r="Q38" s="206" t="s">
        <v>181</v>
      </c>
      <c r="R38" s="217" t="s">
        <v>170</v>
      </c>
      <c r="U38" s="213" t="str">
        <f t="shared" si="3"/>
        <v>1D</v>
      </c>
      <c r="V38" s="201">
        <f>_xll.qlCalendarAdvance(Calendar,V37,U38,"f",FALSE)</f>
        <v>41816</v>
      </c>
      <c r="W38" s="225">
        <f>_xll.qlCalendarAdvance(Calendar,V38,NDays&amp;"D")</f>
        <v>41820</v>
      </c>
      <c r="X38" s="200">
        <v>3.3290387779590877E-3</v>
      </c>
      <c r="Y38" s="209">
        <v>4.7371597134571175E-3</v>
      </c>
    </row>
    <row r="39" spans="12:25" x14ac:dyDescent="0.2">
      <c r="L39" s="213" t="str">
        <f t="array" ref="L39:L75">_xll.ohFilter(RateHelpers!E92:E128,RateHelpers!N92:N128)</f>
        <v>EUR_YC6MRH_AB6E1Y</v>
      </c>
      <c r="M39" s="201">
        <f>_xll.qlRateHelperLatestDate(L39,Trigger)</f>
        <v>42158</v>
      </c>
      <c r="N39" s="228">
        <f>_xll.qlRateHelperQuoteValue(L39,_xll.ohTrigger(RecalcTrigger,YieldCurve))</f>
        <v>3.5299999999999997E-3</v>
      </c>
      <c r="O39" s="230" t="s">
        <v>166</v>
      </c>
      <c r="P39" s="231" t="str">
        <f>_xll.qlEuriborSwap(,"IsdaFixA",Monitor!O39,YieldCurve,Discounting,,_xll.ohTrigger(Trigger,RecalcTrigger))</f>
        <v>obj_00736#0001</v>
      </c>
      <c r="Q39" s="218">
        <f>_xll.qlIndexFixing(P39,$V$19,TRUE,Trigger)</f>
        <v>3.4379210030532799E-3</v>
      </c>
      <c r="R39" s="219">
        <f t="shared" ref="R39:R75" si="4">Q39-N39</f>
        <v>-9.2078996946719834E-5</v>
      </c>
      <c r="U39" s="213" t="str">
        <f t="shared" si="3"/>
        <v>1D</v>
      </c>
      <c r="V39" s="201">
        <f>_xll.qlCalendarAdvance(Calendar,V38,U39,"f",FALSE)</f>
        <v>41817</v>
      </c>
      <c r="W39" s="225">
        <f>_xll.qlCalendarAdvance(Calendar,V39,NDays&amp;"D")</f>
        <v>41821</v>
      </c>
      <c r="X39" s="200">
        <v>3.3174850407059206E-3</v>
      </c>
      <c r="Y39" s="209">
        <v>4.7398204116788634E-3</v>
      </c>
    </row>
    <row r="40" spans="12:25" x14ac:dyDescent="0.2">
      <c r="L40" s="213" t="str">
        <v>EUR_YC6MRH_AB6E15M</v>
      </c>
      <c r="M40" s="201">
        <f>_xll.qlRateHelperLatestDate(L40,Trigger)</f>
        <v>42250</v>
      </c>
      <c r="N40" s="228">
        <f>_xll.qlRateHelperQuoteValue(L40,_xll.ohTrigger(RecalcTrigger,YieldCurve))</f>
        <v>3.0999999999999999E-3</v>
      </c>
      <c r="O40" s="232" t="s">
        <v>35</v>
      </c>
      <c r="P40" s="231" t="str">
        <f>_xll.qlEuriborSwap(,"IsdaFixA",Monitor!O40,YieldCurve,Discounting,,_xll.ohTrigger(Trigger,RecalcTrigger))</f>
        <v>obj_00722#0001</v>
      </c>
      <c r="Q40" s="218">
        <f>_xll.qlIndexFixing(P40,$V$19,TRUE,Trigger)</f>
        <v>3.4213143859173536E-3</v>
      </c>
      <c r="R40" s="219">
        <f t="shared" si="4"/>
        <v>3.2131438591735369E-4</v>
      </c>
      <c r="S40" s="202"/>
      <c r="U40" s="213" t="str">
        <f t="shared" si="3"/>
        <v>1D</v>
      </c>
      <c r="V40" s="201">
        <f>_xll.qlCalendarAdvance(Calendar,V39,U40,"f",FALSE)</f>
        <v>41820</v>
      </c>
      <c r="W40" s="225">
        <f>_xll.qlCalendarAdvance(Calendar,V40,NDays&amp;"D")</f>
        <v>41822</v>
      </c>
      <c r="X40" s="200">
        <v>3.3097113809523451E-3</v>
      </c>
      <c r="Y40" s="209">
        <v>4.7447325359062376E-3</v>
      </c>
    </row>
    <row r="41" spans="12:25" x14ac:dyDescent="0.2">
      <c r="L41" s="213" t="str">
        <v>EUR_YC6MRH_AB6E18M</v>
      </c>
      <c r="M41" s="201">
        <f>_xll.qlRateHelperLatestDate(L41,Trigger)</f>
        <v>42341</v>
      </c>
      <c r="N41" s="228">
        <f>_xll.qlRateHelperQuoteValue(L41,_xll.ohTrigger(RecalcTrigger,YieldCurve))</f>
        <v>3.4399999999999999E-3</v>
      </c>
      <c r="O41" s="232" t="s">
        <v>34</v>
      </c>
      <c r="P41" s="231" t="str">
        <f>_xll.qlEuriborSwap(,"IsdaFixA",Monitor!O41,YieldCurve,Discounting,,_xll.ohTrigger(Trigger,RecalcTrigger))</f>
        <v>obj_0071b#0001</v>
      </c>
      <c r="Q41" s="218">
        <f>_xll.qlIndexFixing(P41,$V$19,TRUE,Trigger)</f>
        <v>3.3806311601855552E-3</v>
      </c>
      <c r="R41" s="219">
        <f t="shared" si="4"/>
        <v>-5.936883981444473E-5</v>
      </c>
      <c r="S41" s="202"/>
      <c r="U41" s="213" t="str">
        <f t="shared" si="3"/>
        <v>1D</v>
      </c>
      <c r="V41" s="201">
        <f>_xll.qlCalendarAdvance(Calendar,V40,U41,"f",FALSE)</f>
        <v>41821</v>
      </c>
      <c r="W41" s="225">
        <f>_xll.qlCalendarAdvance(Calendar,V41,NDays&amp;"D")</f>
        <v>41823</v>
      </c>
      <c r="X41" s="200">
        <v>3.3000000000014199E-3</v>
      </c>
      <c r="Y41" s="209">
        <v>4.7513317131109289E-3</v>
      </c>
    </row>
    <row r="42" spans="12:25" x14ac:dyDescent="0.2">
      <c r="L42" s="213" t="str">
        <v>EUR_YC6MRH_AB6E21M</v>
      </c>
      <c r="M42" s="201">
        <f>_xll.qlRateHelperLatestDate(L42,Trigger)</f>
        <v>42432</v>
      </c>
      <c r="N42" s="228">
        <f>_xll.qlRateHelperQuoteValue(L42,_xll.ohTrigger(RecalcTrigger,YieldCurve))</f>
        <v>3.2499999999999994E-3</v>
      </c>
      <c r="O42" s="232" t="s">
        <v>33</v>
      </c>
      <c r="P42" s="231" t="str">
        <f>_xll.qlEuriborSwap(,"IsdaFixA",Monitor!O42,YieldCurve,Discounting,,_xll.ohTrigger(Trigger,RecalcTrigger))</f>
        <v>obj_0073b#0001</v>
      </c>
      <c r="Q42" s="218">
        <f>_xll.qlIndexFixing(P42,$V$19,TRUE,Trigger)</f>
        <v>3.4725431327905969E-3</v>
      </c>
      <c r="R42" s="219">
        <f t="shared" si="4"/>
        <v>2.2254313279059749E-4</v>
      </c>
      <c r="S42" s="202"/>
      <c r="U42" s="213" t="str">
        <f t="shared" si="3"/>
        <v>1D</v>
      </c>
      <c r="V42" s="201">
        <f>_xll.qlCalendarAdvance(Calendar,V41,U42,"f",FALSE)</f>
        <v>41822</v>
      </c>
      <c r="W42" s="225">
        <f>_xll.qlCalendarAdvance(Calendar,V42,NDays&amp;"D")</f>
        <v>41824</v>
      </c>
      <c r="X42" s="200">
        <v>3.2921115139537957E-3</v>
      </c>
      <c r="Y42" s="209">
        <v>4.7619390949105167E-3</v>
      </c>
    </row>
    <row r="43" spans="12:25" x14ac:dyDescent="0.2">
      <c r="L43" s="213" t="str">
        <v>EUR_YC6MRH_AB6E2Y</v>
      </c>
      <c r="M43" s="201">
        <f>_xll.qlRateHelperLatestDate(L43,Trigger)</f>
        <v>42524</v>
      </c>
      <c r="N43" s="228">
        <f>_xll.qlRateHelperQuoteValue(L43,_xll.ohTrigger(RecalcTrigger,YieldCurve))</f>
        <v>3.6099999999999999E-3</v>
      </c>
      <c r="O43" s="232" t="s">
        <v>32</v>
      </c>
      <c r="P43" s="231" t="str">
        <f>_xll.qlEuriborSwap(,"IsdaFixA",Monitor!O43,YieldCurve,Discounting,,_xll.ohTrigger(Trigger,RecalcTrigger))</f>
        <v>obj_00737#0001</v>
      </c>
      <c r="Q43" s="218">
        <f>_xll.qlIndexFixing(P43,$V$19,TRUE,Trigger)</f>
        <v>3.5677587413915622E-3</v>
      </c>
      <c r="R43" s="219">
        <f t="shared" si="4"/>
        <v>-4.2241258608437769E-5</v>
      </c>
      <c r="S43" s="222" t="s">
        <v>172</v>
      </c>
      <c r="U43" s="213" t="str">
        <f t="shared" si="3"/>
        <v>1D</v>
      </c>
      <c r="V43" s="201">
        <f>_xll.qlCalendarAdvance(Calendar,V42,U43,"f",FALSE)</f>
        <v>41823</v>
      </c>
      <c r="W43" s="225">
        <f>_xll.qlCalendarAdvance(Calendar,V43,NDays&amp;"D")</f>
        <v>41827</v>
      </c>
      <c r="X43" s="200">
        <v>3.2693966538344115E-3</v>
      </c>
      <c r="Y43" s="209">
        <v>4.7686377947986358E-3</v>
      </c>
    </row>
    <row r="44" spans="12:25" x14ac:dyDescent="0.2">
      <c r="L44" s="213" t="str">
        <v>EUR_YC6MRH_AB6E3Y</v>
      </c>
      <c r="M44" s="201">
        <f>_xll.qlRateHelperLatestDate(L44,Trigger)</f>
        <v>42891</v>
      </c>
      <c r="N44" s="228">
        <f>_xll.qlRateHelperQuoteValue(L44,_xll.ohTrigger(RecalcTrigger,YieldCurve))</f>
        <v>4.5399999999999998E-3</v>
      </c>
      <c r="O44" s="232" t="s">
        <v>31</v>
      </c>
      <c r="P44" s="231" t="str">
        <f>_xll.qlEuriborSwap(,"IsdaFixA",Monitor!O44,YieldCurve,Discounting,,_xll.ohTrigger(Trigger,RecalcTrigger))</f>
        <v>obj_00723#0001</v>
      </c>
      <c r="Q44" s="218">
        <f>_xll.qlIndexFixing(P44,$V$19,TRUE,Trigger)</f>
        <v>4.5399999999971583E-3</v>
      </c>
      <c r="R44" s="251">
        <f t="shared" si="4"/>
        <v>-2.84147705365001E-15</v>
      </c>
      <c r="S44" s="252">
        <f t="array" ref="S44">MAX(ABS(R44:R75))</f>
        <v>1.8911309107322999E-5</v>
      </c>
      <c r="U44" s="213" t="str">
        <f t="shared" si="3"/>
        <v>1D</v>
      </c>
      <c r="V44" s="201">
        <f>_xll.qlCalendarAdvance(Calendar,V43,U44,"f",FALSE)</f>
        <v>41824</v>
      </c>
      <c r="W44" s="225">
        <f>_xll.qlCalendarAdvance(Calendar,V44,NDays&amp;"D")</f>
        <v>41828</v>
      </c>
      <c r="X44" s="200">
        <v>3.2627226698485156E-3</v>
      </c>
      <c r="Y44" s="209">
        <v>4.7701272851696785E-3</v>
      </c>
    </row>
    <row r="45" spans="12:25" x14ac:dyDescent="0.2">
      <c r="L45" s="213" t="str">
        <v>EUR_YC6MRH_AB6E4Y</v>
      </c>
      <c r="M45" s="201">
        <f>_xll.qlRateHelperLatestDate(L45,Trigger)</f>
        <v>43255</v>
      </c>
      <c r="N45" s="228">
        <f>_xll.qlRateHelperQuoteValue(L45,_xll.ohTrigger(RecalcTrigger,YieldCurve))</f>
        <v>6.0599999999999994E-3</v>
      </c>
      <c r="O45" s="232" t="s">
        <v>30</v>
      </c>
      <c r="P45" s="231" t="str">
        <f>_xll.qlEuriborSwap(,"IsdaFixA",Monitor!O45,YieldCurve,Discounting,,_xll.ohTrigger(Trigger,RecalcTrigger))</f>
        <v>obj_00727#0001</v>
      </c>
      <c r="Q45" s="218">
        <f>_xll.qlIndexFixing(P45,$V$19,TRUE,Trigger)</f>
        <v>6.0599999999728709E-3</v>
      </c>
      <c r="R45" s="219">
        <f t="shared" si="4"/>
        <v>-2.7128473079063298E-14</v>
      </c>
      <c r="S45" s="202"/>
      <c r="U45" s="213" t="str">
        <f t="shared" si="3"/>
        <v>1D</v>
      </c>
      <c r="V45" s="201">
        <f>_xll.qlCalendarAdvance(Calendar,V44,U45,"f",FALSE)</f>
        <v>41827</v>
      </c>
      <c r="W45" s="225">
        <f>_xll.qlCalendarAdvance(Calendar,V45,NDays&amp;"D")</f>
        <v>41829</v>
      </c>
      <c r="X45" s="200">
        <v>3.2564724797421742E-3</v>
      </c>
      <c r="Y45" s="209">
        <v>4.7704819634564188E-3</v>
      </c>
    </row>
    <row r="46" spans="12:25" x14ac:dyDescent="0.2">
      <c r="L46" s="213" t="str">
        <v>EUR_YC6MRH_AB6E5Y</v>
      </c>
      <c r="M46" s="201">
        <f>_xll.qlRateHelperLatestDate(L46,Trigger)</f>
        <v>43619</v>
      </c>
      <c r="N46" s="228">
        <f>_xll.qlRateHelperQuoteValue(L46,_xll.ohTrigger(RecalcTrigger,YieldCurve))</f>
        <v>7.8300000000000002E-3</v>
      </c>
      <c r="O46" s="232" t="s">
        <v>29</v>
      </c>
      <c r="P46" s="231" t="str">
        <f>_xll.qlEuriborSwap(,"IsdaFixA",Monitor!O46,YieldCurve,Discounting,,_xll.ohTrigger(Trigger,RecalcTrigger))</f>
        <v>obj_00739#0001</v>
      </c>
      <c r="Q46" s="218">
        <f>_xll.qlIndexFixing(P46,$V$19,TRUE,Trigger)</f>
        <v>7.8299999999340182E-3</v>
      </c>
      <c r="R46" s="219">
        <f t="shared" si="4"/>
        <v>-6.5981942132253835E-14</v>
      </c>
      <c r="S46" s="202"/>
      <c r="U46" s="213" t="str">
        <f t="shared" si="3"/>
        <v>1D</v>
      </c>
      <c r="V46" s="201">
        <f>_xll.qlCalendarAdvance(Calendar,V45,U46,"f",FALSE)</f>
        <v>41828</v>
      </c>
      <c r="W46" s="225">
        <f>_xll.qlCalendarAdvance(Calendar,V46,NDays&amp;"D")</f>
        <v>41830</v>
      </c>
      <c r="X46" s="200">
        <v>3.2565655856966395E-3</v>
      </c>
      <c r="Y46" s="209">
        <v>4.7697018297387928E-3</v>
      </c>
    </row>
    <row r="47" spans="12:25" x14ac:dyDescent="0.2">
      <c r="L47" s="213" t="str">
        <v>EUR_YC6MRH_AB6E6Y</v>
      </c>
      <c r="M47" s="201">
        <f>_xll.qlRateHelperLatestDate(L47,Trigger)</f>
        <v>43985</v>
      </c>
      <c r="N47" s="228">
        <f>_xll.qlRateHelperQuoteValue(L47,_xll.ohTrigger(RecalcTrigger,YieldCurve))</f>
        <v>9.6699999999999998E-3</v>
      </c>
      <c r="O47" s="232" t="s">
        <v>28</v>
      </c>
      <c r="P47" s="231" t="str">
        <f>_xll.qlEuriborSwap(,"IsdaFixA",Monitor!O47,YieldCurve,Discounting,,_xll.ohTrigger(Trigger,RecalcTrigger))</f>
        <v>obj_00720#0001</v>
      </c>
      <c r="Q47" s="218">
        <f>_xll.qlIndexFixing(P47,$V$19,TRUE,Trigger)</f>
        <v>9.6699999999606216E-3</v>
      </c>
      <c r="R47" s="219">
        <f t="shared" si="4"/>
        <v>-3.9378222904673521E-14</v>
      </c>
      <c r="S47" s="202"/>
      <c r="U47" s="213" t="str">
        <f t="shared" si="3"/>
        <v>1D</v>
      </c>
      <c r="V47" s="201">
        <f>_xll.qlCalendarAdvance(Calendar,V46,U47,"f",FALSE)</f>
        <v>41829</v>
      </c>
      <c r="W47" s="225">
        <f>_xll.qlCalendarAdvance(Calendar,V47,NDays&amp;"D")</f>
        <v>41831</v>
      </c>
      <c r="X47" s="200">
        <v>3.248343433004001E-3</v>
      </c>
      <c r="Y47" s="209">
        <v>4.7644219088116557E-3</v>
      </c>
    </row>
    <row r="48" spans="12:25" x14ac:dyDescent="0.2">
      <c r="L48" s="213" t="str">
        <v>EUR_YC6MRH_AB6E7Y</v>
      </c>
      <c r="M48" s="201">
        <f>_xll.qlRateHelperLatestDate(L48,Trigger)</f>
        <v>44350</v>
      </c>
      <c r="N48" s="228">
        <f>_xll.qlRateHelperQuoteValue(L48,_xll.ohTrigger(RecalcTrigger,YieldCurve))</f>
        <v>1.1470000000000001E-2</v>
      </c>
      <c r="O48" s="232" t="s">
        <v>27</v>
      </c>
      <c r="P48" s="231" t="str">
        <f>_xll.qlEuriborSwap(,"IsdaFixA",Monitor!O48,YieldCurve,Discounting,,_xll.ohTrigger(Trigger,RecalcTrigger))</f>
        <v>obj_0072b#0001</v>
      </c>
      <c r="Q48" s="218">
        <f>_xll.qlIndexFixing(P48,$V$19,TRUE,Trigger)</f>
        <v>1.1469999999892079E-2</v>
      </c>
      <c r="R48" s="219">
        <f t="shared" si="4"/>
        <v>-1.079223516109451E-13</v>
      </c>
      <c r="S48" s="202"/>
      <c r="U48" s="213" t="str">
        <f t="shared" si="3"/>
        <v>1D</v>
      </c>
      <c r="V48" s="201">
        <f>_xll.qlCalendarAdvance(Calendar,V47,U48,"f",FALSE)</f>
        <v>41830</v>
      </c>
      <c r="W48" s="225">
        <f>_xll.qlCalendarAdvance(Calendar,V48,NDays&amp;"D")</f>
        <v>41834</v>
      </c>
      <c r="X48" s="200">
        <v>3.2308014626244879E-3</v>
      </c>
      <c r="Y48" s="209">
        <v>4.7552331745048804E-3</v>
      </c>
    </row>
    <row r="49" spans="10:25" x14ac:dyDescent="0.2">
      <c r="J49" s="223" t="b">
        <v>1</v>
      </c>
      <c r="L49" s="213" t="str">
        <v>EUR_YC6MRH_AB6E8Y</v>
      </c>
      <c r="M49" s="201">
        <f>_xll.qlRateHelperLatestDate(L49,Trigger)</f>
        <v>44715</v>
      </c>
      <c r="N49" s="228">
        <f>_xll.qlRateHelperQuoteValue(L49,_xll.ohTrigger(RecalcTrigger,YieldCurve))</f>
        <v>1.316E-2</v>
      </c>
      <c r="O49" s="232" t="s">
        <v>26</v>
      </c>
      <c r="P49" s="231" t="str">
        <f>_xll.qlEuriborSwap(,"IsdaFixA",Monitor!O49,YieldCurve,Discounting,,_xll.ohTrigger(Trigger,RecalcTrigger))</f>
        <v>obj_0072d#0001</v>
      </c>
      <c r="Q49" s="218">
        <f>_xll.qlIndexFixing(P49,$V$19,TRUE,Trigger)</f>
        <v>1.3160000000085555E-2</v>
      </c>
      <c r="R49" s="219">
        <f t="shared" si="4"/>
        <v>8.5554827111700149E-14</v>
      </c>
      <c r="S49" s="202"/>
      <c r="U49" s="213" t="str">
        <f t="shared" si="3"/>
        <v>1D</v>
      </c>
      <c r="V49" s="201">
        <f>_xll.qlCalendarAdvance(Calendar,V48,U49,"f",FALSE)</f>
        <v>41831</v>
      </c>
      <c r="W49" s="225">
        <f>_xll.qlCalendarAdvance(Calendar,V49,NDays&amp;"D")</f>
        <v>41835</v>
      </c>
      <c r="X49" s="200">
        <v>3.226627857279249E-3</v>
      </c>
      <c r="Y49" s="209">
        <v>4.7487789807654224E-3</v>
      </c>
    </row>
    <row r="50" spans="10:25" x14ac:dyDescent="0.2">
      <c r="L50" s="213" t="str">
        <v>EUR_YC6MRH_AB6E9Y</v>
      </c>
      <c r="M50" s="201">
        <f>_xll.qlRateHelperLatestDate(L50,Trigger)</f>
        <v>45082</v>
      </c>
      <c r="N50" s="228">
        <f>_xll.qlRateHelperQuoteValue(L50,_xll.ohTrigger(RecalcTrigger,YieldCurve))</f>
        <v>1.468E-2</v>
      </c>
      <c r="O50" s="232" t="s">
        <v>25</v>
      </c>
      <c r="P50" s="231" t="str">
        <f>_xll.qlEuriborSwap(,"IsdaFixA",Monitor!O50,YieldCurve,Discounting,,_xll.ohTrigger(Trigger,RecalcTrigger))</f>
        <v>obj_0071d#0001</v>
      </c>
      <c r="Q50" s="218">
        <f>_xll.qlIndexFixing(P50,$V$19,TRUE,Trigger)</f>
        <v>1.467999999967453E-2</v>
      </c>
      <c r="R50" s="219">
        <f t="shared" si="4"/>
        <v>-3.2547055328624452E-13</v>
      </c>
      <c r="S50" s="202"/>
      <c r="U50" s="213" t="str">
        <f t="shared" si="3"/>
        <v>1D</v>
      </c>
      <c r="V50" s="201">
        <f>_xll.qlCalendarAdvance(Calendar,V49,U50,"f",FALSE)</f>
        <v>41834</v>
      </c>
      <c r="W50" s="225">
        <f>_xll.qlCalendarAdvance(Calendar,V50,NDays&amp;"D")</f>
        <v>41836</v>
      </c>
      <c r="X50" s="200">
        <v>3.2227226568783676E-3</v>
      </c>
      <c r="Y50" s="209">
        <v>4.7411899751814701E-3</v>
      </c>
    </row>
    <row r="51" spans="10:25" x14ac:dyDescent="0.2">
      <c r="L51" s="213" t="str">
        <v>EUR_YC6MRH_AB6E10Y</v>
      </c>
      <c r="M51" s="201">
        <f>_xll.qlRateHelperLatestDate(L51,Trigger)</f>
        <v>45446</v>
      </c>
      <c r="N51" s="228">
        <f>_xll.qlRateHelperQuoteValue(L51,_xll.ohTrigger(RecalcTrigger,YieldCurve))</f>
        <v>1.602E-2</v>
      </c>
      <c r="O51" s="232" t="s">
        <v>24</v>
      </c>
      <c r="P51" s="231" t="str">
        <f>_xll.qlEuriborSwap(,"IsdaFixA",Monitor!O51,YieldCurve,Discounting,,_xll.ohTrigger(Trigger,RecalcTrigger))</f>
        <v>obj_0073a#0001</v>
      </c>
      <c r="Q51" s="218">
        <f>_xll.qlIndexFixing(P51,$V$19,TRUE,Trigger)</f>
        <v>1.601999999999874E-2</v>
      </c>
      <c r="R51" s="219">
        <f t="shared" si="4"/>
        <v>-1.259409243559162E-15</v>
      </c>
      <c r="S51" s="202"/>
      <c r="U51" s="213" t="str">
        <f t="shared" si="3"/>
        <v>1D</v>
      </c>
      <c r="V51" s="201">
        <f>_xll.qlCalendarAdvance(Calendar,V50,U51,"f",FALSE)</f>
        <v>41835</v>
      </c>
      <c r="W51" s="225">
        <f>_xll.qlCalendarAdvance(Calendar,V51,NDays&amp;"D")</f>
        <v>41837</v>
      </c>
      <c r="X51" s="200">
        <v>3.2287711569591437E-3</v>
      </c>
      <c r="Y51" s="209">
        <v>4.7324661578329597E-3</v>
      </c>
    </row>
    <row r="52" spans="10:25" x14ac:dyDescent="0.2">
      <c r="L52" s="213" t="str">
        <v>EUR_YC6MRH_AB6E11Y</v>
      </c>
      <c r="M52" s="201">
        <f>_xll.qlRateHelperLatestDate(L52,Trigger)</f>
        <v>45811</v>
      </c>
      <c r="N52" s="228">
        <f>_xll.qlRateHelperQuoteValue(L52,_xll.ohTrigger(RecalcTrigger,YieldCurve))</f>
        <v>1.721E-2</v>
      </c>
      <c r="O52" s="232" t="s">
        <v>23</v>
      </c>
      <c r="P52" s="231" t="str">
        <f>_xll.qlEuriborSwap(,"IsdaFixA",Monitor!O52,YieldCurve,Discounting,,_xll.ohTrigger(Trigger,RecalcTrigger))</f>
        <v>obj_0073c#0001</v>
      </c>
      <c r="Q52" s="218">
        <f>_xll.qlIndexFixing(P52,$V$19,TRUE,Trigger)</f>
        <v>1.7206900041877866E-2</v>
      </c>
      <c r="R52" s="219">
        <f t="shared" si="4"/>
        <v>-3.0999581221331785E-6</v>
      </c>
      <c r="S52" s="202"/>
      <c r="U52" s="213" t="str">
        <f t="shared" si="3"/>
        <v>1D</v>
      </c>
      <c r="V52" s="201">
        <f>_xll.qlCalendarAdvance(Calendar,V51,U52,"f",FALSE)</f>
        <v>41836</v>
      </c>
      <c r="W52" s="225">
        <f>_xll.qlCalendarAdvance(Calendar,V52,NDays&amp;"D")</f>
        <v>41838</v>
      </c>
      <c r="X52" s="200">
        <v>3.2206007386956846E-3</v>
      </c>
      <c r="Y52" s="209">
        <v>4.7112974725749268E-3</v>
      </c>
    </row>
    <row r="53" spans="10:25" x14ac:dyDescent="0.2">
      <c r="L53" s="213" t="str">
        <v>EUR_YC6MRH_AB6E12Y</v>
      </c>
      <c r="M53" s="201">
        <f>_xll.qlRateHelperLatestDate(L53,Trigger)</f>
        <v>46176</v>
      </c>
      <c r="N53" s="228">
        <f>_xll.qlRateHelperQuoteValue(L53,_xll.ohTrigger(RecalcTrigger,YieldCurve))</f>
        <v>1.8249999999999999E-2</v>
      </c>
      <c r="O53" s="232" t="s">
        <v>22</v>
      </c>
      <c r="P53" s="231" t="str">
        <f>_xll.qlEuriborSwap(,"IsdaFixA",Monitor!O53,YieldCurve,Discounting,,_xll.ohTrigger(Trigger,RecalcTrigger))</f>
        <v>obj_00726#0001</v>
      </c>
      <c r="Q53" s="218">
        <f>_xll.qlIndexFixing(P53,$V$19,TRUE,Trigger)</f>
        <v>1.8250000000116621E-2</v>
      </c>
      <c r="R53" s="219">
        <f t="shared" si="4"/>
        <v>1.1662198984296879E-13</v>
      </c>
      <c r="S53" s="202"/>
      <c r="U53" s="213" t="str">
        <f t="shared" si="3"/>
        <v>1D</v>
      </c>
      <c r="V53" s="201">
        <f>_xll.qlCalendarAdvance(Calendar,V52,U53,"f",FALSE)</f>
        <v>41837</v>
      </c>
      <c r="W53" s="225">
        <f>_xll.qlCalendarAdvance(Calendar,V53,NDays&amp;"D")</f>
        <v>41841</v>
      </c>
      <c r="X53" s="200">
        <v>3.2064458439226445E-3</v>
      </c>
      <c r="Y53" s="209">
        <v>4.6862227723920569E-3</v>
      </c>
    </row>
    <row r="54" spans="10:25" x14ac:dyDescent="0.2">
      <c r="L54" s="213" t="str">
        <v>EUR_YC6MRH_AB6E13Y</v>
      </c>
      <c r="M54" s="201">
        <f>_xll.qlRateHelperLatestDate(L54,Trigger)</f>
        <v>46541</v>
      </c>
      <c r="N54" s="228">
        <f>_xll.qlRateHelperQuoteValue(L54,_xll.ohTrigger(RecalcTrigger,YieldCurve))</f>
        <v>1.915E-2</v>
      </c>
      <c r="O54" s="232" t="s">
        <v>21</v>
      </c>
      <c r="P54" s="231" t="str">
        <f>_xll.qlEuriborSwap(,"IsdaFixA",Monitor!O54,YieldCurve,Discounting,,_xll.ohTrigger(Trigger,RecalcTrigger))</f>
        <v>obj_0073e#0001</v>
      </c>
      <c r="Q54" s="218">
        <f>_xll.qlIndexFixing(P54,$V$19,TRUE,Trigger)</f>
        <v>1.9154996970719099E-2</v>
      </c>
      <c r="R54" s="219">
        <f t="shared" si="4"/>
        <v>4.9969707190990198E-6</v>
      </c>
      <c r="S54" s="202"/>
      <c r="U54" s="213" t="str">
        <f t="shared" si="3"/>
        <v>1D</v>
      </c>
      <c r="V54" s="201">
        <f>_xll.qlCalendarAdvance(Calendar,V53,U54,"f",FALSE)</f>
        <v>41838</v>
      </c>
      <c r="W54" s="225">
        <f>_xll.qlCalendarAdvance(Calendar,V54,NDays&amp;"D")</f>
        <v>41842</v>
      </c>
      <c r="X54" s="200">
        <v>3.2036849452642549E-3</v>
      </c>
      <c r="Y54" s="209">
        <v>4.6718248975796683E-3</v>
      </c>
    </row>
    <row r="55" spans="10:25" x14ac:dyDescent="0.2">
      <c r="L55" s="213" t="str">
        <v>EUR_YC6MRH_AB6E14Y</v>
      </c>
      <c r="M55" s="201">
        <f>_xll.qlRateHelperLatestDate(L55,Trigger)</f>
        <v>46909</v>
      </c>
      <c r="N55" s="228">
        <f>_xll.qlRateHelperQuoteValue(L55,_xll.ohTrigger(RecalcTrigger,YieldCurve))</f>
        <v>1.993E-2</v>
      </c>
      <c r="O55" s="232" t="s">
        <v>20</v>
      </c>
      <c r="P55" s="231" t="str">
        <f>_xll.qlEuriborSwap(,"IsdaFixA",Monitor!O55,YieldCurve,Discounting,,_xll.ohTrigger(Trigger,RecalcTrigger))</f>
        <v>obj_00731#0001</v>
      </c>
      <c r="Q55" s="218">
        <f>_xll.qlIndexFixing(P55,$V$19,TRUE,Trigger)</f>
        <v>1.9934316418950999E-2</v>
      </c>
      <c r="R55" s="219">
        <f t="shared" si="4"/>
        <v>4.3164189509996287E-6</v>
      </c>
      <c r="S55" s="202"/>
      <c r="U55" s="213" t="str">
        <f t="shared" si="3"/>
        <v>1D</v>
      </c>
      <c r="V55" s="201">
        <f>_xll.qlCalendarAdvance(Calendar,V54,U55,"f",FALSE)</f>
        <v>41841</v>
      </c>
      <c r="W55" s="225">
        <f>_xll.qlCalendarAdvance(Calendar,V55,NDays&amp;"D")</f>
        <v>41843</v>
      </c>
      <c r="X55" s="200">
        <v>3.2010370774918206E-3</v>
      </c>
      <c r="Y55" s="209">
        <v>4.656292211562274E-3</v>
      </c>
    </row>
    <row r="56" spans="10:25" x14ac:dyDescent="0.2">
      <c r="L56" s="213" t="str">
        <v>EUR_YC6MRH_AB6E15Y</v>
      </c>
      <c r="M56" s="201">
        <f>_xll.qlRateHelperLatestDate(L56,Trigger)</f>
        <v>47273</v>
      </c>
      <c r="N56" s="228">
        <f>_xll.qlRateHelperQuoteValue(L56,_xll.ohTrigger(RecalcTrigger,YieldCurve))</f>
        <v>2.0569999999999998E-2</v>
      </c>
      <c r="O56" s="232" t="s">
        <v>19</v>
      </c>
      <c r="P56" s="231" t="str">
        <f>_xll.qlEuriborSwap(,"IsdaFixA",Monitor!O56,YieldCurve,Discounting,,_xll.ohTrigger(Trigger,RecalcTrigger))</f>
        <v>obj_00730#0001</v>
      </c>
      <c r="Q56" s="218">
        <f>_xll.qlIndexFixing(P56,$V$19,TRUE,Trigger)</f>
        <v>2.0570000000035078E-2</v>
      </c>
      <c r="R56" s="219">
        <f t="shared" si="4"/>
        <v>3.5079578131202993E-14</v>
      </c>
      <c r="S56" s="202"/>
      <c r="U56" s="213" t="str">
        <f t="shared" si="3"/>
        <v>1D</v>
      </c>
      <c r="V56" s="201">
        <f>_xll.qlCalendarAdvance(Calendar,V55,U56,"f",FALSE)</f>
        <v>41842</v>
      </c>
      <c r="W56" s="225">
        <f>_xll.qlCalendarAdvance(Calendar,V56,NDays&amp;"D")</f>
        <v>41844</v>
      </c>
      <c r="X56" s="200">
        <v>3.2090847819726278E-3</v>
      </c>
      <c r="Y56" s="209">
        <v>4.6396247146596181E-3</v>
      </c>
    </row>
    <row r="57" spans="10:25" x14ac:dyDescent="0.2">
      <c r="L57" s="213" t="str">
        <v>EUR_YC6MRH_AB6E16Y</v>
      </c>
      <c r="M57" s="201">
        <f>_xll.qlRateHelperLatestDate(L57,Trigger)</f>
        <v>47637</v>
      </c>
      <c r="N57" s="228">
        <f>_xll.qlRateHelperQuoteValue(L57,_xll.ohTrigger(RecalcTrigger,YieldCurve))</f>
        <v>2.1090000000000001E-2</v>
      </c>
      <c r="O57" s="232" t="s">
        <v>18</v>
      </c>
      <c r="P57" s="231" t="str">
        <f>_xll.qlEuriborSwap(,"IsdaFixA",Monitor!O57,YieldCurve,Discounting,,_xll.ohTrigger(Trigger,RecalcTrigger))</f>
        <v>obj_00740#0001</v>
      </c>
      <c r="Q57" s="218">
        <f>_xll.qlIndexFixing(P57,$V$19,TRUE,Trigger)</f>
        <v>2.1082323033584961E-2</v>
      </c>
      <c r="R57" s="219">
        <f t="shared" si="4"/>
        <v>-7.6769664150398709E-6</v>
      </c>
      <c r="S57" s="202"/>
      <c r="U57" s="213" t="str">
        <f t="shared" si="3"/>
        <v>1D</v>
      </c>
      <c r="V57" s="201">
        <f>_xll.qlCalendarAdvance(Calendar,V56,U57,"f",FALSE)</f>
        <v>41843</v>
      </c>
      <c r="W57" s="225">
        <f>_xll.qlCalendarAdvance(Calendar,V57,NDays&amp;"D")</f>
        <v>41845</v>
      </c>
      <c r="X57" s="200">
        <v>3.2013108756849822E-3</v>
      </c>
      <c r="Y57" s="209">
        <v>4.6025658601145381E-3</v>
      </c>
    </row>
    <row r="58" spans="10:25" x14ac:dyDescent="0.2">
      <c r="L58" s="213" t="str">
        <v>EUR_YC6MRH_AB6E17Y</v>
      </c>
      <c r="M58" s="201">
        <f>_xll.qlRateHelperLatestDate(L58,Trigger)</f>
        <v>48002</v>
      </c>
      <c r="N58" s="228">
        <f>_xll.qlRateHelperQuoteValue(L58,_xll.ohTrigger(RecalcTrigger,YieldCurve))</f>
        <v>2.1509999999999998E-2</v>
      </c>
      <c r="O58" s="233" t="s">
        <v>17</v>
      </c>
      <c r="P58" s="231" t="str">
        <f>_xll.qlEuriborSwap(,"IsdaFixA",Monitor!O58,YieldCurve,Discounting,,_xll.ohTrigger(Trigger,RecalcTrigger))</f>
        <v>obj_0071f#0001</v>
      </c>
      <c r="Q58" s="218">
        <f>_xll.qlIndexFixing(P58,$V$19,TRUE,Trigger)</f>
        <v>2.1494927632618219E-2</v>
      </c>
      <c r="R58" s="219">
        <f t="shared" si="4"/>
        <v>-1.5072367381779167E-5</v>
      </c>
      <c r="S58" s="202"/>
      <c r="U58" s="213" t="str">
        <f t="shared" si="3"/>
        <v>1D</v>
      </c>
      <c r="V58" s="201">
        <f>_xll.qlCalendarAdvance(Calendar,V57,U58,"f",FALSE)</f>
        <v>41844</v>
      </c>
      <c r="W58" s="225">
        <f>_xll.qlCalendarAdvance(Calendar,V58,NDays&amp;"D")</f>
        <v>41848</v>
      </c>
      <c r="X58" s="200">
        <v>3.1887163607775648E-3</v>
      </c>
      <c r="Y58" s="209">
        <v>4.5616066204345884E-3</v>
      </c>
    </row>
    <row r="59" spans="10:25" x14ac:dyDescent="0.2">
      <c r="L59" s="213" t="str">
        <v>EUR_YC6MRH_AB6E18Y</v>
      </c>
      <c r="M59" s="201">
        <f>_xll.qlRateHelperLatestDate(L59,Trigger)</f>
        <v>48368</v>
      </c>
      <c r="N59" s="228">
        <f>_xll.qlRateHelperQuoteValue(L59,_xll.ohTrigger(RecalcTrigger,YieldCurve))</f>
        <v>2.1850000000000001E-2</v>
      </c>
      <c r="O59" s="233" t="s">
        <v>16</v>
      </c>
      <c r="P59" s="231" t="str">
        <f>_xll.qlEuriborSwap(,"IsdaFixA",Monitor!O59,YieldCurve,Discounting,,_xll.ohTrigger(Trigger,RecalcTrigger))</f>
        <v>obj_00729#0001</v>
      </c>
      <c r="Q59" s="218">
        <f>_xll.qlIndexFixing(P59,$V$19,TRUE,Trigger)</f>
        <v>2.1831088690892678E-2</v>
      </c>
      <c r="R59" s="219">
        <f t="shared" si="4"/>
        <v>-1.8911309107322999E-5</v>
      </c>
      <c r="S59" s="202"/>
      <c r="U59" s="213" t="str">
        <f t="shared" si="3"/>
        <v>1D</v>
      </c>
      <c r="V59" s="201">
        <f>_xll.qlCalendarAdvance(Calendar,V58,U59,"f",FALSE)</f>
        <v>41845</v>
      </c>
      <c r="W59" s="225">
        <f>_xll.qlCalendarAdvance(Calendar,V59,NDays&amp;"D")</f>
        <v>41849</v>
      </c>
      <c r="X59" s="200">
        <v>3.1862805753059822E-3</v>
      </c>
      <c r="Y59" s="209">
        <v>4.5392650711839622E-3</v>
      </c>
    </row>
    <row r="60" spans="10:25" x14ac:dyDescent="0.2">
      <c r="L60" s="213" t="str">
        <v>EUR_YC6MRH_AB6E19Y</v>
      </c>
      <c r="M60" s="201">
        <f>_xll.qlRateHelperLatestDate(L60,Trigger)</f>
        <v>48733</v>
      </c>
      <c r="N60" s="228">
        <f>_xll.qlRateHelperQuoteValue(L60,_xll.ohTrigger(RecalcTrigger,YieldCurve))</f>
        <v>2.2109999999999998E-2</v>
      </c>
      <c r="O60" s="233" t="s">
        <v>15</v>
      </c>
      <c r="P60" s="231" t="str">
        <f>_xll.qlEuriborSwap(,"IsdaFixA",Monitor!O60,YieldCurve,Discounting,,_xll.ohTrigger(Trigger,RecalcTrigger))</f>
        <v>obj_00734#0001</v>
      </c>
      <c r="Q60" s="218">
        <f>_xll.qlIndexFixing(P60,$V$19,TRUE,Trigger)</f>
        <v>2.2100151418292094E-2</v>
      </c>
      <c r="R60" s="219">
        <f t="shared" si="4"/>
        <v>-9.8485817079038696E-6</v>
      </c>
      <c r="S60" s="202"/>
      <c r="U60" s="213" t="str">
        <f t="shared" si="3"/>
        <v>1D</v>
      </c>
      <c r="V60" s="201">
        <f>_xll.qlCalendarAdvance(Calendar,V59,U60,"f",FALSE)</f>
        <v>41848</v>
      </c>
      <c r="W60" s="225">
        <f>_xll.qlCalendarAdvance(Calendar,V60,NDays&amp;"D")</f>
        <v>41850</v>
      </c>
      <c r="X60" s="200">
        <v>3.1838024541285888E-3</v>
      </c>
      <c r="Y60" s="209">
        <v>4.5157887120872431E-3</v>
      </c>
    </row>
    <row r="61" spans="10:25" x14ac:dyDescent="0.2">
      <c r="L61" s="213" t="str">
        <v>EUR_YC6MRH_AB6E20Y</v>
      </c>
      <c r="M61" s="201">
        <f>_xll.qlRateHelperLatestDate(L61,Trigger)</f>
        <v>49100</v>
      </c>
      <c r="N61" s="228">
        <f>_xll.qlRateHelperQuoteValue(L61,_xll.ohTrigger(RecalcTrigger,YieldCurve))</f>
        <v>2.2320000000000003E-2</v>
      </c>
      <c r="O61" s="233" t="s">
        <v>14</v>
      </c>
      <c r="P61" s="231" t="str">
        <f>_xll.qlEuriborSwap(,"IsdaFixA",Monitor!O61,YieldCurve,Discounting,,_xll.ohTrigger(Trigger,RecalcTrigger))</f>
        <v>obj_00728#0001</v>
      </c>
      <c r="Q61" s="218">
        <f>_xll.qlIndexFixing(P61,$V$19,TRUE,Trigger)</f>
        <v>2.2320000000017833E-2</v>
      </c>
      <c r="R61" s="219">
        <f t="shared" si="4"/>
        <v>1.7829487886089623E-14</v>
      </c>
      <c r="S61" s="202"/>
      <c r="U61" s="213" t="str">
        <f t="shared" si="3"/>
        <v>1D</v>
      </c>
      <c r="V61" s="201">
        <f>_xll.qlCalendarAdvance(Calendar,V60,U61,"f",FALSE)</f>
        <v>41849</v>
      </c>
      <c r="W61" s="225">
        <f>_xll.qlCalendarAdvance(Calendar,V61,NDays&amp;"D")</f>
        <v>41851</v>
      </c>
      <c r="X61" s="200">
        <v>3.1764839953347013E-3</v>
      </c>
      <c r="Y61" s="209">
        <v>4.4911775433043033E-3</v>
      </c>
    </row>
    <row r="62" spans="10:25" x14ac:dyDescent="0.2">
      <c r="L62" s="213" t="str">
        <v>EUR_YC6MRH_AB6E21Y</v>
      </c>
      <c r="M62" s="201">
        <f>_xll.qlRateHelperLatestDate(L62,Trigger)</f>
        <v>49464</v>
      </c>
      <c r="N62" s="228">
        <f>_xll.qlRateHelperQuoteValue(L62,_xll.ohTrigger(RecalcTrigger,YieldCurve))</f>
        <v>2.249E-2</v>
      </c>
      <c r="O62" s="233" t="s">
        <v>13</v>
      </c>
      <c r="P62" s="231" t="str">
        <f>_xll.qlEuriborSwap(,"IsdaFixA",Monitor!O62,YieldCurve,Discounting,,_xll.ohTrigger(Trigger,RecalcTrigger))</f>
        <v>obj_00733#0001</v>
      </c>
      <c r="Q62" s="218">
        <f>_xll.qlIndexFixing(P62,$V$19,TRUE,Trigger)</f>
        <v>2.2497711932968283E-2</v>
      </c>
      <c r="R62" s="219">
        <f t="shared" si="4"/>
        <v>7.711932968283014E-6</v>
      </c>
      <c r="S62" s="202"/>
      <c r="U62" s="213" t="str">
        <f t="shared" si="3"/>
        <v>1D</v>
      </c>
      <c r="V62" s="201">
        <f>_xll.qlCalendarAdvance(Calendar,V61,U62,"f",FALSE)</f>
        <v>41850</v>
      </c>
      <c r="W62" s="225">
        <f>_xll.qlCalendarAdvance(Calendar,V62,NDays&amp;"D")</f>
        <v>41852</v>
      </c>
      <c r="X62" s="200">
        <v>3.1829017934289889E-3</v>
      </c>
      <c r="Y62" s="209">
        <v>4.4382272225096386E-3</v>
      </c>
    </row>
    <row r="63" spans="10:25" x14ac:dyDescent="0.2">
      <c r="L63" s="213" t="str">
        <v>EUR_YC6MRH_AB6E22Y</v>
      </c>
      <c r="M63" s="201">
        <f>_xll.qlRateHelperLatestDate(L63,Trigger)</f>
        <v>49829</v>
      </c>
      <c r="N63" s="228">
        <f>_xll.qlRateHelperQuoteValue(L63,_xll.ohTrigger(RecalcTrigger,YieldCurve))</f>
        <v>2.2640000000000004E-2</v>
      </c>
      <c r="O63" s="232" t="s">
        <v>12</v>
      </c>
      <c r="P63" s="231" t="str">
        <f>_xll.qlEuriborSwap(,"IsdaFixA",Monitor!O63,YieldCurve,Discounting,,_xll.ohTrigger(Trigger,RecalcTrigger))</f>
        <v>obj_0073f#0001</v>
      </c>
      <c r="Q63" s="218">
        <f>_xll.qlIndexFixing(P63,$V$19,TRUE,Trigger)</f>
        <v>2.2643728390430891E-2</v>
      </c>
      <c r="R63" s="219">
        <f t="shared" si="4"/>
        <v>3.7283904308869908E-6</v>
      </c>
      <c r="S63" s="202"/>
      <c r="U63" s="213" t="str">
        <f t="shared" si="3"/>
        <v>1D</v>
      </c>
      <c r="V63" s="201">
        <f>_xll.qlCalendarAdvance(Calendar,V62,U63,"f",FALSE)</f>
        <v>41851</v>
      </c>
      <c r="W63" s="225">
        <f>_xll.qlCalendarAdvance(Calendar,V63,NDays&amp;"D")</f>
        <v>41855</v>
      </c>
      <c r="X63" s="200">
        <v>3.170000000000262E-3</v>
      </c>
      <c r="Y63" s="209">
        <v>4.3816689630205019E-3</v>
      </c>
    </row>
    <row r="64" spans="10:25" x14ac:dyDescent="0.2">
      <c r="L64" s="213" t="str">
        <v>EUR_YC6MRH_AB6E23Y</v>
      </c>
      <c r="M64" s="201">
        <f>_xll.qlRateHelperLatestDate(L64,Trigger)</f>
        <v>50194</v>
      </c>
      <c r="N64" s="228">
        <f>_xll.qlRateHelperQuoteValue(L64,_xll.ohTrigger(RecalcTrigger,YieldCurve))</f>
        <v>2.2749999999999999E-2</v>
      </c>
      <c r="O64" s="232" t="s">
        <v>11</v>
      </c>
      <c r="P64" s="231" t="str">
        <f>_xll.qlEuriborSwap(,"IsdaFixA",Monitor!O64,YieldCurve,Discounting,,_xll.ohTrigger(Trigger,RecalcTrigger))</f>
        <v>obj_00725#0001</v>
      </c>
      <c r="Q64" s="218">
        <f>_xll.qlIndexFixing(P64,$V$19,TRUE,Trigger)</f>
        <v>2.275764213235008E-2</v>
      </c>
      <c r="R64" s="219">
        <f t="shared" si="4"/>
        <v>7.6421323500809601E-6</v>
      </c>
      <c r="S64" s="202"/>
      <c r="U64" s="213" t="str">
        <f t="shared" si="3"/>
        <v>1D</v>
      </c>
      <c r="V64" s="201">
        <f>_xll.qlCalendarAdvance(Calendar,V63,U64,"f",FALSE)</f>
        <v>41852</v>
      </c>
      <c r="W64" s="225">
        <f>_xll.qlCalendarAdvance(Calendar,V64,NDays&amp;"D")</f>
        <v>41856</v>
      </c>
      <c r="X64" s="200">
        <v>3.1668070170587375E-3</v>
      </c>
      <c r="Y64" s="209">
        <v>4.3530888688092517E-3</v>
      </c>
    </row>
    <row r="65" spans="12:25" x14ac:dyDescent="0.2">
      <c r="L65" s="213" t="str">
        <v>EUR_YC6MRH_AB6E24Y</v>
      </c>
      <c r="M65" s="201">
        <f>_xll.qlRateHelperLatestDate(L65,Trigger)</f>
        <v>50559</v>
      </c>
      <c r="N65" s="228">
        <f>_xll.qlRateHelperQuoteValue(L65,_xll.ohTrigger(RecalcTrigger,YieldCurve))</f>
        <v>2.2850000000000002E-2</v>
      </c>
      <c r="O65" s="232" t="s">
        <v>10</v>
      </c>
      <c r="P65" s="231" t="str">
        <f>_xll.qlEuriborSwap(,"IsdaFixA",Monitor!O65,YieldCurve,Discounting,,_xll.ohTrigger(Trigger,RecalcTrigger))</f>
        <v>obj_00741#0001</v>
      </c>
      <c r="Q65" s="218">
        <f>_xll.qlIndexFixing(P65,$V$19,TRUE,Trigger)</f>
        <v>2.2845366671764327E-2</v>
      </c>
      <c r="R65" s="219">
        <f t="shared" si="4"/>
        <v>-4.6333282356751659E-6</v>
      </c>
      <c r="S65" s="202"/>
      <c r="U65" s="213" t="str">
        <f t="shared" si="3"/>
        <v>1D</v>
      </c>
      <c r="V65" s="201">
        <f>_xll.qlCalendarAdvance(Calendar,V64,U65,"f",FALSE)</f>
        <v>41855</v>
      </c>
      <c r="W65" s="225">
        <f>_xll.qlCalendarAdvance(Calendar,V65,NDays&amp;"D")</f>
        <v>41857</v>
      </c>
      <c r="X65" s="200">
        <v>3.1634477667117165E-3</v>
      </c>
      <c r="Y65" s="209">
        <v>4.325079085196748E-3</v>
      </c>
    </row>
    <row r="66" spans="12:25" x14ac:dyDescent="0.2">
      <c r="L66" s="213" t="str">
        <v>EUR_YC6MRH_AB6E25Y</v>
      </c>
      <c r="M66" s="201">
        <f>_xll.qlRateHelperLatestDate(L66,Trigger)</f>
        <v>50924</v>
      </c>
      <c r="N66" s="228">
        <f>_xll.qlRateHelperQuoteValue(L66,_xll.ohTrigger(RecalcTrigger,YieldCurve))</f>
        <v>2.291E-2</v>
      </c>
      <c r="O66" s="232" t="s">
        <v>9</v>
      </c>
      <c r="P66" s="231" t="str">
        <f>_xll.qlEuriborSwap(,"IsdaFixA",Monitor!O66,YieldCurve,Discounting,,_xll.ohTrigger(Trigger,RecalcTrigger))</f>
        <v>obj_00732#0001</v>
      </c>
      <c r="Q66" s="218">
        <f>_xll.qlIndexFixing(P66,$V$19,TRUE,Trigger)</f>
        <v>2.2909999999950189E-2</v>
      </c>
      <c r="R66" s="219">
        <f t="shared" si="4"/>
        <v>-4.9810849889198039E-14</v>
      </c>
      <c r="S66" s="202"/>
      <c r="U66" s="213" t="str">
        <f t="shared" si="3"/>
        <v>1D</v>
      </c>
      <c r="V66" s="201">
        <f>_xll.qlCalendarAdvance(Calendar,V65,U66,"f",FALSE)</f>
        <v>41856</v>
      </c>
      <c r="W66" s="225">
        <f>_xll.qlCalendarAdvance(Calendar,V66,NDays&amp;"D")</f>
        <v>41858</v>
      </c>
      <c r="X66" s="200">
        <v>3.164708510551248E-3</v>
      </c>
      <c r="Y66" s="209">
        <v>4.2976396121829907E-3</v>
      </c>
    </row>
    <row r="67" spans="12:25" x14ac:dyDescent="0.2">
      <c r="L67" s="213" t="str">
        <v>EUR_YC6MRH_AB6E26Y</v>
      </c>
      <c r="M67" s="201">
        <f>_xll.qlRateHelperLatestDate(L67,Trigger)</f>
        <v>51291</v>
      </c>
      <c r="N67" s="228">
        <f>_xll.qlRateHelperQuoteValue(L67,_xll.ohTrigger(RecalcTrigger,YieldCurve))</f>
        <v>2.2959999999999998E-2</v>
      </c>
      <c r="O67" s="232" t="s">
        <v>8</v>
      </c>
      <c r="P67" s="231" t="str">
        <f>_xll.qlEuriborSwap(,"IsdaFixA",Monitor!O67,YieldCurve,Discounting,,_xll.ohTrigger(Trigger,RecalcTrigger))</f>
        <v>obj_0071c#0001</v>
      </c>
      <c r="Q67" s="218">
        <f>_xll.qlIndexFixing(P67,$V$19,TRUE,Trigger)</f>
        <v>2.2956766344244314E-2</v>
      </c>
      <c r="R67" s="219">
        <f t="shared" si="4"/>
        <v>-3.2336557556841838E-6</v>
      </c>
      <c r="S67" s="202"/>
      <c r="U67" s="213" t="str">
        <f t="shared" si="3"/>
        <v>1D</v>
      </c>
      <c r="V67" s="201">
        <f>_xll.qlCalendarAdvance(Calendar,V66,U67,"f",FALSE)</f>
        <v>41857</v>
      </c>
      <c r="W67" s="225">
        <f>_xll.qlCalendarAdvance(Calendar,V67,NDays&amp;"D")</f>
        <v>41859</v>
      </c>
      <c r="X67" s="200">
        <v>3.1585468522724084E-3</v>
      </c>
      <c r="Y67" s="209">
        <v>4.2447117475852281E-3</v>
      </c>
    </row>
    <row r="68" spans="12:25" x14ac:dyDescent="0.2">
      <c r="L68" s="213" t="str">
        <v>EUR_YC6MRH_AB6E27Y</v>
      </c>
      <c r="M68" s="201">
        <f>_xll.qlRateHelperLatestDate(L68,Trigger)</f>
        <v>51655</v>
      </c>
      <c r="N68" s="228">
        <f>_xll.qlRateHelperQuoteValue(L68,_xll.ohTrigger(RecalcTrigger,YieldCurve))</f>
        <v>2.299E-2</v>
      </c>
      <c r="O68" s="232" t="s">
        <v>7</v>
      </c>
      <c r="P68" s="231" t="str">
        <f>_xll.qlEuriborSwap(,"IsdaFixA",Monitor!O68,YieldCurve,Discounting,,_xll.ohTrigger(Trigger,RecalcTrigger))</f>
        <v>obj_00735#0001</v>
      </c>
      <c r="Q68" s="218">
        <f>_xll.qlIndexFixing(P68,$V$19,TRUE,Trigger)</f>
        <v>2.2986965130945409E-2</v>
      </c>
      <c r="R68" s="219">
        <f t="shared" si="4"/>
        <v>-3.0348690545911605E-6</v>
      </c>
      <c r="S68" s="202"/>
      <c r="U68" s="213" t="str">
        <f t="shared" si="3"/>
        <v>1D</v>
      </c>
      <c r="V68" s="201">
        <f>_xll.qlCalendarAdvance(Calendar,V67,U68,"f",FALSE)</f>
        <v>41858</v>
      </c>
      <c r="W68" s="225">
        <f>_xll.qlCalendarAdvance(Calendar,V68,NDays&amp;"D")</f>
        <v>41862</v>
      </c>
      <c r="X68" s="200">
        <v>3.1444807251157021E-3</v>
      </c>
      <c r="Y68" s="209">
        <v>4.1935848222784955E-3</v>
      </c>
    </row>
    <row r="69" spans="12:25" x14ac:dyDescent="0.2">
      <c r="L69" s="213" t="str">
        <v>EUR_YC6MRH_AB6E28Y</v>
      </c>
      <c r="M69" s="201">
        <f>_xll.qlRateHelperLatestDate(L69,Trigger)</f>
        <v>52020</v>
      </c>
      <c r="N69" s="228">
        <f>_xll.qlRateHelperQuoteValue(L69,_xll.ohTrigger(RecalcTrigger,YieldCurve))</f>
        <v>2.3010000000000003E-2</v>
      </c>
      <c r="O69" s="232" t="s">
        <v>6</v>
      </c>
      <c r="P69" s="231" t="str">
        <f>_xll.qlEuriborSwap(,"IsdaFixA",Monitor!O69,YieldCurve,Discounting,,_xll.ohTrigger(Trigger,RecalcTrigger))</f>
        <v>obj_0072a#0001</v>
      </c>
      <c r="Q69" s="218">
        <f>_xll.qlIndexFixing(P69,$V$19,TRUE,Trigger)</f>
        <v>2.300793337512097E-2</v>
      </c>
      <c r="R69" s="219">
        <f t="shared" si="4"/>
        <v>-2.0666248790324193E-6</v>
      </c>
      <c r="S69" s="202"/>
      <c r="U69" s="213" t="str">
        <f t="shared" si="3"/>
        <v>1D</v>
      </c>
      <c r="V69" s="201">
        <f>_xll.qlCalendarAdvance(Calendar,V68,U69,"f",FALSE)</f>
        <v>41859</v>
      </c>
      <c r="W69" s="225">
        <f>_xll.qlCalendarAdvance(Calendar,V69,NDays&amp;"D")</f>
        <v>41863</v>
      </c>
      <c r="X69" s="200">
        <v>3.1403178025368743E-3</v>
      </c>
      <c r="Y69" s="209">
        <v>4.1689968998603888E-3</v>
      </c>
    </row>
    <row r="70" spans="12:25" x14ac:dyDescent="0.2">
      <c r="L70" s="213" t="str">
        <v>EUR_YC6MRH_AB6E29Y</v>
      </c>
      <c r="M70" s="201">
        <f>_xll.qlRateHelperLatestDate(L70,Trigger)</f>
        <v>52385</v>
      </c>
      <c r="N70" s="228">
        <f>_xll.qlRateHelperQuoteValue(L70,_xll.ohTrigger(RecalcTrigger,YieldCurve))</f>
        <v>2.3029999999999998E-2</v>
      </c>
      <c r="O70" s="232" t="s">
        <v>5</v>
      </c>
      <c r="P70" s="231" t="str">
        <f>_xll.qlEuriborSwap(,"IsdaFixA",Monitor!O70,YieldCurve,Discounting,,_xll.ohTrigger(Trigger,RecalcTrigger))</f>
        <v>obj_0072c#0001</v>
      </c>
      <c r="Q70" s="218">
        <f>_xll.qlIndexFixing(P70,$V$19,TRUE,Trigger)</f>
        <v>2.3023894448407505E-2</v>
      </c>
      <c r="R70" s="219">
        <f t="shared" si="4"/>
        <v>-6.105551592493208E-6</v>
      </c>
      <c r="S70" s="202"/>
      <c r="U70" s="213" t="str">
        <f t="shared" si="3"/>
        <v>1D</v>
      </c>
      <c r="V70" s="201">
        <f>_xll.qlCalendarAdvance(Calendar,V69,U70,"f",FALSE)</f>
        <v>41862</v>
      </c>
      <c r="W70" s="225">
        <f>_xll.qlCalendarAdvance(Calendar,V70,NDays&amp;"D")</f>
        <v>41864</v>
      </c>
      <c r="X70" s="200">
        <v>3.1360532562116714E-3</v>
      </c>
      <c r="Y70" s="209">
        <v>4.1449792871617319E-3</v>
      </c>
    </row>
    <row r="71" spans="12:25" x14ac:dyDescent="0.2">
      <c r="L71" s="213" t="str">
        <v>EUR_YC6MRH_AB6E30Y</v>
      </c>
      <c r="M71" s="201">
        <f>_xll.qlRateHelperLatestDate(L71,Trigger)</f>
        <v>52751</v>
      </c>
      <c r="N71" s="228">
        <f>_xll.qlRateHelperQuoteValue(L71,_xll.ohTrigger(RecalcTrigger,YieldCurve))</f>
        <v>2.3039999999999998E-2</v>
      </c>
      <c r="O71" s="232" t="s">
        <v>4</v>
      </c>
      <c r="P71" s="231" t="str">
        <f>_xll.qlEuriborSwap(,"IsdaFixA",Monitor!O71,YieldCurve,Discounting,,_xll.ohTrigger(Trigger,RecalcTrigger))</f>
        <v>obj_00724#0001</v>
      </c>
      <c r="Q71" s="218">
        <f>_xll.qlIndexFixing(P71,$V$19,TRUE,Trigger)</f>
        <v>2.3040000000003152E-2</v>
      </c>
      <c r="R71" s="219">
        <f t="shared" si="4"/>
        <v>3.1537272793258353E-15</v>
      </c>
      <c r="S71" s="202"/>
      <c r="U71" s="213" t="str">
        <f t="shared" si="3"/>
        <v>1D</v>
      </c>
      <c r="V71" s="201">
        <f>_xll.qlCalendarAdvance(Calendar,V70,U71,"f",FALSE)</f>
        <v>41863</v>
      </c>
      <c r="W71" s="225">
        <f>_xll.qlCalendarAdvance(Calendar,V71,NDays&amp;"D")</f>
        <v>41865</v>
      </c>
      <c r="X71" s="200">
        <v>3.1334296908998882E-3</v>
      </c>
      <c r="Y71" s="209">
        <v>4.1215319841825249E-3</v>
      </c>
    </row>
    <row r="72" spans="12:25" x14ac:dyDescent="0.2">
      <c r="L72" s="213" t="str">
        <v>EUR_YC6MRH_AB6E35Y</v>
      </c>
      <c r="M72" s="201">
        <f>_xll.qlRateHelperLatestDate(L72,Trigger)</f>
        <v>54577</v>
      </c>
      <c r="N72" s="228">
        <f>_xll.qlRateHelperQuoteValue(L72,_xll.ohTrigger(RecalcTrigger,YieldCurve))</f>
        <v>2.3140000000000001E-2</v>
      </c>
      <c r="O72" s="232" t="s">
        <v>3</v>
      </c>
      <c r="P72" s="231" t="str">
        <f>_xll.qlEuriborSwap(,"IsdaFixA",Monitor!O72,YieldCurve,Discounting,,_xll.ohTrigger(Trigger,RecalcTrigger))</f>
        <v>obj_0071e#0001</v>
      </c>
      <c r="Q72" s="218">
        <f>_xll.qlIndexFixing(P72,$V$19,TRUE,Trigger)</f>
        <v>2.3139999999964838E-2</v>
      </c>
      <c r="R72" s="219">
        <f t="shared" si="4"/>
        <v>-3.516284485804988E-14</v>
      </c>
      <c r="S72" s="202"/>
      <c r="U72" s="213" t="str">
        <f t="shared" si="3"/>
        <v>1D</v>
      </c>
      <c r="V72" s="201">
        <f>_xll.qlCalendarAdvance(Calendar,V71,U72,"f",FALSE)</f>
        <v>41864</v>
      </c>
      <c r="W72" s="225">
        <f>_xll.qlCalendarAdvance(Calendar,V72,NDays&amp;"D")</f>
        <v>41866</v>
      </c>
      <c r="X72" s="200">
        <v>3.1280527852849977E-3</v>
      </c>
      <c r="Y72" s="209">
        <v>4.0765845709245241E-3</v>
      </c>
    </row>
    <row r="73" spans="12:25" x14ac:dyDescent="0.2">
      <c r="L73" s="213" t="str">
        <v>EUR_YC6MRH_AB6E40Y</v>
      </c>
      <c r="M73" s="201">
        <f>_xll.qlRateHelperLatestDate(L73,Trigger)</f>
        <v>56403</v>
      </c>
      <c r="N73" s="228">
        <f>_xll.qlRateHelperQuoteValue(L73,_xll.ohTrigger(RecalcTrigger,YieldCurve))</f>
        <v>2.3250000000000003E-2</v>
      </c>
      <c r="O73" s="232" t="s">
        <v>2</v>
      </c>
      <c r="P73" s="231" t="str">
        <f>_xll.qlEuriborSwap(,"IsdaFixA",Monitor!O73,YieldCurve,Discounting,,_xll.ohTrigger(Trigger,RecalcTrigger))</f>
        <v>obj_00738#0001</v>
      </c>
      <c r="Q73" s="218">
        <f>_xll.qlIndexFixing(P73,$V$19,TRUE,Trigger)</f>
        <v>2.3250000000029608E-2</v>
      </c>
      <c r="R73" s="219">
        <f t="shared" si="4"/>
        <v>2.960479084102019E-14</v>
      </c>
      <c r="S73" s="202"/>
      <c r="U73" s="213" t="str">
        <f t="shared" si="3"/>
        <v>1D</v>
      </c>
      <c r="V73" s="201">
        <f>_xll.qlCalendarAdvance(Calendar,V72,U73,"f",FALSE)</f>
        <v>41865</v>
      </c>
      <c r="W73" s="225">
        <f>_xll.qlCalendarAdvance(Calendar,V73,NDays&amp;"D")</f>
        <v>41869</v>
      </c>
      <c r="X73" s="200">
        <v>3.1135293768804464E-3</v>
      </c>
      <c r="Y73" s="209">
        <v>4.0334458661828165E-3</v>
      </c>
    </row>
    <row r="74" spans="12:25" x14ac:dyDescent="0.2">
      <c r="L74" s="213" t="str">
        <v>EUR_YC6MRH_AB6E50Y</v>
      </c>
      <c r="M74" s="201">
        <f>_xll.qlRateHelperLatestDate(L74,Trigger)</f>
        <v>60056</v>
      </c>
      <c r="N74" s="228">
        <f>_xll.qlRateHelperQuoteValue(L74,_xll.ohTrigger(RecalcTrigger,YieldCurve))</f>
        <v>2.3269999999999999E-2</v>
      </c>
      <c r="O74" s="232" t="s">
        <v>1</v>
      </c>
      <c r="P74" s="231" t="str">
        <f>_xll.qlEuriborSwap(,"IsdaFixA",Monitor!O74,YieldCurve,Discounting,,_xll.ohTrigger(Trigger,RecalcTrigger))</f>
        <v>obj_0073d#0001</v>
      </c>
      <c r="Q74" s="218">
        <f>_xll.qlIndexFixing(P74,$V$19,TRUE,Trigger)</f>
        <v>2.326999999996654E-2</v>
      </c>
      <c r="R74" s="219">
        <f t="shared" si="4"/>
        <v>-3.3459346404640655E-14</v>
      </c>
      <c r="S74" s="202"/>
      <c r="U74" s="213" t="str">
        <f t="shared" si="3"/>
        <v>1D</v>
      </c>
      <c r="V74" s="201">
        <f>_xll.qlCalendarAdvance(Calendar,V73,U74,"f",FALSE)</f>
        <v>41866</v>
      </c>
      <c r="W74" s="225">
        <f>_xll.qlCalendarAdvance(Calendar,V74,NDays&amp;"D")</f>
        <v>41870</v>
      </c>
      <c r="X74" s="200">
        <v>3.1088490121303335E-3</v>
      </c>
      <c r="Y74" s="209">
        <v>4.0128501098024572E-3</v>
      </c>
    </row>
    <row r="75" spans="12:25" ht="12" thickBot="1" x14ac:dyDescent="0.25">
      <c r="L75" s="214" t="str">
        <v>EUR_YC6MRH_AB6E60Y</v>
      </c>
      <c r="M75" s="211">
        <f>_xll.qlRateHelperLatestDate(L75,Trigger)</f>
        <v>63709</v>
      </c>
      <c r="N75" s="229">
        <f>_xll.qlRateHelperQuoteValue(L75,_xll.ohTrigger(RecalcTrigger,YieldCurve))</f>
        <v>2.3399999999999997E-2</v>
      </c>
      <c r="O75" s="234" t="s">
        <v>0</v>
      </c>
      <c r="P75" s="235" t="str">
        <f>_xll.qlEuriborSwap(,"IsdaFixA",Monitor!O75,YieldCurve,Discounting,,_xll.ohTrigger(Trigger,RecalcTrigger))</f>
        <v>obj_0072f#0001</v>
      </c>
      <c r="Q75" s="220">
        <f>_xll.qlIndexFixing(P75,$V$19,TRUE,Trigger)</f>
        <v>2.340000000002633E-2</v>
      </c>
      <c r="R75" s="221">
        <f t="shared" si="4"/>
        <v>2.6333102365327932E-14</v>
      </c>
      <c r="S75" s="202"/>
      <c r="U75" s="213" t="str">
        <f t="shared" si="3"/>
        <v>1D</v>
      </c>
      <c r="V75" s="201">
        <f>_xll.qlCalendarAdvance(Calendar,V74,U75,"f",FALSE)</f>
        <v>41869</v>
      </c>
      <c r="W75" s="225">
        <f>_xll.qlCalendarAdvance(Calendar,V75,NDays&amp;"D")</f>
        <v>41871</v>
      </c>
      <c r="X75" s="200">
        <v>3.1041316642640864E-3</v>
      </c>
      <c r="Y75" s="209">
        <v>3.992824662342187E-3</v>
      </c>
    </row>
    <row r="76" spans="12:25" x14ac:dyDescent="0.2">
      <c r="U76" s="213" t="str">
        <f t="shared" si="3"/>
        <v>1D</v>
      </c>
      <c r="V76" s="201">
        <f>_xll.qlCalendarAdvance(Calendar,V75,U76,"f",FALSE)</f>
        <v>41870</v>
      </c>
      <c r="W76" s="225">
        <f>_xll.qlCalendarAdvance(Calendar,V76,NDays&amp;"D")</f>
        <v>41872</v>
      </c>
      <c r="X76" s="200">
        <v>3.0993162874382741E-3</v>
      </c>
      <c r="Y76" s="209">
        <v>3.9733695238819422E-3</v>
      </c>
    </row>
    <row r="77" spans="12:25" x14ac:dyDescent="0.2">
      <c r="U77" s="213" t="str">
        <f t="shared" si="3"/>
        <v>1D</v>
      </c>
      <c r="V77" s="201">
        <f>_xll.qlCalendarAdvance(Calendar,V76,U77,"f",FALSE)</f>
        <v>41871</v>
      </c>
      <c r="W77" s="225">
        <f>_xll.qlCalendarAdvance(Calendar,V77,NDays&amp;"D")</f>
        <v>41873</v>
      </c>
      <c r="X77" s="200">
        <v>3.0945575202922294E-3</v>
      </c>
      <c r="Y77" s="209">
        <v>3.9364033175459667E-3</v>
      </c>
    </row>
    <row r="78" spans="12:25" x14ac:dyDescent="0.2">
      <c r="U78" s="213" t="str">
        <f t="shared" si="3"/>
        <v>1D</v>
      </c>
      <c r="V78" s="201">
        <f>_xll.qlCalendarAdvance(Calendar,V77,U78,"f",FALSE)</f>
        <v>41872</v>
      </c>
      <c r="W78" s="225">
        <f>_xll.qlCalendarAdvance(Calendar,V78,NDays&amp;"D")</f>
        <v>41876</v>
      </c>
      <c r="X78" s="200">
        <v>3.0803133668466658E-3</v>
      </c>
      <c r="Y78" s="209">
        <v>3.901252057403326E-3</v>
      </c>
    </row>
    <row r="79" spans="12:25" x14ac:dyDescent="0.2">
      <c r="U79" s="213" t="str">
        <f t="shared" si="3"/>
        <v>1D</v>
      </c>
      <c r="V79" s="201">
        <f>_xll.qlCalendarAdvance(Calendar,V78,U79,"f",FALSE)</f>
        <v>41873</v>
      </c>
      <c r="W79" s="225">
        <f>_xll.qlCalendarAdvance(Calendar,V79,NDays&amp;"D")</f>
        <v>41877</v>
      </c>
      <c r="X79" s="200">
        <v>3.0755680322275031E-3</v>
      </c>
      <c r="Y79" s="209">
        <v>3.8846484621846145E-3</v>
      </c>
    </row>
    <row r="80" spans="12:25" x14ac:dyDescent="0.2">
      <c r="U80" s="213" t="str">
        <f t="shared" si="3"/>
        <v>1D</v>
      </c>
      <c r="V80" s="201">
        <f>_xll.qlCalendarAdvance(Calendar,V79,U80,"f",FALSE)</f>
        <v>41876</v>
      </c>
      <c r="W80" s="225">
        <f>_xll.qlCalendarAdvance(Calendar,V80,NDays&amp;"D")</f>
        <v>41878</v>
      </c>
      <c r="X80" s="200">
        <v>3.0708503509731559E-3</v>
      </c>
      <c r="Y80" s="209">
        <v>3.8686151754063758E-3</v>
      </c>
    </row>
    <row r="81" spans="21:25" x14ac:dyDescent="0.2">
      <c r="U81" s="213" t="str">
        <f t="shared" si="3"/>
        <v>1D</v>
      </c>
      <c r="V81" s="201">
        <f>_xll.qlCalendarAdvance(Calendar,V80,U81,"f",FALSE)</f>
        <v>41877</v>
      </c>
      <c r="W81" s="225">
        <f>_xll.qlCalendarAdvance(Calendar,V81,NDays&amp;"D")</f>
        <v>41879</v>
      </c>
      <c r="X81" s="200">
        <v>3.0664580277201072E-3</v>
      </c>
      <c r="Y81" s="209">
        <v>3.8531521969087379E-3</v>
      </c>
    </row>
    <row r="82" spans="21:25" x14ac:dyDescent="0.2">
      <c r="U82" s="213" t="str">
        <f t="shared" si="3"/>
        <v>1D</v>
      </c>
      <c r="V82" s="201">
        <f>_xll.qlCalendarAdvance(Calendar,V81,U82,"f",FALSE)</f>
        <v>41878</v>
      </c>
      <c r="W82" s="225">
        <f>_xll.qlCalendarAdvance(Calendar,V82,NDays&amp;"D")</f>
        <v>41880</v>
      </c>
      <c r="X82" s="200">
        <v>3.0621027579848083E-3</v>
      </c>
      <c r="Y82" s="209">
        <v>3.8241678894479492E-3</v>
      </c>
    </row>
    <row r="83" spans="21:25" x14ac:dyDescent="0.2">
      <c r="U83" s="213" t="str">
        <f t="shared" si="3"/>
        <v>1D</v>
      </c>
      <c r="V83" s="201">
        <f>_xll.qlCalendarAdvance(Calendar,V82,U83,"f",FALSE)</f>
        <v>41879</v>
      </c>
      <c r="W83" s="225">
        <f>_xll.qlCalendarAdvance(Calendar,V83,NDays&amp;"D")</f>
        <v>41883</v>
      </c>
      <c r="X83" s="200">
        <v>3.0485378830081224E-3</v>
      </c>
      <c r="Y83" s="209">
        <v>3.7970033650047696E-3</v>
      </c>
    </row>
    <row r="84" spans="21:25" x14ac:dyDescent="0.2">
      <c r="U84" s="213" t="str">
        <f t="shared" si="3"/>
        <v>1D</v>
      </c>
      <c r="V84" s="201">
        <f>_xll.qlCalendarAdvance(Calendar,V83,U84,"f",FALSE)</f>
        <v>41880</v>
      </c>
      <c r="W84" s="225">
        <f>_xll.qlCalendarAdvance(Calendar,V84,NDays&amp;"D")</f>
        <v>41884</v>
      </c>
      <c r="X84" s="200">
        <v>3.0443706049173157E-3</v>
      </c>
      <c r="Y84" s="209">
        <v>3.7843919271907112E-3</v>
      </c>
    </row>
    <row r="85" spans="21:25" x14ac:dyDescent="0.2">
      <c r="U85" s="213" t="str">
        <f t="shared" ref="U85:U148" si="5">U84</f>
        <v>1D</v>
      </c>
      <c r="V85" s="201">
        <f>_xll.qlCalendarAdvance(Calendar,V84,U85,"f",FALSE)</f>
        <v>41883</v>
      </c>
      <c r="W85" s="225">
        <f>_xll.qlCalendarAdvance(Calendar,V85,NDays&amp;"D")</f>
        <v>41885</v>
      </c>
      <c r="X85" s="200">
        <v>3.0400000000002187E-3</v>
      </c>
      <c r="Y85" s="209">
        <v>3.7723349941387596E-3</v>
      </c>
    </row>
    <row r="86" spans="21:25" x14ac:dyDescent="0.2">
      <c r="U86" s="213" t="str">
        <f t="shared" si="5"/>
        <v>1D</v>
      </c>
      <c r="V86" s="201">
        <f>_xll.qlCalendarAdvance(Calendar,V85,U86,"f",FALSE)</f>
        <v>41884</v>
      </c>
      <c r="W86" s="225">
        <f>_xll.qlCalendarAdvance(Calendar,V86,NDays&amp;"D")</f>
        <v>41886</v>
      </c>
      <c r="X86" s="200">
        <v>3.0356934629996186E-3</v>
      </c>
      <c r="Y86" s="209">
        <v>3.760769353613469E-3</v>
      </c>
    </row>
    <row r="87" spans="21:25" x14ac:dyDescent="0.2">
      <c r="U87" s="213" t="str">
        <f t="shared" si="5"/>
        <v>1D</v>
      </c>
      <c r="V87" s="201">
        <f>_xll.qlCalendarAdvance(Calendar,V86,U87,"f",FALSE)</f>
        <v>41885</v>
      </c>
      <c r="W87" s="225">
        <f>_xll.qlCalendarAdvance(Calendar,V87,NDays&amp;"D")</f>
        <v>41887</v>
      </c>
      <c r="X87" s="200">
        <v>3.0314528548870028E-3</v>
      </c>
      <c r="Y87" s="209">
        <v>3.7392618751219686E-3</v>
      </c>
    </row>
    <row r="88" spans="21:25" x14ac:dyDescent="0.2">
      <c r="U88" s="213" t="str">
        <f t="shared" si="5"/>
        <v>1D</v>
      </c>
      <c r="V88" s="201">
        <f>_xll.qlCalendarAdvance(Calendar,V87,U88,"f",FALSE)</f>
        <v>41886</v>
      </c>
      <c r="W88" s="225">
        <f>_xll.qlCalendarAdvance(Calendar,V88,NDays&amp;"D")</f>
        <v>41890</v>
      </c>
      <c r="X88" s="200">
        <v>3.0190565184027322E-3</v>
      </c>
      <c r="Y88" s="209">
        <v>3.719261684071995E-3</v>
      </c>
    </row>
    <row r="89" spans="21:25" x14ac:dyDescent="0.2">
      <c r="U89" s="213" t="str">
        <f t="shared" si="5"/>
        <v>1D</v>
      </c>
      <c r="V89" s="201">
        <f>_xll.qlCalendarAdvance(Calendar,V88,U89,"f",FALSE)</f>
        <v>41887</v>
      </c>
      <c r="W89" s="225">
        <f>_xll.qlCalendarAdvance(Calendar,V89,NDays&amp;"D")</f>
        <v>41891</v>
      </c>
      <c r="X89" s="200">
        <v>3.015156831138904E-3</v>
      </c>
      <c r="Y89" s="209">
        <v>3.7100734896267085E-3</v>
      </c>
    </row>
    <row r="90" spans="21:25" x14ac:dyDescent="0.2">
      <c r="U90" s="213" t="str">
        <f t="shared" si="5"/>
        <v>1D</v>
      </c>
      <c r="V90" s="201">
        <f>_xll.qlCalendarAdvance(Calendar,V89,U90,"f",FALSE)</f>
        <v>41890</v>
      </c>
      <c r="W90" s="225">
        <f>_xll.qlCalendarAdvance(Calendar,V90,NDays&amp;"D")</f>
        <v>41892</v>
      </c>
      <c r="X90" s="200">
        <v>3.0112512073666655E-3</v>
      </c>
      <c r="Y90" s="209">
        <v>3.7013607843494611E-3</v>
      </c>
    </row>
    <row r="91" spans="21:25" x14ac:dyDescent="0.2">
      <c r="U91" s="213" t="str">
        <f t="shared" si="5"/>
        <v>1D</v>
      </c>
      <c r="V91" s="201">
        <f>_xll.qlCalendarAdvance(Calendar,V90,U91,"f",FALSE)</f>
        <v>41891</v>
      </c>
      <c r="W91" s="225">
        <f>_xll.qlCalendarAdvance(Calendar,V91,NDays&amp;"D")</f>
        <v>41893</v>
      </c>
      <c r="X91" s="200">
        <v>3.0074136484692679E-3</v>
      </c>
      <c r="Y91" s="209">
        <v>3.6931235680803809E-3</v>
      </c>
    </row>
    <row r="92" spans="21:25" x14ac:dyDescent="0.2">
      <c r="U92" s="213" t="str">
        <f t="shared" si="5"/>
        <v>1D</v>
      </c>
      <c r="V92" s="201">
        <f>_xll.qlCalendarAdvance(Calendar,V91,U92,"f",FALSE)</f>
        <v>41892</v>
      </c>
      <c r="W92" s="225">
        <f>_xll.qlCalendarAdvance(Calendar,V92,NDays&amp;"D")</f>
        <v>41894</v>
      </c>
      <c r="X92" s="200">
        <v>3.0036445104589479E-3</v>
      </c>
      <c r="Y92" s="209">
        <v>3.6782716807870486E-3</v>
      </c>
    </row>
    <row r="93" spans="21:25" x14ac:dyDescent="0.2">
      <c r="U93" s="213" t="str">
        <f t="shared" si="5"/>
        <v>1D</v>
      </c>
      <c r="V93" s="201">
        <f>_xll.qlCalendarAdvance(Calendar,V92,U93,"f",FALSE)</f>
        <v>41893</v>
      </c>
      <c r="W93" s="225">
        <f>_xll.qlCalendarAdvance(Calendar,V93,NDays&amp;"D")</f>
        <v>41897</v>
      </c>
      <c r="X93" s="200">
        <v>2.9930020264151034E-3</v>
      </c>
      <c r="Y93" s="209">
        <v>3.6649295931656667E-3</v>
      </c>
    </row>
    <row r="94" spans="21:25" x14ac:dyDescent="0.2">
      <c r="U94" s="213" t="str">
        <f t="shared" si="5"/>
        <v>1D</v>
      </c>
      <c r="V94" s="201">
        <f>_xll.qlCalendarAdvance(Calendar,V93,U94,"f",FALSE)</f>
        <v>41894</v>
      </c>
      <c r="W94" s="225">
        <f>_xll.qlCalendarAdvance(Calendar,V94,NDays&amp;"D")</f>
        <v>41898</v>
      </c>
      <c r="X94" s="200">
        <v>2.9892592876806759E-3</v>
      </c>
      <c r="Y94" s="209">
        <v>3.6590698219374218E-3</v>
      </c>
    </row>
    <row r="95" spans="21:25" x14ac:dyDescent="0.2">
      <c r="U95" s="213" t="str">
        <f t="shared" si="5"/>
        <v>1D</v>
      </c>
      <c r="V95" s="201">
        <f>_xll.qlCalendarAdvance(Calendar,V94,U95,"f",FALSE)</f>
        <v>41897</v>
      </c>
      <c r="W95" s="225">
        <f>_xll.qlCalendarAdvance(Calendar,V95,NDays&amp;"D")</f>
        <v>41899</v>
      </c>
      <c r="X95" s="200">
        <v>2.9858375944403276E-3</v>
      </c>
      <c r="Y95" s="209">
        <v>3.6536855394775358E-3</v>
      </c>
    </row>
    <row r="96" spans="21:25" x14ac:dyDescent="0.2">
      <c r="U96" s="213" t="str">
        <f t="shared" si="5"/>
        <v>1D</v>
      </c>
      <c r="V96" s="201">
        <f>_xll.qlCalendarAdvance(Calendar,V95,U96,"f",FALSE)</f>
        <v>41898</v>
      </c>
      <c r="W96" s="225">
        <f>_xll.qlCalendarAdvance(Calendar,V96,NDays&amp;"D")</f>
        <v>41900</v>
      </c>
      <c r="X96" s="200">
        <v>2.9824864582536593E-3</v>
      </c>
      <c r="Y96" s="209">
        <v>3.6487767459458809E-3</v>
      </c>
    </row>
    <row r="97" spans="21:25" x14ac:dyDescent="0.2">
      <c r="U97" s="213" t="str">
        <f t="shared" si="5"/>
        <v>1D</v>
      </c>
      <c r="V97" s="201">
        <f>_xll.qlCalendarAdvance(Calendar,V96,U97,"f",FALSE)</f>
        <v>41899</v>
      </c>
      <c r="W97" s="225">
        <f>_xll.qlCalendarAdvance(Calendar,V97,NDays&amp;"D")</f>
        <v>41901</v>
      </c>
      <c r="X97" s="200">
        <v>2.9792062351655883E-3</v>
      </c>
      <c r="Y97" s="209">
        <v>3.6405809372741516E-3</v>
      </c>
    </row>
    <row r="98" spans="21:25" x14ac:dyDescent="0.2">
      <c r="U98" s="213" t="str">
        <f t="shared" si="5"/>
        <v>1D</v>
      </c>
      <c r="V98" s="201">
        <f>_xll.qlCalendarAdvance(Calendar,V97,U98,"f",FALSE)</f>
        <v>41900</v>
      </c>
      <c r="W98" s="225">
        <f>_xll.qlCalendarAdvance(Calendar,V98,NDays&amp;"D")</f>
        <v>41904</v>
      </c>
      <c r="X98" s="200">
        <v>2.9704967340974595E-3</v>
      </c>
      <c r="Y98" s="209">
        <v>3.6338964603022106E-3</v>
      </c>
    </row>
    <row r="99" spans="21:25" x14ac:dyDescent="0.2">
      <c r="U99" s="213" t="str">
        <f t="shared" si="5"/>
        <v>1D</v>
      </c>
      <c r="V99" s="201">
        <f>_xll.qlCalendarAdvance(Calendar,V98,U99,"f",FALSE)</f>
        <v>41901</v>
      </c>
      <c r="W99" s="225">
        <f>_xll.qlCalendarAdvance(Calendar,V99,NDays&amp;"D")</f>
        <v>41905</v>
      </c>
      <c r="X99" s="200">
        <v>2.966801594879582E-3</v>
      </c>
      <c r="Y99" s="209">
        <v>3.6313651109320944E-3</v>
      </c>
    </row>
    <row r="100" spans="21:25" x14ac:dyDescent="0.2">
      <c r="U100" s="213" t="str">
        <f t="shared" si="5"/>
        <v>1D</v>
      </c>
      <c r="V100" s="201">
        <f>_xll.qlCalendarAdvance(Calendar,V99,U100,"f",FALSE)</f>
        <v>41904</v>
      </c>
      <c r="W100" s="225">
        <f>_xll.qlCalendarAdvance(Calendar,V100,NDays&amp;"D")</f>
        <v>41906</v>
      </c>
      <c r="X100" s="200">
        <v>2.9638812781424212E-3</v>
      </c>
      <c r="Y100" s="209">
        <v>3.629309250330337E-3</v>
      </c>
    </row>
    <row r="101" spans="21:25" x14ac:dyDescent="0.2">
      <c r="U101" s="213" t="str">
        <f t="shared" si="5"/>
        <v>1D</v>
      </c>
      <c r="V101" s="201">
        <f>_xll.qlCalendarAdvance(Calendar,V100,U101,"f",FALSE)</f>
        <v>41905</v>
      </c>
      <c r="W101" s="225">
        <f>_xll.qlCalendarAdvance(Calendar,V101,NDays&amp;"D")</f>
        <v>41907</v>
      </c>
      <c r="X101" s="200">
        <v>2.9610340108868621E-3</v>
      </c>
      <c r="Y101" s="209">
        <v>3.6277288785768746E-3</v>
      </c>
    </row>
    <row r="102" spans="21:25" x14ac:dyDescent="0.2">
      <c r="U102" s="213" t="str">
        <f t="shared" si="5"/>
        <v>1D</v>
      </c>
      <c r="V102" s="201">
        <f>_xll.qlCalendarAdvance(Calendar,V101,U102,"f",FALSE)</f>
        <v>41906</v>
      </c>
      <c r="W102" s="225">
        <f>_xll.qlCalendarAdvance(Calendar,V102,NDays&amp;"D")</f>
        <v>41908</v>
      </c>
      <c r="X102" s="200">
        <v>2.9582601491958027E-3</v>
      </c>
      <c r="Y102" s="209">
        <v>3.6261896226807977E-3</v>
      </c>
    </row>
    <row r="103" spans="21:25" x14ac:dyDescent="0.2">
      <c r="U103" s="213" t="str">
        <f t="shared" si="5"/>
        <v>1D</v>
      </c>
      <c r="V103" s="201">
        <f>_xll.qlCalendarAdvance(Calendar,V102,U103,"f",FALSE)</f>
        <v>41907</v>
      </c>
      <c r="W103" s="225">
        <f>_xll.qlCalendarAdvance(Calendar,V103,NDays&amp;"D")</f>
        <v>41911</v>
      </c>
      <c r="X103" s="200">
        <v>2.9516620936317389E-3</v>
      </c>
      <c r="Y103" s="209">
        <v>3.6261622792466142E-3</v>
      </c>
    </row>
    <row r="104" spans="21:25" x14ac:dyDescent="0.2">
      <c r="U104" s="213" t="str">
        <f t="shared" si="5"/>
        <v>1D</v>
      </c>
      <c r="V104" s="201">
        <f>_xll.qlCalendarAdvance(Calendar,V103,U104,"f",FALSE)</f>
        <v>41908</v>
      </c>
      <c r="W104" s="225">
        <f>_xll.qlCalendarAdvance(Calendar,V104,NDays&amp;"D")</f>
        <v>41912</v>
      </c>
      <c r="X104" s="200">
        <v>2.9492781582020179E-3</v>
      </c>
      <c r="Y104" s="209">
        <v>3.6269593513349463E-3</v>
      </c>
    </row>
    <row r="105" spans="21:25" x14ac:dyDescent="0.2">
      <c r="U105" s="213" t="str">
        <f t="shared" si="5"/>
        <v>1D</v>
      </c>
      <c r="V105" s="201">
        <f>_xll.qlCalendarAdvance(Calendar,V104,U105,"f",FALSE)</f>
        <v>41911</v>
      </c>
      <c r="W105" s="225">
        <f>_xll.qlCalendarAdvance(Calendar,V105,NDays&amp;"D")</f>
        <v>41913</v>
      </c>
      <c r="X105" s="200">
        <v>2.9469719670944857E-3</v>
      </c>
      <c r="Y105" s="209">
        <v>3.6282319121916373E-3</v>
      </c>
    </row>
    <row r="106" spans="21:25" x14ac:dyDescent="0.2">
      <c r="U106" s="213" t="str">
        <f t="shared" si="5"/>
        <v>1D</v>
      </c>
      <c r="V106" s="201">
        <f>_xll.qlCalendarAdvance(Calendar,V105,U106,"f",FALSE)</f>
        <v>41912</v>
      </c>
      <c r="W106" s="225">
        <f>_xll.qlCalendarAdvance(Calendar,V106,NDays&amp;"D")</f>
        <v>41914</v>
      </c>
      <c r="X106" s="200">
        <v>2.9447438744777048E-3</v>
      </c>
      <c r="Y106" s="209">
        <v>3.6299799618966233E-3</v>
      </c>
    </row>
    <row r="107" spans="21:25" x14ac:dyDescent="0.2">
      <c r="U107" s="213" t="str">
        <f t="shared" si="5"/>
        <v>1D</v>
      </c>
      <c r="V107" s="201">
        <f>_xll.qlCalendarAdvance(Calendar,V106,U107,"f",FALSE)</f>
        <v>41913</v>
      </c>
      <c r="W107" s="225">
        <f>_xll.qlCalendarAdvance(Calendar,V107,NDays&amp;"D")</f>
        <v>41915</v>
      </c>
      <c r="X107" s="200">
        <v>2.9499999999997714E-3</v>
      </c>
      <c r="Y107" s="209">
        <v>3.6308430597031816E-3</v>
      </c>
    </row>
    <row r="108" spans="21:25" x14ac:dyDescent="0.2">
      <c r="U108" s="213" t="str">
        <f t="shared" si="5"/>
        <v>1D</v>
      </c>
      <c r="V108" s="201">
        <f>_xll.qlCalendarAdvance(Calendar,V107,U108,"f",FALSE)</f>
        <v>41914</v>
      </c>
      <c r="W108" s="225">
        <f>_xll.qlCalendarAdvance(Calendar,V108,NDays&amp;"D")</f>
        <v>41918</v>
      </c>
      <c r="X108" s="200">
        <v>2.9387497205400561E-3</v>
      </c>
      <c r="Y108" s="209">
        <v>3.6242359850024997E-3</v>
      </c>
    </row>
    <row r="109" spans="21:25" x14ac:dyDescent="0.2">
      <c r="U109" s="213" t="str">
        <f t="shared" si="5"/>
        <v>1D</v>
      </c>
      <c r="V109" s="201">
        <f>_xll.qlCalendarAdvance(Calendar,V108,U109,"f",FALSE)</f>
        <v>41915</v>
      </c>
      <c r="W109" s="225">
        <f>_xll.qlCalendarAdvance(Calendar,V109,NDays&amp;"D")</f>
        <v>41919</v>
      </c>
      <c r="X109" s="200">
        <v>2.934953765368373E-3</v>
      </c>
      <c r="Y109" s="209">
        <v>3.6170159241333266E-3</v>
      </c>
    </row>
    <row r="110" spans="21:25" x14ac:dyDescent="0.2">
      <c r="U110" s="213" t="str">
        <f t="shared" si="5"/>
        <v>1D</v>
      </c>
      <c r="V110" s="201">
        <f>_xll.qlCalendarAdvance(Calendar,V109,U110,"f",FALSE)</f>
        <v>41918</v>
      </c>
      <c r="W110" s="225">
        <f>_xll.qlCalendarAdvance(Calendar,V110,NDays&amp;"D")</f>
        <v>41920</v>
      </c>
      <c r="X110" s="200">
        <v>2.9333566032708502E-3</v>
      </c>
      <c r="Y110" s="209">
        <v>3.6074349636283642E-3</v>
      </c>
    </row>
    <row r="111" spans="21:25" x14ac:dyDescent="0.2">
      <c r="U111" s="213" t="str">
        <f t="shared" si="5"/>
        <v>1D</v>
      </c>
      <c r="V111" s="201">
        <f>_xll.qlCalendarAdvance(Calendar,V110,U111,"f",FALSE)</f>
        <v>41919</v>
      </c>
      <c r="W111" s="225">
        <f>_xll.qlCalendarAdvance(Calendar,V111,NDays&amp;"D")</f>
        <v>41921</v>
      </c>
      <c r="X111" s="200">
        <v>2.9318954089865997E-3</v>
      </c>
      <c r="Y111" s="209">
        <v>3.5954931038073568E-3</v>
      </c>
    </row>
    <row r="112" spans="21:25" x14ac:dyDescent="0.2">
      <c r="U112" s="213" t="str">
        <f t="shared" si="5"/>
        <v>1D</v>
      </c>
      <c r="V112" s="201">
        <f>_xll.qlCalendarAdvance(Calendar,V111,U112,"f",FALSE)</f>
        <v>41920</v>
      </c>
      <c r="W112" s="225">
        <f>_xll.qlCalendarAdvance(Calendar,V112,NDays&amp;"D")</f>
        <v>41922</v>
      </c>
      <c r="X112" s="200">
        <v>2.9305634968438254E-3</v>
      </c>
      <c r="Y112" s="209">
        <v>3.5637749988381984E-3</v>
      </c>
    </row>
    <row r="113" spans="21:25" x14ac:dyDescent="0.2">
      <c r="U113" s="213" t="str">
        <f t="shared" si="5"/>
        <v>1D</v>
      </c>
      <c r="V113" s="201">
        <f>_xll.qlCalendarAdvance(Calendar,V112,U113,"f",FALSE)</f>
        <v>41921</v>
      </c>
      <c r="W113" s="225">
        <f>_xll.qlCalendarAdvance(Calendar,V113,NDays&amp;"D")</f>
        <v>41925</v>
      </c>
      <c r="X113" s="200">
        <v>2.9272765971828057E-3</v>
      </c>
      <c r="Y113" s="209">
        <v>3.5241166755994868E-3</v>
      </c>
    </row>
    <row r="114" spans="21:25" x14ac:dyDescent="0.2">
      <c r="U114" s="213" t="str">
        <f t="shared" si="5"/>
        <v>1D</v>
      </c>
      <c r="V114" s="201">
        <f>_xll.qlCalendarAdvance(Calendar,V113,U114,"f",FALSE)</f>
        <v>41922</v>
      </c>
      <c r="W114" s="225">
        <f>_xll.qlCalendarAdvance(Calendar,V114,NDays&amp;"D")</f>
        <v>41926</v>
      </c>
      <c r="X114" s="200">
        <v>2.9263949577079734E-3</v>
      </c>
      <c r="Y114" s="209">
        <v>3.5003703231151206E-3</v>
      </c>
    </row>
    <row r="115" spans="21:25" x14ac:dyDescent="0.2">
      <c r="U115" s="213" t="str">
        <f t="shared" si="5"/>
        <v>1D</v>
      </c>
      <c r="V115" s="201">
        <f>_xll.qlCalendarAdvance(Calendar,V114,U115,"f",FALSE)</f>
        <v>41925</v>
      </c>
      <c r="W115" s="225">
        <f>_xll.qlCalendarAdvance(Calendar,V115,NDays&amp;"D")</f>
        <v>41927</v>
      </c>
      <c r="X115" s="200">
        <v>2.9256091725962693E-3</v>
      </c>
      <c r="Y115" s="209">
        <v>3.4742630733131108E-3</v>
      </c>
    </row>
    <row r="116" spans="21:25" x14ac:dyDescent="0.2">
      <c r="U116" s="213" t="str">
        <f t="shared" si="5"/>
        <v>1D</v>
      </c>
      <c r="V116" s="201">
        <f>_xll.qlCalendarAdvance(Calendar,V115,U116,"f",FALSE)</f>
        <v>41926</v>
      </c>
      <c r="W116" s="225">
        <f>_xll.qlCalendarAdvance(Calendar,V116,NDays&amp;"D")</f>
        <v>41928</v>
      </c>
      <c r="X116" s="200">
        <v>2.9249125563818863E-3</v>
      </c>
      <c r="Y116" s="209">
        <v>3.4457949268329457E-3</v>
      </c>
    </row>
    <row r="117" spans="21:25" x14ac:dyDescent="0.2">
      <c r="U117" s="213" t="str">
        <f t="shared" si="5"/>
        <v>1D</v>
      </c>
      <c r="V117" s="201">
        <f>_xll.qlCalendarAdvance(Calendar,V116,U117,"f",FALSE)</f>
        <v>41927</v>
      </c>
      <c r="W117" s="225">
        <f>_xll.qlCalendarAdvance(Calendar,V117,NDays&amp;"D")</f>
        <v>41929</v>
      </c>
      <c r="X117" s="200">
        <v>2.9242984236200987E-3</v>
      </c>
      <c r="Y117" s="209">
        <v>3.3810207327178432E-3</v>
      </c>
    </row>
    <row r="118" spans="21:25" x14ac:dyDescent="0.2">
      <c r="U118" s="213" t="str">
        <f t="shared" si="5"/>
        <v>1D</v>
      </c>
      <c r="V118" s="201">
        <f>_xll.qlCalendarAdvance(Calendar,V117,U118,"f",FALSE)</f>
        <v>41928</v>
      </c>
      <c r="W118" s="225">
        <f>_xll.qlCalendarAdvance(Calendar,V118,NDays&amp;"D")</f>
        <v>41932</v>
      </c>
      <c r="X118" s="200">
        <v>2.9228840718850285E-3</v>
      </c>
      <c r="Y118" s="209">
        <v>3.3083133847622292E-3</v>
      </c>
    </row>
    <row r="119" spans="21:25" x14ac:dyDescent="0.2">
      <c r="U119" s="213" t="str">
        <f t="shared" si="5"/>
        <v>1D</v>
      </c>
      <c r="V119" s="201">
        <f>_xll.qlCalendarAdvance(Calendar,V118,U119,"f",FALSE)</f>
        <v>41929</v>
      </c>
      <c r="W119" s="225">
        <f>_xll.qlCalendarAdvance(Calendar,V119,NDays&amp;"D")</f>
        <v>41933</v>
      </c>
      <c r="X119" s="200">
        <v>2.9225330188403726E-3</v>
      </c>
      <c r="Y119" s="209">
        <v>3.2680407635243824E-3</v>
      </c>
    </row>
    <row r="120" spans="21:25" x14ac:dyDescent="0.2">
      <c r="U120" s="213" t="str">
        <f t="shared" si="5"/>
        <v>1D</v>
      </c>
      <c r="V120" s="201">
        <f>_xll.qlCalendarAdvance(Calendar,V119,U120,"f",FALSE)</f>
        <v>41932</v>
      </c>
      <c r="W120" s="225">
        <f>_xll.qlCalendarAdvance(Calendar,V120,NDays&amp;"D")</f>
        <v>41934</v>
      </c>
      <c r="X120" s="200">
        <v>2.9222310222666902E-3</v>
      </c>
      <c r="Y120" s="209">
        <v>3.2254072497650554E-3</v>
      </c>
    </row>
    <row r="121" spans="21:25" x14ac:dyDescent="0.2">
      <c r="U121" s="213" t="str">
        <f t="shared" si="5"/>
        <v>1D</v>
      </c>
      <c r="V121" s="201">
        <f>_xll.qlCalendarAdvance(Calendar,V120,U121,"f",FALSE)</f>
        <v>41933</v>
      </c>
      <c r="W121" s="225">
        <f>_xll.qlCalendarAdvance(Calendar,V121,NDays&amp;"D")</f>
        <v>41935</v>
      </c>
      <c r="X121" s="200">
        <v>2.9219713967987529E-3</v>
      </c>
      <c r="Y121" s="209">
        <v>3.1804128439638646E-3</v>
      </c>
    </row>
    <row r="122" spans="21:25" x14ac:dyDescent="0.2">
      <c r="U122" s="213" t="str">
        <f t="shared" si="5"/>
        <v>1D</v>
      </c>
      <c r="V122" s="201">
        <f>_xll.qlCalendarAdvance(Calendar,V121,U122,"f",FALSE)</f>
        <v>41934</v>
      </c>
      <c r="W122" s="225">
        <f>_xll.qlCalendarAdvance(Calendar,V122,NDays&amp;"D")</f>
        <v>41936</v>
      </c>
      <c r="X122" s="200">
        <v>2.9217474570792375E-3</v>
      </c>
      <c r="Y122" s="209">
        <v>3.0825807898526847E-3</v>
      </c>
    </row>
    <row r="123" spans="21:25" x14ac:dyDescent="0.2">
      <c r="U123" s="213" t="str">
        <f t="shared" si="5"/>
        <v>1D</v>
      </c>
      <c r="V123" s="201">
        <f>_xll.qlCalendarAdvance(Calendar,V122,U123,"f",FALSE)</f>
        <v>41935</v>
      </c>
      <c r="W123" s="225">
        <f>_xll.qlCalendarAdvance(Calendar,V123,NDays&amp;"D")</f>
        <v>41939</v>
      </c>
      <c r="X123" s="200">
        <v>2.9212228989025616E-3</v>
      </c>
      <c r="Y123" s="209">
        <v>2.9768263204044132E-3</v>
      </c>
    </row>
    <row r="124" spans="21:25" x14ac:dyDescent="0.2">
      <c r="U124" s="213" t="str">
        <f t="shared" si="5"/>
        <v>1D</v>
      </c>
      <c r="V124" s="201">
        <f>_xll.qlCalendarAdvance(Calendar,V123,U124,"f",FALSE)</f>
        <v>41936</v>
      </c>
      <c r="W124" s="225">
        <f>_xll.qlCalendarAdvance(Calendar,V124,NDays&amp;"D")</f>
        <v>41940</v>
      </c>
      <c r="X124" s="200">
        <v>2.9210748486860798E-3</v>
      </c>
      <c r="Y124" s="209">
        <v>2.920027469421882E-3</v>
      </c>
    </row>
    <row r="125" spans="21:25" x14ac:dyDescent="0.2">
      <c r="U125" s="213" t="str">
        <f t="shared" si="5"/>
        <v>1D</v>
      </c>
      <c r="V125" s="201">
        <f>_xll.qlCalendarAdvance(Calendar,V124,U125,"f",FALSE)</f>
        <v>41939</v>
      </c>
      <c r="W125" s="225">
        <f>_xll.qlCalendarAdvance(Calendar,V125,NDays&amp;"D")</f>
        <v>41941</v>
      </c>
      <c r="X125" s="200">
        <v>2.9209290574871861E-3</v>
      </c>
      <c r="Y125" s="209">
        <v>2.8608677325525633E-3</v>
      </c>
    </row>
    <row r="126" spans="21:25" x14ac:dyDescent="0.2">
      <c r="U126" s="213" t="str">
        <f t="shared" si="5"/>
        <v>1D</v>
      </c>
      <c r="V126" s="201">
        <f>_xll.qlCalendarAdvance(Calendar,V125,U126,"f",FALSE)</f>
        <v>41940</v>
      </c>
      <c r="W126" s="225">
        <f>_xll.qlCalendarAdvance(Calendar,V126,NDays&amp;"D")</f>
        <v>41942</v>
      </c>
      <c r="X126" s="200">
        <v>2.9207788399687618E-3</v>
      </c>
      <c r="Y126" s="209">
        <v>2.7993471109155621E-3</v>
      </c>
    </row>
    <row r="127" spans="21:25" x14ac:dyDescent="0.2">
      <c r="U127" s="213" t="str">
        <f t="shared" si="5"/>
        <v>1D</v>
      </c>
      <c r="V127" s="201">
        <f>_xll.qlCalendarAdvance(Calendar,V126,U127,"f",FALSE)</f>
        <v>41941</v>
      </c>
      <c r="W127" s="225">
        <f>_xll.qlCalendarAdvance(Calendar,V127,NDays&amp;"D")</f>
        <v>41943</v>
      </c>
      <c r="X127" s="200">
        <v>2.9214270165873342E-3</v>
      </c>
      <c r="Y127" s="209">
        <v>2.668456033338984E-3</v>
      </c>
    </row>
    <row r="128" spans="21:25" x14ac:dyDescent="0.2">
      <c r="U128" s="213" t="str">
        <f t="shared" si="5"/>
        <v>1D</v>
      </c>
      <c r="V128" s="201">
        <f>_xll.qlCalendarAdvance(Calendar,V127,U128,"f",FALSE)</f>
        <v>41942</v>
      </c>
      <c r="W128" s="225">
        <f>_xll.qlCalendarAdvance(Calendar,V128,NDays&amp;"D")</f>
        <v>41946</v>
      </c>
      <c r="X128" s="200">
        <v>2.919999999999541E-3</v>
      </c>
      <c r="Y128" s="209">
        <v>2.5304882651688843E-3</v>
      </c>
    </row>
    <row r="129" spans="21:25" x14ac:dyDescent="0.2">
      <c r="U129" s="213" t="str">
        <f t="shared" si="5"/>
        <v>1D</v>
      </c>
      <c r="V129" s="201">
        <f>_xll.qlCalendarAdvance(Calendar,V128,U129,"f",FALSE)</f>
        <v>41943</v>
      </c>
      <c r="W129" s="225">
        <f>_xll.qlCalendarAdvance(Calendar,V129,NDays&amp;"D")</f>
        <v>41947</v>
      </c>
      <c r="X129" s="200">
        <v>2.922131458480881E-3</v>
      </c>
      <c r="Y129" s="209">
        <v>2.462158014990834E-3</v>
      </c>
    </row>
    <row r="130" spans="21:25" x14ac:dyDescent="0.2">
      <c r="U130" s="213" t="str">
        <f t="shared" si="5"/>
        <v>1D</v>
      </c>
      <c r="V130" s="201">
        <f>_xll.qlCalendarAdvance(Calendar,V129,U130,"f",FALSE)</f>
        <v>41946</v>
      </c>
      <c r="W130" s="225">
        <f>_xll.qlCalendarAdvance(Calendar,V130,NDays&amp;"D")</f>
        <v>41948</v>
      </c>
      <c r="X130" s="200">
        <v>2.9222370567751886E-3</v>
      </c>
      <c r="Y130" s="209">
        <v>2.3964616612737188E-3</v>
      </c>
    </row>
    <row r="131" spans="21:25" x14ac:dyDescent="0.2">
      <c r="U131" s="213" t="str">
        <f t="shared" si="5"/>
        <v>1D</v>
      </c>
      <c r="V131" s="201">
        <f>_xll.qlCalendarAdvance(Calendar,V130,U131,"f",FALSE)</f>
        <v>41947</v>
      </c>
      <c r="W131" s="225">
        <f>_xll.qlCalendarAdvance(Calendar,V131,NDays&amp;"D")</f>
        <v>41949</v>
      </c>
      <c r="X131" s="200">
        <v>2.9222932849866678E-3</v>
      </c>
      <c r="Y131" s="209">
        <v>2.3333992025786898E-3</v>
      </c>
    </row>
    <row r="132" spans="21:25" x14ac:dyDescent="0.2">
      <c r="U132" s="213" t="str">
        <f t="shared" si="5"/>
        <v>1D</v>
      </c>
      <c r="V132" s="201">
        <f>_xll.qlCalendarAdvance(Calendar,V131,U132,"f",FALSE)</f>
        <v>41948</v>
      </c>
      <c r="W132" s="225">
        <f>_xll.qlCalendarAdvance(Calendar,V132,NDays&amp;"D")</f>
        <v>41950</v>
      </c>
      <c r="X132" s="200">
        <v>2.9223034080223371E-3</v>
      </c>
      <c r="Y132" s="209">
        <v>2.2160675666249574E-3</v>
      </c>
    </row>
    <row r="133" spans="21:25" x14ac:dyDescent="0.2">
      <c r="U133" s="213" t="str">
        <f t="shared" si="5"/>
        <v>1D</v>
      </c>
      <c r="V133" s="201">
        <f>_xll.qlCalendarAdvance(Calendar,V132,U133,"f",FALSE)</f>
        <v>41949</v>
      </c>
      <c r="W133" s="225">
        <f>_xll.qlCalendarAdvance(Calendar,V133,NDays&amp;"D")</f>
        <v>41953</v>
      </c>
      <c r="X133" s="200">
        <v>2.9174901040109136E-3</v>
      </c>
      <c r="Y133" s="209">
        <v>2.107488290601367E-3</v>
      </c>
    </row>
    <row r="134" spans="21:25" x14ac:dyDescent="0.2">
      <c r="U134" s="213" t="str">
        <f t="shared" si="5"/>
        <v>1D</v>
      </c>
      <c r="V134" s="201">
        <f>_xll.qlCalendarAdvance(Calendar,V133,U134,"f",FALSE)</f>
        <v>41950</v>
      </c>
      <c r="W134" s="225">
        <f>_xll.qlCalendarAdvance(Calendar,V134,NDays&amp;"D")</f>
        <v>41954</v>
      </c>
      <c r="X134" s="200">
        <v>2.9219481466749254E-3</v>
      </c>
      <c r="Y134" s="209">
        <v>2.0575952871126901E-3</v>
      </c>
    </row>
    <row r="135" spans="21:25" x14ac:dyDescent="0.2">
      <c r="U135" s="213" t="str">
        <f t="shared" si="5"/>
        <v>1D</v>
      </c>
      <c r="V135" s="201">
        <f>_xll.qlCalendarAdvance(Calendar,V134,U135,"f",FALSE)</f>
        <v>41953</v>
      </c>
      <c r="W135" s="225">
        <f>_xll.qlCalendarAdvance(Calendar,V135,NDays&amp;"D")</f>
        <v>41955</v>
      </c>
      <c r="X135" s="200">
        <v>2.921776717547678E-3</v>
      </c>
      <c r="Y135" s="209">
        <v>2.010336171212046E-3</v>
      </c>
    </row>
    <row r="136" spans="21:25" x14ac:dyDescent="0.2">
      <c r="U136" s="213" t="str">
        <f t="shared" si="5"/>
        <v>1D</v>
      </c>
      <c r="V136" s="201">
        <f>_xll.qlCalendarAdvance(Calendar,V135,U136,"f",FALSE)</f>
        <v>41954</v>
      </c>
      <c r="W136" s="225">
        <f>_xll.qlCalendarAdvance(Calendar,V136,NDays&amp;"D")</f>
        <v>41956</v>
      </c>
      <c r="X136" s="200">
        <v>2.9215787727410549E-3</v>
      </c>
      <c r="Y136" s="209">
        <v>1.9657109417803298E-3</v>
      </c>
    </row>
    <row r="137" spans="21:25" x14ac:dyDescent="0.2">
      <c r="U137" s="213" t="str">
        <f t="shared" si="5"/>
        <v>1D</v>
      </c>
      <c r="V137" s="201">
        <f>_xll.qlCalendarAdvance(Calendar,V136,U137,"f",FALSE)</f>
        <v>41955</v>
      </c>
      <c r="W137" s="225">
        <f>_xll.qlCalendarAdvance(Calendar,V137,NDays&amp;"D")</f>
        <v>41957</v>
      </c>
      <c r="X137" s="200">
        <v>2.9213575771722322E-3</v>
      </c>
      <c r="Y137" s="209">
        <v>1.8852499711741189E-3</v>
      </c>
    </row>
    <row r="138" spans="21:25" x14ac:dyDescent="0.2">
      <c r="U138" s="213" t="str">
        <f t="shared" si="5"/>
        <v>1D</v>
      </c>
      <c r="V138" s="201">
        <f>_xll.qlCalendarAdvance(Calendar,V137,U138,"f",FALSE)</f>
        <v>41956</v>
      </c>
      <c r="W138" s="225">
        <f>_xll.qlCalendarAdvance(Calendar,V138,NDays&amp;"D")</f>
        <v>41960</v>
      </c>
      <c r="X138" s="200">
        <v>2.914239135376839E-3</v>
      </c>
      <c r="Y138" s="209">
        <v>1.8135488705173231E-3</v>
      </c>
    </row>
    <row r="139" spans="21:25" x14ac:dyDescent="0.2">
      <c r="U139" s="213" t="str">
        <f t="shared" si="5"/>
        <v>1D</v>
      </c>
      <c r="V139" s="201">
        <f>_xll.qlCalendarAdvance(Calendar,V138,U139,"f",FALSE)</f>
        <v>41957</v>
      </c>
      <c r="W139" s="225">
        <f>_xll.qlCalendarAdvance(Calendar,V139,NDays&amp;"D")</f>
        <v>41961</v>
      </c>
      <c r="X139" s="200">
        <v>2.9203055856250985E-3</v>
      </c>
      <c r="Y139" s="209">
        <v>1.7820930601608609E-3</v>
      </c>
    </row>
    <row r="140" spans="21:25" x14ac:dyDescent="0.2">
      <c r="U140" s="213" t="str">
        <f t="shared" si="5"/>
        <v>1D</v>
      </c>
      <c r="V140" s="201">
        <f>_xll.qlCalendarAdvance(Calendar,V139,U140,"f",FALSE)</f>
        <v>41960</v>
      </c>
      <c r="W140" s="225">
        <f>_xll.qlCalendarAdvance(Calendar,V140,NDays&amp;"D")</f>
        <v>41962</v>
      </c>
      <c r="X140" s="200">
        <v>2.920017109994533E-3</v>
      </c>
      <c r="Y140" s="209">
        <v>1.7532711311574189E-3</v>
      </c>
    </row>
    <row r="141" spans="21:25" x14ac:dyDescent="0.2">
      <c r="U141" s="213" t="str">
        <f t="shared" si="5"/>
        <v>1D</v>
      </c>
      <c r="V141" s="201">
        <f>_xll.qlCalendarAdvance(Calendar,V140,U141,"f",FALSE)</f>
        <v>41961</v>
      </c>
      <c r="W141" s="225">
        <f>_xll.qlCalendarAdvance(Calendar,V141,NDays&amp;"D")</f>
        <v>41963</v>
      </c>
      <c r="X141" s="200">
        <v>2.9197249730911353E-3</v>
      </c>
      <c r="Y141" s="209">
        <v>1.727083083107317E-3</v>
      </c>
    </row>
    <row r="142" spans="21:25" x14ac:dyDescent="0.2">
      <c r="U142" s="213" t="str">
        <f t="shared" si="5"/>
        <v>1D</v>
      </c>
      <c r="V142" s="201">
        <f>_xll.qlCalendarAdvance(Calendar,V141,U142,"f",FALSE)</f>
        <v>41962</v>
      </c>
      <c r="W142" s="225">
        <f>_xll.qlCalendarAdvance(Calendar,V142,NDays&amp;"D")</f>
        <v>41964</v>
      </c>
      <c r="X142" s="200">
        <v>2.9194324398228084E-3</v>
      </c>
      <c r="Y142" s="209">
        <v>1.6834944593835388E-3</v>
      </c>
    </row>
    <row r="143" spans="21:25" x14ac:dyDescent="0.2">
      <c r="U143" s="213" t="str">
        <f t="shared" si="5"/>
        <v>1D</v>
      </c>
      <c r="V143" s="201">
        <f>_xll.qlCalendarAdvance(Calendar,V142,U143,"f",FALSE)</f>
        <v>41963</v>
      </c>
      <c r="W143" s="225">
        <f>_xll.qlCalendarAdvance(Calendar,V143,NDays&amp;"D")</f>
        <v>41967</v>
      </c>
      <c r="X143" s="200">
        <v>2.9113608120367273E-3</v>
      </c>
      <c r="Y143" s="209">
        <v>1.648669688929516E-3</v>
      </c>
    </row>
    <row r="144" spans="21:25" x14ac:dyDescent="0.2">
      <c r="U144" s="213" t="str">
        <f t="shared" si="5"/>
        <v>1D</v>
      </c>
      <c r="V144" s="201">
        <f>_xll.qlCalendarAdvance(Calendar,V143,U144,"f",FALSE)</f>
        <v>41964</v>
      </c>
      <c r="W144" s="225">
        <f>_xll.qlCalendarAdvance(Calendar,V144,NDays&amp;"D")</f>
        <v>41968</v>
      </c>
      <c r="X144" s="200">
        <v>2.9183236412211443E-3</v>
      </c>
      <c r="Y144" s="209">
        <v>1.635651037732444E-3</v>
      </c>
    </row>
    <row r="145" spans="21:25" x14ac:dyDescent="0.2">
      <c r="U145" s="213" t="str">
        <f t="shared" si="5"/>
        <v>1D</v>
      </c>
      <c r="V145" s="201">
        <f>_xll.qlCalendarAdvance(Calendar,V144,U145,"f",FALSE)</f>
        <v>41967</v>
      </c>
      <c r="W145" s="225">
        <f>_xll.qlCalendarAdvance(Calendar,V145,NDays&amp;"D")</f>
        <v>41969</v>
      </c>
      <c r="X145" s="200">
        <v>2.9180780997012101E-3</v>
      </c>
      <c r="Y145" s="209">
        <v>1.625266264770886E-3</v>
      </c>
    </row>
    <row r="146" spans="21:25" x14ac:dyDescent="0.2">
      <c r="U146" s="213" t="str">
        <f t="shared" si="5"/>
        <v>1D</v>
      </c>
      <c r="V146" s="201">
        <f>_xll.qlCalendarAdvance(Calendar,V145,U146,"f",FALSE)</f>
        <v>41968</v>
      </c>
      <c r="W146" s="225">
        <f>_xll.qlCalendarAdvance(Calendar,V146,NDays&amp;"D")</f>
        <v>41970</v>
      </c>
      <c r="X146" s="200">
        <v>2.9178517512328441E-3</v>
      </c>
      <c r="Y146" s="209">
        <v>1.6175153698849698E-3</v>
      </c>
    </row>
    <row r="147" spans="21:25" x14ac:dyDescent="0.2">
      <c r="U147" s="213" t="str">
        <f t="shared" si="5"/>
        <v>1D</v>
      </c>
      <c r="V147" s="201">
        <f>_xll.qlCalendarAdvance(Calendar,V146,U147,"f",FALSE)</f>
        <v>41969</v>
      </c>
      <c r="W147" s="225">
        <f>_xll.qlCalendarAdvance(Calendar,V147,NDays&amp;"D")</f>
        <v>41971</v>
      </c>
      <c r="X147" s="200">
        <v>2.9103119666064403E-3</v>
      </c>
      <c r="Y147" s="209">
        <v>1.6108003803338988E-3</v>
      </c>
    </row>
    <row r="148" spans="21:25" x14ac:dyDescent="0.2">
      <c r="U148" s="213" t="str">
        <f t="shared" si="5"/>
        <v>1D</v>
      </c>
      <c r="V148" s="201">
        <f>_xll.qlCalendarAdvance(Calendar,V147,U148,"f",FALSE)</f>
        <v>41970</v>
      </c>
      <c r="W148" s="225">
        <f>_xll.qlCalendarAdvance(Calendar,V148,NDays&amp;"D")</f>
        <v>41974</v>
      </c>
      <c r="X148" s="200">
        <v>2.9099688458750525E-3</v>
      </c>
      <c r="Y148" s="209">
        <v>1.6128505683798977E-3</v>
      </c>
    </row>
    <row r="149" spans="21:25" x14ac:dyDescent="0.2">
      <c r="U149" s="213" t="str">
        <f t="shared" ref="U149:U212" si="6">U148</f>
        <v>1D</v>
      </c>
      <c r="V149" s="201">
        <f>_xll.qlCalendarAdvance(Calendar,V148,U149,"f",FALSE)</f>
        <v>41971</v>
      </c>
      <c r="W149" s="225">
        <f>_xll.qlCalendarAdvance(Calendar,V149,NDays&amp;"D")</f>
        <v>41975</v>
      </c>
      <c r="X149" s="200">
        <v>2.9099562682016441E-3</v>
      </c>
      <c r="Y149" s="209">
        <v>1.6182690624333418E-3</v>
      </c>
    </row>
    <row r="150" spans="21:25" x14ac:dyDescent="0.2">
      <c r="U150" s="213" t="str">
        <f t="shared" si="6"/>
        <v>1D</v>
      </c>
      <c r="V150" s="201">
        <f>_xll.qlCalendarAdvance(Calendar,V149,U150,"f",FALSE)</f>
        <v>41974</v>
      </c>
      <c r="W150" s="225">
        <f>_xll.qlCalendarAdvance(Calendar,V150,NDays&amp;"D")</f>
        <v>41976</v>
      </c>
      <c r="X150" s="200">
        <v>2.9100000001067742E-3</v>
      </c>
      <c r="Y150" s="209">
        <v>1.6263214342426835E-3</v>
      </c>
    </row>
    <row r="151" spans="21:25" x14ac:dyDescent="0.2">
      <c r="U151" s="213" t="str">
        <f t="shared" si="6"/>
        <v>1D</v>
      </c>
      <c r="V151" s="201">
        <f>_xll.qlCalendarAdvance(Calendar,V150,U151,"f",FALSE)</f>
        <v>41975</v>
      </c>
      <c r="W151" s="225">
        <f>_xll.qlCalendarAdvance(Calendar,V151,NDays&amp;"D")</f>
        <v>41977</v>
      </c>
      <c r="X151" s="200">
        <v>2.9101023345597735E-3</v>
      </c>
      <c r="Y151" s="209">
        <v>1.6370076842875392E-3</v>
      </c>
    </row>
    <row r="152" spans="21:25" x14ac:dyDescent="0.2">
      <c r="U152" s="213" t="str">
        <f t="shared" si="6"/>
        <v>1D</v>
      </c>
      <c r="V152" s="201">
        <f>_xll.qlCalendarAdvance(Calendar,V151,U152,"f",FALSE)</f>
        <v>41976</v>
      </c>
      <c r="W152" s="225">
        <f>_xll.qlCalendarAdvance(Calendar,V152,NDays&amp;"D")</f>
        <v>41978</v>
      </c>
      <c r="X152" s="200">
        <v>2.9102617484770051E-3</v>
      </c>
      <c r="Y152" s="209">
        <v>1.6671674994395147E-3</v>
      </c>
    </row>
    <row r="153" spans="21:25" x14ac:dyDescent="0.2">
      <c r="U153" s="213" t="str">
        <f t="shared" si="6"/>
        <v>1D</v>
      </c>
      <c r="V153" s="201">
        <f>_xll.qlCalendarAdvance(Calendar,V152,U153,"f",FALSE)</f>
        <v>41977</v>
      </c>
      <c r="W153" s="225">
        <f>_xll.qlCalendarAdvance(Calendar,V153,NDays&amp;"D")</f>
        <v>41981</v>
      </c>
      <c r="X153" s="200">
        <v>2.9110576961100831E-3</v>
      </c>
      <c r="Y153" s="209">
        <v>1.7060914704991603E-3</v>
      </c>
    </row>
    <row r="154" spans="21:25" x14ac:dyDescent="0.2">
      <c r="U154" s="213" t="str">
        <f t="shared" si="6"/>
        <v>1D</v>
      </c>
      <c r="V154" s="201">
        <f>_xll.qlCalendarAdvance(Calendar,V153,U154,"f",FALSE)</f>
        <v>41978</v>
      </c>
      <c r="W154" s="225">
        <f>_xll.qlCalendarAdvance(Calendar,V154,NDays&amp;"D")</f>
        <v>41982</v>
      </c>
      <c r="X154" s="200">
        <v>2.9114206569938491E-3</v>
      </c>
      <c r="Y154" s="209">
        <v>1.7299471154785806E-3</v>
      </c>
    </row>
    <row r="155" spans="21:25" x14ac:dyDescent="0.2">
      <c r="U155" s="213" t="str">
        <f t="shared" si="6"/>
        <v>1D</v>
      </c>
      <c r="V155" s="201">
        <f>_xll.qlCalendarAdvance(Calendar,V154,U155,"f",FALSE)</f>
        <v>41981</v>
      </c>
      <c r="W155" s="225">
        <f>_xll.qlCalendarAdvance(Calendar,V155,NDays&amp;"D")</f>
        <v>41983</v>
      </c>
      <c r="X155" s="200">
        <v>2.9118283119089483E-3</v>
      </c>
      <c r="Y155" s="209">
        <v>1.7564366408517884E-3</v>
      </c>
    </row>
    <row r="156" spans="21:25" x14ac:dyDescent="0.2">
      <c r="U156" s="213" t="str">
        <f t="shared" si="6"/>
        <v>1D</v>
      </c>
      <c r="V156" s="201">
        <f>_xll.qlCalendarAdvance(Calendar,V155,U156,"f",FALSE)</f>
        <v>41982</v>
      </c>
      <c r="W156" s="225">
        <f>_xll.qlCalendarAdvance(Calendar,V156,NDays&amp;"D")</f>
        <v>41984</v>
      </c>
      <c r="X156" s="200">
        <v>2.9122781837739834E-3</v>
      </c>
      <c r="Y156" s="209">
        <v>1.7855600471783362E-3</v>
      </c>
    </row>
    <row r="157" spans="21:25" x14ac:dyDescent="0.2">
      <c r="U157" s="213" t="str">
        <f t="shared" si="6"/>
        <v>1D</v>
      </c>
      <c r="V157" s="201">
        <f>_xll.qlCalendarAdvance(Calendar,V156,U157,"f",FALSE)</f>
        <v>41983</v>
      </c>
      <c r="W157" s="225">
        <f>_xll.qlCalendarAdvance(Calendar,V157,NDays&amp;"D")</f>
        <v>41985</v>
      </c>
      <c r="X157" s="200">
        <v>2.9127677955088751E-3</v>
      </c>
      <c r="Y157" s="209">
        <v>1.8525959986348539E-3</v>
      </c>
    </row>
    <row r="158" spans="21:25" x14ac:dyDescent="0.2">
      <c r="U158" s="213" t="str">
        <f t="shared" si="6"/>
        <v>1D</v>
      </c>
      <c r="V158" s="201">
        <f>_xll.qlCalendarAdvance(Calendar,V157,U158,"f",FALSE)</f>
        <v>41984</v>
      </c>
      <c r="W158" s="225">
        <f>_xll.qlCalendarAdvance(Calendar,V158,NDays&amp;"D")</f>
        <v>41988</v>
      </c>
      <c r="X158" s="200">
        <v>2.9144502991261824E-3</v>
      </c>
      <c r="Y158" s="209">
        <v>1.9283924953672482E-3</v>
      </c>
    </row>
    <row r="159" spans="21:25" x14ac:dyDescent="0.2">
      <c r="U159" s="213" t="str">
        <f t="shared" si="6"/>
        <v>1D</v>
      </c>
      <c r="V159" s="201">
        <f>_xll.qlCalendarAdvance(Calendar,V158,U159,"f",FALSE)</f>
        <v>41985</v>
      </c>
      <c r="W159" s="225">
        <f>_xll.qlCalendarAdvance(Calendar,V159,NDays&amp;"D")</f>
        <v>41989</v>
      </c>
      <c r="X159" s="200">
        <v>2.9150740995296026E-3</v>
      </c>
      <c r="Y159" s="209">
        <v>1.9706853170919914E-3</v>
      </c>
    </row>
    <row r="160" spans="21:25" x14ac:dyDescent="0.2">
      <c r="U160" s="213" t="str">
        <f t="shared" si="6"/>
        <v>1D</v>
      </c>
      <c r="V160" s="201">
        <f>_xll.qlCalendarAdvance(Calendar,V159,U160,"f",FALSE)</f>
        <v>41988</v>
      </c>
      <c r="W160" s="225">
        <f>_xll.qlCalendarAdvance(Calendar,V160,NDays&amp;"D")</f>
        <v>41990</v>
      </c>
      <c r="X160" s="200">
        <v>2.9157252543919403E-3</v>
      </c>
      <c r="Y160" s="209">
        <v>2.0156120244863018E-3</v>
      </c>
    </row>
    <row r="161" spans="21:25" x14ac:dyDescent="0.2">
      <c r="U161" s="213" t="str">
        <f t="shared" si="6"/>
        <v>1D</v>
      </c>
      <c r="V161" s="201">
        <f>_xll.qlCalendarAdvance(Calendar,V160,U161,"f",FALSE)</f>
        <v>41989</v>
      </c>
      <c r="W161" s="225">
        <f>_xll.qlCalendarAdvance(Calendar,V161,NDays&amp;"D")</f>
        <v>41991</v>
      </c>
      <c r="X161" s="200">
        <v>2.9164012866269673E-3</v>
      </c>
      <c r="Y161" s="209">
        <v>2.0631726184294763E-3</v>
      </c>
    </row>
    <row r="162" spans="21:25" x14ac:dyDescent="0.2">
      <c r="U162" s="213" t="str">
        <f t="shared" si="6"/>
        <v>1D</v>
      </c>
      <c r="V162" s="201">
        <f>_xll.qlCalendarAdvance(Calendar,V161,U162,"f",FALSE)</f>
        <v>41990</v>
      </c>
      <c r="W162" s="225">
        <f>_xll.qlCalendarAdvance(Calendar,V162,NDays&amp;"D")</f>
        <v>41992</v>
      </c>
      <c r="X162" s="200">
        <v>2.9170997191449413E-3</v>
      </c>
      <c r="Y162" s="209">
        <v>2.1670864761080821E-3</v>
      </c>
    </row>
    <row r="163" spans="21:25" x14ac:dyDescent="0.2">
      <c r="U163" s="213" t="str">
        <f t="shared" si="6"/>
        <v>1D</v>
      </c>
      <c r="V163" s="201">
        <f>_xll.qlCalendarAdvance(Calendar,V162,U163,"f",FALSE)</f>
        <v>41991</v>
      </c>
      <c r="W163" s="225">
        <f>_xll.qlCalendarAdvance(Calendar,V163,NDays&amp;"D")</f>
        <v>41995</v>
      </c>
      <c r="X163" s="200">
        <v>2.9193046474639897E-3</v>
      </c>
      <c r="Y163" s="209">
        <v>2.2797538823127184E-3</v>
      </c>
    </row>
    <row r="164" spans="21:25" x14ac:dyDescent="0.2">
      <c r="U164" s="213" t="str">
        <f t="shared" si="6"/>
        <v>1D</v>
      </c>
      <c r="V164" s="201">
        <f>_xll.qlCalendarAdvance(Calendar,V163,U164,"f",FALSE)</f>
        <v>41992</v>
      </c>
      <c r="W164" s="225">
        <f>_xll.qlCalendarAdvance(Calendar,V164,NDays&amp;"D")</f>
        <v>41996</v>
      </c>
      <c r="X164" s="200">
        <v>2.920067910164944E-3</v>
      </c>
      <c r="Y164" s="209">
        <v>2.3404839261065291E-3</v>
      </c>
    </row>
    <row r="165" spans="21:25" x14ac:dyDescent="0.2">
      <c r="U165" s="213" t="str">
        <f t="shared" si="6"/>
        <v>1D</v>
      </c>
      <c r="V165" s="201">
        <f>_xll.qlCalendarAdvance(Calendar,V164,U165,"f",FALSE)</f>
        <v>41995</v>
      </c>
      <c r="W165" s="225">
        <f>_xll.qlCalendarAdvance(Calendar,V165,NDays&amp;"D")</f>
        <v>41997</v>
      </c>
      <c r="X165" s="200">
        <v>2.9208411876588494E-3</v>
      </c>
      <c r="Y165" s="209">
        <v>2.5411471843082012E-3</v>
      </c>
    </row>
    <row r="166" spans="21:25" x14ac:dyDescent="0.2">
      <c r="U166" s="213" t="str">
        <f t="shared" si="6"/>
        <v>1D</v>
      </c>
      <c r="V166" s="201">
        <f>_xll.qlCalendarAdvance(Calendar,V165,U166,"f",FALSE)</f>
        <v>41996</v>
      </c>
      <c r="W166" s="225">
        <f>_xll.qlCalendarAdvance(Calendar,V166,NDays&amp;"D")</f>
        <v>42002</v>
      </c>
      <c r="X166" s="200">
        <v>2.9247710980774754E-3</v>
      </c>
      <c r="Y166" s="209">
        <v>2.7601760089535077E-3</v>
      </c>
    </row>
    <row r="167" spans="21:25" x14ac:dyDescent="0.2">
      <c r="U167" s="213" t="str">
        <f t="shared" si="6"/>
        <v>1D</v>
      </c>
      <c r="V167" s="201">
        <f>_xll.qlCalendarAdvance(Calendar,V166,U167,"f",FALSE)</f>
        <v>41997</v>
      </c>
      <c r="W167" s="225">
        <f>_xll.qlCalendarAdvance(Calendar,V167,NDays&amp;"D")</f>
        <v>42003</v>
      </c>
      <c r="X167" s="200">
        <v>2.9255524449104241E-3</v>
      </c>
      <c r="Y167" s="209">
        <v>2.8393433403639534E-3</v>
      </c>
    </row>
    <row r="168" spans="21:25" x14ac:dyDescent="0.2">
      <c r="U168" s="213" t="str">
        <f t="shared" si="6"/>
        <v>1D</v>
      </c>
      <c r="V168" s="201">
        <f>_xll.qlCalendarAdvance(Calendar,V167,U168,"f",FALSE)</f>
        <v>42002</v>
      </c>
      <c r="W168" s="225">
        <f>_xll.qlCalendarAdvance(Calendar,V168,NDays&amp;"D")</f>
        <v>42004</v>
      </c>
      <c r="X168" s="200">
        <v>2.9260056607093E-3</v>
      </c>
      <c r="Y168" s="209">
        <v>2.963374341753422E-3</v>
      </c>
    </row>
    <row r="169" spans="21:25" x14ac:dyDescent="0.2">
      <c r="U169" s="213" t="str">
        <f t="shared" si="6"/>
        <v>1D</v>
      </c>
      <c r="V169" s="201">
        <f>_xll.qlCalendarAdvance(Calendar,V168,U169,"f",FALSE)</f>
        <v>42003</v>
      </c>
      <c r="W169" s="225">
        <f>_xll.qlCalendarAdvance(Calendar,V169,NDays&amp;"D")</f>
        <v>42006</v>
      </c>
      <c r="X169" s="200">
        <v>2.9266326112626514E-3</v>
      </c>
      <c r="Y169" s="209">
        <v>3.1832578413482082E-3</v>
      </c>
    </row>
    <row r="170" spans="21:25" x14ac:dyDescent="0.2">
      <c r="U170" s="213" t="str">
        <f t="shared" si="6"/>
        <v>1D</v>
      </c>
      <c r="V170" s="201">
        <f>_xll.qlCalendarAdvance(Calendar,V169,U170,"f",FALSE)</f>
        <v>42004</v>
      </c>
      <c r="W170" s="225">
        <f>_xll.qlCalendarAdvance(Calendar,V170,NDays&amp;"D")</f>
        <v>42009</v>
      </c>
      <c r="X170" s="200">
        <v>2.929999999999914E-3</v>
      </c>
      <c r="Y170" s="209">
        <v>3.3683517296978494E-3</v>
      </c>
    </row>
    <row r="171" spans="21:25" x14ac:dyDescent="0.2">
      <c r="U171" s="213" t="str">
        <f t="shared" si="6"/>
        <v>1D</v>
      </c>
      <c r="V171" s="201">
        <f>_xll.qlCalendarAdvance(Calendar,V170,U171,"f",FALSE)</f>
        <v>42006</v>
      </c>
      <c r="W171" s="225">
        <f>_xll.qlCalendarAdvance(Calendar,V171,NDays&amp;"D")</f>
        <v>42010</v>
      </c>
      <c r="X171" s="200">
        <v>2.9275507755144622E-3</v>
      </c>
      <c r="Y171" s="209">
        <v>3.4581104566289156E-3</v>
      </c>
    </row>
    <row r="172" spans="21:25" x14ac:dyDescent="0.2">
      <c r="U172" s="213" t="str">
        <f t="shared" si="6"/>
        <v>1D</v>
      </c>
      <c r="V172" s="201">
        <f>_xll.qlCalendarAdvance(Calendar,V171,U172,"f",FALSE)</f>
        <v>42009</v>
      </c>
      <c r="W172" s="225">
        <f>_xll.qlCalendarAdvance(Calendar,V172,NDays&amp;"D")</f>
        <v>42011</v>
      </c>
      <c r="X172" s="200">
        <v>2.9277365700332379E-3</v>
      </c>
      <c r="Y172" s="209">
        <v>3.5426571192598288E-3</v>
      </c>
    </row>
    <row r="173" spans="21:25" x14ac:dyDescent="0.2">
      <c r="U173" s="213" t="str">
        <f t="shared" si="6"/>
        <v>1D</v>
      </c>
      <c r="V173" s="201">
        <f>_xll.qlCalendarAdvance(Calendar,V172,U173,"f",FALSE)</f>
        <v>42010</v>
      </c>
      <c r="W173" s="225">
        <f>_xll.qlCalendarAdvance(Calendar,V173,NDays&amp;"D")</f>
        <v>42012</v>
      </c>
      <c r="X173" s="200">
        <v>2.9279302002151813E-3</v>
      </c>
      <c r="Y173" s="209">
        <v>3.6219917139135305E-3</v>
      </c>
    </row>
    <row r="174" spans="21:25" x14ac:dyDescent="0.2">
      <c r="U174" s="213" t="str">
        <f t="shared" si="6"/>
        <v>1D</v>
      </c>
      <c r="V174" s="201">
        <f>_xll.qlCalendarAdvance(Calendar,V173,U174,"f",FALSE)</f>
        <v>42011</v>
      </c>
      <c r="W174" s="225">
        <f>_xll.qlCalendarAdvance(Calendar,V174,NDays&amp;"D")</f>
        <v>42013</v>
      </c>
      <c r="X174" s="200">
        <v>2.9281329740809461E-3</v>
      </c>
      <c r="Y174" s="209">
        <v>3.7633266623515738E-3</v>
      </c>
    </row>
    <row r="175" spans="21:25" x14ac:dyDescent="0.2">
      <c r="U175" s="213" t="str">
        <f t="shared" si="6"/>
        <v>1D</v>
      </c>
      <c r="V175" s="201">
        <f>_xll.qlCalendarAdvance(Calendar,V174,U175,"f",FALSE)</f>
        <v>42012</v>
      </c>
      <c r="W175" s="225">
        <f>_xll.qlCalendarAdvance(Calendar,V175,NDays&amp;"D")</f>
        <v>42016</v>
      </c>
      <c r="X175" s="200">
        <v>2.9343576681594165E-3</v>
      </c>
      <c r="Y175" s="209">
        <v>3.8872093471287172E-3</v>
      </c>
    </row>
    <row r="176" spans="21:25" x14ac:dyDescent="0.2">
      <c r="U176" s="213" t="str">
        <f t="shared" si="6"/>
        <v>1D</v>
      </c>
      <c r="V176" s="201">
        <f>_xll.qlCalendarAdvance(Calendar,V175,U176,"f",FALSE)</f>
        <v>42013</v>
      </c>
      <c r="W176" s="225">
        <f>_xll.qlCalendarAdvance(Calendar,V176,NDays&amp;"D")</f>
        <v>42017</v>
      </c>
      <c r="X176" s="200">
        <v>2.9290616668094108E-3</v>
      </c>
      <c r="Y176" s="209">
        <v>3.9404835548140227E-3</v>
      </c>
    </row>
    <row r="177" spans="21:25" x14ac:dyDescent="0.2">
      <c r="U177" s="213" t="str">
        <f t="shared" si="6"/>
        <v>1D</v>
      </c>
      <c r="V177" s="201">
        <f>_xll.qlCalendarAdvance(Calendar,V176,U177,"f",FALSE)</f>
        <v>42016</v>
      </c>
      <c r="W177" s="225">
        <f>_xll.qlCalendarAdvance(Calendar,V177,NDays&amp;"D")</f>
        <v>42018</v>
      </c>
      <c r="X177" s="200">
        <v>2.9293297794221853E-3</v>
      </c>
      <c r="Y177" s="209">
        <v>3.988545677175992E-3</v>
      </c>
    </row>
    <row r="178" spans="21:25" x14ac:dyDescent="0.2">
      <c r="U178" s="213" t="str">
        <f t="shared" si="6"/>
        <v>1D</v>
      </c>
      <c r="V178" s="201">
        <f>_xll.qlCalendarAdvance(Calendar,V177,U178,"f",FALSE)</f>
        <v>42017</v>
      </c>
      <c r="W178" s="225">
        <f>_xll.qlCalendarAdvance(Calendar,V178,NDays&amp;"D")</f>
        <v>42019</v>
      </c>
      <c r="X178" s="200">
        <v>2.9296148838568316E-3</v>
      </c>
      <c r="Y178" s="209">
        <v>4.0313957121362876E-3</v>
      </c>
    </row>
    <row r="179" spans="21:25" x14ac:dyDescent="0.2">
      <c r="U179" s="213" t="str">
        <f t="shared" si="6"/>
        <v>1D</v>
      </c>
      <c r="V179" s="201">
        <f>_xll.qlCalendarAdvance(Calendar,V178,U179,"f",FALSE)</f>
        <v>42018</v>
      </c>
      <c r="W179" s="225">
        <f>_xll.qlCalendarAdvance(Calendar,V179,NDays&amp;"D")</f>
        <v>42020</v>
      </c>
      <c r="X179" s="200">
        <v>2.9299182881388614E-3</v>
      </c>
      <c r="Y179" s="209">
        <v>4.0997688362853779E-3</v>
      </c>
    </row>
    <row r="180" spans="21:25" x14ac:dyDescent="0.2">
      <c r="U180" s="213" t="str">
        <f t="shared" si="6"/>
        <v>1D</v>
      </c>
      <c r="V180" s="201">
        <f>_xll.qlCalendarAdvance(Calendar,V179,U180,"f",FALSE)</f>
        <v>42019</v>
      </c>
      <c r="W180" s="225">
        <f>_xll.qlCalendarAdvance(Calendar,V180,NDays&amp;"D")</f>
        <v>42023</v>
      </c>
      <c r="X180" s="200">
        <v>2.9380743126737655E-3</v>
      </c>
      <c r="Y180" s="209">
        <v>4.1506749449471414E-3</v>
      </c>
    </row>
    <row r="181" spans="21:25" x14ac:dyDescent="0.2">
      <c r="U181" s="213" t="str">
        <f t="shared" si="6"/>
        <v>1D</v>
      </c>
      <c r="V181" s="201">
        <f>_xll.qlCalendarAdvance(Calendar,V180,U181,"f",FALSE)</f>
        <v>42020</v>
      </c>
      <c r="W181" s="225">
        <f>_xll.qlCalendarAdvance(Calendar,V181,NDays&amp;"D")</f>
        <v>42024</v>
      </c>
      <c r="X181" s="200">
        <v>2.9313410643230218E-3</v>
      </c>
      <c r="Y181" s="209">
        <v>4.167464519797548E-3</v>
      </c>
    </row>
    <row r="182" spans="21:25" x14ac:dyDescent="0.2">
      <c r="U182" s="213" t="str">
        <f t="shared" si="6"/>
        <v>1D</v>
      </c>
      <c r="V182" s="201">
        <f>_xll.qlCalendarAdvance(Calendar,V181,U182,"f",FALSE)</f>
        <v>42023</v>
      </c>
      <c r="W182" s="225">
        <f>_xll.qlCalendarAdvance(Calendar,V182,NDays&amp;"D")</f>
        <v>42025</v>
      </c>
      <c r="X182" s="200">
        <v>2.9317555882904384E-3</v>
      </c>
      <c r="Y182" s="209">
        <v>4.1790419996523553E-3</v>
      </c>
    </row>
    <row r="183" spans="21:25" x14ac:dyDescent="0.2">
      <c r="U183" s="213" t="str">
        <f t="shared" si="6"/>
        <v>1D</v>
      </c>
      <c r="V183" s="201">
        <f>_xll.qlCalendarAdvance(Calendar,V182,U183,"f",FALSE)</f>
        <v>42024</v>
      </c>
      <c r="W183" s="225">
        <f>_xll.qlCalendarAdvance(Calendar,V183,NDays&amp;"D")</f>
        <v>42026</v>
      </c>
      <c r="X183" s="200">
        <v>2.9321962602958441E-3</v>
      </c>
      <c r="Y183" s="209">
        <v>4.1854073837921391E-3</v>
      </c>
    </row>
    <row r="184" spans="21:25" x14ac:dyDescent="0.2">
      <c r="U184" s="213" t="str">
        <f t="shared" si="6"/>
        <v>1D</v>
      </c>
      <c r="V184" s="201">
        <f>_xll.qlCalendarAdvance(Calendar,V183,U184,"f",FALSE)</f>
        <v>42025</v>
      </c>
      <c r="W184" s="225">
        <f>_xll.qlCalendarAdvance(Calendar,V184,NDays&amp;"D")</f>
        <v>42027</v>
      </c>
      <c r="X184" s="200">
        <v>2.9326643883775573E-3</v>
      </c>
      <c r="Y184" s="209">
        <v>4.1808130515175179E-3</v>
      </c>
    </row>
    <row r="185" spans="21:25" x14ac:dyDescent="0.2">
      <c r="U185" s="213" t="str">
        <f t="shared" si="6"/>
        <v>1D</v>
      </c>
      <c r="V185" s="201">
        <f>_xll.qlCalendarAdvance(Calendar,V184,U185,"f",FALSE)</f>
        <v>42026</v>
      </c>
      <c r="W185" s="225">
        <f>_xll.qlCalendarAdvance(Calendar,V185,NDays&amp;"D")</f>
        <v>42030</v>
      </c>
      <c r="X185" s="200">
        <v>2.9415961215956193E-3</v>
      </c>
      <c r="Y185" s="209">
        <v>4.1587479622418044E-3</v>
      </c>
    </row>
    <row r="186" spans="21:25" x14ac:dyDescent="0.2">
      <c r="U186" s="213" t="str">
        <f t="shared" si="6"/>
        <v>1D</v>
      </c>
      <c r="V186" s="201">
        <f>_xll.qlCalendarAdvance(Calendar,V185,U186,"f",FALSE)</f>
        <v>42027</v>
      </c>
      <c r="W186" s="225">
        <f>_xll.qlCalendarAdvance(Calendar,V186,NDays&amp;"D")</f>
        <v>42031</v>
      </c>
      <c r="X186" s="200">
        <v>2.9348376223190913E-3</v>
      </c>
      <c r="Y186" s="209">
        <v>4.1390528686857664E-3</v>
      </c>
    </row>
    <row r="187" spans="21:25" x14ac:dyDescent="0.2">
      <c r="U187" s="213" t="str">
        <f t="shared" si="6"/>
        <v>1D</v>
      </c>
      <c r="V187" s="201">
        <f>_xll.qlCalendarAdvance(Calendar,V186,U187,"f",FALSE)</f>
        <v>42030</v>
      </c>
      <c r="W187" s="225">
        <f>_xll.qlCalendarAdvance(Calendar,V187,NDays&amp;"D")</f>
        <v>42032</v>
      </c>
      <c r="X187" s="200">
        <v>2.9354626514454473E-3</v>
      </c>
      <c r="Y187" s="209">
        <v>4.114145681253234E-3</v>
      </c>
    </row>
    <row r="188" spans="21:25" x14ac:dyDescent="0.2">
      <c r="U188" s="213" t="str">
        <f t="shared" si="6"/>
        <v>1D</v>
      </c>
      <c r="V188" s="201">
        <f>_xll.qlCalendarAdvance(Calendar,V187,U188,"f",FALSE)</f>
        <v>42031</v>
      </c>
      <c r="W188" s="225">
        <f>_xll.qlCalendarAdvance(Calendar,V188,NDays&amp;"D")</f>
        <v>42033</v>
      </c>
      <c r="X188" s="200">
        <v>2.9361229849332263E-3</v>
      </c>
      <c r="Y188" s="209">
        <v>4.0840264010633121E-3</v>
      </c>
    </row>
    <row r="189" spans="21:25" x14ac:dyDescent="0.2">
      <c r="U189" s="213" t="str">
        <f t="shared" si="6"/>
        <v>1D</v>
      </c>
      <c r="V189" s="201">
        <f>_xll.qlCalendarAdvance(Calendar,V188,U189,"f",FALSE)</f>
        <v>42032</v>
      </c>
      <c r="W189" s="225">
        <f>_xll.qlCalendarAdvance(Calendar,V189,NDays&amp;"D")</f>
        <v>42034</v>
      </c>
      <c r="X189" s="200">
        <v>2.9436928186665282E-3</v>
      </c>
      <c r="Y189" s="209">
        <v>4.0064587905686011E-3</v>
      </c>
    </row>
    <row r="190" spans="21:25" x14ac:dyDescent="0.2">
      <c r="U190" s="213" t="str">
        <f t="shared" si="6"/>
        <v>1D</v>
      </c>
      <c r="V190" s="201">
        <f>_xll.qlCalendarAdvance(Calendar,V189,U190,"f",FALSE)</f>
        <v>42033</v>
      </c>
      <c r="W190" s="225">
        <f>_xll.qlCalendarAdvance(Calendar,V190,NDays&amp;"D")</f>
        <v>42037</v>
      </c>
      <c r="X190" s="200">
        <v>2.945369286397759E-3</v>
      </c>
      <c r="Y190" s="209">
        <v>3.91142838190639E-3</v>
      </c>
    </row>
    <row r="191" spans="21:25" x14ac:dyDescent="0.2">
      <c r="U191" s="213" t="str">
        <f t="shared" si="6"/>
        <v>1D</v>
      </c>
      <c r="V191" s="201">
        <f>_xll.qlCalendarAdvance(Calendar,V190,U191,"f",FALSE)</f>
        <v>42034</v>
      </c>
      <c r="W191" s="225">
        <f>_xll.qlCalendarAdvance(Calendar,V191,NDays&amp;"D")</f>
        <v>42038</v>
      </c>
      <c r="X191" s="200">
        <v>2.9399999999971346E-3</v>
      </c>
      <c r="Y191" s="209">
        <v>3.8552486618304016E-3</v>
      </c>
    </row>
    <row r="192" spans="21:25" x14ac:dyDescent="0.2">
      <c r="U192" s="213" t="str">
        <f t="shared" si="6"/>
        <v>1D</v>
      </c>
      <c r="V192" s="201">
        <f>_xll.qlCalendarAdvance(Calendar,V191,U192,"f",FALSE)</f>
        <v>42037</v>
      </c>
      <c r="W192" s="225">
        <f>_xll.qlCalendarAdvance(Calendar,V192,NDays&amp;"D")</f>
        <v>42039</v>
      </c>
      <c r="X192" s="200">
        <v>2.9409057239000841E-3</v>
      </c>
      <c r="Y192" s="209">
        <v>3.7951033176852889E-3</v>
      </c>
    </row>
    <row r="193" spans="21:25" x14ac:dyDescent="0.2">
      <c r="U193" s="213" t="str">
        <f t="shared" si="6"/>
        <v>1D</v>
      </c>
      <c r="V193" s="201">
        <f>_xll.qlCalendarAdvance(Calendar,V192,U193,"f",FALSE)</f>
        <v>42038</v>
      </c>
      <c r="W193" s="225">
        <f>_xll.qlCalendarAdvance(Calendar,V193,NDays&amp;"D")</f>
        <v>42040</v>
      </c>
      <c r="X193" s="200">
        <v>2.9418855812763161E-3</v>
      </c>
      <c r="Y193" s="209">
        <v>3.7359781802592806E-3</v>
      </c>
    </row>
    <row r="194" spans="21:25" x14ac:dyDescent="0.2">
      <c r="U194" s="213" t="str">
        <f t="shared" si="6"/>
        <v>1D</v>
      </c>
      <c r="V194" s="201">
        <f>_xll.qlCalendarAdvance(Calendar,V193,U194,"f",FALSE)</f>
        <v>42039</v>
      </c>
      <c r="W194" s="225">
        <f>_xll.qlCalendarAdvance(Calendar,V194,NDays&amp;"D")</f>
        <v>42041</v>
      </c>
      <c r="X194" s="200">
        <v>2.9429429663963311E-3</v>
      </c>
      <c r="Y194" s="209">
        <v>3.6253199526115054E-3</v>
      </c>
    </row>
    <row r="195" spans="21:25" x14ac:dyDescent="0.2">
      <c r="U195" s="213" t="str">
        <f t="shared" si="6"/>
        <v>1D</v>
      </c>
      <c r="V195" s="201">
        <f>_xll.qlCalendarAdvance(Calendar,V194,U195,"f",FALSE)</f>
        <v>42040</v>
      </c>
      <c r="W195" s="225">
        <f>_xll.qlCalendarAdvance(Calendar,V195,NDays&amp;"D")</f>
        <v>42044</v>
      </c>
      <c r="X195" s="200">
        <v>2.9510617308212842E-3</v>
      </c>
      <c r="Y195" s="209">
        <v>3.522144252254833E-3</v>
      </c>
    </row>
    <row r="196" spans="21:25" x14ac:dyDescent="0.2">
      <c r="U196" s="213" t="str">
        <f t="shared" si="6"/>
        <v>1D</v>
      </c>
      <c r="V196" s="201">
        <f>_xll.qlCalendarAdvance(Calendar,V195,U196,"f",FALSE)</f>
        <v>42041</v>
      </c>
      <c r="W196" s="225">
        <f>_xll.qlCalendarAdvance(Calendar,V196,NDays&amp;"D")</f>
        <v>42045</v>
      </c>
      <c r="X196" s="200">
        <v>2.9478777375171266E-3</v>
      </c>
      <c r="Y196" s="209">
        <v>3.4743524207225818E-3</v>
      </c>
    </row>
    <row r="197" spans="21:25" x14ac:dyDescent="0.2">
      <c r="U197" s="213" t="str">
        <f t="shared" si="6"/>
        <v>1D</v>
      </c>
      <c r="V197" s="201">
        <f>_xll.qlCalendarAdvance(Calendar,V196,U197,"f",FALSE)</f>
        <v>42044</v>
      </c>
      <c r="W197" s="225">
        <f>_xll.qlCalendarAdvance(Calendar,V197,NDays&amp;"D")</f>
        <v>42046</v>
      </c>
      <c r="X197" s="200">
        <v>2.9492702262518327E-3</v>
      </c>
      <c r="Y197" s="209">
        <v>3.4288272473315118E-3</v>
      </c>
    </row>
    <row r="198" spans="21:25" x14ac:dyDescent="0.2">
      <c r="U198" s="213" t="str">
        <f t="shared" si="6"/>
        <v>1D</v>
      </c>
      <c r="V198" s="201">
        <f>_xll.qlCalendarAdvance(Calendar,V197,U198,"f",FALSE)</f>
        <v>42045</v>
      </c>
      <c r="W198" s="225">
        <f>_xll.qlCalendarAdvance(Calendar,V198,NDays&amp;"D")</f>
        <v>42047</v>
      </c>
      <c r="X198" s="200">
        <v>2.9507192286761783E-3</v>
      </c>
      <c r="Y198" s="209">
        <v>3.3855687315220706E-3</v>
      </c>
    </row>
    <row r="199" spans="21:25" x14ac:dyDescent="0.2">
      <c r="U199" s="213" t="str">
        <f t="shared" si="6"/>
        <v>1D</v>
      </c>
      <c r="V199" s="201">
        <f>_xll.qlCalendarAdvance(Calendar,V198,U199,"f",FALSE)</f>
        <v>42046</v>
      </c>
      <c r="W199" s="225">
        <f>_xll.qlCalendarAdvance(Calendar,V199,NDays&amp;"D")</f>
        <v>42048</v>
      </c>
      <c r="X199" s="200">
        <v>2.9522212424355145E-3</v>
      </c>
      <c r="Y199" s="209">
        <v>3.3066375905921319E-3</v>
      </c>
    </row>
    <row r="200" spans="21:25" x14ac:dyDescent="0.2">
      <c r="U200" s="213" t="str">
        <f t="shared" si="6"/>
        <v>1D</v>
      </c>
      <c r="V200" s="201">
        <f>_xll.qlCalendarAdvance(Calendar,V199,U200,"f",FALSE)</f>
        <v>42047</v>
      </c>
      <c r="W200" s="225">
        <f>_xll.qlCalendarAdvance(Calendar,V200,NDays&amp;"D")</f>
        <v>42051</v>
      </c>
      <c r="X200" s="200">
        <v>2.9602351021348378E-3</v>
      </c>
      <c r="Y200" s="209">
        <v>3.2352012265945973E-3</v>
      </c>
    </row>
    <row r="201" spans="21:25" x14ac:dyDescent="0.2">
      <c r="U201" s="213" t="str">
        <f t="shared" si="6"/>
        <v>1D</v>
      </c>
      <c r="V201" s="201">
        <f>_xll.qlCalendarAdvance(Calendar,V200,U201,"f",FALSE)</f>
        <v>42048</v>
      </c>
      <c r="W201" s="225">
        <f>_xll.qlCalendarAdvance(Calendar,V201,NDays&amp;"D")</f>
        <v>42052</v>
      </c>
      <c r="X201" s="200">
        <v>2.9586893635102796E-3</v>
      </c>
      <c r="Y201" s="209">
        <v>3.2032759865430194E-3</v>
      </c>
    </row>
    <row r="202" spans="21:25" x14ac:dyDescent="0.2">
      <c r="U202" s="213" t="str">
        <f t="shared" si="6"/>
        <v>1D</v>
      </c>
      <c r="V202" s="201">
        <f>_xll.qlCalendarAdvance(Calendar,V201,U202,"f",FALSE)</f>
        <v>42051</v>
      </c>
      <c r="W202" s="225">
        <f>_xll.qlCalendarAdvance(Calendar,V202,NDays&amp;"D")</f>
        <v>42053</v>
      </c>
      <c r="X202" s="200">
        <v>2.9604038983894339E-3</v>
      </c>
      <c r="Y202" s="209">
        <v>3.173617399596651E-3</v>
      </c>
    </row>
    <row r="203" spans="21:25" x14ac:dyDescent="0.2">
      <c r="U203" s="213" t="str">
        <f t="shared" si="6"/>
        <v>1D</v>
      </c>
      <c r="V203" s="201">
        <f>_xll.qlCalendarAdvance(Calendar,V202,U203,"f",FALSE)</f>
        <v>42052</v>
      </c>
      <c r="W203" s="225">
        <f>_xll.qlCalendarAdvance(Calendar,V203,NDays&amp;"D")</f>
        <v>42054</v>
      </c>
      <c r="X203" s="200">
        <v>2.9621504303206678E-3</v>
      </c>
      <c r="Y203" s="209">
        <v>3.1462254652758759E-3</v>
      </c>
    </row>
    <row r="204" spans="21:25" x14ac:dyDescent="0.2">
      <c r="U204" s="213" t="str">
        <f t="shared" si="6"/>
        <v>1D</v>
      </c>
      <c r="V204" s="201">
        <f>_xll.qlCalendarAdvance(Calendar,V203,U204,"f",FALSE)</f>
        <v>42053</v>
      </c>
      <c r="W204" s="225">
        <f>_xll.qlCalendarAdvance(Calendar,V204,NDays&amp;"D")</f>
        <v>42055</v>
      </c>
      <c r="X204" s="200">
        <v>2.9639254568905944E-3</v>
      </c>
      <c r="Y204" s="209">
        <v>3.0990237796491016E-3</v>
      </c>
    </row>
    <row r="205" spans="21:25" x14ac:dyDescent="0.2">
      <c r="U205" s="213" t="str">
        <f t="shared" si="6"/>
        <v>1D</v>
      </c>
      <c r="V205" s="201">
        <f>_xll.qlCalendarAdvance(Calendar,V204,U205,"f",FALSE)</f>
        <v>42054</v>
      </c>
      <c r="W205" s="225">
        <f>_xll.qlCalendarAdvance(Calendar,V205,NDays&amp;"D")</f>
        <v>42058</v>
      </c>
      <c r="X205" s="200">
        <v>2.9717495489396568E-3</v>
      </c>
      <c r="Y205" s="209">
        <v>3.0593242444165725E-3</v>
      </c>
    </row>
    <row r="206" spans="21:25" x14ac:dyDescent="0.2">
      <c r="U206" s="213" t="str">
        <f t="shared" si="6"/>
        <v>1D</v>
      </c>
      <c r="V206" s="201">
        <f>_xll.qlCalendarAdvance(Calendar,V205,U206,"f",FALSE)</f>
        <v>42055</v>
      </c>
      <c r="W206" s="225">
        <f>_xll.qlCalendarAdvance(Calendar,V206,NDays&amp;"D")</f>
        <v>42059</v>
      </c>
      <c r="X206" s="200">
        <v>2.9712404608765617E-3</v>
      </c>
      <c r="Y206" s="209">
        <v>3.0432655661893904E-3</v>
      </c>
    </row>
    <row r="207" spans="21:25" x14ac:dyDescent="0.2">
      <c r="U207" s="213" t="str">
        <f t="shared" si="6"/>
        <v>1D</v>
      </c>
      <c r="V207" s="201">
        <f>_xll.qlCalendarAdvance(Calendar,V206,U207,"f",FALSE)</f>
        <v>42058</v>
      </c>
      <c r="W207" s="225">
        <f>_xll.qlCalendarAdvance(Calendar,V207,NDays&amp;"D")</f>
        <v>42060</v>
      </c>
      <c r="X207" s="200">
        <v>2.9731054240248939E-3</v>
      </c>
      <c r="Y207" s="209">
        <v>3.0294735381897198E-3</v>
      </c>
    </row>
    <row r="208" spans="21:25" x14ac:dyDescent="0.2">
      <c r="U208" s="213" t="str">
        <f t="shared" si="6"/>
        <v>1D</v>
      </c>
      <c r="V208" s="201">
        <f>_xll.qlCalendarAdvance(Calendar,V207,U208,"f",FALSE)</f>
        <v>42059</v>
      </c>
      <c r="W208" s="225">
        <f>_xll.qlCalendarAdvance(Calendar,V208,NDays&amp;"D")</f>
        <v>42061</v>
      </c>
      <c r="X208" s="200">
        <v>2.974977867080307E-3</v>
      </c>
      <c r="Y208" s="209">
        <v>3.0179481600978164E-3</v>
      </c>
    </row>
    <row r="209" spans="21:25" x14ac:dyDescent="0.2">
      <c r="U209" s="213" t="str">
        <f t="shared" si="6"/>
        <v>1D</v>
      </c>
      <c r="V209" s="201">
        <f>_xll.qlCalendarAdvance(Calendar,V208,U209,"f",FALSE)</f>
        <v>42060</v>
      </c>
      <c r="W209" s="225">
        <f>_xll.qlCalendarAdvance(Calendar,V209,NDays&amp;"D")</f>
        <v>42062</v>
      </c>
      <c r="X209" s="200">
        <v>2.9847767828169421E-3</v>
      </c>
      <c r="Y209" s="209">
        <v>3.0024779433102111E-3</v>
      </c>
    </row>
    <row r="210" spans="21:25" x14ac:dyDescent="0.2">
      <c r="U210" s="213" t="str">
        <f t="shared" si="6"/>
        <v>1D</v>
      </c>
      <c r="V210" s="201">
        <f>_xll.qlCalendarAdvance(Calendar,V209,U210,"f",FALSE)</f>
        <v>42061</v>
      </c>
      <c r="W210" s="225">
        <f>_xll.qlCalendarAdvance(Calendar,V210,NDays&amp;"D")</f>
        <v>42065</v>
      </c>
      <c r="X210" s="200">
        <v>2.9881893381329019E-3</v>
      </c>
      <c r="Y210" s="209">
        <v>2.9945131426512006E-3</v>
      </c>
    </row>
    <row r="211" spans="21:25" x14ac:dyDescent="0.2">
      <c r="U211" s="213" t="str">
        <f t="shared" si="6"/>
        <v>1D</v>
      </c>
      <c r="V211" s="201">
        <f>_xll.qlCalendarAdvance(Calendar,V210,U211,"f",FALSE)</f>
        <v>42062</v>
      </c>
      <c r="W211" s="225">
        <f>_xll.qlCalendarAdvance(Calendar,V211,NDays&amp;"D")</f>
        <v>42066</v>
      </c>
      <c r="X211" s="200">
        <v>2.9900000000002993E-3</v>
      </c>
      <c r="Y211" s="209">
        <v>2.9940332201494613E-3</v>
      </c>
    </row>
    <row r="212" spans="21:25" x14ac:dyDescent="0.2">
      <c r="U212" s="213" t="str">
        <f t="shared" si="6"/>
        <v>1D</v>
      </c>
      <c r="V212" s="201">
        <f>_xll.qlCalendarAdvance(Calendar,V211,U212,"f",FALSE)</f>
        <v>42065</v>
      </c>
      <c r="W212" s="225">
        <f>_xll.qlCalendarAdvance(Calendar,V212,NDays&amp;"D")</f>
        <v>42067</v>
      </c>
      <c r="X212" s="200">
        <v>2.9918246439927195E-3</v>
      </c>
      <c r="Y212" s="209">
        <v>2.9943809895627282E-3</v>
      </c>
    </row>
    <row r="213" spans="21:25" x14ac:dyDescent="0.2">
      <c r="U213" s="213" t="str">
        <f t="shared" ref="U213:U276" si="7">U212</f>
        <v>1D</v>
      </c>
      <c r="V213" s="201">
        <f>_xll.qlCalendarAdvance(Calendar,V212,U213,"f",FALSE)</f>
        <v>42066</v>
      </c>
      <c r="W213" s="225">
        <f>_xll.qlCalendarAdvance(Calendar,V213,NDays&amp;"D")</f>
        <v>42068</v>
      </c>
      <c r="X213" s="200">
        <v>2.9974160052367769E-3</v>
      </c>
      <c r="Y213" s="209">
        <v>2.9952686595802192E-3</v>
      </c>
    </row>
    <row r="214" spans="21:25" x14ac:dyDescent="0.2">
      <c r="U214" s="213" t="str">
        <f t="shared" si="7"/>
        <v>1D</v>
      </c>
      <c r="V214" s="201">
        <f>_xll.qlCalendarAdvance(Calendar,V213,U214,"f",FALSE)</f>
        <v>42067</v>
      </c>
      <c r="W214" s="225">
        <f>_xll.qlCalendarAdvance(Calendar,V214,NDays&amp;"D")</f>
        <v>42069</v>
      </c>
      <c r="X214" s="200">
        <v>2.997402673548566E-3</v>
      </c>
      <c r="Y214" s="209">
        <v>2.9988686489534899E-3</v>
      </c>
    </row>
    <row r="215" spans="21:25" x14ac:dyDescent="0.2">
      <c r="U215" s="213" t="str">
        <f t="shared" si="7"/>
        <v>1D</v>
      </c>
      <c r="V215" s="201">
        <f>_xll.qlCalendarAdvance(Calendar,V214,U215,"f",FALSE)</f>
        <v>42068</v>
      </c>
      <c r="W215" s="225">
        <f>_xll.qlCalendarAdvance(Calendar,V215,NDays&amp;"D")</f>
        <v>42072</v>
      </c>
      <c r="X215" s="200">
        <v>3.0011581507706077E-3</v>
      </c>
      <c r="Y215" s="209">
        <v>3.0042183452927418E-3</v>
      </c>
    </row>
    <row r="216" spans="21:25" x14ac:dyDescent="0.2">
      <c r="U216" s="213" t="str">
        <f t="shared" si="7"/>
        <v>1D</v>
      </c>
      <c r="V216" s="201">
        <f>_xll.qlCalendarAdvance(Calendar,V215,U216,"f",FALSE)</f>
        <v>42069</v>
      </c>
      <c r="W216" s="225">
        <f>_xll.qlCalendarAdvance(Calendar,V216,NDays&amp;"D")</f>
        <v>42073</v>
      </c>
      <c r="X216" s="200">
        <v>3.0030688842911431E-3</v>
      </c>
      <c r="Y216" s="209">
        <v>3.0078055182514163E-3</v>
      </c>
    </row>
    <row r="217" spans="21:25" x14ac:dyDescent="0.2">
      <c r="U217" s="213" t="str">
        <f t="shared" si="7"/>
        <v>1D</v>
      </c>
      <c r="V217" s="201">
        <f>_xll.qlCalendarAdvance(Calendar,V216,U217,"f",FALSE)</f>
        <v>42072</v>
      </c>
      <c r="W217" s="225">
        <f>_xll.qlCalendarAdvance(Calendar,V217,NDays&amp;"D")</f>
        <v>42074</v>
      </c>
      <c r="X217" s="200">
        <v>3.0049949534739833E-3</v>
      </c>
      <c r="Y217" s="209">
        <v>3.0119325917343787E-3</v>
      </c>
    </row>
    <row r="218" spans="21:25" x14ac:dyDescent="0.2">
      <c r="U218" s="213" t="str">
        <f t="shared" si="7"/>
        <v>1D</v>
      </c>
      <c r="V218" s="201">
        <f>_xll.qlCalendarAdvance(Calendar,V217,U218,"f",FALSE)</f>
        <v>42073</v>
      </c>
      <c r="W218" s="225">
        <f>_xll.qlCalendarAdvance(Calendar,V218,NDays&amp;"D")</f>
        <v>42075</v>
      </c>
      <c r="X218" s="200">
        <v>3.0110077155901058E-3</v>
      </c>
      <c r="Y218" s="209">
        <v>3.016599565901501E-3</v>
      </c>
    </row>
    <row r="219" spans="21:25" x14ac:dyDescent="0.2">
      <c r="U219" s="213" t="str">
        <f t="shared" si="7"/>
        <v>1D</v>
      </c>
      <c r="V219" s="201">
        <f>_xll.qlCalendarAdvance(Calendar,V218,U219,"f",FALSE)</f>
        <v>42074</v>
      </c>
      <c r="W219" s="225">
        <f>_xll.qlCalendarAdvance(Calendar,V219,NDays&amp;"D")</f>
        <v>42076</v>
      </c>
      <c r="X219" s="200">
        <v>3.0109522592687951E-3</v>
      </c>
      <c r="Y219" s="209">
        <v>3.0277586475335738E-3</v>
      </c>
    </row>
    <row r="220" spans="21:25" x14ac:dyDescent="0.2">
      <c r="U220" s="213" t="str">
        <f t="shared" si="7"/>
        <v>1D</v>
      </c>
      <c r="V220" s="201">
        <f>_xll.qlCalendarAdvance(Calendar,V219,U220,"f",FALSE)</f>
        <v>42075</v>
      </c>
      <c r="W220" s="225">
        <f>_xll.qlCalendarAdvance(Calendar,V220,NDays&amp;"D")</f>
        <v>42079</v>
      </c>
      <c r="X220" s="200">
        <v>3.0148652085863459E-3</v>
      </c>
      <c r="Y220" s="209">
        <v>3.0406664694115904E-3</v>
      </c>
    </row>
    <row r="221" spans="21:25" x14ac:dyDescent="0.2">
      <c r="U221" s="213" t="str">
        <f t="shared" si="7"/>
        <v>1D</v>
      </c>
      <c r="V221" s="201">
        <f>_xll.qlCalendarAdvance(Calendar,V220,U221,"f",FALSE)</f>
        <v>42076</v>
      </c>
      <c r="W221" s="225">
        <f>_xll.qlCalendarAdvance(Calendar,V221,NDays&amp;"D")</f>
        <v>42080</v>
      </c>
      <c r="X221" s="200">
        <v>3.0168892163221061E-3</v>
      </c>
      <c r="Y221" s="209">
        <v>3.0480329470794487E-3</v>
      </c>
    </row>
    <row r="222" spans="21:25" x14ac:dyDescent="0.2">
      <c r="U222" s="213" t="str">
        <f t="shared" si="7"/>
        <v>1D</v>
      </c>
      <c r="V222" s="201">
        <f>_xll.qlCalendarAdvance(Calendar,V221,U222,"f",FALSE)</f>
        <v>42079</v>
      </c>
      <c r="W222" s="225">
        <f>_xll.qlCalendarAdvance(Calendar,V222,NDays&amp;"D")</f>
        <v>42081</v>
      </c>
      <c r="X222" s="200">
        <v>3.0189305345947833E-3</v>
      </c>
      <c r="Y222" s="209">
        <v>3.0559393255913392E-3</v>
      </c>
    </row>
    <row r="223" spans="21:25" x14ac:dyDescent="0.2">
      <c r="U223" s="213" t="str">
        <f t="shared" si="7"/>
        <v>1D</v>
      </c>
      <c r="V223" s="201">
        <f>_xll.qlCalendarAdvance(Calendar,V222,U223,"f",FALSE)</f>
        <v>42080</v>
      </c>
      <c r="W223" s="225">
        <f>_xll.qlCalendarAdvance(Calendar,V223,NDays&amp;"D")</f>
        <v>42082</v>
      </c>
      <c r="X223" s="200">
        <v>3.0256824180622146E-3</v>
      </c>
      <c r="Y223" s="209">
        <v>3.0643856049472618E-3</v>
      </c>
    </row>
    <row r="224" spans="21:25" x14ac:dyDescent="0.2">
      <c r="U224" s="213" t="str">
        <f t="shared" si="7"/>
        <v>1D</v>
      </c>
      <c r="V224" s="201">
        <f>_xll.qlCalendarAdvance(Calendar,V223,U224,"f",FALSE)</f>
        <v>42081</v>
      </c>
      <c r="W224" s="225">
        <f>_xll.qlCalendarAdvance(Calendar,V224,NDays&amp;"D")</f>
        <v>42083</v>
      </c>
      <c r="X224" s="200">
        <v>3.0254474584865835E-3</v>
      </c>
      <c r="Y224" s="209">
        <v>3.0831042370316197E-3</v>
      </c>
    </row>
    <row r="225" spans="21:25" x14ac:dyDescent="0.2">
      <c r="U225" s="213" t="str">
        <f t="shared" si="7"/>
        <v>1D</v>
      </c>
      <c r="V225" s="201">
        <f>_xll.qlCalendarAdvance(Calendar,V224,U225,"f",FALSE)</f>
        <v>42082</v>
      </c>
      <c r="W225" s="225">
        <f>_xll.qlCalendarAdvance(Calendar,V225,NDays&amp;"D")</f>
        <v>42086</v>
      </c>
      <c r="X225" s="200">
        <v>3.0294066586586763E-3</v>
      </c>
      <c r="Y225" s="209">
        <v>3.1035697313708255E-3</v>
      </c>
    </row>
    <row r="226" spans="21:25" x14ac:dyDescent="0.2">
      <c r="U226" s="213" t="str">
        <f t="shared" si="7"/>
        <v>1D</v>
      </c>
      <c r="V226" s="201">
        <f>_xll.qlCalendarAdvance(Calendar,V225,U226,"f",FALSE)</f>
        <v>42083</v>
      </c>
      <c r="W226" s="225">
        <f>_xll.qlCalendarAdvance(Calendar,V226,NDays&amp;"D")</f>
        <v>42087</v>
      </c>
      <c r="X226" s="200">
        <v>3.0315577649652351E-3</v>
      </c>
      <c r="Y226" s="209">
        <v>3.114715515586397E-3</v>
      </c>
    </row>
    <row r="227" spans="21:25" x14ac:dyDescent="0.2">
      <c r="U227" s="213" t="str">
        <f t="shared" si="7"/>
        <v>1D</v>
      </c>
      <c r="V227" s="201">
        <f>_xll.qlCalendarAdvance(Calendar,V226,U227,"f",FALSE)</f>
        <v>42086</v>
      </c>
      <c r="W227" s="225">
        <f>_xll.qlCalendarAdvance(Calendar,V227,NDays&amp;"D")</f>
        <v>42088</v>
      </c>
      <c r="X227" s="200">
        <v>3.0337281567623894E-3</v>
      </c>
      <c r="Y227" s="209">
        <v>3.1264012008058728E-3</v>
      </c>
    </row>
    <row r="228" spans="21:25" x14ac:dyDescent="0.2">
      <c r="U228" s="213" t="str">
        <f t="shared" si="7"/>
        <v>1D</v>
      </c>
      <c r="V228" s="201">
        <f>_xll.qlCalendarAdvance(Calendar,V227,U228,"f",FALSE)</f>
        <v>42087</v>
      </c>
      <c r="W228" s="225">
        <f>_xll.qlCalendarAdvance(Calendar,V228,NDays&amp;"D")</f>
        <v>42089</v>
      </c>
      <c r="X228" s="200">
        <v>3.0415358519659242E-3</v>
      </c>
      <c r="Y228" s="209">
        <v>3.1386267871891249E-3</v>
      </c>
    </row>
    <row r="229" spans="21:25" x14ac:dyDescent="0.2">
      <c r="U229" s="213" t="str">
        <f t="shared" si="7"/>
        <v>1D</v>
      </c>
      <c r="V229" s="201">
        <f>_xll.qlCalendarAdvance(Calendar,V228,U229,"f",FALSE)</f>
        <v>42088</v>
      </c>
      <c r="W229" s="225">
        <f>_xll.qlCalendarAdvance(Calendar,V229,NDays&amp;"D")</f>
        <v>42090</v>
      </c>
      <c r="X229" s="200">
        <v>3.0409845235572059E-3</v>
      </c>
      <c r="Y229" s="209">
        <v>3.1649054541116328E-3</v>
      </c>
    </row>
    <row r="230" spans="21:25" x14ac:dyDescent="0.2">
      <c r="U230" s="213" t="str">
        <f t="shared" si="7"/>
        <v>1D</v>
      </c>
      <c r="V230" s="201">
        <f>_xll.qlCalendarAdvance(Calendar,V229,U230,"f",FALSE)</f>
        <v>42089</v>
      </c>
      <c r="W230" s="225">
        <f>_xll.qlCalendarAdvance(Calendar,V230,NDays&amp;"D")</f>
        <v>42093</v>
      </c>
      <c r="X230" s="200">
        <v>3.0448792731921966E-3</v>
      </c>
      <c r="Y230" s="209">
        <v>3.1929281453191294E-3</v>
      </c>
    </row>
    <row r="231" spans="21:25" x14ac:dyDescent="0.2">
      <c r="U231" s="213" t="str">
        <f t="shared" si="7"/>
        <v>1D</v>
      </c>
      <c r="V231" s="201">
        <f>_xll.qlCalendarAdvance(Calendar,V230,U231,"f",FALSE)</f>
        <v>42090</v>
      </c>
      <c r="W231" s="225">
        <f>_xll.qlCalendarAdvance(Calendar,V231,NDays&amp;"D")</f>
        <v>42094</v>
      </c>
      <c r="X231" s="200">
        <v>3.0440432645969209E-3</v>
      </c>
      <c r="Y231" s="209">
        <v>3.2078532383206237E-3</v>
      </c>
    </row>
    <row r="232" spans="21:25" x14ac:dyDescent="0.2">
      <c r="U232" s="213" t="str">
        <f t="shared" si="7"/>
        <v>1D</v>
      </c>
      <c r="V232" s="201">
        <f>_xll.qlCalendarAdvance(Calendar,V231,U232,"f",FALSE)</f>
        <v>42093</v>
      </c>
      <c r="W232" s="225">
        <f>_xll.qlCalendarAdvance(Calendar,V232,NDays&amp;"D")</f>
        <v>42095</v>
      </c>
      <c r="X232" s="200">
        <v>3.0462661152733427E-3</v>
      </c>
      <c r="Y232" s="209">
        <v>3.2233182328855747E-3</v>
      </c>
    </row>
    <row r="233" spans="21:25" x14ac:dyDescent="0.2">
      <c r="U233" s="213" t="str">
        <f t="shared" si="7"/>
        <v>1D</v>
      </c>
      <c r="V233" s="201">
        <f>_xll.qlCalendarAdvance(Calendar,V232,U233,"f",FALSE)</f>
        <v>42094</v>
      </c>
      <c r="W233" s="225">
        <f>_xll.qlCalendarAdvance(Calendar,V233,NDays&amp;"D")</f>
        <v>42096</v>
      </c>
      <c r="X233" s="200">
        <v>3.0485073874584544E-3</v>
      </c>
      <c r="Y233" s="209">
        <v>3.27355205979174E-3</v>
      </c>
    </row>
    <row r="234" spans="21:25" x14ac:dyDescent="0.2">
      <c r="U234" s="213" t="str">
        <f t="shared" si="7"/>
        <v>1D</v>
      </c>
      <c r="V234" s="201">
        <f>_xll.qlCalendarAdvance(Calendar,V233,U234,"f",FALSE)</f>
        <v>42095</v>
      </c>
      <c r="W234" s="225">
        <f>_xll.qlCalendarAdvance(Calendar,V234,NDays&amp;"D")</f>
        <v>42101</v>
      </c>
      <c r="X234" s="200">
        <v>3.0599999999996481E-3</v>
      </c>
      <c r="Y234" s="209">
        <v>3.3267601780551104E-3</v>
      </c>
    </row>
    <row r="235" spans="21:25" x14ac:dyDescent="0.2">
      <c r="U235" s="213" t="str">
        <f t="shared" si="7"/>
        <v>1D</v>
      </c>
      <c r="V235" s="201">
        <f>_xll.qlCalendarAdvance(Calendar,V234,U235,"f",FALSE)</f>
        <v>42096</v>
      </c>
      <c r="W235" s="225">
        <f>_xll.qlCalendarAdvance(Calendar,V235,NDays&amp;"D")</f>
        <v>42102</v>
      </c>
      <c r="X235" s="200">
        <v>3.0623577071369314E-3</v>
      </c>
      <c r="Y235" s="209">
        <v>3.3418887374203621E-3</v>
      </c>
    </row>
    <row r="236" spans="21:25" x14ac:dyDescent="0.2">
      <c r="U236" s="213" t="str">
        <f t="shared" si="7"/>
        <v>1D</v>
      </c>
      <c r="V236" s="201">
        <f>_xll.qlCalendarAdvance(Calendar,V235,U236,"f",FALSE)</f>
        <v>42101</v>
      </c>
      <c r="W236" s="225">
        <f>_xll.qlCalendarAdvance(Calendar,V236,NDays&amp;"D")</f>
        <v>42103</v>
      </c>
      <c r="X236" s="200">
        <v>3.0647355125076746E-3</v>
      </c>
      <c r="Y236" s="209">
        <v>3.3534414504465815E-3</v>
      </c>
    </row>
    <row r="237" spans="21:25" x14ac:dyDescent="0.2">
      <c r="U237" s="213" t="str">
        <f t="shared" si="7"/>
        <v>1D</v>
      </c>
      <c r="V237" s="201">
        <f>_xll.qlCalendarAdvance(Calendar,V236,U237,"f",FALSE)</f>
        <v>42102</v>
      </c>
      <c r="W237" s="225">
        <f>_xll.qlCalendarAdvance(Calendar,V237,NDays&amp;"D")</f>
        <v>42104</v>
      </c>
      <c r="X237" s="200">
        <v>3.075198971132002E-3</v>
      </c>
      <c r="Y237" s="209">
        <v>3.3646588338420713E-3</v>
      </c>
    </row>
    <row r="238" spans="21:25" x14ac:dyDescent="0.2">
      <c r="U238" s="213" t="str">
        <f t="shared" si="7"/>
        <v>1D</v>
      </c>
      <c r="V238" s="201">
        <f>_xll.qlCalendarAdvance(Calendar,V237,U238,"f",FALSE)</f>
        <v>42103</v>
      </c>
      <c r="W238" s="225">
        <f>_xll.qlCalendarAdvance(Calendar,V238,NDays&amp;"D")</f>
        <v>42107</v>
      </c>
      <c r="X238" s="200">
        <v>3.074447208285736E-3</v>
      </c>
      <c r="Y238" s="209">
        <v>3.3638938343649727E-3</v>
      </c>
    </row>
    <row r="239" spans="21:25" x14ac:dyDescent="0.2">
      <c r="U239" s="213" t="str">
        <f t="shared" si="7"/>
        <v>1D</v>
      </c>
      <c r="V239" s="201">
        <f>_xll.qlCalendarAdvance(Calendar,V238,U239,"f",FALSE)</f>
        <v>42104</v>
      </c>
      <c r="W239" s="225">
        <f>_xll.qlCalendarAdvance(Calendar,V239,NDays&amp;"D")</f>
        <v>42108</v>
      </c>
      <c r="X239" s="200">
        <v>3.0769251237978581E-3</v>
      </c>
      <c r="Y239" s="209">
        <v>3.3575673128982686E-3</v>
      </c>
    </row>
    <row r="240" spans="21:25" x14ac:dyDescent="0.2">
      <c r="U240" s="213" t="str">
        <f t="shared" si="7"/>
        <v>1D</v>
      </c>
      <c r="V240" s="201">
        <f>_xll.qlCalendarAdvance(Calendar,V239,U240,"f",FALSE)</f>
        <v>42107</v>
      </c>
      <c r="W240" s="225">
        <f>_xll.qlCalendarAdvance(Calendar,V240,NDays&amp;"D")</f>
        <v>42109</v>
      </c>
      <c r="X240" s="200">
        <v>3.0794229851355179E-3</v>
      </c>
      <c r="Y240" s="209">
        <v>3.3476649446928519E-3</v>
      </c>
    </row>
    <row r="241" spans="21:25" x14ac:dyDescent="0.2">
      <c r="U241" s="213" t="str">
        <f t="shared" si="7"/>
        <v>1D</v>
      </c>
      <c r="V241" s="201">
        <f>_xll.qlCalendarAdvance(Calendar,V240,U241,"f",FALSE)</f>
        <v>42108</v>
      </c>
      <c r="W241" s="225">
        <f>_xll.qlCalendarAdvance(Calendar,V241,NDays&amp;"D")</f>
        <v>42110</v>
      </c>
      <c r="X241" s="200">
        <v>3.0819407669000162E-3</v>
      </c>
      <c r="Y241" s="209">
        <v>3.3341867299885308E-3</v>
      </c>
    </row>
    <row r="242" spans="21:25" x14ac:dyDescent="0.2">
      <c r="U242" s="213" t="str">
        <f t="shared" si="7"/>
        <v>1D</v>
      </c>
      <c r="V242" s="201">
        <f>_xll.qlCalendarAdvance(Calendar,V241,U242,"f",FALSE)</f>
        <v>42109</v>
      </c>
      <c r="W242" s="225">
        <f>_xll.qlCalendarAdvance(Calendar,V242,NDays&amp;"D")</f>
        <v>42111</v>
      </c>
      <c r="X242" s="200">
        <v>3.092017846502473E-3</v>
      </c>
      <c r="Y242" s="209">
        <v>3.295340978466399E-3</v>
      </c>
    </row>
    <row r="243" spans="21:25" x14ac:dyDescent="0.2">
      <c r="U243" s="213" t="str">
        <f t="shared" si="7"/>
        <v>1D</v>
      </c>
      <c r="V243" s="201">
        <f>_xll.qlCalendarAdvance(Calendar,V242,U243,"f",FALSE)</f>
        <v>42110</v>
      </c>
      <c r="W243" s="225">
        <f>_xll.qlCalendarAdvance(Calendar,V243,NDays&amp;"D")</f>
        <v>42114</v>
      </c>
      <c r="X243" s="200">
        <v>3.0922105902493409E-3</v>
      </c>
      <c r="Y243" s="209">
        <v>3.2445154164140177E-3</v>
      </c>
    </row>
    <row r="244" spans="21:25" x14ac:dyDescent="0.2">
      <c r="U244" s="213" t="str">
        <f t="shared" si="7"/>
        <v>1D</v>
      </c>
      <c r="V244" s="201">
        <f>_xll.qlCalendarAdvance(Calendar,V243,U244,"f",FALSE)</f>
        <v>42111</v>
      </c>
      <c r="W244" s="225">
        <f>_xll.qlCalendarAdvance(Calendar,V244,NDays&amp;"D")</f>
        <v>42115</v>
      </c>
      <c r="X244" s="200">
        <v>3.0948275931701576E-3</v>
      </c>
      <c r="Y244" s="209">
        <v>3.2131579776883967E-3</v>
      </c>
    </row>
    <row r="245" spans="21:25" x14ac:dyDescent="0.2">
      <c r="U245" s="213" t="str">
        <f t="shared" si="7"/>
        <v>1D</v>
      </c>
      <c r="V245" s="201">
        <f>_xll.qlCalendarAdvance(Calendar,V244,U245,"f",FALSE)</f>
        <v>42114</v>
      </c>
      <c r="W245" s="225">
        <f>_xll.qlCalendarAdvance(Calendar,V245,NDays&amp;"D")</f>
        <v>42116</v>
      </c>
      <c r="X245" s="200">
        <v>3.0974643641295463E-3</v>
      </c>
      <c r="Y245" s="209">
        <v>3.1782246963807381E-3</v>
      </c>
    </row>
    <row r="246" spans="21:25" x14ac:dyDescent="0.2">
      <c r="U246" s="213" t="str">
        <f t="shared" si="7"/>
        <v>1D</v>
      </c>
      <c r="V246" s="201">
        <f>_xll.qlCalendarAdvance(Calendar,V245,U246,"f",FALSE)</f>
        <v>42115</v>
      </c>
      <c r="W246" s="225">
        <f>_xll.qlCalendarAdvance(Calendar,V246,NDays&amp;"D")</f>
        <v>42117</v>
      </c>
      <c r="X246" s="200">
        <v>3.1001208777318651E-3</v>
      </c>
      <c r="Y246" s="209">
        <v>3.1397155736900828E-3</v>
      </c>
    </row>
    <row r="247" spans="21:25" x14ac:dyDescent="0.2">
      <c r="U247" s="213" t="str">
        <f t="shared" si="7"/>
        <v>1D</v>
      </c>
      <c r="V247" s="201">
        <f>_xll.qlCalendarAdvance(Calendar,V246,U247,"f",FALSE)</f>
        <v>42116</v>
      </c>
      <c r="W247" s="225">
        <f>_xll.qlCalendarAdvance(Calendar,V247,NDays&amp;"D")</f>
        <v>42118</v>
      </c>
      <c r="X247" s="200">
        <v>3.1079001117196173E-3</v>
      </c>
      <c r="Y247" s="209">
        <v>3.0508037144283406E-3</v>
      </c>
    </row>
    <row r="248" spans="21:25" x14ac:dyDescent="0.2">
      <c r="U248" s="213" t="str">
        <f t="shared" si="7"/>
        <v>1D</v>
      </c>
      <c r="V248" s="201">
        <f>_xll.qlCalendarAdvance(Calendar,V247,U248,"f",FALSE)</f>
        <v>42117</v>
      </c>
      <c r="W248" s="225">
        <f>_xll.qlCalendarAdvance(Calendar,V248,NDays&amp;"D")</f>
        <v>42121</v>
      </c>
      <c r="X248" s="200">
        <v>3.11094385065848E-3</v>
      </c>
      <c r="Y248" s="209">
        <v>2.9499206935579281E-3</v>
      </c>
    </row>
    <row r="249" spans="21:25" x14ac:dyDescent="0.2">
      <c r="U249" s="213" t="str">
        <f t="shared" si="7"/>
        <v>1D</v>
      </c>
      <c r="V249" s="201">
        <f>_xll.qlCalendarAdvance(Calendar,V248,U249,"f",FALSE)</f>
        <v>42118</v>
      </c>
      <c r="W249" s="225">
        <f>_xll.qlCalendarAdvance(Calendar,V249,NDays&amp;"D")</f>
        <v>42122</v>
      </c>
      <c r="X249" s="200">
        <v>3.1136986965456274E-3</v>
      </c>
      <c r="Y249" s="209">
        <v>2.893532383057007E-3</v>
      </c>
    </row>
    <row r="250" spans="21:25" x14ac:dyDescent="0.2">
      <c r="U250" s="213" t="str">
        <f t="shared" si="7"/>
        <v>1D</v>
      </c>
      <c r="V250" s="201">
        <f>_xll.qlCalendarAdvance(Calendar,V249,U250,"f",FALSE)</f>
        <v>42121</v>
      </c>
      <c r="W250" s="225">
        <f>_xll.qlCalendarAdvance(Calendar,V250,NDays&amp;"D")</f>
        <v>42123</v>
      </c>
      <c r="X250" s="200">
        <v>3.1164731327075323E-3</v>
      </c>
      <c r="Y250" s="209">
        <v>2.8335682398061834E-3</v>
      </c>
    </row>
    <row r="251" spans="21:25" x14ac:dyDescent="0.2">
      <c r="U251" s="213" t="str">
        <f t="shared" si="7"/>
        <v>1D</v>
      </c>
      <c r="V251" s="201">
        <f>_xll.qlCalendarAdvance(Calendar,V250,U251,"f",FALSE)</f>
        <v>42122</v>
      </c>
      <c r="W251" s="225">
        <f>_xll.qlCalendarAdvance(Calendar,V251,NDays&amp;"D")</f>
        <v>42124</v>
      </c>
      <c r="X251" s="200">
        <v>3.1192671337507368E-3</v>
      </c>
      <c r="Y251" s="209">
        <v>2.6658083344988093E-3</v>
      </c>
    </row>
    <row r="252" spans="21:25" x14ac:dyDescent="0.2">
      <c r="U252" s="213" t="str">
        <f t="shared" si="7"/>
        <v>1D</v>
      </c>
      <c r="V252" s="201">
        <f>_xll.qlCalendarAdvance(Calendar,V251,U252,"f",FALSE)</f>
        <v>42123</v>
      </c>
      <c r="W252" s="225">
        <f>_xll.qlCalendarAdvance(Calendar,V252,NDays&amp;"D")</f>
        <v>42128</v>
      </c>
      <c r="X252" s="200">
        <v>3.1300000000001739E-3</v>
      </c>
      <c r="Y252" s="209">
        <v>2.481243397065569E-3</v>
      </c>
    </row>
    <row r="253" spans="21:25" x14ac:dyDescent="0.2">
      <c r="U253" s="213" t="str">
        <f t="shared" si="7"/>
        <v>1D</v>
      </c>
      <c r="V253" s="201">
        <f>_xll.qlCalendarAdvance(Calendar,V252,U253,"f",FALSE)</f>
        <v>42124</v>
      </c>
      <c r="W253" s="225">
        <f>_xll.qlCalendarAdvance(Calendar,V253,NDays&amp;"D")</f>
        <v>42129</v>
      </c>
      <c r="X253" s="200">
        <v>3.1324518758546957E-3</v>
      </c>
      <c r="Y253" s="209">
        <v>2.406624104240862E-3</v>
      </c>
    </row>
    <row r="254" spans="21:25" x14ac:dyDescent="0.2">
      <c r="U254" s="213" t="str">
        <f t="shared" si="7"/>
        <v>1D</v>
      </c>
      <c r="V254" s="201">
        <f>_xll.qlCalendarAdvance(Calendar,V253,U254,"f",FALSE)</f>
        <v>42128</v>
      </c>
      <c r="W254" s="225">
        <f>_xll.qlCalendarAdvance(Calendar,V254,NDays&amp;"D")</f>
        <v>42130</v>
      </c>
      <c r="X254" s="200">
        <v>3.134903683224E-3</v>
      </c>
      <c r="Y254" s="209">
        <v>2.3352287957756346E-3</v>
      </c>
    </row>
    <row r="255" spans="21:25" x14ac:dyDescent="0.2">
      <c r="U255" s="213" t="str">
        <f t="shared" si="7"/>
        <v>1D</v>
      </c>
      <c r="V255" s="201">
        <f>_xll.qlCalendarAdvance(Calendar,V254,U255,"f",FALSE)</f>
        <v>42129</v>
      </c>
      <c r="W255" s="225">
        <f>_xll.qlCalendarAdvance(Calendar,V255,NDays&amp;"D")</f>
        <v>42131</v>
      </c>
      <c r="X255" s="200">
        <v>3.1325383078525137E-3</v>
      </c>
      <c r="Y255" s="209">
        <v>2.2670574697514212E-3</v>
      </c>
    </row>
    <row r="256" spans="21:25" x14ac:dyDescent="0.2">
      <c r="U256" s="213" t="str">
        <f t="shared" si="7"/>
        <v>1D</v>
      </c>
      <c r="V256" s="201">
        <f>_xll.qlCalendarAdvance(Calendar,V255,U256,"f",FALSE)</f>
        <v>42130</v>
      </c>
      <c r="W256" s="225">
        <f>_xll.qlCalendarAdvance(Calendar,V256,NDays&amp;"D")</f>
        <v>42132</v>
      </c>
      <c r="X256" s="200">
        <v>3.1371968265268124E-3</v>
      </c>
      <c r="Y256" s="209">
        <v>2.1414741521397218E-3</v>
      </c>
    </row>
    <row r="257" spans="21:25" x14ac:dyDescent="0.2">
      <c r="U257" s="213" t="str">
        <f t="shared" si="7"/>
        <v>1D</v>
      </c>
      <c r="V257" s="201">
        <f>_xll.qlCalendarAdvance(Calendar,V256,U257,"f",FALSE)</f>
        <v>42131</v>
      </c>
      <c r="W257" s="225">
        <f>_xll.qlCalendarAdvance(Calendar,V257,NDays&amp;"D")</f>
        <v>42135</v>
      </c>
      <c r="X257" s="200">
        <v>3.1471648565788825E-3</v>
      </c>
      <c r="Y257" s="209">
        <v>2.0266119550527151E-3</v>
      </c>
    </row>
    <row r="258" spans="21:25" x14ac:dyDescent="0.2">
      <c r="U258" s="213" t="str">
        <f t="shared" si="7"/>
        <v>1D</v>
      </c>
      <c r="V258" s="201">
        <f>_xll.qlCalendarAdvance(Calendar,V257,U258,"f",FALSE)</f>
        <v>42132</v>
      </c>
      <c r="W258" s="225">
        <f>_xll.qlCalendarAdvance(Calendar,V258,NDays&amp;"D")</f>
        <v>42136</v>
      </c>
      <c r="X258" s="200">
        <v>3.1496181513149379E-3</v>
      </c>
      <c r="Y258" s="209">
        <v>1.9745605156540336E-3</v>
      </c>
    </row>
    <row r="259" spans="21:25" x14ac:dyDescent="0.2">
      <c r="U259" s="213" t="str">
        <f t="shared" si="7"/>
        <v>1D</v>
      </c>
      <c r="V259" s="201">
        <f>_xll.qlCalendarAdvance(Calendar,V258,U259,"f",FALSE)</f>
        <v>42135</v>
      </c>
      <c r="W259" s="225">
        <f>_xll.qlCalendarAdvance(Calendar,V259,NDays&amp;"D")</f>
        <v>42137</v>
      </c>
      <c r="X259" s="200">
        <v>3.1520720103296175E-3</v>
      </c>
      <c r="Y259" s="209">
        <v>1.9257330490241031E-3</v>
      </c>
    </row>
    <row r="260" spans="21:25" x14ac:dyDescent="0.2">
      <c r="U260" s="213" t="str">
        <f t="shared" si="7"/>
        <v>1D</v>
      </c>
      <c r="V260" s="201">
        <f>_xll.qlCalendarAdvance(Calendar,V259,U260,"f",FALSE)</f>
        <v>42136</v>
      </c>
      <c r="W260" s="225">
        <f>_xll.qlCalendarAdvance(Calendar,V260,NDays&amp;"D")</f>
        <v>42138</v>
      </c>
      <c r="X260" s="200">
        <v>3.1454863563809281E-3</v>
      </c>
      <c r="Y260" s="209">
        <v>1.8801295538040108E-3</v>
      </c>
    </row>
    <row r="261" spans="21:25" x14ac:dyDescent="0.2">
      <c r="U261" s="213" t="str">
        <f t="shared" si="7"/>
        <v>1D</v>
      </c>
      <c r="V261" s="201">
        <f>_xll.qlCalendarAdvance(Calendar,V260,U261,"f",FALSE)</f>
        <v>42137</v>
      </c>
      <c r="W261" s="225">
        <f>_xll.qlCalendarAdvance(Calendar,V261,NDays&amp;"D")</f>
        <v>42139</v>
      </c>
      <c r="X261" s="200">
        <v>3.1523096596851327E-3</v>
      </c>
      <c r="Y261" s="209">
        <v>1.7996781244988824E-3</v>
      </c>
    </row>
    <row r="262" spans="21:25" x14ac:dyDescent="0.2">
      <c r="U262" s="213" t="str">
        <f t="shared" si="7"/>
        <v>1D</v>
      </c>
      <c r="V262" s="201">
        <f>_xll.qlCalendarAdvance(Calendar,V261,U262,"f",FALSE)</f>
        <v>42138</v>
      </c>
      <c r="W262" s="225">
        <f>_xll.qlCalendarAdvance(Calendar,V262,NDays&amp;"D")</f>
        <v>42142</v>
      </c>
      <c r="X262" s="200">
        <v>3.164352933477171E-3</v>
      </c>
      <c r="Y262" s="209">
        <v>1.7299552646399263E-3</v>
      </c>
    </row>
    <row r="263" spans="21:25" x14ac:dyDescent="0.2">
      <c r="U263" s="213" t="str">
        <f t="shared" si="7"/>
        <v>1D</v>
      </c>
      <c r="V263" s="201">
        <f>_xll.qlCalendarAdvance(Calendar,V262,U263,"f",FALSE)</f>
        <v>42139</v>
      </c>
      <c r="W263" s="225">
        <f>_xll.qlCalendarAdvance(Calendar,V263,NDays&amp;"D")</f>
        <v>42143</v>
      </c>
      <c r="X263" s="200">
        <v>3.1668120765072495E-3</v>
      </c>
      <c r="Y263" s="209">
        <v>1.7004716101620687E-3</v>
      </c>
    </row>
    <row r="264" spans="21:25" x14ac:dyDescent="0.2">
      <c r="U264" s="213" t="str">
        <f t="shared" si="7"/>
        <v>1D</v>
      </c>
      <c r="V264" s="201">
        <f>_xll.qlCalendarAdvance(Calendar,V263,U264,"f",FALSE)</f>
        <v>42142</v>
      </c>
      <c r="W264" s="225">
        <f>_xll.qlCalendarAdvance(Calendar,V264,NDays&amp;"D")</f>
        <v>42144</v>
      </c>
      <c r="X264" s="200">
        <v>3.1692724166015153E-3</v>
      </c>
      <c r="Y264" s="209">
        <v>1.6742119210189088E-3</v>
      </c>
    </row>
    <row r="265" spans="21:25" x14ac:dyDescent="0.2">
      <c r="U265" s="213" t="str">
        <f t="shared" si="7"/>
        <v>1D</v>
      </c>
      <c r="V265" s="201">
        <f>_xll.qlCalendarAdvance(Calendar,V264,U265,"f",FALSE)</f>
        <v>42143</v>
      </c>
      <c r="W265" s="225">
        <f>_xll.qlCalendarAdvance(Calendar,V265,NDays&amp;"D")</f>
        <v>42145</v>
      </c>
      <c r="X265" s="200">
        <v>3.1601806345755851E-3</v>
      </c>
      <c r="Y265" s="209">
        <v>1.6511761967308303E-3</v>
      </c>
    </row>
    <row r="266" spans="21:25" x14ac:dyDescent="0.2">
      <c r="U266" s="213" t="str">
        <f t="shared" si="7"/>
        <v>1D</v>
      </c>
      <c r="V266" s="201">
        <f>_xll.qlCalendarAdvance(Calendar,V265,U266,"f",FALSE)</f>
        <v>42144</v>
      </c>
      <c r="W266" s="225">
        <f>_xll.qlCalendarAdvance(Calendar,V266,NDays&amp;"D")</f>
        <v>42146</v>
      </c>
      <c r="X266" s="200">
        <v>3.1683228834893866E-3</v>
      </c>
      <c r="Y266" s="209">
        <v>1.6158585465664288E-3</v>
      </c>
    </row>
    <row r="267" spans="21:25" x14ac:dyDescent="0.2">
      <c r="U267" s="213" t="str">
        <f t="shared" si="7"/>
        <v>1D</v>
      </c>
      <c r="V267" s="201">
        <f>_xll.qlCalendarAdvance(Calendar,V266,U267,"f",FALSE)</f>
        <v>42145</v>
      </c>
      <c r="W267" s="225">
        <f>_xll.qlCalendarAdvance(Calendar,V267,NDays&amp;"D")</f>
        <v>42149</v>
      </c>
      <c r="X267" s="200">
        <v>3.1815952370473082E-3</v>
      </c>
      <c r="Y267" s="209">
        <v>1.5912729352596244E-3</v>
      </c>
    </row>
    <row r="268" spans="21:25" x14ac:dyDescent="0.2">
      <c r="U268" s="213" t="str">
        <f t="shared" si="7"/>
        <v>1D</v>
      </c>
      <c r="V268" s="201">
        <f>_xll.qlCalendarAdvance(Calendar,V267,U268,"f",FALSE)</f>
        <v>42146</v>
      </c>
      <c r="W268" s="225">
        <f>_xll.qlCalendarAdvance(Calendar,V268,NDays&amp;"D")</f>
        <v>42150</v>
      </c>
      <c r="X268" s="200">
        <v>3.1840646579394264E-3</v>
      </c>
      <c r="Y268" s="209">
        <v>1.5843570268536666E-3</v>
      </c>
    </row>
    <row r="269" spans="21:25" x14ac:dyDescent="0.2">
      <c r="U269" s="213" t="str">
        <f t="shared" si="7"/>
        <v>1D</v>
      </c>
      <c r="V269" s="201">
        <f>_xll.qlCalendarAdvance(Calendar,V268,U269,"f",FALSE)</f>
        <v>42149</v>
      </c>
      <c r="W269" s="225">
        <f>_xll.qlCalendarAdvance(Calendar,V269,NDays&amp;"D")</f>
        <v>42151</v>
      </c>
      <c r="X269" s="200">
        <v>3.1865359087038855E-3</v>
      </c>
      <c r="Y269" s="209">
        <v>1.5806650807448364E-3</v>
      </c>
    </row>
    <row r="270" spans="21:25" x14ac:dyDescent="0.2">
      <c r="U270" s="213" t="str">
        <f t="shared" si="7"/>
        <v>1D</v>
      </c>
      <c r="V270" s="201">
        <f>_xll.qlCalendarAdvance(Calendar,V269,U270,"f",FALSE)</f>
        <v>42150</v>
      </c>
      <c r="W270" s="225">
        <f>_xll.qlCalendarAdvance(Calendar,V270,NDays&amp;"D")</f>
        <v>42152</v>
      </c>
      <c r="X270" s="200">
        <v>3.176651854956324E-3</v>
      </c>
      <c r="Y270" s="209">
        <v>1.5801970968531975E-3</v>
      </c>
    </row>
    <row r="271" spans="21:25" x14ac:dyDescent="0.2">
      <c r="U271" s="213" t="str">
        <f t="shared" si="7"/>
        <v>1D</v>
      </c>
      <c r="V271" s="201">
        <f>_xll.qlCalendarAdvance(Calendar,V270,U271,"f",FALSE)</f>
        <v>42151</v>
      </c>
      <c r="W271" s="225">
        <f>_xll.qlCalendarAdvance(Calendar,V271,NDays&amp;"D")</f>
        <v>42153</v>
      </c>
      <c r="X271" s="200">
        <v>3.1852673586066768E-3</v>
      </c>
      <c r="Y271" s="209">
        <v>1.5900146923630842E-3</v>
      </c>
    </row>
    <row r="272" spans="21:25" x14ac:dyDescent="0.2">
      <c r="U272" s="213" t="str">
        <f t="shared" si="7"/>
        <v>1D</v>
      </c>
      <c r="V272" s="201">
        <f>_xll.qlCalendarAdvance(Calendar,V271,U272,"f",FALSE)</f>
        <v>42152</v>
      </c>
      <c r="W272" s="225">
        <f>_xll.qlCalendarAdvance(Calendar,V272,NDays&amp;"D")</f>
        <v>42156</v>
      </c>
      <c r="X272" s="200">
        <v>3.2051606921691201E-3</v>
      </c>
      <c r="Y272" s="209">
        <v>1.6105647843378534E-3</v>
      </c>
    </row>
    <row r="273" spans="21:25" x14ac:dyDescent="0.2">
      <c r="U273" s="213" t="str">
        <f t="shared" si="7"/>
        <v>1D</v>
      </c>
      <c r="V273" s="201">
        <f>_xll.qlCalendarAdvance(Calendar,V272,U273,"f",FALSE)</f>
        <v>42153</v>
      </c>
      <c r="W273" s="225">
        <f>_xll.qlCalendarAdvance(Calendar,V273,NDays&amp;"D")</f>
        <v>42157</v>
      </c>
      <c r="X273" s="200">
        <v>3.2075879765190289E-3</v>
      </c>
      <c r="Y273" s="209">
        <v>1.6262166129710209E-3</v>
      </c>
    </row>
    <row r="274" spans="21:25" x14ac:dyDescent="0.2">
      <c r="U274" s="213" t="str">
        <f t="shared" si="7"/>
        <v>1D</v>
      </c>
      <c r="V274" s="201">
        <f>_xll.qlCalendarAdvance(Calendar,V273,U274,"f",FALSE)</f>
        <v>42156</v>
      </c>
      <c r="W274" s="225">
        <f>_xll.qlCalendarAdvance(Calendar,V274,NDays&amp;"D")</f>
        <v>42158</v>
      </c>
      <c r="X274" s="200">
        <v>3.2100000000000847E-3</v>
      </c>
      <c r="Y274" s="209">
        <v>1.6449190286671467E-3</v>
      </c>
    </row>
    <row r="275" spans="21:25" x14ac:dyDescent="0.2">
      <c r="U275" s="213" t="str">
        <f t="shared" si="7"/>
        <v>1D</v>
      </c>
      <c r="V275" s="201">
        <f>_xll.qlCalendarAdvance(Calendar,V274,U275,"f",FALSE)</f>
        <v>42157</v>
      </c>
      <c r="W275" s="225">
        <f>_xll.qlCalendarAdvance(Calendar,V275,NDays&amp;"D")</f>
        <v>42159</v>
      </c>
      <c r="X275" s="200">
        <v>3.2123974820285083E-3</v>
      </c>
      <c r="Y275" s="209">
        <v>1.6659785268124949E-3</v>
      </c>
    </row>
    <row r="276" spans="21:25" x14ac:dyDescent="0.2">
      <c r="U276" s="213" t="str">
        <f t="shared" si="7"/>
        <v>1D</v>
      </c>
      <c r="V276" s="201">
        <f>_xll.qlCalendarAdvance(Calendar,V275,U276,"f",FALSE)</f>
        <v>42158</v>
      </c>
      <c r="W276" s="225">
        <f>_xll.qlCalendarAdvance(Calendar,V276,NDays&amp;"D")</f>
        <v>42160</v>
      </c>
      <c r="X276" s="200">
        <v>3.2031611753351274E-3</v>
      </c>
      <c r="Y276" s="209">
        <v>1.715384718110613E-3</v>
      </c>
    </row>
    <row r="277" spans="21:25" x14ac:dyDescent="0.2">
      <c r="U277" s="213" t="str">
        <f t="shared" ref="U277:U340" si="8">U276</f>
        <v>1D</v>
      </c>
      <c r="V277" s="201">
        <f>_xll.qlCalendarAdvance(Calendar,V276,U277,"f",FALSE)</f>
        <v>42159</v>
      </c>
      <c r="W277" s="225">
        <f>_xll.qlCalendarAdvance(Calendar,V277,NDays&amp;"D")</f>
        <v>42163</v>
      </c>
      <c r="X277" s="200">
        <v>3.2219129567636583E-3</v>
      </c>
      <c r="Y277" s="209">
        <v>1.7720535878673616E-3</v>
      </c>
    </row>
    <row r="278" spans="21:25" x14ac:dyDescent="0.2">
      <c r="U278" s="213" t="str">
        <f t="shared" si="8"/>
        <v>1D</v>
      </c>
      <c r="V278" s="201">
        <f>_xll.qlCalendarAdvance(Calendar,V277,U278,"f",FALSE)</f>
        <v>42160</v>
      </c>
      <c r="W278" s="225">
        <f>_xll.qlCalendarAdvance(Calendar,V278,NDays&amp;"D")</f>
        <v>42164</v>
      </c>
      <c r="X278" s="200">
        <v>3.224292524005488E-3</v>
      </c>
      <c r="Y278" s="209">
        <v>1.8040316226475284E-3</v>
      </c>
    </row>
    <row r="279" spans="21:25" x14ac:dyDescent="0.2">
      <c r="U279" s="213" t="str">
        <f t="shared" si="8"/>
        <v>1D</v>
      </c>
      <c r="V279" s="201">
        <f>_xll.qlCalendarAdvance(Calendar,V278,U279,"f",FALSE)</f>
        <v>42163</v>
      </c>
      <c r="W279" s="225">
        <f>_xll.qlCalendarAdvance(Calendar,V279,NDays&amp;"D")</f>
        <v>42165</v>
      </c>
      <c r="X279" s="200">
        <v>3.2266800954972577E-3</v>
      </c>
      <c r="Y279" s="209">
        <v>1.8381933664812777E-3</v>
      </c>
    </row>
    <row r="280" spans="21:25" x14ac:dyDescent="0.2">
      <c r="U280" s="213" t="str">
        <f t="shared" si="8"/>
        <v>1D</v>
      </c>
      <c r="V280" s="201">
        <f>_xll.qlCalendarAdvance(Calendar,V279,U280,"f",FALSE)</f>
        <v>42164</v>
      </c>
      <c r="W280" s="225">
        <f>_xll.qlCalendarAdvance(Calendar,V280,NDays&amp;"D")</f>
        <v>42166</v>
      </c>
      <c r="X280" s="200">
        <v>3.2290795336841951E-3</v>
      </c>
      <c r="Y280" s="209">
        <v>1.874538819848226E-3</v>
      </c>
    </row>
    <row r="281" spans="21:25" x14ac:dyDescent="0.2">
      <c r="U281" s="213" t="str">
        <f t="shared" si="8"/>
        <v>1D</v>
      </c>
      <c r="V281" s="201">
        <f>_xll.qlCalendarAdvance(Calendar,V280,U281,"f",FALSE)</f>
        <v>42165</v>
      </c>
      <c r="W281" s="225">
        <f>_xll.qlCalendarAdvance(Calendar,V281,NDays&amp;"D")</f>
        <v>42167</v>
      </c>
      <c r="X281" s="200">
        <v>3.2223360271876112E-3</v>
      </c>
      <c r="Y281" s="209">
        <v>1.9545193716563602E-3</v>
      </c>
    </row>
    <row r="282" spans="21:25" x14ac:dyDescent="0.2">
      <c r="U282" s="213" t="str">
        <f t="shared" si="8"/>
        <v>1D</v>
      </c>
      <c r="V282" s="201">
        <f>_xll.qlCalendarAdvance(Calendar,V281,U282,"f",FALSE)</f>
        <v>42166</v>
      </c>
      <c r="W282" s="225">
        <f>_xll.qlCalendarAdvance(Calendar,V282,NDays&amp;"D")</f>
        <v>42170</v>
      </c>
      <c r="X282" s="200">
        <v>3.2388732029783192E-3</v>
      </c>
      <c r="Y282" s="209">
        <v>2.0417577427966904E-3</v>
      </c>
    </row>
    <row r="283" spans="21:25" x14ac:dyDescent="0.2">
      <c r="U283" s="213" t="str">
        <f t="shared" si="8"/>
        <v>1D</v>
      </c>
      <c r="V283" s="201">
        <f>_xll.qlCalendarAdvance(Calendar,V282,U283,"f",FALSE)</f>
        <v>42167</v>
      </c>
      <c r="W283" s="225">
        <f>_xll.qlCalendarAdvance(Calendar,V283,NDays&amp;"D")</f>
        <v>42171</v>
      </c>
      <c r="X283" s="200">
        <v>3.2413899120087844E-3</v>
      </c>
      <c r="Y283" s="209">
        <v>2.089021754621001E-3</v>
      </c>
    </row>
    <row r="284" spans="21:25" x14ac:dyDescent="0.2">
      <c r="U284" s="213" t="str">
        <f t="shared" si="8"/>
        <v>1D</v>
      </c>
      <c r="V284" s="201">
        <f>_xll.qlCalendarAdvance(Calendar,V283,U284,"f",FALSE)</f>
        <v>42170</v>
      </c>
      <c r="W284" s="225">
        <f>_xll.qlCalendarAdvance(Calendar,V284,NDays&amp;"D")</f>
        <v>42172</v>
      </c>
      <c r="X284" s="200">
        <v>3.2439416628216216E-3</v>
      </c>
      <c r="Y284" s="209">
        <v>2.138469480694738E-3</v>
      </c>
    </row>
    <row r="285" spans="21:25" x14ac:dyDescent="0.2">
      <c r="U285" s="213" t="str">
        <f t="shared" si="8"/>
        <v>1D</v>
      </c>
      <c r="V285" s="201">
        <f>_xll.qlCalendarAdvance(Calendar,V284,U285,"f",FALSE)</f>
        <v>42171</v>
      </c>
      <c r="W285" s="225">
        <f>_xll.qlCalendarAdvance(Calendar,V285,NDays&amp;"D")</f>
        <v>42173</v>
      </c>
      <c r="X285" s="200">
        <v>3.2465323180035843E-3</v>
      </c>
      <c r="Y285" s="209">
        <v>2.1901009217373257E-3</v>
      </c>
    </row>
    <row r="286" spans="21:25" x14ac:dyDescent="0.2">
      <c r="U286" s="213" t="str">
        <f t="shared" si="8"/>
        <v>1D</v>
      </c>
      <c r="V286" s="201">
        <f>_xll.qlCalendarAdvance(Calendar,V285,U286,"f",FALSE)</f>
        <v>42172</v>
      </c>
      <c r="W286" s="225">
        <f>_xll.qlCalendarAdvance(Calendar,V286,NDays&amp;"D")</f>
        <v>42174</v>
      </c>
      <c r="X286" s="200">
        <v>3.2439936877481268E-3</v>
      </c>
      <c r="Y286" s="209">
        <v>2.3006575583828237E-3</v>
      </c>
    </row>
    <row r="287" spans="21:25" x14ac:dyDescent="0.2">
      <c r="U287" s="213" t="str">
        <f t="shared" si="8"/>
        <v>1D</v>
      </c>
      <c r="V287" s="201">
        <f>_xll.qlCalendarAdvance(Calendar,V286,U287,"f",FALSE)</f>
        <v>42173</v>
      </c>
      <c r="W287" s="225">
        <f>_xll.qlCalendarAdvance(Calendar,V287,NDays&amp;"D")</f>
        <v>42177</v>
      </c>
      <c r="X287" s="200">
        <v>3.2573612349772025E-3</v>
      </c>
      <c r="Y287" s="209">
        <v>2.4184638555801996E-3</v>
      </c>
    </row>
    <row r="288" spans="21:25" x14ac:dyDescent="0.2">
      <c r="U288" s="213" t="str">
        <f t="shared" si="8"/>
        <v>1D</v>
      </c>
      <c r="V288" s="201">
        <f>_xll.qlCalendarAdvance(Calendar,V287,U288,"f",FALSE)</f>
        <v>42174</v>
      </c>
      <c r="W288" s="225">
        <f>_xll.qlCalendarAdvance(Calendar,V288,NDays&amp;"D")</f>
        <v>42178</v>
      </c>
      <c r="X288" s="200">
        <v>3.2602043516320942E-3</v>
      </c>
      <c r="Y288" s="209">
        <v>2.4810138867348286E-3</v>
      </c>
    </row>
    <row r="289" spans="21:25" x14ac:dyDescent="0.2">
      <c r="U289" s="213" t="str">
        <f t="shared" si="8"/>
        <v>1D</v>
      </c>
      <c r="V289" s="201">
        <f>_xll.qlCalendarAdvance(Calendar,V288,U289,"f",FALSE)</f>
        <v>42177</v>
      </c>
      <c r="W289" s="225">
        <f>_xll.qlCalendarAdvance(Calendar,V289,NDays&amp;"D")</f>
        <v>42179</v>
      </c>
      <c r="X289" s="200">
        <v>3.2631095486820179E-3</v>
      </c>
      <c r="Y289" s="209">
        <v>2.5457476390933209E-3</v>
      </c>
    </row>
    <row r="290" spans="21:25" x14ac:dyDescent="0.2">
      <c r="U290" s="213" t="str">
        <f t="shared" si="8"/>
        <v>1D</v>
      </c>
      <c r="V290" s="201">
        <f>_xll.qlCalendarAdvance(Calendar,V289,U290,"f",FALSE)</f>
        <v>42178</v>
      </c>
      <c r="W290" s="225">
        <f>_xll.qlCalendarAdvance(Calendar,V290,NDays&amp;"D")</f>
        <v>42180</v>
      </c>
      <c r="X290" s="200">
        <v>3.2659373033334083E-3</v>
      </c>
      <c r="Y290" s="209">
        <v>2.6126651138547174E-3</v>
      </c>
    </row>
    <row r="291" spans="21:25" x14ac:dyDescent="0.2">
      <c r="U291" s="213" t="str">
        <f t="shared" si="8"/>
        <v>1D</v>
      </c>
      <c r="V291" s="201">
        <f>_xll.qlCalendarAdvance(Calendar,V290,U291,"f",FALSE)</f>
        <v>42179</v>
      </c>
      <c r="W291" s="225">
        <f>_xll.qlCalendarAdvance(Calendar,V291,NDays&amp;"D")</f>
        <v>42181</v>
      </c>
      <c r="X291" s="200">
        <v>3.2694447766792017E-3</v>
      </c>
      <c r="Y291" s="209">
        <v>2.7538002042692966E-3</v>
      </c>
    </row>
    <row r="292" spans="21:25" x14ac:dyDescent="0.2">
      <c r="U292" s="213" t="str">
        <f t="shared" si="8"/>
        <v>1D</v>
      </c>
      <c r="V292" s="201">
        <f>_xll.qlCalendarAdvance(Calendar,V291,U292,"f",FALSE)</f>
        <v>42180</v>
      </c>
      <c r="W292" s="225">
        <f>_xll.qlCalendarAdvance(Calendar,V292,NDays&amp;"D")</f>
        <v>42184</v>
      </c>
      <c r="X292" s="200">
        <v>3.27870193767378E-3</v>
      </c>
      <c r="Y292" s="209">
        <v>2.902172262269076E-3</v>
      </c>
    </row>
    <row r="293" spans="21:25" x14ac:dyDescent="0.2">
      <c r="U293" s="213" t="str">
        <f t="shared" si="8"/>
        <v>1D</v>
      </c>
      <c r="V293" s="201">
        <f>_xll.qlCalendarAdvance(Calendar,V292,U293,"f",FALSE)</f>
        <v>42181</v>
      </c>
      <c r="W293" s="225">
        <f>_xll.qlCalendarAdvance(Calendar,V293,NDays&amp;"D")</f>
        <v>42185</v>
      </c>
      <c r="X293" s="200">
        <v>3.2838753765304048E-3</v>
      </c>
      <c r="Y293" s="209">
        <v>2.9800083683095835E-3</v>
      </c>
    </row>
    <row r="294" spans="21:25" x14ac:dyDescent="0.2">
      <c r="U294" s="213" t="str">
        <f t="shared" si="8"/>
        <v>1D</v>
      </c>
      <c r="V294" s="201">
        <f>_xll.qlCalendarAdvance(Calendar,V293,U294,"f",FALSE)</f>
        <v>42184</v>
      </c>
      <c r="W294" s="225">
        <f>_xll.qlCalendarAdvance(Calendar,V294,NDays&amp;"D")</f>
        <v>42186</v>
      </c>
      <c r="X294" s="200">
        <v>3.2979294370844695E-3</v>
      </c>
      <c r="Y294" s="209">
        <v>3.060028204746601E-3</v>
      </c>
    </row>
    <row r="295" spans="21:25" x14ac:dyDescent="0.2">
      <c r="U295" s="213" t="str">
        <f t="shared" si="8"/>
        <v>1D</v>
      </c>
      <c r="V295" s="201">
        <f>_xll.qlCalendarAdvance(Calendar,V294,U295,"f",FALSE)</f>
        <v>42185</v>
      </c>
      <c r="W295" s="225">
        <f>_xll.qlCalendarAdvance(Calendar,V295,NDays&amp;"D")</f>
        <v>42187</v>
      </c>
      <c r="X295" s="200">
        <v>3.2991804326760166E-3</v>
      </c>
      <c r="Y295" s="209">
        <v>3.1422317728591054E-3</v>
      </c>
    </row>
    <row r="296" spans="21:25" x14ac:dyDescent="0.2">
      <c r="U296" s="213" t="str">
        <f t="shared" si="8"/>
        <v>1D</v>
      </c>
      <c r="V296" s="201">
        <f>_xll.qlCalendarAdvance(Calendar,V295,U296,"f",FALSE)</f>
        <v>42186</v>
      </c>
      <c r="W296" s="225">
        <f>_xll.qlCalendarAdvance(Calendar,V296,NDays&amp;"D")</f>
        <v>42188</v>
      </c>
      <c r="X296" s="200">
        <v>3.3000000000188109E-3</v>
      </c>
      <c r="Y296" s="209">
        <v>3.313948521466159E-3</v>
      </c>
    </row>
    <row r="297" spans="21:25" x14ac:dyDescent="0.2">
      <c r="U297" s="213" t="str">
        <f t="shared" si="8"/>
        <v>1D</v>
      </c>
      <c r="V297" s="201">
        <f>_xll.qlCalendarAdvance(Calendar,V296,U297,"f",FALSE)</f>
        <v>42187</v>
      </c>
      <c r="W297" s="225">
        <f>_xll.qlCalendarAdvance(Calendar,V297,NDays&amp;"D")</f>
        <v>42191</v>
      </c>
      <c r="X297" s="200">
        <v>3.3092585533182595E-3</v>
      </c>
      <c r="Y297" s="209">
        <v>3.4916901613257778E-3</v>
      </c>
    </row>
    <row r="298" spans="21:25" x14ac:dyDescent="0.2">
      <c r="U298" s="213" t="str">
        <f t="shared" si="8"/>
        <v>1D</v>
      </c>
      <c r="V298" s="201">
        <f>_xll.qlCalendarAdvance(Calendar,V297,U298,"f",FALSE)</f>
        <v>42188</v>
      </c>
      <c r="W298" s="225">
        <f>_xll.qlCalendarAdvance(Calendar,V298,NDays&amp;"D")</f>
        <v>42192</v>
      </c>
      <c r="X298" s="200">
        <v>3.313785191529917E-3</v>
      </c>
      <c r="Y298" s="209">
        <v>3.5776530131226281E-3</v>
      </c>
    </row>
    <row r="299" spans="21:25" x14ac:dyDescent="0.2">
      <c r="U299" s="213" t="str">
        <f t="shared" si="8"/>
        <v>1D</v>
      </c>
      <c r="V299" s="201">
        <f>_xll.qlCalendarAdvance(Calendar,V298,U299,"f",FALSE)</f>
        <v>42191</v>
      </c>
      <c r="W299" s="225">
        <f>_xll.qlCalendarAdvance(Calendar,V299,NDays&amp;"D")</f>
        <v>42193</v>
      </c>
      <c r="X299" s="200">
        <v>3.3183455905965555E-3</v>
      </c>
      <c r="Y299" s="209">
        <v>3.6586402026372866E-3</v>
      </c>
    </row>
    <row r="300" spans="21:25" x14ac:dyDescent="0.2">
      <c r="U300" s="213" t="str">
        <f t="shared" si="8"/>
        <v>1D</v>
      </c>
      <c r="V300" s="201">
        <f>_xll.qlCalendarAdvance(Calendar,V299,U300,"f",FALSE)</f>
        <v>42192</v>
      </c>
      <c r="W300" s="225">
        <f>_xll.qlCalendarAdvance(Calendar,V300,NDays&amp;"D")</f>
        <v>42194</v>
      </c>
      <c r="X300" s="200">
        <v>3.3369811756578023E-3</v>
      </c>
      <c r="Y300" s="209">
        <v>3.7346517266723112E-3</v>
      </c>
    </row>
    <row r="301" spans="21:25" x14ac:dyDescent="0.2">
      <c r="U301" s="213" t="str">
        <f t="shared" si="8"/>
        <v>1D</v>
      </c>
      <c r="V301" s="201">
        <f>_xll.qlCalendarAdvance(Calendar,V300,U301,"f",FALSE)</f>
        <v>42193</v>
      </c>
      <c r="W301" s="225">
        <f>_xll.qlCalendarAdvance(Calendar,V301,NDays&amp;"D")</f>
        <v>42195</v>
      </c>
      <c r="X301" s="200">
        <v>3.3347970098186615E-3</v>
      </c>
      <c r="Y301" s="209">
        <v>3.8701308082522701E-3</v>
      </c>
    </row>
    <row r="302" spans="21:25" x14ac:dyDescent="0.2">
      <c r="U302" s="213" t="str">
        <f t="shared" si="8"/>
        <v>1D</v>
      </c>
      <c r="V302" s="201">
        <f>_xll.qlCalendarAdvance(Calendar,V301,U302,"f",FALSE)</f>
        <v>42194</v>
      </c>
      <c r="W302" s="225">
        <f>_xll.qlCalendarAdvance(Calendar,V302,NDays&amp;"D")</f>
        <v>42198</v>
      </c>
      <c r="X302" s="200">
        <v>3.3415603492111283E-3</v>
      </c>
      <c r="Y302" s="209">
        <v>3.988941107024857E-3</v>
      </c>
    </row>
    <row r="303" spans="21:25" x14ac:dyDescent="0.2">
      <c r="U303" s="213" t="str">
        <f t="shared" si="8"/>
        <v>1D</v>
      </c>
      <c r="V303" s="201">
        <f>_xll.qlCalendarAdvance(Calendar,V302,U303,"f",FALSE)</f>
        <v>42195</v>
      </c>
      <c r="W303" s="225">
        <f>_xll.qlCalendarAdvance(Calendar,V303,NDays&amp;"D")</f>
        <v>42199</v>
      </c>
      <c r="X303" s="200">
        <v>3.3462671233459203E-3</v>
      </c>
      <c r="Y303" s="209">
        <v>4.04007426009656E-3</v>
      </c>
    </row>
    <row r="304" spans="21:25" x14ac:dyDescent="0.2">
      <c r="U304" s="213" t="str">
        <f t="shared" si="8"/>
        <v>1D</v>
      </c>
      <c r="V304" s="201">
        <f>_xll.qlCalendarAdvance(Calendar,V303,U304,"f",FALSE)</f>
        <v>42198</v>
      </c>
      <c r="W304" s="225">
        <f>_xll.qlCalendarAdvance(Calendar,V304,NDays&amp;"D")</f>
        <v>42200</v>
      </c>
      <c r="X304" s="200">
        <v>3.3509889280874711E-3</v>
      </c>
      <c r="Y304" s="209">
        <v>4.0862317317014174E-3</v>
      </c>
    </row>
    <row r="305" spans="21:25" x14ac:dyDescent="0.2">
      <c r="U305" s="213" t="str">
        <f t="shared" si="8"/>
        <v>1D</v>
      </c>
      <c r="V305" s="201">
        <f>_xll.qlCalendarAdvance(Calendar,V304,U305,"f",FALSE)</f>
        <v>42199</v>
      </c>
      <c r="W305" s="225">
        <f>_xll.qlCalendarAdvance(Calendar,V305,NDays&amp;"D")</f>
        <v>42201</v>
      </c>
      <c r="X305" s="200">
        <v>3.373685003924399E-3</v>
      </c>
      <c r="Y305" s="209">
        <v>4.127413520080836E-3</v>
      </c>
    </row>
    <row r="306" spans="21:25" x14ac:dyDescent="0.2">
      <c r="U306" s="213" t="str">
        <f t="shared" si="8"/>
        <v>1D</v>
      </c>
      <c r="V306" s="201">
        <f>_xll.qlCalendarAdvance(Calendar,V305,U306,"f",FALSE)</f>
        <v>42200</v>
      </c>
      <c r="W306" s="225">
        <f>_xll.qlCalendarAdvance(Calendar,V306,NDays&amp;"D")</f>
        <v>42202</v>
      </c>
      <c r="X306" s="200">
        <v>3.3695721634575235E-3</v>
      </c>
      <c r="Y306" s="209">
        <v>4.1932403183331246E-3</v>
      </c>
    </row>
    <row r="307" spans="21:25" x14ac:dyDescent="0.2">
      <c r="U307" s="213" t="str">
        <f t="shared" si="8"/>
        <v>1D</v>
      </c>
      <c r="V307" s="201">
        <f>_xll.qlCalendarAdvance(Calendar,V306,U307,"f",FALSE)</f>
        <v>42201</v>
      </c>
      <c r="W307" s="225">
        <f>_xll.qlCalendarAdvance(Calendar,V307,NDays&amp;"D")</f>
        <v>42205</v>
      </c>
      <c r="X307" s="200">
        <v>3.3747297552833497E-3</v>
      </c>
      <c r="Y307" s="209">
        <v>4.2423838094496347E-3</v>
      </c>
    </row>
    <row r="308" spans="21:25" x14ac:dyDescent="0.2">
      <c r="U308" s="213" t="str">
        <f t="shared" si="8"/>
        <v>1D</v>
      </c>
      <c r="V308" s="201">
        <f>_xll.qlCalendarAdvance(Calendar,V307,U308,"f",FALSE)</f>
        <v>42202</v>
      </c>
      <c r="W308" s="225">
        <f>_xll.qlCalendarAdvance(Calendar,V308,NDays&amp;"D")</f>
        <v>42206</v>
      </c>
      <c r="X308" s="200">
        <v>3.3794855499357864E-3</v>
      </c>
      <c r="Y308" s="209">
        <v>4.2586871597993792E-3</v>
      </c>
    </row>
    <row r="309" spans="21:25" x14ac:dyDescent="0.2">
      <c r="U309" s="213" t="str">
        <f t="shared" si="8"/>
        <v>1D</v>
      </c>
      <c r="V309" s="201">
        <f>_xll.qlCalendarAdvance(Calendar,V308,U309,"f",FALSE)</f>
        <v>42205</v>
      </c>
      <c r="W309" s="225">
        <f>_xll.qlCalendarAdvance(Calendar,V309,NDays&amp;"D")</f>
        <v>42207</v>
      </c>
      <c r="X309" s="200">
        <v>3.3842376437103585E-3</v>
      </c>
      <c r="Y309" s="209">
        <v>4.2700148197294396E-3</v>
      </c>
    </row>
    <row r="310" spans="21:25" x14ac:dyDescent="0.2">
      <c r="U310" s="213" t="str">
        <f t="shared" si="8"/>
        <v>1D</v>
      </c>
      <c r="V310" s="201">
        <f>_xll.qlCalendarAdvance(Calendar,V309,U310,"f",FALSE)</f>
        <v>42206</v>
      </c>
      <c r="W310" s="225">
        <f>_xll.qlCalendarAdvance(Calendar,V310,NDays&amp;"D")</f>
        <v>42208</v>
      </c>
      <c r="X310" s="200">
        <v>3.4079725355864736E-3</v>
      </c>
      <c r="Y310" s="209">
        <v>4.2763667887601997E-3</v>
      </c>
    </row>
    <row r="311" spans="21:25" x14ac:dyDescent="0.2">
      <c r="U311" s="213" t="str">
        <f t="shared" si="8"/>
        <v>1D</v>
      </c>
      <c r="V311" s="201">
        <f>_xll.qlCalendarAdvance(Calendar,V310,U311,"f",FALSE)</f>
        <v>42207</v>
      </c>
      <c r="W311" s="225">
        <f>_xll.qlCalendarAdvance(Calendar,V311,NDays&amp;"D")</f>
        <v>42209</v>
      </c>
      <c r="X311" s="200">
        <v>3.4032380862231782E-3</v>
      </c>
      <c r="Y311" s="209">
        <v>4.2725357955841758E-3</v>
      </c>
    </row>
    <row r="312" spans="21:25" x14ac:dyDescent="0.2">
      <c r="U312" s="213" t="str">
        <f t="shared" si="8"/>
        <v>1D</v>
      </c>
      <c r="V312" s="201">
        <f>_xll.qlCalendarAdvance(Calendar,V311,U312,"f",FALSE)</f>
        <v>42208</v>
      </c>
      <c r="W312" s="225">
        <f>_xll.qlCalendarAdvance(Calendar,V312,NDays&amp;"D")</f>
        <v>42212</v>
      </c>
      <c r="X312" s="200">
        <v>3.4078489374574869E-3</v>
      </c>
      <c r="Y312" s="209">
        <v>4.2520177534921544E-3</v>
      </c>
    </row>
    <row r="313" spans="21:25" x14ac:dyDescent="0.2">
      <c r="U313" s="213" t="str">
        <f t="shared" si="8"/>
        <v>1D</v>
      </c>
      <c r="V313" s="201">
        <f>_xll.qlCalendarAdvance(Calendar,V312,U313,"f",FALSE)</f>
        <v>42209</v>
      </c>
      <c r="W313" s="225">
        <f>_xll.qlCalendarAdvance(Calendar,V313,NDays&amp;"D")</f>
        <v>42213</v>
      </c>
      <c r="X313" s="200">
        <v>3.4125226284312856E-3</v>
      </c>
      <c r="Y313" s="209">
        <v>4.2334912681063486E-3</v>
      </c>
    </row>
    <row r="314" spans="21:25" x14ac:dyDescent="0.2">
      <c r="U314" s="213" t="str">
        <f t="shared" si="8"/>
        <v>1D</v>
      </c>
      <c r="V314" s="201">
        <f>_xll.qlCalendarAdvance(Calendar,V313,U314,"f",FALSE)</f>
        <v>42212</v>
      </c>
      <c r="W314" s="225">
        <f>_xll.qlCalendarAdvance(Calendar,V314,NDays&amp;"D")</f>
        <v>42214</v>
      </c>
      <c r="X314" s="200">
        <v>3.4171738857783885E-3</v>
      </c>
      <c r="Y314" s="209">
        <v>4.2099890932600914E-3</v>
      </c>
    </row>
    <row r="315" spans="21:25" x14ac:dyDescent="0.2">
      <c r="U315" s="213" t="str">
        <f t="shared" si="8"/>
        <v>1D</v>
      </c>
      <c r="V315" s="201">
        <f>_xll.qlCalendarAdvance(Calendar,V314,U315,"f",FALSE)</f>
        <v>42213</v>
      </c>
      <c r="W315" s="225">
        <f>_xll.qlCalendarAdvance(Calendar,V315,NDays&amp;"D")</f>
        <v>42215</v>
      </c>
      <c r="X315" s="200">
        <v>3.4128016515241936E-3</v>
      </c>
      <c r="Y315" s="209">
        <v>4.1815112301524238E-3</v>
      </c>
    </row>
    <row r="316" spans="21:25" x14ac:dyDescent="0.2">
      <c r="U316" s="213" t="str">
        <f t="shared" si="8"/>
        <v>1D</v>
      </c>
      <c r="V316" s="201">
        <f>_xll.qlCalendarAdvance(Calendar,V315,U316,"f",FALSE)</f>
        <v>42214</v>
      </c>
      <c r="W316" s="225">
        <f>_xll.qlCalendarAdvance(Calendar,V316,NDays&amp;"D")</f>
        <v>42216</v>
      </c>
      <c r="X316" s="200">
        <v>3.40853838129462E-3</v>
      </c>
      <c r="Y316" s="209">
        <v>4.1080167566853731E-3</v>
      </c>
    </row>
    <row r="317" spans="21:25" x14ac:dyDescent="0.2">
      <c r="U317" s="213" t="str">
        <f t="shared" si="8"/>
        <v>1D</v>
      </c>
      <c r="V317" s="201">
        <f>_xll.qlCalendarAdvance(Calendar,V316,U317,"f",FALSE)</f>
        <v>42215</v>
      </c>
      <c r="W317" s="225">
        <f>_xll.qlCalendarAdvance(Calendar,V317,NDays&amp;"D")</f>
        <v>42219</v>
      </c>
      <c r="X317" s="200">
        <v>3.4399999999997718E-3</v>
      </c>
      <c r="Y317" s="209">
        <v>4.018944474255548E-3</v>
      </c>
    </row>
    <row r="318" spans="21:25" x14ac:dyDescent="0.2">
      <c r="U318" s="213" t="str">
        <f t="shared" si="8"/>
        <v>1D</v>
      </c>
      <c r="V318" s="201">
        <f>_xll.qlCalendarAdvance(Calendar,V317,U318,"f",FALSE)</f>
        <v>42216</v>
      </c>
      <c r="W318" s="225">
        <f>_xll.qlCalendarAdvance(Calendar,V318,NDays&amp;"D")</f>
        <v>42220</v>
      </c>
      <c r="X318" s="200">
        <v>3.4444610559274782E-3</v>
      </c>
      <c r="Y318" s="209">
        <v>3.9721975171502777E-3</v>
      </c>
    </row>
    <row r="319" spans="21:25" x14ac:dyDescent="0.2">
      <c r="U319" s="213" t="str">
        <f t="shared" si="8"/>
        <v>1D</v>
      </c>
      <c r="V319" s="201">
        <f>_xll.qlCalendarAdvance(Calendar,V318,U319,"f",FALSE)</f>
        <v>42219</v>
      </c>
      <c r="W319" s="225">
        <f>_xll.qlCalendarAdvance(Calendar,V319,NDays&amp;"D")</f>
        <v>42221</v>
      </c>
      <c r="X319" s="200">
        <v>3.4488845535382926E-3</v>
      </c>
      <c r="Y319" s="209">
        <v>3.9270842053440447E-3</v>
      </c>
    </row>
    <row r="320" spans="21:25" x14ac:dyDescent="0.2">
      <c r="U320" s="213" t="str">
        <f t="shared" si="8"/>
        <v>1D</v>
      </c>
      <c r="V320" s="201">
        <f>_xll.qlCalendarAdvance(Calendar,V319,U320,"f",FALSE)</f>
        <v>42220</v>
      </c>
      <c r="W320" s="225">
        <f>_xll.qlCalendarAdvance(Calendar,V320,NDays&amp;"D")</f>
        <v>42222</v>
      </c>
      <c r="X320" s="200">
        <v>3.4663218002026117E-3</v>
      </c>
      <c r="Y320" s="209">
        <v>3.8836045384371687E-3</v>
      </c>
    </row>
    <row r="321" spans="21:25" x14ac:dyDescent="0.2">
      <c r="U321" s="213" t="str">
        <f t="shared" si="8"/>
        <v>1D</v>
      </c>
      <c r="V321" s="201">
        <f>_xll.qlCalendarAdvance(Calendar,V320,U321,"f",FALSE)</f>
        <v>42221</v>
      </c>
      <c r="W321" s="225">
        <f>_xll.qlCalendarAdvance(Calendar,V321,NDays&amp;"D")</f>
        <v>42223</v>
      </c>
      <c r="X321" s="200">
        <v>3.4640288486168665E-3</v>
      </c>
      <c r="Y321" s="209">
        <v>3.802130838304052E-3</v>
      </c>
    </row>
    <row r="322" spans="21:25" x14ac:dyDescent="0.2">
      <c r="U322" s="213" t="str">
        <f t="shared" si="8"/>
        <v>1D</v>
      </c>
      <c r="V322" s="201">
        <f>_xll.qlCalendarAdvance(Calendar,V321,U322,"f",FALSE)</f>
        <v>42222</v>
      </c>
      <c r="W322" s="225">
        <f>_xll.qlCalendarAdvance(Calendar,V322,NDays&amp;"D")</f>
        <v>42226</v>
      </c>
      <c r="X322" s="200">
        <v>3.4704713194370126E-3</v>
      </c>
      <c r="Y322" s="209">
        <v>3.7260223072532739E-3</v>
      </c>
    </row>
    <row r="323" spans="21:25" x14ac:dyDescent="0.2">
      <c r="U323" s="213" t="str">
        <f t="shared" si="8"/>
        <v>1D</v>
      </c>
      <c r="V323" s="201">
        <f>_xll.qlCalendarAdvance(Calendar,V322,U323,"f",FALSE)</f>
        <v>42223</v>
      </c>
      <c r="W323" s="225">
        <f>_xll.qlCalendarAdvance(Calendar,V323,NDays&amp;"D")</f>
        <v>42227</v>
      </c>
      <c r="X323" s="200">
        <v>3.4746890588490871E-3</v>
      </c>
      <c r="Y323" s="209">
        <v>3.6907108558903445E-3</v>
      </c>
    </row>
    <row r="324" spans="21:25" x14ac:dyDescent="0.2">
      <c r="U324" s="213" t="str">
        <f t="shared" si="8"/>
        <v>1D</v>
      </c>
      <c r="V324" s="201">
        <f>_xll.qlCalendarAdvance(Calendar,V323,U324,"f",FALSE)</f>
        <v>42226</v>
      </c>
      <c r="W324" s="225">
        <f>_xll.qlCalendarAdvance(Calendar,V324,NDays&amp;"D")</f>
        <v>42228</v>
      </c>
      <c r="X324" s="200">
        <v>3.4788757706063684E-3</v>
      </c>
      <c r="Y324" s="209">
        <v>3.6570330461493938E-3</v>
      </c>
    </row>
    <row r="325" spans="21:25" x14ac:dyDescent="0.2">
      <c r="U325" s="213" t="str">
        <f t="shared" si="8"/>
        <v>1D</v>
      </c>
      <c r="V325" s="201">
        <f>_xll.qlCalendarAdvance(Calendar,V324,U325,"f",FALSE)</f>
        <v>42227</v>
      </c>
      <c r="W325" s="225">
        <f>_xll.qlCalendarAdvance(Calendar,V325,NDays&amp;"D")</f>
        <v>42229</v>
      </c>
      <c r="X325" s="200">
        <v>3.4926029843975314E-3</v>
      </c>
      <c r="Y325" s="209">
        <v>3.6249888775508055E-3</v>
      </c>
    </row>
    <row r="326" spans="21:25" x14ac:dyDescent="0.2">
      <c r="U326" s="213" t="str">
        <f t="shared" si="8"/>
        <v>1D</v>
      </c>
      <c r="V326" s="201">
        <f>_xll.qlCalendarAdvance(Calendar,V325,U326,"f",FALSE)</f>
        <v>42228</v>
      </c>
      <c r="W326" s="225">
        <f>_xll.qlCalendarAdvance(Calendar,V326,NDays&amp;"D")</f>
        <v>42230</v>
      </c>
      <c r="X326" s="200">
        <v>3.4918522240708397E-3</v>
      </c>
      <c r="Y326" s="209">
        <v>3.5663813379827047E-3</v>
      </c>
    </row>
    <row r="327" spans="21:25" x14ac:dyDescent="0.2">
      <c r="U327" s="213" t="str">
        <f t="shared" si="8"/>
        <v>1D</v>
      </c>
      <c r="V327" s="201">
        <f>_xll.qlCalendarAdvance(Calendar,V326,U327,"f",FALSE)</f>
        <v>42229</v>
      </c>
      <c r="W327" s="225">
        <f>_xll.qlCalendarAdvance(Calendar,V327,NDays&amp;"D")</f>
        <v>42233</v>
      </c>
      <c r="X327" s="200">
        <v>3.4993765695621958E-3</v>
      </c>
      <c r="Y327" s="209">
        <v>3.5131486058670447E-3</v>
      </c>
    </row>
    <row r="328" spans="21:25" x14ac:dyDescent="0.2">
      <c r="U328" s="213" t="str">
        <f t="shared" si="8"/>
        <v>1D</v>
      </c>
      <c r="V328" s="201">
        <f>_xll.qlCalendarAdvance(Calendar,V327,U328,"f",FALSE)</f>
        <v>42230</v>
      </c>
      <c r="W328" s="225">
        <f>_xll.qlCalendarAdvance(Calendar,V328,NDays&amp;"D")</f>
        <v>42234</v>
      </c>
      <c r="X328" s="200">
        <v>3.503396708515666E-3</v>
      </c>
      <c r="Y328" s="209">
        <v>3.4892726367452553E-3</v>
      </c>
    </row>
    <row r="329" spans="21:25" x14ac:dyDescent="0.2">
      <c r="U329" s="213" t="str">
        <f t="shared" si="8"/>
        <v>1D</v>
      </c>
      <c r="V329" s="201">
        <f>_xll.qlCalendarAdvance(Calendar,V328,U329,"f",FALSE)</f>
        <v>42233</v>
      </c>
      <c r="W329" s="225">
        <f>_xll.qlCalendarAdvance(Calendar,V329,NDays&amp;"D")</f>
        <v>42235</v>
      </c>
      <c r="X329" s="200">
        <v>3.5073923509412862E-3</v>
      </c>
      <c r="Y329" s="209">
        <v>3.4670303064476826E-3</v>
      </c>
    </row>
    <row r="330" spans="21:25" x14ac:dyDescent="0.2">
      <c r="U330" s="213" t="str">
        <f t="shared" si="8"/>
        <v>1D</v>
      </c>
      <c r="V330" s="201">
        <f>_xll.qlCalendarAdvance(Calendar,V329,U330,"f",FALSE)</f>
        <v>42234</v>
      </c>
      <c r="W330" s="225">
        <f>_xll.qlCalendarAdvance(Calendar,V330,NDays&amp;"D")</f>
        <v>42236</v>
      </c>
      <c r="X330" s="200">
        <v>3.5184232531520134E-3</v>
      </c>
      <c r="Y330" s="209">
        <v>3.4464216148144544E-3</v>
      </c>
    </row>
    <row r="331" spans="21:25" x14ac:dyDescent="0.2">
      <c r="U331" s="213" t="str">
        <f t="shared" si="8"/>
        <v>1D</v>
      </c>
      <c r="V331" s="201">
        <f>_xll.qlCalendarAdvance(Calendar,V330,U331,"f",FALSE)</f>
        <v>42235</v>
      </c>
      <c r="W331" s="225">
        <f>_xll.qlCalendarAdvance(Calendar,V331,NDays&amp;"D")</f>
        <v>42237</v>
      </c>
      <c r="X331" s="200">
        <v>3.5187787645440472E-3</v>
      </c>
      <c r="Y331" s="209">
        <v>3.4106820042367758E-3</v>
      </c>
    </row>
    <row r="332" spans="21:25" x14ac:dyDescent="0.2">
      <c r="U332" s="213" t="str">
        <f t="shared" si="8"/>
        <v>1D</v>
      </c>
      <c r="V332" s="201">
        <f>_xll.qlCalendarAdvance(Calendar,V331,U332,"f",FALSE)</f>
        <v>42236</v>
      </c>
      <c r="W332" s="225">
        <f>_xll.qlCalendarAdvance(Calendar,V332,NDays&amp;"D")</f>
        <v>42240</v>
      </c>
      <c r="X332" s="200">
        <v>3.5270357723034096E-3</v>
      </c>
      <c r="Y332" s="209">
        <v>3.3803232280504858E-3</v>
      </c>
    </row>
    <row r="333" spans="21:25" x14ac:dyDescent="0.2">
      <c r="U333" s="213" t="str">
        <f t="shared" si="8"/>
        <v>1D</v>
      </c>
      <c r="V333" s="201">
        <f>_xll.qlCalendarAdvance(Calendar,V332,U333,"f",FALSE)</f>
        <v>42237</v>
      </c>
      <c r="W333" s="225">
        <f>_xll.qlCalendarAdvance(Calendar,V333,NDays&amp;"D")</f>
        <v>42241</v>
      </c>
      <c r="X333" s="200">
        <v>3.5309040299706363E-3</v>
      </c>
      <c r="Y333" s="209">
        <v>3.3678827252625609E-3</v>
      </c>
    </row>
    <row r="334" spans="21:25" x14ac:dyDescent="0.2">
      <c r="U334" s="213" t="str">
        <f t="shared" si="8"/>
        <v>1D</v>
      </c>
      <c r="V334" s="201">
        <f>_xll.qlCalendarAdvance(Calendar,V333,U334,"f",FALSE)</f>
        <v>42240</v>
      </c>
      <c r="W334" s="225">
        <f>_xll.qlCalendarAdvance(Calendar,V334,NDays&amp;"D")</f>
        <v>42242</v>
      </c>
      <c r="X334" s="200">
        <v>3.5347543226566212E-3</v>
      </c>
      <c r="Y334" s="209">
        <v>3.3570758597001316E-3</v>
      </c>
    </row>
    <row r="335" spans="21:25" x14ac:dyDescent="0.2">
      <c r="U335" s="213" t="str">
        <f t="shared" si="8"/>
        <v>1D</v>
      </c>
      <c r="V335" s="201">
        <f>_xll.qlCalendarAdvance(Calendar,V334,U335,"f",FALSE)</f>
        <v>42241</v>
      </c>
      <c r="W335" s="225">
        <f>_xll.qlCalendarAdvance(Calendar,V335,NDays&amp;"D")</f>
        <v>42243</v>
      </c>
      <c r="X335" s="200">
        <v>3.5440992464130074E-3</v>
      </c>
      <c r="Y335" s="209">
        <v>3.3479026312033255E-3</v>
      </c>
    </row>
    <row r="336" spans="21:25" x14ac:dyDescent="0.2">
      <c r="U336" s="213" t="str">
        <f t="shared" si="8"/>
        <v>1D</v>
      </c>
      <c r="V336" s="201">
        <f>_xll.qlCalendarAdvance(Calendar,V335,U336,"f",FALSE)</f>
        <v>42242</v>
      </c>
      <c r="W336" s="225">
        <f>_xll.qlCalendarAdvance(Calendar,V336,NDays&amp;"D")</f>
        <v>42244</v>
      </c>
      <c r="X336" s="200">
        <v>3.5451267999368746E-3</v>
      </c>
      <c r="Y336" s="209">
        <v>3.335032525475512E-3</v>
      </c>
    </row>
    <row r="337" spans="21:25" x14ac:dyDescent="0.2">
      <c r="U337" s="213" t="str">
        <f t="shared" si="8"/>
        <v>1D</v>
      </c>
      <c r="V337" s="201">
        <f>_xll.qlCalendarAdvance(Calendar,V336,U337,"f",FALSE)</f>
        <v>42243</v>
      </c>
      <c r="W337" s="225">
        <f>_xll.qlCalendarAdvance(Calendar,V337,NDays&amp;"D")</f>
        <v>42247</v>
      </c>
      <c r="X337" s="200">
        <v>3.548491272925058E-3</v>
      </c>
      <c r="Y337" s="209">
        <v>3.3275460852344452E-3</v>
      </c>
    </row>
    <row r="338" spans="21:25" x14ac:dyDescent="0.2">
      <c r="U338" s="213" t="str">
        <f t="shared" si="8"/>
        <v>1D</v>
      </c>
      <c r="V338" s="201">
        <f>_xll.qlCalendarAdvance(Calendar,V337,U338,"f",FALSE)</f>
        <v>42244</v>
      </c>
      <c r="W338" s="225">
        <f>_xll.qlCalendarAdvance(Calendar,V338,NDays&amp;"D")</f>
        <v>42248</v>
      </c>
      <c r="X338" s="200">
        <v>3.5523586301199842E-3</v>
      </c>
      <c r="Y338" s="209">
        <v>3.3265410405469709E-3</v>
      </c>
    </row>
    <row r="339" spans="21:25" x14ac:dyDescent="0.2">
      <c r="U339" s="213" t="str">
        <f t="shared" si="8"/>
        <v>1D</v>
      </c>
      <c r="V339" s="201">
        <f>_xll.qlCalendarAdvance(Calendar,V338,U339,"f",FALSE)</f>
        <v>42247</v>
      </c>
      <c r="W339" s="225">
        <f>_xll.qlCalendarAdvance(Calendar,V339,NDays&amp;"D")</f>
        <v>42249</v>
      </c>
      <c r="X339" s="200">
        <v>3.556194558051323E-3</v>
      </c>
      <c r="Y339" s="209">
        <v>3.3271696323655675E-3</v>
      </c>
    </row>
    <row r="340" spans="21:25" x14ac:dyDescent="0.2">
      <c r="U340" s="213" t="str">
        <f t="shared" si="8"/>
        <v>1D</v>
      </c>
      <c r="V340" s="201">
        <f>_xll.qlCalendarAdvance(Calendar,V339,U340,"f",FALSE)</f>
        <v>42248</v>
      </c>
      <c r="W340" s="225">
        <f>_xll.qlCalendarAdvance(Calendar,V340,NDays&amp;"D")</f>
        <v>42250</v>
      </c>
      <c r="X340" s="200">
        <v>3.5599999999992539E-3</v>
      </c>
      <c r="Y340" s="209">
        <v>3.3292582087174338E-3</v>
      </c>
    </row>
    <row r="341" spans="21:25" x14ac:dyDescent="0.2">
      <c r="U341" s="213" t="str">
        <f t="shared" ref="U341:U404" si="9">U340</f>
        <v>1D</v>
      </c>
      <c r="V341" s="201">
        <f>_xll.qlCalendarAdvance(Calendar,V340,U341,"f",FALSE)</f>
        <v>42249</v>
      </c>
      <c r="W341" s="225">
        <f>_xll.qlCalendarAdvance(Calendar,V341,NDays&amp;"D")</f>
        <v>42251</v>
      </c>
      <c r="X341" s="200">
        <v>3.5637766013627585E-3</v>
      </c>
      <c r="Y341" s="209">
        <v>3.3357859873817119E-3</v>
      </c>
    </row>
    <row r="342" spans="21:25" x14ac:dyDescent="0.2">
      <c r="U342" s="213" t="str">
        <f t="shared" si="9"/>
        <v>1D</v>
      </c>
      <c r="V342" s="201">
        <f>_xll.qlCalendarAdvance(Calendar,V341,U342,"f",FALSE)</f>
        <v>42250</v>
      </c>
      <c r="W342" s="225">
        <f>_xll.qlCalendarAdvance(Calendar,V342,NDays&amp;"D")</f>
        <v>42254</v>
      </c>
      <c r="X342" s="200">
        <v>3.5749807091309108E-3</v>
      </c>
      <c r="Y342" s="209">
        <v>3.3442243602355148E-3</v>
      </c>
    </row>
    <row r="343" spans="21:25" x14ac:dyDescent="0.2">
      <c r="U343" s="213" t="str">
        <f t="shared" si="9"/>
        <v>1D</v>
      </c>
      <c r="V343" s="201">
        <f>_xll.qlCalendarAdvance(Calendar,V342,U343,"f",FALSE)</f>
        <v>42251</v>
      </c>
      <c r="W343" s="225">
        <f>_xll.qlCalendarAdvance(Calendar,V343,NDays&amp;"D")</f>
        <v>42255</v>
      </c>
      <c r="X343" s="200">
        <v>3.5786906997537561E-3</v>
      </c>
      <c r="Y343" s="209">
        <v>3.3494452075899517E-3</v>
      </c>
    </row>
    <row r="344" spans="21:25" x14ac:dyDescent="0.2">
      <c r="U344" s="213" t="str">
        <f t="shared" si="9"/>
        <v>1D</v>
      </c>
      <c r="V344" s="201">
        <f>_xll.qlCalendarAdvance(Calendar,V343,U344,"f",FALSE)</f>
        <v>42254</v>
      </c>
      <c r="W344" s="225">
        <f>_xll.qlCalendarAdvance(Calendar,V344,NDays&amp;"D")</f>
        <v>42256</v>
      </c>
      <c r="X344" s="200">
        <v>3.5823969278948463E-3</v>
      </c>
      <c r="Y344" s="209">
        <v>3.3552577787343552E-3</v>
      </c>
    </row>
    <row r="345" spans="21:25" x14ac:dyDescent="0.2">
      <c r="U345" s="213" t="str">
        <f t="shared" si="9"/>
        <v>1D</v>
      </c>
      <c r="V345" s="201">
        <f>_xll.qlCalendarAdvance(Calendar,V344,U345,"f",FALSE)</f>
        <v>42255</v>
      </c>
      <c r="W345" s="225">
        <f>_xll.qlCalendarAdvance(Calendar,V345,NDays&amp;"D")</f>
        <v>42257</v>
      </c>
      <c r="X345" s="200">
        <v>3.5861045497127594E-3</v>
      </c>
      <c r="Y345" s="209">
        <v>3.3616620737486613E-3</v>
      </c>
    </row>
    <row r="346" spans="21:25" x14ac:dyDescent="0.2">
      <c r="U346" s="213" t="str">
        <f t="shared" si="9"/>
        <v>1D</v>
      </c>
      <c r="V346" s="201">
        <f>_xll.qlCalendarAdvance(Calendar,V345,U346,"f",FALSE)</f>
        <v>42256</v>
      </c>
      <c r="W346" s="225">
        <f>_xll.qlCalendarAdvance(Calendar,V346,NDays&amp;"D")</f>
        <v>42258</v>
      </c>
      <c r="X346" s="200">
        <v>3.5898187214047218E-3</v>
      </c>
      <c r="Y346" s="209">
        <v>3.376474744545277E-3</v>
      </c>
    </row>
    <row r="347" spans="21:25" x14ac:dyDescent="0.2">
      <c r="U347" s="213" t="str">
        <f t="shared" si="9"/>
        <v>1D</v>
      </c>
      <c r="V347" s="201">
        <f>_xll.qlCalendarAdvance(Calendar,V346,U347,"f",FALSE)</f>
        <v>42257</v>
      </c>
      <c r="W347" s="225">
        <f>_xll.qlCalendarAdvance(Calendar,V347,NDays&amp;"D")</f>
        <v>42261</v>
      </c>
      <c r="X347" s="200">
        <v>3.6010520982861609E-3</v>
      </c>
      <c r="Y347" s="209">
        <v>3.3931964930644654E-3</v>
      </c>
    </row>
    <row r="348" spans="21:25" x14ac:dyDescent="0.2">
      <c r="U348" s="213" t="str">
        <f t="shared" si="9"/>
        <v>1D</v>
      </c>
      <c r="V348" s="201">
        <f>_xll.qlCalendarAdvance(Calendar,V347,U348,"f",FALSE)</f>
        <v>42258</v>
      </c>
      <c r="W348" s="225">
        <f>_xll.qlCalendarAdvance(Calendar,V348,NDays&amp;"D")</f>
        <v>42262</v>
      </c>
      <c r="X348" s="200">
        <v>3.6048440322301455E-3</v>
      </c>
      <c r="Y348" s="209">
        <v>3.4025594079079013E-3</v>
      </c>
    </row>
    <row r="349" spans="21:25" x14ac:dyDescent="0.2">
      <c r="U349" s="213" t="str">
        <f t="shared" si="9"/>
        <v>1D</v>
      </c>
      <c r="V349" s="201">
        <f>_xll.qlCalendarAdvance(Calendar,V348,U349,"f",FALSE)</f>
        <v>42261</v>
      </c>
      <c r="W349" s="225">
        <f>_xll.qlCalendarAdvance(Calendar,V349,NDays&amp;"D")</f>
        <v>42263</v>
      </c>
      <c r="X349" s="200">
        <v>3.6086682976228576E-3</v>
      </c>
      <c r="Y349" s="209">
        <v>3.4125140468610482E-3</v>
      </c>
    </row>
    <row r="350" spans="21:25" x14ac:dyDescent="0.2">
      <c r="U350" s="213" t="str">
        <f t="shared" si="9"/>
        <v>1D</v>
      </c>
      <c r="V350" s="201">
        <f>_xll.qlCalendarAdvance(Calendar,V349,U350,"f",FALSE)</f>
        <v>42262</v>
      </c>
      <c r="W350" s="225">
        <f>_xll.qlCalendarAdvance(Calendar,V350,NDays&amp;"D")</f>
        <v>42264</v>
      </c>
      <c r="X350" s="200">
        <v>3.6125300509008925E-3</v>
      </c>
      <c r="Y350" s="209">
        <v>3.4230604099239059E-3</v>
      </c>
    </row>
    <row r="351" spans="21:25" x14ac:dyDescent="0.2">
      <c r="U351" s="213" t="str">
        <f t="shared" si="9"/>
        <v>1D</v>
      </c>
      <c r="V351" s="201">
        <f>_xll.qlCalendarAdvance(Calendar,V350,U351,"f",FALSE)</f>
        <v>42263</v>
      </c>
      <c r="W351" s="225">
        <f>_xll.qlCalendarAdvance(Calendar,V351,NDays&amp;"D")</f>
        <v>42265</v>
      </c>
      <c r="X351" s="200">
        <v>3.6164344485425724E-3</v>
      </c>
      <c r="Y351" s="209">
        <v>3.4461585384271132E-3</v>
      </c>
    </row>
    <row r="352" spans="21:25" x14ac:dyDescent="0.2">
      <c r="U352" s="213" t="str">
        <f t="shared" si="9"/>
        <v>1D</v>
      </c>
      <c r="V352" s="201">
        <f>_xll.qlCalendarAdvance(Calendar,V351,U352,"f",FALSE)</f>
        <v>42264</v>
      </c>
      <c r="W352" s="225">
        <f>_xll.qlCalendarAdvance(Calendar,V352,NDays&amp;"D")</f>
        <v>42268</v>
      </c>
      <c r="X352" s="200">
        <v>3.628455073081844E-3</v>
      </c>
      <c r="Y352" s="209">
        <v>3.4711631047912306E-3</v>
      </c>
    </row>
    <row r="353" spans="21:25" x14ac:dyDescent="0.2">
      <c r="U353" s="213" t="str">
        <f t="shared" si="9"/>
        <v>1D</v>
      </c>
      <c r="V353" s="201">
        <f>_xll.qlCalendarAdvance(Calendar,V352,U353,"f",FALSE)</f>
        <v>42265</v>
      </c>
      <c r="W353" s="225">
        <f>_xll.qlCalendarAdvance(Calendar,V353,NDays&amp;"D")</f>
        <v>42269</v>
      </c>
      <c r="X353" s="200">
        <v>3.6325816138388554E-3</v>
      </c>
      <c r="Y353" s="209">
        <v>3.4846680893618753E-3</v>
      </c>
    </row>
    <row r="354" spans="21:25" x14ac:dyDescent="0.2">
      <c r="U354" s="213" t="str">
        <f t="shared" si="9"/>
        <v>1D</v>
      </c>
      <c r="V354" s="201">
        <f>_xll.qlCalendarAdvance(Calendar,V353,U354,"f",FALSE)</f>
        <v>42268</v>
      </c>
      <c r="W354" s="225">
        <f>_xll.qlCalendarAdvance(Calendar,V354,NDays&amp;"D")</f>
        <v>42270</v>
      </c>
      <c r="X354" s="200">
        <v>3.6367765820226679E-3</v>
      </c>
      <c r="Y354" s="209">
        <v>3.4987647985218473E-3</v>
      </c>
    </row>
    <row r="355" spans="21:25" x14ac:dyDescent="0.2">
      <c r="U355" s="213" t="str">
        <f t="shared" si="9"/>
        <v>1D</v>
      </c>
      <c r="V355" s="201">
        <f>_xll.qlCalendarAdvance(Calendar,V354,U355,"f",FALSE)</f>
        <v>42269</v>
      </c>
      <c r="W355" s="225">
        <f>_xll.qlCalendarAdvance(Calendar,V355,NDays&amp;"D")</f>
        <v>42271</v>
      </c>
      <c r="X355" s="200">
        <v>3.6410451343913798E-3</v>
      </c>
      <c r="Y355" s="209">
        <v>3.5134532321112744E-3</v>
      </c>
    </row>
    <row r="356" spans="21:25" x14ac:dyDescent="0.2">
      <c r="U356" s="213" t="str">
        <f t="shared" si="9"/>
        <v>1D</v>
      </c>
      <c r="V356" s="201">
        <f>_xll.qlCalendarAdvance(Calendar,V355,U356,"f",FALSE)</f>
        <v>42270</v>
      </c>
      <c r="W356" s="225">
        <f>_xll.qlCalendarAdvance(Calendar,V356,NDays&amp;"D")</f>
        <v>42272</v>
      </c>
      <c r="X356" s="200">
        <v>3.6614376238584059E-3</v>
      </c>
      <c r="Y356" s="209">
        <v>3.5448374194935184E-3</v>
      </c>
    </row>
    <row r="357" spans="21:25" x14ac:dyDescent="0.2">
      <c r="U357" s="213" t="str">
        <f t="shared" si="9"/>
        <v>1D</v>
      </c>
      <c r="V357" s="201">
        <f>_xll.qlCalendarAdvance(Calendar,V356,U357,"f",FALSE)</f>
        <v>42271</v>
      </c>
      <c r="W357" s="225">
        <f>_xll.qlCalendarAdvance(Calendar,V357,NDays&amp;"D")</f>
        <v>42275</v>
      </c>
      <c r="X357" s="200">
        <v>3.6632408893401483E-3</v>
      </c>
      <c r="Y357" s="209">
        <v>3.578124214040912E-3</v>
      </c>
    </row>
    <row r="358" spans="21:25" x14ac:dyDescent="0.2">
      <c r="U358" s="213" t="str">
        <f t="shared" si="9"/>
        <v>1D</v>
      </c>
      <c r="V358" s="201">
        <f>_xll.qlCalendarAdvance(Calendar,V357,U358,"f",FALSE)</f>
        <v>42272</v>
      </c>
      <c r="W358" s="225">
        <f>_xll.qlCalendarAdvance(Calendar,V358,NDays&amp;"D")</f>
        <v>42276</v>
      </c>
      <c r="X358" s="200">
        <v>3.6636721492856574E-3</v>
      </c>
      <c r="Y358" s="209">
        <v>3.5957712716960799E-3</v>
      </c>
    </row>
    <row r="359" spans="21:25" x14ac:dyDescent="0.2">
      <c r="U359" s="213" t="str">
        <f t="shared" si="9"/>
        <v>1D</v>
      </c>
      <c r="V359" s="201">
        <f>_xll.qlCalendarAdvance(Calendar,V358,U359,"f",FALSE)</f>
        <v>42275</v>
      </c>
      <c r="W359" s="225">
        <f>_xll.qlCalendarAdvance(Calendar,V359,NDays&amp;"D")</f>
        <v>42277</v>
      </c>
      <c r="X359" s="200">
        <v>3.6731305763770998E-3</v>
      </c>
      <c r="Y359" s="209">
        <v>3.6140100544201914E-3</v>
      </c>
    </row>
    <row r="360" spans="21:25" x14ac:dyDescent="0.2">
      <c r="U360" s="213" t="str">
        <f t="shared" si="9"/>
        <v>1D</v>
      </c>
      <c r="V360" s="201">
        <f>_xll.qlCalendarAdvance(Calendar,V359,U360,"f",FALSE)</f>
        <v>42276</v>
      </c>
      <c r="W360" s="225">
        <f>_xll.qlCalendarAdvance(Calendar,V360,NDays&amp;"D")</f>
        <v>42278</v>
      </c>
      <c r="X360" s="200">
        <v>3.6782490361695016E-3</v>
      </c>
      <c r="Y360" s="209">
        <v>3.6328405622132465E-3</v>
      </c>
    </row>
    <row r="361" spans="21:25" x14ac:dyDescent="0.2">
      <c r="U361" s="213" t="str">
        <f t="shared" si="9"/>
        <v>1D</v>
      </c>
      <c r="V361" s="201">
        <f>_xll.qlCalendarAdvance(Calendar,V360,U361,"f",FALSE)</f>
        <v>42277</v>
      </c>
      <c r="W361" s="225">
        <f>_xll.qlCalendarAdvance(Calendar,V361,NDays&amp;"D")</f>
        <v>42279</v>
      </c>
      <c r="X361" s="200">
        <v>3.6940880599535598E-3</v>
      </c>
      <c r="Y361" s="209">
        <v>3.6725114593139097E-3</v>
      </c>
    </row>
    <row r="362" spans="21:25" x14ac:dyDescent="0.2">
      <c r="U362" s="213" t="str">
        <f t="shared" si="9"/>
        <v>1D</v>
      </c>
      <c r="V362" s="201">
        <f>_xll.qlCalendarAdvance(Calendar,V361,U362,"f",FALSE)</f>
        <v>42278</v>
      </c>
      <c r="W362" s="225">
        <f>_xll.qlCalendarAdvance(Calendar,V362,NDays&amp;"D")</f>
        <v>42282</v>
      </c>
      <c r="X362" s="200">
        <v>3.6999999999737881E-3</v>
      </c>
      <c r="Y362" s="209">
        <v>3.7140798468726643E-3</v>
      </c>
    </row>
    <row r="363" spans="21:25" x14ac:dyDescent="0.2">
      <c r="U363" s="213" t="str">
        <f t="shared" si="9"/>
        <v>1D</v>
      </c>
      <c r="V363" s="201">
        <f>_xll.qlCalendarAdvance(Calendar,V362,U363,"f",FALSE)</f>
        <v>42279</v>
      </c>
      <c r="W363" s="225">
        <f>_xll.qlCalendarAdvance(Calendar,V363,NDays&amp;"D")</f>
        <v>42283</v>
      </c>
      <c r="X363" s="200">
        <v>3.7057769302102617E-3</v>
      </c>
      <c r="Y363" s="209">
        <v>3.7358689817690305E-3</v>
      </c>
    </row>
    <row r="364" spans="21:25" x14ac:dyDescent="0.2">
      <c r="U364" s="213" t="str">
        <f t="shared" si="9"/>
        <v>1D</v>
      </c>
      <c r="V364" s="201">
        <f>_xll.qlCalendarAdvance(Calendar,V363,U364,"f",FALSE)</f>
        <v>42282</v>
      </c>
      <c r="W364" s="225">
        <f>_xll.qlCalendarAdvance(Calendar,V364,NDays&amp;"D")</f>
        <v>42284</v>
      </c>
      <c r="X364" s="200">
        <v>3.7116676568227733E-3</v>
      </c>
      <c r="Y364" s="209">
        <v>3.7575544707735276E-3</v>
      </c>
    </row>
    <row r="365" spans="21:25" x14ac:dyDescent="0.2">
      <c r="U365" s="213" t="str">
        <f t="shared" si="9"/>
        <v>1D</v>
      </c>
      <c r="V365" s="201">
        <f>_xll.qlCalendarAdvance(Calendar,V364,U365,"f",FALSE)</f>
        <v>42283</v>
      </c>
      <c r="W365" s="225">
        <f>_xll.qlCalendarAdvance(Calendar,V365,NDays&amp;"D")</f>
        <v>42285</v>
      </c>
      <c r="X365" s="200">
        <v>3.7176466820618378E-3</v>
      </c>
      <c r="Y365" s="209">
        <v>3.7763548269253988E-3</v>
      </c>
    </row>
    <row r="366" spans="21:25" x14ac:dyDescent="0.2">
      <c r="U366" s="213" t="str">
        <f t="shared" si="9"/>
        <v>1D</v>
      </c>
      <c r="V366" s="201">
        <f>_xll.qlCalendarAdvance(Calendar,V365,U366,"f",FALSE)</f>
        <v>42284</v>
      </c>
      <c r="W366" s="225">
        <f>_xll.qlCalendarAdvance(Calendar,V366,NDays&amp;"D")</f>
        <v>42286</v>
      </c>
      <c r="X366" s="200">
        <v>3.7367676997546837E-3</v>
      </c>
      <c r="Y366" s="209">
        <v>3.8020606755218012E-3</v>
      </c>
    </row>
    <row r="367" spans="21:25" x14ac:dyDescent="0.2">
      <c r="U367" s="213" t="str">
        <f t="shared" si="9"/>
        <v>1D</v>
      </c>
      <c r="V367" s="201">
        <f>_xll.qlCalendarAdvance(Calendar,V366,U367,"f",FALSE)</f>
        <v>42285</v>
      </c>
      <c r="W367" s="225">
        <f>_xll.qlCalendarAdvance(Calendar,V367,NDays&amp;"D")</f>
        <v>42289</v>
      </c>
      <c r="X367" s="200">
        <v>3.7422784368227272E-3</v>
      </c>
      <c r="Y367" s="209">
        <v>3.8157511970116076E-3</v>
      </c>
    </row>
    <row r="368" spans="21:25" x14ac:dyDescent="0.2">
      <c r="U368" s="213" t="str">
        <f t="shared" si="9"/>
        <v>1D</v>
      </c>
      <c r="V368" s="201">
        <f>_xll.qlCalendarAdvance(Calendar,V367,U368,"f",FALSE)</f>
        <v>42286</v>
      </c>
      <c r="W368" s="225">
        <f>_xll.qlCalendarAdvance(Calendar,V368,NDays&amp;"D")</f>
        <v>42290</v>
      </c>
      <c r="X368" s="200">
        <v>3.7485829726241213E-3</v>
      </c>
      <c r="Y368" s="209">
        <v>3.8166490245039597E-3</v>
      </c>
    </row>
    <row r="369" spans="21:25" x14ac:dyDescent="0.2">
      <c r="U369" s="213" t="str">
        <f t="shared" si="9"/>
        <v>1D</v>
      </c>
      <c r="V369" s="201">
        <f>_xll.qlCalendarAdvance(Calendar,V368,U369,"f",FALSE)</f>
        <v>42289</v>
      </c>
      <c r="W369" s="225">
        <f>_xll.qlCalendarAdvance(Calendar,V369,NDays&amp;"D")</f>
        <v>42291</v>
      </c>
      <c r="X369" s="200">
        <v>3.7549332204677541E-3</v>
      </c>
      <c r="Y369" s="209">
        <v>3.8139663456249195E-3</v>
      </c>
    </row>
    <row r="370" spans="21:25" x14ac:dyDescent="0.2">
      <c r="U370" s="213" t="str">
        <f t="shared" si="9"/>
        <v>1D</v>
      </c>
      <c r="V370" s="201">
        <f>_xll.qlCalendarAdvance(Calendar,V369,U370,"f",FALSE)</f>
        <v>42290</v>
      </c>
      <c r="W370" s="225">
        <f>_xll.qlCalendarAdvance(Calendar,V370,NDays&amp;"D")</f>
        <v>42292</v>
      </c>
      <c r="X370" s="200">
        <v>3.7613227168161608E-3</v>
      </c>
      <c r="Y370" s="209">
        <v>3.8077031606942313E-3</v>
      </c>
    </row>
    <row r="371" spans="21:25" x14ac:dyDescent="0.2">
      <c r="U371" s="213" t="str">
        <f t="shared" si="9"/>
        <v>1D</v>
      </c>
      <c r="V371" s="201">
        <f>_xll.qlCalendarAdvance(Calendar,V370,U371,"f",FALSE)</f>
        <v>42291</v>
      </c>
      <c r="W371" s="225">
        <f>_xll.qlCalendarAdvance(Calendar,V371,NDays&amp;"D")</f>
        <v>42293</v>
      </c>
      <c r="X371" s="200">
        <v>3.7808543984027571E-3</v>
      </c>
      <c r="Y371" s="209">
        <v>3.7832815292304645E-3</v>
      </c>
    </row>
    <row r="372" spans="21:25" x14ac:dyDescent="0.2">
      <c r="U372" s="213" t="str">
        <f t="shared" si="9"/>
        <v>1D</v>
      </c>
      <c r="V372" s="201">
        <f>_xll.qlCalendarAdvance(Calendar,V371,U372,"f",FALSE)</f>
        <v>42292</v>
      </c>
      <c r="W372" s="225">
        <f>_xll.qlCalendarAdvance(Calendar,V372,NDays&amp;"D")</f>
        <v>42296</v>
      </c>
      <c r="X372" s="200">
        <v>3.7871439136078207E-3</v>
      </c>
      <c r="Y372" s="209">
        <v>3.7468453642119925E-3</v>
      </c>
    </row>
    <row r="373" spans="21:25" x14ac:dyDescent="0.2">
      <c r="U373" s="213" t="str">
        <f t="shared" si="9"/>
        <v>1D</v>
      </c>
      <c r="V373" s="201">
        <f>_xll.qlCalendarAdvance(Calendar,V372,U373,"f",FALSE)</f>
        <v>42293</v>
      </c>
      <c r="W373" s="225">
        <f>_xll.qlCalendarAdvance(Calendar,V373,NDays&amp;"D")</f>
        <v>42297</v>
      </c>
      <c r="X373" s="200">
        <v>3.7936326965159668E-3</v>
      </c>
      <c r="Y373" s="209">
        <v>3.7226796533396111E-3</v>
      </c>
    </row>
    <row r="374" spans="21:25" x14ac:dyDescent="0.2">
      <c r="U374" s="213" t="str">
        <f t="shared" si="9"/>
        <v>1D</v>
      </c>
      <c r="V374" s="201">
        <f>_xll.qlCalendarAdvance(Calendar,V373,U374,"f",FALSE)</f>
        <v>42296</v>
      </c>
      <c r="W374" s="225">
        <f>_xll.qlCalendarAdvance(Calendar,V374,NDays&amp;"D")</f>
        <v>42298</v>
      </c>
      <c r="X374" s="200">
        <v>3.8001219449564244E-3</v>
      </c>
      <c r="Y374" s="209">
        <v>3.6949334389735355E-3</v>
      </c>
    </row>
    <row r="375" spans="21:25" x14ac:dyDescent="0.2">
      <c r="U375" s="213" t="str">
        <f t="shared" si="9"/>
        <v>1D</v>
      </c>
      <c r="V375" s="201">
        <f>_xll.qlCalendarAdvance(Calendar,V374,U375,"f",FALSE)</f>
        <v>42297</v>
      </c>
      <c r="W375" s="225">
        <f>_xll.qlCalendarAdvance(Calendar,V375,NDays&amp;"D")</f>
        <v>42299</v>
      </c>
      <c r="X375" s="200">
        <v>3.806605194805095E-3</v>
      </c>
      <c r="Y375" s="209">
        <v>3.6636067219131263E-3</v>
      </c>
    </row>
    <row r="376" spans="21:25" x14ac:dyDescent="0.2">
      <c r="U376" s="213" t="str">
        <f t="shared" si="9"/>
        <v>1D</v>
      </c>
      <c r="V376" s="201">
        <f>_xll.qlCalendarAdvance(Calendar,V375,U376,"f",FALSE)</f>
        <v>42298</v>
      </c>
      <c r="W376" s="225">
        <f>_xll.qlCalendarAdvance(Calendar,V376,NDays&amp;"D")</f>
        <v>42300</v>
      </c>
      <c r="X376" s="200">
        <v>3.8236898708095116E-3</v>
      </c>
      <c r="Y376" s="209">
        <v>3.5890540633598533E-3</v>
      </c>
    </row>
    <row r="377" spans="21:25" x14ac:dyDescent="0.2">
      <c r="U377" s="213" t="str">
        <f t="shared" si="9"/>
        <v>1D</v>
      </c>
      <c r="V377" s="201">
        <f>_xll.qlCalendarAdvance(Calendar,V376,U377,"f",FALSE)</f>
        <v>42299</v>
      </c>
      <c r="W377" s="225">
        <f>_xll.qlCalendarAdvance(Calendar,V377,NDays&amp;"D")</f>
        <v>42303</v>
      </c>
      <c r="X377" s="200">
        <v>3.8323489228221904E-3</v>
      </c>
      <c r="Y377" s="209">
        <v>3.5024948479911444E-3</v>
      </c>
    </row>
    <row r="378" spans="21:25" x14ac:dyDescent="0.2">
      <c r="U378" s="213" t="str">
        <f t="shared" si="9"/>
        <v>1D</v>
      </c>
      <c r="V378" s="201">
        <f>_xll.qlCalendarAdvance(Calendar,V377,U378,"f",FALSE)</f>
        <v>42300</v>
      </c>
      <c r="W378" s="225">
        <f>_xll.qlCalendarAdvance(Calendar,V378,NDays&amp;"D")</f>
        <v>42304</v>
      </c>
      <c r="X378" s="200">
        <v>3.8387052148831902E-3</v>
      </c>
      <c r="Y378" s="209">
        <v>3.453265634005831E-3</v>
      </c>
    </row>
    <row r="379" spans="21:25" x14ac:dyDescent="0.2">
      <c r="U379" s="213" t="str">
        <f t="shared" si="9"/>
        <v>1D</v>
      </c>
      <c r="V379" s="201">
        <f>_xll.qlCalendarAdvance(Calendar,V378,U379,"f",FALSE)</f>
        <v>42303</v>
      </c>
      <c r="W379" s="225">
        <f>_xll.qlCalendarAdvance(Calendar,V379,NDays&amp;"D")</f>
        <v>42305</v>
      </c>
      <c r="X379" s="200">
        <v>3.8450167218378566E-3</v>
      </c>
      <c r="Y379" s="209">
        <v>3.4004559246003652E-3</v>
      </c>
    </row>
    <row r="380" spans="21:25" x14ac:dyDescent="0.2">
      <c r="U380" s="213" t="str">
        <f t="shared" si="9"/>
        <v>1D</v>
      </c>
      <c r="V380" s="201">
        <f>_xll.qlCalendarAdvance(Calendar,V379,U380,"f",FALSE)</f>
        <v>42304</v>
      </c>
      <c r="W380" s="225">
        <f>_xll.qlCalendarAdvance(Calendar,V380,NDays&amp;"D")</f>
        <v>42306</v>
      </c>
      <c r="X380" s="200">
        <v>3.8512769789806963E-3</v>
      </c>
      <c r="Y380" s="209">
        <v>3.3440657214534042E-3</v>
      </c>
    </row>
    <row r="381" spans="21:25" x14ac:dyDescent="0.2">
      <c r="U381" s="213" t="str">
        <f t="shared" si="9"/>
        <v>1D</v>
      </c>
      <c r="V381" s="201">
        <f>_xll.qlCalendarAdvance(Calendar,V380,U381,"f",FALSE)</f>
        <v>42305</v>
      </c>
      <c r="W381" s="225">
        <f>_xll.qlCalendarAdvance(Calendar,V381,NDays&amp;"D")</f>
        <v>42307</v>
      </c>
      <c r="X381" s="200">
        <v>3.8540280536804626E-3</v>
      </c>
      <c r="Y381" s="209">
        <v>3.2193791298151808E-3</v>
      </c>
    </row>
    <row r="382" spans="21:25" x14ac:dyDescent="0.2">
      <c r="U382" s="213" t="str">
        <f t="shared" si="9"/>
        <v>1D</v>
      </c>
      <c r="V382" s="201">
        <f>_xll.qlCalendarAdvance(Calendar,V381,U382,"f",FALSE)</f>
        <v>42306</v>
      </c>
      <c r="W382" s="225">
        <f>_xll.qlCalendarAdvance(Calendar,V382,NDays&amp;"D")</f>
        <v>42310</v>
      </c>
      <c r="X382" s="200">
        <v>3.8735872410460234E-3</v>
      </c>
      <c r="Y382" s="209">
        <v>3.0827000055033693E-3</v>
      </c>
    </row>
    <row r="383" spans="21:25" x14ac:dyDescent="0.2">
      <c r="U383" s="213" t="str">
        <f t="shared" si="9"/>
        <v>1D</v>
      </c>
      <c r="V383" s="201">
        <f>_xll.qlCalendarAdvance(Calendar,V382,U383,"f",FALSE)</f>
        <v>42307</v>
      </c>
      <c r="W383" s="225">
        <f>_xll.qlCalendarAdvance(Calendar,V383,NDays&amp;"D")</f>
        <v>42311</v>
      </c>
      <c r="X383" s="200">
        <v>3.8800000000801444E-3</v>
      </c>
      <c r="Y383" s="209">
        <v>3.0084073604275119E-3</v>
      </c>
    </row>
    <row r="384" spans="21:25" x14ac:dyDescent="0.2">
      <c r="U384" s="213" t="str">
        <f t="shared" si="9"/>
        <v>1D</v>
      </c>
      <c r="V384" s="201">
        <f>_xll.qlCalendarAdvance(Calendar,V383,U384,"f",FALSE)</f>
        <v>42310</v>
      </c>
      <c r="W384" s="225">
        <f>_xll.qlCalendarAdvance(Calendar,V384,NDays&amp;"D")</f>
        <v>42312</v>
      </c>
      <c r="X384" s="200">
        <v>3.8863559984161455E-3</v>
      </c>
      <c r="Y384" s="209">
        <v>2.9316710795779244E-3</v>
      </c>
    </row>
    <row r="385" spans="21:25" x14ac:dyDescent="0.2">
      <c r="U385" s="213" t="str">
        <f t="shared" si="9"/>
        <v>1D</v>
      </c>
      <c r="V385" s="201">
        <f>_xll.qlCalendarAdvance(Calendar,V384,U385,"f",FALSE)</f>
        <v>42311</v>
      </c>
      <c r="W385" s="225">
        <f>_xll.qlCalendarAdvance(Calendar,V385,NDays&amp;"D")</f>
        <v>42313</v>
      </c>
      <c r="X385" s="200">
        <v>3.8926802685167231E-3</v>
      </c>
      <c r="Y385" s="209">
        <v>2.8570385486226257E-3</v>
      </c>
    </row>
    <row r="386" spans="21:25" x14ac:dyDescent="0.2">
      <c r="U386" s="213" t="str">
        <f t="shared" si="9"/>
        <v>1D</v>
      </c>
      <c r="V386" s="201">
        <f>_xll.qlCalendarAdvance(Calendar,V385,U386,"f",FALSE)</f>
        <v>42312</v>
      </c>
      <c r="W386" s="225">
        <f>_xll.qlCalendarAdvance(Calendar,V386,NDays&amp;"D")</f>
        <v>42314</v>
      </c>
      <c r="X386" s="200">
        <v>3.8989803668155977E-3</v>
      </c>
      <c r="Y386" s="209">
        <v>2.7185959901387946E-3</v>
      </c>
    </row>
    <row r="387" spans="21:25" x14ac:dyDescent="0.2">
      <c r="U387" s="213" t="str">
        <f t="shared" si="9"/>
        <v>1D</v>
      </c>
      <c r="V387" s="201">
        <f>_xll.qlCalendarAdvance(Calendar,V386,U387,"f",FALSE)</f>
        <v>42313</v>
      </c>
      <c r="W387" s="225">
        <f>_xll.qlCalendarAdvance(Calendar,V387,NDays&amp;"D")</f>
        <v>42317</v>
      </c>
      <c r="X387" s="200">
        <v>3.9177486094011576E-3</v>
      </c>
      <c r="Y387" s="209">
        <v>2.5909143493851872E-3</v>
      </c>
    </row>
    <row r="388" spans="21:25" x14ac:dyDescent="0.2">
      <c r="U388" s="213" t="str">
        <f t="shared" si="9"/>
        <v>1D</v>
      </c>
      <c r="V388" s="201">
        <f>_xll.qlCalendarAdvance(Calendar,V387,U388,"f",FALSE)</f>
        <v>42314</v>
      </c>
      <c r="W388" s="225">
        <f>_xll.qlCalendarAdvance(Calendar,V388,NDays&amp;"D")</f>
        <v>42318</v>
      </c>
      <c r="X388" s="200">
        <v>3.9239649990784591E-3</v>
      </c>
      <c r="Y388" s="209">
        <v>2.5324847718088961E-3</v>
      </c>
    </row>
    <row r="389" spans="21:25" x14ac:dyDescent="0.2">
      <c r="U389" s="213" t="str">
        <f t="shared" si="9"/>
        <v>1D</v>
      </c>
      <c r="V389" s="201">
        <f>_xll.qlCalendarAdvance(Calendar,V388,U389,"f",FALSE)</f>
        <v>42317</v>
      </c>
      <c r="W389" s="225">
        <f>_xll.qlCalendarAdvance(Calendar,V389,NDays&amp;"D")</f>
        <v>42319</v>
      </c>
      <c r="X389" s="200">
        <v>3.9301637063314443E-3</v>
      </c>
      <c r="Y389" s="209">
        <v>2.4772957797924988E-3</v>
      </c>
    </row>
    <row r="390" spans="21:25" x14ac:dyDescent="0.2">
      <c r="U390" s="213" t="str">
        <f t="shared" si="9"/>
        <v>1D</v>
      </c>
      <c r="V390" s="201">
        <f>_xll.qlCalendarAdvance(Calendar,V389,U390,"f",FALSE)</f>
        <v>42318</v>
      </c>
      <c r="W390" s="225">
        <f>_xll.qlCalendarAdvance(Calendar,V390,NDays&amp;"D")</f>
        <v>42320</v>
      </c>
      <c r="X390" s="200">
        <v>3.9363460290862762E-3</v>
      </c>
      <c r="Y390" s="209">
        <v>2.4253473719770824E-3</v>
      </c>
    </row>
    <row r="391" spans="21:25" x14ac:dyDescent="0.2">
      <c r="U391" s="213" t="str">
        <f t="shared" si="9"/>
        <v>1D</v>
      </c>
      <c r="V391" s="201">
        <f>_xll.qlCalendarAdvance(Calendar,V390,U391,"f",FALSE)</f>
        <v>42319</v>
      </c>
      <c r="W391" s="225">
        <f>_xll.qlCalendarAdvance(Calendar,V391,NDays&amp;"D")</f>
        <v>42321</v>
      </c>
      <c r="X391" s="200">
        <v>3.9425132652866849E-3</v>
      </c>
      <c r="Y391" s="209">
        <v>2.332267604163718E-3</v>
      </c>
    </row>
    <row r="392" spans="21:25" x14ac:dyDescent="0.2">
      <c r="U392" s="213" t="str">
        <f t="shared" si="9"/>
        <v>1D</v>
      </c>
      <c r="V392" s="201">
        <f>_xll.qlCalendarAdvance(Calendar,V391,U392,"f",FALSE)</f>
        <v>42320</v>
      </c>
      <c r="W392" s="225">
        <f>_xll.qlCalendarAdvance(Calendar,V392,NDays&amp;"D")</f>
        <v>42324</v>
      </c>
      <c r="X392" s="200">
        <v>3.9609374342345315E-3</v>
      </c>
      <c r="Y392" s="209">
        <v>2.2499595549074769E-3</v>
      </c>
    </row>
    <row r="393" spans="21:25" x14ac:dyDescent="0.2">
      <c r="U393" s="213" t="str">
        <f t="shared" si="9"/>
        <v>1D</v>
      </c>
      <c r="V393" s="201">
        <f>_xll.qlCalendarAdvance(Calendar,V392,U393,"f",FALSE)</f>
        <v>42321</v>
      </c>
      <c r="W393" s="225">
        <f>_xll.qlCalendarAdvance(Calendar,V393,NDays&amp;"D")</f>
        <v>42325</v>
      </c>
      <c r="X393" s="200">
        <v>3.9670573039738569E-3</v>
      </c>
      <c r="Y393" s="209">
        <v>2.2142140483527584E-3</v>
      </c>
    </row>
    <row r="394" spans="21:25" x14ac:dyDescent="0.2">
      <c r="U394" s="213" t="str">
        <f t="shared" si="9"/>
        <v>1D</v>
      </c>
      <c r="V394" s="201">
        <f>_xll.qlCalendarAdvance(Calendar,V393,U394,"f",FALSE)</f>
        <v>42324</v>
      </c>
      <c r="W394" s="225">
        <f>_xll.qlCalendarAdvance(Calendar,V394,NDays&amp;"D")</f>
        <v>42326</v>
      </c>
      <c r="X394" s="200">
        <v>3.9731685771180981E-3</v>
      </c>
      <c r="Y394" s="209">
        <v>2.1817091188047755E-3</v>
      </c>
    </row>
    <row r="395" spans="21:25" x14ac:dyDescent="0.2">
      <c r="U395" s="213" t="str">
        <f t="shared" si="9"/>
        <v>1D</v>
      </c>
      <c r="V395" s="201">
        <f>_xll.qlCalendarAdvance(Calendar,V394,U395,"f",FALSE)</f>
        <v>42325</v>
      </c>
      <c r="W395" s="225">
        <f>_xll.qlCalendarAdvance(Calendar,V395,NDays&amp;"D")</f>
        <v>42327</v>
      </c>
      <c r="X395" s="200">
        <v>3.9792725517089301E-3</v>
      </c>
      <c r="Y395" s="209">
        <v>2.1524447653042955E-3</v>
      </c>
    </row>
    <row r="396" spans="21:25" x14ac:dyDescent="0.2">
      <c r="U396" s="213" t="str">
        <f t="shared" si="9"/>
        <v>1D</v>
      </c>
      <c r="V396" s="201">
        <f>_xll.qlCalendarAdvance(Calendar,V395,U396,"f",FALSE)</f>
        <v>42326</v>
      </c>
      <c r="W396" s="225">
        <f>_xll.qlCalendarAdvance(Calendar,V396,NDays&amp;"D")</f>
        <v>42328</v>
      </c>
      <c r="X396" s="200">
        <v>3.9853705258029587E-3</v>
      </c>
      <c r="Y396" s="209">
        <v>2.1047302798216094E-3</v>
      </c>
    </row>
    <row r="397" spans="21:25" x14ac:dyDescent="0.2">
      <c r="U397" s="213" t="str">
        <f t="shared" si="9"/>
        <v>1D</v>
      </c>
      <c r="V397" s="201">
        <f>_xll.qlCalendarAdvance(Calendar,V396,U397,"f",FALSE)</f>
        <v>42327</v>
      </c>
      <c r="W397" s="225">
        <f>_xll.qlCalendarAdvance(Calendar,V397,NDays&amp;"D")</f>
        <v>42331</v>
      </c>
      <c r="X397" s="200">
        <v>4.0036414259140615E-3</v>
      </c>
      <c r="Y397" s="209">
        <v>2.0677930984280835E-3</v>
      </c>
    </row>
    <row r="398" spans="21:25" x14ac:dyDescent="0.2">
      <c r="U398" s="213" t="str">
        <f t="shared" si="9"/>
        <v>1D</v>
      </c>
      <c r="V398" s="201">
        <f>_xll.qlCalendarAdvance(Calendar,V397,U398,"f",FALSE)</f>
        <v>42328</v>
      </c>
      <c r="W398" s="225">
        <f>_xll.qlCalendarAdvance(Calendar,V398,NDays&amp;"D")</f>
        <v>42332</v>
      </c>
      <c r="X398" s="200">
        <v>4.0097283789097705E-3</v>
      </c>
      <c r="Y398" s="209">
        <v>2.0547316154928552E-3</v>
      </c>
    </row>
    <row r="399" spans="21:25" x14ac:dyDescent="0.2">
      <c r="U399" s="213" t="str">
        <f t="shared" si="9"/>
        <v>1D</v>
      </c>
      <c r="V399" s="201">
        <f>_xll.qlCalendarAdvance(Calendar,V398,U399,"f",FALSE)</f>
        <v>42331</v>
      </c>
      <c r="W399" s="225">
        <f>_xll.qlCalendarAdvance(Calendar,V399,NDays&amp;"D")</f>
        <v>42333</v>
      </c>
      <c r="X399" s="200">
        <v>4.0158158219332782E-3</v>
      </c>
      <c r="Y399" s="209">
        <v>2.0449107053277515E-3</v>
      </c>
    </row>
    <row r="400" spans="21:25" x14ac:dyDescent="0.2">
      <c r="U400" s="213" t="str">
        <f t="shared" si="9"/>
        <v>1D</v>
      </c>
      <c r="V400" s="201">
        <f>_xll.qlCalendarAdvance(Calendar,V399,U400,"f",FALSE)</f>
        <v>42332</v>
      </c>
      <c r="W400" s="225">
        <f>_xll.qlCalendarAdvance(Calendar,V400,NDays&amp;"D")</f>
        <v>42334</v>
      </c>
      <c r="X400" s="200">
        <v>4.0219050531373783E-3</v>
      </c>
      <c r="Y400" s="209">
        <v>2.0383303676130282E-3</v>
      </c>
    </row>
    <row r="401" spans="21:25" x14ac:dyDescent="0.2">
      <c r="U401" s="213" t="str">
        <f t="shared" si="9"/>
        <v>1D</v>
      </c>
      <c r="V401" s="201">
        <f>_xll.qlCalendarAdvance(Calendar,V400,U401,"f",FALSE)</f>
        <v>42333</v>
      </c>
      <c r="W401" s="225">
        <f>_xll.qlCalendarAdvance(Calendar,V401,NDays&amp;"D")</f>
        <v>42335</v>
      </c>
      <c r="X401" s="200">
        <v>4.0279973706897985E-3</v>
      </c>
      <c r="Y401" s="209">
        <v>2.035983113914952E-3</v>
      </c>
    </row>
    <row r="402" spans="21:25" x14ac:dyDescent="0.2">
      <c r="U402" s="213" t="str">
        <f t="shared" si="9"/>
        <v>1D</v>
      </c>
      <c r="V402" s="201">
        <f>_xll.qlCalendarAdvance(Calendar,V401,U402,"f",FALSE)</f>
        <v>42334</v>
      </c>
      <c r="W402" s="225">
        <f>_xll.qlCalendarAdvance(Calendar,V402,NDays&amp;"D")</f>
        <v>42338</v>
      </c>
      <c r="X402" s="200">
        <v>4.0414736306967226E-3</v>
      </c>
      <c r="Y402" s="209">
        <v>2.0444147387799205E-3</v>
      </c>
    </row>
    <row r="403" spans="21:25" x14ac:dyDescent="0.2">
      <c r="U403" s="213" t="str">
        <f t="shared" si="9"/>
        <v>1D</v>
      </c>
      <c r="V403" s="201">
        <f>_xll.qlCalendarAdvance(Calendar,V402,U403,"f",FALSE)</f>
        <v>42335</v>
      </c>
      <c r="W403" s="225">
        <f>_xll.qlCalendarAdvance(Calendar,V403,NDays&amp;"D")</f>
        <v>42339</v>
      </c>
      <c r="X403" s="200">
        <v>4.0476200955856913E-3</v>
      </c>
      <c r="Y403" s="209">
        <v>2.0540372622779302E-3</v>
      </c>
    </row>
    <row r="404" spans="21:25" x14ac:dyDescent="0.2">
      <c r="U404" s="213" t="str">
        <f t="shared" si="9"/>
        <v>1D</v>
      </c>
      <c r="V404" s="201">
        <f>_xll.qlCalendarAdvance(Calendar,V403,U404,"f",FALSE)</f>
        <v>42338</v>
      </c>
      <c r="W404" s="225">
        <f>_xll.qlCalendarAdvance(Calendar,V404,NDays&amp;"D")</f>
        <v>42340</v>
      </c>
      <c r="X404" s="200">
        <v>4.0537951215660756E-3</v>
      </c>
      <c r="Y404" s="209">
        <v>2.0669003584661283E-3</v>
      </c>
    </row>
    <row r="405" spans="21:25" x14ac:dyDescent="0.2">
      <c r="U405" s="213" t="str">
        <f t="shared" ref="U405:U468" si="10">U404</f>
        <v>1D</v>
      </c>
      <c r="V405" s="201">
        <f>_xll.qlCalendarAdvance(Calendar,V404,U405,"f",FALSE)</f>
        <v>42339</v>
      </c>
      <c r="W405" s="225">
        <f>_xll.qlCalendarAdvance(Calendar,V405,NDays&amp;"D")</f>
        <v>42341</v>
      </c>
      <c r="X405" s="200">
        <v>4.0600000000000835E-3</v>
      </c>
      <c r="Y405" s="209">
        <v>2.0829454948856352E-3</v>
      </c>
    </row>
    <row r="406" spans="21:25" x14ac:dyDescent="0.2">
      <c r="U406" s="213" t="str">
        <f t="shared" si="10"/>
        <v>1D</v>
      </c>
      <c r="V406" s="201">
        <f>_xll.qlCalendarAdvance(Calendar,V405,U406,"f",FALSE)</f>
        <v>42340</v>
      </c>
      <c r="W406" s="225">
        <f>_xll.qlCalendarAdvance(Calendar,V406,NDays&amp;"D")</f>
        <v>42342</v>
      </c>
      <c r="X406" s="200">
        <v>4.0575237486788433E-3</v>
      </c>
      <c r="Y406" s="209">
        <v>2.1247966296034093E-3</v>
      </c>
    </row>
    <row r="407" spans="21:25" x14ac:dyDescent="0.2">
      <c r="U407" s="213" t="str">
        <f t="shared" si="10"/>
        <v>1D</v>
      </c>
      <c r="V407" s="201">
        <f>_xll.qlCalendarAdvance(Calendar,V406,U407,"f",FALSE)</f>
        <v>42341</v>
      </c>
      <c r="W407" s="225">
        <f>_xll.qlCalendarAdvance(Calendar,V407,NDays&amp;"D")</f>
        <v>42345</v>
      </c>
      <c r="X407" s="200">
        <v>4.0849591655785569E-3</v>
      </c>
      <c r="Y407" s="209">
        <v>2.1762539420144833E-3</v>
      </c>
    </row>
    <row r="408" spans="21:25" x14ac:dyDescent="0.2">
      <c r="U408" s="213" t="str">
        <f t="shared" si="10"/>
        <v>1D</v>
      </c>
      <c r="V408" s="201">
        <f>_xll.qlCalendarAdvance(Calendar,V407,U408,"f",FALSE)</f>
        <v>42342</v>
      </c>
      <c r="W408" s="225">
        <f>_xll.qlCalendarAdvance(Calendar,V408,NDays&amp;"D")</f>
        <v>42346</v>
      </c>
      <c r="X408" s="200">
        <v>4.0911566334665079E-3</v>
      </c>
      <c r="Y408" s="209">
        <v>2.2068044990586344E-3</v>
      </c>
    </row>
    <row r="409" spans="21:25" x14ac:dyDescent="0.2">
      <c r="U409" s="213" t="str">
        <f t="shared" si="10"/>
        <v>1D</v>
      </c>
      <c r="V409" s="201">
        <f>_xll.qlCalendarAdvance(Calendar,V408,U409,"f",FALSE)</f>
        <v>42345</v>
      </c>
      <c r="W409" s="225">
        <f>_xll.qlCalendarAdvance(Calendar,V409,NDays&amp;"D")</f>
        <v>42347</v>
      </c>
      <c r="X409" s="200">
        <v>4.0973051222971471E-3</v>
      </c>
      <c r="Y409" s="209">
        <v>2.2402444356384166E-3</v>
      </c>
    </row>
    <row r="410" spans="21:25" x14ac:dyDescent="0.2">
      <c r="U410" s="213" t="str">
        <f t="shared" si="10"/>
        <v>1D</v>
      </c>
      <c r="V410" s="201">
        <f>_xll.qlCalendarAdvance(Calendar,V409,U410,"f",FALSE)</f>
        <v>42346</v>
      </c>
      <c r="W410" s="225">
        <f>_xll.qlCalendarAdvance(Calendar,V410,NDays&amp;"D")</f>
        <v>42348</v>
      </c>
      <c r="X410" s="200">
        <v>4.1033886068971544E-3</v>
      </c>
      <c r="Y410" s="209">
        <v>2.2765737525531904E-3</v>
      </c>
    </row>
    <row r="411" spans="21:25" x14ac:dyDescent="0.2">
      <c r="U411" s="213" t="str">
        <f t="shared" si="10"/>
        <v>1D</v>
      </c>
      <c r="V411" s="201">
        <f>_xll.qlCalendarAdvance(Calendar,V410,U411,"f",FALSE)</f>
        <v>42347</v>
      </c>
      <c r="W411" s="225">
        <f>_xll.qlCalendarAdvance(Calendar,V411,NDays&amp;"D")</f>
        <v>42349</v>
      </c>
      <c r="X411" s="200">
        <v>4.1018526805930104E-3</v>
      </c>
      <c r="Y411" s="209">
        <v>2.3588791130269016E-3</v>
      </c>
    </row>
    <row r="412" spans="21:25" x14ac:dyDescent="0.2">
      <c r="U412" s="213" t="str">
        <f t="shared" si="10"/>
        <v>1D</v>
      </c>
      <c r="V412" s="201">
        <f>_xll.qlCalendarAdvance(Calendar,V411,U412,"f",FALSE)</f>
        <v>42348</v>
      </c>
      <c r="W412" s="225">
        <f>_xll.qlCalendarAdvance(Calendar,V412,NDays&amp;"D")</f>
        <v>42352</v>
      </c>
      <c r="X412" s="200">
        <v>4.1267519928945822E-3</v>
      </c>
      <c r="Y412" s="209">
        <v>2.4507848417876232E-3</v>
      </c>
    </row>
    <row r="413" spans="21:25" x14ac:dyDescent="0.2">
      <c r="U413" s="213" t="str">
        <f t="shared" si="10"/>
        <v>1D</v>
      </c>
      <c r="V413" s="201">
        <f>_xll.qlCalendarAdvance(Calendar,V412,U413,"f",FALSE)</f>
        <v>42349</v>
      </c>
      <c r="W413" s="225">
        <f>_xll.qlCalendarAdvance(Calendar,V413,NDays&amp;"D")</f>
        <v>42353</v>
      </c>
      <c r="X413" s="200">
        <v>4.132270072223135E-3</v>
      </c>
      <c r="Y413" s="209">
        <v>2.5015610746859096E-3</v>
      </c>
    </row>
    <row r="414" spans="21:25" x14ac:dyDescent="0.2">
      <c r="U414" s="213" t="str">
        <f t="shared" si="10"/>
        <v>1D</v>
      </c>
      <c r="V414" s="201">
        <f>_xll.qlCalendarAdvance(Calendar,V413,U414,"f",FALSE)</f>
        <v>42352</v>
      </c>
      <c r="W414" s="225">
        <f>_xll.qlCalendarAdvance(Calendar,V414,NDays&amp;"D")</f>
        <v>42354</v>
      </c>
      <c r="X414" s="200">
        <v>4.137626992487888E-3</v>
      </c>
      <c r="Y414" s="209">
        <v>2.5552266942341362E-3</v>
      </c>
    </row>
    <row r="415" spans="21:25" x14ac:dyDescent="0.2">
      <c r="U415" s="213" t="str">
        <f t="shared" si="10"/>
        <v>1D</v>
      </c>
      <c r="V415" s="201">
        <f>_xll.qlCalendarAdvance(Calendar,V414,U415,"f",FALSE)</f>
        <v>42353</v>
      </c>
      <c r="W415" s="225">
        <f>_xll.qlCalendarAdvance(Calendar,V415,NDays&amp;"D")</f>
        <v>42355</v>
      </c>
      <c r="X415" s="200">
        <v>4.1428067273378858E-3</v>
      </c>
      <c r="Y415" s="209">
        <v>2.6117817016313438E-3</v>
      </c>
    </row>
    <row r="416" spans="21:25" x14ac:dyDescent="0.2">
      <c r="U416" s="213" t="str">
        <f t="shared" si="10"/>
        <v>1D</v>
      </c>
      <c r="V416" s="201">
        <f>_xll.qlCalendarAdvance(Calendar,V415,U416,"f",FALSE)</f>
        <v>42354</v>
      </c>
      <c r="W416" s="225">
        <f>_xll.qlCalendarAdvance(Calendar,V416,NDays&amp;"D")</f>
        <v>42356</v>
      </c>
      <c r="X416" s="200">
        <v>4.1414575953081364E-3</v>
      </c>
      <c r="Y416" s="209">
        <v>2.7345437838377507E-3</v>
      </c>
    </row>
    <row r="417" spans="21:25" x14ac:dyDescent="0.2">
      <c r="U417" s="213" t="str">
        <f t="shared" si="10"/>
        <v>1D</v>
      </c>
      <c r="V417" s="201">
        <f>_xll.qlCalendarAdvance(Calendar,V416,U417,"f",FALSE)</f>
        <v>42355</v>
      </c>
      <c r="W417" s="225">
        <f>_xll.qlCalendarAdvance(Calendar,V417,NDays&amp;"D")</f>
        <v>42359</v>
      </c>
      <c r="X417" s="200">
        <v>4.1614332815874877E-3</v>
      </c>
      <c r="Y417" s="209">
        <v>2.8668956384869659E-3</v>
      </c>
    </row>
    <row r="418" spans="21:25" x14ac:dyDescent="0.2">
      <c r="U418" s="213" t="str">
        <f t="shared" si="10"/>
        <v>1D</v>
      </c>
      <c r="V418" s="201">
        <f>_xll.qlCalendarAdvance(Calendar,V417,U418,"f",FALSE)</f>
        <v>42356</v>
      </c>
      <c r="W418" s="225">
        <f>_xll.qlCalendarAdvance(Calendar,V418,NDays&amp;"D")</f>
        <v>42360</v>
      </c>
      <c r="X418" s="200">
        <v>4.1654866903419255E-3</v>
      </c>
      <c r="Y418" s="209">
        <v>2.9378976071914309E-3</v>
      </c>
    </row>
    <row r="419" spans="21:25" x14ac:dyDescent="0.2">
      <c r="U419" s="213" t="str">
        <f t="shared" si="10"/>
        <v>1D</v>
      </c>
      <c r="V419" s="201">
        <f>_xll.qlCalendarAdvance(Calendar,V418,U419,"f",FALSE)</f>
        <v>42359</v>
      </c>
      <c r="W419" s="225">
        <f>_xll.qlCalendarAdvance(Calendar,V419,NDays&amp;"D")</f>
        <v>42361</v>
      </c>
      <c r="X419" s="200">
        <v>4.1692667535599935E-3</v>
      </c>
      <c r="Y419" s="209">
        <v>3.0117889729375236E-3</v>
      </c>
    </row>
    <row r="420" spans="21:25" x14ac:dyDescent="0.2">
      <c r="U420" s="213" t="str">
        <f t="shared" si="10"/>
        <v>1D</v>
      </c>
      <c r="V420" s="201">
        <f>_xll.qlCalendarAdvance(Calendar,V419,U420,"f",FALSE)</f>
        <v>42360</v>
      </c>
      <c r="W420" s="225">
        <f>_xll.qlCalendarAdvance(Calendar,V420,NDays&amp;"D")</f>
        <v>42362</v>
      </c>
      <c r="X420" s="200">
        <v>4.172757444389278E-3</v>
      </c>
      <c r="Y420" s="209">
        <v>3.2110073368829539E-3</v>
      </c>
    </row>
    <row r="421" spans="21:25" x14ac:dyDescent="0.2">
      <c r="U421" s="213" t="str">
        <f t="shared" si="10"/>
        <v>1D</v>
      </c>
      <c r="V421" s="201">
        <f>_xll.qlCalendarAdvance(Calendar,V420,U421,"f",FALSE)</f>
        <v>42361</v>
      </c>
      <c r="W421" s="225">
        <f>_xll.qlCalendarAdvance(Calendar,V421,NDays&amp;"D")</f>
        <v>42366</v>
      </c>
      <c r="X421" s="200">
        <v>4.1835059476089892E-3</v>
      </c>
      <c r="Y421" s="209">
        <v>3.4245868231597143E-3</v>
      </c>
    </row>
    <row r="422" spans="21:25" x14ac:dyDescent="0.2">
      <c r="U422" s="213" t="str">
        <f t="shared" si="10"/>
        <v>1D</v>
      </c>
      <c r="V422" s="201">
        <f>_xll.qlCalendarAdvance(Calendar,V421,U422,"f",FALSE)</f>
        <v>42362</v>
      </c>
      <c r="W422" s="225">
        <f>_xll.qlCalendarAdvance(Calendar,V422,NDays&amp;"D")</f>
        <v>42367</v>
      </c>
      <c r="X422" s="200">
        <v>4.1853093749058866E-3</v>
      </c>
      <c r="Y422" s="209">
        <v>3.5158146113634103E-3</v>
      </c>
    </row>
    <row r="423" spans="21:25" x14ac:dyDescent="0.2">
      <c r="U423" s="213" t="str">
        <f t="shared" si="10"/>
        <v>1D</v>
      </c>
      <c r="V423" s="201">
        <f>_xll.qlCalendarAdvance(Calendar,V422,U423,"f",FALSE)</f>
        <v>42366</v>
      </c>
      <c r="W423" s="225">
        <f>_xll.qlCalendarAdvance(Calendar,V423,NDays&amp;"D")</f>
        <v>42368</v>
      </c>
      <c r="X423" s="200">
        <v>4.1867272697863004E-3</v>
      </c>
      <c r="Y423" s="209">
        <v>3.6099318106774803E-3</v>
      </c>
    </row>
    <row r="424" spans="21:25" x14ac:dyDescent="0.2">
      <c r="U424" s="213" t="str">
        <f t="shared" si="10"/>
        <v>1D</v>
      </c>
      <c r="V424" s="201">
        <f>_xll.qlCalendarAdvance(Calendar,V423,U424,"f",FALSE)</f>
        <v>42367</v>
      </c>
      <c r="W424" s="225">
        <f>_xll.qlCalendarAdvance(Calendar,V424,NDays&amp;"D")</f>
        <v>42369</v>
      </c>
      <c r="X424" s="200">
        <v>4.1898544614701119E-3</v>
      </c>
      <c r="Y424" s="209">
        <v>3.8597339371815309E-3</v>
      </c>
    </row>
    <row r="425" spans="21:25" x14ac:dyDescent="0.2">
      <c r="U425" s="213" t="str">
        <f t="shared" si="10"/>
        <v>1D</v>
      </c>
      <c r="V425" s="201">
        <f>_xll.qlCalendarAdvance(Calendar,V424,U425,"f",FALSE)</f>
        <v>42368</v>
      </c>
      <c r="W425" s="225">
        <f>_xll.qlCalendarAdvance(Calendar,V425,NDays&amp;"D")</f>
        <v>42373</v>
      </c>
      <c r="X425" s="200">
        <v>4.1891264350994951E-3</v>
      </c>
      <c r="Y425" s="209">
        <v>4.1224662837802128E-3</v>
      </c>
    </row>
    <row r="426" spans="21:25" x14ac:dyDescent="0.2">
      <c r="U426" s="213" t="str">
        <f t="shared" si="10"/>
        <v>1D</v>
      </c>
      <c r="V426" s="201">
        <f>_xll.qlCalendarAdvance(Calendar,V425,U426,"f",FALSE)</f>
        <v>42369</v>
      </c>
      <c r="W426" s="225">
        <f>_xll.qlCalendarAdvance(Calendar,V426,NDays&amp;"D")</f>
        <v>42374</v>
      </c>
      <c r="X426" s="200">
        <v>4.1877820710754356E-3</v>
      </c>
      <c r="Y426" s="209">
        <v>4.2255633763232936E-3</v>
      </c>
    </row>
    <row r="427" spans="21:25" x14ac:dyDescent="0.2">
      <c r="U427" s="213" t="str">
        <f t="shared" si="10"/>
        <v>1D</v>
      </c>
      <c r="V427" s="201">
        <f>_xll.qlCalendarAdvance(Calendar,V426,U427,"f",FALSE)</f>
        <v>42373</v>
      </c>
      <c r="W427" s="225">
        <f>_xll.qlCalendarAdvance(Calendar,V427,NDays&amp;"D")</f>
        <v>42375</v>
      </c>
      <c r="X427" s="200">
        <v>4.1859834836360131E-3</v>
      </c>
      <c r="Y427" s="209">
        <v>4.3231932673748474E-3</v>
      </c>
    </row>
    <row r="428" spans="21:25" x14ac:dyDescent="0.2">
      <c r="U428" s="213" t="str">
        <f t="shared" si="10"/>
        <v>1D</v>
      </c>
      <c r="V428" s="201">
        <f>_xll.qlCalendarAdvance(Calendar,V427,U428,"f",FALSE)</f>
        <v>42374</v>
      </c>
      <c r="W428" s="225">
        <f>_xll.qlCalendarAdvance(Calendar,V428,NDays&amp;"D")</f>
        <v>42376</v>
      </c>
      <c r="X428" s="200">
        <v>4.1837605728671495E-3</v>
      </c>
      <c r="Y428" s="209">
        <v>4.4153559524584551E-3</v>
      </c>
    </row>
    <row r="429" spans="21:25" x14ac:dyDescent="0.2">
      <c r="U429" s="213" t="str">
        <f t="shared" si="10"/>
        <v>1D</v>
      </c>
      <c r="V429" s="201">
        <f>_xll.qlCalendarAdvance(Calendar,V428,U429,"f",FALSE)</f>
        <v>42375</v>
      </c>
      <c r="W429" s="225">
        <f>_xll.qlCalendarAdvance(Calendar,V429,NDays&amp;"D")</f>
        <v>42377</v>
      </c>
      <c r="X429" s="200">
        <v>4.181143239007176E-3</v>
      </c>
      <c r="Y429" s="209">
        <v>4.5815155819273201E-3</v>
      </c>
    </row>
    <row r="430" spans="21:25" x14ac:dyDescent="0.2">
      <c r="U430" s="213" t="str">
        <f t="shared" si="10"/>
        <v>1D</v>
      </c>
      <c r="V430" s="201">
        <f>_xll.qlCalendarAdvance(Calendar,V429,U430,"f",FALSE)</f>
        <v>42376</v>
      </c>
      <c r="W430" s="225">
        <f>_xll.qlCalendarAdvance(Calendar,V430,NDays&amp;"D")</f>
        <v>42380</v>
      </c>
      <c r="X430" s="200">
        <v>4.1712237022661549E-3</v>
      </c>
      <c r="Y430" s="209">
        <v>4.729334553577047E-3</v>
      </c>
    </row>
    <row r="431" spans="21:25" x14ac:dyDescent="0.2">
      <c r="U431" s="213" t="str">
        <f t="shared" si="10"/>
        <v>1D</v>
      </c>
      <c r="V431" s="201">
        <f>_xll.qlCalendarAdvance(Calendar,V430,U431,"f",FALSE)</f>
        <v>42377</v>
      </c>
      <c r="W431" s="225">
        <f>_xll.qlCalendarAdvance(Calendar,V431,NDays&amp;"D")</f>
        <v>42381</v>
      </c>
      <c r="X431" s="200">
        <v>4.1673276793851403E-3</v>
      </c>
      <c r="Y431" s="209">
        <v>4.7941611511870263E-3</v>
      </c>
    </row>
    <row r="432" spans="21:25" x14ac:dyDescent="0.2">
      <c r="U432" s="213" t="str">
        <f t="shared" si="10"/>
        <v>1D</v>
      </c>
      <c r="V432" s="201">
        <f>_xll.qlCalendarAdvance(Calendar,V431,U432,"f",FALSE)</f>
        <v>42380</v>
      </c>
      <c r="W432" s="225">
        <f>_xll.qlCalendarAdvance(Calendar,V432,NDays&amp;"D")</f>
        <v>42382</v>
      </c>
      <c r="X432" s="200">
        <v>4.1631867348730176E-3</v>
      </c>
      <c r="Y432" s="209">
        <v>4.85352052132626E-3</v>
      </c>
    </row>
    <row r="433" spans="21:25" x14ac:dyDescent="0.2">
      <c r="U433" s="213" t="str">
        <f t="shared" si="10"/>
        <v>1D</v>
      </c>
      <c r="V433" s="201">
        <f>_xll.qlCalendarAdvance(Calendar,V432,U433,"f",FALSE)</f>
        <v>42381</v>
      </c>
      <c r="W433" s="225">
        <f>_xll.qlCalendarAdvance(Calendar,V433,NDays&amp;"D")</f>
        <v>42383</v>
      </c>
      <c r="X433" s="200">
        <v>4.158830768739288E-3</v>
      </c>
      <c r="Y433" s="209">
        <v>4.9074126615167302E-3</v>
      </c>
    </row>
    <row r="434" spans="21:25" x14ac:dyDescent="0.2">
      <c r="U434" s="213" t="str">
        <f t="shared" si="10"/>
        <v>1D</v>
      </c>
      <c r="V434" s="201">
        <f>_xll.qlCalendarAdvance(Calendar,V433,U434,"f",FALSE)</f>
        <v>42382</v>
      </c>
      <c r="W434" s="225">
        <f>_xll.qlCalendarAdvance(Calendar,V434,NDays&amp;"D")</f>
        <v>42384</v>
      </c>
      <c r="X434" s="200">
        <v>4.1542896808059102E-3</v>
      </c>
      <c r="Y434" s="209">
        <v>4.997042188863432E-3</v>
      </c>
    </row>
    <row r="435" spans="21:25" x14ac:dyDescent="0.2">
      <c r="U435" s="213" t="str">
        <f t="shared" si="10"/>
        <v>1D</v>
      </c>
      <c r="V435" s="201">
        <f>_xll.qlCalendarAdvance(Calendar,V434,U435,"f",FALSE)</f>
        <v>42383</v>
      </c>
      <c r="W435" s="225">
        <f>_xll.qlCalendarAdvance(Calendar,V435,NDays&amp;"D")</f>
        <v>42387</v>
      </c>
      <c r="X435" s="200">
        <v>4.1398546810499631E-3</v>
      </c>
      <c r="Y435" s="209">
        <v>5.0683088757885741E-3</v>
      </c>
    </row>
    <row r="436" spans="21:25" x14ac:dyDescent="0.2">
      <c r="U436" s="213" t="str">
        <f t="shared" si="10"/>
        <v>1D</v>
      </c>
      <c r="V436" s="201">
        <f>_xll.qlCalendarAdvance(Calendar,V435,U436,"f",FALSE)</f>
        <v>42384</v>
      </c>
      <c r="W436" s="225">
        <f>_xll.qlCalendarAdvance(Calendar,V436,NDays&amp;"D")</f>
        <v>42388</v>
      </c>
      <c r="X436" s="200">
        <v>4.1348720994696699E-3</v>
      </c>
      <c r="Y436" s="209">
        <v>5.0948648337012514E-3</v>
      </c>
    </row>
    <row r="437" spans="21:25" x14ac:dyDescent="0.2">
      <c r="U437" s="213" t="str">
        <f t="shared" si="10"/>
        <v>1D</v>
      </c>
      <c r="V437" s="201">
        <f>_xll.qlCalendarAdvance(Calendar,V436,U437,"f",FALSE)</f>
        <v>42387</v>
      </c>
      <c r="W437" s="225">
        <f>_xll.qlCalendarAdvance(Calendar,V437,NDays&amp;"D")</f>
        <v>42389</v>
      </c>
      <c r="X437" s="200">
        <v>4.1298538915176333E-3</v>
      </c>
      <c r="Y437" s="209">
        <v>5.1159535504741172E-3</v>
      </c>
    </row>
    <row r="438" spans="21:25" x14ac:dyDescent="0.2">
      <c r="U438" s="213" t="str">
        <f t="shared" si="10"/>
        <v>1D</v>
      </c>
      <c r="V438" s="201">
        <f>_xll.qlCalendarAdvance(Calendar,V437,U438,"f",FALSE)</f>
        <v>42388</v>
      </c>
      <c r="W438" s="225">
        <f>_xll.qlCalendarAdvance(Calendar,V438,NDays&amp;"D")</f>
        <v>42390</v>
      </c>
      <c r="X438" s="200">
        <v>4.1248299554249987E-3</v>
      </c>
      <c r="Y438" s="209">
        <v>5.1315750252278747E-3</v>
      </c>
    </row>
    <row r="439" spans="21:25" x14ac:dyDescent="0.2">
      <c r="U439" s="213" t="str">
        <f t="shared" si="10"/>
        <v>1D</v>
      </c>
      <c r="V439" s="201">
        <f>_xll.qlCalendarAdvance(Calendar,V438,U439,"f",FALSE)</f>
        <v>42389</v>
      </c>
      <c r="W439" s="225">
        <f>_xll.qlCalendarAdvance(Calendar,V439,NDays&amp;"D")</f>
        <v>42391</v>
      </c>
      <c r="X439" s="200">
        <v>4.1198301891220493E-3</v>
      </c>
      <c r="Y439" s="209">
        <v>5.1446673510113783E-3</v>
      </c>
    </row>
    <row r="440" spans="21:25" x14ac:dyDescent="0.2">
      <c r="U440" s="213" t="str">
        <f t="shared" si="10"/>
        <v>1D</v>
      </c>
      <c r="V440" s="201">
        <f>_xll.qlCalendarAdvance(Calendar,V439,U440,"f",FALSE)</f>
        <v>42390</v>
      </c>
      <c r="W440" s="225">
        <f>_xll.qlCalendarAdvance(Calendar,V440,NDays&amp;"D")</f>
        <v>42394</v>
      </c>
      <c r="X440" s="200">
        <v>4.1052748837623809E-3</v>
      </c>
      <c r="Y440" s="209">
        <v>5.1393884935801992E-3</v>
      </c>
    </row>
    <row r="441" spans="21:25" x14ac:dyDescent="0.2">
      <c r="U441" s="213" t="str">
        <f t="shared" si="10"/>
        <v>1D</v>
      </c>
      <c r="V441" s="201">
        <f>_xll.qlCalendarAdvance(Calendar,V440,U441,"f",FALSE)</f>
        <v>42391</v>
      </c>
      <c r="W441" s="225">
        <f>_xll.qlCalendarAdvance(Calendar,V441,NDays&amp;"D")</f>
        <v>42395</v>
      </c>
      <c r="X441" s="200">
        <v>4.1006707700018087E-3</v>
      </c>
      <c r="Y441" s="209">
        <v>5.1276737524830196E-3</v>
      </c>
    </row>
    <row r="442" spans="21:25" x14ac:dyDescent="0.2">
      <c r="U442" s="213" t="str">
        <f t="shared" si="10"/>
        <v>1D</v>
      </c>
      <c r="V442" s="201">
        <f>_xll.qlCalendarAdvance(Calendar,V441,U442,"f",FALSE)</f>
        <v>42394</v>
      </c>
      <c r="W442" s="225">
        <f>_xll.qlCalendarAdvance(Calendar,V442,NDays&amp;"D")</f>
        <v>42396</v>
      </c>
      <c r="X442" s="200">
        <v>4.0962403113451598E-3</v>
      </c>
      <c r="Y442" s="209">
        <v>5.1104917688071794E-3</v>
      </c>
    </row>
    <row r="443" spans="21:25" x14ac:dyDescent="0.2">
      <c r="U443" s="213" t="str">
        <f t="shared" si="10"/>
        <v>1D</v>
      </c>
      <c r="V443" s="201">
        <f>_xll.qlCalendarAdvance(Calendar,V442,U443,"f",FALSE)</f>
        <v>42395</v>
      </c>
      <c r="W443" s="225">
        <f>_xll.qlCalendarAdvance(Calendar,V443,NDays&amp;"D")</f>
        <v>42397</v>
      </c>
      <c r="X443" s="200">
        <v>4.0920134040950103E-3</v>
      </c>
      <c r="Y443" s="209">
        <v>5.0878425434319752E-3</v>
      </c>
    </row>
    <row r="444" spans="21:25" x14ac:dyDescent="0.2">
      <c r="U444" s="213" t="str">
        <f t="shared" si="10"/>
        <v>1D</v>
      </c>
      <c r="V444" s="201">
        <f>_xll.qlCalendarAdvance(Calendar,V443,U444,"f",FALSE)</f>
        <v>42396</v>
      </c>
      <c r="W444" s="225">
        <f>_xll.qlCalendarAdvance(Calendar,V444,NDays&amp;"D")</f>
        <v>42398</v>
      </c>
      <c r="X444" s="200">
        <v>4.0880199443540967E-3</v>
      </c>
      <c r="Y444" s="209">
        <v>5.0243900797219965E-3</v>
      </c>
    </row>
    <row r="445" spans="21:25" x14ac:dyDescent="0.2">
      <c r="U445" s="213" t="str">
        <f t="shared" si="10"/>
        <v>1D</v>
      </c>
      <c r="V445" s="201">
        <f>_xll.qlCalendarAdvance(Calendar,V444,U445,"f",FALSE)</f>
        <v>42397</v>
      </c>
      <c r="W445" s="225">
        <f>_xll.qlCalendarAdvance(Calendar,V445,NDays&amp;"D")</f>
        <v>42401</v>
      </c>
      <c r="X445" s="200">
        <v>4.0777392089789959E-3</v>
      </c>
      <c r="Y445" s="209">
        <v>4.9425732482788476E-3</v>
      </c>
    </row>
    <row r="446" spans="21:25" x14ac:dyDescent="0.2">
      <c r="U446" s="213" t="str">
        <f t="shared" si="10"/>
        <v>1D</v>
      </c>
      <c r="V446" s="201">
        <f>_xll.qlCalendarAdvance(Calendar,V445,U446,"f",FALSE)</f>
        <v>42398</v>
      </c>
      <c r="W446" s="225">
        <f>_xll.qlCalendarAdvance(Calendar,V446,NDays&amp;"D")</f>
        <v>42402</v>
      </c>
      <c r="X446" s="200">
        <v>4.0749784975999343E-3</v>
      </c>
      <c r="Y446" s="209">
        <v>4.892587834390838E-3</v>
      </c>
    </row>
    <row r="447" spans="21:25" x14ac:dyDescent="0.2">
      <c r="U447" s="213" t="str">
        <f t="shared" si="10"/>
        <v>1D</v>
      </c>
      <c r="V447" s="201">
        <f>_xll.qlCalendarAdvance(Calendar,V446,U447,"f",FALSE)</f>
        <v>42401</v>
      </c>
      <c r="W447" s="225">
        <f>_xll.qlCalendarAdvance(Calendar,V447,NDays&amp;"D")</f>
        <v>42403</v>
      </c>
      <c r="X447" s="200">
        <v>4.0726007125897277E-3</v>
      </c>
      <c r="Y447" s="209">
        <v>4.8383472363777713E-3</v>
      </c>
    </row>
    <row r="448" spans="21:25" x14ac:dyDescent="0.2">
      <c r="U448" s="213" t="str">
        <f t="shared" si="10"/>
        <v>1D</v>
      </c>
      <c r="V448" s="201">
        <f>_xll.qlCalendarAdvance(Calendar,V447,U448,"f",FALSE)</f>
        <v>42402</v>
      </c>
      <c r="W448" s="225">
        <f>_xll.qlCalendarAdvance(Calendar,V448,NDays&amp;"D")</f>
        <v>42404</v>
      </c>
      <c r="X448" s="200">
        <v>4.070629076494899E-3</v>
      </c>
      <c r="Y448" s="209">
        <v>4.7846996463274394E-3</v>
      </c>
    </row>
    <row r="449" spans="21:25" x14ac:dyDescent="0.2">
      <c r="U449" s="213" t="str">
        <f t="shared" si="10"/>
        <v>1D</v>
      </c>
      <c r="V449" s="201">
        <f>_xll.qlCalendarAdvance(Calendar,V448,U449,"f",FALSE)</f>
        <v>42403</v>
      </c>
      <c r="W449" s="225">
        <f>_xll.qlCalendarAdvance(Calendar,V449,NDays&amp;"D")</f>
        <v>42405</v>
      </c>
      <c r="X449" s="200">
        <v>4.0690601191589798E-3</v>
      </c>
      <c r="Y449" s="209">
        <v>4.6834822419228317E-3</v>
      </c>
    </row>
    <row r="450" spans="21:25" x14ac:dyDescent="0.2">
      <c r="U450" s="213" t="str">
        <f t="shared" si="10"/>
        <v>1D</v>
      </c>
      <c r="V450" s="201">
        <f>_xll.qlCalendarAdvance(Calendar,V449,U450,"f",FALSE)</f>
        <v>42404</v>
      </c>
      <c r="W450" s="225">
        <f>_xll.qlCalendarAdvance(Calendar,V450,NDays&amp;"D")</f>
        <v>42408</v>
      </c>
      <c r="X450" s="200">
        <v>4.0666678899157109E-3</v>
      </c>
      <c r="Y450" s="209">
        <v>4.5881598285468783E-3</v>
      </c>
    </row>
    <row r="451" spans="21:25" x14ac:dyDescent="0.2">
      <c r="U451" s="213" t="str">
        <f t="shared" si="10"/>
        <v>1D</v>
      </c>
      <c r="V451" s="201">
        <f>_xll.qlCalendarAdvance(Calendar,V450,U451,"f",FALSE)</f>
        <v>42405</v>
      </c>
      <c r="W451" s="225">
        <f>_xll.qlCalendarAdvance(Calendar,V451,NDays&amp;"D")</f>
        <v>42409</v>
      </c>
      <c r="X451" s="200">
        <v>4.0666082190544918E-3</v>
      </c>
      <c r="Y451" s="209">
        <v>4.5435375060698391E-3</v>
      </c>
    </row>
    <row r="452" spans="21:25" x14ac:dyDescent="0.2">
      <c r="U452" s="213" t="str">
        <f t="shared" si="10"/>
        <v>1D</v>
      </c>
      <c r="V452" s="201">
        <f>_xll.qlCalendarAdvance(Calendar,V451,U452,"f",FALSE)</f>
        <v>42408</v>
      </c>
      <c r="W452" s="225">
        <f>_xll.qlCalendarAdvance(Calendar,V452,NDays&amp;"D")</f>
        <v>42410</v>
      </c>
      <c r="X452" s="200">
        <v>4.0669005138318851E-3</v>
      </c>
      <c r="Y452" s="209">
        <v>4.5007202349811593E-3</v>
      </c>
    </row>
    <row r="453" spans="21:25" x14ac:dyDescent="0.2">
      <c r="U453" s="213" t="str">
        <f t="shared" si="10"/>
        <v>1D</v>
      </c>
      <c r="V453" s="201">
        <f>_xll.qlCalendarAdvance(Calendar,V452,U453,"f",FALSE)</f>
        <v>42409</v>
      </c>
      <c r="W453" s="225">
        <f>_xll.qlCalendarAdvance(Calendar,V453,NDays&amp;"D")</f>
        <v>42411</v>
      </c>
      <c r="X453" s="200">
        <v>4.067534632253832E-3</v>
      </c>
      <c r="Y453" s="209">
        <v>4.4597080146413504E-3</v>
      </c>
    </row>
    <row r="454" spans="21:25" x14ac:dyDescent="0.2">
      <c r="U454" s="213" t="str">
        <f t="shared" si="10"/>
        <v>1D</v>
      </c>
      <c r="V454" s="201">
        <f>_xll.qlCalendarAdvance(Calendar,V453,U454,"f",FALSE)</f>
        <v>42410</v>
      </c>
      <c r="W454" s="225">
        <f>_xll.qlCalendarAdvance(Calendar,V454,NDays&amp;"D")</f>
        <v>42412</v>
      </c>
      <c r="X454" s="200">
        <v>4.0685004324944934E-3</v>
      </c>
      <c r="Y454" s="209">
        <v>4.3837537858149034E-3</v>
      </c>
    </row>
    <row r="455" spans="21:25" x14ac:dyDescent="0.2">
      <c r="U455" s="213" t="str">
        <f t="shared" si="10"/>
        <v>1D</v>
      </c>
      <c r="V455" s="201">
        <f>_xll.qlCalendarAdvance(Calendar,V454,U455,"f",FALSE)</f>
        <v>42411</v>
      </c>
      <c r="W455" s="225">
        <f>_xll.qlCalendarAdvance(Calendar,V455,NDays&amp;"D")</f>
        <v>42415</v>
      </c>
      <c r="X455" s="200">
        <v>4.0732865080132536E-3</v>
      </c>
      <c r="Y455" s="209">
        <v>4.3137096288603516E-3</v>
      </c>
    </row>
    <row r="456" spans="21:25" x14ac:dyDescent="0.2">
      <c r="U456" s="213" t="str">
        <f t="shared" si="10"/>
        <v>1D</v>
      </c>
      <c r="V456" s="201">
        <f>_xll.qlCalendarAdvance(Calendar,V455,U456,"f",FALSE)</f>
        <v>42412</v>
      </c>
      <c r="W456" s="225">
        <f>_xll.qlCalendarAdvance(Calendar,V456,NDays&amp;"D")</f>
        <v>42416</v>
      </c>
      <c r="X456" s="200">
        <v>4.0754776200176163E-3</v>
      </c>
      <c r="Y456" s="209">
        <v>4.2817226535518671E-3</v>
      </c>
    </row>
    <row r="457" spans="21:25" x14ac:dyDescent="0.2">
      <c r="U457" s="213" t="str">
        <f t="shared" si="10"/>
        <v>1D</v>
      </c>
      <c r="V457" s="201">
        <f>_xll.qlCalendarAdvance(Calendar,V456,U457,"f",FALSE)</f>
        <v>42415</v>
      </c>
      <c r="W457" s="225">
        <f>_xll.qlCalendarAdvance(Calendar,V457,NDays&amp;"D")</f>
        <v>42417</v>
      </c>
      <c r="X457" s="200">
        <v>4.0779497066339076E-3</v>
      </c>
      <c r="Y457" s="209">
        <v>4.2515407257948112E-3</v>
      </c>
    </row>
    <row r="458" spans="21:25" x14ac:dyDescent="0.2">
      <c r="U458" s="213" t="str">
        <f t="shared" si="10"/>
        <v>1D</v>
      </c>
      <c r="V458" s="201">
        <f>_xll.qlCalendarAdvance(Calendar,V457,U458,"f",FALSE)</f>
        <v>42416</v>
      </c>
      <c r="W458" s="225">
        <f>_xll.qlCalendarAdvance(Calendar,V458,NDays&amp;"D")</f>
        <v>42418</v>
      </c>
      <c r="X458" s="200">
        <v>4.0806926266968571E-3</v>
      </c>
      <c r="Y458" s="209">
        <v>4.2231638449496955E-3</v>
      </c>
    </row>
    <row r="459" spans="21:25" x14ac:dyDescent="0.2">
      <c r="U459" s="213" t="str">
        <f t="shared" si="10"/>
        <v>1D</v>
      </c>
      <c r="V459" s="201">
        <f>_xll.qlCalendarAdvance(Calendar,V458,U459,"f",FALSE)</f>
        <v>42417</v>
      </c>
      <c r="W459" s="225">
        <f>_xll.qlCalendarAdvance(Calendar,V459,NDays&amp;"D")</f>
        <v>42419</v>
      </c>
      <c r="X459" s="200">
        <v>4.0836962390982919E-3</v>
      </c>
      <c r="Y459" s="209">
        <v>4.172475262977926E-3</v>
      </c>
    </row>
    <row r="460" spans="21:25" x14ac:dyDescent="0.2">
      <c r="U460" s="213" t="str">
        <f t="shared" si="10"/>
        <v>1D</v>
      </c>
      <c r="V460" s="201">
        <f>_xll.qlCalendarAdvance(Calendar,V459,U460,"f",FALSE)</f>
        <v>42418</v>
      </c>
      <c r="W460" s="225">
        <f>_xll.qlCalendarAdvance(Calendar,V460,NDays&amp;"D")</f>
        <v>42422</v>
      </c>
      <c r="X460" s="200">
        <v>4.094169819836806E-3</v>
      </c>
      <c r="Y460" s="209">
        <v>4.1277067835743253E-3</v>
      </c>
    </row>
    <row r="461" spans="21:25" x14ac:dyDescent="0.2">
      <c r="U461" s="213" t="str">
        <f t="shared" si="10"/>
        <v>1D</v>
      </c>
      <c r="V461" s="201">
        <f>_xll.qlCalendarAdvance(Calendar,V460,U461,"f",FALSE)</f>
        <v>42419</v>
      </c>
      <c r="W461" s="225">
        <f>_xll.qlCalendarAdvance(Calendar,V461,NDays&amp;"D")</f>
        <v>42423</v>
      </c>
      <c r="X461" s="200">
        <v>4.0981147912013292E-3</v>
      </c>
      <c r="Y461" s="209">
        <v>4.1083551319331946E-3</v>
      </c>
    </row>
    <row r="462" spans="21:25" x14ac:dyDescent="0.2">
      <c r="U462" s="213" t="str">
        <f t="shared" si="10"/>
        <v>1D</v>
      </c>
      <c r="V462" s="201">
        <f>_xll.qlCalendarAdvance(Calendar,V461,U462,"f",FALSE)</f>
        <v>42422</v>
      </c>
      <c r="W462" s="225">
        <f>_xll.qlCalendarAdvance(Calendar,V462,NDays&amp;"D")</f>
        <v>42424</v>
      </c>
      <c r="X462" s="200">
        <v>4.1022697497723765E-3</v>
      </c>
      <c r="Y462" s="209">
        <v>4.0908085251256665E-3</v>
      </c>
    </row>
    <row r="463" spans="21:25" x14ac:dyDescent="0.2">
      <c r="U463" s="213" t="str">
        <f t="shared" si="10"/>
        <v>1D</v>
      </c>
      <c r="V463" s="201">
        <f>_xll.qlCalendarAdvance(Calendar,V462,U463,"f",FALSE)</f>
        <v>42423</v>
      </c>
      <c r="W463" s="225">
        <f>_xll.qlCalendarAdvance(Calendar,V463,NDays&amp;"D")</f>
        <v>42425</v>
      </c>
      <c r="X463" s="200">
        <v>4.1066245545203928E-3</v>
      </c>
      <c r="Y463" s="209">
        <v>4.075066962991869E-3</v>
      </c>
    </row>
    <row r="464" spans="21:25" x14ac:dyDescent="0.2">
      <c r="U464" s="213" t="str">
        <f t="shared" si="10"/>
        <v>1D</v>
      </c>
      <c r="V464" s="201">
        <f>_xll.qlCalendarAdvance(Calendar,V463,U464,"f",FALSE)</f>
        <v>42424</v>
      </c>
      <c r="W464" s="225">
        <f>_xll.qlCalendarAdvance(Calendar,V464,NDays&amp;"D")</f>
        <v>42426</v>
      </c>
      <c r="X464" s="200">
        <v>4.1111690643894725E-3</v>
      </c>
      <c r="Y464" s="209">
        <v>4.0496462062389327E-3</v>
      </c>
    </row>
    <row r="465" spans="21:25" x14ac:dyDescent="0.2">
      <c r="U465" s="213" t="str">
        <f t="shared" si="10"/>
        <v>1D</v>
      </c>
      <c r="V465" s="201">
        <f>_xll.qlCalendarAdvance(Calendar,V464,U465,"f",FALSE)</f>
        <v>42425</v>
      </c>
      <c r="W465" s="225">
        <f>_xll.qlCalendarAdvance(Calendar,V465,NDays&amp;"D")</f>
        <v>42429</v>
      </c>
      <c r="X465" s="200">
        <v>4.1352828376514539E-3</v>
      </c>
      <c r="Y465" s="209">
        <v>4.0301511556783964E-3</v>
      </c>
    </row>
    <row r="466" spans="21:25" x14ac:dyDescent="0.2">
      <c r="U466" s="213" t="str">
        <f t="shared" si="10"/>
        <v>1D</v>
      </c>
      <c r="V466" s="201">
        <f>_xll.qlCalendarAdvance(Calendar,V465,U466,"f",FALSE)</f>
        <v>42426</v>
      </c>
      <c r="W466" s="225">
        <f>_xll.qlCalendarAdvance(Calendar,V466,NDays&amp;"D")</f>
        <v>42430</v>
      </c>
      <c r="X466" s="200">
        <v>4.1406299536184132E-3</v>
      </c>
      <c r="Y466" s="209">
        <v>4.0234348133161291E-3</v>
      </c>
    </row>
    <row r="467" spans="21:25" x14ac:dyDescent="0.2">
      <c r="U467" s="213" t="str">
        <f t="shared" si="10"/>
        <v>1D</v>
      </c>
      <c r="V467" s="201">
        <f>_xll.qlCalendarAdvance(Calendar,V466,U467,"f",FALSE)</f>
        <v>42429</v>
      </c>
      <c r="W467" s="225">
        <f>_xll.qlCalendarAdvance(Calendar,V467,NDays&amp;"D")</f>
        <v>42431</v>
      </c>
      <c r="X467" s="200">
        <v>4.1461141590742644E-3</v>
      </c>
      <c r="Y467" s="209">
        <v>4.0185235146683596E-3</v>
      </c>
    </row>
    <row r="468" spans="21:25" x14ac:dyDescent="0.2">
      <c r="U468" s="213" t="str">
        <f t="shared" si="10"/>
        <v>1D</v>
      </c>
      <c r="V468" s="201">
        <f>_xll.qlCalendarAdvance(Calendar,V467,U468,"f",FALSE)</f>
        <v>42430</v>
      </c>
      <c r="W468" s="225">
        <f>_xll.qlCalendarAdvance(Calendar,V468,NDays&amp;"D")</f>
        <v>42432</v>
      </c>
      <c r="X468" s="200">
        <v>4.1617840851338262E-3</v>
      </c>
      <c r="Y468" s="209">
        <v>4.0153711625290356E-3</v>
      </c>
    </row>
    <row r="469" spans="21:25" x14ac:dyDescent="0.2">
      <c r="U469" s="213" t="str">
        <f t="shared" ref="U469:U532" si="11">U468</f>
        <v>1D</v>
      </c>
      <c r="V469" s="201">
        <f>_xll.qlCalendarAdvance(Calendar,V468,U469,"f",FALSE)</f>
        <v>42431</v>
      </c>
      <c r="W469" s="225">
        <f>_xll.qlCalendarAdvance(Calendar,V469,NDays&amp;"D")</f>
        <v>42433</v>
      </c>
      <c r="X469" s="200">
        <v>4.1625290782834777E-3</v>
      </c>
      <c r="Y469" s="209">
        <v>4.0142982866875343E-3</v>
      </c>
    </row>
    <row r="470" spans="21:25" x14ac:dyDescent="0.2">
      <c r="U470" s="213" t="str">
        <f t="shared" si="11"/>
        <v>1D</v>
      </c>
      <c r="V470" s="201">
        <f>_xll.qlCalendarAdvance(Calendar,V469,U470,"f",FALSE)</f>
        <v>42432</v>
      </c>
      <c r="W470" s="225">
        <f>_xll.qlCalendarAdvance(Calendar,V470,NDays&amp;"D")</f>
        <v>42436</v>
      </c>
      <c r="X470" s="200">
        <v>4.1752564936558623E-3</v>
      </c>
      <c r="Y470" s="209">
        <v>4.0182307596481337E-3</v>
      </c>
    </row>
    <row r="471" spans="21:25" x14ac:dyDescent="0.2">
      <c r="U471" s="213" t="str">
        <f t="shared" si="11"/>
        <v>1D</v>
      </c>
      <c r="V471" s="201">
        <f>_xll.qlCalendarAdvance(Calendar,V470,U471,"f",FALSE)</f>
        <v>42433</v>
      </c>
      <c r="W471" s="225">
        <f>_xll.qlCalendarAdvance(Calendar,V471,NDays&amp;"D")</f>
        <v>42437</v>
      </c>
      <c r="X471" s="200">
        <v>4.1813678876767091E-3</v>
      </c>
      <c r="Y471" s="209">
        <v>4.0227668135006667E-3</v>
      </c>
    </row>
    <row r="472" spans="21:25" x14ac:dyDescent="0.2">
      <c r="U472" s="213" t="str">
        <f t="shared" si="11"/>
        <v>1D</v>
      </c>
      <c r="V472" s="201">
        <f>_xll.qlCalendarAdvance(Calendar,V471,U472,"f",FALSE)</f>
        <v>42436</v>
      </c>
      <c r="W472" s="225">
        <f>_xll.qlCalendarAdvance(Calendar,V472,NDays&amp;"D")</f>
        <v>42438</v>
      </c>
      <c r="X472" s="200">
        <v>4.1875536811159207E-3</v>
      </c>
      <c r="Y472" s="209">
        <v>4.0288313291902966E-3</v>
      </c>
    </row>
    <row r="473" spans="21:25" x14ac:dyDescent="0.2">
      <c r="U473" s="213" t="str">
        <f t="shared" si="11"/>
        <v>1D</v>
      </c>
      <c r="V473" s="201">
        <f>_xll.qlCalendarAdvance(Calendar,V472,U473,"f",FALSE)</f>
        <v>42437</v>
      </c>
      <c r="W473" s="225">
        <f>_xll.qlCalendarAdvance(Calendar,V473,NDays&amp;"D")</f>
        <v>42439</v>
      </c>
      <c r="X473" s="200">
        <v>4.2047864322703266E-3</v>
      </c>
      <c r="Y473" s="209">
        <v>4.0364243068768957E-3</v>
      </c>
    </row>
    <row r="474" spans="21:25" x14ac:dyDescent="0.2">
      <c r="U474" s="213" t="str">
        <f t="shared" si="11"/>
        <v>1D</v>
      </c>
      <c r="V474" s="201">
        <f>_xll.qlCalendarAdvance(Calendar,V473,U474,"f",FALSE)</f>
        <v>42438</v>
      </c>
      <c r="W474" s="225">
        <f>_xll.qlCalendarAdvance(Calendar,V474,NDays&amp;"D")</f>
        <v>42440</v>
      </c>
      <c r="X474" s="200">
        <v>4.205649342853706E-3</v>
      </c>
      <c r="Y474" s="209">
        <v>4.0567508496991422E-3</v>
      </c>
    </row>
    <row r="475" spans="21:25" x14ac:dyDescent="0.2">
      <c r="U475" s="213" t="str">
        <f t="shared" si="11"/>
        <v>1D</v>
      </c>
      <c r="V475" s="201">
        <f>_xll.qlCalendarAdvance(Calendar,V474,U475,"f",FALSE)</f>
        <v>42439</v>
      </c>
      <c r="W475" s="225">
        <f>_xll.qlCalendarAdvance(Calendar,V475,NDays&amp;"D")</f>
        <v>42443</v>
      </c>
      <c r="X475" s="200">
        <v>4.2193002361072722E-3</v>
      </c>
      <c r="Y475" s="209">
        <v>4.0820808398311925E-3</v>
      </c>
    </row>
    <row r="476" spans="21:25" x14ac:dyDescent="0.2">
      <c r="U476" s="213" t="str">
        <f t="shared" si="11"/>
        <v>1D</v>
      </c>
      <c r="V476" s="201">
        <f>_xll.qlCalendarAdvance(Calendar,V475,U476,"f",FALSE)</f>
        <v>42440</v>
      </c>
      <c r="W476" s="225">
        <f>_xll.qlCalendarAdvance(Calendar,V476,NDays&amp;"D")</f>
        <v>42444</v>
      </c>
      <c r="X476" s="200">
        <v>4.2257533824923534E-3</v>
      </c>
      <c r="Y476" s="209">
        <v>4.0973161292612303E-3</v>
      </c>
    </row>
    <row r="477" spans="21:25" x14ac:dyDescent="0.2">
      <c r="U477" s="213" t="str">
        <f t="shared" si="11"/>
        <v>1D</v>
      </c>
      <c r="V477" s="201">
        <f>_xll.qlCalendarAdvance(Calendar,V476,U477,"f",FALSE)</f>
        <v>42443</v>
      </c>
      <c r="W477" s="225">
        <f>_xll.qlCalendarAdvance(Calendar,V477,NDays&amp;"D")</f>
        <v>42445</v>
      </c>
      <c r="X477" s="200">
        <v>4.2322212461083468E-3</v>
      </c>
      <c r="Y477" s="209">
        <v>4.1140798815675339E-3</v>
      </c>
    </row>
    <row r="478" spans="21:25" x14ac:dyDescent="0.2">
      <c r="U478" s="213" t="str">
        <f t="shared" si="11"/>
        <v>1D</v>
      </c>
      <c r="V478" s="201">
        <f>_xll.qlCalendarAdvance(Calendar,V477,U478,"f",FALSE)</f>
        <v>42444</v>
      </c>
      <c r="W478" s="225">
        <f>_xll.qlCalendarAdvance(Calendar,V478,NDays&amp;"D")</f>
        <v>42446</v>
      </c>
      <c r="X478" s="200">
        <v>4.2505491638242148E-3</v>
      </c>
      <c r="Y478" s="209">
        <v>4.1323720969099753E-3</v>
      </c>
    </row>
    <row r="479" spans="21:25" x14ac:dyDescent="0.2">
      <c r="U479" s="213" t="str">
        <f t="shared" si="11"/>
        <v>1D</v>
      </c>
      <c r="V479" s="201">
        <f>_xll.qlCalendarAdvance(Calendar,V478,U479,"f",FALSE)</f>
        <v>42445</v>
      </c>
      <c r="W479" s="225">
        <f>_xll.qlCalendarAdvance(Calendar,V479,NDays&amp;"D")</f>
        <v>42447</v>
      </c>
      <c r="X479" s="200">
        <v>4.2511391607554291E-3</v>
      </c>
      <c r="Y479" s="209">
        <v>4.1740998018813258E-3</v>
      </c>
    </row>
    <row r="480" spans="21:25" x14ac:dyDescent="0.2">
      <c r="U480" s="213" t="str">
        <f t="shared" si="11"/>
        <v>1D</v>
      </c>
      <c r="V480" s="201">
        <f>_xll.qlCalendarAdvance(Calendar,V479,U480,"f",FALSE)</f>
        <v>42446</v>
      </c>
      <c r="W480" s="225">
        <f>_xll.qlCalendarAdvance(Calendar,V480,NDays&amp;"D")</f>
        <v>42450</v>
      </c>
      <c r="X480" s="200">
        <v>4.2644828924497053E-3</v>
      </c>
      <c r="Y480" s="209">
        <v>4.2208255939968353E-3</v>
      </c>
    </row>
    <row r="481" spans="21:25" x14ac:dyDescent="0.2">
      <c r="U481" s="213" t="str">
        <f t="shared" si="11"/>
        <v>1D</v>
      </c>
      <c r="V481" s="201">
        <f>_xll.qlCalendarAdvance(Calendar,V480,U481,"f",FALSE)</f>
        <v>42447</v>
      </c>
      <c r="W481" s="225">
        <f>_xll.qlCalendarAdvance(Calendar,V481,NDays&amp;"D")</f>
        <v>42451</v>
      </c>
      <c r="X481" s="200">
        <v>4.2708599997614881E-3</v>
      </c>
      <c r="Y481" s="209">
        <v>4.2467601285167689E-3</v>
      </c>
    </row>
    <row r="482" spans="21:25" x14ac:dyDescent="0.2">
      <c r="U482" s="213" t="str">
        <f t="shared" si="11"/>
        <v>1D</v>
      </c>
      <c r="V482" s="201">
        <f>_xll.qlCalendarAdvance(Calendar,V481,U482,"f",FALSE)</f>
        <v>42450</v>
      </c>
      <c r="W482" s="225">
        <f>_xll.qlCalendarAdvance(Calendar,V482,NDays&amp;"D")</f>
        <v>42452</v>
      </c>
      <c r="X482" s="200">
        <v>4.2771921367001919E-3</v>
      </c>
      <c r="Y482" s="209">
        <v>4.2742231279113696E-3</v>
      </c>
    </row>
    <row r="483" spans="21:25" x14ac:dyDescent="0.2">
      <c r="U483" s="213" t="str">
        <f t="shared" si="11"/>
        <v>1D</v>
      </c>
      <c r="V483" s="201">
        <f>_xll.qlCalendarAdvance(Calendar,V482,U483,"f",FALSE)</f>
        <v>42451</v>
      </c>
      <c r="W483" s="225">
        <f>_xll.qlCalendarAdvance(Calendar,V483,NDays&amp;"D")</f>
        <v>42453</v>
      </c>
      <c r="X483" s="200">
        <v>4.296179139594963E-3</v>
      </c>
      <c r="Y483" s="209">
        <v>4.3674173459820054E-3</v>
      </c>
    </row>
    <row r="484" spans="21:25" x14ac:dyDescent="0.2">
      <c r="U484" s="213" t="str">
        <f t="shared" si="11"/>
        <v>1D</v>
      </c>
      <c r="V484" s="201">
        <f>_xll.qlCalendarAdvance(Calendar,V483,U484,"f",FALSE)</f>
        <v>42452</v>
      </c>
      <c r="W484" s="225">
        <f>_xll.qlCalendarAdvance(Calendar,V484,NDays&amp;"D")</f>
        <v>42458</v>
      </c>
      <c r="X484" s="200">
        <v>4.3137630478022309E-3</v>
      </c>
      <c r="Y484" s="209">
        <v>4.4710989047125338E-3</v>
      </c>
    </row>
    <row r="485" spans="21:25" x14ac:dyDescent="0.2">
      <c r="U485" s="213" t="str">
        <f t="shared" si="11"/>
        <v>1D</v>
      </c>
      <c r="V485" s="201">
        <f>_xll.qlCalendarAdvance(Calendar,V484,U485,"f",FALSE)</f>
        <v>42453</v>
      </c>
      <c r="W485" s="225">
        <f>_xll.qlCalendarAdvance(Calendar,V485,NDays&amp;"D")</f>
        <v>42459</v>
      </c>
      <c r="X485" s="200">
        <v>4.3195416236930656E-3</v>
      </c>
      <c r="Y485" s="209">
        <v>4.509261168221812E-3</v>
      </c>
    </row>
    <row r="486" spans="21:25" x14ac:dyDescent="0.2">
      <c r="U486" s="213" t="str">
        <f t="shared" si="11"/>
        <v>1D</v>
      </c>
      <c r="V486" s="201">
        <f>_xll.qlCalendarAdvance(Calendar,V485,U486,"f",FALSE)</f>
        <v>42458</v>
      </c>
      <c r="W486" s="225">
        <f>_xll.qlCalendarAdvance(Calendar,V486,NDays&amp;"D")</f>
        <v>42460</v>
      </c>
      <c r="X486" s="200">
        <v>4.3184508131413751E-3</v>
      </c>
      <c r="Y486" s="209">
        <v>4.5489518998831358E-3</v>
      </c>
    </row>
    <row r="487" spans="21:25" x14ac:dyDescent="0.2">
      <c r="U487" s="213" t="str">
        <f t="shared" si="11"/>
        <v>1D</v>
      </c>
      <c r="V487" s="201">
        <f>_xll.qlCalendarAdvance(Calendar,V486,U487,"f",FALSE)</f>
        <v>42459</v>
      </c>
      <c r="W487" s="225">
        <f>_xll.qlCalendarAdvance(Calendar,V487,NDays&amp;"D")</f>
        <v>42461</v>
      </c>
      <c r="X487" s="200">
        <v>4.3375920929998538E-3</v>
      </c>
      <c r="Y487" s="209">
        <v>4.6334878929421563E-3</v>
      </c>
    </row>
    <row r="488" spans="21:25" x14ac:dyDescent="0.2">
      <c r="U488" s="213" t="str">
        <f t="shared" si="11"/>
        <v>1D</v>
      </c>
      <c r="V488" s="201">
        <f>_xll.qlCalendarAdvance(Calendar,V487,U488,"f",FALSE)</f>
        <v>42460</v>
      </c>
      <c r="W488" s="225">
        <f>_xll.qlCalendarAdvance(Calendar,V488,NDays&amp;"D")</f>
        <v>42464</v>
      </c>
      <c r="X488" s="200">
        <v>4.339547622697078E-3</v>
      </c>
      <c r="Y488" s="209">
        <v>4.7229995176412132E-3</v>
      </c>
    </row>
    <row r="489" spans="21:25" x14ac:dyDescent="0.2">
      <c r="U489" s="213" t="str">
        <f t="shared" si="11"/>
        <v>1D</v>
      </c>
      <c r="V489" s="201">
        <f>_xll.qlCalendarAdvance(Calendar,V488,U489,"f",FALSE)</f>
        <v>42461</v>
      </c>
      <c r="W489" s="225">
        <f>_xll.qlCalendarAdvance(Calendar,V489,NDays&amp;"D")</f>
        <v>42465</v>
      </c>
      <c r="X489" s="200">
        <v>4.3444520659114685E-3</v>
      </c>
      <c r="Y489" s="209">
        <v>4.7692843231494919E-3</v>
      </c>
    </row>
    <row r="490" spans="21:25" x14ac:dyDescent="0.2">
      <c r="U490" s="213" t="str">
        <f t="shared" si="11"/>
        <v>1D</v>
      </c>
      <c r="V490" s="201">
        <f>_xll.qlCalendarAdvance(Calendar,V489,U490,"f",FALSE)</f>
        <v>42464</v>
      </c>
      <c r="W490" s="225">
        <f>_xll.qlCalendarAdvance(Calendar,V490,NDays&amp;"D")</f>
        <v>42466</v>
      </c>
      <c r="X490" s="200">
        <v>4.3491971968960021E-3</v>
      </c>
      <c r="Y490" s="209">
        <v>4.8118562263521625E-3</v>
      </c>
    </row>
    <row r="491" spans="21:25" x14ac:dyDescent="0.2">
      <c r="U491" s="213" t="str">
        <f t="shared" si="11"/>
        <v>1D</v>
      </c>
      <c r="V491" s="201">
        <f>_xll.qlCalendarAdvance(Calendar,V490,U491,"f",FALSE)</f>
        <v>42465</v>
      </c>
      <c r="W491" s="225">
        <f>_xll.qlCalendarAdvance(Calendar,V491,NDays&amp;"D")</f>
        <v>42467</v>
      </c>
      <c r="X491" s="200">
        <v>4.3538031452863427E-3</v>
      </c>
      <c r="Y491" s="209">
        <v>4.8496669510633694E-3</v>
      </c>
    </row>
    <row r="492" spans="21:25" x14ac:dyDescent="0.2">
      <c r="U492" s="213" t="str">
        <f t="shared" si="11"/>
        <v>1D</v>
      </c>
      <c r="V492" s="201">
        <f>_xll.qlCalendarAdvance(Calendar,V491,U492,"f",FALSE)</f>
        <v>42466</v>
      </c>
      <c r="W492" s="225">
        <f>_xll.qlCalendarAdvance(Calendar,V492,NDays&amp;"D")</f>
        <v>42468</v>
      </c>
      <c r="X492" s="200">
        <v>4.3728902259595383E-3</v>
      </c>
      <c r="Y492" s="209">
        <v>4.9094847492980875E-3</v>
      </c>
    </row>
    <row r="493" spans="21:25" x14ac:dyDescent="0.2">
      <c r="U493" s="213" t="str">
        <f t="shared" si="11"/>
        <v>1D</v>
      </c>
      <c r="V493" s="201">
        <f>_xll.qlCalendarAdvance(Calendar,V492,U493,"f",FALSE)</f>
        <v>42467</v>
      </c>
      <c r="W493" s="225">
        <f>_xll.qlCalendarAdvance(Calendar,V493,NDays&amp;"D")</f>
        <v>42471</v>
      </c>
      <c r="X493" s="200">
        <v>4.3713525316697848E-3</v>
      </c>
      <c r="Y493" s="209">
        <v>4.9532980382949177E-3</v>
      </c>
    </row>
    <row r="494" spans="21:25" x14ac:dyDescent="0.2">
      <c r="U494" s="213" t="str">
        <f t="shared" si="11"/>
        <v>1D</v>
      </c>
      <c r="V494" s="201">
        <f>_xll.qlCalendarAdvance(Calendar,V493,U494,"f",FALSE)</f>
        <v>42468</v>
      </c>
      <c r="W494" s="225">
        <f>_xll.qlCalendarAdvance(Calendar,V494,NDays&amp;"D")</f>
        <v>42472</v>
      </c>
      <c r="X494" s="200">
        <v>4.3756506333035138E-3</v>
      </c>
      <c r="Y494" s="209">
        <v>4.9673028520835771E-3</v>
      </c>
    </row>
    <row r="495" spans="21:25" x14ac:dyDescent="0.2">
      <c r="U495" s="213" t="str">
        <f t="shared" si="11"/>
        <v>1D</v>
      </c>
      <c r="V495" s="201">
        <f>_xll.qlCalendarAdvance(Calendar,V494,U495,"f",FALSE)</f>
        <v>42471</v>
      </c>
      <c r="W495" s="225">
        <f>_xll.qlCalendarAdvance(Calendar,V495,NDays&amp;"D")</f>
        <v>42473</v>
      </c>
      <c r="X495" s="200">
        <v>4.379964780496879E-3</v>
      </c>
      <c r="Y495" s="209">
        <v>4.9765464811457605E-3</v>
      </c>
    </row>
    <row r="496" spans="21:25" x14ac:dyDescent="0.2">
      <c r="U496" s="213" t="str">
        <f t="shared" si="11"/>
        <v>1D</v>
      </c>
      <c r="V496" s="201">
        <f>_xll.qlCalendarAdvance(Calendar,V495,U496,"f",FALSE)</f>
        <v>42472</v>
      </c>
      <c r="W496" s="225">
        <f>_xll.qlCalendarAdvance(Calendar,V496,NDays&amp;"D")</f>
        <v>42474</v>
      </c>
      <c r="X496" s="200">
        <v>4.384320845420296E-3</v>
      </c>
      <c r="Y496" s="209">
        <v>4.9810289254015316E-3</v>
      </c>
    </row>
    <row r="497" spans="21:25" x14ac:dyDescent="0.2">
      <c r="U497" s="213" t="str">
        <f t="shared" si="11"/>
        <v>1D</v>
      </c>
      <c r="V497" s="201">
        <f>_xll.qlCalendarAdvance(Calendar,V496,U497,"f",FALSE)</f>
        <v>42473</v>
      </c>
      <c r="W497" s="225">
        <f>_xll.qlCalendarAdvance(Calendar,V497,NDays&amp;"D")</f>
        <v>42475</v>
      </c>
      <c r="X497" s="200">
        <v>4.4042938098563028E-3</v>
      </c>
      <c r="Y497" s="209">
        <v>4.9741919243029287E-3</v>
      </c>
    </row>
    <row r="498" spans="21:25" x14ac:dyDescent="0.2">
      <c r="U498" s="213" t="str">
        <f t="shared" si="11"/>
        <v>1D</v>
      </c>
      <c r="V498" s="201">
        <f>_xll.qlCalendarAdvance(Calendar,V497,U498,"f",FALSE)</f>
        <v>42474</v>
      </c>
      <c r="W498" s="225">
        <f>_xll.qlCalendarAdvance(Calendar,V498,NDays&amp;"D")</f>
        <v>42478</v>
      </c>
      <c r="X498" s="200">
        <v>4.4026817340588583E-3</v>
      </c>
      <c r="Y498" s="209">
        <v>4.9513468514028602E-3</v>
      </c>
    </row>
    <row r="499" spans="21:25" x14ac:dyDescent="0.2">
      <c r="U499" s="213" t="str">
        <f t="shared" si="11"/>
        <v>1D</v>
      </c>
      <c r="V499" s="201">
        <f>_xll.qlCalendarAdvance(Calendar,V498,U499,"f",FALSE)</f>
        <v>42475</v>
      </c>
      <c r="W499" s="225">
        <f>_xll.qlCalendarAdvance(Calendar,V499,NDays&amp;"D")</f>
        <v>42479</v>
      </c>
      <c r="X499" s="200">
        <v>4.4076354785755239E-3</v>
      </c>
      <c r="Y499" s="209">
        <v>4.9320233717864426E-3</v>
      </c>
    </row>
    <row r="500" spans="21:25" x14ac:dyDescent="0.2">
      <c r="U500" s="213" t="str">
        <f t="shared" si="11"/>
        <v>1D</v>
      </c>
      <c r="V500" s="201">
        <f>_xll.qlCalendarAdvance(Calendar,V499,U500,"f",FALSE)</f>
        <v>42478</v>
      </c>
      <c r="W500" s="225">
        <f>_xll.qlCalendarAdvance(Calendar,V500,NDays&amp;"D")</f>
        <v>42480</v>
      </c>
      <c r="X500" s="200">
        <v>4.4127863790545648E-3</v>
      </c>
      <c r="Y500" s="209">
        <v>4.9079387088823978E-3</v>
      </c>
    </row>
    <row r="501" spans="21:25" x14ac:dyDescent="0.2">
      <c r="U501" s="213" t="str">
        <f t="shared" si="11"/>
        <v>1D</v>
      </c>
      <c r="V501" s="201">
        <f>_xll.qlCalendarAdvance(Calendar,V500,U501,"f",FALSE)</f>
        <v>42479</v>
      </c>
      <c r="W501" s="225">
        <f>_xll.qlCalendarAdvance(Calendar,V501,NDays&amp;"D")</f>
        <v>42481</v>
      </c>
      <c r="X501" s="200">
        <v>4.418160309550793E-3</v>
      </c>
      <c r="Y501" s="209">
        <v>4.8790928637298947E-3</v>
      </c>
    </row>
    <row r="502" spans="21:25" x14ac:dyDescent="0.2">
      <c r="U502" s="213" t="str">
        <f t="shared" si="11"/>
        <v>1D</v>
      </c>
      <c r="V502" s="201">
        <f>_xll.qlCalendarAdvance(Calendar,V501,U502,"f",FALSE)</f>
        <v>42480</v>
      </c>
      <c r="W502" s="225">
        <f>_xll.qlCalendarAdvance(Calendar,V502,NDays&amp;"D")</f>
        <v>42482</v>
      </c>
      <c r="X502" s="200">
        <v>4.4402178161686992E-3</v>
      </c>
      <c r="Y502" s="209">
        <v>4.8055947183467396E-3</v>
      </c>
    </row>
    <row r="503" spans="21:25" x14ac:dyDescent="0.2">
      <c r="U503" s="213" t="str">
        <f t="shared" si="11"/>
        <v>1D</v>
      </c>
      <c r="V503" s="201">
        <f>_xll.qlCalendarAdvance(Calendar,V502,U503,"f",FALSE)</f>
        <v>42481</v>
      </c>
      <c r="W503" s="225">
        <f>_xll.qlCalendarAdvance(Calendar,V503,NDays&amp;"D")</f>
        <v>42485</v>
      </c>
      <c r="X503" s="200">
        <v>4.4424038257827063E-3</v>
      </c>
      <c r="Y503" s="209">
        <v>4.7160976862947734E-3</v>
      </c>
    </row>
    <row r="504" spans="21:25" x14ac:dyDescent="0.2">
      <c r="U504" s="213" t="str">
        <f t="shared" si="11"/>
        <v>1D</v>
      </c>
      <c r="V504" s="201">
        <f>_xll.qlCalendarAdvance(Calendar,V503,U504,"f",FALSE)</f>
        <v>42482</v>
      </c>
      <c r="W504" s="225">
        <f>_xll.qlCalendarAdvance(Calendar,V504,NDays&amp;"D")</f>
        <v>42486</v>
      </c>
      <c r="X504" s="200">
        <v>4.4492810306547351E-3</v>
      </c>
      <c r="Y504" s="209">
        <v>4.6634459508432258E-3</v>
      </c>
    </row>
    <row r="505" spans="21:25" x14ac:dyDescent="0.2">
      <c r="U505" s="213" t="str">
        <f t="shared" si="11"/>
        <v>1D</v>
      </c>
      <c r="V505" s="201">
        <f>_xll.qlCalendarAdvance(Calendar,V504,U505,"f",FALSE)</f>
        <v>42485</v>
      </c>
      <c r="W505" s="225">
        <f>_xll.qlCalendarAdvance(Calendar,V505,NDays&amp;"D")</f>
        <v>42487</v>
      </c>
      <c r="X505" s="200">
        <v>4.4565365184670355E-3</v>
      </c>
      <c r="Y505" s="209">
        <v>4.6060330427355467E-3</v>
      </c>
    </row>
    <row r="506" spans="21:25" x14ac:dyDescent="0.2">
      <c r="U506" s="213" t="str">
        <f t="shared" si="11"/>
        <v>1D</v>
      </c>
      <c r="V506" s="201">
        <f>_xll.qlCalendarAdvance(Calendar,V505,U506,"f",FALSE)</f>
        <v>42486</v>
      </c>
      <c r="W506" s="225">
        <f>_xll.qlCalendarAdvance(Calendar,V506,NDays&amp;"D")</f>
        <v>42488</v>
      </c>
      <c r="X506" s="200">
        <v>4.4641961665085545E-3</v>
      </c>
      <c r="Y506" s="209">
        <v>4.543858964449754E-3</v>
      </c>
    </row>
    <row r="507" spans="21:25" x14ac:dyDescent="0.2">
      <c r="U507" s="213" t="str">
        <f t="shared" si="11"/>
        <v>1D</v>
      </c>
      <c r="V507" s="201">
        <f>_xll.qlCalendarAdvance(Calendar,V506,U507,"f",FALSE)</f>
        <v>42487</v>
      </c>
      <c r="W507" s="225">
        <f>_xll.qlCalendarAdvance(Calendar,V507,NDays&amp;"D")</f>
        <v>42489</v>
      </c>
      <c r="X507" s="200">
        <v>4.4894413432414503E-3</v>
      </c>
      <c r="Y507" s="209">
        <v>4.4036941147762576E-3</v>
      </c>
    </row>
    <row r="508" spans="21:25" x14ac:dyDescent="0.2">
      <c r="U508" s="213" t="str">
        <f t="shared" si="11"/>
        <v>1D</v>
      </c>
      <c r="V508" s="201">
        <f>_xll.qlCalendarAdvance(Calendar,V507,U508,"f",FALSE)</f>
        <v>42488</v>
      </c>
      <c r="W508" s="225">
        <f>_xll.qlCalendarAdvance(Calendar,V508,NDays&amp;"D")</f>
        <v>42492</v>
      </c>
      <c r="X508" s="200">
        <v>4.5080920477066312E-3</v>
      </c>
      <c r="Y508" s="209">
        <v>4.2475510003647798E-3</v>
      </c>
    </row>
    <row r="509" spans="21:25" x14ac:dyDescent="0.2">
      <c r="U509" s="213" t="str">
        <f t="shared" si="11"/>
        <v>1D</v>
      </c>
      <c r="V509" s="201">
        <f>_xll.qlCalendarAdvance(Calendar,V508,U509,"f",FALSE)</f>
        <v>42489</v>
      </c>
      <c r="W509" s="225">
        <f>_xll.qlCalendarAdvance(Calendar,V509,NDays&amp;"D")</f>
        <v>42493</v>
      </c>
      <c r="X509" s="200">
        <v>4.5181941278364373E-3</v>
      </c>
      <c r="Y509" s="209">
        <v>4.1629440367696446E-3</v>
      </c>
    </row>
    <row r="510" spans="21:25" x14ac:dyDescent="0.2">
      <c r="U510" s="213" t="str">
        <f t="shared" si="11"/>
        <v>1D</v>
      </c>
      <c r="V510" s="201">
        <f>_xll.qlCalendarAdvance(Calendar,V509,U510,"f",FALSE)</f>
        <v>42492</v>
      </c>
      <c r="W510" s="225">
        <f>_xll.qlCalendarAdvance(Calendar,V510,NDays&amp;"D")</f>
        <v>42494</v>
      </c>
      <c r="X510" s="200">
        <v>4.5288449367217199E-3</v>
      </c>
      <c r="Y510" s="209">
        <v>4.0804405447314451E-3</v>
      </c>
    </row>
    <row r="511" spans="21:25" x14ac:dyDescent="0.2">
      <c r="U511" s="213" t="str">
        <f t="shared" si="11"/>
        <v>1D</v>
      </c>
      <c r="V511" s="201">
        <f>_xll.qlCalendarAdvance(Calendar,V510,U511,"f",FALSE)</f>
        <v>42493</v>
      </c>
      <c r="W511" s="225">
        <f>_xll.qlCalendarAdvance(Calendar,V511,NDays&amp;"D")</f>
        <v>42495</v>
      </c>
      <c r="X511" s="200">
        <v>4.5575880686417542E-3</v>
      </c>
      <c r="Y511" s="209">
        <v>4.0014134477850405E-3</v>
      </c>
    </row>
    <row r="512" spans="21:25" x14ac:dyDescent="0.2">
      <c r="U512" s="213" t="str">
        <f t="shared" si="11"/>
        <v>1D</v>
      </c>
      <c r="V512" s="201">
        <f>_xll.qlCalendarAdvance(Calendar,V511,U512,"f",FALSE)</f>
        <v>42494</v>
      </c>
      <c r="W512" s="225">
        <f>_xll.qlCalendarAdvance(Calendar,V512,NDays&amp;"D")</f>
        <v>42496</v>
      </c>
      <c r="X512" s="200">
        <v>4.5605437273300306E-3</v>
      </c>
      <c r="Y512" s="209">
        <v>3.8549885006311513E-3</v>
      </c>
    </row>
    <row r="513" spans="21:25" x14ac:dyDescent="0.2">
      <c r="U513" s="213" t="str">
        <f t="shared" si="11"/>
        <v>1D</v>
      </c>
      <c r="V513" s="201">
        <f>_xll.qlCalendarAdvance(Calendar,V512,U513,"f",FALSE)</f>
        <v>42495</v>
      </c>
      <c r="W513" s="225">
        <f>_xll.qlCalendarAdvance(Calendar,V513,NDays&amp;"D")</f>
        <v>42499</v>
      </c>
      <c r="X513" s="200">
        <v>4.5897725489037026E-3</v>
      </c>
      <c r="Y513" s="209">
        <v>3.7200689647942653E-3</v>
      </c>
    </row>
    <row r="514" spans="21:25" x14ac:dyDescent="0.2">
      <c r="U514" s="213" t="str">
        <f t="shared" si="11"/>
        <v>1D</v>
      </c>
      <c r="V514" s="201">
        <f>_xll.qlCalendarAdvance(Calendar,V513,U514,"f",FALSE)</f>
        <v>42496</v>
      </c>
      <c r="W514" s="225">
        <f>_xll.qlCalendarAdvance(Calendar,V514,NDays&amp;"D")</f>
        <v>42500</v>
      </c>
      <c r="X514" s="200">
        <v>4.6033588752963208E-3</v>
      </c>
      <c r="Y514" s="209">
        <v>3.6584238102133071E-3</v>
      </c>
    </row>
    <row r="515" spans="21:25" x14ac:dyDescent="0.2">
      <c r="U515" s="213" t="str">
        <f t="shared" si="11"/>
        <v>1D</v>
      </c>
      <c r="V515" s="201">
        <f>_xll.qlCalendarAdvance(Calendar,V514,U515,"f",FALSE)</f>
        <v>42499</v>
      </c>
      <c r="W515" s="225">
        <f>_xll.qlCalendarAdvance(Calendar,V515,NDays&amp;"D")</f>
        <v>42501</v>
      </c>
      <c r="X515" s="200">
        <v>4.617367499105106E-3</v>
      </c>
      <c r="Y515" s="209">
        <v>3.6002550382541187E-3</v>
      </c>
    </row>
    <row r="516" spans="21:25" x14ac:dyDescent="0.2">
      <c r="U516" s="213" t="str">
        <f t="shared" si="11"/>
        <v>1D</v>
      </c>
      <c r="V516" s="201">
        <f>_xll.qlCalendarAdvance(Calendar,V515,U516,"f",FALSE)</f>
        <v>42500</v>
      </c>
      <c r="W516" s="225">
        <f>_xll.qlCalendarAdvance(Calendar,V516,NDays&amp;"D")</f>
        <v>42502</v>
      </c>
      <c r="X516" s="200">
        <v>4.6495489960408243E-3</v>
      </c>
      <c r="Y516" s="209">
        <v>3.5455626473179791E-3</v>
      </c>
    </row>
    <row r="517" spans="21:25" x14ac:dyDescent="0.2">
      <c r="U517" s="213" t="str">
        <f t="shared" si="11"/>
        <v>1D</v>
      </c>
      <c r="V517" s="201">
        <f>_xll.qlCalendarAdvance(Calendar,V516,U517,"f",FALSE)</f>
        <v>42501</v>
      </c>
      <c r="W517" s="225">
        <f>_xll.qlCalendarAdvance(Calendar,V517,NDays&amp;"D")</f>
        <v>42503</v>
      </c>
      <c r="X517" s="200">
        <v>4.6554706390873578E-3</v>
      </c>
      <c r="Y517" s="209">
        <v>3.4477988125036774E-3</v>
      </c>
    </row>
    <row r="518" spans="21:25" x14ac:dyDescent="0.2">
      <c r="U518" s="213" t="str">
        <f t="shared" si="11"/>
        <v>1D</v>
      </c>
      <c r="V518" s="201">
        <f>_xll.qlCalendarAdvance(Calendar,V517,U518,"f",FALSE)</f>
        <v>42502</v>
      </c>
      <c r="W518" s="225">
        <f>_xll.qlCalendarAdvance(Calendar,V518,NDays&amp;"D")</f>
        <v>42506</v>
      </c>
      <c r="X518" s="200">
        <v>4.6930754931807026E-3</v>
      </c>
      <c r="Y518" s="209">
        <v>3.361556863987758E-3</v>
      </c>
    </row>
    <row r="519" spans="21:25" x14ac:dyDescent="0.2">
      <c r="U519" s="213" t="str">
        <f t="shared" si="11"/>
        <v>1D</v>
      </c>
      <c r="V519" s="201">
        <f>_xll.qlCalendarAdvance(Calendar,V518,U519,"f",FALSE)</f>
        <v>42503</v>
      </c>
      <c r="W519" s="225">
        <f>_xll.qlCalendarAdvance(Calendar,V519,NDays&amp;"D")</f>
        <v>42507</v>
      </c>
      <c r="X519" s="200">
        <v>4.7092161446465166E-3</v>
      </c>
      <c r="Y519" s="209">
        <v>3.3242463565041902E-3</v>
      </c>
    </row>
    <row r="520" spans="21:25" x14ac:dyDescent="0.2">
      <c r="U520" s="213" t="str">
        <f t="shared" si="11"/>
        <v>1D</v>
      </c>
      <c r="V520" s="201">
        <f>_xll.qlCalendarAdvance(Calendar,V519,U520,"f",FALSE)</f>
        <v>42506</v>
      </c>
      <c r="W520" s="225">
        <f>_xll.qlCalendarAdvance(Calendar,V520,NDays&amp;"D")</f>
        <v>42508</v>
      </c>
      <c r="X520" s="200">
        <v>4.7256451708829151E-3</v>
      </c>
      <c r="Y520" s="209">
        <v>3.2904122220500653E-3</v>
      </c>
    </row>
    <row r="521" spans="21:25" x14ac:dyDescent="0.2">
      <c r="U521" s="213" t="str">
        <f t="shared" si="11"/>
        <v>1D</v>
      </c>
      <c r="V521" s="201">
        <f>_xll.qlCalendarAdvance(Calendar,V520,U521,"f",FALSE)</f>
        <v>42507</v>
      </c>
      <c r="W521" s="225">
        <f>_xll.qlCalendarAdvance(Calendar,V521,NDays&amp;"D")</f>
        <v>42509</v>
      </c>
      <c r="X521" s="200">
        <v>4.7601064635184997E-3</v>
      </c>
      <c r="Y521" s="209">
        <v>3.2600544597460868E-3</v>
      </c>
    </row>
    <row r="522" spans="21:25" x14ac:dyDescent="0.2">
      <c r="U522" s="213" t="str">
        <f t="shared" si="11"/>
        <v>1D</v>
      </c>
      <c r="V522" s="201">
        <f>_xll.qlCalendarAdvance(Calendar,V521,U522,"f",FALSE)</f>
        <v>42508</v>
      </c>
      <c r="W522" s="225">
        <f>_xll.qlCalendarAdvance(Calendar,V522,NDays&amp;"D")</f>
        <v>42510</v>
      </c>
      <c r="X522" s="200">
        <v>4.7681716735636214E-3</v>
      </c>
      <c r="Y522" s="209">
        <v>3.2109554763337655E-3</v>
      </c>
    </row>
    <row r="523" spans="21:25" x14ac:dyDescent="0.2">
      <c r="U523" s="213" t="str">
        <f t="shared" si="11"/>
        <v>1D</v>
      </c>
      <c r="V523" s="201">
        <f>_xll.qlCalendarAdvance(Calendar,V522,U523,"f",FALSE)</f>
        <v>42509</v>
      </c>
      <c r="W523" s="225">
        <f>_xll.qlCalendarAdvance(Calendar,V523,NDays&amp;"D")</f>
        <v>42513</v>
      </c>
      <c r="X523" s="200">
        <v>4.8114462287554205E-3</v>
      </c>
      <c r="Y523" s="209">
        <v>3.1733871146855108E-3</v>
      </c>
    </row>
    <row r="524" spans="21:25" x14ac:dyDescent="0.2">
      <c r="U524" s="213" t="str">
        <f t="shared" si="11"/>
        <v>1D</v>
      </c>
      <c r="V524" s="201">
        <f>_xll.qlCalendarAdvance(Calendar,V523,U524,"f",FALSE)</f>
        <v>42510</v>
      </c>
      <c r="W524" s="225">
        <f>_xll.qlCalendarAdvance(Calendar,V524,NDays&amp;"D")</f>
        <v>42514</v>
      </c>
      <c r="X524" s="200">
        <v>4.8292036786607116E-3</v>
      </c>
      <c r="Y524" s="209">
        <v>3.1604112015415353E-3</v>
      </c>
    </row>
    <row r="525" spans="21:25" x14ac:dyDescent="0.2">
      <c r="U525" s="213" t="str">
        <f t="shared" si="11"/>
        <v>1D</v>
      </c>
      <c r="V525" s="201">
        <f>_xll.qlCalendarAdvance(Calendar,V524,U525,"f",FALSE)</f>
        <v>42513</v>
      </c>
      <c r="W525" s="225">
        <f>_xll.qlCalendarAdvance(Calendar,V525,NDays&amp;"D")</f>
        <v>42515</v>
      </c>
      <c r="X525" s="200">
        <v>4.8471155561480295E-3</v>
      </c>
      <c r="Y525" s="209">
        <v>3.1509116565509032E-3</v>
      </c>
    </row>
    <row r="526" spans="21:25" x14ac:dyDescent="0.2">
      <c r="U526" s="213" t="str">
        <f t="shared" si="11"/>
        <v>1D</v>
      </c>
      <c r="V526" s="201">
        <f>_xll.qlCalendarAdvance(Calendar,V525,U526,"f",FALSE)</f>
        <v>42514</v>
      </c>
      <c r="W526" s="225">
        <f>_xll.qlCalendarAdvance(Calendar,V526,NDays&amp;"D")</f>
        <v>42516</v>
      </c>
      <c r="X526" s="200">
        <v>4.8827682868763716E-3</v>
      </c>
      <c r="Y526" s="209">
        <v>3.1448884795537424E-3</v>
      </c>
    </row>
    <row r="527" spans="21:25" x14ac:dyDescent="0.2">
      <c r="U527" s="213" t="str">
        <f t="shared" si="11"/>
        <v>1D</v>
      </c>
      <c r="V527" s="201">
        <f>_xll.qlCalendarAdvance(Calendar,V526,U527,"f",FALSE)</f>
        <v>42515</v>
      </c>
      <c r="W527" s="225">
        <f>_xll.qlCalendarAdvance(Calendar,V527,NDays&amp;"D")</f>
        <v>42517</v>
      </c>
      <c r="X527" s="200">
        <v>4.8921194951968179E-3</v>
      </c>
      <c r="Y527" s="209">
        <v>3.1444574835681749E-3</v>
      </c>
    </row>
    <row r="528" spans="21:25" x14ac:dyDescent="0.2">
      <c r="U528" s="213" t="str">
        <f t="shared" si="11"/>
        <v>1D</v>
      </c>
      <c r="V528" s="201">
        <f>_xll.qlCalendarAdvance(Calendar,V527,U528,"f",FALSE)</f>
        <v>42516</v>
      </c>
      <c r="W528" s="225">
        <f>_xll.qlCalendarAdvance(Calendar,V528,NDays&amp;"D")</f>
        <v>42520</v>
      </c>
      <c r="X528" s="200">
        <v>4.938321510343212E-3</v>
      </c>
      <c r="Y528" s="209">
        <v>3.1555594499010908E-3</v>
      </c>
    </row>
    <row r="529" spans="21:25" x14ac:dyDescent="0.2">
      <c r="U529" s="213" t="str">
        <f t="shared" si="11"/>
        <v>1D</v>
      </c>
      <c r="V529" s="201">
        <f>_xll.qlCalendarAdvance(Calendar,V528,U529,"f",FALSE)</f>
        <v>42517</v>
      </c>
      <c r="W529" s="225">
        <f>_xll.qlCalendarAdvance(Calendar,V529,NDays&amp;"D")</f>
        <v>42521</v>
      </c>
      <c r="X529" s="200">
        <v>4.9480200079389776E-3</v>
      </c>
      <c r="Y529" s="209">
        <v>3.1669181124716062E-3</v>
      </c>
    </row>
    <row r="530" spans="21:25" x14ac:dyDescent="0.2">
      <c r="U530" s="213" t="str">
        <f t="shared" si="11"/>
        <v>1D</v>
      </c>
      <c r="V530" s="201">
        <f>_xll.qlCalendarAdvance(Calendar,V529,U530,"f",FALSE)</f>
        <v>42520</v>
      </c>
      <c r="W530" s="225">
        <f>_xll.qlCalendarAdvance(Calendar,V530,NDays&amp;"D")</f>
        <v>42522</v>
      </c>
      <c r="X530" s="200">
        <v>4.966494891262707E-3</v>
      </c>
      <c r="Y530" s="209">
        <v>3.181753143435273E-3</v>
      </c>
    </row>
    <row r="531" spans="21:25" x14ac:dyDescent="0.2">
      <c r="U531" s="213" t="str">
        <f t="shared" si="11"/>
        <v>1D</v>
      </c>
      <c r="V531" s="201">
        <f>_xll.qlCalendarAdvance(Calendar,V530,U531,"f",FALSE)</f>
        <v>42521</v>
      </c>
      <c r="W531" s="225">
        <f>_xll.qlCalendarAdvance(Calendar,V531,NDays&amp;"D")</f>
        <v>42523</v>
      </c>
      <c r="X531" s="200">
        <v>4.984971288901666E-3</v>
      </c>
      <c r="Y531" s="209">
        <v>3.2000645433516439E-3</v>
      </c>
    </row>
    <row r="532" spans="21:25" x14ac:dyDescent="0.2">
      <c r="U532" s="213" t="str">
        <f t="shared" si="11"/>
        <v>1D</v>
      </c>
      <c r="V532" s="201">
        <f>_xll.qlCalendarAdvance(Calendar,V531,U532,"f",FALSE)</f>
        <v>42522</v>
      </c>
      <c r="W532" s="225">
        <f>_xll.qlCalendarAdvance(Calendar,V532,NDays&amp;"D")</f>
        <v>42524</v>
      </c>
      <c r="X532" s="200">
        <v>5.0207854004428931E-3</v>
      </c>
      <c r="Y532" s="209">
        <v>3.2430343124278949E-3</v>
      </c>
    </row>
    <row r="533" spans="21:25" x14ac:dyDescent="0.2">
      <c r="U533" s="213" t="str">
        <f t="shared" ref="U533:U596" si="12">U532</f>
        <v>1D</v>
      </c>
      <c r="V533" s="201">
        <f>_xll.qlCalendarAdvance(Calendar,V532,U533,"f",FALSE)</f>
        <v>42523</v>
      </c>
      <c r="W533" s="225">
        <f>_xll.qlCalendarAdvance(Calendar,V533,NDays&amp;"D")</f>
        <v>42527</v>
      </c>
      <c r="X533" s="200">
        <v>5.0585936753167098E-3</v>
      </c>
      <c r="Y533" s="209">
        <v>3.2864076954997046E-3</v>
      </c>
    </row>
    <row r="534" spans="21:25" x14ac:dyDescent="0.2">
      <c r="U534" s="213" t="str">
        <f t="shared" si="12"/>
        <v>1D</v>
      </c>
      <c r="V534" s="201">
        <f>_xll.qlCalendarAdvance(Calendar,V533,U534,"f",FALSE)</f>
        <v>42524</v>
      </c>
      <c r="W534" s="225">
        <f>_xll.qlCalendarAdvance(Calendar,V534,NDays&amp;"D")</f>
        <v>42528</v>
      </c>
      <c r="X534" s="200">
        <v>5.0769076144277277E-3</v>
      </c>
      <c r="Y534" s="209">
        <v>3.3080472290247798E-3</v>
      </c>
    </row>
    <row r="535" spans="21:25" x14ac:dyDescent="0.2">
      <c r="U535" s="213" t="str">
        <f t="shared" si="12"/>
        <v>1D</v>
      </c>
      <c r="V535" s="201">
        <f>_xll.qlCalendarAdvance(Calendar,V534,U535,"f",FALSE)</f>
        <v>42527</v>
      </c>
      <c r="W535" s="225">
        <f>_xll.qlCalendarAdvance(Calendar,V535,NDays&amp;"D")</f>
        <v>42529</v>
      </c>
      <c r="X535" s="200">
        <v>5.0951845676791251E-3</v>
      </c>
      <c r="Y535" s="209">
        <v>3.3296497034740469E-3</v>
      </c>
    </row>
    <row r="536" spans="21:25" x14ac:dyDescent="0.2">
      <c r="U536" s="213" t="str">
        <f t="shared" si="12"/>
        <v>1D</v>
      </c>
      <c r="V536" s="201">
        <f>_xll.qlCalendarAdvance(Calendar,V535,U536,"f",FALSE)</f>
        <v>42528</v>
      </c>
      <c r="W536" s="225">
        <f>_xll.qlCalendarAdvance(Calendar,V536,NDays&amp;"D")</f>
        <v>42530</v>
      </c>
      <c r="X536" s="200">
        <v>5.1134245340391576E-3</v>
      </c>
      <c r="Y536" s="209">
        <v>3.3512151190873141E-3</v>
      </c>
    </row>
    <row r="537" spans="21:25" x14ac:dyDescent="0.2">
      <c r="U537" s="213" t="s">
        <v>168</v>
      </c>
      <c r="V537" s="201">
        <f>_xll.qlCalendarAdvance(Calendar,V536,U537,"f",FALSE)</f>
        <v>42535</v>
      </c>
      <c r="W537" s="225">
        <f>_xll.qlCalendarAdvance(Calendar,V537,NDays&amp;"D")</f>
        <v>42537</v>
      </c>
      <c r="X537" s="200">
        <v>5.240068579416589E-3</v>
      </c>
      <c r="Y537" s="209">
        <v>3.5011353759362152E-3</v>
      </c>
    </row>
    <row r="538" spans="21:25" x14ac:dyDescent="0.2">
      <c r="U538" s="213" t="str">
        <f t="shared" si="12"/>
        <v>1w</v>
      </c>
      <c r="V538" s="201">
        <f>_xll.qlCalendarAdvance(Calendar,V537,U538,"f",FALSE)</f>
        <v>42542</v>
      </c>
      <c r="W538" s="225">
        <f>_xll.qlCalendarAdvance(Calendar,V538,NDays&amp;"D")</f>
        <v>42544</v>
      </c>
      <c r="X538" s="200">
        <v>5.364899866916662E-3</v>
      </c>
      <c r="Y538" s="209">
        <v>3.6492397402287935E-3</v>
      </c>
    </row>
    <row r="539" spans="21:25" x14ac:dyDescent="0.2">
      <c r="U539" s="213" t="str">
        <f t="shared" si="12"/>
        <v>1w</v>
      </c>
      <c r="V539" s="201">
        <f>_xll.qlCalendarAdvance(Calendar,V538,U539,"f",FALSE)</f>
        <v>42549</v>
      </c>
      <c r="W539" s="225">
        <f>_xll.qlCalendarAdvance(Calendar,V539,NDays&amp;"D")</f>
        <v>42551</v>
      </c>
      <c r="X539" s="200">
        <v>5.4879180513435922E-3</v>
      </c>
      <c r="Y539" s="209">
        <v>3.7955282098067755E-3</v>
      </c>
    </row>
    <row r="540" spans="21:25" x14ac:dyDescent="0.2">
      <c r="U540" s="213" t="str">
        <f t="shared" si="12"/>
        <v>1w</v>
      </c>
      <c r="V540" s="201">
        <f>_xll.qlCalendarAdvance(Calendar,V539,U540,"f",FALSE)</f>
        <v>42556</v>
      </c>
      <c r="W540" s="225">
        <f>_xll.qlCalendarAdvance(Calendar,V540,NDays&amp;"D")</f>
        <v>42558</v>
      </c>
      <c r="X540" s="200">
        <v>5.6332770812584521E-3</v>
      </c>
      <c r="Y540" s="209">
        <v>3.9400007823520156E-3</v>
      </c>
    </row>
    <row r="541" spans="21:25" x14ac:dyDescent="0.2">
      <c r="U541" s="213" t="str">
        <f t="shared" si="12"/>
        <v>1w</v>
      </c>
      <c r="V541" s="201">
        <f>_xll.qlCalendarAdvance(Calendar,V540,U541,"f",FALSE)</f>
        <v>42563</v>
      </c>
      <c r="W541" s="225">
        <f>_xll.qlCalendarAdvance(Calendar,V541,NDays&amp;"D")</f>
        <v>42565</v>
      </c>
      <c r="X541" s="200">
        <v>5.7522848678940915E-3</v>
      </c>
      <c r="Y541" s="209">
        <v>4.082657455626304E-3</v>
      </c>
    </row>
    <row r="542" spans="21:25" x14ac:dyDescent="0.2">
      <c r="U542" s="213" t="str">
        <f t="shared" si="12"/>
        <v>1w</v>
      </c>
      <c r="V542" s="201">
        <f>_xll.qlCalendarAdvance(Calendar,V541,U542,"f",FALSE)</f>
        <v>42570</v>
      </c>
      <c r="W542" s="225">
        <f>_xll.qlCalendarAdvance(Calendar,V542,NDays&amp;"D")</f>
        <v>42572</v>
      </c>
      <c r="X542" s="200">
        <v>5.8694785064016654E-3</v>
      </c>
      <c r="Y542" s="209">
        <v>4.2234982276312394E-3</v>
      </c>
    </row>
    <row r="543" spans="21:25" x14ac:dyDescent="0.2">
      <c r="U543" s="213" t="str">
        <f t="shared" si="12"/>
        <v>1w</v>
      </c>
      <c r="V543" s="201">
        <f>_xll.qlCalendarAdvance(Calendar,V542,U543,"f",FALSE)</f>
        <v>42577</v>
      </c>
      <c r="W543" s="225">
        <f>_xll.qlCalendarAdvance(Calendar,V543,NDays&amp;"D")</f>
        <v>42579</v>
      </c>
      <c r="X543" s="200">
        <v>5.9848576673440512E-3</v>
      </c>
      <c r="Y543" s="209">
        <v>4.3625230961286121E-3</v>
      </c>
    </row>
    <row r="544" spans="21:25" x14ac:dyDescent="0.2">
      <c r="U544" s="213" t="str">
        <f t="shared" si="12"/>
        <v>1w</v>
      </c>
      <c r="V544" s="201">
        <f>_xll.qlCalendarAdvance(Calendar,V543,U544,"f",FALSE)</f>
        <v>42584</v>
      </c>
      <c r="W544" s="225">
        <f>_xll.qlCalendarAdvance(Calendar,V544,NDays&amp;"D")</f>
        <v>42586</v>
      </c>
      <c r="X544" s="200">
        <v>6.0984220263703816E-3</v>
      </c>
      <c r="Y544" s="209">
        <v>4.4997320590400847E-3</v>
      </c>
    </row>
    <row r="545" spans="21:25" x14ac:dyDescent="0.2">
      <c r="U545" s="213" t="str">
        <f t="shared" si="12"/>
        <v>1w</v>
      </c>
      <c r="V545" s="201">
        <f>_xll.qlCalendarAdvance(Calendar,V544,U545,"f",FALSE)</f>
        <v>42591</v>
      </c>
      <c r="W545" s="225">
        <f>_xll.qlCalendarAdvance(Calendar,V545,NDays&amp;"D")</f>
        <v>42593</v>
      </c>
      <c r="X545" s="200">
        <v>6.2101712642199077E-3</v>
      </c>
      <c r="Y545" s="209">
        <v>4.6351251143672556E-3</v>
      </c>
    </row>
    <row r="546" spans="21:25" x14ac:dyDescent="0.2">
      <c r="U546" s="213" t="str">
        <f t="shared" si="12"/>
        <v>1w</v>
      </c>
      <c r="V546" s="201">
        <f>_xll.qlCalendarAdvance(Calendar,V545,U546,"f",FALSE)</f>
        <v>42598</v>
      </c>
      <c r="W546" s="225">
        <f>_xll.qlCalendarAdvance(Calendar,V546,NDays&amp;"D")</f>
        <v>42600</v>
      </c>
      <c r="X546" s="200">
        <v>6.3201050667220059E-3</v>
      </c>
      <c r="Y546" s="209">
        <v>4.7687022598719153E-3</v>
      </c>
    </row>
    <row r="547" spans="21:25" x14ac:dyDescent="0.2">
      <c r="U547" s="213" t="str">
        <f t="shared" si="12"/>
        <v>1w</v>
      </c>
      <c r="V547" s="201">
        <f>_xll.qlCalendarAdvance(Calendar,V546,U547,"f",FALSE)</f>
        <v>42605</v>
      </c>
      <c r="W547" s="225">
        <f>_xll.qlCalendarAdvance(Calendar,V547,NDays&amp;"D")</f>
        <v>42607</v>
      </c>
      <c r="X547" s="200">
        <v>6.4282231247987515E-3</v>
      </c>
      <c r="Y547" s="209">
        <v>4.9004634937954705E-3</v>
      </c>
    </row>
    <row r="548" spans="21:25" x14ac:dyDescent="0.2">
      <c r="U548" s="213" t="str">
        <f t="shared" si="12"/>
        <v>1w</v>
      </c>
      <c r="V548" s="201">
        <f>_xll.qlCalendarAdvance(Calendar,V547,U548,"f",FALSE)</f>
        <v>42612</v>
      </c>
      <c r="W548" s="225">
        <f>_xll.qlCalendarAdvance(Calendar,V548,NDays&amp;"D")</f>
        <v>42614</v>
      </c>
      <c r="X548" s="200">
        <v>6.4993186475801766E-3</v>
      </c>
      <c r="Y548" s="209">
        <v>5.0304088138997116E-3</v>
      </c>
    </row>
    <row r="549" spans="21:25" x14ac:dyDescent="0.2">
      <c r="U549" s="213" t="str">
        <f t="shared" si="12"/>
        <v>1w</v>
      </c>
      <c r="V549" s="201">
        <f>_xll.qlCalendarAdvance(Calendar,V548,U549,"f",FALSE)</f>
        <v>42619</v>
      </c>
      <c r="W549" s="225">
        <f>_xll.qlCalendarAdvance(Calendar,V549,NDays&amp;"D")</f>
        <v>42621</v>
      </c>
      <c r="X549" s="200">
        <v>6.6044436424051566E-3</v>
      </c>
      <c r="Y549" s="209">
        <v>5.1585382182661732E-3</v>
      </c>
    </row>
    <row r="550" spans="21:25" x14ac:dyDescent="0.2">
      <c r="U550" s="213" t="str">
        <f t="shared" si="12"/>
        <v>1w</v>
      </c>
      <c r="V550" s="201">
        <f>_xll.qlCalendarAdvance(Calendar,V549,U550,"f",FALSE)</f>
        <v>42626</v>
      </c>
      <c r="W550" s="225">
        <f>_xll.qlCalendarAdvance(Calendar,V550,NDays&amp;"D")</f>
        <v>42628</v>
      </c>
      <c r="X550" s="200">
        <v>6.7077521138016634E-3</v>
      </c>
      <c r="Y550" s="209">
        <v>5.284851705056326E-3</v>
      </c>
    </row>
    <row r="551" spans="21:25" x14ac:dyDescent="0.2">
      <c r="U551" s="213" t="str">
        <f t="shared" si="12"/>
        <v>1w</v>
      </c>
      <c r="V551" s="201">
        <f>_xll.qlCalendarAdvance(Calendar,V550,U551,"f",FALSE)</f>
        <v>42633</v>
      </c>
      <c r="W551" s="225">
        <f>_xll.qlCalendarAdvance(Calendar,V551,NDays&amp;"D")</f>
        <v>42635</v>
      </c>
      <c r="X551" s="200">
        <v>6.8092437790809087E-3</v>
      </c>
      <c r="Y551" s="209">
        <v>5.4093492723517045E-3</v>
      </c>
    </row>
    <row r="552" spans="21:25" x14ac:dyDescent="0.2">
      <c r="U552" s="213" t="str">
        <f t="shared" si="12"/>
        <v>1w</v>
      </c>
      <c r="V552" s="201">
        <f>_xll.qlCalendarAdvance(Calendar,V551,U552,"f",FALSE)</f>
        <v>42640</v>
      </c>
      <c r="W552" s="225">
        <f>_xll.qlCalendarAdvance(Calendar,V552,NDays&amp;"D")</f>
        <v>42642</v>
      </c>
      <c r="X552" s="200">
        <v>6.9089183605158784E-3</v>
      </c>
      <c r="Y552" s="209">
        <v>5.5320309181539074E-3</v>
      </c>
    </row>
    <row r="553" spans="21:25" x14ac:dyDescent="0.2">
      <c r="U553" s="213" t="str">
        <f t="shared" si="12"/>
        <v>1w</v>
      </c>
      <c r="V553" s="201">
        <f>_xll.qlCalendarAdvance(Calendar,V552,U553,"f",FALSE)</f>
        <v>42647</v>
      </c>
      <c r="W553" s="225">
        <f>_xll.qlCalendarAdvance(Calendar,V553,NDays&amp;"D")</f>
        <v>42649</v>
      </c>
      <c r="X553" s="200">
        <v>7.0132015617819536E-3</v>
      </c>
      <c r="Y553" s="209">
        <v>5.6528966407043413E-3</v>
      </c>
    </row>
    <row r="554" spans="21:25" x14ac:dyDescent="0.2">
      <c r="U554" s="213" t="str">
        <f t="shared" si="12"/>
        <v>1w</v>
      </c>
      <c r="V554" s="201">
        <f>_xll.qlCalendarAdvance(Calendar,V553,U554,"f",FALSE)</f>
        <v>42654</v>
      </c>
      <c r="W554" s="225">
        <f>_xll.qlCalendarAdvance(Calendar,V554,NDays&amp;"D")</f>
        <v>42656</v>
      </c>
      <c r="X554" s="200">
        <v>7.109113172614299E-3</v>
      </c>
      <c r="Y554" s="209">
        <v>5.7719464381644769E-3</v>
      </c>
    </row>
    <row r="555" spans="21:25" x14ac:dyDescent="0.2">
      <c r="U555" s="213" t="str">
        <f t="shared" si="12"/>
        <v>1w</v>
      </c>
      <c r="V555" s="201">
        <f>_xll.qlCalendarAdvance(Calendar,V554,U555,"f",FALSE)</f>
        <v>42661</v>
      </c>
      <c r="W555" s="225">
        <f>_xll.qlCalendarAdvance(Calendar,V555,NDays&amp;"D")</f>
        <v>42663</v>
      </c>
      <c r="X555" s="200">
        <v>7.2032068672826669E-3</v>
      </c>
      <c r="Y555" s="209">
        <v>5.889180308695785E-3</v>
      </c>
    </row>
    <row r="556" spans="21:25" x14ac:dyDescent="0.2">
      <c r="U556" s="213" t="str">
        <f t="shared" si="12"/>
        <v>1w</v>
      </c>
      <c r="V556" s="201">
        <f>_xll.qlCalendarAdvance(Calendar,V555,U556,"f",FALSE)</f>
        <v>42668</v>
      </c>
      <c r="W556" s="225">
        <f>_xll.qlCalendarAdvance(Calendar,V556,NDays&amp;"D")</f>
        <v>42670</v>
      </c>
      <c r="X556" s="200">
        <v>7.2954823868482521E-3</v>
      </c>
      <c r="Y556" s="209">
        <v>6.0045982505396722E-3</v>
      </c>
    </row>
    <row r="557" spans="21:25" x14ac:dyDescent="0.2">
      <c r="U557" s="213" t="str">
        <f t="shared" si="12"/>
        <v>1w</v>
      </c>
      <c r="V557" s="201">
        <f>_xll.qlCalendarAdvance(Calendar,V556,U557,"f",FALSE)</f>
        <v>42675</v>
      </c>
      <c r="W557" s="225">
        <f>_xll.qlCalendarAdvance(Calendar,V557,NDays&amp;"D")</f>
        <v>42677</v>
      </c>
      <c r="X557" s="200">
        <v>7.3800256370768922E-3</v>
      </c>
      <c r="Y557" s="209">
        <v>6.1182002619375453E-3</v>
      </c>
    </row>
    <row r="558" spans="21:25" x14ac:dyDescent="0.2">
      <c r="U558" s="213" t="str">
        <f t="shared" si="12"/>
        <v>1w</v>
      </c>
      <c r="V558" s="201">
        <f>_xll.qlCalendarAdvance(Calendar,V557,U558,"f",FALSE)</f>
        <v>42682</v>
      </c>
      <c r="W558" s="225">
        <f>_xll.qlCalendarAdvance(Calendar,V558,NDays&amp;"D")</f>
        <v>42684</v>
      </c>
      <c r="X558" s="200">
        <v>7.4687921612058292E-3</v>
      </c>
      <c r="Y558" s="209">
        <v>6.229986341210747E-3</v>
      </c>
    </row>
    <row r="559" spans="21:25" x14ac:dyDescent="0.2">
      <c r="U559" s="213" t="str">
        <f t="shared" si="12"/>
        <v>1w</v>
      </c>
      <c r="V559" s="201">
        <f>_xll.qlCalendarAdvance(Calendar,V558,U559,"f",FALSE)</f>
        <v>42689</v>
      </c>
      <c r="W559" s="225">
        <f>_xll.qlCalendarAdvance(Calendar,V559,NDays&amp;"D")</f>
        <v>42691</v>
      </c>
      <c r="X559" s="200">
        <v>7.5557397964397966E-3</v>
      </c>
      <c r="Y559" s="209">
        <v>6.3399564866006841E-3</v>
      </c>
    </row>
    <row r="560" spans="21:25" x14ac:dyDescent="0.2">
      <c r="U560" s="213" t="str">
        <f t="shared" si="12"/>
        <v>1w</v>
      </c>
      <c r="V560" s="201">
        <f>_xll.qlCalendarAdvance(Calendar,V559,U560,"f",FALSE)</f>
        <v>42696</v>
      </c>
      <c r="W560" s="225">
        <f>_xll.qlCalendarAdvance(Calendar,V560,NDays&amp;"D")</f>
        <v>42698</v>
      </c>
      <c r="X560" s="200">
        <v>7.6408683047906019E-3</v>
      </c>
      <c r="Y560" s="209">
        <v>6.4481106965885715E-3</v>
      </c>
    </row>
    <row r="561" spans="21:25" x14ac:dyDescent="0.2">
      <c r="U561" s="213" t="str">
        <f t="shared" si="12"/>
        <v>1w</v>
      </c>
      <c r="V561" s="201">
        <f>_xll.qlCalendarAdvance(Calendar,V560,U561,"f",FALSE)</f>
        <v>42703</v>
      </c>
      <c r="W561" s="225">
        <f>_xll.qlCalendarAdvance(Calendar,V561,NDays&amp;"D")</f>
        <v>42705</v>
      </c>
      <c r="X561" s="200">
        <v>7.7295786450382658E-3</v>
      </c>
      <c r="Y561" s="209">
        <v>6.5544489693358798E-3</v>
      </c>
    </row>
    <row r="562" spans="21:25" x14ac:dyDescent="0.2">
      <c r="U562" s="213" t="str">
        <f t="shared" si="12"/>
        <v>1w</v>
      </c>
      <c r="V562" s="201">
        <f>_xll.qlCalendarAdvance(Calendar,V561,U562,"f",FALSE)</f>
        <v>42710</v>
      </c>
      <c r="W562" s="225">
        <f>_xll.qlCalendarAdvance(Calendar,V562,NDays&amp;"D")</f>
        <v>42712</v>
      </c>
      <c r="X562" s="200">
        <v>7.8109412017785783E-3</v>
      </c>
      <c r="Y562" s="209">
        <v>6.658971303323824E-3</v>
      </c>
    </row>
    <row r="563" spans="21:25" x14ac:dyDescent="0.2">
      <c r="U563" s="213" t="str">
        <f t="shared" si="12"/>
        <v>1w</v>
      </c>
      <c r="V563" s="201">
        <f>_xll.qlCalendarAdvance(Calendar,V562,U563,"f",FALSE)</f>
        <v>42717</v>
      </c>
      <c r="W563" s="225">
        <f>_xll.qlCalendarAdvance(Calendar,V563,NDays&amp;"D")</f>
        <v>42719</v>
      </c>
      <c r="X563" s="200">
        <v>7.8905275572431592E-3</v>
      </c>
      <c r="Y563" s="209">
        <v>6.761677697033619E-3</v>
      </c>
    </row>
    <row r="564" spans="21:25" x14ac:dyDescent="0.2">
      <c r="U564" s="213" t="str">
        <f t="shared" si="12"/>
        <v>1w</v>
      </c>
      <c r="V564" s="201">
        <f>_xll.qlCalendarAdvance(Calendar,V563,U564,"f",FALSE)</f>
        <v>42724</v>
      </c>
      <c r="W564" s="225">
        <f>_xll.qlCalendarAdvance(Calendar,V564,NDays&amp;"D")</f>
        <v>42726</v>
      </c>
      <c r="X564" s="200">
        <v>7.9684294999946958E-3</v>
      </c>
      <c r="Y564" s="209">
        <v>6.8625681488665435E-3</v>
      </c>
    </row>
    <row r="565" spans="21:25" x14ac:dyDescent="0.2">
      <c r="U565" s="213" t="str">
        <f t="shared" si="12"/>
        <v>1w</v>
      </c>
      <c r="V565" s="201">
        <f>_xll.qlCalendarAdvance(Calendar,V564,U565,"f",FALSE)</f>
        <v>42731</v>
      </c>
      <c r="W565" s="225">
        <f>_xll.qlCalendarAdvance(Calendar,V565,NDays&amp;"D")</f>
        <v>42733</v>
      </c>
      <c r="X565" s="200">
        <v>8.0447417905258247E-3</v>
      </c>
      <c r="Y565" s="209">
        <v>6.9616426572238765E-3</v>
      </c>
    </row>
    <row r="566" spans="21:25" x14ac:dyDescent="0.2">
      <c r="U566" s="213" t="str">
        <f t="shared" si="12"/>
        <v>1w</v>
      </c>
      <c r="V566" s="201">
        <f>_xll.qlCalendarAdvance(Calendar,V565,U566,"f",FALSE)</f>
        <v>42738</v>
      </c>
      <c r="W566" s="225">
        <f>_xll.qlCalendarAdvance(Calendar,V566,NDays&amp;"D")</f>
        <v>42740</v>
      </c>
      <c r="X566" s="200">
        <v>8.1146777056226929E-3</v>
      </c>
      <c r="Y566" s="209">
        <v>7.0589012206667689E-3</v>
      </c>
    </row>
    <row r="567" spans="21:25" x14ac:dyDescent="0.2">
      <c r="U567" s="213" t="str">
        <f t="shared" si="12"/>
        <v>1w</v>
      </c>
      <c r="V567" s="201">
        <f>_xll.qlCalendarAdvance(Calendar,V566,U567,"f",FALSE)</f>
        <v>42745</v>
      </c>
      <c r="W567" s="225">
        <f>_xll.qlCalendarAdvance(Calendar,V567,NDays&amp;"D")</f>
        <v>42747</v>
      </c>
      <c r="X567" s="200">
        <v>8.1881635913307327E-3</v>
      </c>
      <c r="Y567" s="209">
        <v>7.1543438378363078E-3</v>
      </c>
    </row>
    <row r="568" spans="21:25" x14ac:dyDescent="0.2">
      <c r="U568" s="213" t="str">
        <f t="shared" si="12"/>
        <v>1w</v>
      </c>
      <c r="V568" s="201">
        <f>_xll.qlCalendarAdvance(Calendar,V567,U568,"f",FALSE)</f>
        <v>42752</v>
      </c>
      <c r="W568" s="225">
        <f>_xll.qlCalendarAdvance(Calendar,V568,NDays&amp;"D")</f>
        <v>42754</v>
      </c>
      <c r="X568" s="200">
        <v>8.2603334445977353E-3</v>
      </c>
      <c r="Y568" s="209">
        <v>7.2479705070538358E-3</v>
      </c>
    </row>
    <row r="569" spans="21:25" x14ac:dyDescent="0.2">
      <c r="U569" s="213" t="str">
        <f t="shared" si="12"/>
        <v>1w</v>
      </c>
      <c r="V569" s="201">
        <f>_xll.qlCalendarAdvance(Calendar,V568,U569,"f",FALSE)</f>
        <v>42759</v>
      </c>
      <c r="W569" s="225">
        <f>_xll.qlCalendarAdvance(Calendar,V569,NDays&amp;"D")</f>
        <v>42761</v>
      </c>
      <c r="X569" s="200">
        <v>8.3312826177340624E-3</v>
      </c>
      <c r="Y569" s="209">
        <v>7.3397812270403762E-3</v>
      </c>
    </row>
    <row r="570" spans="21:25" x14ac:dyDescent="0.2">
      <c r="U570" s="213" t="str">
        <f t="shared" si="12"/>
        <v>1w</v>
      </c>
      <c r="V570" s="201">
        <f>_xll.qlCalendarAdvance(Calendar,V569,U570,"f",FALSE)</f>
        <v>42766</v>
      </c>
      <c r="W570" s="225">
        <f>_xll.qlCalendarAdvance(Calendar,V570,NDays&amp;"D")</f>
        <v>42768</v>
      </c>
      <c r="X570" s="200">
        <v>8.4011064789798681E-3</v>
      </c>
      <c r="Y570" s="209">
        <v>7.4297759964370158E-3</v>
      </c>
    </row>
    <row r="571" spans="21:25" x14ac:dyDescent="0.2">
      <c r="U571" s="213" t="str">
        <f t="shared" si="12"/>
        <v>1w</v>
      </c>
      <c r="V571" s="201">
        <f>_xll.qlCalendarAdvance(Calendar,V570,U571,"f",FALSE)</f>
        <v>42773</v>
      </c>
      <c r="W571" s="225">
        <f>_xll.qlCalendarAdvance(Calendar,V571,NDays&amp;"D")</f>
        <v>42775</v>
      </c>
      <c r="X571" s="200">
        <v>8.4699004119420211E-3</v>
      </c>
      <c r="Y571" s="209">
        <v>7.5179548138049057E-3</v>
      </c>
    </row>
    <row r="572" spans="21:25" x14ac:dyDescent="0.2">
      <c r="U572" s="213" t="str">
        <f t="shared" si="12"/>
        <v>1w</v>
      </c>
      <c r="V572" s="201">
        <f>_xll.qlCalendarAdvance(Calendar,V571,U572,"f",FALSE)</f>
        <v>42780</v>
      </c>
      <c r="W572" s="225">
        <f>_xll.qlCalendarAdvance(Calendar,V572,NDays&amp;"D")</f>
        <v>42782</v>
      </c>
      <c r="X572" s="200">
        <v>8.5377598150809236E-3</v>
      </c>
      <c r="Y572" s="209">
        <v>7.604317677865069E-3</v>
      </c>
    </row>
    <row r="573" spans="21:25" x14ac:dyDescent="0.2">
      <c r="U573" s="213" t="str">
        <f t="shared" si="12"/>
        <v>1w</v>
      </c>
      <c r="V573" s="201">
        <f>_xll.qlCalendarAdvance(Calendar,V572,U573,"f",FALSE)</f>
        <v>42787</v>
      </c>
      <c r="W573" s="225">
        <f>_xll.qlCalendarAdvance(Calendar,V573,NDays&amp;"D")</f>
        <v>42789</v>
      </c>
      <c r="X573" s="200">
        <v>8.6047801012410514E-3</v>
      </c>
      <c r="Y573" s="209">
        <v>7.6888645872585926E-3</v>
      </c>
    </row>
    <row r="574" spans="21:25" x14ac:dyDescent="0.2">
      <c r="U574" s="213" t="str">
        <f t="shared" si="12"/>
        <v>1w</v>
      </c>
      <c r="V574" s="201">
        <f>_xll.qlCalendarAdvance(Calendar,V573,U574,"f",FALSE)</f>
        <v>42794</v>
      </c>
      <c r="W574" s="225">
        <f>_xll.qlCalendarAdvance(Calendar,V574,NDays&amp;"D")</f>
        <v>42796</v>
      </c>
      <c r="X574" s="200">
        <v>8.6941068545245692E-3</v>
      </c>
      <c r="Y574" s="209">
        <v>7.7715955407064996E-3</v>
      </c>
    </row>
    <row r="575" spans="21:25" x14ac:dyDescent="0.2">
      <c r="U575" s="213" t="str">
        <f t="shared" si="12"/>
        <v>1w</v>
      </c>
      <c r="V575" s="201">
        <f>_xll.qlCalendarAdvance(Calendar,V574,U575,"f",FALSE)</f>
        <v>42801</v>
      </c>
      <c r="W575" s="225">
        <f>_xll.qlCalendarAdvance(Calendar,V575,NDays&amp;"D")</f>
        <v>42803</v>
      </c>
      <c r="X575" s="200">
        <v>8.7597550701516112E-3</v>
      </c>
      <c r="Y575" s="209">
        <v>7.8525105370097492E-3</v>
      </c>
    </row>
    <row r="576" spans="21:25" x14ac:dyDescent="0.2">
      <c r="U576" s="213" t="str">
        <f t="shared" si="12"/>
        <v>1w</v>
      </c>
      <c r="V576" s="201">
        <f>_xll.qlCalendarAdvance(Calendar,V575,U576,"f",FALSE)</f>
        <v>42808</v>
      </c>
      <c r="W576" s="225">
        <f>_xll.qlCalendarAdvance(Calendar,V576,NDays&amp;"D")</f>
        <v>42810</v>
      </c>
      <c r="X576" s="200">
        <v>8.824882759810089E-3</v>
      </c>
      <c r="Y576" s="209">
        <v>7.9316095749693005E-3</v>
      </c>
    </row>
    <row r="577" spans="21:25" x14ac:dyDescent="0.2">
      <c r="U577" s="213" t="str">
        <f t="shared" si="12"/>
        <v>1w</v>
      </c>
      <c r="V577" s="201">
        <f>_xll.qlCalendarAdvance(Calendar,V576,U577,"f",FALSE)</f>
        <v>42815</v>
      </c>
      <c r="W577" s="225">
        <f>_xll.qlCalendarAdvance(Calendar,V577,NDays&amp;"D")</f>
        <v>42817</v>
      </c>
      <c r="X577" s="200">
        <v>8.8895828365454302E-3</v>
      </c>
      <c r="Y577" s="209">
        <v>8.0088926533061766E-3</v>
      </c>
    </row>
    <row r="578" spans="21:25" x14ac:dyDescent="0.2">
      <c r="U578" s="213" t="str">
        <f t="shared" si="12"/>
        <v>1w</v>
      </c>
      <c r="V578" s="201">
        <f>_xll.qlCalendarAdvance(Calendar,V577,U578,"f",FALSE)</f>
        <v>42822</v>
      </c>
      <c r="W578" s="225">
        <f>_xll.qlCalendarAdvance(Calendar,V578,NDays&amp;"D")</f>
        <v>42824</v>
      </c>
      <c r="X578" s="200">
        <v>8.9399489661228897E-3</v>
      </c>
      <c r="Y578" s="209">
        <v>8.0843597709012727E-3</v>
      </c>
    </row>
    <row r="579" spans="21:25" x14ac:dyDescent="0.2">
      <c r="U579" s="213" t="str">
        <f t="shared" si="12"/>
        <v>1w</v>
      </c>
      <c r="V579" s="201">
        <f>_xll.qlCalendarAdvance(Calendar,V578,U579,"f",FALSE)</f>
        <v>42829</v>
      </c>
      <c r="W579" s="225">
        <f>_xll.qlCalendarAdvance(Calendar,V579,NDays&amp;"D")</f>
        <v>42831</v>
      </c>
      <c r="X579" s="200">
        <v>9.0039917264977502E-3</v>
      </c>
      <c r="Y579" s="209">
        <v>8.1580109265555478E-3</v>
      </c>
    </row>
    <row r="580" spans="21:25" x14ac:dyDescent="0.2">
      <c r="U580" s="213" t="str">
        <f t="shared" si="12"/>
        <v>1w</v>
      </c>
      <c r="V580" s="201">
        <f>_xll.qlCalendarAdvance(Calendar,V579,U580,"f",FALSE)</f>
        <v>42836</v>
      </c>
      <c r="W580" s="225">
        <f>_xll.qlCalendarAdvance(Calendar,V580,NDays&amp;"D")</f>
        <v>42838</v>
      </c>
      <c r="X580" s="200">
        <v>9.0678725985919063E-3</v>
      </c>
      <c r="Y580" s="209">
        <v>8.2503779884266493E-3</v>
      </c>
    </row>
    <row r="581" spans="21:25" x14ac:dyDescent="0.2">
      <c r="U581" s="213" t="str">
        <f t="shared" si="12"/>
        <v>1w</v>
      </c>
      <c r="V581" s="201">
        <f>_xll.qlCalendarAdvance(Calendar,V580,U581,"f",FALSE)</f>
        <v>42843</v>
      </c>
      <c r="W581" s="225">
        <f>_xll.qlCalendarAdvance(Calendar,V581,NDays&amp;"D")</f>
        <v>42845</v>
      </c>
      <c r="X581" s="200">
        <v>9.1316860607072621E-3</v>
      </c>
      <c r="Y581" s="209">
        <v>8.2998653477250883E-3</v>
      </c>
    </row>
    <row r="582" spans="21:25" x14ac:dyDescent="0.2">
      <c r="U582" s="213" t="str">
        <f t="shared" si="12"/>
        <v>1w</v>
      </c>
      <c r="V582" s="201">
        <f>_xll.qlCalendarAdvance(Calendar,V581,U582,"f",FALSE)</f>
        <v>42850</v>
      </c>
      <c r="W582" s="225">
        <f>_xll.qlCalendarAdvance(Calendar,V582,NDays&amp;"D")</f>
        <v>42852</v>
      </c>
      <c r="X582" s="200">
        <v>9.1955266033680733E-3</v>
      </c>
      <c r="Y582" s="209">
        <v>8.3680686110820801E-3</v>
      </c>
    </row>
    <row r="583" spans="21:25" x14ac:dyDescent="0.2">
      <c r="U583" s="213" t="str">
        <f t="shared" si="12"/>
        <v>1w</v>
      </c>
      <c r="V583" s="201">
        <f>_xll.qlCalendarAdvance(Calendar,V582,U583,"f",FALSE)</f>
        <v>42857</v>
      </c>
      <c r="W583" s="225">
        <f>_xll.qlCalendarAdvance(Calendar,V583,NDays&amp;"D")</f>
        <v>42859</v>
      </c>
      <c r="X583" s="200">
        <v>9.2740081372681103E-3</v>
      </c>
      <c r="Y583" s="209">
        <v>8.4344559082616399E-3</v>
      </c>
    </row>
    <row r="584" spans="21:25" x14ac:dyDescent="0.2">
      <c r="U584" s="213" t="str">
        <f t="shared" si="12"/>
        <v>1w</v>
      </c>
      <c r="V584" s="201">
        <f>_xll.qlCalendarAdvance(Calendar,V583,U584,"f",FALSE)</f>
        <v>42864</v>
      </c>
      <c r="W584" s="225">
        <f>_xll.qlCalendarAdvance(Calendar,V584,NDays&amp;"D")</f>
        <v>42866</v>
      </c>
      <c r="X584" s="200">
        <v>9.3383175383701025E-3</v>
      </c>
      <c r="Y584" s="209">
        <v>8.499027238224599E-3</v>
      </c>
    </row>
    <row r="585" spans="21:25" x14ac:dyDescent="0.2">
      <c r="U585" s="213" t="str">
        <f t="shared" si="12"/>
        <v>1w</v>
      </c>
      <c r="V585" s="201">
        <f>_xll.qlCalendarAdvance(Calendar,V584,U585,"f",FALSE)</f>
        <v>42871</v>
      </c>
      <c r="W585" s="225">
        <f>_xll.qlCalendarAdvance(Calendar,V585,NDays&amp;"D")</f>
        <v>42873</v>
      </c>
      <c r="X585" s="200">
        <v>9.4029430784554752E-3</v>
      </c>
      <c r="Y585" s="209">
        <v>8.5617826000117248E-3</v>
      </c>
    </row>
    <row r="586" spans="21:25" x14ac:dyDescent="0.2">
      <c r="U586" s="213" t="str">
        <f t="shared" si="12"/>
        <v>1w</v>
      </c>
      <c r="V586" s="201">
        <f>_xll.qlCalendarAdvance(Calendar,V585,U586,"f",FALSE)</f>
        <v>42878</v>
      </c>
      <c r="W586" s="225">
        <f>_xll.qlCalendarAdvance(Calendar,V586,NDays&amp;"D")</f>
        <v>42880</v>
      </c>
      <c r="X586" s="200">
        <v>9.4679777820550984E-3</v>
      </c>
      <c r="Y586" s="209">
        <v>8.6227219927437204E-3</v>
      </c>
    </row>
    <row r="587" spans="21:25" x14ac:dyDescent="0.2">
      <c r="U587" s="213" t="str">
        <f t="shared" si="12"/>
        <v>1w</v>
      </c>
      <c r="V587" s="201">
        <f>_xll.qlCalendarAdvance(Calendar,V586,U587,"f",FALSE)</f>
        <v>42885</v>
      </c>
      <c r="W587" s="225">
        <f>_xll.qlCalendarAdvance(Calendar,V587,NDays&amp;"D")</f>
        <v>42887</v>
      </c>
      <c r="X587" s="200">
        <v>9.5184435513336035E-3</v>
      </c>
      <c r="Y587" s="209">
        <v>8.6818454153814173E-3</v>
      </c>
    </row>
    <row r="588" spans="21:25" x14ac:dyDescent="0.2">
      <c r="U588" s="213" t="str">
        <f t="shared" si="12"/>
        <v>1w</v>
      </c>
      <c r="V588" s="201">
        <f>_xll.qlCalendarAdvance(Calendar,V587,U588,"f",FALSE)</f>
        <v>42892</v>
      </c>
      <c r="W588" s="225">
        <f>_xll.qlCalendarAdvance(Calendar,V588,NDays&amp;"D")</f>
        <v>42894</v>
      </c>
      <c r="X588" s="200">
        <v>9.5844303271943199E-3</v>
      </c>
      <c r="Y588" s="209">
        <v>8.7394623319791975E-3</v>
      </c>
    </row>
    <row r="589" spans="21:25" x14ac:dyDescent="0.2">
      <c r="U589" s="213" t="str">
        <f t="shared" si="12"/>
        <v>1w</v>
      </c>
      <c r="V589" s="201">
        <f>_xll.qlCalendarAdvance(Calendar,V588,U589,"f",FALSE)</f>
        <v>42899</v>
      </c>
      <c r="W589" s="225">
        <f>_xll.qlCalendarAdvance(Calendar,V589,NDays&amp;"D")</f>
        <v>42901</v>
      </c>
      <c r="X589" s="200">
        <v>9.6510625167962865E-3</v>
      </c>
      <c r="Y589" s="209">
        <v>8.7974128045598121E-3</v>
      </c>
    </row>
    <row r="590" spans="21:25" x14ac:dyDescent="0.2">
      <c r="U590" s="213" t="str">
        <f t="shared" si="12"/>
        <v>1w</v>
      </c>
      <c r="V590" s="201">
        <f>_xll.qlCalendarAdvance(Calendar,V589,U590,"f",FALSE)</f>
        <v>42906</v>
      </c>
      <c r="W590" s="225">
        <f>_xll.qlCalendarAdvance(Calendar,V590,NDays&amp;"D")</f>
        <v>42908</v>
      </c>
      <c r="X590" s="200">
        <v>9.7183431247210034E-3</v>
      </c>
      <c r="Y590" s="209">
        <v>8.8560062981368759E-3</v>
      </c>
    </row>
    <row r="591" spans="21:25" x14ac:dyDescent="0.2">
      <c r="U591" s="213" t="str">
        <f t="shared" si="12"/>
        <v>1w</v>
      </c>
      <c r="V591" s="201">
        <f>_xll.qlCalendarAdvance(Calendar,V590,U591,"f",FALSE)</f>
        <v>42913</v>
      </c>
      <c r="W591" s="225">
        <f>_xll.qlCalendarAdvance(Calendar,V591,NDays&amp;"D")</f>
        <v>42915</v>
      </c>
      <c r="X591" s="200">
        <v>9.7862722170196804E-3</v>
      </c>
      <c r="Y591" s="209">
        <v>8.9152428131100692E-3</v>
      </c>
    </row>
    <row r="592" spans="21:25" x14ac:dyDescent="0.2">
      <c r="U592" s="213" t="str">
        <f t="shared" si="12"/>
        <v>1w</v>
      </c>
      <c r="V592" s="201">
        <f>_xll.qlCalendarAdvance(Calendar,V591,U592,"f",FALSE)</f>
        <v>42920</v>
      </c>
      <c r="W592" s="225">
        <f>_xll.qlCalendarAdvance(Calendar,V592,NDays&amp;"D")</f>
        <v>42922</v>
      </c>
      <c r="X592" s="200">
        <v>9.8706430170564415E-3</v>
      </c>
      <c r="Y592" s="209">
        <v>8.9751223498790722E-3</v>
      </c>
    </row>
    <row r="593" spans="21:25" x14ac:dyDescent="0.2">
      <c r="U593" s="213" t="str">
        <f t="shared" si="12"/>
        <v>1w</v>
      </c>
      <c r="V593" s="201">
        <f>_xll.qlCalendarAdvance(Calendar,V592,U593,"f",FALSE)</f>
        <v>42927</v>
      </c>
      <c r="W593" s="225">
        <f>_xll.qlCalendarAdvance(Calendar,V593,NDays&amp;"D")</f>
        <v>42929</v>
      </c>
      <c r="X593" s="200">
        <v>9.9400140099768011E-3</v>
      </c>
      <c r="Y593" s="209">
        <v>9.0356449086037571E-3</v>
      </c>
    </row>
    <row r="594" spans="21:25" x14ac:dyDescent="0.2">
      <c r="U594" s="213" t="str">
        <f t="shared" si="12"/>
        <v>1w</v>
      </c>
      <c r="V594" s="201">
        <f>_xll.qlCalendarAdvance(Calendar,V593,U594,"f",FALSE)</f>
        <v>42934</v>
      </c>
      <c r="W594" s="225">
        <f>_xll.qlCalendarAdvance(Calendar,V594,NDays&amp;"D")</f>
        <v>42936</v>
      </c>
      <c r="X594" s="200">
        <v>1.0010033797972889E-2</v>
      </c>
      <c r="Y594" s="209">
        <v>9.0968104897637403E-3</v>
      </c>
    </row>
    <row r="595" spans="21:25" x14ac:dyDescent="0.2">
      <c r="U595" s="213" t="str">
        <f t="shared" si="12"/>
        <v>1w</v>
      </c>
      <c r="V595" s="201">
        <f>_xll.qlCalendarAdvance(Calendar,V594,U595,"f",FALSE)</f>
        <v>42941</v>
      </c>
      <c r="W595" s="225">
        <f>_xll.qlCalendarAdvance(Calendar,V595,NDays&amp;"D")</f>
        <v>42943</v>
      </c>
      <c r="X595" s="200">
        <v>1.0080702450919563E-2</v>
      </c>
      <c r="Y595" s="209">
        <v>9.1586190935988299E-3</v>
      </c>
    </row>
    <row r="596" spans="21:25" x14ac:dyDescent="0.2">
      <c r="U596" s="213" t="str">
        <f t="shared" si="12"/>
        <v>1w</v>
      </c>
      <c r="V596" s="201">
        <f>_xll.qlCalendarAdvance(Calendar,V595,U596,"f",FALSE)</f>
        <v>42948</v>
      </c>
      <c r="W596" s="225">
        <f>_xll.qlCalendarAdvance(Calendar,V596,NDays&amp;"D")</f>
        <v>42950</v>
      </c>
      <c r="X596" s="200">
        <v>1.0152020039342345E-2</v>
      </c>
      <c r="Y596" s="209">
        <v>9.2210707204287701E-3</v>
      </c>
    </row>
    <row r="597" spans="21:25" x14ac:dyDescent="0.2">
      <c r="U597" s="213" t="str">
        <f t="shared" ref="U597:U660" si="13">U596</f>
        <v>1w</v>
      </c>
      <c r="V597" s="201">
        <f>_xll.qlCalendarAdvance(Calendar,V596,U597,"f",FALSE)</f>
        <v>42955</v>
      </c>
      <c r="W597" s="225">
        <f>_xll.qlCalendarAdvance(Calendar,V597,NDays&amp;"D")</f>
        <v>42957</v>
      </c>
      <c r="X597" s="200">
        <v>1.0223986634414411E-2</v>
      </c>
      <c r="Y597" s="209">
        <v>9.2841653706532412E-3</v>
      </c>
    </row>
    <row r="598" spans="21:25" x14ac:dyDescent="0.2">
      <c r="U598" s="213" t="str">
        <f t="shared" si="13"/>
        <v>1w</v>
      </c>
      <c r="V598" s="201">
        <f>_xll.qlCalendarAdvance(Calendar,V597,U598,"f",FALSE)</f>
        <v>42962</v>
      </c>
      <c r="W598" s="225">
        <f>_xll.qlCalendarAdvance(Calendar,V598,NDays&amp;"D")</f>
        <v>42964</v>
      </c>
      <c r="X598" s="200">
        <v>1.0296602307960026E-2</v>
      </c>
      <c r="Y598" s="209">
        <v>9.3479030445919875E-3</v>
      </c>
    </row>
    <row r="599" spans="21:25" x14ac:dyDescent="0.2">
      <c r="U599" s="213" t="str">
        <f t="shared" si="13"/>
        <v>1w</v>
      </c>
      <c r="V599" s="201">
        <f>_xll.qlCalendarAdvance(Calendar,V598,U599,"f",FALSE)</f>
        <v>42969</v>
      </c>
      <c r="W599" s="225">
        <f>_xll.qlCalendarAdvance(Calendar,V599,NDays&amp;"D")</f>
        <v>42971</v>
      </c>
      <c r="X599" s="200">
        <v>1.0369867132451971E-2</v>
      </c>
      <c r="Y599" s="209">
        <v>9.4122837425647532E-3</v>
      </c>
    </row>
    <row r="600" spans="21:25" x14ac:dyDescent="0.2">
      <c r="U600" s="213" t="str">
        <f t="shared" si="13"/>
        <v>1w</v>
      </c>
      <c r="V600" s="201">
        <f>_xll.qlCalendarAdvance(Calendar,V599,U600,"f",FALSE)</f>
        <v>42976</v>
      </c>
      <c r="W600" s="225">
        <f>_xll.qlCalendarAdvance(Calendar,V600,NDays&amp;"D")</f>
        <v>42978</v>
      </c>
      <c r="X600" s="200">
        <v>1.0415547976335477E-2</v>
      </c>
      <c r="Y600" s="209">
        <v>9.4773074649712186E-3</v>
      </c>
    </row>
    <row r="601" spans="21:25" x14ac:dyDescent="0.2">
      <c r="U601" s="213" t="str">
        <f t="shared" si="13"/>
        <v>1w</v>
      </c>
      <c r="V601" s="201">
        <f>_xll.qlCalendarAdvance(Calendar,V600,U601,"f",FALSE)</f>
        <v>42983</v>
      </c>
      <c r="W601" s="225">
        <f>_xll.qlCalendarAdvance(Calendar,V601,NDays&amp;"D")</f>
        <v>42985</v>
      </c>
      <c r="X601" s="200">
        <v>1.0489868621472389E-2</v>
      </c>
      <c r="Y601" s="209">
        <v>9.5429742119712557E-3</v>
      </c>
    </row>
    <row r="602" spans="21:25" x14ac:dyDescent="0.2">
      <c r="U602" s="213" t="str">
        <f t="shared" si="13"/>
        <v>1w</v>
      </c>
      <c r="V602" s="201">
        <f>_xll.qlCalendarAdvance(Calendar,V601,U602,"f",FALSE)</f>
        <v>42990</v>
      </c>
      <c r="W602" s="225">
        <f>_xll.qlCalendarAdvance(Calendar,V602,NDays&amp;"D")</f>
        <v>42992</v>
      </c>
      <c r="X602" s="200">
        <v>1.0564838440550865E-2</v>
      </c>
      <c r="Y602" s="209">
        <v>9.6092839842043531E-3</v>
      </c>
    </row>
    <row r="603" spans="21:25" x14ac:dyDescent="0.2">
      <c r="U603" s="213" t="str">
        <f t="shared" si="13"/>
        <v>1w</v>
      </c>
      <c r="V603" s="201">
        <f>_xll.qlCalendarAdvance(Calendar,V602,U603,"f",FALSE)</f>
        <v>42997</v>
      </c>
      <c r="W603" s="225">
        <f>_xll.qlCalendarAdvance(Calendar,V603,NDays&amp;"D")</f>
        <v>42999</v>
      </c>
      <c r="X603" s="200">
        <v>1.0640457506385587E-2</v>
      </c>
      <c r="Y603" s="209">
        <v>9.6762367818303829E-3</v>
      </c>
    </row>
    <row r="604" spans="21:25" x14ac:dyDescent="0.2">
      <c r="U604" s="213" t="str">
        <f t="shared" si="13"/>
        <v>1w</v>
      </c>
      <c r="V604" s="201">
        <f>_xll.qlCalendarAdvance(Calendar,V603,U604,"f",FALSE)</f>
        <v>43004</v>
      </c>
      <c r="W604" s="225">
        <f>_xll.qlCalendarAdvance(Calendar,V604,NDays&amp;"D")</f>
        <v>43006</v>
      </c>
      <c r="X604" s="200">
        <v>1.0716725892424101E-2</v>
      </c>
      <c r="Y604" s="209">
        <v>9.7438326051690893E-3</v>
      </c>
    </row>
    <row r="605" spans="21:25" x14ac:dyDescent="0.2">
      <c r="U605" s="213" t="str">
        <f t="shared" si="13"/>
        <v>1w</v>
      </c>
      <c r="V605" s="201">
        <f>_xll.qlCalendarAdvance(Calendar,V604,U605,"f",FALSE)</f>
        <v>43011</v>
      </c>
      <c r="W605" s="225">
        <f>_xll.qlCalendarAdvance(Calendar,V605,NDays&amp;"D")</f>
        <v>43013</v>
      </c>
      <c r="X605" s="200">
        <v>1.0799523894697606E-2</v>
      </c>
      <c r="Y605" s="209">
        <v>9.8120714547800247E-3</v>
      </c>
    </row>
    <row r="606" spans="21:25" x14ac:dyDescent="0.2">
      <c r="U606" s="213" t="str">
        <f t="shared" si="13"/>
        <v>1w</v>
      </c>
      <c r="V606" s="201">
        <f>_xll.qlCalendarAdvance(Calendar,V605,U606,"f",FALSE)</f>
        <v>43018</v>
      </c>
      <c r="W606" s="225">
        <f>_xll.qlCalendarAdvance(Calendar,V606,NDays&amp;"D")</f>
        <v>43020</v>
      </c>
      <c r="X606" s="200">
        <v>1.0877139875609438E-2</v>
      </c>
      <c r="Y606" s="209">
        <v>9.8809533308230613E-3</v>
      </c>
    </row>
    <row r="607" spans="21:25" x14ac:dyDescent="0.2">
      <c r="U607" s="213" t="str">
        <f t="shared" si="13"/>
        <v>1w</v>
      </c>
      <c r="V607" s="201">
        <f>_xll.qlCalendarAdvance(Calendar,V606,U607,"f",FALSE)</f>
        <v>43025</v>
      </c>
      <c r="W607" s="225">
        <f>_xll.qlCalendarAdvance(Calendar,V607,NDays&amp;"D")</f>
        <v>43027</v>
      </c>
      <c r="X607" s="200">
        <v>1.0955405442688984E-2</v>
      </c>
      <c r="Y607" s="209">
        <v>9.9504782338577513E-3</v>
      </c>
    </row>
    <row r="608" spans="21:25" x14ac:dyDescent="0.2">
      <c r="U608" s="213" t="str">
        <f t="shared" si="13"/>
        <v>1w</v>
      </c>
      <c r="V608" s="201">
        <f>_xll.qlCalendarAdvance(Calendar,V607,U608,"f",FALSE)</f>
        <v>43032</v>
      </c>
      <c r="W608" s="225">
        <f>_xll.qlCalendarAdvance(Calendar,V608,NDays&amp;"D")</f>
        <v>43034</v>
      </c>
      <c r="X608" s="200">
        <v>1.1034320672382346E-2</v>
      </c>
      <c r="Y608" s="209">
        <v>1.0020646164123903E-2</v>
      </c>
    </row>
    <row r="609" spans="21:25" x14ac:dyDescent="0.2">
      <c r="U609" s="213" t="str">
        <f t="shared" si="13"/>
        <v>1w</v>
      </c>
      <c r="V609" s="201">
        <f>_xll.qlCalendarAdvance(Calendar,V608,U609,"f",FALSE)</f>
        <v>43039</v>
      </c>
      <c r="W609" s="225">
        <f>_xll.qlCalendarAdvance(Calendar,V609,NDays&amp;"D")</f>
        <v>43041</v>
      </c>
      <c r="X609" s="200">
        <v>1.1107810240618292E-2</v>
      </c>
      <c r="Y609" s="209">
        <v>1.0091457122101133E-2</v>
      </c>
    </row>
    <row r="610" spans="21:25" x14ac:dyDescent="0.2">
      <c r="U610" s="213" t="str">
        <f t="shared" si="13"/>
        <v>1w</v>
      </c>
      <c r="V610" s="201">
        <f>_xll.qlCalendarAdvance(Calendar,V609,U610,"f",FALSE)</f>
        <v>43046</v>
      </c>
      <c r="W610" s="225">
        <f>_xll.qlCalendarAdvance(Calendar,V610,NDays&amp;"D")</f>
        <v>43048</v>
      </c>
      <c r="X610" s="200">
        <v>1.1187976125707377E-2</v>
      </c>
      <c r="Y610" s="209">
        <v>1.0162911108029249E-2</v>
      </c>
    </row>
    <row r="611" spans="21:25" x14ac:dyDescent="0.2">
      <c r="U611" s="213" t="str">
        <f t="shared" si="13"/>
        <v>1w</v>
      </c>
      <c r="V611" s="201">
        <f>_xll.qlCalendarAdvance(Calendar,V610,U611,"f",FALSE)</f>
        <v>43053</v>
      </c>
      <c r="W611" s="225">
        <f>_xll.qlCalendarAdvance(Calendar,V611,NDays&amp;"D")</f>
        <v>43055</v>
      </c>
      <c r="X611" s="200">
        <v>1.1268791862850619E-2</v>
      </c>
      <c r="Y611" s="209">
        <v>1.0235008122387868E-2</v>
      </c>
    </row>
    <row r="612" spans="21:25" x14ac:dyDescent="0.2">
      <c r="U612" s="213" t="str">
        <f t="shared" si="13"/>
        <v>1w</v>
      </c>
      <c r="V612" s="201">
        <f>_xll.qlCalendarAdvance(Calendar,V611,U612,"f",FALSE)</f>
        <v>43060</v>
      </c>
      <c r="W612" s="225">
        <f>_xll.qlCalendarAdvance(Calendar,V612,NDays&amp;"D")</f>
        <v>43062</v>
      </c>
      <c r="X612" s="200">
        <v>1.1350257530558919E-2</v>
      </c>
      <c r="Y612" s="209">
        <v>1.0307748165576669E-2</v>
      </c>
    </row>
    <row r="613" spans="21:25" x14ac:dyDescent="0.2">
      <c r="U613" s="213" t="str">
        <f t="shared" si="13"/>
        <v>1w</v>
      </c>
      <c r="V613" s="201">
        <f>_xll.qlCalendarAdvance(Calendar,V612,U613,"f",FALSE)</f>
        <v>43067</v>
      </c>
      <c r="W613" s="225">
        <f>_xll.qlCalendarAdvance(Calendar,V613,NDays&amp;"D")</f>
        <v>43069</v>
      </c>
      <c r="X613" s="200">
        <v>1.1438644480257148E-2</v>
      </c>
      <c r="Y613" s="209">
        <v>1.0381131237915397E-2</v>
      </c>
    </row>
    <row r="614" spans="21:25" x14ac:dyDescent="0.2">
      <c r="U614" s="213" t="str">
        <f t="shared" si="13"/>
        <v>1w</v>
      </c>
      <c r="V614" s="201">
        <f>_xll.qlCalendarAdvance(Calendar,V613,U614,"f",FALSE)</f>
        <v>43074</v>
      </c>
      <c r="W614" s="225">
        <f>_xll.qlCalendarAdvance(Calendar,V614,NDays&amp;"D")</f>
        <v>43076</v>
      </c>
      <c r="X614" s="200">
        <v>1.1521458823044884E-2</v>
      </c>
      <c r="Y614" s="209">
        <v>1.0455157339803733E-2</v>
      </c>
    </row>
    <row r="615" spans="21:25" x14ac:dyDescent="0.2">
      <c r="U615" s="213" t="str">
        <f t="shared" si="13"/>
        <v>1w</v>
      </c>
      <c r="V615" s="201">
        <f>_xll.qlCalendarAdvance(Calendar,V614,U615,"f",FALSE)</f>
        <v>43081</v>
      </c>
      <c r="W615" s="225">
        <f>_xll.qlCalendarAdvance(Calendar,V615,NDays&amp;"D")</f>
        <v>43083</v>
      </c>
      <c r="X615" s="200">
        <v>1.1604905735087179E-2</v>
      </c>
      <c r="Y615" s="209">
        <v>1.0529826471721293E-2</v>
      </c>
    </row>
    <row r="616" spans="21:25" x14ac:dyDescent="0.2">
      <c r="U616" s="213" t="str">
        <f t="shared" si="13"/>
        <v>1w</v>
      </c>
      <c r="V616" s="201">
        <f>_xll.qlCalendarAdvance(Calendar,V615,U616,"f",FALSE)</f>
        <v>43088</v>
      </c>
      <c r="W616" s="225">
        <f>_xll.qlCalendarAdvance(Calendar,V616,NDays&amp;"D")</f>
        <v>43090</v>
      </c>
      <c r="X616" s="200">
        <v>1.1688948098899565E-2</v>
      </c>
      <c r="Y616" s="209">
        <v>1.0605138633987821E-2</v>
      </c>
    </row>
    <row r="617" spans="21:25" x14ac:dyDescent="0.2">
      <c r="U617" s="213" t="str">
        <f t="shared" si="13"/>
        <v>1w</v>
      </c>
      <c r="V617" s="201">
        <f>_xll.qlCalendarAdvance(Calendar,V616,U617,"f",FALSE)</f>
        <v>43096</v>
      </c>
      <c r="W617" s="225">
        <f>_xll.qlCalendarAdvance(Calendar,V617,NDays&amp;"D")</f>
        <v>43098</v>
      </c>
      <c r="X617" s="200">
        <v>1.1785676485845028E-2</v>
      </c>
      <c r="Y617" s="209">
        <v>1.0708862519068774E-2</v>
      </c>
    </row>
    <row r="618" spans="21:25" x14ac:dyDescent="0.2">
      <c r="U618" s="213" t="str">
        <f t="shared" si="13"/>
        <v>1w</v>
      </c>
      <c r="V618" s="201">
        <f>_xll.qlCalendarAdvance(Calendar,V617,U618,"f",FALSE)</f>
        <v>43103</v>
      </c>
      <c r="W618" s="225">
        <f>_xll.qlCalendarAdvance(Calendar,V618,NDays&amp;"D")</f>
        <v>43105</v>
      </c>
      <c r="X618" s="200">
        <v>1.1864394098232249E-2</v>
      </c>
      <c r="Y618" s="209">
        <v>1.0780022526581945E-2</v>
      </c>
    </row>
    <row r="619" spans="21:25" x14ac:dyDescent="0.2">
      <c r="U619" s="213" t="str">
        <f t="shared" si="13"/>
        <v>1w</v>
      </c>
      <c r="V619" s="201">
        <f>_xll.qlCalendarAdvance(Calendar,V618,U619,"f",FALSE)</f>
        <v>43110</v>
      </c>
      <c r="W619" s="225">
        <f>_xll.qlCalendarAdvance(Calendar,V619,NDays&amp;"D")</f>
        <v>43112</v>
      </c>
      <c r="X619" s="200">
        <v>1.1950033941376347E-2</v>
      </c>
      <c r="Y619" s="209">
        <v>1.0857452159287462E-2</v>
      </c>
    </row>
    <row r="620" spans="21:25" x14ac:dyDescent="0.2">
      <c r="U620" s="213" t="str">
        <f t="shared" si="13"/>
        <v>1w</v>
      </c>
      <c r="V620" s="201">
        <f>_xll.qlCalendarAdvance(Calendar,V619,U620,"f",FALSE)</f>
        <v>43117</v>
      </c>
      <c r="W620" s="225">
        <f>_xll.qlCalendarAdvance(Calendar,V620,NDays&amp;"D")</f>
        <v>43119</v>
      </c>
      <c r="X620" s="200">
        <v>1.2036114749613393E-2</v>
      </c>
      <c r="Y620" s="209">
        <v>1.0935524896495963E-2</v>
      </c>
    </row>
    <row r="621" spans="21:25" x14ac:dyDescent="0.2">
      <c r="U621" s="213" t="str">
        <f t="shared" si="13"/>
        <v>1w</v>
      </c>
      <c r="V621" s="201">
        <f>_xll.qlCalendarAdvance(Calendar,V620,U621,"f",FALSE)</f>
        <v>43124</v>
      </c>
      <c r="W621" s="225">
        <f>_xll.qlCalendarAdvance(Calendar,V621,NDays&amp;"D")</f>
        <v>43126</v>
      </c>
      <c r="X621" s="200">
        <v>1.2122597969648466E-2</v>
      </c>
      <c r="Y621" s="209">
        <v>1.1014240739433134E-2</v>
      </c>
    </row>
    <row r="622" spans="21:25" x14ac:dyDescent="0.2">
      <c r="U622" s="213" t="str">
        <f t="shared" si="13"/>
        <v>1w</v>
      </c>
      <c r="V622" s="201">
        <f>_xll.qlCalendarAdvance(Calendar,V621,U622,"f",FALSE)</f>
        <v>43131</v>
      </c>
      <c r="W622" s="225">
        <f>_xll.qlCalendarAdvance(Calendar,V622,NDays&amp;"D")</f>
        <v>43133</v>
      </c>
      <c r="X622" s="200">
        <v>1.2209445041772328E-2</v>
      </c>
      <c r="Y622" s="209">
        <v>1.1093599689404599E-2</v>
      </c>
    </row>
    <row r="623" spans="21:25" x14ac:dyDescent="0.2">
      <c r="U623" s="213" t="str">
        <f t="shared" si="13"/>
        <v>1w</v>
      </c>
      <c r="V623" s="201">
        <f>_xll.qlCalendarAdvance(Calendar,V622,U623,"f",FALSE)</f>
        <v>43138</v>
      </c>
      <c r="W623" s="225">
        <f>_xll.qlCalendarAdvance(Calendar,V623,NDays&amp;"D")</f>
        <v>43140</v>
      </c>
      <c r="X623" s="200">
        <v>1.2296617399784583E-2</v>
      </c>
      <c r="Y623" s="209">
        <v>1.1173601747689332E-2</v>
      </c>
    </row>
    <row r="624" spans="21:25" x14ac:dyDescent="0.2">
      <c r="U624" s="213" t="str">
        <f t="shared" si="13"/>
        <v>1w</v>
      </c>
      <c r="V624" s="201">
        <f>_xll.qlCalendarAdvance(Calendar,V623,U624,"f",FALSE)</f>
        <v>43145</v>
      </c>
      <c r="W624" s="225">
        <f>_xll.qlCalendarAdvance(Calendar,V624,NDays&amp;"D")</f>
        <v>43147</v>
      </c>
      <c r="X624" s="200">
        <v>1.2384076470930514E-2</v>
      </c>
      <c r="Y624" s="209">
        <v>1.1254246915513022E-2</v>
      </c>
    </row>
    <row r="625" spans="21:25" x14ac:dyDescent="0.2">
      <c r="U625" s="213" t="str">
        <f t="shared" si="13"/>
        <v>1w</v>
      </c>
      <c r="V625" s="201">
        <f>_xll.qlCalendarAdvance(Calendar,V624,U625,"f",FALSE)</f>
        <v>43152</v>
      </c>
      <c r="W625" s="225">
        <f>_xll.qlCalendarAdvance(Calendar,V625,NDays&amp;"D")</f>
        <v>43154</v>
      </c>
      <c r="X625" s="200">
        <v>1.2471783675839704E-2</v>
      </c>
      <c r="Y625" s="209">
        <v>1.1335535194234581E-2</v>
      </c>
    </row>
    <row r="626" spans="21:25" x14ac:dyDescent="0.2">
      <c r="U626" s="213" t="str">
        <f t="shared" si="13"/>
        <v>1w</v>
      </c>
      <c r="V626" s="201">
        <f>_xll.qlCalendarAdvance(Calendar,V625,U626,"f",FALSE)</f>
        <v>43159</v>
      </c>
      <c r="W626" s="225">
        <f>_xll.qlCalendarAdvance(Calendar,V626,NDays&amp;"D")</f>
        <v>43161</v>
      </c>
      <c r="X626" s="200">
        <v>1.2585929939678856E-2</v>
      </c>
      <c r="Y626" s="209">
        <v>1.1417466585132985E-2</v>
      </c>
    </row>
    <row r="627" spans="21:25" x14ac:dyDescent="0.2">
      <c r="U627" s="213" t="str">
        <f t="shared" si="13"/>
        <v>1w</v>
      </c>
      <c r="V627" s="201">
        <f>_xll.qlCalendarAdvance(Calendar,V626,U627,"f",FALSE)</f>
        <v>43166</v>
      </c>
      <c r="W627" s="225">
        <f>_xll.qlCalendarAdvance(Calendar,V627,NDays&amp;"D")</f>
        <v>43168</v>
      </c>
      <c r="X627" s="200">
        <v>1.2674000468492408E-2</v>
      </c>
      <c r="Y627" s="209">
        <v>1.1500041089540503E-2</v>
      </c>
    </row>
    <row r="628" spans="21:25" x14ac:dyDescent="0.2">
      <c r="U628" s="213" t="str">
        <f t="shared" si="13"/>
        <v>1w</v>
      </c>
      <c r="V628" s="201">
        <f>_xll.qlCalendarAdvance(Calendar,V627,U628,"f",FALSE)</f>
        <v>43173</v>
      </c>
      <c r="W628" s="225">
        <f>_xll.qlCalendarAdvance(Calendar,V628,NDays&amp;"D")</f>
        <v>43175</v>
      </c>
      <c r="X628" s="200">
        <v>1.2762193075846532E-2</v>
      </c>
      <c r="Y628" s="209">
        <v>1.1583258708789401E-2</v>
      </c>
    </row>
    <row r="629" spans="21:25" x14ac:dyDescent="0.2">
      <c r="U629" s="213" t="str">
        <f t="shared" si="13"/>
        <v>1w</v>
      </c>
      <c r="V629" s="201">
        <f>_xll.qlCalendarAdvance(Calendar,V628,U629,"f",FALSE)</f>
        <v>43180</v>
      </c>
      <c r="W629" s="225">
        <f>_xll.qlCalendarAdvance(Calendar,V629,NDays&amp;"D")</f>
        <v>43182</v>
      </c>
      <c r="X629" s="200">
        <v>1.2850469983691135E-2</v>
      </c>
      <c r="Y629" s="209">
        <v>1.1667119444158658E-2</v>
      </c>
    </row>
    <row r="630" spans="21:25" x14ac:dyDescent="0.2">
      <c r="U630" s="213" t="str">
        <f t="shared" si="13"/>
        <v>1w</v>
      </c>
      <c r="V630" s="201">
        <f>_xll.qlCalendarAdvance(Calendar,V629,U630,"f",FALSE)</f>
        <v>43187</v>
      </c>
      <c r="W630" s="225">
        <f>_xll.qlCalendarAdvance(Calendar,V630,NDays&amp;"D")</f>
        <v>43193</v>
      </c>
      <c r="X630" s="200">
        <v>1.297623713627254E-2</v>
      </c>
      <c r="Y630" s="209">
        <v>1.1787645759966381E-2</v>
      </c>
    </row>
    <row r="631" spans="21:25" x14ac:dyDescent="0.2">
      <c r="U631" s="213" t="str">
        <f t="shared" si="13"/>
        <v>1w</v>
      </c>
      <c r="V631" s="201">
        <f>_xll.qlCalendarAdvance(Calendar,V630,U631,"f",FALSE)</f>
        <v>43194</v>
      </c>
      <c r="W631" s="225">
        <f>_xll.qlCalendarAdvance(Calendar,V631,NDays&amp;"D")</f>
        <v>43196</v>
      </c>
      <c r="X631" s="200">
        <v>1.3027125554652227E-2</v>
      </c>
      <c r="Y631" s="209">
        <v>1.1836770268853769E-2</v>
      </c>
    </row>
    <row r="632" spans="21:25" x14ac:dyDescent="0.2">
      <c r="U632" s="213" t="str">
        <f t="shared" si="13"/>
        <v>1w</v>
      </c>
      <c r="V632" s="201">
        <f>_xll.qlCalendarAdvance(Calendar,V631,U632,"f",FALSE)</f>
        <v>43201</v>
      </c>
      <c r="W632" s="225">
        <f>_xll.qlCalendarAdvance(Calendar,V632,NDays&amp;"D")</f>
        <v>43203</v>
      </c>
      <c r="X632" s="200">
        <v>1.3115428627634779E-2</v>
      </c>
      <c r="Y632" s="209">
        <v>1.1922560360870804E-2</v>
      </c>
    </row>
    <row r="633" spans="21:25" x14ac:dyDescent="0.2">
      <c r="U633" s="213" t="str">
        <f t="shared" si="13"/>
        <v>1w</v>
      </c>
      <c r="V633" s="201">
        <f>_xll.qlCalendarAdvance(Calendar,V632,U633,"f",FALSE)</f>
        <v>43208</v>
      </c>
      <c r="W633" s="225">
        <f>_xll.qlCalendarAdvance(Calendar,V633,NDays&amp;"D")</f>
        <v>43210</v>
      </c>
      <c r="X633" s="200">
        <v>1.3203664820838644E-2</v>
      </c>
      <c r="Y633" s="209">
        <v>1.200899357449714E-2</v>
      </c>
    </row>
    <row r="634" spans="21:25" x14ac:dyDescent="0.2">
      <c r="U634" s="213" t="str">
        <f t="shared" si="13"/>
        <v>1w</v>
      </c>
      <c r="V634" s="201">
        <f>_xll.qlCalendarAdvance(Calendar,V633,U634,"f",FALSE)</f>
        <v>43215</v>
      </c>
      <c r="W634" s="225">
        <f>_xll.qlCalendarAdvance(Calendar,V634,NDays&amp;"D")</f>
        <v>43217</v>
      </c>
      <c r="X634" s="200">
        <v>1.3291796322169607E-2</v>
      </c>
      <c r="Y634" s="209">
        <v>1.209606991114498E-2</v>
      </c>
    </row>
    <row r="635" spans="21:25" x14ac:dyDescent="0.2">
      <c r="U635" s="213" t="str">
        <f t="shared" si="13"/>
        <v>1w</v>
      </c>
      <c r="V635" s="201">
        <f>_xll.qlCalendarAdvance(Calendar,V634,U635,"f",FALSE)</f>
        <v>43222</v>
      </c>
      <c r="W635" s="225">
        <f>_xll.qlCalendarAdvance(Calendar,V635,NDays&amp;"D")</f>
        <v>43224</v>
      </c>
      <c r="X635" s="200">
        <v>1.3379785312745807E-2</v>
      </c>
      <c r="Y635" s="209">
        <v>1.2183789372199882E-2</v>
      </c>
    </row>
    <row r="636" spans="21:25" x14ac:dyDescent="0.2">
      <c r="U636" s="213" t="str">
        <f t="shared" si="13"/>
        <v>1w</v>
      </c>
      <c r="V636" s="201">
        <f>_xll.qlCalendarAdvance(Calendar,V635,U636,"f",FALSE)</f>
        <v>43229</v>
      </c>
      <c r="W636" s="225">
        <f>_xll.qlCalendarAdvance(Calendar,V636,NDays&amp;"D")</f>
        <v>43231</v>
      </c>
      <c r="X636" s="200">
        <v>1.3467593966919761E-2</v>
      </c>
      <c r="Y636" s="209">
        <v>1.2272151959074051E-2</v>
      </c>
    </row>
    <row r="637" spans="21:25" x14ac:dyDescent="0.2">
      <c r="U637" s="213" t="str">
        <f t="shared" si="13"/>
        <v>1w</v>
      </c>
      <c r="V637" s="201">
        <f>_xll.qlCalendarAdvance(Calendar,V636,U637,"f",FALSE)</f>
        <v>43236</v>
      </c>
      <c r="W637" s="225">
        <f>_xll.qlCalendarAdvance(Calendar,V637,NDays&amp;"D")</f>
        <v>43238</v>
      </c>
      <c r="X637" s="200">
        <v>1.3555184452312082E-2</v>
      </c>
      <c r="Y637" s="209">
        <v>1.2361157673206336E-2</v>
      </c>
    </row>
    <row r="638" spans="21:25" x14ac:dyDescent="0.2">
      <c r="U638" s="213" t="str">
        <f t="shared" si="13"/>
        <v>1w</v>
      </c>
      <c r="V638" s="201">
        <f>_xll.qlCalendarAdvance(Calendar,V637,U638,"f",FALSE)</f>
        <v>43243</v>
      </c>
      <c r="W638" s="225">
        <f>_xll.qlCalendarAdvance(Calendar,V638,NDays&amp;"D")</f>
        <v>43245</v>
      </c>
      <c r="X638" s="200">
        <v>1.3642518929847327E-2</v>
      </c>
      <c r="Y638" s="209">
        <v>1.2450806515982293E-2</v>
      </c>
    </row>
    <row r="639" spans="21:25" x14ac:dyDescent="0.2">
      <c r="U639" s="213" t="str">
        <f t="shared" si="13"/>
        <v>1w</v>
      </c>
      <c r="V639" s="201">
        <f>_xll.qlCalendarAdvance(Calendar,V638,U639,"f",FALSE)</f>
        <v>43250</v>
      </c>
      <c r="W639" s="225">
        <f>_xll.qlCalendarAdvance(Calendar,V639,NDays&amp;"D")</f>
        <v>43252</v>
      </c>
      <c r="X639" s="200">
        <v>1.3729559553801535E-2</v>
      </c>
      <c r="Y639" s="209">
        <v>1.2541098488867419E-2</v>
      </c>
    </row>
    <row r="640" spans="21:25" x14ac:dyDescent="0.2">
      <c r="U640" s="213" t="str">
        <f t="shared" si="13"/>
        <v>1w</v>
      </c>
      <c r="V640" s="201">
        <f>_xll.qlCalendarAdvance(Calendar,V639,U640,"f",FALSE)</f>
        <v>43257</v>
      </c>
      <c r="W640" s="225">
        <f>_xll.qlCalendarAdvance(Calendar,V640,NDays&amp;"D")</f>
        <v>43259</v>
      </c>
      <c r="X640" s="200">
        <v>1.3816269647762747E-2</v>
      </c>
      <c r="Y640" s="209">
        <v>1.2631719671558628E-2</v>
      </c>
    </row>
    <row r="641" spans="21:25" x14ac:dyDescent="0.2">
      <c r="U641" s="213" t="str">
        <f t="shared" si="13"/>
        <v>1w</v>
      </c>
      <c r="V641" s="201">
        <f>_xll.qlCalendarAdvance(Calendar,V640,U641,"f",FALSE)</f>
        <v>43264</v>
      </c>
      <c r="W641" s="225">
        <f>_xll.qlCalendarAdvance(Calendar,V641,NDays&amp;"D")</f>
        <v>43266</v>
      </c>
      <c r="X641" s="200">
        <v>1.3902632281454969E-2</v>
      </c>
      <c r="Y641" s="209">
        <v>1.2722021967652708E-2</v>
      </c>
    </row>
    <row r="642" spans="21:25" x14ac:dyDescent="0.2">
      <c r="U642" s="213" t="str">
        <f t="shared" si="13"/>
        <v>1w</v>
      </c>
      <c r="V642" s="201">
        <f>_xll.qlCalendarAdvance(Calendar,V641,U642,"f",FALSE)</f>
        <v>43271</v>
      </c>
      <c r="W642" s="225">
        <f>_xll.qlCalendarAdvance(Calendar,V642,NDays&amp;"D")</f>
        <v>43273</v>
      </c>
      <c r="X642" s="200">
        <v>1.3988646912474891E-2</v>
      </c>
      <c r="Y642" s="209">
        <v>1.2811974996944642E-2</v>
      </c>
    </row>
    <row r="643" spans="21:25" x14ac:dyDescent="0.2">
      <c r="U643" s="213" t="str">
        <f t="shared" si="13"/>
        <v>1w</v>
      </c>
      <c r="V643" s="201">
        <f>_xll.qlCalendarAdvance(Calendar,V642,U643,"f",FALSE)</f>
        <v>43278</v>
      </c>
      <c r="W643" s="225">
        <f>_xll.qlCalendarAdvance(Calendar,V643,NDays&amp;"D")</f>
        <v>43280</v>
      </c>
      <c r="X643" s="200">
        <v>1.4074313494669593E-2</v>
      </c>
      <c r="Y643" s="209">
        <v>1.2901578758581778E-2</v>
      </c>
    </row>
    <row r="644" spans="21:25" x14ac:dyDescent="0.2">
      <c r="U644" s="213" t="str">
        <f t="shared" si="13"/>
        <v>1w</v>
      </c>
      <c r="V644" s="201">
        <f>_xll.qlCalendarAdvance(Calendar,V643,U644,"f",FALSE)</f>
        <v>43285</v>
      </c>
      <c r="W644" s="225">
        <f>_xll.qlCalendarAdvance(Calendar,V644,NDays&amp;"D")</f>
        <v>43287</v>
      </c>
      <c r="X644" s="200">
        <v>1.4159631982071088E-2</v>
      </c>
      <c r="Y644" s="209">
        <v>1.2990833251818046E-2</v>
      </c>
    </row>
    <row r="645" spans="21:25" x14ac:dyDescent="0.2">
      <c r="U645" s="213" t="str">
        <f t="shared" si="13"/>
        <v>1w</v>
      </c>
      <c r="V645" s="201">
        <f>_xll.qlCalendarAdvance(Calendar,V644,U645,"f",FALSE)</f>
        <v>43292</v>
      </c>
      <c r="W645" s="225">
        <f>_xll.qlCalendarAdvance(Calendar,V645,NDays&amp;"D")</f>
        <v>43294</v>
      </c>
      <c r="X645" s="200">
        <v>1.4244602328896756E-2</v>
      </c>
      <c r="Y645" s="209">
        <v>1.3079738475854086E-2</v>
      </c>
    </row>
    <row r="646" spans="21:25" x14ac:dyDescent="0.2">
      <c r="U646" s="213" t="str">
        <f t="shared" si="13"/>
        <v>1w</v>
      </c>
      <c r="V646" s="201">
        <f>_xll.qlCalendarAdvance(Calendar,V645,U646,"f",FALSE)</f>
        <v>43299</v>
      </c>
      <c r="W646" s="225">
        <f>_xll.qlCalendarAdvance(Calendar,V646,NDays&amp;"D")</f>
        <v>43301</v>
      </c>
      <c r="X646" s="200">
        <v>1.4329224489549774E-2</v>
      </c>
      <c r="Y646" s="209">
        <v>1.3168294429917182E-2</v>
      </c>
    </row>
    <row r="647" spans="21:25" x14ac:dyDescent="0.2">
      <c r="U647" s="213" t="str">
        <f t="shared" si="13"/>
        <v>1w</v>
      </c>
      <c r="V647" s="201">
        <f>_xll.qlCalendarAdvance(Calendar,V646,U647,"f",FALSE)</f>
        <v>43306</v>
      </c>
      <c r="W647" s="225">
        <f>_xll.qlCalendarAdvance(Calendar,V647,NDays&amp;"D")</f>
        <v>43308</v>
      </c>
      <c r="X647" s="200">
        <v>1.4413498418618682E-2</v>
      </c>
      <c r="Y647" s="209">
        <v>1.3256501113261265E-2</v>
      </c>
    </row>
    <row r="648" spans="21:25" x14ac:dyDescent="0.2">
      <c r="U648" s="213" t="str">
        <f t="shared" si="13"/>
        <v>1w</v>
      </c>
      <c r="V648" s="201">
        <f>_xll.qlCalendarAdvance(Calendar,V647,U648,"f",FALSE)</f>
        <v>43313</v>
      </c>
      <c r="W648" s="225">
        <f>_xll.qlCalendarAdvance(Calendar,V648,NDays&amp;"D")</f>
        <v>43315</v>
      </c>
      <c r="X648" s="200">
        <v>1.4497424070878685E-2</v>
      </c>
      <c r="Y648" s="209">
        <v>1.3344358525086975E-2</v>
      </c>
    </row>
    <row r="649" spans="21:25" x14ac:dyDescent="0.2">
      <c r="U649" s="213" t="str">
        <f t="shared" si="13"/>
        <v>1w</v>
      </c>
      <c r="V649" s="201">
        <f>_xll.qlCalendarAdvance(Calendar,V648,U649,"f",FALSE)</f>
        <v>43320</v>
      </c>
      <c r="W649" s="225">
        <f>_xll.qlCalendarAdvance(Calendar,V649,NDays&amp;"D")</f>
        <v>43322</v>
      </c>
      <c r="X649" s="200">
        <v>1.458100140128819E-2</v>
      </c>
      <c r="Y649" s="209">
        <v>1.3431866664621595E-2</v>
      </c>
    </row>
    <row r="650" spans="21:25" x14ac:dyDescent="0.2">
      <c r="U650" s="213" t="str">
        <f t="shared" si="13"/>
        <v>1w</v>
      </c>
      <c r="V650" s="201">
        <f>_xll.qlCalendarAdvance(Calendar,V649,U650,"f",FALSE)</f>
        <v>43327</v>
      </c>
      <c r="W650" s="225">
        <f>_xll.qlCalendarAdvance(Calendar,V650,NDays&amp;"D")</f>
        <v>43329</v>
      </c>
      <c r="X650" s="200">
        <v>1.4664230364993562E-2</v>
      </c>
      <c r="Y650" s="209">
        <v>1.3519025531119055E-2</v>
      </c>
    </row>
    <row r="651" spans="21:25" x14ac:dyDescent="0.2">
      <c r="U651" s="213" t="str">
        <f t="shared" si="13"/>
        <v>1w</v>
      </c>
      <c r="V651" s="201">
        <f>_xll.qlCalendarAdvance(Calendar,V650,U651,"f",FALSE)</f>
        <v>43334</v>
      </c>
      <c r="W651" s="225">
        <f>_xll.qlCalendarAdvance(Calendar,V651,NDays&amp;"D")</f>
        <v>43336</v>
      </c>
      <c r="X651" s="200">
        <v>1.4747110917325668E-2</v>
      </c>
      <c r="Y651" s="209">
        <v>1.3605835123806642E-2</v>
      </c>
    </row>
    <row r="652" spans="21:25" x14ac:dyDescent="0.2">
      <c r="U652" s="213" t="str">
        <f t="shared" si="13"/>
        <v>1w</v>
      </c>
      <c r="V652" s="201">
        <f>_xll.qlCalendarAdvance(Calendar,V651,U652,"f",FALSE)</f>
        <v>43341</v>
      </c>
      <c r="W652" s="225">
        <f>_xll.qlCalendarAdvance(Calendar,V652,NDays&amp;"D")</f>
        <v>43343</v>
      </c>
      <c r="X652" s="200">
        <v>1.4805321302351042E-2</v>
      </c>
      <c r="Y652" s="209">
        <v>1.3692295441938285E-2</v>
      </c>
    </row>
    <row r="653" spans="21:25" x14ac:dyDescent="0.2">
      <c r="U653" s="213" t="str">
        <f t="shared" si="13"/>
        <v>1w</v>
      </c>
      <c r="V653" s="201">
        <f>_xll.qlCalendarAdvance(Calendar,V652,U653,"f",FALSE)</f>
        <v>43348</v>
      </c>
      <c r="W653" s="225">
        <f>_xll.qlCalendarAdvance(Calendar,V653,NDays&amp;"D")</f>
        <v>43350</v>
      </c>
      <c r="X653" s="200">
        <v>1.4887590971075381E-2</v>
      </c>
      <c r="Y653" s="209">
        <v>1.3778406484767913E-2</v>
      </c>
    </row>
    <row r="654" spans="21:25" x14ac:dyDescent="0.2">
      <c r="U654" s="213" t="str">
        <f t="shared" si="13"/>
        <v>1w</v>
      </c>
      <c r="V654" s="201">
        <f>_xll.qlCalendarAdvance(Calendar,V653,U654,"f",FALSE)</f>
        <v>43355</v>
      </c>
      <c r="W654" s="225">
        <f>_xll.qlCalendarAdvance(Calendar,V654,NDays&amp;"D")</f>
        <v>43357</v>
      </c>
      <c r="X654" s="200">
        <v>1.4969512091145915E-2</v>
      </c>
      <c r="Y654" s="209">
        <v>1.3864168251496167E-2</v>
      </c>
    </row>
    <row r="655" spans="21:25" x14ac:dyDescent="0.2">
      <c r="U655" s="213" t="str">
        <f t="shared" si="13"/>
        <v>1w</v>
      </c>
      <c r="V655" s="201">
        <f>_xll.qlCalendarAdvance(Calendar,V654,U655,"f",FALSE)</f>
        <v>43362</v>
      </c>
      <c r="W655" s="225">
        <f>_xll.qlCalendarAdvance(Calendar,V655,NDays&amp;"D")</f>
        <v>43364</v>
      </c>
      <c r="X655" s="200">
        <v>1.5051084619539376E-2</v>
      </c>
      <c r="Y655" s="209">
        <v>1.3949580741430267E-2</v>
      </c>
    </row>
    <row r="656" spans="21:25" x14ac:dyDescent="0.2">
      <c r="U656" s="213" t="str">
        <f t="shared" si="13"/>
        <v>1w</v>
      </c>
      <c r="V656" s="201">
        <f>_xll.qlCalendarAdvance(Calendar,V655,U656,"f",FALSE)</f>
        <v>43369</v>
      </c>
      <c r="W656" s="225">
        <f>_xll.qlCalendarAdvance(Calendar,V656,NDays&amp;"D")</f>
        <v>43371</v>
      </c>
      <c r="X656" s="200">
        <v>1.5138305714874891E-2</v>
      </c>
      <c r="Y656" s="209">
        <v>1.4034643953770853E-2</v>
      </c>
    </row>
    <row r="657" spans="21:25" x14ac:dyDescent="0.2">
      <c r="U657" s="213" t="str">
        <f t="shared" si="13"/>
        <v>1w</v>
      </c>
      <c r="V657" s="201">
        <f>_xll.qlCalendarAdvance(Calendar,V656,U657,"f",FALSE)</f>
        <v>43376</v>
      </c>
      <c r="W657" s="225">
        <f>_xll.qlCalendarAdvance(Calendar,V657,NDays&amp;"D")</f>
        <v>43378</v>
      </c>
      <c r="X657" s="200">
        <v>1.5219159416007004E-2</v>
      </c>
      <c r="Y657" s="209">
        <v>1.4119357887851791E-2</v>
      </c>
    </row>
    <row r="658" spans="21:25" x14ac:dyDescent="0.2">
      <c r="U658" s="213" t="str">
        <f t="shared" si="13"/>
        <v>1w</v>
      </c>
      <c r="V658" s="201">
        <f>_xll.qlCalendarAdvance(Calendar,V657,U658,"f",FALSE)</f>
        <v>43383</v>
      </c>
      <c r="W658" s="225">
        <f>_xll.qlCalendarAdvance(Calendar,V658,NDays&amp;"D")</f>
        <v>43385</v>
      </c>
      <c r="X658" s="200">
        <v>1.5299664397730603E-2</v>
      </c>
      <c r="Y658" s="209">
        <v>1.4203722542847075E-2</v>
      </c>
    </row>
    <row r="659" spans="21:25" x14ac:dyDescent="0.2">
      <c r="U659" s="213" t="str">
        <f t="shared" si="13"/>
        <v>1w</v>
      </c>
      <c r="V659" s="201">
        <f>_xll.qlCalendarAdvance(Calendar,V658,U659,"f",FALSE)</f>
        <v>43390</v>
      </c>
      <c r="W659" s="225">
        <f>_xll.qlCalendarAdvance(Calendar,V659,NDays&amp;"D")</f>
        <v>43392</v>
      </c>
      <c r="X659" s="200">
        <v>1.5403532312231422E-2</v>
      </c>
      <c r="Y659" s="209">
        <v>1.4287737918063925E-2</v>
      </c>
    </row>
    <row r="660" spans="21:25" x14ac:dyDescent="0.2">
      <c r="U660" s="213" t="str">
        <f t="shared" si="13"/>
        <v>1w</v>
      </c>
      <c r="V660" s="201">
        <f>_xll.qlCalendarAdvance(Calendar,V659,U660,"f",FALSE)</f>
        <v>43397</v>
      </c>
      <c r="W660" s="225">
        <f>_xll.qlCalendarAdvance(Calendar,V660,NDays&amp;"D")</f>
        <v>43399</v>
      </c>
      <c r="X660" s="200">
        <v>1.54596280330631E-2</v>
      </c>
      <c r="Y660" s="209">
        <v>1.4371404012782918E-2</v>
      </c>
    </row>
    <row r="661" spans="21:25" x14ac:dyDescent="0.2">
      <c r="U661" s="213" t="str">
        <f t="shared" ref="U661:U724" si="14">U660</f>
        <v>1w</v>
      </c>
      <c r="V661" s="201">
        <f>_xll.qlCalendarAdvance(Calendar,V660,U661,"f",FALSE)</f>
        <v>43404</v>
      </c>
      <c r="W661" s="225">
        <f>_xll.qlCalendarAdvance(Calendar,V661,NDays&amp;"D")</f>
        <v>43406</v>
      </c>
      <c r="X661" s="200">
        <v>1.5533196978259105E-2</v>
      </c>
      <c r="Y661" s="209">
        <v>1.4454720826231338E-2</v>
      </c>
    </row>
    <row r="662" spans="21:25" x14ac:dyDescent="0.2">
      <c r="U662" s="213" t="str">
        <f t="shared" si="14"/>
        <v>1w</v>
      </c>
      <c r="V662" s="201">
        <f>_xll.qlCalendarAdvance(Calendar,V661,U662,"f",FALSE)</f>
        <v>43411</v>
      </c>
      <c r="W662" s="225">
        <f>_xll.qlCalendarAdvance(Calendar,V662,NDays&amp;"D")</f>
        <v>43413</v>
      </c>
      <c r="X662" s="200">
        <v>1.5612328175527684E-2</v>
      </c>
      <c r="Y662" s="209">
        <v>1.4537688357716405E-2</v>
      </c>
    </row>
    <row r="663" spans="21:25" x14ac:dyDescent="0.2">
      <c r="U663" s="213" t="str">
        <f t="shared" si="14"/>
        <v>1w</v>
      </c>
      <c r="V663" s="201">
        <f>_xll.qlCalendarAdvance(Calendar,V662,U663,"f",FALSE)</f>
        <v>43418</v>
      </c>
      <c r="W663" s="225">
        <f>_xll.qlCalendarAdvance(Calendar,V663,NDays&amp;"D")</f>
        <v>43420</v>
      </c>
      <c r="X663" s="200">
        <v>1.5691110443479442E-2</v>
      </c>
      <c r="Y663" s="209">
        <v>1.4620306606492051E-2</v>
      </c>
    </row>
    <row r="664" spans="21:25" x14ac:dyDescent="0.2">
      <c r="U664" s="213" t="str">
        <f t="shared" si="14"/>
        <v>1w</v>
      </c>
      <c r="V664" s="201">
        <f>_xll.qlCalendarAdvance(Calendar,V663,U664,"f",FALSE)</f>
        <v>43425</v>
      </c>
      <c r="W664" s="225">
        <f>_xll.qlCalendarAdvance(Calendar,V664,NDays&amp;"D")</f>
        <v>43427</v>
      </c>
      <c r="X664" s="200">
        <v>1.5769543740729142E-2</v>
      </c>
      <c r="Y664" s="209">
        <v>1.4702575571865495E-2</v>
      </c>
    </row>
    <row r="665" spans="21:25" x14ac:dyDescent="0.2">
      <c r="U665" s="213" t="str">
        <f t="shared" si="14"/>
        <v>1w</v>
      </c>
      <c r="V665" s="201">
        <f>_xll.qlCalendarAdvance(Calendar,V664,U665,"f",FALSE)</f>
        <v>43432</v>
      </c>
      <c r="W665" s="225">
        <f>_xll.qlCalendarAdvance(Calendar,V665,NDays&amp;"D")</f>
        <v>43434</v>
      </c>
      <c r="X665" s="200">
        <v>1.5853431577931665E-2</v>
      </c>
      <c r="Y665" s="209">
        <v>1.4784495253090668E-2</v>
      </c>
    </row>
    <row r="666" spans="21:25" x14ac:dyDescent="0.2">
      <c r="U666" s="213" t="str">
        <f t="shared" si="14"/>
        <v>1w</v>
      </c>
      <c r="V666" s="201">
        <f>_xll.qlCalendarAdvance(Calendar,V665,U666,"f",FALSE)</f>
        <v>43439</v>
      </c>
      <c r="W666" s="225">
        <f>_xll.qlCalendarAdvance(Calendar,V666,NDays&amp;"D")</f>
        <v>43441</v>
      </c>
      <c r="X666" s="200">
        <v>1.593114563958483E-2</v>
      </c>
      <c r="Y666" s="209">
        <v>1.4866065649474791E-2</v>
      </c>
    </row>
    <row r="667" spans="21:25" x14ac:dyDescent="0.2">
      <c r="U667" s="213" t="str">
        <f t="shared" si="14"/>
        <v>1w</v>
      </c>
      <c r="V667" s="201">
        <f>_xll.qlCalendarAdvance(Calendar,V666,U667,"f",FALSE)</f>
        <v>43446</v>
      </c>
      <c r="W667" s="225">
        <f>_xll.qlCalendarAdvance(Calendar,V667,NDays&amp;"D")</f>
        <v>43448</v>
      </c>
      <c r="X667" s="200">
        <v>1.6008517193505049E-2</v>
      </c>
      <c r="Y667" s="209">
        <v>1.4947286760271794E-2</v>
      </c>
    </row>
    <row r="668" spans="21:25" x14ac:dyDescent="0.2">
      <c r="U668" s="213" t="str">
        <f t="shared" si="14"/>
        <v>1w</v>
      </c>
      <c r="V668" s="201">
        <f>_xll.qlCalendarAdvance(Calendar,V667,U668,"f",FALSE)</f>
        <v>43453</v>
      </c>
      <c r="W668" s="225">
        <f>_xll.qlCalendarAdvance(Calendar,V668,NDays&amp;"D")</f>
        <v>43455</v>
      </c>
      <c r="X668" s="200">
        <v>1.6085557321918888E-2</v>
      </c>
      <c r="Y668" s="209">
        <v>1.5028158584815543E-2</v>
      </c>
    </row>
    <row r="669" spans="21:25" x14ac:dyDescent="0.2">
      <c r="U669" s="213" t="str">
        <f t="shared" si="14"/>
        <v>1w</v>
      </c>
      <c r="V669" s="201">
        <f>_xll.qlCalendarAdvance(Calendar,V668,U669,"f",FALSE)</f>
        <v>43461</v>
      </c>
      <c r="W669" s="225">
        <f>_xll.qlCalendarAdvance(Calendar,V669,NDays&amp;"D")</f>
        <v>43465</v>
      </c>
      <c r="X669" s="200">
        <v>1.617789840334288E-2</v>
      </c>
      <c r="Y669" s="209">
        <v>1.5137037776504769E-2</v>
      </c>
    </row>
    <row r="670" spans="21:25" x14ac:dyDescent="0.2">
      <c r="U670" s="213" t="str">
        <f t="shared" si="14"/>
        <v>1w</v>
      </c>
      <c r="V670" s="201">
        <f>_xll.qlCalendarAdvance(Calendar,V669,U670,"f",FALSE)</f>
        <v>43468</v>
      </c>
      <c r="W670" s="225">
        <f>_xll.qlCalendarAdvance(Calendar,V670,NDays&amp;"D")</f>
        <v>43472</v>
      </c>
      <c r="X670" s="200">
        <v>1.6271343997665944E-2</v>
      </c>
      <c r="Y670" s="209">
        <v>1.5211056515722632E-2</v>
      </c>
    </row>
    <row r="671" spans="21:25" x14ac:dyDescent="0.2">
      <c r="U671" s="213" t="str">
        <f t="shared" si="14"/>
        <v>1w</v>
      </c>
      <c r="V671" s="201">
        <f>_xll.qlCalendarAdvance(Calendar,V670,U671,"f",FALSE)</f>
        <v>43475</v>
      </c>
      <c r="W671" s="225">
        <f>_xll.qlCalendarAdvance(Calendar,V671,NDays&amp;"D")</f>
        <v>43479</v>
      </c>
      <c r="X671" s="200">
        <v>1.634733309300207E-2</v>
      </c>
      <c r="Y671" s="209">
        <v>1.5290773925995538E-2</v>
      </c>
    </row>
    <row r="672" spans="21:25" x14ac:dyDescent="0.2">
      <c r="U672" s="213" t="str">
        <f t="shared" si="14"/>
        <v>1w</v>
      </c>
      <c r="V672" s="201">
        <f>_xll.qlCalendarAdvance(Calendar,V671,U672,"f",FALSE)</f>
        <v>43482</v>
      </c>
      <c r="W672" s="225">
        <f>_xll.qlCalendarAdvance(Calendar,V672,NDays&amp;"D")</f>
        <v>43486</v>
      </c>
      <c r="X672" s="200">
        <v>1.642304051871343E-2</v>
      </c>
      <c r="Y672" s="209">
        <v>1.5370142041515322E-2</v>
      </c>
    </row>
    <row r="673" spans="21:25" x14ac:dyDescent="0.2">
      <c r="U673" s="213" t="str">
        <f t="shared" si="14"/>
        <v>1w</v>
      </c>
      <c r="V673" s="201">
        <f>_xll.qlCalendarAdvance(Calendar,V672,U673,"f",FALSE)</f>
        <v>43489</v>
      </c>
      <c r="W673" s="225">
        <f>_xll.qlCalendarAdvance(Calendar,V673,NDays&amp;"D")</f>
        <v>43493</v>
      </c>
      <c r="X673" s="200">
        <v>1.6498477515028989E-2</v>
      </c>
      <c r="Y673" s="209">
        <v>1.5449160862042177E-2</v>
      </c>
    </row>
    <row r="674" spans="21:25" x14ac:dyDescent="0.2">
      <c r="U674" s="213" t="str">
        <f t="shared" si="14"/>
        <v>1w</v>
      </c>
      <c r="V674" s="201">
        <f>_xll.qlCalendarAdvance(Calendar,V673,U674,"f",FALSE)</f>
        <v>43496</v>
      </c>
      <c r="W674" s="225">
        <f>_xll.qlCalendarAdvance(Calendar,V674,NDays&amp;"D")</f>
        <v>43500</v>
      </c>
      <c r="X674" s="200">
        <v>1.6573655323996041E-2</v>
      </c>
      <c r="Y674" s="209">
        <v>1.5527830387336294E-2</v>
      </c>
    </row>
    <row r="675" spans="21:25" x14ac:dyDescent="0.2">
      <c r="U675" s="213" t="str">
        <f t="shared" si="14"/>
        <v>1w</v>
      </c>
      <c r="V675" s="201">
        <f>_xll.qlCalendarAdvance(Calendar,V674,U675,"f",FALSE)</f>
        <v>43503</v>
      </c>
      <c r="W675" s="225">
        <f>_xll.qlCalendarAdvance(Calendar,V675,NDays&amp;"D")</f>
        <v>43507</v>
      </c>
      <c r="X675" s="200">
        <v>1.6648585189465274E-2</v>
      </c>
      <c r="Y675" s="209">
        <v>1.5606150617237802E-2</v>
      </c>
    </row>
    <row r="676" spans="21:25" x14ac:dyDescent="0.2">
      <c r="U676" s="213" t="str">
        <f t="shared" si="14"/>
        <v>1w</v>
      </c>
      <c r="V676" s="201">
        <f>_xll.qlCalendarAdvance(Calendar,V675,U676,"f",FALSE)</f>
        <v>43510</v>
      </c>
      <c r="W676" s="225">
        <f>_xll.qlCalendarAdvance(Calendar,V676,NDays&amp;"D")</f>
        <v>43514</v>
      </c>
      <c r="X676" s="200">
        <v>1.6723278357077147E-2</v>
      </c>
      <c r="Y676" s="209">
        <v>1.5684121551426955E-2</v>
      </c>
    </row>
    <row r="677" spans="21:25" x14ac:dyDescent="0.2">
      <c r="U677" s="213" t="str">
        <f t="shared" si="14"/>
        <v>1w</v>
      </c>
      <c r="V677" s="201">
        <f>_xll.qlCalendarAdvance(Calendar,V676,U677,"f",FALSE)</f>
        <v>43517</v>
      </c>
      <c r="W677" s="225">
        <f>_xll.qlCalendarAdvance(Calendar,V677,NDays&amp;"D")</f>
        <v>43521</v>
      </c>
      <c r="X677" s="200">
        <v>1.6797746074246969E-2</v>
      </c>
      <c r="Y677" s="209">
        <v>1.5761743189663946E-2</v>
      </c>
    </row>
    <row r="678" spans="21:25" x14ac:dyDescent="0.2">
      <c r="U678" s="213" t="str">
        <f t="shared" si="14"/>
        <v>1w</v>
      </c>
      <c r="V678" s="201">
        <f>_xll.qlCalendarAdvance(Calendar,V677,U678,"f",FALSE)</f>
        <v>43524</v>
      </c>
      <c r="W678" s="225">
        <f>_xll.qlCalendarAdvance(Calendar,V678,NDays&amp;"D")</f>
        <v>43528</v>
      </c>
      <c r="X678" s="200">
        <v>1.6883253355712981E-2</v>
      </c>
      <c r="Y678" s="209">
        <v>1.5839015531868839E-2</v>
      </c>
    </row>
    <row r="679" spans="21:25" x14ac:dyDescent="0.2">
      <c r="U679" s="213" t="str">
        <f t="shared" si="14"/>
        <v>1w</v>
      </c>
      <c r="V679" s="201">
        <f>_xll.qlCalendarAdvance(Calendar,V678,U679,"f",FALSE)</f>
        <v>43531</v>
      </c>
      <c r="W679" s="225">
        <f>_xll.qlCalendarAdvance(Calendar,V679,NDays&amp;"D")</f>
        <v>43535</v>
      </c>
      <c r="X679" s="200">
        <v>1.6957293211158742E-2</v>
      </c>
      <c r="Y679" s="209">
        <v>1.5915938577641953E-2</v>
      </c>
    </row>
    <row r="680" spans="21:25" x14ac:dyDescent="0.2">
      <c r="U680" s="213" t="str">
        <f t="shared" si="14"/>
        <v>1w</v>
      </c>
      <c r="V680" s="201">
        <f>_xll.qlCalendarAdvance(Calendar,V679,U680,"f",FALSE)</f>
        <v>43538</v>
      </c>
      <c r="W680" s="225">
        <f>_xll.qlCalendarAdvance(Calendar,V680,NDays&amp;"D")</f>
        <v>43542</v>
      </c>
      <c r="X680" s="200">
        <v>1.7031142849588884E-2</v>
      </c>
      <c r="Y680" s="209">
        <v>1.5992512326823416E-2</v>
      </c>
    </row>
    <row r="681" spans="21:25" x14ac:dyDescent="0.2">
      <c r="U681" s="213" t="str">
        <f t="shared" si="14"/>
        <v>1w</v>
      </c>
      <c r="V681" s="201">
        <f>_xll.qlCalendarAdvance(Calendar,V680,U681,"f",FALSE)</f>
        <v>43545</v>
      </c>
      <c r="W681" s="225">
        <f>_xll.qlCalendarAdvance(Calendar,V681,NDays&amp;"D")</f>
        <v>43549</v>
      </c>
      <c r="X681" s="200">
        <v>1.7104813403880204E-2</v>
      </c>
      <c r="Y681" s="209">
        <v>1.6068736779253356E-2</v>
      </c>
    </row>
    <row r="682" spans="21:25" x14ac:dyDescent="0.2">
      <c r="U682" s="213" t="str">
        <f t="shared" si="14"/>
        <v>1w</v>
      </c>
      <c r="V682" s="201">
        <f>_xll.qlCalendarAdvance(Calendar,V681,U682,"f",FALSE)</f>
        <v>43552</v>
      </c>
      <c r="W682" s="225">
        <f>_xll.qlCalendarAdvance(Calendar,V682,NDays&amp;"D")</f>
        <v>43556</v>
      </c>
      <c r="X682" s="200">
        <v>1.7172706328728929E-2</v>
      </c>
      <c r="Y682" s="209">
        <v>1.6144611934691966E-2</v>
      </c>
    </row>
    <row r="683" spans="21:25" x14ac:dyDescent="0.2">
      <c r="U683" s="213" t="str">
        <f t="shared" si="14"/>
        <v>1w</v>
      </c>
      <c r="V683" s="201">
        <f>_xll.qlCalendarAdvance(Calendar,V682,U683,"f",FALSE)</f>
        <v>43559</v>
      </c>
      <c r="W683" s="225">
        <f>_xll.qlCalendarAdvance(Calendar,V683,NDays&amp;"D")</f>
        <v>43563</v>
      </c>
      <c r="X683" s="200">
        <v>1.7246054865614254E-2</v>
      </c>
      <c r="Y683" s="209">
        <v>1.6220137792739564E-2</v>
      </c>
    </row>
    <row r="684" spans="21:25" x14ac:dyDescent="0.2">
      <c r="U684" s="213" t="str">
        <f t="shared" si="14"/>
        <v>1w</v>
      </c>
      <c r="V684" s="201">
        <f>_xll.qlCalendarAdvance(Calendar,V683,U684,"f",FALSE)</f>
        <v>43566</v>
      </c>
      <c r="W684" s="225">
        <f>_xll.qlCalendarAdvance(Calendar,V684,NDays&amp;"D")</f>
        <v>43570</v>
      </c>
      <c r="X684" s="200">
        <v>1.7319257232616823E-2</v>
      </c>
      <c r="Y684" s="209">
        <v>1.6295314353476087E-2</v>
      </c>
    </row>
    <row r="685" spans="21:25" x14ac:dyDescent="0.2">
      <c r="U685" s="213" t="str">
        <f t="shared" si="14"/>
        <v>1w</v>
      </c>
      <c r="V685" s="201">
        <f>_xll.qlCalendarAdvance(Calendar,V684,U685,"f",FALSE)</f>
        <v>43573</v>
      </c>
      <c r="W685" s="225">
        <f>_xll.qlCalendarAdvance(Calendar,V685,NDays&amp;"D")</f>
        <v>43579</v>
      </c>
      <c r="X685" s="200">
        <v>1.7413177806247727E-2</v>
      </c>
      <c r="Y685" s="209">
        <v>1.6391456677737892E-2</v>
      </c>
    </row>
    <row r="686" spans="21:25" x14ac:dyDescent="0.2">
      <c r="U686" s="213" t="str">
        <f t="shared" si="14"/>
        <v>1w</v>
      </c>
      <c r="V686" s="201">
        <f>_xll.qlCalendarAdvance(Calendar,V685,U686,"f",FALSE)</f>
        <v>43580</v>
      </c>
      <c r="W686" s="225">
        <f>_xll.qlCalendarAdvance(Calendar,V686,NDays&amp;"D")</f>
        <v>43584</v>
      </c>
      <c r="X686" s="200">
        <v>1.746526825910379E-2</v>
      </c>
      <c r="Y686" s="209">
        <v>1.6444619581577058E-2</v>
      </c>
    </row>
    <row r="687" spans="21:25" x14ac:dyDescent="0.2">
      <c r="U687" s="213" t="str">
        <f t="shared" si="14"/>
        <v>1w</v>
      </c>
      <c r="V687" s="201">
        <f>_xll.qlCalendarAdvance(Calendar,V686,U687,"f",FALSE)</f>
        <v>43587</v>
      </c>
      <c r="W687" s="225">
        <f>_xll.qlCalendarAdvance(Calendar,V687,NDays&amp;"D")</f>
        <v>43591</v>
      </c>
      <c r="X687" s="200">
        <v>1.7543699618839587E-2</v>
      </c>
      <c r="Y687" s="209">
        <v>1.6518748248541826E-2</v>
      </c>
    </row>
    <row r="688" spans="21:25" x14ac:dyDescent="0.2">
      <c r="U688" s="213" t="str">
        <f t="shared" si="14"/>
        <v>1w</v>
      </c>
      <c r="V688" s="201">
        <f>_xll.qlCalendarAdvance(Calendar,V687,U688,"f",FALSE)</f>
        <v>43594</v>
      </c>
      <c r="W688" s="225">
        <f>_xll.qlCalendarAdvance(Calendar,V688,NDays&amp;"D")</f>
        <v>43598</v>
      </c>
      <c r="X688" s="200">
        <v>1.76164284477037E-2</v>
      </c>
      <c r="Y688" s="209">
        <v>1.6592527617236286E-2</v>
      </c>
    </row>
    <row r="689" spans="21:25" x14ac:dyDescent="0.2">
      <c r="U689" s="213" t="str">
        <f t="shared" si="14"/>
        <v>1w</v>
      </c>
      <c r="V689" s="201">
        <f>_xll.qlCalendarAdvance(Calendar,V688,U689,"f",FALSE)</f>
        <v>43601</v>
      </c>
      <c r="W689" s="225">
        <f>_xll.qlCalendarAdvance(Calendar,V689,NDays&amp;"D")</f>
        <v>43605</v>
      </c>
      <c r="X689" s="200">
        <v>1.7689067316480612E-2</v>
      </c>
      <c r="Y689" s="209">
        <v>1.6665957687260757E-2</v>
      </c>
    </row>
    <row r="690" spans="21:25" x14ac:dyDescent="0.2">
      <c r="U690" s="213" t="str">
        <f t="shared" si="14"/>
        <v>1w</v>
      </c>
      <c r="V690" s="201">
        <f>_xll.qlCalendarAdvance(Calendar,V689,U690,"f",FALSE)</f>
        <v>43608</v>
      </c>
      <c r="W690" s="225">
        <f>_xll.qlCalendarAdvance(Calendar,V690,NDays&amp;"D")</f>
        <v>43612</v>
      </c>
      <c r="X690" s="200">
        <v>1.7761627373194557E-2</v>
      </c>
      <c r="Y690" s="209">
        <v>1.6739038458535305E-2</v>
      </c>
    </row>
    <row r="691" spans="21:25" x14ac:dyDescent="0.2">
      <c r="U691" s="213" t="str">
        <f t="shared" si="14"/>
        <v>1w</v>
      </c>
      <c r="V691" s="201">
        <f>_xll.qlCalendarAdvance(Calendar,V690,U691,"f",FALSE)</f>
        <v>43615</v>
      </c>
      <c r="W691" s="225">
        <f>_xll.qlCalendarAdvance(Calendar,V691,NDays&amp;"D")</f>
        <v>43619</v>
      </c>
      <c r="X691" s="200">
        <v>1.7828522065299723E-2</v>
      </c>
      <c r="Y691" s="209">
        <v>1.6811770919629154E-2</v>
      </c>
    </row>
    <row r="692" spans="21:25" x14ac:dyDescent="0.2">
      <c r="U692" s="213" t="str">
        <f t="shared" si="14"/>
        <v>1w</v>
      </c>
      <c r="V692" s="201">
        <f>_xll.qlCalendarAdvance(Calendar,V691,U692,"f",FALSE)</f>
        <v>43622</v>
      </c>
      <c r="W692" s="225">
        <f>_xll.qlCalendarAdvance(Calendar,V692,NDays&amp;"D")</f>
        <v>43626</v>
      </c>
      <c r="X692" s="200">
        <v>1.7900956547757273E-2</v>
      </c>
      <c r="Y692" s="209">
        <v>1.6884319192698172E-2</v>
      </c>
    </row>
    <row r="693" spans="21:25" x14ac:dyDescent="0.2">
      <c r="U693" s="213" t="str">
        <f t="shared" si="14"/>
        <v>1w</v>
      </c>
      <c r="V693" s="201">
        <f>_xll.qlCalendarAdvance(Calendar,V692,U693,"f",FALSE)</f>
        <v>43629</v>
      </c>
      <c r="W693" s="225">
        <f>_xll.qlCalendarAdvance(Calendar,V693,NDays&amp;"D")</f>
        <v>43633</v>
      </c>
      <c r="X693" s="200">
        <v>1.7973334501417439E-2</v>
      </c>
      <c r="Y693" s="209">
        <v>1.6956808841461779E-2</v>
      </c>
    </row>
    <row r="694" spans="21:25" x14ac:dyDescent="0.2">
      <c r="U694" s="213" t="str">
        <f t="shared" si="14"/>
        <v>1w</v>
      </c>
      <c r="V694" s="201">
        <f>_xll.qlCalendarAdvance(Calendar,V693,U694,"f",FALSE)</f>
        <v>43636</v>
      </c>
      <c r="W694" s="225">
        <f>_xll.qlCalendarAdvance(Calendar,V694,NDays&amp;"D")</f>
        <v>43640</v>
      </c>
      <c r="X694" s="200">
        <v>1.8045655919904559E-2</v>
      </c>
      <c r="Y694" s="209">
        <v>1.702923986584004E-2</v>
      </c>
    </row>
    <row r="695" spans="21:25" x14ac:dyDescent="0.2">
      <c r="U695" s="213" t="str">
        <f t="shared" si="14"/>
        <v>1w</v>
      </c>
      <c r="V695" s="201">
        <f>_xll.qlCalendarAdvance(Calendar,V694,U695,"f",FALSE)</f>
        <v>43643</v>
      </c>
      <c r="W695" s="225">
        <f>_xll.qlCalendarAdvance(Calendar,V695,NDays&amp;"D")</f>
        <v>43647</v>
      </c>
      <c r="X695" s="200">
        <v>1.8129112804158295E-2</v>
      </c>
      <c r="Y695" s="209">
        <v>1.7101612265753019E-2</v>
      </c>
    </row>
    <row r="696" spans="21:25" x14ac:dyDescent="0.2">
      <c r="U696" s="213" t="str">
        <f t="shared" si="14"/>
        <v>1w</v>
      </c>
      <c r="V696" s="201">
        <f>_xll.qlCalendarAdvance(Calendar,V695,U696,"f",FALSE)</f>
        <v>43650</v>
      </c>
      <c r="W696" s="225">
        <f>_xll.qlCalendarAdvance(Calendar,V696,NDays&amp;"D")</f>
        <v>43654</v>
      </c>
      <c r="X696" s="200">
        <v>1.8195724644367198E-2</v>
      </c>
      <c r="Y696" s="209">
        <v>1.7173926041280652E-2</v>
      </c>
    </row>
    <row r="697" spans="21:25" x14ac:dyDescent="0.2">
      <c r="U697" s="213" t="str">
        <f t="shared" si="14"/>
        <v>1w</v>
      </c>
      <c r="V697" s="201">
        <f>_xll.qlCalendarAdvance(Calendar,V696,U697,"f",FALSE)</f>
        <v>43657</v>
      </c>
      <c r="W697" s="225">
        <f>_xll.qlCalendarAdvance(Calendar,V697,NDays&amp;"D")</f>
        <v>43661</v>
      </c>
      <c r="X697" s="200">
        <v>1.8267876015636963E-2</v>
      </c>
      <c r="Y697" s="209">
        <v>1.7246181192263066E-2</v>
      </c>
    </row>
    <row r="698" spans="21:25" x14ac:dyDescent="0.2">
      <c r="U698" s="213" t="str">
        <f t="shared" si="14"/>
        <v>1w</v>
      </c>
      <c r="V698" s="201">
        <f>_xll.qlCalendarAdvance(Calendar,V697,U698,"f",FALSE)</f>
        <v>43664</v>
      </c>
      <c r="W698" s="225">
        <f>_xll.qlCalendarAdvance(Calendar,V698,NDays&amp;"D")</f>
        <v>43668</v>
      </c>
      <c r="X698" s="200">
        <v>1.8339970837283916E-2</v>
      </c>
      <c r="Y698" s="209">
        <v>1.7318377718700262E-2</v>
      </c>
    </row>
    <row r="699" spans="21:25" x14ac:dyDescent="0.2">
      <c r="U699" s="213" t="str">
        <f t="shared" si="14"/>
        <v>1w</v>
      </c>
      <c r="V699" s="201">
        <f>_xll.qlCalendarAdvance(Calendar,V698,U699,"f",FALSE)</f>
        <v>43671</v>
      </c>
      <c r="W699" s="225">
        <f>_xll.qlCalendarAdvance(Calendar,V699,NDays&amp;"D")</f>
        <v>43675</v>
      </c>
      <c r="X699" s="200">
        <v>1.8412009102922299E-2</v>
      </c>
      <c r="Y699" s="209">
        <v>1.739051562059224E-2</v>
      </c>
    </row>
    <row r="700" spans="21:25" x14ac:dyDescent="0.2">
      <c r="U700" s="213" t="str">
        <f t="shared" si="14"/>
        <v>1w</v>
      </c>
      <c r="V700" s="201">
        <f>_xll.qlCalendarAdvance(Calendar,V699,U700,"f",FALSE)</f>
        <v>43678</v>
      </c>
      <c r="W700" s="225">
        <f>_xll.qlCalendarAdvance(Calendar,V700,NDays&amp;"D")</f>
        <v>43682</v>
      </c>
      <c r="X700" s="200">
        <v>1.8483990806170691E-2</v>
      </c>
      <c r="Y700" s="209">
        <v>1.7462594897859063E-2</v>
      </c>
    </row>
    <row r="701" spans="21:25" x14ac:dyDescent="0.2">
      <c r="U701" s="213" t="str">
        <f t="shared" si="14"/>
        <v>1w</v>
      </c>
      <c r="V701" s="201">
        <f>_xll.qlCalendarAdvance(Calendar,V700,U701,"f",FALSE)</f>
        <v>43685</v>
      </c>
      <c r="W701" s="225">
        <f>_xll.qlCalendarAdvance(Calendar,V701,NDays&amp;"D")</f>
        <v>43689</v>
      </c>
      <c r="X701" s="200">
        <v>1.8555915940652892E-2</v>
      </c>
      <c r="Y701" s="209">
        <v>1.7534615550420796E-2</v>
      </c>
    </row>
    <row r="702" spans="21:25" x14ac:dyDescent="0.2">
      <c r="U702" s="213" t="str">
        <f t="shared" si="14"/>
        <v>1w</v>
      </c>
      <c r="V702" s="201">
        <f>_xll.qlCalendarAdvance(Calendar,V701,U702,"f",FALSE)</f>
        <v>43692</v>
      </c>
      <c r="W702" s="225">
        <f>_xll.qlCalendarAdvance(Calendar,V702,NDays&amp;"D")</f>
        <v>43696</v>
      </c>
      <c r="X702" s="200">
        <v>1.8627784499997909E-2</v>
      </c>
      <c r="Y702" s="209">
        <v>1.760657757843731E-2</v>
      </c>
    </row>
    <row r="703" spans="21:25" x14ac:dyDescent="0.2">
      <c r="U703" s="213" t="str">
        <f t="shared" si="14"/>
        <v>1w</v>
      </c>
      <c r="V703" s="201">
        <f>_xll.qlCalendarAdvance(Calendar,V702,U703,"f",FALSE)</f>
        <v>43699</v>
      </c>
      <c r="W703" s="225">
        <f>_xll.qlCalendarAdvance(Calendar,V703,NDays&amp;"D")</f>
        <v>43703</v>
      </c>
      <c r="X703" s="200">
        <v>1.8699596477839097E-2</v>
      </c>
      <c r="Y703" s="209">
        <v>1.7678480981668798E-2</v>
      </c>
    </row>
    <row r="704" spans="21:25" x14ac:dyDescent="0.2">
      <c r="U704" s="213" t="str">
        <f t="shared" si="14"/>
        <v>1w</v>
      </c>
      <c r="V704" s="201">
        <f>_xll.qlCalendarAdvance(Calendar,V703,U704,"f",FALSE)</f>
        <v>43706</v>
      </c>
      <c r="W704" s="225">
        <f>_xll.qlCalendarAdvance(Calendar,V704,NDays&amp;"D")</f>
        <v>43710</v>
      </c>
      <c r="X704" s="200">
        <v>1.8760166831213471E-2</v>
      </c>
      <c r="Y704" s="209">
        <v>1.775032576011526E-2</v>
      </c>
    </row>
    <row r="705" spans="21:25" x14ac:dyDescent="0.2">
      <c r="U705" s="213" t="str">
        <f t="shared" si="14"/>
        <v>1w</v>
      </c>
      <c r="V705" s="201">
        <f>_xll.qlCalendarAdvance(Calendar,V704,U705,"f",FALSE)</f>
        <v>43713</v>
      </c>
      <c r="W705" s="225">
        <f>_xll.qlCalendarAdvance(Calendar,V705,NDays&amp;"D")</f>
        <v>43717</v>
      </c>
      <c r="X705" s="200">
        <v>1.8831866261523767E-2</v>
      </c>
      <c r="Y705" s="209">
        <v>1.7822111913856631E-2</v>
      </c>
    </row>
    <row r="706" spans="21:25" x14ac:dyDescent="0.2">
      <c r="U706" s="213" t="str">
        <f t="shared" si="14"/>
        <v>1w</v>
      </c>
      <c r="V706" s="201">
        <f>_xll.qlCalendarAdvance(Calendar,V705,U706,"f",FALSE)</f>
        <v>43720</v>
      </c>
      <c r="W706" s="225">
        <f>_xll.qlCalendarAdvance(Calendar,V706,NDays&amp;"D")</f>
        <v>43724</v>
      </c>
      <c r="X706" s="200">
        <v>1.8903509069790748E-2</v>
      </c>
      <c r="Y706" s="209">
        <v>1.7893839442733039E-2</v>
      </c>
    </row>
    <row r="707" spans="21:25" x14ac:dyDescent="0.2">
      <c r="U707" s="213" t="str">
        <f t="shared" si="14"/>
        <v>1w</v>
      </c>
      <c r="V707" s="201">
        <f>_xll.qlCalendarAdvance(Calendar,V706,U707,"f",FALSE)</f>
        <v>43727</v>
      </c>
      <c r="W707" s="225">
        <f>_xll.qlCalendarAdvance(Calendar,V707,NDays&amp;"D")</f>
        <v>43731</v>
      </c>
      <c r="X707" s="200">
        <v>1.8975095249735476E-2</v>
      </c>
      <c r="Y707" s="209">
        <v>1.7965508346744485E-2</v>
      </c>
    </row>
    <row r="708" spans="21:25" x14ac:dyDescent="0.2">
      <c r="U708" s="213" t="str">
        <f t="shared" si="14"/>
        <v>1w</v>
      </c>
      <c r="V708" s="201">
        <f>_xll.qlCalendarAdvance(Calendar,V707,U708,"f",FALSE)</f>
        <v>43734</v>
      </c>
      <c r="W708" s="225">
        <f>_xll.qlCalendarAdvance(Calendar,V708,NDays&amp;"D")</f>
        <v>43738</v>
      </c>
      <c r="X708" s="200">
        <v>1.9052216026551751E-2</v>
      </c>
      <c r="Y708" s="209">
        <v>1.8037118625890969E-2</v>
      </c>
    </row>
    <row r="709" spans="21:25" x14ac:dyDescent="0.2">
      <c r="U709" s="213" t="str">
        <f t="shared" si="14"/>
        <v>1w</v>
      </c>
      <c r="V709" s="201">
        <f>_xll.qlCalendarAdvance(Calendar,V708,U709,"f",FALSE)</f>
        <v>43741</v>
      </c>
      <c r="W709" s="225">
        <f>_xll.qlCalendarAdvance(Calendar,V709,NDays&amp;"D")</f>
        <v>43745</v>
      </c>
      <c r="X709" s="200">
        <v>1.9123688655622417E-2</v>
      </c>
      <c r="Y709" s="209">
        <v>1.810867028017249E-2</v>
      </c>
    </row>
    <row r="710" spans="21:25" x14ac:dyDescent="0.2">
      <c r="U710" s="213" t="str">
        <f t="shared" si="14"/>
        <v>1w</v>
      </c>
      <c r="V710" s="201">
        <f>_xll.qlCalendarAdvance(Calendar,V709,U710,"f",FALSE)</f>
        <v>43748</v>
      </c>
      <c r="W710" s="225">
        <f>_xll.qlCalendarAdvance(Calendar,V710,NDays&amp;"D")</f>
        <v>43752</v>
      </c>
      <c r="X710" s="200">
        <v>1.9195104648162424E-2</v>
      </c>
      <c r="Y710" s="209">
        <v>1.8180163309429176E-2</v>
      </c>
    </row>
    <row r="711" spans="21:25" x14ac:dyDescent="0.2">
      <c r="U711" s="213" t="str">
        <f t="shared" si="14"/>
        <v>1w</v>
      </c>
      <c r="V711" s="201">
        <f>_xll.qlCalendarAdvance(Calendar,V710,U711,"f",FALSE)</f>
        <v>43755</v>
      </c>
      <c r="W711" s="225">
        <f>_xll.qlCalendarAdvance(Calendar,V711,NDays&amp;"D")</f>
        <v>43759</v>
      </c>
      <c r="X711" s="200">
        <v>1.926646399787867E-2</v>
      </c>
      <c r="Y711" s="209">
        <v>1.8251597713740964E-2</v>
      </c>
    </row>
    <row r="712" spans="21:25" x14ac:dyDescent="0.2">
      <c r="U712" s="213" t="str">
        <f t="shared" si="14"/>
        <v>1w</v>
      </c>
      <c r="V712" s="201">
        <f>_xll.qlCalendarAdvance(Calendar,V711,U712,"f",FALSE)</f>
        <v>43762</v>
      </c>
      <c r="W712" s="225">
        <f>_xll.qlCalendarAdvance(Calendar,V712,NDays&amp;"D")</f>
        <v>43766</v>
      </c>
      <c r="X712" s="200">
        <v>1.9337766698481969E-2</v>
      </c>
      <c r="Y712" s="209">
        <v>1.832297349294798E-2</v>
      </c>
    </row>
    <row r="713" spans="21:25" x14ac:dyDescent="0.2">
      <c r="U713" s="213" t="str">
        <f t="shared" si="14"/>
        <v>1w</v>
      </c>
      <c r="V713" s="201">
        <f>_xll.qlCalendarAdvance(Calendar,V712,U713,"f",FALSE)</f>
        <v>43769</v>
      </c>
      <c r="W713" s="225">
        <f>_xll.qlCalendarAdvance(Calendar,V713,NDays&amp;"D")</f>
        <v>43773</v>
      </c>
      <c r="X713" s="200">
        <v>1.9403422783615381E-2</v>
      </c>
      <c r="Y713" s="209">
        <v>1.8394290647130163E-2</v>
      </c>
    </row>
    <row r="714" spans="21:25" x14ac:dyDescent="0.2">
      <c r="U714" s="213" t="str">
        <f t="shared" si="14"/>
        <v>1w</v>
      </c>
      <c r="V714" s="201">
        <f>_xll.qlCalendarAdvance(Calendar,V713,U714,"f",FALSE)</f>
        <v>43776</v>
      </c>
      <c r="W714" s="225">
        <f>_xll.qlCalendarAdvance(Calendar,V714,NDays&amp;"D")</f>
        <v>43780</v>
      </c>
      <c r="X714" s="200">
        <v>1.9474612389893897E-2</v>
      </c>
      <c r="Y714" s="209">
        <v>1.846554917628751E-2</v>
      </c>
    </row>
    <row r="715" spans="21:25" x14ac:dyDescent="0.2">
      <c r="U715" s="213" t="str">
        <f t="shared" si="14"/>
        <v>1w</v>
      </c>
      <c r="V715" s="201">
        <f>_xll.qlCalendarAdvance(Calendar,V714,U715,"f",FALSE)</f>
        <v>43783</v>
      </c>
      <c r="W715" s="225">
        <f>_xll.qlCalendarAdvance(Calendar,V715,NDays&amp;"D")</f>
        <v>43787</v>
      </c>
      <c r="X715" s="200">
        <v>1.95457453177913E-2</v>
      </c>
      <c r="Y715" s="209">
        <v>1.8536749080260151E-2</v>
      </c>
    </row>
    <row r="716" spans="21:25" x14ac:dyDescent="0.2">
      <c r="U716" s="213" t="str">
        <f t="shared" si="14"/>
        <v>1w</v>
      </c>
      <c r="V716" s="201">
        <f>_xll.qlCalendarAdvance(Calendar,V715,U716,"f",FALSE)</f>
        <v>43790</v>
      </c>
      <c r="W716" s="225">
        <f>_xll.qlCalendarAdvance(Calendar,V716,NDays&amp;"D")</f>
        <v>43794</v>
      </c>
      <c r="X716" s="200">
        <v>1.9616821561070828E-2</v>
      </c>
      <c r="Y716" s="209">
        <v>1.8607890359048085E-2</v>
      </c>
    </row>
    <row r="717" spans="21:25" x14ac:dyDescent="0.2">
      <c r="U717" s="213" t="str">
        <f t="shared" si="14"/>
        <v>1w</v>
      </c>
      <c r="V717" s="201">
        <f>_xll.qlCalendarAdvance(Calendar,V716,U717,"f",FALSE)</f>
        <v>43797</v>
      </c>
      <c r="W717" s="225">
        <f>_xll.qlCalendarAdvance(Calendar,V717,NDays&amp;"D")</f>
        <v>43801</v>
      </c>
      <c r="X717" s="200">
        <v>1.9693430245037856E-2</v>
      </c>
      <c r="Y717" s="209">
        <v>1.8678973012651312E-2</v>
      </c>
    </row>
    <row r="718" spans="21:25" x14ac:dyDescent="0.2">
      <c r="U718" s="213" t="str">
        <f t="shared" si="14"/>
        <v>1w</v>
      </c>
      <c r="V718" s="201">
        <f>_xll.qlCalendarAdvance(Calendar,V717,U718,"f",FALSE)</f>
        <v>43804</v>
      </c>
      <c r="W718" s="225">
        <f>_xll.qlCalendarAdvance(Calendar,V718,NDays&amp;"D")</f>
        <v>43808</v>
      </c>
      <c r="X718" s="200">
        <v>1.9764392122103024E-2</v>
      </c>
      <c r="Y718" s="209">
        <v>1.8749997040989896E-2</v>
      </c>
    </row>
    <row r="719" spans="21:25" x14ac:dyDescent="0.2">
      <c r="U719" s="213" t="str">
        <f t="shared" si="14"/>
        <v>1w</v>
      </c>
      <c r="V719" s="201">
        <f>_xll.qlCalendarAdvance(Calendar,V718,U719,"f",FALSE)</f>
        <v>43811</v>
      </c>
      <c r="W719" s="225">
        <f>_xll.qlCalendarAdvance(Calendar,V719,NDays&amp;"D")</f>
        <v>43815</v>
      </c>
      <c r="X719" s="200">
        <v>1.9835290792809573E-2</v>
      </c>
      <c r="Y719" s="209">
        <v>1.8820962444063838E-2</v>
      </c>
    </row>
    <row r="720" spans="21:25" x14ac:dyDescent="0.2">
      <c r="U720" s="213" t="str">
        <f t="shared" si="14"/>
        <v>1w</v>
      </c>
      <c r="V720" s="201">
        <f>_xll.qlCalendarAdvance(Calendar,V719,U720,"f",FALSE)</f>
        <v>43818</v>
      </c>
      <c r="W720" s="225">
        <f>_xll.qlCalendarAdvance(Calendar,V720,NDays&amp;"D")</f>
        <v>43822</v>
      </c>
      <c r="X720" s="200">
        <v>1.9906118659082334E-2</v>
      </c>
      <c r="Y720" s="209">
        <v>1.8891869221873137E-2</v>
      </c>
    </row>
    <row r="721" spans="21:25" x14ac:dyDescent="0.2">
      <c r="U721" s="213" t="str">
        <f t="shared" si="14"/>
        <v>1w</v>
      </c>
      <c r="V721" s="201">
        <f>_xll.qlCalendarAdvance(Calendar,V720,U721,"f",FALSE)</f>
        <v>43826</v>
      </c>
      <c r="W721" s="225">
        <f>_xll.qlCalendarAdvance(Calendar,V721,NDays&amp;"D")</f>
        <v>43830</v>
      </c>
      <c r="X721" s="200">
        <v>1.9981387870995543E-2</v>
      </c>
      <c r="Y721" s="209">
        <v>1.8978391567161523E-2</v>
      </c>
    </row>
    <row r="722" spans="21:25" x14ac:dyDescent="0.2">
      <c r="U722" s="213" t="str">
        <f t="shared" si="14"/>
        <v>1w</v>
      </c>
      <c r="V722" s="201">
        <f>_xll.qlCalendarAdvance(Calendar,V721,U722,"f",FALSE)</f>
        <v>43833</v>
      </c>
      <c r="W722" s="225">
        <f>_xll.qlCalendarAdvance(Calendar,V722,NDays&amp;"D")</f>
        <v>43837</v>
      </c>
      <c r="X722" s="200">
        <v>2.0052042961377022E-2</v>
      </c>
      <c r="Y722" s="209">
        <v>1.9043614905251971E-2</v>
      </c>
    </row>
    <row r="723" spans="21:25" x14ac:dyDescent="0.2">
      <c r="U723" s="213" t="str">
        <f t="shared" si="14"/>
        <v>1w</v>
      </c>
      <c r="V723" s="201">
        <f>_xll.qlCalendarAdvance(Calendar,V722,U723,"f",FALSE)</f>
        <v>43840</v>
      </c>
      <c r="W723" s="225">
        <f>_xll.qlCalendarAdvance(Calendar,V723,NDays&amp;"D")</f>
        <v>43844</v>
      </c>
      <c r="X723" s="200">
        <v>2.0122604223800349E-2</v>
      </c>
      <c r="Y723" s="209">
        <v>1.9114337431886952E-2</v>
      </c>
    </row>
    <row r="724" spans="21:25" x14ac:dyDescent="0.2">
      <c r="U724" s="213" t="str">
        <f t="shared" si="14"/>
        <v>1w</v>
      </c>
      <c r="V724" s="201">
        <f>_xll.qlCalendarAdvance(Calendar,V723,U724,"f",FALSE)</f>
        <v>43847</v>
      </c>
      <c r="W724" s="225">
        <f>_xll.qlCalendarAdvance(Calendar,V724,NDays&amp;"D")</f>
        <v>43851</v>
      </c>
      <c r="X724" s="200">
        <v>2.0193064010921226E-2</v>
      </c>
      <c r="Y724" s="209">
        <v>1.9185001333017482E-2</v>
      </c>
    </row>
    <row r="725" spans="21:25" x14ac:dyDescent="0.2">
      <c r="U725" s="213" t="str">
        <f t="shared" ref="U725:U788" si="15">U724</f>
        <v>1w</v>
      </c>
      <c r="V725" s="201">
        <f>_xll.qlCalendarAdvance(Calendar,V724,U725,"f",FALSE)</f>
        <v>43854</v>
      </c>
      <c r="W725" s="225">
        <f>_xll.qlCalendarAdvance(Calendar,V725,NDays&amp;"D")</f>
        <v>43858</v>
      </c>
      <c r="X725" s="200">
        <v>2.0263414674334235E-2</v>
      </c>
      <c r="Y725" s="209">
        <v>1.9255606608723497E-2</v>
      </c>
    </row>
    <row r="726" spans="21:25" x14ac:dyDescent="0.2">
      <c r="U726" s="213" t="str">
        <f t="shared" si="15"/>
        <v>1w</v>
      </c>
      <c r="V726" s="201">
        <f>_xll.qlCalendarAdvance(Calendar,V725,U726,"f",FALSE)</f>
        <v>43861</v>
      </c>
      <c r="W726" s="225">
        <f>_xll.qlCalendarAdvance(Calendar,V726,NDays&amp;"D")</f>
        <v>43865</v>
      </c>
      <c r="X726" s="200">
        <v>2.0333648564574133E-2</v>
      </c>
      <c r="Y726" s="209">
        <v>1.9326153258925061E-2</v>
      </c>
    </row>
    <row r="727" spans="21:25" x14ac:dyDescent="0.2">
      <c r="U727" s="213" t="str">
        <f t="shared" si="15"/>
        <v>1w</v>
      </c>
      <c r="V727" s="201">
        <f>_xll.qlCalendarAdvance(Calendar,V726,U727,"f",FALSE)</f>
        <v>43868</v>
      </c>
      <c r="W727" s="225">
        <f>_xll.qlCalendarAdvance(Calendar,V727,NDays&amp;"D")</f>
        <v>43872</v>
      </c>
      <c r="X727" s="200">
        <v>2.0403758031122023E-2</v>
      </c>
      <c r="Y727" s="209">
        <v>1.9396641283542237E-2</v>
      </c>
    </row>
    <row r="728" spans="21:25" x14ac:dyDescent="0.2">
      <c r="U728" s="213" t="str">
        <f t="shared" si="15"/>
        <v>1w</v>
      </c>
      <c r="V728" s="201">
        <f>_xll.qlCalendarAdvance(Calendar,V727,U728,"f",FALSE)</f>
        <v>43875</v>
      </c>
      <c r="W728" s="225">
        <f>_xll.qlCalendarAdvance(Calendar,V728,NDays&amp;"D")</f>
        <v>43879</v>
      </c>
      <c r="X728" s="200">
        <v>2.0473735422409732E-2</v>
      </c>
      <c r="Y728" s="209">
        <v>1.9467070682575027E-2</v>
      </c>
    </row>
    <row r="729" spans="21:25" x14ac:dyDescent="0.2">
      <c r="U729" s="213" t="str">
        <f t="shared" si="15"/>
        <v>1w</v>
      </c>
      <c r="V729" s="201">
        <f>_xll.qlCalendarAdvance(Calendar,V728,U729,"f",FALSE)</f>
        <v>43882</v>
      </c>
      <c r="W729" s="225">
        <f>_xll.qlCalendarAdvance(Calendar,V729,NDays&amp;"D")</f>
        <v>43886</v>
      </c>
      <c r="X729" s="200">
        <v>2.0543573085824215E-2</v>
      </c>
      <c r="Y729" s="209">
        <v>1.9537441455943494E-2</v>
      </c>
    </row>
    <row r="730" spans="21:25" x14ac:dyDescent="0.2">
      <c r="U730" s="213" t="str">
        <f t="shared" si="15"/>
        <v>1w</v>
      </c>
      <c r="V730" s="201">
        <f>_xll.qlCalendarAdvance(Calendar,V729,U730,"f",FALSE)</f>
        <v>43889</v>
      </c>
      <c r="W730" s="225">
        <f>_xll.qlCalendarAdvance(Calendar,V730,NDays&amp;"D")</f>
        <v>43893</v>
      </c>
      <c r="X730" s="200">
        <v>2.062428533770632E-2</v>
      </c>
      <c r="Y730" s="209">
        <v>1.9607753603727573E-2</v>
      </c>
    </row>
    <row r="731" spans="21:25" x14ac:dyDescent="0.2">
      <c r="U731" s="213" t="str">
        <f t="shared" si="15"/>
        <v>1w</v>
      </c>
      <c r="V731" s="201">
        <f>_xll.qlCalendarAdvance(Calendar,V730,U731,"f",FALSE)</f>
        <v>43896</v>
      </c>
      <c r="W731" s="225">
        <f>_xll.qlCalendarAdvance(Calendar,V731,NDays&amp;"D")</f>
        <v>43900</v>
      </c>
      <c r="X731" s="200">
        <v>2.0693798663278543E-2</v>
      </c>
      <c r="Y731" s="209">
        <v>1.9678007125767394E-2</v>
      </c>
    </row>
    <row r="732" spans="21:25" x14ac:dyDescent="0.2">
      <c r="U732" s="213" t="str">
        <f t="shared" si="15"/>
        <v>1w</v>
      </c>
      <c r="V732" s="201">
        <f>_xll.qlCalendarAdvance(Calendar,V731,U732,"f",FALSE)</f>
        <v>43903</v>
      </c>
      <c r="W732" s="225">
        <f>_xll.qlCalendarAdvance(Calendar,V732,NDays&amp;"D")</f>
        <v>43907</v>
      </c>
      <c r="X732" s="200">
        <v>2.0763148293500448E-2</v>
      </c>
      <c r="Y732" s="209">
        <v>1.9748202022142891E-2</v>
      </c>
    </row>
    <row r="733" spans="21:25" x14ac:dyDescent="0.2">
      <c r="U733" s="213" t="str">
        <f t="shared" si="15"/>
        <v>1w</v>
      </c>
      <c r="V733" s="201">
        <f>_xll.qlCalendarAdvance(Calendar,V732,U733,"f",FALSE)</f>
        <v>43910</v>
      </c>
      <c r="W733" s="225">
        <f>_xll.qlCalendarAdvance(Calendar,V733,NDays&amp;"D")</f>
        <v>43914</v>
      </c>
      <c r="X733" s="200">
        <v>2.0832326653480015E-2</v>
      </c>
      <c r="Y733" s="209">
        <v>1.9818338292774129E-2</v>
      </c>
    </row>
    <row r="734" spans="21:25" x14ac:dyDescent="0.2">
      <c r="U734" s="213" t="str">
        <f t="shared" si="15"/>
        <v>1w</v>
      </c>
      <c r="V734" s="201">
        <f>_xll.qlCalendarAdvance(Calendar,V733,U734,"f",FALSE)</f>
        <v>43917</v>
      </c>
      <c r="W734" s="225">
        <f>_xll.qlCalendarAdvance(Calendar,V734,NDays&amp;"D")</f>
        <v>43921</v>
      </c>
      <c r="X734" s="200">
        <v>2.089586241925551E-2</v>
      </c>
      <c r="Y734" s="209">
        <v>1.9888415937501236E-2</v>
      </c>
    </row>
    <row r="735" spans="21:25" x14ac:dyDescent="0.2">
      <c r="U735" s="213" t="str">
        <f t="shared" si="15"/>
        <v>1w</v>
      </c>
      <c r="V735" s="201">
        <f>_xll.qlCalendarAdvance(Calendar,V734,U735,"f",FALSE)</f>
        <v>43924</v>
      </c>
      <c r="W735" s="225">
        <f>_xll.qlCalendarAdvance(Calendar,V735,NDays&amp;"D")</f>
        <v>43928</v>
      </c>
      <c r="X735" s="200">
        <v>2.0964688239876385E-2</v>
      </c>
      <c r="Y735" s="209">
        <v>1.9958434956484084E-2</v>
      </c>
    </row>
    <row r="736" spans="21:25" x14ac:dyDescent="0.2">
      <c r="U736" s="213" t="str">
        <f t="shared" si="15"/>
        <v>1w</v>
      </c>
      <c r="V736" s="201">
        <f>_xll.qlCalendarAdvance(Calendar,V735,U736,"f",FALSE)</f>
        <v>43935</v>
      </c>
      <c r="W736" s="225">
        <f>_xll.qlCalendarAdvance(Calendar,V736,NDays&amp;"D")</f>
        <v>43937</v>
      </c>
      <c r="X736" s="200">
        <v>2.1052892945747855E-2</v>
      </c>
      <c r="Y736" s="209">
        <v>2.0048373265364461E-2</v>
      </c>
    </row>
    <row r="737" spans="21:25" x14ac:dyDescent="0.2">
      <c r="U737" s="213" t="str">
        <f t="shared" si="15"/>
        <v>1w</v>
      </c>
      <c r="V737" s="201">
        <f>_xll.qlCalendarAdvance(Calendar,V736,U737,"f",FALSE)</f>
        <v>43942</v>
      </c>
      <c r="W737" s="225">
        <f>_xll.qlCalendarAdvance(Calendar,V737,NDays&amp;"D")</f>
        <v>43944</v>
      </c>
      <c r="X737" s="200">
        <v>2.1121264907725822E-2</v>
      </c>
      <c r="Y737" s="209">
        <v>2.0118258282257884E-2</v>
      </c>
    </row>
    <row r="738" spans="21:25" x14ac:dyDescent="0.2">
      <c r="U738" s="213" t="str">
        <f t="shared" si="15"/>
        <v>1w</v>
      </c>
      <c r="V738" s="201">
        <f>_xll.qlCalendarAdvance(Calendar,V737,U738,"f",FALSE)</f>
        <v>43949</v>
      </c>
      <c r="W738" s="225">
        <f>_xll.qlCalendarAdvance(Calendar,V738,NDays&amp;"D")</f>
        <v>43951</v>
      </c>
      <c r="X738" s="200">
        <v>2.1189425787231195E-2</v>
      </c>
      <c r="Y738" s="209">
        <v>2.0204739837994534E-2</v>
      </c>
    </row>
    <row r="739" spans="21:25" x14ac:dyDescent="0.2">
      <c r="U739" s="213" t="str">
        <f t="shared" si="15"/>
        <v>1w</v>
      </c>
      <c r="V739" s="201">
        <f>_xll.qlCalendarAdvance(Calendar,V738,U739,"f",FALSE)</f>
        <v>43956</v>
      </c>
      <c r="W739" s="225">
        <f>_xll.qlCalendarAdvance(Calendar,V739,NDays&amp;"D")</f>
        <v>43958</v>
      </c>
      <c r="X739" s="200">
        <v>2.1273543974492333E-2</v>
      </c>
      <c r="Y739" s="209">
        <v>2.0257852438332336E-2</v>
      </c>
    </row>
    <row r="740" spans="21:25" x14ac:dyDescent="0.2">
      <c r="U740" s="213" t="str">
        <f t="shared" si="15"/>
        <v>1w</v>
      </c>
      <c r="V740" s="201">
        <f>_xll.qlCalendarAdvance(Calendar,V739,U740,"f",FALSE)</f>
        <v>43963</v>
      </c>
      <c r="W740" s="225">
        <f>_xll.qlCalendarAdvance(Calendar,V740,NDays&amp;"D")</f>
        <v>43965</v>
      </c>
      <c r="X740" s="200">
        <v>2.1341217676471781E-2</v>
      </c>
      <c r="Y740" s="209">
        <v>2.0327561577433428E-2</v>
      </c>
    </row>
    <row r="741" spans="21:25" x14ac:dyDescent="0.2">
      <c r="U741" s="213" t="str">
        <f t="shared" si="15"/>
        <v>1w</v>
      </c>
      <c r="V741" s="201">
        <f>_xll.qlCalendarAdvance(Calendar,V740,U741,"f",FALSE)</f>
        <v>43970</v>
      </c>
      <c r="W741" s="225">
        <f>_xll.qlCalendarAdvance(Calendar,V741,NDays&amp;"D")</f>
        <v>43972</v>
      </c>
      <c r="X741" s="200">
        <v>2.1408657068057776E-2</v>
      </c>
      <c r="Y741" s="209">
        <v>2.0397212090390582E-2</v>
      </c>
    </row>
    <row r="742" spans="21:25" x14ac:dyDescent="0.2">
      <c r="U742" s="213" t="str">
        <f t="shared" si="15"/>
        <v>1w</v>
      </c>
      <c r="V742" s="201">
        <f>_xll.qlCalendarAdvance(Calendar,V741,U742,"f",FALSE)</f>
        <v>43977</v>
      </c>
      <c r="W742" s="225">
        <f>_xll.qlCalendarAdvance(Calendar,V742,NDays&amp;"D")</f>
        <v>43979</v>
      </c>
      <c r="X742" s="200">
        <v>2.1475854645316497E-2</v>
      </c>
      <c r="Y742" s="209">
        <v>2.0466803977283732E-2</v>
      </c>
    </row>
    <row r="743" spans="21:25" x14ac:dyDescent="0.2">
      <c r="U743" s="213" t="str">
        <f t="shared" si="15"/>
        <v>1w</v>
      </c>
      <c r="V743" s="201">
        <f>_xll.qlCalendarAdvance(Calendar,V742,U743,"f",FALSE)</f>
        <v>43984</v>
      </c>
      <c r="W743" s="225">
        <f>_xll.qlCalendarAdvance(Calendar,V743,NDays&amp;"D")</f>
        <v>43986</v>
      </c>
      <c r="X743" s="200">
        <v>2.1526797152842479E-2</v>
      </c>
      <c r="Y743" s="209">
        <v>2.0536332557856696E-2</v>
      </c>
    </row>
    <row r="744" spans="21:25" x14ac:dyDescent="0.2">
      <c r="U744" s="213" t="str">
        <f t="shared" si="15"/>
        <v>1w</v>
      </c>
      <c r="V744" s="201">
        <f>_xll.qlCalendarAdvance(Calendar,V743,U744,"f",FALSE)</f>
        <v>43991</v>
      </c>
      <c r="W744" s="225">
        <f>_xll.qlCalendarAdvance(Calendar,V744,NDays&amp;"D")</f>
        <v>43993</v>
      </c>
      <c r="X744" s="200">
        <v>2.1593533332430467E-2</v>
      </c>
      <c r="Y744" s="209">
        <v>2.0605666783577448E-2</v>
      </c>
    </row>
    <row r="745" spans="21:25" x14ac:dyDescent="0.2">
      <c r="U745" s="213" t="str">
        <f t="shared" si="15"/>
        <v>1w</v>
      </c>
      <c r="V745" s="201">
        <f>_xll.qlCalendarAdvance(Calendar,V744,U745,"f",FALSE)</f>
        <v>43998</v>
      </c>
      <c r="W745" s="225">
        <f>_xll.qlCalendarAdvance(Calendar,V745,NDays&amp;"D")</f>
        <v>44000</v>
      </c>
      <c r="X745" s="200">
        <v>2.1660013744139447E-2</v>
      </c>
      <c r="Y745" s="209">
        <v>2.0674745810476125E-2</v>
      </c>
    </row>
    <row r="746" spans="21:25" x14ac:dyDescent="0.2">
      <c r="U746" s="213" t="str">
        <f t="shared" si="15"/>
        <v>1w</v>
      </c>
      <c r="V746" s="201">
        <f>_xll.qlCalendarAdvance(Calendar,V745,U746,"f",FALSE)</f>
        <v>44005</v>
      </c>
      <c r="W746" s="225">
        <f>_xll.qlCalendarAdvance(Calendar,V746,NDays&amp;"D")</f>
        <v>44007</v>
      </c>
      <c r="X746" s="200">
        <v>2.1742115403807733E-2</v>
      </c>
      <c r="Y746" s="209">
        <v>2.0743569638552728E-2</v>
      </c>
    </row>
    <row r="747" spans="21:25" x14ac:dyDescent="0.2">
      <c r="U747" s="213" t="str">
        <f t="shared" si="15"/>
        <v>1w</v>
      </c>
      <c r="V747" s="201">
        <f>_xll.qlCalendarAdvance(Calendar,V746,U747,"f",FALSE)</f>
        <v>44012</v>
      </c>
      <c r="W747" s="225">
        <f>_xll.qlCalendarAdvance(Calendar,V747,NDays&amp;"D")</f>
        <v>44014</v>
      </c>
      <c r="X747" s="200">
        <v>2.180804126761449E-2</v>
      </c>
      <c r="Y747" s="209">
        <v>2.0812138267487512E-2</v>
      </c>
    </row>
    <row r="748" spans="21:25" x14ac:dyDescent="0.2">
      <c r="U748" s="213" t="str">
        <f t="shared" si="15"/>
        <v>1w</v>
      </c>
      <c r="V748" s="201">
        <f>_xll.qlCalendarAdvance(Calendar,V747,U748,"f",FALSE)</f>
        <v>44019</v>
      </c>
      <c r="W748" s="225">
        <f>_xll.qlCalendarAdvance(Calendar,V748,NDays&amp;"D")</f>
        <v>44021</v>
      </c>
      <c r="X748" s="200">
        <v>2.1873711270435948E-2</v>
      </c>
      <c r="Y748" s="209">
        <v>2.0880451697280478E-2</v>
      </c>
    </row>
    <row r="749" spans="21:25" x14ac:dyDescent="0.2">
      <c r="U749" s="213" t="str">
        <f t="shared" si="15"/>
        <v>1w</v>
      </c>
      <c r="V749" s="201">
        <f>_xll.qlCalendarAdvance(Calendar,V748,U749,"f",FALSE)</f>
        <v>44026</v>
      </c>
      <c r="W749" s="225">
        <f>_xll.qlCalendarAdvance(Calendar,V749,NDays&amp;"D")</f>
        <v>44028</v>
      </c>
      <c r="X749" s="200">
        <v>2.1939125386370668E-2</v>
      </c>
      <c r="Y749" s="209">
        <v>2.094850992761188E-2</v>
      </c>
    </row>
    <row r="750" spans="21:25" x14ac:dyDescent="0.2">
      <c r="U750" s="213" t="str">
        <f t="shared" si="15"/>
        <v>1w</v>
      </c>
      <c r="V750" s="201">
        <f>_xll.qlCalendarAdvance(Calendar,V749,U750,"f",FALSE)</f>
        <v>44033</v>
      </c>
      <c r="W750" s="225">
        <f>_xll.qlCalendarAdvance(Calendar,V750,NDays&amp;"D")</f>
        <v>44035</v>
      </c>
      <c r="X750" s="200">
        <v>2.2004283589616504E-2</v>
      </c>
      <c r="Y750" s="209">
        <v>2.101631295848172E-2</v>
      </c>
    </row>
    <row r="751" spans="21:25" x14ac:dyDescent="0.2">
      <c r="U751" s="213" t="str">
        <f t="shared" si="15"/>
        <v>1w</v>
      </c>
      <c r="V751" s="201">
        <f>_xll.qlCalendarAdvance(Calendar,V750,U751,"f",FALSE)</f>
        <v>44040</v>
      </c>
      <c r="W751" s="225">
        <f>_xll.qlCalendarAdvance(Calendar,V751,NDays&amp;"D")</f>
        <v>44042</v>
      </c>
      <c r="X751" s="200">
        <v>2.2053523651127362E-2</v>
      </c>
      <c r="Y751" s="209">
        <v>2.1083860789650188E-2</v>
      </c>
    </row>
    <row r="752" spans="21:25" x14ac:dyDescent="0.2">
      <c r="U752" s="213" t="str">
        <f t="shared" si="15"/>
        <v>1w</v>
      </c>
      <c r="V752" s="201">
        <f>_xll.qlCalendarAdvance(Calendar,V751,U752,"f",FALSE)</f>
        <v>44047</v>
      </c>
      <c r="W752" s="225">
        <f>_xll.qlCalendarAdvance(Calendar,V752,NDays&amp;"D")</f>
        <v>44049</v>
      </c>
      <c r="X752" s="200">
        <v>2.2133832155335698E-2</v>
      </c>
      <c r="Y752" s="209">
        <v>2.1151153421117286E-2</v>
      </c>
    </row>
    <row r="753" spans="21:25" x14ac:dyDescent="0.2">
      <c r="U753" s="213" t="str">
        <f t="shared" si="15"/>
        <v>1w</v>
      </c>
      <c r="V753" s="201">
        <f>_xll.qlCalendarAdvance(Calendar,V752,U753,"f",FALSE)</f>
        <v>44054</v>
      </c>
      <c r="W753" s="225">
        <f>_xll.qlCalendarAdvance(Calendar,V753,NDays&amp;"D")</f>
        <v>44056</v>
      </c>
      <c r="X753" s="200">
        <v>2.2198222466707145E-2</v>
      </c>
      <c r="Y753" s="209">
        <v>2.1218190852563268E-2</v>
      </c>
    </row>
    <row r="754" spans="21:25" x14ac:dyDescent="0.2">
      <c r="U754" s="213" t="str">
        <f t="shared" si="15"/>
        <v>1w</v>
      </c>
      <c r="V754" s="201">
        <f>_xll.qlCalendarAdvance(Calendar,V753,U754,"f",FALSE)</f>
        <v>44061</v>
      </c>
      <c r="W754" s="225">
        <f>_xll.qlCalendarAdvance(Calendar,V754,NDays&amp;"D")</f>
        <v>44063</v>
      </c>
      <c r="X754" s="200">
        <v>2.2262356763186292E-2</v>
      </c>
      <c r="Y754" s="209">
        <v>2.1284973083988135E-2</v>
      </c>
    </row>
    <row r="755" spans="21:25" x14ac:dyDescent="0.2">
      <c r="U755" s="213" t="str">
        <f t="shared" si="15"/>
        <v>1w</v>
      </c>
      <c r="V755" s="201">
        <f>_xll.qlCalendarAdvance(Calendar,V754,U755,"f",FALSE)</f>
        <v>44068</v>
      </c>
      <c r="W755" s="225">
        <f>_xll.qlCalendarAdvance(Calendar,V755,NDays&amp;"D")</f>
        <v>44070</v>
      </c>
      <c r="X755" s="200">
        <v>2.2310745001093014E-2</v>
      </c>
      <c r="Y755" s="209">
        <v>2.1351500115152078E-2</v>
      </c>
    </row>
    <row r="756" spans="21:25" x14ac:dyDescent="0.2">
      <c r="U756" s="213" t="str">
        <f t="shared" si="15"/>
        <v>1w</v>
      </c>
      <c r="V756" s="201">
        <f>_xll.qlCalendarAdvance(Calendar,V755,U756,"f",FALSE)</f>
        <v>44075</v>
      </c>
      <c r="W756" s="225">
        <f>_xll.qlCalendarAdvance(Calendar,V756,NDays&amp;"D")</f>
        <v>44077</v>
      </c>
      <c r="X756" s="200">
        <v>2.2364106503770086E-2</v>
      </c>
      <c r="Y756" s="209">
        <v>2.1417771945975161E-2</v>
      </c>
    </row>
    <row r="757" spans="21:25" x14ac:dyDescent="0.2">
      <c r="U757" s="213" t="str">
        <f t="shared" si="15"/>
        <v>1w</v>
      </c>
      <c r="V757" s="201">
        <f>_xll.qlCalendarAdvance(Calendar,V756,U757,"f",FALSE)</f>
        <v>44082</v>
      </c>
      <c r="W757" s="225">
        <f>_xll.qlCalendarAdvance(Calendar,V757,NDays&amp;"D")</f>
        <v>44084</v>
      </c>
      <c r="X757" s="200">
        <v>2.2427544455653921E-2</v>
      </c>
      <c r="Y757" s="209">
        <v>2.1483788576217577E-2</v>
      </c>
    </row>
    <row r="758" spans="21:25" x14ac:dyDescent="0.2">
      <c r="U758" s="213" t="str">
        <f t="shared" si="15"/>
        <v>1w</v>
      </c>
      <c r="V758" s="201">
        <f>_xll.qlCalendarAdvance(Calendar,V757,U758,"f",FALSE)</f>
        <v>44089</v>
      </c>
      <c r="W758" s="225">
        <f>_xll.qlCalendarAdvance(Calendar,V758,NDays&amp;"D")</f>
        <v>44091</v>
      </c>
      <c r="X758" s="200">
        <v>2.2490726325181554E-2</v>
      </c>
      <c r="Y758" s="209">
        <v>2.1549550005879325E-2</v>
      </c>
    </row>
    <row r="759" spans="21:25" x14ac:dyDescent="0.2">
      <c r="U759" s="213" t="str">
        <f t="shared" si="15"/>
        <v>1w</v>
      </c>
      <c r="V759" s="201">
        <f>_xll.qlCalendarAdvance(Calendar,V758,U759,"f",FALSE)</f>
        <v>44096</v>
      </c>
      <c r="W759" s="225">
        <f>_xll.qlCalendarAdvance(Calendar,V759,NDays&amp;"D")</f>
        <v>44098</v>
      </c>
      <c r="X759" s="200">
        <v>2.2553652088093932E-2</v>
      </c>
      <c r="Y759" s="209">
        <v>2.1615056234720598E-2</v>
      </c>
    </row>
    <row r="760" spans="21:25" x14ac:dyDescent="0.2">
      <c r="U760" s="213" t="str">
        <f t="shared" si="15"/>
        <v>1w</v>
      </c>
      <c r="V760" s="201">
        <f>_xll.qlCalendarAdvance(Calendar,V759,U760,"f",FALSE)</f>
        <v>44103</v>
      </c>
      <c r="W760" s="225">
        <f>_xll.qlCalendarAdvance(Calendar,V760,NDays&amp;"D")</f>
        <v>44105</v>
      </c>
      <c r="X760" s="200">
        <v>2.262141667761557E-2</v>
      </c>
      <c r="Y760" s="209">
        <v>2.1680307262661458E-2</v>
      </c>
    </row>
    <row r="761" spans="21:25" x14ac:dyDescent="0.2">
      <c r="U761" s="213" t="str">
        <f t="shared" si="15"/>
        <v>1w</v>
      </c>
      <c r="V761" s="201">
        <f>_xll.qlCalendarAdvance(Calendar,V760,U761,"f",FALSE)</f>
        <v>44110</v>
      </c>
      <c r="W761" s="225">
        <f>_xll.qlCalendarAdvance(Calendar,V761,NDays&amp;"D")</f>
        <v>44112</v>
      </c>
      <c r="X761" s="200">
        <v>2.2683815758714226E-2</v>
      </c>
      <c r="Y761" s="209">
        <v>2.1745303089542034E-2</v>
      </c>
    </row>
    <row r="762" spans="21:25" x14ac:dyDescent="0.2">
      <c r="U762" s="213" t="str">
        <f t="shared" si="15"/>
        <v>1w</v>
      </c>
      <c r="V762" s="201">
        <f>_xll.qlCalendarAdvance(Calendar,V761,U762,"f",FALSE)</f>
        <v>44117</v>
      </c>
      <c r="W762" s="225">
        <f>_xll.qlCalendarAdvance(Calendar,V762,NDays&amp;"D")</f>
        <v>44119</v>
      </c>
      <c r="X762" s="200">
        <v>2.2745958653912258E-2</v>
      </c>
      <c r="Y762" s="209">
        <v>2.1810043715202454E-2</v>
      </c>
    </row>
    <row r="763" spans="21:25" x14ac:dyDescent="0.2">
      <c r="U763" s="213" t="str">
        <f t="shared" si="15"/>
        <v>1w</v>
      </c>
      <c r="V763" s="201">
        <f>_xll.qlCalendarAdvance(Calendar,V762,U763,"f",FALSE)</f>
        <v>44124</v>
      </c>
      <c r="W763" s="225">
        <f>_xll.qlCalendarAdvance(Calendar,V763,NDays&amp;"D")</f>
        <v>44126</v>
      </c>
      <c r="X763" s="200">
        <v>2.2807845339217429E-2</v>
      </c>
      <c r="Y763" s="209">
        <v>2.1874529139562782E-2</v>
      </c>
    </row>
    <row r="764" spans="21:25" x14ac:dyDescent="0.2">
      <c r="U764" s="213" t="str">
        <f t="shared" si="15"/>
        <v>1w</v>
      </c>
      <c r="V764" s="201">
        <f>_xll.qlCalendarAdvance(Calendar,V763,U764,"f",FALSE)</f>
        <v>44131</v>
      </c>
      <c r="W764" s="225">
        <f>_xll.qlCalendarAdvance(Calendar,V764,NDays&amp;"D")</f>
        <v>44133</v>
      </c>
      <c r="X764" s="200">
        <v>2.2869475790736324E-2</v>
      </c>
      <c r="Y764" s="209">
        <v>2.1938759362383209E-2</v>
      </c>
    </row>
    <row r="765" spans="21:25" x14ac:dyDescent="0.2">
      <c r="U765" s="213" t="str">
        <f t="shared" si="15"/>
        <v>1w</v>
      </c>
      <c r="V765" s="201">
        <f>_xll.qlCalendarAdvance(Calendar,V764,U765,"f",FALSE)</f>
        <v>44138</v>
      </c>
      <c r="W765" s="225">
        <f>_xll.qlCalendarAdvance(Calendar,V765,NDays&amp;"D")</f>
        <v>44140</v>
      </c>
      <c r="X765" s="200">
        <v>2.2925827080551645E-2</v>
      </c>
      <c r="Y765" s="209">
        <v>2.2002734383663736E-2</v>
      </c>
    </row>
    <row r="766" spans="21:25" x14ac:dyDescent="0.2">
      <c r="U766" s="213" t="str">
        <f t="shared" si="15"/>
        <v>1w</v>
      </c>
      <c r="V766" s="201">
        <f>_xll.qlCalendarAdvance(Calendar,V765,U766,"f",FALSE)</f>
        <v>44145</v>
      </c>
      <c r="W766" s="225">
        <f>_xll.qlCalendarAdvance(Calendar,V766,NDays&amp;"D")</f>
        <v>44147</v>
      </c>
      <c r="X766" s="200">
        <v>2.2986959426162069E-2</v>
      </c>
      <c r="Y766" s="209">
        <v>2.2066454203084618E-2</v>
      </c>
    </row>
    <row r="767" spans="21:25" x14ac:dyDescent="0.2">
      <c r="U767" s="213" t="str">
        <f t="shared" si="15"/>
        <v>1w</v>
      </c>
      <c r="V767" s="201">
        <f>_xll.qlCalendarAdvance(Calendar,V766,U767,"f",FALSE)</f>
        <v>44152</v>
      </c>
      <c r="W767" s="225">
        <f>_xll.qlCalendarAdvance(Calendar,V767,NDays&amp;"D")</f>
        <v>44154</v>
      </c>
      <c r="X767" s="200">
        <v>2.3047835474618382E-2</v>
      </c>
      <c r="Y767" s="209">
        <v>2.2129918820725791E-2</v>
      </c>
    </row>
    <row r="768" spans="21:25" x14ac:dyDescent="0.2">
      <c r="U768" s="213" t="str">
        <f t="shared" si="15"/>
        <v>1w</v>
      </c>
      <c r="V768" s="201">
        <f>_xll.qlCalendarAdvance(Calendar,V767,U768,"f",FALSE)</f>
        <v>44159</v>
      </c>
      <c r="W768" s="225">
        <f>_xll.qlCalendarAdvance(Calendar,V768,NDays&amp;"D")</f>
        <v>44161</v>
      </c>
      <c r="X768" s="200">
        <v>2.3108455202543489E-2</v>
      </c>
      <c r="Y768" s="209">
        <v>2.2193128236267512E-2</v>
      </c>
    </row>
    <row r="769" spans="21:25" x14ac:dyDescent="0.2">
      <c r="U769" s="213" t="str">
        <f t="shared" si="15"/>
        <v>1w</v>
      </c>
      <c r="V769" s="201">
        <f>_xll.qlCalendarAdvance(Calendar,V768,U769,"f",FALSE)</f>
        <v>44166</v>
      </c>
      <c r="W769" s="225">
        <f>_xll.qlCalendarAdvance(Calendar,V769,NDays&amp;"D")</f>
        <v>44168</v>
      </c>
      <c r="X769" s="200">
        <v>2.3173783712128013E-2</v>
      </c>
      <c r="Y769" s="209">
        <v>2.225608244970978E-2</v>
      </c>
    </row>
    <row r="770" spans="21:25" x14ac:dyDescent="0.2">
      <c r="U770" s="213" t="str">
        <f t="shared" si="15"/>
        <v>1w</v>
      </c>
      <c r="V770" s="201">
        <f>_xll.qlCalendarAdvance(Calendar,V769,U770,"f",FALSE)</f>
        <v>44173</v>
      </c>
      <c r="W770" s="225">
        <f>_xll.qlCalendarAdvance(Calendar,V770,NDays&amp;"D")</f>
        <v>44175</v>
      </c>
      <c r="X770" s="200">
        <v>2.3233875258299137E-2</v>
      </c>
      <c r="Y770" s="209">
        <v>2.2318781460812787E-2</v>
      </c>
    </row>
    <row r="771" spans="21:25" x14ac:dyDescent="0.2">
      <c r="U771" s="213" t="str">
        <f t="shared" si="15"/>
        <v>1w</v>
      </c>
      <c r="V771" s="201">
        <f>_xll.qlCalendarAdvance(Calendar,V770,U771,"f",FALSE)</f>
        <v>44180</v>
      </c>
      <c r="W771" s="225">
        <f>_xll.qlCalendarAdvance(Calendar,V771,NDays&amp;"D")</f>
        <v>44182</v>
      </c>
      <c r="X771" s="200">
        <v>2.329370436774604E-2</v>
      </c>
      <c r="Y771" s="209">
        <v>2.2381225269496596E-2</v>
      </c>
    </row>
    <row r="772" spans="21:25" x14ac:dyDescent="0.2">
      <c r="U772" s="213" t="str">
        <f t="shared" si="15"/>
        <v>1w</v>
      </c>
      <c r="V772" s="201">
        <f>_xll.qlCalendarAdvance(Calendar,V771,U772,"f",FALSE)</f>
        <v>44187</v>
      </c>
      <c r="W772" s="225">
        <f>_xll.qlCalendarAdvance(Calendar,V772,NDays&amp;"D")</f>
        <v>44189</v>
      </c>
      <c r="X772" s="200">
        <v>2.3353264978267434E-2</v>
      </c>
      <c r="Y772" s="209">
        <v>2.2458804900036267E-2</v>
      </c>
    </row>
    <row r="773" spans="21:25" x14ac:dyDescent="0.2">
      <c r="U773" s="213" t="str">
        <f t="shared" si="15"/>
        <v>1w</v>
      </c>
      <c r="V773" s="201">
        <f>_xll.qlCalendarAdvance(Calendar,V772,U773,"f",FALSE)</f>
        <v>44194</v>
      </c>
      <c r="W773" s="225">
        <f>_xll.qlCalendarAdvance(Calendar,V773,NDays&amp;"D")</f>
        <v>44196</v>
      </c>
      <c r="X773" s="200">
        <v>2.3407650152349004E-2</v>
      </c>
      <c r="Y773" s="209">
        <v>2.2520695213810171E-2</v>
      </c>
    </row>
    <row r="774" spans="21:25" x14ac:dyDescent="0.2">
      <c r="U774" s="213" t="str">
        <f t="shared" si="15"/>
        <v>1w</v>
      </c>
      <c r="V774" s="201">
        <f>_xll.qlCalendarAdvance(Calendar,V773,U774,"f",FALSE)</f>
        <v>44201</v>
      </c>
      <c r="W774" s="225">
        <f>_xll.qlCalendarAdvance(Calendar,V774,NDays&amp;"D")</f>
        <v>44203</v>
      </c>
      <c r="X774" s="200">
        <v>2.3466673580652121E-2</v>
      </c>
      <c r="Y774" s="209">
        <v>2.2567025479753866E-2</v>
      </c>
    </row>
    <row r="775" spans="21:25" x14ac:dyDescent="0.2">
      <c r="U775" s="213" t="str">
        <f t="shared" si="15"/>
        <v>1w</v>
      </c>
      <c r="V775" s="201">
        <f>_xll.qlCalendarAdvance(Calendar,V774,U775,"f",FALSE)</f>
        <v>44208</v>
      </c>
      <c r="W775" s="225">
        <f>_xll.qlCalendarAdvance(Calendar,V775,NDays&amp;"D")</f>
        <v>44210</v>
      </c>
      <c r="X775" s="200">
        <v>2.3525411031347233E-2</v>
      </c>
      <c r="Y775" s="209">
        <v>2.2628448477481911E-2</v>
      </c>
    </row>
    <row r="776" spans="21:25" x14ac:dyDescent="0.2">
      <c r="U776" s="213" t="str">
        <f t="shared" si="15"/>
        <v>1w</v>
      </c>
      <c r="V776" s="201">
        <f>_xll.qlCalendarAdvance(Calendar,V775,U776,"f",FALSE)</f>
        <v>44215</v>
      </c>
      <c r="W776" s="225">
        <f>_xll.qlCalendarAdvance(Calendar,V776,NDays&amp;"D")</f>
        <v>44217</v>
      </c>
      <c r="X776" s="200">
        <v>2.3583856407068195E-2</v>
      </c>
      <c r="Y776" s="209">
        <v>2.2689616272071333E-2</v>
      </c>
    </row>
    <row r="777" spans="21:25" x14ac:dyDescent="0.2">
      <c r="U777" s="213" t="str">
        <f t="shared" si="15"/>
        <v>1w</v>
      </c>
      <c r="V777" s="201">
        <f>_xll.qlCalendarAdvance(Calendar,V776,U777,"f",FALSE)</f>
        <v>44222</v>
      </c>
      <c r="W777" s="225">
        <f>_xll.qlCalendarAdvance(Calendar,V777,NDays&amp;"D")</f>
        <v>44224</v>
      </c>
      <c r="X777" s="200">
        <v>2.3642003609868546E-2</v>
      </c>
      <c r="Y777" s="209">
        <v>2.2750528863522135E-2</v>
      </c>
    </row>
    <row r="778" spans="21:25" x14ac:dyDescent="0.2">
      <c r="U778" s="213" t="str">
        <f t="shared" si="15"/>
        <v>1w</v>
      </c>
      <c r="V778" s="201">
        <f>_xll.qlCalendarAdvance(Calendar,V777,U778,"f",FALSE)</f>
        <v>44229</v>
      </c>
      <c r="W778" s="225">
        <f>_xll.qlCalendarAdvance(Calendar,V778,NDays&amp;"D")</f>
        <v>44231</v>
      </c>
      <c r="X778" s="200">
        <v>2.3699846541230359E-2</v>
      </c>
      <c r="Y778" s="209">
        <v>2.281118625151457E-2</v>
      </c>
    </row>
    <row r="779" spans="21:25" x14ac:dyDescent="0.2">
      <c r="U779" s="213" t="str">
        <f t="shared" si="15"/>
        <v>1w</v>
      </c>
      <c r="V779" s="201">
        <f>_xll.qlCalendarAdvance(Calendar,V778,U779,"f",FALSE)</f>
        <v>44236</v>
      </c>
      <c r="W779" s="225">
        <f>_xll.qlCalendarAdvance(Calendar,V779,NDays&amp;"D")</f>
        <v>44238</v>
      </c>
      <c r="X779" s="200">
        <v>2.3757379102074819E-2</v>
      </c>
      <c r="Y779" s="209">
        <v>2.2871588436128576E-2</v>
      </c>
    </row>
    <row r="780" spans="21:25" x14ac:dyDescent="0.2">
      <c r="U780" s="213" t="str">
        <f t="shared" si="15"/>
        <v>1w</v>
      </c>
      <c r="V780" s="201">
        <f>_xll.qlCalendarAdvance(Calendar,V779,U780,"f",FALSE)</f>
        <v>44243</v>
      </c>
      <c r="W780" s="225">
        <f>_xll.qlCalendarAdvance(Calendar,V780,NDays&amp;"D")</f>
        <v>44245</v>
      </c>
      <c r="X780" s="200">
        <v>2.3814595192768861E-2</v>
      </c>
      <c r="Y780" s="209">
        <v>2.2931735417124344E-2</v>
      </c>
    </row>
    <row r="781" spans="21:25" x14ac:dyDescent="0.2">
      <c r="U781" s="213" t="str">
        <f t="shared" si="15"/>
        <v>1w</v>
      </c>
      <c r="V781" s="201">
        <f>_xll.qlCalendarAdvance(Calendar,V780,U781,"f",FALSE)</f>
        <v>44250</v>
      </c>
      <c r="W781" s="225">
        <f>_xll.qlCalendarAdvance(Calendar,V781,NDays&amp;"D")</f>
        <v>44252</v>
      </c>
      <c r="X781" s="200">
        <v>2.3871488713137535E-2</v>
      </c>
      <c r="Y781" s="209">
        <v>2.2991627194421937E-2</v>
      </c>
    </row>
    <row r="782" spans="21:25" x14ac:dyDescent="0.2">
      <c r="U782" s="213" t="str">
        <f t="shared" si="15"/>
        <v>1w</v>
      </c>
      <c r="V782" s="201">
        <f>_xll.qlCalendarAdvance(Calendar,V781,U782,"f",FALSE)</f>
        <v>44257</v>
      </c>
      <c r="W782" s="225">
        <f>_xll.qlCalendarAdvance(Calendar,V782,NDays&amp;"D")</f>
        <v>44259</v>
      </c>
      <c r="X782" s="200">
        <v>2.3951612073701445E-2</v>
      </c>
      <c r="Y782" s="209">
        <v>2.3051263767781549E-2</v>
      </c>
    </row>
    <row r="783" spans="21:25" x14ac:dyDescent="0.2">
      <c r="U783" s="213" t="str">
        <f t="shared" si="15"/>
        <v>1w</v>
      </c>
      <c r="V783" s="201">
        <f>_xll.qlCalendarAdvance(Calendar,V782,U783,"f",FALSE)</f>
        <v>44264</v>
      </c>
      <c r="W783" s="225">
        <f>_xll.qlCalendarAdvance(Calendar,V783,NDays&amp;"D")</f>
        <v>44266</v>
      </c>
      <c r="X783" s="200">
        <v>2.4007725702062107E-2</v>
      </c>
      <c r="Y783" s="209">
        <v>2.3110645137283115E-2</v>
      </c>
    </row>
    <row r="784" spans="21:25" x14ac:dyDescent="0.2">
      <c r="U784" s="213" t="str">
        <f t="shared" si="15"/>
        <v>1w</v>
      </c>
      <c r="V784" s="201">
        <f>_xll.qlCalendarAdvance(Calendar,V783,U784,"f",FALSE)</f>
        <v>44271</v>
      </c>
      <c r="W784" s="225">
        <f>_xll.qlCalendarAdvance(Calendar,V784,NDays&amp;"D")</f>
        <v>44273</v>
      </c>
      <c r="X784" s="200">
        <v>2.4063496415629004E-2</v>
      </c>
      <c r="Y784" s="209">
        <v>2.316977130260689E-2</v>
      </c>
    </row>
    <row r="785" spans="21:25" x14ac:dyDescent="0.2">
      <c r="U785" s="213" t="str">
        <f t="shared" si="15"/>
        <v>1w</v>
      </c>
      <c r="V785" s="201">
        <f>_xll.qlCalendarAdvance(Calendar,V784,U785,"f",FALSE)</f>
        <v>44278</v>
      </c>
      <c r="W785" s="225">
        <f>_xll.qlCalendarAdvance(Calendar,V785,NDays&amp;"D")</f>
        <v>44280</v>
      </c>
      <c r="X785" s="200">
        <v>2.4118918272510427E-2</v>
      </c>
      <c r="Y785" s="209">
        <v>2.3228642263672938E-2</v>
      </c>
    </row>
    <row r="786" spans="21:25" x14ac:dyDescent="0.2">
      <c r="U786" s="213" t="str">
        <f t="shared" si="15"/>
        <v>1w</v>
      </c>
      <c r="V786" s="201">
        <f>_xll.qlCalendarAdvance(Calendar,V785,U786,"f",FALSE)</f>
        <v>44285</v>
      </c>
      <c r="W786" s="225">
        <f>_xll.qlCalendarAdvance(Calendar,V786,NDays&amp;"D")</f>
        <v>44287</v>
      </c>
      <c r="X786" s="200">
        <v>2.4160143355964541E-2</v>
      </c>
      <c r="Y786" s="209">
        <v>2.3306970571145058E-2</v>
      </c>
    </row>
    <row r="787" spans="21:25" x14ac:dyDescent="0.2">
      <c r="U787" s="213" t="str">
        <f t="shared" si="15"/>
        <v>1w</v>
      </c>
      <c r="V787" s="201">
        <f>_xll.qlCalendarAdvance(Calendar,V786,U787,"f",FALSE)</f>
        <v>44292</v>
      </c>
      <c r="W787" s="225">
        <f>_xll.qlCalendarAdvance(Calendar,V787,NDays&amp;"D")</f>
        <v>44294</v>
      </c>
      <c r="X787" s="200">
        <v>2.4214923908170441E-2</v>
      </c>
      <c r="Y787" s="209">
        <v>2.3345618572632176E-2</v>
      </c>
    </row>
    <row r="788" spans="21:25" x14ac:dyDescent="0.2">
      <c r="U788" s="213" t="str">
        <f t="shared" si="15"/>
        <v>1w</v>
      </c>
      <c r="V788" s="201">
        <f>_xll.qlCalendarAdvance(Calendar,V787,U788,"f",FALSE)</f>
        <v>44299</v>
      </c>
      <c r="W788" s="225">
        <f>_xll.qlCalendarAdvance(Calendar,V788,NDays&amp;"D")</f>
        <v>44301</v>
      </c>
      <c r="X788" s="200">
        <v>2.4269338606346866E-2</v>
      </c>
      <c r="Y788" s="209">
        <v>2.3403723920285557E-2</v>
      </c>
    </row>
    <row r="789" spans="21:25" x14ac:dyDescent="0.2">
      <c r="U789" s="213" t="str">
        <f t="shared" ref="U789:U852" si="16">U788</f>
        <v>1w</v>
      </c>
      <c r="V789" s="201">
        <f>_xll.qlCalendarAdvance(Calendar,V788,U789,"f",FALSE)</f>
        <v>44306</v>
      </c>
      <c r="W789" s="225">
        <f>_xll.qlCalendarAdvance(Calendar,V789,NDays&amp;"D")</f>
        <v>44308</v>
      </c>
      <c r="X789" s="200">
        <v>2.4323381411551354E-2</v>
      </c>
      <c r="Y789" s="209">
        <v>2.3461574063201596E-2</v>
      </c>
    </row>
    <row r="790" spans="21:25" x14ac:dyDescent="0.2">
      <c r="U790" s="213" t="str">
        <f t="shared" si="16"/>
        <v>1w</v>
      </c>
      <c r="V790" s="201">
        <f>_xll.qlCalendarAdvance(Calendar,V789,U790,"f",FALSE)</f>
        <v>44313</v>
      </c>
      <c r="W790" s="225">
        <f>_xll.qlCalendarAdvance(Calendar,V790,NDays&amp;"D")</f>
        <v>44315</v>
      </c>
      <c r="X790" s="200">
        <v>2.437704628439415E-2</v>
      </c>
      <c r="Y790" s="209">
        <v>2.3519169001220419E-2</v>
      </c>
    </row>
    <row r="791" spans="21:25" x14ac:dyDescent="0.2">
      <c r="U791" s="213" t="str">
        <f t="shared" si="16"/>
        <v>1w</v>
      </c>
      <c r="V791" s="201">
        <f>_xll.qlCalendarAdvance(Calendar,V790,U791,"f",FALSE)</f>
        <v>44320</v>
      </c>
      <c r="W791" s="225">
        <f>_xll.qlCalendarAdvance(Calendar,V791,NDays&amp;"D")</f>
        <v>44322</v>
      </c>
      <c r="X791" s="200">
        <v>2.4443790617777923E-2</v>
      </c>
      <c r="Y791" s="209">
        <v>2.3576508734342028E-2</v>
      </c>
    </row>
    <row r="792" spans="21:25" x14ac:dyDescent="0.2">
      <c r="U792" s="213" t="str">
        <f t="shared" si="16"/>
        <v>1w</v>
      </c>
      <c r="V792" s="201">
        <f>_xll.qlCalendarAdvance(Calendar,V791,U792,"f",FALSE)</f>
        <v>44327</v>
      </c>
      <c r="W792" s="225">
        <f>_xll.qlCalendarAdvance(Calendar,V792,NDays&amp;"D")</f>
        <v>44329</v>
      </c>
      <c r="X792" s="200">
        <v>2.4496604065556014E-2</v>
      </c>
      <c r="Y792" s="209">
        <v>2.3633593262326613E-2</v>
      </c>
    </row>
    <row r="793" spans="21:25" x14ac:dyDescent="0.2">
      <c r="U793" s="213" t="str">
        <f t="shared" si="16"/>
        <v>1w</v>
      </c>
      <c r="V793" s="201">
        <f>_xll.qlCalendarAdvance(Calendar,V792,U793,"f",FALSE)</f>
        <v>44334</v>
      </c>
      <c r="W793" s="225">
        <f>_xll.qlCalendarAdvance(Calendar,V793,NDays&amp;"D")</f>
        <v>44336</v>
      </c>
      <c r="X793" s="200">
        <v>2.4549021104987523E-2</v>
      </c>
      <c r="Y793" s="209">
        <v>2.369042258509424E-2</v>
      </c>
    </row>
    <row r="794" spans="21:25" x14ac:dyDescent="0.2">
      <c r="U794" s="213" t="str">
        <f t="shared" si="16"/>
        <v>1w</v>
      </c>
      <c r="V794" s="201">
        <f>_xll.qlCalendarAdvance(Calendar,V793,U794,"f",FALSE)</f>
        <v>44341</v>
      </c>
      <c r="W794" s="225">
        <f>_xll.qlCalendarAdvance(Calendar,V794,NDays&amp;"D")</f>
        <v>44343</v>
      </c>
      <c r="X794" s="200">
        <v>2.4601035790217465E-2</v>
      </c>
      <c r="Y794" s="209">
        <v>2.3746996702564971E-2</v>
      </c>
    </row>
    <row r="795" spans="21:25" x14ac:dyDescent="0.2">
      <c r="U795" s="213" t="str">
        <f t="shared" si="16"/>
        <v>1w</v>
      </c>
      <c r="V795" s="201">
        <f>_xll.qlCalendarAdvance(Calendar,V794,U795,"f",FALSE)</f>
        <v>44348</v>
      </c>
      <c r="W795" s="225">
        <f>_xll.qlCalendarAdvance(Calendar,V795,NDays&amp;"D")</f>
        <v>44350</v>
      </c>
      <c r="X795" s="200">
        <v>2.463949025478249E-2</v>
      </c>
      <c r="Y795" s="209">
        <v>2.3803315086681209E-2</v>
      </c>
    </row>
    <row r="796" spans="21:25" x14ac:dyDescent="0.2">
      <c r="U796" s="213" t="str">
        <f t="shared" si="16"/>
        <v>1w</v>
      </c>
      <c r="V796" s="201">
        <f>_xll.qlCalendarAdvance(Calendar,V795,U796,"f",FALSE)</f>
        <v>44355</v>
      </c>
      <c r="W796" s="225">
        <f>_xll.qlCalendarAdvance(Calendar,V796,NDays&amp;"D")</f>
        <v>44357</v>
      </c>
      <c r="X796" s="200">
        <v>2.4690761684416414E-2</v>
      </c>
      <c r="Y796" s="209">
        <v>2.3859290118410925E-2</v>
      </c>
    </row>
    <row r="797" spans="21:25" x14ac:dyDescent="0.2">
      <c r="U797" s="213" t="str">
        <f t="shared" si="16"/>
        <v>1w</v>
      </c>
      <c r="V797" s="201">
        <f>_xll.qlCalendarAdvance(Calendar,V796,U797,"f",FALSE)</f>
        <v>44362</v>
      </c>
      <c r="W797" s="225">
        <f>_xll.qlCalendarAdvance(Calendar,V797,NDays&amp;"D")</f>
        <v>44364</v>
      </c>
      <c r="X797" s="200">
        <v>2.4741618904632973E-2</v>
      </c>
      <c r="Y797" s="209">
        <v>2.3914854763615878E-2</v>
      </c>
    </row>
    <row r="798" spans="21:25" x14ac:dyDescent="0.2">
      <c r="U798" s="213" t="str">
        <f t="shared" si="16"/>
        <v>1w</v>
      </c>
      <c r="V798" s="201">
        <f>_xll.qlCalendarAdvance(Calendar,V797,U798,"f",FALSE)</f>
        <v>44369</v>
      </c>
      <c r="W798" s="225">
        <f>_xll.qlCalendarAdvance(Calendar,V798,NDays&amp;"D")</f>
        <v>44371</v>
      </c>
      <c r="X798" s="200">
        <v>2.4792061883638142E-2</v>
      </c>
      <c r="Y798" s="209">
        <v>2.397000902205626E-2</v>
      </c>
    </row>
    <row r="799" spans="21:25" x14ac:dyDescent="0.2">
      <c r="U799" s="213" t="str">
        <f t="shared" si="16"/>
        <v>1w</v>
      </c>
      <c r="V799" s="201">
        <f>_xll.qlCalendarAdvance(Calendar,V798,U799,"f",FALSE)</f>
        <v>44376</v>
      </c>
      <c r="W799" s="225">
        <f>_xll.qlCalendarAdvance(Calendar,V799,NDays&amp;"D")</f>
        <v>44378</v>
      </c>
      <c r="X799" s="200">
        <v>2.4854928862909773E-2</v>
      </c>
      <c r="Y799" s="209">
        <v>2.4024752893652135E-2</v>
      </c>
    </row>
    <row r="800" spans="21:25" x14ac:dyDescent="0.2">
      <c r="U800" s="213" t="str">
        <f t="shared" si="16"/>
        <v>1w</v>
      </c>
      <c r="V800" s="201">
        <f>_xll.qlCalendarAdvance(Calendar,V799,U800,"f",FALSE)</f>
        <v>44383</v>
      </c>
      <c r="W800" s="225">
        <f>_xll.qlCalendarAdvance(Calendar,V800,NDays&amp;"D")</f>
        <v>44385</v>
      </c>
      <c r="X800" s="200">
        <v>2.4904464675740322E-2</v>
      </c>
      <c r="Y800" s="209">
        <v>2.407908637824363E-2</v>
      </c>
    </row>
    <row r="801" spans="21:25" x14ac:dyDescent="0.2">
      <c r="U801" s="213" t="str">
        <f t="shared" si="16"/>
        <v>1w</v>
      </c>
      <c r="V801" s="201">
        <f>_xll.qlCalendarAdvance(Calendar,V800,U801,"f",FALSE)</f>
        <v>44390</v>
      </c>
      <c r="W801" s="225">
        <f>_xll.qlCalendarAdvance(Calendar,V801,NDays&amp;"D")</f>
        <v>44392</v>
      </c>
      <c r="X801" s="200">
        <v>2.4953586081565816E-2</v>
      </c>
      <c r="Y801" s="209">
        <v>2.4133009475590939E-2</v>
      </c>
    </row>
    <row r="802" spans="21:25" x14ac:dyDescent="0.2">
      <c r="U802" s="213" t="str">
        <f t="shared" si="16"/>
        <v>1w</v>
      </c>
      <c r="V802" s="201">
        <f>_xll.qlCalendarAdvance(Calendar,V801,U802,"f",FALSE)</f>
        <v>44397</v>
      </c>
      <c r="W802" s="225">
        <f>_xll.qlCalendarAdvance(Calendar,V802,NDays&amp;"D")</f>
        <v>44399</v>
      </c>
      <c r="X802" s="200">
        <v>2.5002293049172085E-2</v>
      </c>
      <c r="Y802" s="209">
        <v>2.4186522185454251E-2</v>
      </c>
    </row>
    <row r="803" spans="21:25" x14ac:dyDescent="0.2">
      <c r="U803" s="213" t="str">
        <f t="shared" si="16"/>
        <v>1w</v>
      </c>
      <c r="V803" s="201">
        <f>_xll.qlCalendarAdvance(Calendar,V802,U803,"f",FALSE)</f>
        <v>44404</v>
      </c>
      <c r="W803" s="225">
        <f>_xll.qlCalendarAdvance(Calendar,V803,NDays&amp;"D")</f>
        <v>44406</v>
      </c>
      <c r="X803" s="200">
        <v>2.505058554760797E-2</v>
      </c>
      <c r="Y803" s="209">
        <v>2.4239624507673696E-2</v>
      </c>
    </row>
    <row r="804" spans="21:25" x14ac:dyDescent="0.2">
      <c r="U804" s="213" t="str">
        <f t="shared" si="16"/>
        <v>1w</v>
      </c>
      <c r="V804" s="201">
        <f>_xll.qlCalendarAdvance(Calendar,V803,U804,"f",FALSE)</f>
        <v>44411</v>
      </c>
      <c r="W804" s="225">
        <f>_xll.qlCalendarAdvance(Calendar,V804,NDays&amp;"D")</f>
        <v>44413</v>
      </c>
      <c r="X804" s="200">
        <v>2.5098463546185765E-2</v>
      </c>
      <c r="Y804" s="209">
        <v>2.4292316442169337E-2</v>
      </c>
    </row>
    <row r="805" spans="21:25" x14ac:dyDescent="0.2">
      <c r="U805" s="213" t="str">
        <f t="shared" si="16"/>
        <v>1w</v>
      </c>
      <c r="V805" s="201">
        <f>_xll.qlCalendarAdvance(Calendar,V804,U805,"f",FALSE)</f>
        <v>44418</v>
      </c>
      <c r="W805" s="225">
        <f>_xll.qlCalendarAdvance(Calendar,V805,NDays&amp;"D")</f>
        <v>44420</v>
      </c>
      <c r="X805" s="200">
        <v>2.5145927014479909E-2</v>
      </c>
      <c r="Y805" s="209">
        <v>2.4344597988701366E-2</v>
      </c>
    </row>
    <row r="806" spans="21:25" x14ac:dyDescent="0.2">
      <c r="U806" s="213" t="str">
        <f t="shared" si="16"/>
        <v>1w</v>
      </c>
      <c r="V806" s="201">
        <f>_xll.qlCalendarAdvance(Calendar,V805,U806,"f",FALSE)</f>
        <v>44425</v>
      </c>
      <c r="W806" s="225">
        <f>_xll.qlCalendarAdvance(Calendar,V806,NDays&amp;"D")</f>
        <v>44427</v>
      </c>
      <c r="X806" s="200">
        <v>2.5192975922328296E-2</v>
      </c>
      <c r="Y806" s="209">
        <v>2.4396469147029975E-2</v>
      </c>
    </row>
    <row r="807" spans="21:25" x14ac:dyDescent="0.2">
      <c r="U807" s="213" t="str">
        <f t="shared" si="16"/>
        <v>1w</v>
      </c>
      <c r="V807" s="201">
        <f>_xll.qlCalendarAdvance(Calendar,V806,U807,"f",FALSE)</f>
        <v>44432</v>
      </c>
      <c r="W807" s="225">
        <f>_xll.qlCalendarAdvance(Calendar,V807,NDays&amp;"D")</f>
        <v>44434</v>
      </c>
      <c r="X807" s="200">
        <v>2.5239610239831838E-2</v>
      </c>
      <c r="Y807" s="209">
        <v>2.4447929917075228E-2</v>
      </c>
    </row>
    <row r="808" spans="21:25" x14ac:dyDescent="0.2">
      <c r="U808" s="213" t="str">
        <f t="shared" si="16"/>
        <v>1w</v>
      </c>
      <c r="V808" s="201">
        <f>_xll.qlCalendarAdvance(Calendar,V807,U808,"f",FALSE)</f>
        <v>44439</v>
      </c>
      <c r="W808" s="225">
        <f>_xll.qlCalendarAdvance(Calendar,V808,NDays&amp;"D")</f>
        <v>44441</v>
      </c>
      <c r="X808" s="200">
        <v>2.5265604336035162E-2</v>
      </c>
      <c r="Y808" s="209">
        <v>2.4498980298597317E-2</v>
      </c>
    </row>
    <row r="809" spans="21:25" x14ac:dyDescent="0.2">
      <c r="U809" s="213" t="str">
        <f t="shared" si="16"/>
        <v>1w</v>
      </c>
      <c r="V809" s="201">
        <f>_xll.qlCalendarAdvance(Calendar,V808,U809,"f",FALSE)</f>
        <v>44446</v>
      </c>
      <c r="W809" s="225">
        <f>_xll.qlCalendarAdvance(Calendar,V809,NDays&amp;"D")</f>
        <v>44448</v>
      </c>
      <c r="X809" s="200">
        <v>2.5311541456224673E-2</v>
      </c>
      <c r="Y809" s="209">
        <v>2.4549620291356433E-2</v>
      </c>
    </row>
    <row r="810" spans="21:25" x14ac:dyDescent="0.2">
      <c r="U810" s="213" t="str">
        <f t="shared" si="16"/>
        <v>1w</v>
      </c>
      <c r="V810" s="201">
        <f>_xll.qlCalendarAdvance(Calendar,V809,U810,"f",FALSE)</f>
        <v>44453</v>
      </c>
      <c r="W810" s="225">
        <f>_xll.qlCalendarAdvance(Calendar,V810,NDays&amp;"D")</f>
        <v>44455</v>
      </c>
      <c r="X810" s="200">
        <v>2.5357064024330033E-2</v>
      </c>
      <c r="Y810" s="209">
        <v>2.4599849895352577E-2</v>
      </c>
    </row>
    <row r="811" spans="21:25" x14ac:dyDescent="0.2">
      <c r="U811" s="213" t="str">
        <f t="shared" si="16"/>
        <v>1w</v>
      </c>
      <c r="V811" s="201">
        <f>_xll.qlCalendarAdvance(Calendar,V810,U811,"f",FALSE)</f>
        <v>44460</v>
      </c>
      <c r="W811" s="225">
        <f>_xll.qlCalendarAdvance(Calendar,V811,NDays&amp;"D")</f>
        <v>44462</v>
      </c>
      <c r="X811" s="200">
        <v>2.5402172012196522E-2</v>
      </c>
      <c r="Y811" s="209">
        <v>2.4649669110266004E-2</v>
      </c>
    </row>
    <row r="812" spans="21:25" x14ac:dyDescent="0.2">
      <c r="U812" s="213" t="str">
        <f t="shared" si="16"/>
        <v>1w</v>
      </c>
      <c r="V812" s="201">
        <f>_xll.qlCalendarAdvance(Calendar,V811,U812,"f",FALSE)</f>
        <v>44467</v>
      </c>
      <c r="W812" s="225">
        <f>_xll.qlCalendarAdvance(Calendar,V812,NDays&amp;"D")</f>
        <v>44469</v>
      </c>
      <c r="X812" s="200">
        <v>2.5450809408982963E-2</v>
      </c>
      <c r="Y812" s="209">
        <v>2.4699077936016778E-2</v>
      </c>
    </row>
    <row r="813" spans="21:25" x14ac:dyDescent="0.2">
      <c r="U813" s="213" t="str">
        <f t="shared" si="16"/>
        <v>1w</v>
      </c>
      <c r="V813" s="201">
        <f>_xll.qlCalendarAdvance(Calendar,V812,U813,"f",FALSE)</f>
        <v>44474</v>
      </c>
      <c r="W813" s="225">
        <f>_xll.qlCalendarAdvance(Calendar,V813,NDays&amp;"D")</f>
        <v>44476</v>
      </c>
      <c r="X813" s="200">
        <v>2.5495061643329753E-2</v>
      </c>
      <c r="Y813" s="209">
        <v>2.4748076372365091E-2</v>
      </c>
    </row>
    <row r="814" spans="21:25" x14ac:dyDescent="0.2">
      <c r="U814" s="213" t="str">
        <f t="shared" si="16"/>
        <v>1w</v>
      </c>
      <c r="V814" s="201">
        <f>_xll.qlCalendarAdvance(Calendar,V813,U814,"f",FALSE)</f>
        <v>44481</v>
      </c>
      <c r="W814" s="225">
        <f>_xll.qlCalendarAdvance(Calendar,V814,NDays&amp;"D")</f>
        <v>44483</v>
      </c>
      <c r="X814" s="200">
        <v>2.5538899188732696E-2</v>
      </c>
      <c r="Y814" s="209">
        <v>2.4796664419231007E-2</v>
      </c>
    </row>
    <row r="815" spans="21:25" x14ac:dyDescent="0.2">
      <c r="U815" s="213" t="str">
        <f t="shared" si="16"/>
        <v>1w</v>
      </c>
      <c r="V815" s="201">
        <f>_xll.qlCalendarAdvance(Calendar,V814,U815,"f",FALSE)</f>
        <v>44488</v>
      </c>
      <c r="W815" s="225">
        <f>_xll.qlCalendarAdvance(Calendar,V815,NDays&amp;"D")</f>
        <v>44490</v>
      </c>
      <c r="X815" s="200">
        <v>2.5582322017928771E-2</v>
      </c>
      <c r="Y815" s="209">
        <v>2.4844842076374718E-2</v>
      </c>
    </row>
    <row r="816" spans="21:25" x14ac:dyDescent="0.2">
      <c r="U816" s="213" t="str">
        <f t="shared" si="16"/>
        <v>1w</v>
      </c>
      <c r="V816" s="201">
        <f>_xll.qlCalendarAdvance(Calendar,V815,U816,"f",FALSE)</f>
        <v>44495</v>
      </c>
      <c r="W816" s="225">
        <f>_xll.qlCalendarAdvance(Calendar,V816,NDays&amp;"D")</f>
        <v>44497</v>
      </c>
      <c r="X816" s="200">
        <v>2.5625330103911884E-2</v>
      </c>
      <c r="Y816" s="209">
        <v>2.4892609343636352E-2</v>
      </c>
    </row>
    <row r="817" spans="21:25" x14ac:dyDescent="0.2">
      <c r="U817" s="213" t="str">
        <f t="shared" si="16"/>
        <v>1w</v>
      </c>
      <c r="V817" s="201">
        <f>_xll.qlCalendarAdvance(Calendar,V816,U817,"f",FALSE)</f>
        <v>44502</v>
      </c>
      <c r="W817" s="225">
        <f>_xll.qlCalendarAdvance(Calendar,V817,NDays&amp;"D")</f>
        <v>44504</v>
      </c>
      <c r="X817" s="200">
        <v>2.5664112210015043E-2</v>
      </c>
      <c r="Y817" s="209">
        <v>2.4939966220856036E-2</v>
      </c>
    </row>
    <row r="818" spans="21:25" x14ac:dyDescent="0.2">
      <c r="U818" s="213" t="str">
        <f t="shared" si="16"/>
        <v>1w</v>
      </c>
      <c r="V818" s="201">
        <f>_xll.qlCalendarAdvance(Calendar,V817,U818,"f",FALSE)</f>
        <v>44509</v>
      </c>
      <c r="W818" s="225">
        <f>_xll.qlCalendarAdvance(Calendar,V818,NDays&amp;"D")</f>
        <v>44511</v>
      </c>
      <c r="X818" s="200">
        <v>2.5706317369405821E-2</v>
      </c>
      <c r="Y818" s="209">
        <v>2.4986912707873898E-2</v>
      </c>
    </row>
    <row r="819" spans="21:25" x14ac:dyDescent="0.2">
      <c r="U819" s="213" t="str">
        <f t="shared" si="16"/>
        <v>1w</v>
      </c>
      <c r="V819" s="201">
        <f>_xll.qlCalendarAdvance(Calendar,V818,U819,"f",FALSE)</f>
        <v>44516</v>
      </c>
      <c r="W819" s="225">
        <f>_xll.qlCalendarAdvance(Calendar,V819,NDays&amp;"D")</f>
        <v>44518</v>
      </c>
      <c r="X819" s="200">
        <v>2.5748107732544004E-2</v>
      </c>
      <c r="Y819" s="209">
        <v>2.5033448804610003E-2</v>
      </c>
    </row>
    <row r="820" spans="21:25" x14ac:dyDescent="0.2">
      <c r="U820" s="213" t="str">
        <f t="shared" si="16"/>
        <v>1w</v>
      </c>
      <c r="V820" s="201">
        <f>_xll.qlCalendarAdvance(Calendar,V819,U820,"f",FALSE)</f>
        <v>44523</v>
      </c>
      <c r="W820" s="225">
        <f>_xll.qlCalendarAdvance(Calendar,V820,NDays&amp;"D")</f>
        <v>44525</v>
      </c>
      <c r="X820" s="200">
        <v>2.5789483273580213E-2</v>
      </c>
      <c r="Y820" s="209">
        <v>2.5079574510824543E-2</v>
      </c>
    </row>
    <row r="821" spans="21:25" x14ac:dyDescent="0.2">
      <c r="U821" s="213" t="str">
        <f t="shared" si="16"/>
        <v>1w</v>
      </c>
      <c r="V821" s="201">
        <f>_xll.qlCalendarAdvance(Calendar,V820,U821,"f",FALSE)</f>
        <v>44530</v>
      </c>
      <c r="W821" s="225">
        <f>_xll.qlCalendarAdvance(Calendar,V821,NDays&amp;"D")</f>
        <v>44532</v>
      </c>
      <c r="X821" s="200">
        <v>2.5834148458470096E-2</v>
      </c>
      <c r="Y821" s="209">
        <v>2.5125289826357644E-2</v>
      </c>
    </row>
    <row r="822" spans="21:25" x14ac:dyDescent="0.2">
      <c r="U822" s="213" t="str">
        <f t="shared" si="16"/>
        <v>1w</v>
      </c>
      <c r="V822" s="201">
        <f>_xll.qlCalendarAdvance(Calendar,V821,U822,"f",FALSE)</f>
        <v>44537</v>
      </c>
      <c r="W822" s="225">
        <f>_xll.qlCalendarAdvance(Calendar,V822,NDays&amp;"D")</f>
        <v>44539</v>
      </c>
      <c r="X822" s="200">
        <v>2.5874668679538693E-2</v>
      </c>
      <c r="Y822" s="209">
        <v>2.5170594751049435E-2</v>
      </c>
    </row>
    <row r="823" spans="21:25" x14ac:dyDescent="0.2">
      <c r="U823" s="213" t="str">
        <f t="shared" si="16"/>
        <v>1w</v>
      </c>
      <c r="V823" s="201">
        <f>_xll.qlCalendarAdvance(Calendar,V822,U823,"f",FALSE)</f>
        <v>44544</v>
      </c>
      <c r="W823" s="225">
        <f>_xll.qlCalendarAdvance(Calendar,V823,NDays&amp;"D")</f>
        <v>44546</v>
      </c>
      <c r="X823" s="200">
        <v>2.5914783348728175E-2</v>
      </c>
      <c r="Y823" s="209">
        <v>2.5215489284740045E-2</v>
      </c>
    </row>
    <row r="824" spans="21:25" x14ac:dyDescent="0.2">
      <c r="U824" s="213" t="str">
        <f t="shared" si="16"/>
        <v>1w</v>
      </c>
      <c r="V824" s="201">
        <f>_xll.qlCalendarAdvance(Calendar,V823,U824,"f",FALSE)</f>
        <v>44551</v>
      </c>
      <c r="W824" s="225">
        <f>_xll.qlCalendarAdvance(Calendar,V824,NDays&amp;"D")</f>
        <v>44553</v>
      </c>
      <c r="X824" s="200">
        <v>2.5954503365659531E-2</v>
      </c>
      <c r="Y824" s="209">
        <v>2.5259973427349536E-2</v>
      </c>
    </row>
    <row r="825" spans="21:25" x14ac:dyDescent="0.2">
      <c r="U825" s="213" t="str">
        <f t="shared" si="16"/>
        <v>1w</v>
      </c>
      <c r="V825" s="201">
        <f>_xll.qlCalendarAdvance(Calendar,V824,U825,"f",FALSE)</f>
        <v>44558</v>
      </c>
      <c r="W825" s="225">
        <f>_xll.qlCalendarAdvance(Calendar,V825,NDays&amp;"D")</f>
        <v>44560</v>
      </c>
      <c r="X825" s="200">
        <v>2.5993839636367519E-2</v>
      </c>
      <c r="Y825" s="209">
        <v>2.53040471786381E-2</v>
      </c>
    </row>
    <row r="826" spans="21:25" x14ac:dyDescent="0.2">
      <c r="U826" s="213" t="str">
        <f t="shared" si="16"/>
        <v>1w</v>
      </c>
      <c r="V826" s="201">
        <f>_xll.qlCalendarAdvance(Calendar,V825,U826,"f",FALSE)</f>
        <v>44565</v>
      </c>
      <c r="W826" s="225">
        <f>_xll.qlCalendarAdvance(Calendar,V826,NDays&amp;"D")</f>
        <v>44567</v>
      </c>
      <c r="X826" s="200">
        <v>2.6029215737141665E-2</v>
      </c>
      <c r="Y826" s="209">
        <v>2.5347710538525803E-2</v>
      </c>
    </row>
    <row r="827" spans="21:25" x14ac:dyDescent="0.2">
      <c r="U827" s="213" t="str">
        <f t="shared" si="16"/>
        <v>1w</v>
      </c>
      <c r="V827" s="201">
        <f>_xll.qlCalendarAdvance(Calendar,V826,U827,"f",FALSE)</f>
        <v>44572</v>
      </c>
      <c r="W827" s="225">
        <f>_xll.qlCalendarAdvance(Calendar,V827,NDays&amp;"D")</f>
        <v>44574</v>
      </c>
      <c r="X827" s="200">
        <v>2.6067836678831464E-2</v>
      </c>
      <c r="Y827" s="209">
        <v>2.5390963506692898E-2</v>
      </c>
    </row>
    <row r="828" spans="21:25" x14ac:dyDescent="0.2">
      <c r="U828" s="213" t="str">
        <f t="shared" si="16"/>
        <v>1w</v>
      </c>
      <c r="V828" s="201">
        <f>_xll.qlCalendarAdvance(Calendar,V827,U828,"f",FALSE)</f>
        <v>44579</v>
      </c>
      <c r="W828" s="225">
        <f>_xll.qlCalendarAdvance(Calendar,V828,NDays&amp;"D")</f>
        <v>44581</v>
      </c>
      <c r="X828" s="200">
        <v>2.6106105405043704E-2</v>
      </c>
      <c r="Y828" s="209">
        <v>2.543380608329926E-2</v>
      </c>
    </row>
    <row r="829" spans="21:25" x14ac:dyDescent="0.2">
      <c r="U829" s="213" t="str">
        <f t="shared" si="16"/>
        <v>1w</v>
      </c>
      <c r="V829" s="201">
        <f>_xll.qlCalendarAdvance(Calendar,V828,U829,"f",FALSE)</f>
        <v>44586</v>
      </c>
      <c r="W829" s="225">
        <f>_xll.qlCalendarAdvance(Calendar,V829,NDays&amp;"D")</f>
        <v>44588</v>
      </c>
      <c r="X829" s="200">
        <v>2.6144032885637224E-2</v>
      </c>
      <c r="Y829" s="209">
        <v>2.5476238267945206E-2</v>
      </c>
    </row>
    <row r="830" spans="21:25" x14ac:dyDescent="0.2">
      <c r="U830" s="213" t="str">
        <f t="shared" si="16"/>
        <v>1w</v>
      </c>
      <c r="V830" s="201">
        <f>_xll.qlCalendarAdvance(Calendar,V829,U830,"f",FALSE)</f>
        <v>44593</v>
      </c>
      <c r="W830" s="225">
        <f>_xll.qlCalendarAdvance(Calendar,V830,NDays&amp;"D")</f>
        <v>44595</v>
      </c>
      <c r="X830" s="200">
        <v>2.618163009147513E-2</v>
      </c>
      <c r="Y830" s="209">
        <v>2.5518260060630737E-2</v>
      </c>
    </row>
    <row r="831" spans="21:25" x14ac:dyDescent="0.2">
      <c r="U831" s="213" t="str">
        <f t="shared" si="16"/>
        <v>1w</v>
      </c>
      <c r="V831" s="201">
        <f>_xll.qlCalendarAdvance(Calendar,V830,U831,"f",FALSE)</f>
        <v>44600</v>
      </c>
      <c r="W831" s="225">
        <f>_xll.qlCalendarAdvance(Calendar,V831,NDays&amp;"D")</f>
        <v>44602</v>
      </c>
      <c r="X831" s="200">
        <v>2.6218907994408479E-2</v>
      </c>
      <c r="Y831" s="209">
        <v>2.5559871461116046E-2</v>
      </c>
    </row>
    <row r="832" spans="21:25" x14ac:dyDescent="0.2">
      <c r="U832" s="213" t="str">
        <f t="shared" si="16"/>
        <v>1w</v>
      </c>
      <c r="V832" s="201">
        <f>_xll.qlCalendarAdvance(Calendar,V831,U832,"f",FALSE)</f>
        <v>44607</v>
      </c>
      <c r="W832" s="225">
        <f>_xll.qlCalendarAdvance(Calendar,V832,NDays&amp;"D")</f>
        <v>44609</v>
      </c>
      <c r="X832" s="200">
        <v>2.6255877567255059E-2</v>
      </c>
      <c r="Y832" s="209">
        <v>2.5601072469241259E-2</v>
      </c>
    </row>
    <row r="833" spans="21:25" x14ac:dyDescent="0.2">
      <c r="U833" s="213" t="str">
        <f t="shared" si="16"/>
        <v>1w</v>
      </c>
      <c r="V833" s="201">
        <f>_xll.qlCalendarAdvance(Calendar,V832,U833,"f",FALSE)</f>
        <v>44614</v>
      </c>
      <c r="W833" s="225">
        <f>_xll.qlCalendarAdvance(Calendar,V833,NDays&amp;"D")</f>
        <v>44616</v>
      </c>
      <c r="X833" s="200">
        <v>2.6292549783784393E-2</v>
      </c>
      <c r="Y833" s="209">
        <v>2.5641863084926442E-2</v>
      </c>
    </row>
    <row r="834" spans="21:25" x14ac:dyDescent="0.2">
      <c r="U834" s="213" t="str">
        <f t="shared" si="16"/>
        <v>1w</v>
      </c>
      <c r="V834" s="201">
        <f>_xll.qlCalendarAdvance(Calendar,V833,U834,"f",FALSE)</f>
        <v>44621</v>
      </c>
      <c r="W834" s="225">
        <f>_xll.qlCalendarAdvance(Calendar,V834,NDays&amp;"D")</f>
        <v>44623</v>
      </c>
      <c r="X834" s="200">
        <v>2.6346237790589828E-2</v>
      </c>
      <c r="Y834" s="209">
        <v>2.5682243308011721E-2</v>
      </c>
    </row>
    <row r="835" spans="21:25" x14ac:dyDescent="0.2">
      <c r="U835" s="213" t="str">
        <f t="shared" si="16"/>
        <v>1w</v>
      </c>
      <c r="V835" s="201">
        <f>_xll.qlCalendarAdvance(Calendar,V834,U835,"f",FALSE)</f>
        <v>44628</v>
      </c>
      <c r="W835" s="225">
        <f>_xll.qlCalendarAdvance(Calendar,V835,NDays&amp;"D")</f>
        <v>44630</v>
      </c>
      <c r="X835" s="200">
        <v>2.6382290924643073E-2</v>
      </c>
      <c r="Y835" s="209">
        <v>2.572221313841716E-2</v>
      </c>
    </row>
    <row r="836" spans="21:25" x14ac:dyDescent="0.2">
      <c r="U836" s="213" t="str">
        <f t="shared" si="16"/>
        <v>1w</v>
      </c>
      <c r="V836" s="201">
        <f>_xll.qlCalendarAdvance(Calendar,V835,U836,"f",FALSE)</f>
        <v>44635</v>
      </c>
      <c r="W836" s="225">
        <f>_xll.qlCalendarAdvance(Calendar,V836,NDays&amp;"D")</f>
        <v>44637</v>
      </c>
      <c r="X836" s="200">
        <v>2.6418083135645413E-2</v>
      </c>
      <c r="Y836" s="209">
        <v>2.5761772575982889E-2</v>
      </c>
    </row>
    <row r="837" spans="21:25" x14ac:dyDescent="0.2">
      <c r="U837" s="213" t="str">
        <f t="shared" si="16"/>
        <v>1w</v>
      </c>
      <c r="V837" s="201">
        <f>_xll.qlCalendarAdvance(Calendar,V836,U837,"f",FALSE)</f>
        <v>44642</v>
      </c>
      <c r="W837" s="225">
        <f>_xll.qlCalendarAdvance(Calendar,V837,NDays&amp;"D")</f>
        <v>44644</v>
      </c>
      <c r="X837" s="200">
        <v>2.6453625109340319E-2</v>
      </c>
      <c r="Y837" s="209">
        <v>2.5800921620469097E-2</v>
      </c>
    </row>
    <row r="838" spans="21:25" x14ac:dyDescent="0.2">
      <c r="U838" s="213" t="str">
        <f t="shared" si="16"/>
        <v>1w</v>
      </c>
      <c r="V838" s="201">
        <f>_xll.qlCalendarAdvance(Calendar,V837,U838,"f",FALSE)</f>
        <v>44649</v>
      </c>
      <c r="W838" s="225">
        <f>_xll.qlCalendarAdvance(Calendar,V838,NDays&amp;"D")</f>
        <v>44651</v>
      </c>
      <c r="X838" s="200">
        <v>2.6478673522642122E-2</v>
      </c>
      <c r="Y838" s="209">
        <v>2.5839660271875786E-2</v>
      </c>
    </row>
    <row r="839" spans="21:25" x14ac:dyDescent="0.2">
      <c r="U839" s="213" t="str">
        <f t="shared" si="16"/>
        <v>1w</v>
      </c>
      <c r="V839" s="201">
        <f>_xll.qlCalendarAdvance(Calendar,V838,U839,"f",FALSE)</f>
        <v>44656</v>
      </c>
      <c r="W839" s="225">
        <f>_xll.qlCalendarAdvance(Calendar,V839,NDays&amp;"D")</f>
        <v>44658</v>
      </c>
      <c r="X839" s="200">
        <v>2.6513774024779748E-2</v>
      </c>
      <c r="Y839" s="209">
        <v>2.5877988529963147E-2</v>
      </c>
    </row>
    <row r="840" spans="21:25" x14ac:dyDescent="0.2">
      <c r="U840" s="213" t="str">
        <f t="shared" si="16"/>
        <v>1w</v>
      </c>
      <c r="V840" s="201">
        <f>_xll.qlCalendarAdvance(Calendar,V839,U840,"f",FALSE)</f>
        <v>44663</v>
      </c>
      <c r="W840" s="225">
        <f>_xll.qlCalendarAdvance(Calendar,V840,NDays&amp;"D")</f>
        <v>44665</v>
      </c>
      <c r="X840" s="200">
        <v>2.6548654963788169E-2</v>
      </c>
      <c r="Y840" s="209">
        <v>2.5930390982724205E-2</v>
      </c>
    </row>
    <row r="841" spans="21:25" x14ac:dyDescent="0.2">
      <c r="U841" s="213" t="str">
        <f t="shared" si="16"/>
        <v>1w</v>
      </c>
      <c r="V841" s="201">
        <f>_xll.qlCalendarAdvance(Calendar,V840,U841,"f",FALSE)</f>
        <v>44670</v>
      </c>
      <c r="W841" s="225">
        <f>_xll.qlCalendarAdvance(Calendar,V841,NDays&amp;"D")</f>
        <v>44672</v>
      </c>
      <c r="X841" s="200">
        <v>2.6583327201921428E-2</v>
      </c>
      <c r="Y841" s="209">
        <v>2.5953413865860142E-2</v>
      </c>
    </row>
    <row r="842" spans="21:25" x14ac:dyDescent="0.2">
      <c r="U842" s="213" t="str">
        <f t="shared" si="16"/>
        <v>1w</v>
      </c>
      <c r="V842" s="201">
        <f>_xll.qlCalendarAdvance(Calendar,V841,U842,"f",FALSE)</f>
        <v>44677</v>
      </c>
      <c r="W842" s="225">
        <f>_xll.qlCalendarAdvance(Calendar,V842,NDays&amp;"D")</f>
        <v>44679</v>
      </c>
      <c r="X842" s="200">
        <v>2.6617801602259145E-2</v>
      </c>
      <c r="Y842" s="209">
        <v>2.5990510943429967E-2</v>
      </c>
    </row>
    <row r="843" spans="21:25" x14ac:dyDescent="0.2">
      <c r="U843" s="213" t="str">
        <f t="shared" si="16"/>
        <v>1w</v>
      </c>
      <c r="V843" s="201">
        <f>_xll.qlCalendarAdvance(Calendar,V842,U843,"f",FALSE)</f>
        <v>44684</v>
      </c>
      <c r="W843" s="225">
        <f>_xll.qlCalendarAdvance(Calendar,V843,NDays&amp;"D")</f>
        <v>44686</v>
      </c>
      <c r="X843" s="200">
        <v>2.6662220478074955E-2</v>
      </c>
      <c r="Y843" s="209">
        <v>2.6027197627200849E-2</v>
      </c>
    </row>
    <row r="844" spans="21:25" x14ac:dyDescent="0.2">
      <c r="U844" s="213" t="str">
        <f t="shared" si="16"/>
        <v>1w</v>
      </c>
      <c r="V844" s="201">
        <f>_xll.qlCalendarAdvance(Calendar,V843,U844,"f",FALSE)</f>
        <v>44691</v>
      </c>
      <c r="W844" s="225">
        <f>_xll.qlCalendarAdvance(Calendar,V844,NDays&amp;"D")</f>
        <v>44693</v>
      </c>
      <c r="X844" s="200">
        <v>2.6696310063192282E-2</v>
      </c>
      <c r="Y844" s="209">
        <v>2.6063473917012914E-2</v>
      </c>
    </row>
    <row r="845" spans="21:25" x14ac:dyDescent="0.2">
      <c r="U845" s="213" t="str">
        <f t="shared" si="16"/>
        <v>1w</v>
      </c>
      <c r="V845" s="201">
        <f>_xll.qlCalendarAdvance(Calendar,V844,U845,"f",FALSE)</f>
        <v>44698</v>
      </c>
      <c r="W845" s="225">
        <f>_xll.qlCalendarAdvance(Calendar,V845,NDays&amp;"D")</f>
        <v>44700</v>
      </c>
      <c r="X845" s="200">
        <v>2.6730234927351448E-2</v>
      </c>
      <c r="Y845" s="209">
        <v>2.6099339812866162E-2</v>
      </c>
    </row>
    <row r="846" spans="21:25" x14ac:dyDescent="0.2">
      <c r="U846" s="213" t="str">
        <f t="shared" si="16"/>
        <v>1w</v>
      </c>
      <c r="V846" s="201">
        <f>_xll.qlCalendarAdvance(Calendar,V845,U846,"f",FALSE)</f>
        <v>44705</v>
      </c>
      <c r="W846" s="225">
        <f>_xll.qlCalendarAdvance(Calendar,V846,NDays&amp;"D")</f>
        <v>44707</v>
      </c>
      <c r="X846" s="200">
        <v>2.6764005763727824E-2</v>
      </c>
      <c r="Y846" s="209">
        <v>2.6134795314520787E-2</v>
      </c>
    </row>
    <row r="847" spans="21:25" x14ac:dyDescent="0.2">
      <c r="U847" s="213" t="str">
        <f t="shared" si="16"/>
        <v>1w</v>
      </c>
      <c r="V847" s="201">
        <f>_xll.qlCalendarAdvance(Calendar,V846,U847,"f",FALSE)</f>
        <v>44712</v>
      </c>
      <c r="W847" s="225">
        <f>_xll.qlCalendarAdvance(Calendar,V847,NDays&amp;"D")</f>
        <v>44714</v>
      </c>
      <c r="X847" s="200">
        <v>2.6787586301109296E-2</v>
      </c>
      <c r="Y847" s="209">
        <v>2.6169840421896851E-2</v>
      </c>
    </row>
    <row r="848" spans="21:25" x14ac:dyDescent="0.2">
      <c r="U848" s="213" t="str">
        <f t="shared" si="16"/>
        <v>1w</v>
      </c>
      <c r="V848" s="201">
        <f>_xll.qlCalendarAdvance(Calendar,V847,U848,"f",FALSE)</f>
        <v>44719</v>
      </c>
      <c r="W848" s="225">
        <f>_xll.qlCalendarAdvance(Calendar,V848,NDays&amp;"D")</f>
        <v>44721</v>
      </c>
      <c r="X848" s="200">
        <v>2.6821100702749207E-2</v>
      </c>
      <c r="Y848" s="209">
        <v>2.6204596304308936E-2</v>
      </c>
    </row>
    <row r="849" spans="21:25" x14ac:dyDescent="0.2">
      <c r="U849" s="213" t="str">
        <f t="shared" si="16"/>
        <v>1w</v>
      </c>
      <c r="V849" s="201">
        <f>_xll.qlCalendarAdvance(Calendar,V848,U849,"f",FALSE)</f>
        <v>44726</v>
      </c>
      <c r="W849" s="225">
        <f>_xll.qlCalendarAdvance(Calendar,V849,NDays&amp;"D")</f>
        <v>44728</v>
      </c>
      <c r="X849" s="200">
        <v>2.6854484003376231E-2</v>
      </c>
      <c r="Y849" s="209">
        <v>2.6239221340507157E-2</v>
      </c>
    </row>
    <row r="850" spans="21:25" x14ac:dyDescent="0.2">
      <c r="U850" s="213" t="str">
        <f t="shared" si="16"/>
        <v>1w</v>
      </c>
      <c r="V850" s="201">
        <f>_xll.qlCalendarAdvance(Calendar,V849,U850,"f",FALSE)</f>
        <v>44733</v>
      </c>
      <c r="W850" s="225">
        <f>_xll.qlCalendarAdvance(Calendar,V850,NDays&amp;"D")</f>
        <v>44735</v>
      </c>
      <c r="X850" s="200">
        <v>2.688773620167164E-2</v>
      </c>
      <c r="Y850" s="209">
        <v>2.62737164846083E-2</v>
      </c>
    </row>
    <row r="851" spans="21:25" x14ac:dyDescent="0.2">
      <c r="U851" s="213" t="str">
        <f t="shared" si="16"/>
        <v>1w</v>
      </c>
      <c r="V851" s="201">
        <f>_xll.qlCalendarAdvance(Calendar,V850,U851,"f",FALSE)</f>
        <v>44740</v>
      </c>
      <c r="W851" s="225">
        <f>_xll.qlCalendarAdvance(Calendar,V851,NDays&amp;"D")</f>
        <v>44742</v>
      </c>
      <c r="X851" s="200">
        <v>2.6920857291058402E-2</v>
      </c>
      <c r="Y851" s="209">
        <v>2.6308081736692301E-2</v>
      </c>
    </row>
    <row r="852" spans="21:25" x14ac:dyDescent="0.2">
      <c r="U852" s="213" t="str">
        <f t="shared" si="16"/>
        <v>1w</v>
      </c>
      <c r="V852" s="201">
        <f>_xll.qlCalendarAdvance(Calendar,V851,U852,"f",FALSE)</f>
        <v>44747</v>
      </c>
      <c r="W852" s="225">
        <f>_xll.qlCalendarAdvance(Calendar,V852,NDays&amp;"D")</f>
        <v>44749</v>
      </c>
      <c r="X852" s="200">
        <v>2.6963790708744131E-2</v>
      </c>
      <c r="Y852" s="209">
        <v>2.6342317096519352E-2</v>
      </c>
    </row>
    <row r="853" spans="21:25" x14ac:dyDescent="0.2">
      <c r="U853" s="213" t="str">
        <f t="shared" ref="U853:U916" si="17">U852</f>
        <v>1w</v>
      </c>
      <c r="V853" s="201">
        <f>_xll.qlCalendarAdvance(Calendar,V852,U853,"f",FALSE)</f>
        <v>44754</v>
      </c>
      <c r="W853" s="225">
        <f>_xll.qlCalendarAdvance(Calendar,V853,NDays&amp;"D")</f>
        <v>44756</v>
      </c>
      <c r="X853" s="200">
        <v>2.6996628791578148E-2</v>
      </c>
      <c r="Y853" s="209">
        <v>2.6376422564169388E-2</v>
      </c>
    </row>
    <row r="854" spans="21:25" x14ac:dyDescent="0.2">
      <c r="U854" s="213" t="str">
        <f t="shared" si="17"/>
        <v>1w</v>
      </c>
      <c r="V854" s="201">
        <f>_xll.qlCalendarAdvance(Calendar,V853,U854,"f",FALSE)</f>
        <v>44761</v>
      </c>
      <c r="W854" s="225">
        <f>_xll.qlCalendarAdvance(Calendar,V854,NDays&amp;"D")</f>
        <v>44763</v>
      </c>
      <c r="X854" s="200">
        <v>2.7029335724072547E-2</v>
      </c>
      <c r="Y854" s="209">
        <v>2.6410398139562474E-2</v>
      </c>
    </row>
    <row r="855" spans="21:25" x14ac:dyDescent="0.2">
      <c r="U855" s="213" t="str">
        <f t="shared" si="17"/>
        <v>1w</v>
      </c>
      <c r="V855" s="201">
        <f>_xll.qlCalendarAdvance(Calendar,V854,U855,"f",FALSE)</f>
        <v>44768</v>
      </c>
      <c r="W855" s="225">
        <f>_xll.qlCalendarAdvance(Calendar,V855,NDays&amp;"D")</f>
        <v>44770</v>
      </c>
      <c r="X855" s="200">
        <v>2.7061911499651935E-2</v>
      </c>
      <c r="Y855" s="209">
        <v>2.6444243822778546E-2</v>
      </c>
    </row>
    <row r="856" spans="21:25" x14ac:dyDescent="0.2">
      <c r="U856" s="213" t="str">
        <f t="shared" si="17"/>
        <v>1w</v>
      </c>
      <c r="V856" s="201">
        <f>_xll.qlCalendarAdvance(Calendar,V855,U856,"f",FALSE)</f>
        <v>44775</v>
      </c>
      <c r="W856" s="225">
        <f>_xll.qlCalendarAdvance(Calendar,V856,NDays&amp;"D")</f>
        <v>44777</v>
      </c>
      <c r="X856" s="200">
        <v>2.7094356111767578E-2</v>
      </c>
      <c r="Y856" s="209">
        <v>2.6477959613497859E-2</v>
      </c>
    </row>
    <row r="857" spans="21:25" x14ac:dyDescent="0.2">
      <c r="U857" s="213" t="str">
        <f t="shared" si="17"/>
        <v>1w</v>
      </c>
      <c r="V857" s="201">
        <f>_xll.qlCalendarAdvance(Calendar,V856,U857,"f",FALSE)</f>
        <v>44782</v>
      </c>
      <c r="W857" s="225">
        <f>_xll.qlCalendarAdvance(Calendar,V857,NDays&amp;"D")</f>
        <v>44784</v>
      </c>
      <c r="X857" s="200">
        <v>2.7126669553895661E-2</v>
      </c>
      <c r="Y857" s="209">
        <v>2.6511545511960222E-2</v>
      </c>
    </row>
    <row r="858" spans="21:25" x14ac:dyDescent="0.2">
      <c r="U858" s="213" t="str">
        <f t="shared" si="17"/>
        <v>1w</v>
      </c>
      <c r="V858" s="201">
        <f>_xll.qlCalendarAdvance(Calendar,V857,U858,"f",FALSE)</f>
        <v>44789</v>
      </c>
      <c r="W858" s="225">
        <f>_xll.qlCalendarAdvance(Calendar,V858,NDays&amp;"D")</f>
        <v>44791</v>
      </c>
      <c r="X858" s="200">
        <v>2.7158851819540308E-2</v>
      </c>
      <c r="Y858" s="209">
        <v>2.6545001518005762E-2</v>
      </c>
    </row>
    <row r="859" spans="21:25" x14ac:dyDescent="0.2">
      <c r="U859" s="213" t="str">
        <f t="shared" si="17"/>
        <v>1w</v>
      </c>
      <c r="V859" s="201">
        <f>_xll.qlCalendarAdvance(Calendar,V858,U859,"f",FALSE)</f>
        <v>44796</v>
      </c>
      <c r="W859" s="225">
        <f>_xll.qlCalendarAdvance(Calendar,V859,NDays&amp;"D")</f>
        <v>44798</v>
      </c>
      <c r="X859" s="200">
        <v>2.7190902902230561E-2</v>
      </c>
      <c r="Y859" s="209">
        <v>2.657832763163448E-2</v>
      </c>
    </row>
    <row r="860" spans="21:25" x14ac:dyDescent="0.2">
      <c r="U860" s="213" t="str">
        <f t="shared" si="17"/>
        <v>1w</v>
      </c>
      <c r="V860" s="201">
        <f>_xll.qlCalendarAdvance(Calendar,V859,U860,"f",FALSE)</f>
        <v>44803</v>
      </c>
      <c r="W860" s="225">
        <f>_xll.qlCalendarAdvance(Calendar,V860,NDays&amp;"D")</f>
        <v>44805</v>
      </c>
      <c r="X860" s="200">
        <v>2.7206525808334589E-2</v>
      </c>
      <c r="Y860" s="209">
        <v>2.6611523852846375E-2</v>
      </c>
    </row>
    <row r="861" spans="21:25" x14ac:dyDescent="0.2">
      <c r="U861" s="213" t="str">
        <f t="shared" si="17"/>
        <v>1w</v>
      </c>
      <c r="V861" s="201">
        <f>_xll.qlCalendarAdvance(Calendar,V860,U861,"f",FALSE)</f>
        <v>44810</v>
      </c>
      <c r="W861" s="225">
        <f>_xll.qlCalendarAdvance(Calendar,V861,NDays&amp;"D")</f>
        <v>44812</v>
      </c>
      <c r="X861" s="200">
        <v>2.7238349412713029E-2</v>
      </c>
      <c r="Y861" s="209">
        <v>2.6644590181481576E-2</v>
      </c>
    </row>
    <row r="862" spans="21:25" x14ac:dyDescent="0.2">
      <c r="U862" s="213" t="str">
        <f t="shared" si="17"/>
        <v>1w</v>
      </c>
      <c r="V862" s="201">
        <f>_xll.qlCalendarAdvance(Calendar,V861,U862,"f",FALSE)</f>
        <v>44817</v>
      </c>
      <c r="W862" s="225">
        <f>_xll.qlCalendarAdvance(Calendar,V862,NDays&amp;"D")</f>
        <v>44819</v>
      </c>
      <c r="X862" s="200">
        <v>2.7270041852619921E-2</v>
      </c>
      <c r="Y862" s="209">
        <v>2.6677526617699954E-2</v>
      </c>
    </row>
    <row r="863" spans="21:25" x14ac:dyDescent="0.2">
      <c r="U863" s="213" t="str">
        <f t="shared" si="17"/>
        <v>1w</v>
      </c>
      <c r="V863" s="201">
        <f>_xll.qlCalendarAdvance(Calendar,V862,U863,"f",FALSE)</f>
        <v>44824</v>
      </c>
      <c r="W863" s="225">
        <f>_xll.qlCalendarAdvance(Calendar,V863,NDays&amp;"D")</f>
        <v>44826</v>
      </c>
      <c r="X863" s="200">
        <v>2.7301603121852931E-2</v>
      </c>
      <c r="Y863" s="209">
        <v>2.6710333161261701E-2</v>
      </c>
    </row>
    <row r="864" spans="21:25" x14ac:dyDescent="0.2">
      <c r="U864" s="213" t="str">
        <f t="shared" si="17"/>
        <v>1w</v>
      </c>
      <c r="V864" s="201">
        <f>_xll.qlCalendarAdvance(Calendar,V863,U864,"f",FALSE)</f>
        <v>44831</v>
      </c>
      <c r="W864" s="225">
        <f>_xll.qlCalendarAdvance(Calendar,V864,NDays&amp;"D")</f>
        <v>44833</v>
      </c>
      <c r="X864" s="200">
        <v>2.7333033214237995E-2</v>
      </c>
      <c r="Y864" s="209">
        <v>2.6743009812246754E-2</v>
      </c>
    </row>
    <row r="865" spans="21:25" x14ac:dyDescent="0.2">
      <c r="U865" s="213" t="str">
        <f t="shared" si="17"/>
        <v>1w</v>
      </c>
      <c r="V865" s="201">
        <f>_xll.qlCalendarAdvance(Calendar,V864,U865,"f",FALSE)</f>
        <v>44838</v>
      </c>
      <c r="W865" s="225">
        <f>_xll.qlCalendarAdvance(Calendar,V865,NDays&amp;"D")</f>
        <v>44840</v>
      </c>
      <c r="X865" s="200">
        <v>2.7367557559791741E-2</v>
      </c>
      <c r="Y865" s="209">
        <v>2.6775556570575176E-2</v>
      </c>
    </row>
    <row r="866" spans="21:25" x14ac:dyDescent="0.2">
      <c r="U866" s="213" t="str">
        <f t="shared" si="17"/>
        <v>1w</v>
      </c>
      <c r="V866" s="201">
        <f>_xll.qlCalendarAdvance(Calendar,V865,U866,"f",FALSE)</f>
        <v>44845</v>
      </c>
      <c r="W866" s="225">
        <f>_xll.qlCalendarAdvance(Calendar,V866,NDays&amp;"D")</f>
        <v>44847</v>
      </c>
      <c r="X866" s="200">
        <v>2.7398718262413031E-2</v>
      </c>
      <c r="Y866" s="209">
        <v>2.6807973436246968E-2</v>
      </c>
    </row>
    <row r="867" spans="21:25" x14ac:dyDescent="0.2">
      <c r="U867" s="213" t="str">
        <f t="shared" si="17"/>
        <v>1w</v>
      </c>
      <c r="V867" s="201">
        <f>_xll.qlCalendarAdvance(Calendar,V866,U867,"f",FALSE)</f>
        <v>44852</v>
      </c>
      <c r="W867" s="225">
        <f>_xll.qlCalendarAdvance(Calendar,V867,NDays&amp;"D")</f>
        <v>44854</v>
      </c>
      <c r="X867" s="200">
        <v>2.7429747762112388E-2</v>
      </c>
      <c r="Y867" s="209">
        <v>2.6840260409182193E-2</v>
      </c>
    </row>
    <row r="868" spans="21:25" x14ac:dyDescent="0.2">
      <c r="U868" s="213" t="str">
        <f t="shared" si="17"/>
        <v>1w</v>
      </c>
      <c r="V868" s="201">
        <f>_xll.qlCalendarAdvance(Calendar,V867,U868,"f",FALSE)</f>
        <v>44859</v>
      </c>
      <c r="W868" s="225">
        <f>_xll.qlCalendarAdvance(Calendar,V868,NDays&amp;"D")</f>
        <v>44861</v>
      </c>
      <c r="X868" s="200">
        <v>2.7460646052786124E-2</v>
      </c>
      <c r="Y868" s="209">
        <v>2.6872417489380851E-2</v>
      </c>
    </row>
    <row r="869" spans="21:25" x14ac:dyDescent="0.2">
      <c r="U869" s="213" t="str">
        <f t="shared" si="17"/>
        <v>1w</v>
      </c>
      <c r="V869" s="201">
        <f>_xll.qlCalendarAdvance(Calendar,V868,U869,"f",FALSE)</f>
        <v>44866</v>
      </c>
      <c r="W869" s="225">
        <f>_xll.qlCalendarAdvance(Calendar,V869,NDays&amp;"D")</f>
        <v>44868</v>
      </c>
      <c r="X869" s="200">
        <v>2.7488215809082974E-2</v>
      </c>
      <c r="Y869" s="209">
        <v>2.6904444676842942E-2</v>
      </c>
    </row>
    <row r="870" spans="21:25" x14ac:dyDescent="0.2">
      <c r="U870" s="213" t="str">
        <f t="shared" si="17"/>
        <v>1w</v>
      </c>
      <c r="V870" s="201">
        <f>_xll.qlCalendarAdvance(Calendar,V869,U870,"f",FALSE)</f>
        <v>44873</v>
      </c>
      <c r="W870" s="225">
        <f>_xll.qlCalendarAdvance(Calendar,V870,NDays&amp;"D")</f>
        <v>44875</v>
      </c>
      <c r="X870" s="200">
        <v>2.7518858712124495E-2</v>
      </c>
      <c r="Y870" s="209">
        <v>2.6936341971488531E-2</v>
      </c>
    </row>
    <row r="871" spans="21:25" x14ac:dyDescent="0.2">
      <c r="U871" s="213" t="str">
        <f t="shared" si="17"/>
        <v>1w</v>
      </c>
      <c r="V871" s="201">
        <f>_xll.qlCalendarAdvance(Calendar,V870,U871,"f",FALSE)</f>
        <v>44880</v>
      </c>
      <c r="W871" s="225">
        <f>_xll.qlCalendarAdvance(Calendar,V871,NDays&amp;"D")</f>
        <v>44882</v>
      </c>
      <c r="X871" s="200">
        <v>2.7549370395806214E-2</v>
      </c>
      <c r="Y871" s="209">
        <v>2.6968109373237681E-2</v>
      </c>
    </row>
    <row r="872" spans="21:25" x14ac:dyDescent="0.2">
      <c r="U872" s="213" t="str">
        <f t="shared" si="17"/>
        <v>1w</v>
      </c>
      <c r="V872" s="201">
        <f>_xll.qlCalendarAdvance(Calendar,V871,U872,"f",FALSE)</f>
        <v>44887</v>
      </c>
      <c r="W872" s="225">
        <f>_xll.qlCalendarAdvance(Calendar,V872,NDays&amp;"D")</f>
        <v>44889</v>
      </c>
      <c r="X872" s="200">
        <v>2.7579750854157224E-2</v>
      </c>
      <c r="Y872" s="209">
        <v>2.6999746882170328E-2</v>
      </c>
    </row>
    <row r="873" spans="21:25" x14ac:dyDescent="0.2">
      <c r="U873" s="213" t="str">
        <f t="shared" si="17"/>
        <v>1w</v>
      </c>
      <c r="V873" s="201">
        <f>_xll.qlCalendarAdvance(Calendar,V872,U873,"f",FALSE)</f>
        <v>44894</v>
      </c>
      <c r="W873" s="225">
        <f>_xll.qlCalendarAdvance(Calendar,V873,NDays&amp;"D")</f>
        <v>44896</v>
      </c>
      <c r="X873" s="200">
        <v>2.7613169158880173E-2</v>
      </c>
      <c r="Y873" s="209">
        <v>2.70312544981266E-2</v>
      </c>
    </row>
    <row r="874" spans="21:25" x14ac:dyDescent="0.2">
      <c r="U874" s="213" t="str">
        <f t="shared" si="17"/>
        <v>1w</v>
      </c>
      <c r="V874" s="201">
        <f>_xll.qlCalendarAdvance(Calendar,V873,U874,"f",FALSE)</f>
        <v>44901</v>
      </c>
      <c r="W874" s="225">
        <f>_xll.qlCalendarAdvance(Calendar,V874,NDays&amp;"D")</f>
        <v>44903</v>
      </c>
      <c r="X874" s="200">
        <v>2.7643280084397096E-2</v>
      </c>
      <c r="Y874" s="209">
        <v>2.7062632221186433E-2</v>
      </c>
    </row>
    <row r="875" spans="21:25" x14ac:dyDescent="0.2">
      <c r="U875" s="213" t="str">
        <f t="shared" si="17"/>
        <v>1w</v>
      </c>
      <c r="V875" s="201">
        <f>_xll.qlCalendarAdvance(Calendar,V874,U875,"f",FALSE)</f>
        <v>44908</v>
      </c>
      <c r="W875" s="225">
        <f>_xll.qlCalendarAdvance(Calendar,V875,NDays&amp;"D")</f>
        <v>44910</v>
      </c>
      <c r="X875" s="200">
        <v>2.7673260311331955E-2</v>
      </c>
      <c r="Y875" s="209">
        <v>2.709388005111002E-2</v>
      </c>
    </row>
    <row r="876" spans="21:25" x14ac:dyDescent="0.2">
      <c r="U876" s="213" t="str">
        <f t="shared" si="17"/>
        <v>1w</v>
      </c>
      <c r="V876" s="201">
        <f>_xll.qlCalendarAdvance(Calendar,V875,U876,"f",FALSE)</f>
        <v>44915</v>
      </c>
      <c r="W876" s="225">
        <f>_xll.qlCalendarAdvance(Calendar,V876,NDays&amp;"D")</f>
        <v>44917</v>
      </c>
      <c r="X876" s="200">
        <v>2.7703110998315298E-2</v>
      </c>
      <c r="Y876" s="209">
        <v>2.7124997988137167E-2</v>
      </c>
    </row>
    <row r="877" spans="21:25" x14ac:dyDescent="0.2">
      <c r="U877" s="213" t="str">
        <f t="shared" si="17"/>
        <v>1w</v>
      </c>
      <c r="V877" s="201">
        <f>_xll.qlCalendarAdvance(Calendar,V876,U877,"f",FALSE)</f>
        <v>44922</v>
      </c>
      <c r="W877" s="225">
        <f>_xll.qlCalendarAdvance(Calendar,V877,NDays&amp;"D")</f>
        <v>44924</v>
      </c>
      <c r="X877" s="200">
        <v>2.7732833341447494E-2</v>
      </c>
      <c r="Y877" s="209">
        <v>2.7155986032108004E-2</v>
      </c>
    </row>
    <row r="878" spans="21:25" x14ac:dyDescent="0.2">
      <c r="U878" s="213" t="str">
        <f t="shared" si="17"/>
        <v>1w</v>
      </c>
      <c r="V878" s="201">
        <f>_xll.qlCalendarAdvance(Calendar,V877,U878,"f",FALSE)</f>
        <v>44929</v>
      </c>
      <c r="W878" s="225">
        <f>_xll.qlCalendarAdvance(Calendar,V878,NDays&amp;"D")</f>
        <v>44931</v>
      </c>
      <c r="X878" s="200">
        <v>2.7759293395659166E-2</v>
      </c>
      <c r="Y878" s="209">
        <v>2.7186844183022529E-2</v>
      </c>
    </row>
    <row r="879" spans="21:25" x14ac:dyDescent="0.2">
      <c r="U879" s="213" t="str">
        <f t="shared" si="17"/>
        <v>1w</v>
      </c>
      <c r="V879" s="201">
        <f>_xll.qlCalendarAdvance(Calendar,V878,U879,"f",FALSE)</f>
        <v>44936</v>
      </c>
      <c r="W879" s="225">
        <f>_xll.qlCalendarAdvance(Calendar,V879,NDays&amp;"D")</f>
        <v>44938</v>
      </c>
      <c r="X879" s="200">
        <v>2.7788769001202689E-2</v>
      </c>
      <c r="Y879" s="209">
        <v>2.7217572440800808E-2</v>
      </c>
    </row>
    <row r="880" spans="21:25" x14ac:dyDescent="0.2">
      <c r="U880" s="213" t="str">
        <f t="shared" si="17"/>
        <v>1w</v>
      </c>
      <c r="V880" s="201">
        <f>_xll.qlCalendarAdvance(Calendar,V879,U880,"f",FALSE)</f>
        <v>44943</v>
      </c>
      <c r="W880" s="225">
        <f>_xll.qlCalendarAdvance(Calendar,V880,NDays&amp;"D")</f>
        <v>44945</v>
      </c>
      <c r="X880" s="200">
        <v>2.7818119722749144E-2</v>
      </c>
      <c r="Y880" s="209">
        <v>2.7248170805362903E-2</v>
      </c>
    </row>
    <row r="881" spans="21:25" x14ac:dyDescent="0.2">
      <c r="U881" s="213" t="str">
        <f t="shared" si="17"/>
        <v>1w</v>
      </c>
      <c r="V881" s="201">
        <f>_xll.qlCalendarAdvance(Calendar,V880,U881,"f",FALSE)</f>
        <v>44950</v>
      </c>
      <c r="W881" s="225">
        <f>_xll.qlCalendarAdvance(Calendar,V881,NDays&amp;"D")</f>
        <v>44952</v>
      </c>
      <c r="X881" s="200">
        <v>2.7847346763349008E-2</v>
      </c>
      <c r="Y881" s="209">
        <v>2.7278639276788752E-2</v>
      </c>
    </row>
    <row r="882" spans="21:25" x14ac:dyDescent="0.2">
      <c r="U882" s="213" t="str">
        <f t="shared" si="17"/>
        <v>1w</v>
      </c>
      <c r="V882" s="201">
        <f>_xll.qlCalendarAdvance(Calendar,V881,U882,"f",FALSE)</f>
        <v>44957</v>
      </c>
      <c r="W882" s="225">
        <f>_xll.qlCalendarAdvance(Calendar,V882,NDays&amp;"D")</f>
        <v>44959</v>
      </c>
      <c r="X882" s="200">
        <v>2.7876451326145506E-2</v>
      </c>
      <c r="Y882" s="209">
        <v>2.7308977854998417E-2</v>
      </c>
    </row>
    <row r="883" spans="21:25" x14ac:dyDescent="0.2">
      <c r="U883" s="213" t="str">
        <f t="shared" si="17"/>
        <v>1w</v>
      </c>
      <c r="V883" s="201">
        <f>_xll.qlCalendarAdvance(Calendar,V882,U883,"f",FALSE)</f>
        <v>44964</v>
      </c>
      <c r="W883" s="225">
        <f>_xll.qlCalendarAdvance(Calendar,V883,NDays&amp;"D")</f>
        <v>44966</v>
      </c>
      <c r="X883" s="200">
        <v>2.7905434614373271E-2</v>
      </c>
      <c r="Y883" s="209">
        <v>2.7339186539911964E-2</v>
      </c>
    </row>
    <row r="884" spans="21:25" x14ac:dyDescent="0.2">
      <c r="U884" s="213" t="str">
        <f t="shared" si="17"/>
        <v>1w</v>
      </c>
      <c r="V884" s="201">
        <f>_xll.qlCalendarAdvance(Calendar,V883,U884,"f",FALSE)</f>
        <v>44971</v>
      </c>
      <c r="W884" s="225">
        <f>_xll.qlCalendarAdvance(Calendar,V884,NDays&amp;"D")</f>
        <v>44973</v>
      </c>
      <c r="X884" s="200">
        <v>2.7934297831359249E-2</v>
      </c>
      <c r="Y884" s="209">
        <v>2.7369265331609327E-2</v>
      </c>
    </row>
    <row r="885" spans="21:25" x14ac:dyDescent="0.2">
      <c r="U885" s="213" t="str">
        <f t="shared" si="17"/>
        <v>1w</v>
      </c>
      <c r="V885" s="201">
        <f>_xll.qlCalendarAdvance(Calendar,V884,U885,"f",FALSE)</f>
        <v>44978</v>
      </c>
      <c r="W885" s="225">
        <f>_xll.qlCalendarAdvance(Calendar,V885,NDays&amp;"D")</f>
        <v>44980</v>
      </c>
      <c r="X885" s="200">
        <v>2.7963042180521796E-2</v>
      </c>
      <c r="Y885" s="209">
        <v>2.7399214229930635E-2</v>
      </c>
    </row>
    <row r="886" spans="21:25" x14ac:dyDescent="0.2">
      <c r="U886" s="213" t="str">
        <f t="shared" si="17"/>
        <v>1w</v>
      </c>
      <c r="V886" s="201">
        <f>_xll.qlCalendarAdvance(Calendar,V885,U886,"f",FALSE)</f>
        <v>44985</v>
      </c>
      <c r="W886" s="225">
        <f>_xll.qlCalendarAdvance(Calendar,V886,NDays&amp;"D")</f>
        <v>44987</v>
      </c>
      <c r="X886" s="200">
        <v>2.8007102878150943E-2</v>
      </c>
      <c r="Y886" s="209">
        <v>2.7429033234955824E-2</v>
      </c>
    </row>
    <row r="887" spans="21:25" x14ac:dyDescent="0.2">
      <c r="U887" s="213" t="str">
        <f t="shared" si="17"/>
        <v>1w</v>
      </c>
      <c r="V887" s="201">
        <f>_xll.qlCalendarAdvance(Calendar,V886,U887,"f",FALSE)</f>
        <v>44992</v>
      </c>
      <c r="W887" s="225">
        <f>_xll.qlCalendarAdvance(Calendar,V887,NDays&amp;"D")</f>
        <v>44994</v>
      </c>
      <c r="X887" s="200">
        <v>2.8035585589971008E-2</v>
      </c>
      <c r="Y887" s="209">
        <v>2.7458722346525022E-2</v>
      </c>
    </row>
    <row r="888" spans="21:25" x14ac:dyDescent="0.2">
      <c r="U888" s="213" t="str">
        <f t="shared" si="17"/>
        <v>1w</v>
      </c>
      <c r="V888" s="201">
        <f>_xll.qlCalendarAdvance(Calendar,V887,U888,"f",FALSE)</f>
        <v>44999</v>
      </c>
      <c r="W888" s="225">
        <f>_xll.qlCalendarAdvance(Calendar,V888,NDays&amp;"D")</f>
        <v>45001</v>
      </c>
      <c r="X888" s="200">
        <v>2.8063953418201122E-2</v>
      </c>
      <c r="Y888" s="209">
        <v>2.7488281564718164E-2</v>
      </c>
    </row>
    <row r="889" spans="21:25" x14ac:dyDescent="0.2">
      <c r="U889" s="213" t="str">
        <f t="shared" si="17"/>
        <v>1w</v>
      </c>
      <c r="V889" s="201">
        <f>_xll.qlCalendarAdvance(Calendar,V888,U889,"f",FALSE)</f>
        <v>45006</v>
      </c>
      <c r="W889" s="225">
        <f>_xll.qlCalendarAdvance(Calendar,V889,NDays&amp;"D")</f>
        <v>45008</v>
      </c>
      <c r="X889" s="200">
        <v>2.8092207534473539E-2</v>
      </c>
      <c r="Y889" s="209">
        <v>2.7517710889535252E-2</v>
      </c>
    </row>
    <row r="890" spans="21:25" x14ac:dyDescent="0.2">
      <c r="U890" s="213" t="str">
        <f t="shared" si="17"/>
        <v>1w</v>
      </c>
      <c r="V890" s="201">
        <f>_xll.qlCalendarAdvance(Calendar,V889,U890,"f",FALSE)</f>
        <v>45013</v>
      </c>
      <c r="W890" s="225">
        <f>_xll.qlCalendarAdvance(Calendar,V890,NDays&amp;"D")</f>
        <v>45015</v>
      </c>
      <c r="X890" s="200">
        <v>2.8111154453750582E-2</v>
      </c>
      <c r="Y890" s="209">
        <v>2.7547010320816412E-2</v>
      </c>
    </row>
    <row r="891" spans="21:25" x14ac:dyDescent="0.2">
      <c r="U891" s="213" t="str">
        <f t="shared" si="17"/>
        <v>1w</v>
      </c>
      <c r="V891" s="201">
        <f>_xll.qlCalendarAdvance(Calendar,V890,U891,"f",FALSE)</f>
        <v>45020</v>
      </c>
      <c r="W891" s="225">
        <f>_xll.qlCalendarAdvance(Calendar,V891,NDays&amp;"D")</f>
        <v>45022</v>
      </c>
      <c r="X891" s="200">
        <v>2.813920038151611E-2</v>
      </c>
      <c r="Y891" s="209">
        <v>2.7588715071381387E-2</v>
      </c>
    </row>
    <row r="892" spans="21:25" x14ac:dyDescent="0.2">
      <c r="U892" s="213" t="str">
        <f t="shared" si="17"/>
        <v>1w</v>
      </c>
      <c r="V892" s="201">
        <f>_xll.qlCalendarAdvance(Calendar,V891,U892,"f",FALSE)</f>
        <v>45027</v>
      </c>
      <c r="W892" s="225">
        <f>_xll.qlCalendarAdvance(Calendar,V892,NDays&amp;"D")</f>
        <v>45029</v>
      </c>
      <c r="X892" s="200">
        <v>2.816713596762583E-2</v>
      </c>
      <c r="Y892" s="209">
        <v>2.760521950277095E-2</v>
      </c>
    </row>
    <row r="893" spans="21:25" x14ac:dyDescent="0.2">
      <c r="U893" s="213" t="str">
        <f t="shared" si="17"/>
        <v>1w</v>
      </c>
      <c r="V893" s="201">
        <f>_xll.qlCalendarAdvance(Calendar,V892,U893,"f",FALSE)</f>
        <v>45034</v>
      </c>
      <c r="W893" s="225">
        <f>_xll.qlCalendarAdvance(Calendar,V893,NDays&amp;"D")</f>
        <v>45036</v>
      </c>
      <c r="X893" s="200">
        <v>2.8194962403133111E-2</v>
      </c>
      <c r="Y893" s="209">
        <v>2.7634129253524264E-2</v>
      </c>
    </row>
    <row r="894" spans="21:25" x14ac:dyDescent="0.2">
      <c r="U894" s="213" t="str">
        <f t="shared" si="17"/>
        <v>1w</v>
      </c>
      <c r="V894" s="201">
        <f>_xll.qlCalendarAdvance(Calendar,V893,U894,"f",FALSE)</f>
        <v>45041</v>
      </c>
      <c r="W894" s="225">
        <f>_xll.qlCalendarAdvance(Calendar,V894,NDays&amp;"D")</f>
        <v>45043</v>
      </c>
      <c r="X894" s="200">
        <v>2.8222680879174761E-2</v>
      </c>
      <c r="Y894" s="209">
        <v>2.7662909110501843E-2</v>
      </c>
    </row>
    <row r="895" spans="21:25" x14ac:dyDescent="0.2">
      <c r="U895" s="213" t="str">
        <f t="shared" si="17"/>
        <v>1w</v>
      </c>
      <c r="V895" s="201">
        <f>_xll.qlCalendarAdvance(Calendar,V894,U895,"f",FALSE)</f>
        <v>45048</v>
      </c>
      <c r="W895" s="225">
        <f>_xll.qlCalendarAdvance(Calendar,V895,NDays&amp;"D")</f>
        <v>45050</v>
      </c>
      <c r="X895" s="200">
        <v>2.8259409903352919E-2</v>
      </c>
      <c r="Y895" s="209">
        <v>2.7691559073943495E-2</v>
      </c>
    </row>
    <row r="896" spans="21:25" x14ac:dyDescent="0.2">
      <c r="U896" s="213" t="str">
        <f t="shared" si="17"/>
        <v>1w</v>
      </c>
      <c r="V896" s="201">
        <f>_xll.qlCalendarAdvance(Calendar,V895,U896,"f",FALSE)</f>
        <v>45055</v>
      </c>
      <c r="W896" s="225">
        <f>_xll.qlCalendarAdvance(Calendar,V896,NDays&amp;"D")</f>
        <v>45057</v>
      </c>
      <c r="X896" s="200">
        <v>2.8286900848897858E-2</v>
      </c>
      <c r="Y896" s="209">
        <v>2.7720079143689347E-2</v>
      </c>
    </row>
    <row r="897" spans="21:25" x14ac:dyDescent="0.2">
      <c r="U897" s="213" t="str">
        <f t="shared" si="17"/>
        <v>1w</v>
      </c>
      <c r="V897" s="201">
        <f>_xll.qlCalendarAdvance(Calendar,V896,U897,"f",FALSE)</f>
        <v>45062</v>
      </c>
      <c r="W897" s="225">
        <f>_xll.qlCalendarAdvance(Calendar,V897,NDays&amp;"D")</f>
        <v>45064</v>
      </c>
      <c r="X897" s="200">
        <v>2.8314287458641726E-2</v>
      </c>
      <c r="Y897" s="209">
        <v>2.7748469319739399E-2</v>
      </c>
    </row>
    <row r="898" spans="21:25" x14ac:dyDescent="0.2">
      <c r="U898" s="213" t="str">
        <f t="shared" si="17"/>
        <v>1w</v>
      </c>
      <c r="V898" s="201">
        <f>_xll.qlCalendarAdvance(Calendar,V897,U898,"f",FALSE)</f>
        <v>45069</v>
      </c>
      <c r="W898" s="225">
        <f>_xll.qlCalendarAdvance(Calendar,V898,NDays&amp;"D")</f>
        <v>45071</v>
      </c>
      <c r="X898" s="200">
        <v>2.8341570904980032E-2</v>
      </c>
      <c r="Y898" s="209">
        <v>2.7776729602013717E-2</v>
      </c>
    </row>
    <row r="899" spans="21:25" x14ac:dyDescent="0.2">
      <c r="U899" s="213" t="str">
        <f t="shared" si="17"/>
        <v>1w</v>
      </c>
      <c r="V899" s="201">
        <f>_xll.qlCalendarAdvance(Calendar,V898,U899,"f",FALSE)</f>
        <v>45076</v>
      </c>
      <c r="W899" s="225">
        <f>_xll.qlCalendarAdvance(Calendar,V899,NDays&amp;"D")</f>
        <v>45078</v>
      </c>
      <c r="X899" s="200">
        <v>2.8359695563054902E-2</v>
      </c>
      <c r="Y899" s="209">
        <v>2.7804859990592234E-2</v>
      </c>
    </row>
    <row r="900" spans="21:25" x14ac:dyDescent="0.2">
      <c r="U900" s="213" t="str">
        <f t="shared" si="17"/>
        <v>1w</v>
      </c>
      <c r="V900" s="201">
        <f>_xll.qlCalendarAdvance(Calendar,V899,U900,"f",FALSE)</f>
        <v>45083</v>
      </c>
      <c r="W900" s="225">
        <f>_xll.qlCalendarAdvance(Calendar,V900,NDays&amp;"D")</f>
        <v>45085</v>
      </c>
      <c r="X900" s="200">
        <v>2.838679128516201E-2</v>
      </c>
      <c r="Y900" s="209">
        <v>2.7832864364132348E-2</v>
      </c>
    </row>
    <row r="901" spans="21:25" x14ac:dyDescent="0.2">
      <c r="U901" s="213" t="str">
        <f t="shared" si="17"/>
        <v>1w</v>
      </c>
      <c r="V901" s="201">
        <f>_xll.qlCalendarAdvance(Calendar,V900,U901,"f",FALSE)</f>
        <v>45090</v>
      </c>
      <c r="W901" s="225">
        <f>_xll.qlCalendarAdvance(Calendar,V901,NDays&amp;"D")</f>
        <v>45092</v>
      </c>
      <c r="X901" s="200">
        <v>2.8413786838396581E-2</v>
      </c>
      <c r="Y901" s="209">
        <v>2.7860765784746278E-2</v>
      </c>
    </row>
    <row r="902" spans="21:25" x14ac:dyDescent="0.2">
      <c r="U902" s="213" t="str">
        <f t="shared" si="17"/>
        <v>1w</v>
      </c>
      <c r="V902" s="201">
        <f>_xll.qlCalendarAdvance(Calendar,V901,U902,"f",FALSE)</f>
        <v>45097</v>
      </c>
      <c r="W902" s="225">
        <f>_xll.qlCalendarAdvance(Calendar,V902,NDays&amp;"D")</f>
        <v>45099</v>
      </c>
      <c r="X902" s="200">
        <v>2.8440682255872669E-2</v>
      </c>
      <c r="Y902" s="209">
        <v>2.7888568131171354E-2</v>
      </c>
    </row>
    <row r="903" spans="21:25" x14ac:dyDescent="0.2">
      <c r="U903" s="213" t="str">
        <f t="shared" si="17"/>
        <v>1w</v>
      </c>
      <c r="V903" s="201">
        <f>_xll.qlCalendarAdvance(Calendar,V902,U903,"f",FALSE)</f>
        <v>45104</v>
      </c>
      <c r="W903" s="225">
        <f>_xll.qlCalendarAdvance(Calendar,V903,NDays&amp;"D")</f>
        <v>45106</v>
      </c>
      <c r="X903" s="200">
        <v>2.8467477533531006E-2</v>
      </c>
      <c r="Y903" s="209">
        <v>2.7916271403407578E-2</v>
      </c>
    </row>
    <row r="904" spans="21:25" x14ac:dyDescent="0.2">
      <c r="U904" s="213" t="str">
        <f t="shared" si="17"/>
        <v>1w</v>
      </c>
      <c r="V904" s="201">
        <f>_xll.qlCalendarAdvance(Calendar,V903,U904,"f",FALSE)</f>
        <v>45111</v>
      </c>
      <c r="W904" s="225">
        <f>_xll.qlCalendarAdvance(Calendar,V904,NDays&amp;"D")</f>
        <v>45113</v>
      </c>
      <c r="X904" s="200">
        <v>2.85031537799505E-2</v>
      </c>
      <c r="Y904" s="209">
        <v>2.7943875601375012E-2</v>
      </c>
    </row>
    <row r="905" spans="21:25" x14ac:dyDescent="0.2">
      <c r="U905" s="213" t="str">
        <f t="shared" si="17"/>
        <v>1w</v>
      </c>
      <c r="V905" s="201">
        <f>_xll.qlCalendarAdvance(Calendar,V904,U905,"f",FALSE)</f>
        <v>45118</v>
      </c>
      <c r="W905" s="225">
        <f>_xll.qlCalendarAdvance(Calendar,V905,NDays&amp;"D")</f>
        <v>45120</v>
      </c>
      <c r="X905" s="200">
        <v>2.8529733573339995E-2</v>
      </c>
      <c r="Y905" s="209">
        <v>2.7971380725153594E-2</v>
      </c>
    </row>
    <row r="906" spans="21:25" x14ac:dyDescent="0.2">
      <c r="U906" s="213" t="str">
        <f t="shared" si="17"/>
        <v>1w</v>
      </c>
      <c r="V906" s="201">
        <f>_xll.qlCalendarAdvance(Calendar,V905,U906,"f",FALSE)</f>
        <v>45125</v>
      </c>
      <c r="W906" s="225">
        <f>_xll.qlCalendarAdvance(Calendar,V906,NDays&amp;"D")</f>
        <v>45127</v>
      </c>
      <c r="X906" s="200">
        <v>2.8556213196114032E-2</v>
      </c>
      <c r="Y906" s="209">
        <v>2.7998786774663387E-2</v>
      </c>
    </row>
    <row r="907" spans="21:25" x14ac:dyDescent="0.2">
      <c r="U907" s="213" t="str">
        <f t="shared" si="17"/>
        <v>1w</v>
      </c>
      <c r="V907" s="201">
        <f>_xll.qlCalendarAdvance(Calendar,V906,U907,"f",FALSE)</f>
        <v>45132</v>
      </c>
      <c r="W907" s="225">
        <f>_xll.qlCalendarAdvance(Calendar,V907,NDays&amp;"D")</f>
        <v>45134</v>
      </c>
      <c r="X907" s="200">
        <v>2.8582592644210914E-2</v>
      </c>
      <c r="Y907" s="209">
        <v>2.8026093749824454E-2</v>
      </c>
    </row>
    <row r="908" spans="21:25" x14ac:dyDescent="0.2">
      <c r="U908" s="213" t="str">
        <f t="shared" si="17"/>
        <v>1w</v>
      </c>
      <c r="V908" s="201">
        <f>_xll.qlCalendarAdvance(Calendar,V907,U908,"f",FALSE)</f>
        <v>45139</v>
      </c>
      <c r="W908" s="225">
        <f>_xll.qlCalendarAdvance(Calendar,V908,NDays&amp;"D")</f>
        <v>45141</v>
      </c>
      <c r="X908" s="200">
        <v>2.8608871913584844E-2</v>
      </c>
      <c r="Y908" s="209">
        <v>2.8053301650636797E-2</v>
      </c>
    </row>
    <row r="909" spans="21:25" x14ac:dyDescent="0.2">
      <c r="U909" s="213" t="str">
        <f t="shared" si="17"/>
        <v>1w</v>
      </c>
      <c r="V909" s="201">
        <f>_xll.qlCalendarAdvance(Calendar,V908,U909,"f",FALSE)</f>
        <v>45146</v>
      </c>
      <c r="W909" s="225">
        <f>_xll.qlCalendarAdvance(Calendar,V909,NDays&amp;"D")</f>
        <v>45148</v>
      </c>
      <c r="X909" s="200">
        <v>2.8635051000205497E-2</v>
      </c>
      <c r="Y909" s="209">
        <v>2.8080410477180351E-2</v>
      </c>
    </row>
    <row r="910" spans="21:25" x14ac:dyDescent="0.2">
      <c r="U910" s="213" t="str">
        <f t="shared" si="17"/>
        <v>1w</v>
      </c>
      <c r="V910" s="201">
        <f>_xll.qlCalendarAdvance(Calendar,V909,U910,"f",FALSE)</f>
        <v>45153</v>
      </c>
      <c r="W910" s="225">
        <f>_xll.qlCalendarAdvance(Calendar,V910,NDays&amp;"D")</f>
        <v>45155</v>
      </c>
      <c r="X910" s="200">
        <v>2.8661129900057595E-2</v>
      </c>
      <c r="Y910" s="209">
        <v>2.8107420229455116E-2</v>
      </c>
    </row>
    <row r="911" spans="21:25" x14ac:dyDescent="0.2">
      <c r="U911" s="213" t="str">
        <f t="shared" si="17"/>
        <v>1w</v>
      </c>
      <c r="V911" s="201">
        <f>_xll.qlCalendarAdvance(Calendar,V910,U911,"f",FALSE)</f>
        <v>45160</v>
      </c>
      <c r="W911" s="225">
        <f>_xll.qlCalendarAdvance(Calendar,V911,NDays&amp;"D")</f>
        <v>45162</v>
      </c>
      <c r="X911" s="200">
        <v>2.868710860914046E-2</v>
      </c>
      <c r="Y911" s="209">
        <v>2.8134330907221283E-2</v>
      </c>
    </row>
    <row r="912" spans="21:25" x14ac:dyDescent="0.2">
      <c r="U912" s="213" t="str">
        <f t="shared" si="17"/>
        <v>1w</v>
      </c>
      <c r="V912" s="201">
        <f>_xll.qlCalendarAdvance(Calendar,V911,U912,"f",FALSE)</f>
        <v>45167</v>
      </c>
      <c r="W912" s="225">
        <f>_xll.qlCalendarAdvance(Calendar,V912,NDays&amp;"D")</f>
        <v>45169</v>
      </c>
      <c r="X912" s="200">
        <v>2.8701174394061158E-2</v>
      </c>
      <c r="Y912" s="209">
        <v>2.816114251055879E-2</v>
      </c>
    </row>
    <row r="913" spans="21:25" x14ac:dyDescent="0.2">
      <c r="U913" s="213" t="str">
        <f t="shared" si="17"/>
        <v>1w</v>
      </c>
      <c r="V913" s="201">
        <f>_xll.qlCalendarAdvance(Calendar,V912,U913,"f",FALSE)</f>
        <v>45174</v>
      </c>
      <c r="W913" s="225">
        <f>_xll.qlCalendarAdvance(Calendar,V913,NDays&amp;"D")</f>
        <v>45176</v>
      </c>
      <c r="X913" s="200">
        <v>2.8726973166831996E-2</v>
      </c>
      <c r="Y913" s="209">
        <v>2.8187855039547571E-2</v>
      </c>
    </row>
    <row r="914" spans="21:25" x14ac:dyDescent="0.2">
      <c r="U914" s="213" t="str">
        <f t="shared" si="17"/>
        <v>1w</v>
      </c>
      <c r="V914" s="201">
        <f>_xll.qlCalendarAdvance(Calendar,V913,U914,"f",FALSE)</f>
        <v>45181</v>
      </c>
      <c r="W914" s="225">
        <f>_xll.qlCalendarAdvance(Calendar,V914,NDays&amp;"D")</f>
        <v>45183</v>
      </c>
      <c r="X914" s="200">
        <v>2.8752671762534876E-2</v>
      </c>
      <c r="Y914" s="209">
        <v>2.821446849394782E-2</v>
      </c>
    </row>
    <row r="915" spans="21:25" x14ac:dyDescent="0.2">
      <c r="U915" s="213" t="str">
        <f t="shared" si="17"/>
        <v>1w</v>
      </c>
      <c r="V915" s="201">
        <f>_xll.qlCalendarAdvance(Calendar,V914,U915,"f",FALSE)</f>
        <v>45188</v>
      </c>
      <c r="W915" s="225">
        <f>_xll.qlCalendarAdvance(Calendar,V915,NDays&amp;"D")</f>
        <v>45190</v>
      </c>
      <c r="X915" s="200">
        <v>2.8778270177312659E-2</v>
      </c>
      <c r="Y915" s="209">
        <v>2.8240982873999343E-2</v>
      </c>
    </row>
    <row r="916" spans="21:25" x14ac:dyDescent="0.2">
      <c r="U916" s="213" t="str">
        <f t="shared" si="17"/>
        <v>1w</v>
      </c>
      <c r="V916" s="201">
        <f>_xll.qlCalendarAdvance(Calendar,V915,U916,"f",FALSE)</f>
        <v>45195</v>
      </c>
      <c r="W916" s="225">
        <f>_xll.qlCalendarAdvance(Calendar,V916,NDays&amp;"D")</f>
        <v>45197</v>
      </c>
      <c r="X916" s="200">
        <v>2.8803768407323148E-2</v>
      </c>
      <c r="Y916" s="209">
        <v>2.8267398179462333E-2</v>
      </c>
    </row>
    <row r="917" spans="21:25" x14ac:dyDescent="0.2">
      <c r="U917" s="213" t="str">
        <f t="shared" ref="U917:U980" si="18">U916</f>
        <v>1w</v>
      </c>
      <c r="V917" s="201">
        <f>_xll.qlCalendarAdvance(Calendar,V916,U917,"f",FALSE)</f>
        <v>45202</v>
      </c>
      <c r="W917" s="225">
        <f>_xll.qlCalendarAdvance(Calendar,V917,NDays&amp;"D")</f>
        <v>45204</v>
      </c>
      <c r="X917" s="200">
        <v>2.8832094503078755E-2</v>
      </c>
      <c r="Y917" s="209">
        <v>2.8293714410496662E-2</v>
      </c>
    </row>
    <row r="918" spans="21:25" x14ac:dyDescent="0.2">
      <c r="U918" s="213" t="str">
        <f t="shared" si="18"/>
        <v>1w</v>
      </c>
      <c r="V918" s="201">
        <f>_xll.qlCalendarAdvance(Calendar,V917,U918,"f",FALSE)</f>
        <v>45209</v>
      </c>
      <c r="W918" s="225">
        <f>_xll.qlCalendarAdvance(Calendar,V918,NDays&amp;"D")</f>
        <v>45211</v>
      </c>
      <c r="X918" s="200">
        <v>2.8857387206715164E-2</v>
      </c>
      <c r="Y918" s="209">
        <v>2.8319931567022394E-2</v>
      </c>
    </row>
    <row r="919" spans="21:25" x14ac:dyDescent="0.2">
      <c r="U919" s="213" t="str">
        <f t="shared" si="18"/>
        <v>1w</v>
      </c>
      <c r="V919" s="201">
        <f>_xll.qlCalendarAdvance(Calendar,V918,U919,"f",FALSE)</f>
        <v>45216</v>
      </c>
      <c r="W919" s="225">
        <f>_xll.qlCalendarAdvance(Calendar,V919,NDays&amp;"D")</f>
        <v>45218</v>
      </c>
      <c r="X919" s="200">
        <v>2.888257970764992E-2</v>
      </c>
      <c r="Y919" s="209">
        <v>2.8346049648879657E-2</v>
      </c>
    </row>
    <row r="920" spans="21:25" x14ac:dyDescent="0.2">
      <c r="U920" s="213" t="str">
        <f t="shared" si="18"/>
        <v>1w</v>
      </c>
      <c r="V920" s="201">
        <f>_xll.qlCalendarAdvance(Calendar,V919,U920,"f",FALSE)</f>
        <v>45223</v>
      </c>
      <c r="W920" s="225">
        <f>_xll.qlCalendarAdvance(Calendar,V920,NDays&amp;"D")</f>
        <v>45225</v>
      </c>
      <c r="X920" s="200">
        <v>2.8907672002080161E-2</v>
      </c>
      <c r="Y920" s="209">
        <v>2.8372068656228322E-2</v>
      </c>
    </row>
    <row r="921" spans="21:25" x14ac:dyDescent="0.2">
      <c r="U921" s="213" t="str">
        <f t="shared" si="18"/>
        <v>1w</v>
      </c>
      <c r="V921" s="201">
        <f>_xll.qlCalendarAdvance(Calendar,V920,U921,"f",FALSE)</f>
        <v>45230</v>
      </c>
      <c r="W921" s="225">
        <f>_xll.qlCalendarAdvance(Calendar,V921,NDays&amp;"D")</f>
        <v>45232</v>
      </c>
      <c r="X921" s="200">
        <v>2.8929756652443663E-2</v>
      </c>
      <c r="Y921" s="209">
        <v>2.8397988588988454E-2</v>
      </c>
    </row>
    <row r="922" spans="21:25" x14ac:dyDescent="0.2">
      <c r="U922" s="213" t="str">
        <f t="shared" si="18"/>
        <v>1w</v>
      </c>
      <c r="V922" s="201">
        <f>_xll.qlCalendarAdvance(Calendar,V921,U922,"f",FALSE)</f>
        <v>45237</v>
      </c>
      <c r="W922" s="225">
        <f>_xll.qlCalendarAdvance(Calendar,V922,NDays&amp;"D")</f>
        <v>45239</v>
      </c>
      <c r="X922" s="200">
        <v>2.8954653694006554E-2</v>
      </c>
      <c r="Y922" s="209">
        <v>2.8423809447080117E-2</v>
      </c>
    </row>
    <row r="923" spans="21:25" x14ac:dyDescent="0.2">
      <c r="U923" s="213" t="str">
        <f t="shared" si="18"/>
        <v>1w</v>
      </c>
      <c r="V923" s="201">
        <f>_xll.qlCalendarAdvance(Calendar,V922,U923,"f",FALSE)</f>
        <v>45244</v>
      </c>
      <c r="W923" s="225">
        <f>_xll.qlCalendarAdvance(Calendar,V923,NDays&amp;"D")</f>
        <v>45246</v>
      </c>
      <c r="X923" s="200">
        <v>2.8979450524327946E-2</v>
      </c>
      <c r="Y923" s="209">
        <v>2.8449531230503311E-2</v>
      </c>
    </row>
    <row r="924" spans="21:25" x14ac:dyDescent="0.2">
      <c r="U924" s="213" t="str">
        <f t="shared" si="18"/>
        <v>1w</v>
      </c>
      <c r="V924" s="201">
        <f>_xll.qlCalendarAdvance(Calendar,V923,U924,"f",FALSE)</f>
        <v>45251</v>
      </c>
      <c r="W924" s="225">
        <f>_xll.qlCalendarAdvance(Calendar,V924,NDays&amp;"D")</f>
        <v>45253</v>
      </c>
      <c r="X924" s="200">
        <v>2.9004147139685098E-2</v>
      </c>
      <c r="Y924" s="209">
        <v>2.8475153939258036E-2</v>
      </c>
    </row>
    <row r="925" spans="21:25" x14ac:dyDescent="0.2">
      <c r="U925" s="213" t="str">
        <f t="shared" si="18"/>
        <v>1w</v>
      </c>
      <c r="V925" s="201">
        <f>_xll.qlCalendarAdvance(Calendar,V924,U925,"f",FALSE)</f>
        <v>45258</v>
      </c>
      <c r="W925" s="225">
        <f>_xll.qlCalendarAdvance(Calendar,V925,NDays&amp;"D")</f>
        <v>45260</v>
      </c>
      <c r="X925" s="200">
        <v>2.9031630244657321E-2</v>
      </c>
      <c r="Y925" s="209">
        <v>2.8500677573264355E-2</v>
      </c>
    </row>
    <row r="926" spans="21:25" x14ac:dyDescent="0.2">
      <c r="U926" s="213" t="str">
        <f t="shared" si="18"/>
        <v>1w</v>
      </c>
      <c r="V926" s="201">
        <f>_xll.qlCalendarAdvance(Calendar,V925,U926,"f",FALSE)</f>
        <v>45265</v>
      </c>
      <c r="W926" s="225">
        <f>_xll.qlCalendarAdvance(Calendar,V926,NDays&amp;"D")</f>
        <v>45267</v>
      </c>
      <c r="X926" s="200">
        <v>2.9056121171572212E-2</v>
      </c>
      <c r="Y926" s="209">
        <v>2.8526102132682141E-2</v>
      </c>
    </row>
    <row r="927" spans="21:25" x14ac:dyDescent="0.2">
      <c r="U927" s="213" t="str">
        <f t="shared" si="18"/>
        <v>1w</v>
      </c>
      <c r="V927" s="201">
        <f>_xll.qlCalendarAdvance(Calendar,V926,U927,"f",FALSE)</f>
        <v>45272</v>
      </c>
      <c r="W927" s="225">
        <f>_xll.qlCalendarAdvance(Calendar,V927,NDays&amp;"D")</f>
        <v>45274</v>
      </c>
      <c r="X927" s="200">
        <v>2.9080510935455928E-2</v>
      </c>
      <c r="Y927" s="209">
        <v>2.8551427617431457E-2</v>
      </c>
    </row>
    <row r="928" spans="21:25" x14ac:dyDescent="0.2">
      <c r="U928" s="213" t="str">
        <f t="shared" si="18"/>
        <v>1w</v>
      </c>
      <c r="V928" s="201">
        <f>_xll.qlCalendarAdvance(Calendar,V927,U928,"f",FALSE)</f>
        <v>45279</v>
      </c>
      <c r="W928" s="225">
        <f>_xll.qlCalendarAdvance(Calendar,V928,NDays&amp;"D")</f>
        <v>45281</v>
      </c>
      <c r="X928" s="200">
        <v>2.910479796190928E-2</v>
      </c>
      <c r="Y928" s="209">
        <v>2.8576654027272497E-2</v>
      </c>
    </row>
    <row r="929" spans="21:25" x14ac:dyDescent="0.2">
      <c r="U929" s="213" t="str">
        <f t="shared" si="18"/>
        <v>1w</v>
      </c>
      <c r="V929" s="201">
        <f>_xll.qlCalendarAdvance(Calendar,V928,U929,"f",FALSE)</f>
        <v>45287</v>
      </c>
      <c r="W929" s="225">
        <f>_xll.qlCalendarAdvance(Calendar,V929,NDays&amp;"D")</f>
        <v>45289</v>
      </c>
      <c r="X929" s="200">
        <v>2.9129563028913699E-2</v>
      </c>
      <c r="Y929" s="209">
        <v>2.8614141041645169E-2</v>
      </c>
    </row>
    <row r="930" spans="21:25" x14ac:dyDescent="0.2">
      <c r="U930" s="213" t="str">
        <f t="shared" si="18"/>
        <v>1w</v>
      </c>
      <c r="V930" s="201">
        <f>_xll.qlCalendarAdvance(Calendar,V929,U930,"f",FALSE)</f>
        <v>45294</v>
      </c>
      <c r="W930" s="225">
        <f>_xll.qlCalendarAdvance(Calendar,V930,NDays&amp;"D")</f>
        <v>45296</v>
      </c>
      <c r="X930" s="200">
        <v>2.915363062742872E-2</v>
      </c>
      <c r="Y930" s="209">
        <v>2.8636219250479655E-2</v>
      </c>
    </row>
    <row r="931" spans="21:25" x14ac:dyDescent="0.2">
      <c r="U931" s="213" t="str">
        <f t="shared" si="18"/>
        <v>1w</v>
      </c>
      <c r="V931" s="201">
        <f>_xll.qlCalendarAdvance(Calendar,V930,U931,"f",FALSE)</f>
        <v>45301</v>
      </c>
      <c r="W931" s="225">
        <f>_xll.qlCalendarAdvance(Calendar,V931,NDays&amp;"D")</f>
        <v>45303</v>
      </c>
      <c r="X931" s="200">
        <v>2.9177590669131934E-2</v>
      </c>
      <c r="Y931" s="209">
        <v>2.8661124091948764E-2</v>
      </c>
    </row>
    <row r="932" spans="21:25" x14ac:dyDescent="0.2">
      <c r="U932" s="213" t="str">
        <f t="shared" si="18"/>
        <v>1w</v>
      </c>
      <c r="V932" s="201">
        <f>_xll.qlCalendarAdvance(Calendar,V931,U932,"f",FALSE)</f>
        <v>45308</v>
      </c>
      <c r="W932" s="225">
        <f>_xll.qlCalendarAdvance(Calendar,V932,NDays&amp;"D")</f>
        <v>45310</v>
      </c>
      <c r="X932" s="200">
        <v>2.920144154990606E-2</v>
      </c>
      <c r="Y932" s="209">
        <v>2.8685929846226088E-2</v>
      </c>
    </row>
    <row r="933" spans="21:25" x14ac:dyDescent="0.2">
      <c r="U933" s="213" t="str">
        <f t="shared" si="18"/>
        <v>1w</v>
      </c>
      <c r="V933" s="201">
        <f>_xll.qlCalendarAdvance(Calendar,V932,U933,"f",FALSE)</f>
        <v>45315</v>
      </c>
      <c r="W933" s="225">
        <f>_xll.qlCalendarAdvance(Calendar,V933,NDays&amp;"D")</f>
        <v>45317</v>
      </c>
      <c r="X933" s="200">
        <v>2.9225181665576284E-2</v>
      </c>
      <c r="Y933" s="209">
        <v>2.8710636513284982E-2</v>
      </c>
    </row>
    <row r="934" spans="21:25" x14ac:dyDescent="0.2">
      <c r="U934" s="213" t="str">
        <f t="shared" si="18"/>
        <v>1w</v>
      </c>
      <c r="V934" s="201">
        <f>_xll.qlCalendarAdvance(Calendar,V933,U934,"f",FALSE)</f>
        <v>45322</v>
      </c>
      <c r="W934" s="225">
        <f>_xll.qlCalendarAdvance(Calendar,V934,NDays&amp;"D")</f>
        <v>45324</v>
      </c>
      <c r="X934" s="200">
        <v>2.9248809411908935E-2</v>
      </c>
      <c r="Y934" s="209">
        <v>2.8735244093018864E-2</v>
      </c>
    </row>
    <row r="935" spans="21:25" x14ac:dyDescent="0.2">
      <c r="U935" s="213" t="str">
        <f t="shared" si="18"/>
        <v>1w</v>
      </c>
      <c r="V935" s="201">
        <f>_xll.qlCalendarAdvance(Calendar,V934,U935,"f",FALSE)</f>
        <v>45329</v>
      </c>
      <c r="W935" s="225">
        <f>_xll.qlCalendarAdvance(Calendar,V935,NDays&amp;"D")</f>
        <v>45331</v>
      </c>
      <c r="X935" s="200">
        <v>2.9272323184613692E-2</v>
      </c>
      <c r="Y935" s="209">
        <v>2.8759752585374443E-2</v>
      </c>
    </row>
    <row r="936" spans="21:25" x14ac:dyDescent="0.2">
      <c r="U936" s="213" t="str">
        <f t="shared" si="18"/>
        <v>1w</v>
      </c>
      <c r="V936" s="201">
        <f>_xll.qlCalendarAdvance(Calendar,V935,U936,"f",FALSE)</f>
        <v>45336</v>
      </c>
      <c r="W936" s="225">
        <f>_xll.qlCalendarAdvance(Calendar,V936,NDays&amp;"D")</f>
        <v>45338</v>
      </c>
      <c r="X936" s="200">
        <v>2.9295721379346197E-2</v>
      </c>
      <c r="Y936" s="209">
        <v>2.8784161990325074E-2</v>
      </c>
    </row>
    <row r="937" spans="21:25" x14ac:dyDescent="0.2">
      <c r="U937" s="213" t="str">
        <f t="shared" si="18"/>
        <v>1w</v>
      </c>
      <c r="V937" s="201">
        <f>_xll.qlCalendarAdvance(Calendar,V936,U937,"f",FALSE)</f>
        <v>45343</v>
      </c>
      <c r="W937" s="225">
        <f>_xll.qlCalendarAdvance(Calendar,V937,NDays&amp;"D")</f>
        <v>45345</v>
      </c>
      <c r="X937" s="200">
        <v>2.9319002391704572E-2</v>
      </c>
      <c r="Y937" s="209">
        <v>2.8808472307764177E-2</v>
      </c>
    </row>
    <row r="938" spans="21:25" x14ac:dyDescent="0.2">
      <c r="U938" s="213" t="str">
        <f t="shared" si="18"/>
        <v>1w</v>
      </c>
      <c r="V938" s="201">
        <f>_xll.qlCalendarAdvance(Calendar,V937,U938,"f",FALSE)</f>
        <v>45350</v>
      </c>
      <c r="W938" s="225">
        <f>_xll.qlCalendarAdvance(Calendar,V938,NDays&amp;"D")</f>
        <v>45352</v>
      </c>
      <c r="X938" s="200">
        <v>2.9350570415004423E-2</v>
      </c>
      <c r="Y938" s="209">
        <v>2.8832683537638459E-2</v>
      </c>
    </row>
    <row r="939" spans="21:25" x14ac:dyDescent="0.2">
      <c r="U939" s="213" t="str">
        <f t="shared" si="18"/>
        <v>1w</v>
      </c>
      <c r="V939" s="201">
        <f>_xll.qlCalendarAdvance(Calendar,V938,U939,"f",FALSE)</f>
        <v>45357</v>
      </c>
      <c r="W939" s="225">
        <f>_xll.qlCalendarAdvance(Calendar,V939,NDays&amp;"D")</f>
        <v>45359</v>
      </c>
      <c r="X939" s="200">
        <v>2.9373589603705761E-2</v>
      </c>
      <c r="Y939" s="209">
        <v>2.8856795679921277E-2</v>
      </c>
    </row>
    <row r="940" spans="21:25" x14ac:dyDescent="0.2">
      <c r="U940" s="213" t="str">
        <f t="shared" si="18"/>
        <v>1w</v>
      </c>
      <c r="V940" s="201">
        <f>_xll.qlCalendarAdvance(Calendar,V939,U940,"f",FALSE)</f>
        <v>45364</v>
      </c>
      <c r="W940" s="225">
        <f>_xll.qlCalendarAdvance(Calendar,V940,NDays&amp;"D")</f>
        <v>45366</v>
      </c>
      <c r="X940" s="200">
        <v>2.9396486447625013E-2</v>
      </c>
      <c r="Y940" s="209">
        <v>2.8880808734559338E-2</v>
      </c>
    </row>
    <row r="941" spans="21:25" x14ac:dyDescent="0.2">
      <c r="U941" s="213" t="str">
        <f t="shared" si="18"/>
        <v>1w</v>
      </c>
      <c r="V941" s="201">
        <f>_xll.qlCalendarAdvance(Calendar,V940,U941,"f",FALSE)</f>
        <v>45371</v>
      </c>
      <c r="W941" s="225">
        <f>_xll.qlCalendarAdvance(Calendar,V941,NDays&amp;"D")</f>
        <v>45373</v>
      </c>
      <c r="X941" s="200">
        <v>2.9419259367642638E-2</v>
      </c>
      <c r="Y941" s="209">
        <v>2.8904722701446062E-2</v>
      </c>
    </row>
    <row r="942" spans="21:25" x14ac:dyDescent="0.2">
      <c r="U942" s="213" t="str">
        <f t="shared" si="18"/>
        <v>1w</v>
      </c>
      <c r="V942" s="201">
        <f>_xll.qlCalendarAdvance(Calendar,V941,U942,"f",FALSE)</f>
        <v>45378</v>
      </c>
      <c r="W942" s="225">
        <f>_xll.qlCalendarAdvance(Calendar,V942,NDays&amp;"D")</f>
        <v>45384</v>
      </c>
      <c r="X942" s="200">
        <v>2.9449258774463943E-2</v>
      </c>
      <c r="Y942" s="209">
        <v>2.893638836223289E-2</v>
      </c>
    </row>
    <row r="943" spans="21:25" x14ac:dyDescent="0.2">
      <c r="U943" s="213" t="str">
        <f t="shared" si="18"/>
        <v>1w</v>
      </c>
      <c r="V943" s="201">
        <f>_xll.qlCalendarAdvance(Calendar,V942,U943,"f",FALSE)</f>
        <v>45385</v>
      </c>
      <c r="W943" s="225">
        <f>_xll.qlCalendarAdvance(Calendar,V943,NDays&amp;"D")</f>
        <v>45387</v>
      </c>
      <c r="X943" s="200">
        <v>2.9464427119244678E-2</v>
      </c>
      <c r="Y943" s="209">
        <v>2.895225337177898E-2</v>
      </c>
    </row>
    <row r="944" spans="21:25" x14ac:dyDescent="0.2">
      <c r="U944" s="213" t="str">
        <f t="shared" si="18"/>
        <v>1w</v>
      </c>
      <c r="V944" s="201">
        <f>_xll.qlCalendarAdvance(Calendar,V943,U944,"f",FALSE)</f>
        <v>45392</v>
      </c>
      <c r="W944" s="225">
        <f>_xll.qlCalendarAdvance(Calendar,V944,NDays&amp;"D")</f>
        <v>45394</v>
      </c>
      <c r="X944" s="200">
        <v>2.9486818792345458E-2</v>
      </c>
      <c r="Y944" s="209">
        <v>2.8975870075145238E-2</v>
      </c>
    </row>
    <row r="945" spans="21:25" x14ac:dyDescent="0.2">
      <c r="U945" s="213" t="str">
        <f t="shared" si="18"/>
        <v>1w</v>
      </c>
      <c r="V945" s="201">
        <f>_xll.qlCalendarAdvance(Calendar,V944,U945,"f",FALSE)</f>
        <v>45399</v>
      </c>
      <c r="W945" s="225">
        <f>_xll.qlCalendarAdvance(Calendar,V945,NDays&amp;"D")</f>
        <v>45401</v>
      </c>
      <c r="X945" s="200">
        <v>2.9509080224578196E-2</v>
      </c>
      <c r="Y945" s="209">
        <v>2.8999387690546996E-2</v>
      </c>
    </row>
    <row r="946" spans="21:25" x14ac:dyDescent="0.2">
      <c r="U946" s="213" t="str">
        <f t="shared" si="18"/>
        <v>1w</v>
      </c>
      <c r="V946" s="201">
        <f>_xll.qlCalendarAdvance(Calendar,V945,U946,"f",FALSE)</f>
        <v>45406</v>
      </c>
      <c r="W946" s="225">
        <f>_xll.qlCalendarAdvance(Calendar,V946,NDays&amp;"D")</f>
        <v>45408</v>
      </c>
      <c r="X946" s="200">
        <v>2.9531209836585717E-2</v>
      </c>
      <c r="Y946" s="209">
        <v>2.9022806217904318E-2</v>
      </c>
    </row>
    <row r="947" spans="21:25" x14ac:dyDescent="0.2">
      <c r="U947" s="213" t="str">
        <f t="shared" si="18"/>
        <v>1w</v>
      </c>
      <c r="V947" s="201">
        <f>_xll.qlCalendarAdvance(Calendar,V946,U947,"f",FALSE)</f>
        <v>45414</v>
      </c>
      <c r="W947" s="225">
        <f>_xll.qlCalendarAdvance(Calendar,V947,NDays&amp;"D")</f>
        <v>45418</v>
      </c>
      <c r="X947" s="200">
        <v>2.9559865444756167E-2</v>
      </c>
      <c r="Y947" s="209">
        <v>2.9050426522827522E-2</v>
      </c>
    </row>
    <row r="948" spans="21:25" x14ac:dyDescent="0.2">
      <c r="U948" s="213" t="str">
        <f t="shared" si="18"/>
        <v>1w</v>
      </c>
      <c r="V948" s="201">
        <f>_xll.qlCalendarAdvance(Calendar,V947,U948,"f",FALSE)</f>
        <v>45421</v>
      </c>
      <c r="W948" s="225">
        <f>_xll.qlCalendarAdvance(Calendar,V948,NDays&amp;"D")</f>
        <v>45425</v>
      </c>
      <c r="X948" s="200">
        <v>2.9581676655670072E-2</v>
      </c>
      <c r="Y948" s="209">
        <v>2.907361481907067E-2</v>
      </c>
    </row>
    <row r="949" spans="21:25" x14ac:dyDescent="0.2">
      <c r="U949" s="213" t="str">
        <f t="shared" si="18"/>
        <v>1w</v>
      </c>
      <c r="V949" s="201">
        <f>_xll.qlCalendarAdvance(Calendar,V948,U949,"f",FALSE)</f>
        <v>45428</v>
      </c>
      <c r="W949" s="225">
        <f>_xll.qlCalendarAdvance(Calendar,V949,NDays&amp;"D")</f>
        <v>45432</v>
      </c>
      <c r="X949" s="200">
        <v>2.9603350666990547E-2</v>
      </c>
      <c r="Y949" s="209">
        <v>2.9096704040085797E-2</v>
      </c>
    </row>
    <row r="950" spans="21:25" x14ac:dyDescent="0.2">
      <c r="U950" s="213" t="str">
        <f t="shared" si="18"/>
        <v>1w</v>
      </c>
      <c r="V950" s="201">
        <f>_xll.qlCalendarAdvance(Calendar,V949,U950,"f",FALSE)</f>
        <v>45435</v>
      </c>
      <c r="W950" s="225">
        <f>_xll.qlCalendarAdvance(Calendar,V950,NDays&amp;"D")</f>
        <v>45439</v>
      </c>
      <c r="X950" s="200">
        <v>2.9624885890765652E-2</v>
      </c>
      <c r="Y950" s="209">
        <v>2.9119694185872902E-2</v>
      </c>
    </row>
    <row r="951" spans="21:25" x14ac:dyDescent="0.2">
      <c r="U951" s="213" t="str">
        <f t="shared" si="18"/>
        <v>1w</v>
      </c>
      <c r="V951" s="201">
        <f>_xll.qlCalendarAdvance(Calendar,V950,U951,"f",FALSE)</f>
        <v>45442</v>
      </c>
      <c r="W951" s="225">
        <f>_xll.qlCalendarAdvance(Calendar,V951,NDays&amp;"D")</f>
        <v>45446</v>
      </c>
      <c r="X951" s="200">
        <v>2.9643587175410806E-2</v>
      </c>
      <c r="Y951" s="209">
        <v>2.9142585117023501E-2</v>
      </c>
    </row>
    <row r="952" spans="21:25" x14ac:dyDescent="0.2">
      <c r="U952" s="213" t="str">
        <f t="shared" si="18"/>
        <v>1w</v>
      </c>
      <c r="V952" s="201">
        <f>_xll.qlCalendarAdvance(Calendar,V951,U952,"f",FALSE)</f>
        <v>45449</v>
      </c>
      <c r="W952" s="225">
        <f>_xll.qlCalendarAdvance(Calendar,V952,NDays&amp;"D")</f>
        <v>45453</v>
      </c>
      <c r="X952" s="200">
        <v>2.9664848726501023E-2</v>
      </c>
      <c r="Y952" s="209">
        <v>2.9165353681097628E-2</v>
      </c>
    </row>
    <row r="953" spans="21:25" x14ac:dyDescent="0.2">
      <c r="U953" s="213" t="str">
        <f t="shared" si="18"/>
        <v>1w</v>
      </c>
      <c r="V953" s="201">
        <f>_xll.qlCalendarAdvance(Calendar,V952,U953,"f",FALSE)</f>
        <v>45456</v>
      </c>
      <c r="W953" s="225">
        <f>_xll.qlCalendarAdvance(Calendar,V953,NDays&amp;"D")</f>
        <v>45460</v>
      </c>
      <c r="X953" s="200">
        <v>2.9685968320170557E-2</v>
      </c>
      <c r="Y953" s="209">
        <v>2.9187982165144177E-2</v>
      </c>
    </row>
    <row r="954" spans="21:25" x14ac:dyDescent="0.2">
      <c r="U954" s="213" t="str">
        <f t="shared" si="18"/>
        <v>1w</v>
      </c>
      <c r="V954" s="201">
        <f>_xll.qlCalendarAdvance(Calendar,V953,U954,"f",FALSE)</f>
        <v>45463</v>
      </c>
      <c r="W954" s="225">
        <f>_xll.qlCalendarAdvance(Calendar,V954,NDays&amp;"D")</f>
        <v>45467</v>
      </c>
      <c r="X954" s="200">
        <v>2.9706945951911101E-2</v>
      </c>
      <c r="Y954" s="209">
        <v>2.9210470569243085E-2</v>
      </c>
    </row>
    <row r="955" spans="21:25" x14ac:dyDescent="0.2">
      <c r="U955" s="213" t="str">
        <f t="shared" si="18"/>
        <v>1w</v>
      </c>
      <c r="V955" s="201">
        <f>_xll.qlCalendarAdvance(Calendar,V954,U955,"f",FALSE)</f>
        <v>45470</v>
      </c>
      <c r="W955" s="225">
        <f>_xll.qlCalendarAdvance(Calendar,V955,NDays&amp;"D")</f>
        <v>45474</v>
      </c>
      <c r="X955" s="200">
        <v>2.9733100732036759E-2</v>
      </c>
      <c r="Y955" s="209">
        <v>2.923281889323448E-2</v>
      </c>
    </row>
    <row r="956" spans="21:25" x14ac:dyDescent="0.2">
      <c r="U956" s="213" t="str">
        <f t="shared" si="18"/>
        <v>1w</v>
      </c>
      <c r="V956" s="201">
        <f>_xll.qlCalendarAdvance(Calendar,V955,U956,"f",FALSE)</f>
        <v>45477</v>
      </c>
      <c r="W956" s="225">
        <f>_xll.qlCalendarAdvance(Calendar,V956,NDays&amp;"D")</f>
        <v>45481</v>
      </c>
      <c r="X956" s="200">
        <v>2.975112675552307E-2</v>
      </c>
      <c r="Y956" s="209">
        <v>2.9255027137118361E-2</v>
      </c>
    </row>
    <row r="957" spans="21:25" x14ac:dyDescent="0.2">
      <c r="U957" s="213" t="str">
        <f t="shared" si="18"/>
        <v>1w</v>
      </c>
      <c r="V957" s="201">
        <f>_xll.qlCalendarAdvance(Calendar,V956,U957,"f",FALSE)</f>
        <v>45484</v>
      </c>
      <c r="W957" s="225">
        <f>_xll.qlCalendarAdvance(Calendar,V957,NDays&amp;"D")</f>
        <v>45488</v>
      </c>
      <c r="X957" s="200">
        <v>2.977167001847426E-2</v>
      </c>
      <c r="Y957" s="209">
        <v>2.9277095300814793E-2</v>
      </c>
    </row>
    <row r="958" spans="21:25" x14ac:dyDescent="0.2">
      <c r="U958" s="213" t="str">
        <f t="shared" si="18"/>
        <v>1w</v>
      </c>
      <c r="V958" s="201">
        <f>_xll.qlCalendarAdvance(Calendar,V957,U958,"f",FALSE)</f>
        <v>45491</v>
      </c>
      <c r="W958" s="225">
        <f>_xll.qlCalendarAdvance(Calendar,V958,NDays&amp;"D")</f>
        <v>45495</v>
      </c>
      <c r="X958" s="200">
        <v>2.9792071290947381E-2</v>
      </c>
      <c r="Y958" s="209">
        <v>2.9299023384563583E-2</v>
      </c>
    </row>
    <row r="959" spans="21:25" x14ac:dyDescent="0.2">
      <c r="U959" s="213" t="str">
        <f t="shared" si="18"/>
        <v>1w</v>
      </c>
      <c r="V959" s="201">
        <f>_xll.qlCalendarAdvance(Calendar,V958,U959,"f",FALSE)</f>
        <v>45498</v>
      </c>
      <c r="W959" s="225">
        <f>_xll.qlCalendarAdvance(Calendar,V959,NDays&amp;"D")</f>
        <v>45502</v>
      </c>
      <c r="X959" s="200">
        <v>2.9812330568562456E-2</v>
      </c>
      <c r="Y959" s="209">
        <v>2.9320811388044987E-2</v>
      </c>
    </row>
    <row r="960" spans="21:25" x14ac:dyDescent="0.2">
      <c r="U960" s="213" t="str">
        <f t="shared" si="18"/>
        <v>1w</v>
      </c>
      <c r="V960" s="201">
        <f>_xll.qlCalendarAdvance(Calendar,V959,U960,"f",FALSE)</f>
        <v>45505</v>
      </c>
      <c r="W960" s="225">
        <f>_xll.qlCalendarAdvance(Calendar,V960,NDays&amp;"D")</f>
        <v>45509</v>
      </c>
      <c r="X960" s="200">
        <v>2.9832447846970353E-2</v>
      </c>
      <c r="Y960" s="209">
        <v>2.9342459311338942E-2</v>
      </c>
    </row>
    <row r="961" spans="21:25" x14ac:dyDescent="0.2">
      <c r="U961" s="213" t="str">
        <f t="shared" si="18"/>
        <v>1w</v>
      </c>
      <c r="V961" s="201">
        <f>_xll.qlCalendarAdvance(Calendar,V960,U961,"f",FALSE)</f>
        <v>45512</v>
      </c>
      <c r="W961" s="225">
        <f>_xll.qlCalendarAdvance(Calendar,V961,NDays&amp;"D")</f>
        <v>45516</v>
      </c>
      <c r="X961" s="200">
        <v>2.9852423121853228E-2</v>
      </c>
      <c r="Y961" s="209">
        <v>2.9363967154445447E-2</v>
      </c>
    </row>
    <row r="962" spans="21:25" x14ac:dyDescent="0.2">
      <c r="U962" s="213" t="str">
        <f t="shared" si="18"/>
        <v>1w</v>
      </c>
      <c r="V962" s="201">
        <f>_xll.qlCalendarAdvance(Calendar,V961,U962,"f",FALSE)</f>
        <v>45519</v>
      </c>
      <c r="W962" s="225">
        <f>_xll.qlCalendarAdvance(Calendar,V962,NDays&amp;"D")</f>
        <v>45523</v>
      </c>
      <c r="X962" s="200">
        <v>2.9872256388921898E-2</v>
      </c>
      <c r="Y962" s="209">
        <v>2.9385334917284567E-2</v>
      </c>
    </row>
    <row r="963" spans="21:25" x14ac:dyDescent="0.2">
      <c r="U963" s="213" t="str">
        <f t="shared" si="18"/>
        <v>1w</v>
      </c>
      <c r="V963" s="201">
        <f>_xll.qlCalendarAdvance(Calendar,V962,U963,"f",FALSE)</f>
        <v>45526</v>
      </c>
      <c r="W963" s="225">
        <f>_xll.qlCalendarAdvance(Calendar,V963,NDays&amp;"D")</f>
        <v>45530</v>
      </c>
      <c r="X963" s="200">
        <v>2.9891947643918899E-2</v>
      </c>
      <c r="Y963" s="209">
        <v>2.9406562599856301E-2</v>
      </c>
    </row>
    <row r="964" spans="21:25" x14ac:dyDescent="0.2">
      <c r="U964" s="213" t="str">
        <f t="shared" si="18"/>
        <v>1w</v>
      </c>
      <c r="V964" s="201">
        <f>_xll.qlCalendarAdvance(Calendar,V963,U964,"f",FALSE)</f>
        <v>45533</v>
      </c>
      <c r="W964" s="225">
        <f>_xll.qlCalendarAdvance(Calendar,V964,NDays&amp;"D")</f>
        <v>45537</v>
      </c>
      <c r="X964" s="200">
        <v>2.9906329226977679E-2</v>
      </c>
      <c r="Y964" s="209">
        <v>2.9427650202160649E-2</v>
      </c>
    </row>
    <row r="965" spans="21:25" x14ac:dyDescent="0.2">
      <c r="U965" s="213" t="str">
        <f t="shared" si="18"/>
        <v>1w</v>
      </c>
      <c r="V965" s="201">
        <f>_xll.qlCalendarAdvance(Calendar,V964,U965,"f",FALSE)</f>
        <v>45540</v>
      </c>
      <c r="W965" s="225">
        <f>_xll.qlCalendarAdvance(Calendar,V965,NDays&amp;"D")</f>
        <v>45544</v>
      </c>
      <c r="X965" s="200">
        <v>2.9925753530526157E-2</v>
      </c>
      <c r="Y965" s="209">
        <v>2.9448597724117676E-2</v>
      </c>
    </row>
    <row r="966" spans="21:25" x14ac:dyDescent="0.2">
      <c r="U966" s="213" t="str">
        <f t="shared" si="18"/>
        <v>1w</v>
      </c>
      <c r="V966" s="201">
        <f>_xll.qlCalendarAdvance(Calendar,V965,U966,"f",FALSE)</f>
        <v>45547</v>
      </c>
      <c r="W966" s="225">
        <f>_xll.qlCalendarAdvance(Calendar,V966,NDays&amp;"D")</f>
        <v>45551</v>
      </c>
      <c r="X966" s="200">
        <v>2.994503583138327E-2</v>
      </c>
      <c r="Y966" s="209">
        <v>2.9469405165807316E-2</v>
      </c>
    </row>
    <row r="967" spans="21:25" x14ac:dyDescent="0.2">
      <c r="U967" s="213" t="str">
        <f t="shared" si="18"/>
        <v>1w</v>
      </c>
      <c r="V967" s="201">
        <f>_xll.qlCalendarAdvance(Calendar,V966,U967,"f",FALSE)</f>
        <v>45554</v>
      </c>
      <c r="W967" s="225">
        <f>_xll.qlCalendarAdvance(Calendar,V967,NDays&amp;"D")</f>
        <v>45558</v>
      </c>
      <c r="X967" s="200">
        <v>2.9964176125454715E-2</v>
      </c>
      <c r="Y967" s="209">
        <v>2.94900725270697E-2</v>
      </c>
    </row>
    <row r="968" spans="21:25" x14ac:dyDescent="0.2">
      <c r="U968" s="213" t="str">
        <f t="shared" si="18"/>
        <v>1w</v>
      </c>
      <c r="V968" s="201">
        <f>_xll.qlCalendarAdvance(Calendar,V967,U968,"f",FALSE)</f>
        <v>45561</v>
      </c>
      <c r="W968" s="225">
        <f>_xll.qlCalendarAdvance(Calendar,V968,NDays&amp;"D")</f>
        <v>45565</v>
      </c>
      <c r="X968" s="200">
        <v>2.9983174408675168E-2</v>
      </c>
      <c r="Y968" s="209">
        <v>2.9510599808064697E-2</v>
      </c>
    </row>
    <row r="969" spans="21:25" x14ac:dyDescent="0.2">
      <c r="U969" s="213" t="str">
        <f t="shared" si="18"/>
        <v>1w</v>
      </c>
      <c r="V969" s="201">
        <f>_xll.qlCalendarAdvance(Calendar,V968,U969,"f",FALSE)</f>
        <v>45568</v>
      </c>
      <c r="W969" s="225">
        <f>_xll.qlCalendarAdvance(Calendar,V969,NDays&amp;"D")</f>
        <v>45572</v>
      </c>
      <c r="X969" s="200">
        <v>3.000203067701181E-2</v>
      </c>
      <c r="Y969" s="209">
        <v>2.9530987008552501E-2</v>
      </c>
    </row>
    <row r="970" spans="21:25" x14ac:dyDescent="0.2">
      <c r="U970" s="213" t="str">
        <f t="shared" si="18"/>
        <v>1w</v>
      </c>
      <c r="V970" s="201">
        <f>_xll.qlCalendarAdvance(Calendar,V969,U970,"f",FALSE)</f>
        <v>45575</v>
      </c>
      <c r="W970" s="225">
        <f>_xll.qlCalendarAdvance(Calendar,V970,NDays&amp;"D")</f>
        <v>45579</v>
      </c>
      <c r="X970" s="200">
        <v>3.0020744926459498E-2</v>
      </c>
      <c r="Y970" s="209">
        <v>2.9551234128613046E-2</v>
      </c>
    </row>
    <row r="971" spans="21:25" x14ac:dyDescent="0.2">
      <c r="U971" s="213" t="str">
        <f t="shared" si="18"/>
        <v>1w</v>
      </c>
      <c r="V971" s="201">
        <f>_xll.qlCalendarAdvance(Calendar,V970,U971,"f",FALSE)</f>
        <v>45582</v>
      </c>
      <c r="W971" s="225">
        <f>_xll.qlCalendarAdvance(Calendar,V971,NDays&amp;"D")</f>
        <v>45586</v>
      </c>
      <c r="X971" s="200">
        <v>3.0041841293842093E-2</v>
      </c>
      <c r="Y971" s="209">
        <v>2.9571341168246335E-2</v>
      </c>
    </row>
    <row r="972" spans="21:25" x14ac:dyDescent="0.2">
      <c r="U972" s="213" t="str">
        <f t="shared" si="18"/>
        <v>1w</v>
      </c>
      <c r="V972" s="201">
        <f>_xll.qlCalendarAdvance(Calendar,V971,U972,"f",FALSE)</f>
        <v>45589</v>
      </c>
      <c r="W972" s="225">
        <f>_xll.qlCalendarAdvance(Calendar,V972,NDays&amp;"D")</f>
        <v>45593</v>
      </c>
      <c r="X972" s="200">
        <v>3.005774735282201E-2</v>
      </c>
      <c r="Y972" s="209">
        <v>2.9591308127292493E-2</v>
      </c>
    </row>
    <row r="973" spans="21:25" x14ac:dyDescent="0.2">
      <c r="U973" s="213" t="str">
        <f t="shared" si="18"/>
        <v>1w</v>
      </c>
      <c r="V973" s="201">
        <f>_xll.qlCalendarAdvance(Calendar,V972,U973,"f",FALSE)</f>
        <v>45596</v>
      </c>
      <c r="W973" s="225">
        <f>_xll.qlCalendarAdvance(Calendar,V973,NDays&amp;"D")</f>
        <v>45600</v>
      </c>
      <c r="X973" s="200">
        <v>3.0076035521879825E-2</v>
      </c>
      <c r="Y973" s="209">
        <v>2.9611135005911393E-2</v>
      </c>
    </row>
    <row r="974" spans="21:25" x14ac:dyDescent="0.2">
      <c r="U974" s="213" t="str">
        <f t="shared" si="18"/>
        <v>1w</v>
      </c>
      <c r="V974" s="201">
        <f>_xll.qlCalendarAdvance(Calendar,V973,U974,"f",FALSE)</f>
        <v>45603</v>
      </c>
      <c r="W974" s="225">
        <f>_xll.qlCalendarAdvance(Calendar,V974,NDays&amp;"D")</f>
        <v>45607</v>
      </c>
      <c r="X974" s="200">
        <v>3.0094181656333784E-2</v>
      </c>
      <c r="Y974" s="209">
        <v>2.9630821804103036E-2</v>
      </c>
    </row>
    <row r="975" spans="21:25" x14ac:dyDescent="0.2">
      <c r="U975" s="213" t="str">
        <f t="shared" si="18"/>
        <v>1w</v>
      </c>
      <c r="V975" s="201">
        <f>_xll.qlCalendarAdvance(Calendar,V974,U975,"f",FALSE)</f>
        <v>45610</v>
      </c>
      <c r="W975" s="225">
        <f>_xll.qlCalendarAdvance(Calendar,V975,NDays&amp;"D")</f>
        <v>45614</v>
      </c>
      <c r="X975" s="200">
        <v>3.011218575233026E-2</v>
      </c>
      <c r="Y975" s="209">
        <v>2.9650368521627612E-2</v>
      </c>
    </row>
    <row r="976" spans="21:25" x14ac:dyDescent="0.2">
      <c r="U976" s="213" t="str">
        <f t="shared" si="18"/>
        <v>1w</v>
      </c>
      <c r="V976" s="201">
        <f>_xll.qlCalendarAdvance(Calendar,V975,U976,"f",FALSE)</f>
        <v>45617</v>
      </c>
      <c r="W976" s="225">
        <f>_xll.qlCalendarAdvance(Calendar,V976,NDays&amp;"D")</f>
        <v>45621</v>
      </c>
      <c r="X976" s="200">
        <v>3.0130047806045942E-2</v>
      </c>
      <c r="Y976" s="209">
        <v>2.9669775158644995E-2</v>
      </c>
    </row>
    <row r="977" spans="21:25" x14ac:dyDescent="0.2">
      <c r="U977" s="213" t="str">
        <f t="shared" si="18"/>
        <v>1w</v>
      </c>
      <c r="V977" s="201">
        <f>_xll.qlCalendarAdvance(Calendar,V976,U977,"f",FALSE)</f>
        <v>45624</v>
      </c>
      <c r="W977" s="225">
        <f>_xll.qlCalendarAdvance(Calendar,V977,NDays&amp;"D")</f>
        <v>45628</v>
      </c>
      <c r="X977" s="200">
        <v>3.0147767813687384E-2</v>
      </c>
      <c r="Y977" s="209">
        <v>2.9689041714995312E-2</v>
      </c>
    </row>
    <row r="978" spans="21:25" x14ac:dyDescent="0.2">
      <c r="U978" s="213" t="str">
        <f t="shared" si="18"/>
        <v>1w</v>
      </c>
      <c r="V978" s="201">
        <f>_xll.qlCalendarAdvance(Calendar,V977,U978,"f",FALSE)</f>
        <v>45631</v>
      </c>
      <c r="W978" s="225">
        <f>_xll.qlCalendarAdvance(Calendar,V978,NDays&amp;"D")</f>
        <v>45635</v>
      </c>
      <c r="X978" s="200">
        <v>3.0165345771491436E-2</v>
      </c>
      <c r="Y978" s="209">
        <v>2.9708168190758499E-2</v>
      </c>
    </row>
    <row r="979" spans="21:25" x14ac:dyDescent="0.2">
      <c r="U979" s="213" t="str">
        <f t="shared" si="18"/>
        <v>1w</v>
      </c>
      <c r="V979" s="201">
        <f>_xll.qlCalendarAdvance(Calendar,V978,U979,"f",FALSE)</f>
        <v>45638</v>
      </c>
      <c r="W979" s="225">
        <f>_xll.qlCalendarAdvance(Calendar,V979,NDays&amp;"D")</f>
        <v>45642</v>
      </c>
      <c r="X979" s="200">
        <v>3.0182781675726141E-2</v>
      </c>
      <c r="Y979" s="209">
        <v>2.9727154585934557E-2</v>
      </c>
    </row>
    <row r="980" spans="21:25" x14ac:dyDescent="0.2">
      <c r="U980" s="213" t="str">
        <f t="shared" si="18"/>
        <v>1w</v>
      </c>
      <c r="V980" s="201">
        <f>_xll.qlCalendarAdvance(Calendar,V979,U980,"f",FALSE)</f>
        <v>45645</v>
      </c>
      <c r="W980" s="225">
        <f>_xll.qlCalendarAdvance(Calendar,V980,NDays&amp;"D")</f>
        <v>45649</v>
      </c>
      <c r="X980" s="200">
        <v>3.0200075522688087E-2</v>
      </c>
      <c r="Y980" s="209">
        <v>2.9746000900443548E-2</v>
      </c>
    </row>
    <row r="981" spans="21:25" x14ac:dyDescent="0.2">
      <c r="U981" s="213" t="str">
        <f t="shared" ref="U981:U1044" si="19">U980</f>
        <v>1w</v>
      </c>
      <c r="V981" s="201">
        <f>_xll.qlCalendarAdvance(Calendar,V980,U981,"f",FALSE)</f>
        <v>45653</v>
      </c>
      <c r="W981" s="225">
        <f>_xll.qlCalendarAdvance(Calendar,V981,NDays&amp;"D")</f>
        <v>45657</v>
      </c>
      <c r="X981" s="200">
        <v>3.0217229067461545E-2</v>
      </c>
      <c r="Y981" s="209">
        <v>2.97699278297614E-2</v>
      </c>
    </row>
    <row r="982" spans="21:25" x14ac:dyDescent="0.2">
      <c r="U982" s="213" t="str">
        <f t="shared" si="19"/>
        <v>1w</v>
      </c>
      <c r="V982" s="201">
        <f>_xll.qlCalendarAdvance(Calendar,V981,U982,"f",FALSE)</f>
        <v>45660</v>
      </c>
      <c r="W982" s="225">
        <f>_xll.qlCalendarAdvance(Calendar,V982,NDays&amp;"D")</f>
        <v>45664</v>
      </c>
      <c r="X982" s="200">
        <v>3.0234227225157975E-2</v>
      </c>
      <c r="Y982" s="209">
        <v>2.9785914159701221E-2</v>
      </c>
    </row>
    <row r="983" spans="21:25" x14ac:dyDescent="0.2">
      <c r="U983" s="213" t="str">
        <f t="shared" si="19"/>
        <v>1w</v>
      </c>
      <c r="V983" s="201">
        <f>_xll.qlCalendarAdvance(Calendar,V982,U983,"f",FALSE)</f>
        <v>45667</v>
      </c>
      <c r="W983" s="225">
        <f>_xll.qlCalendarAdvance(Calendar,V983,NDays&amp;"D")</f>
        <v>45671</v>
      </c>
      <c r="X983" s="200">
        <v>3.0251083325451216E-2</v>
      </c>
      <c r="Y983" s="209">
        <v>2.9804320220456759E-2</v>
      </c>
    </row>
    <row r="984" spans="21:25" x14ac:dyDescent="0.2">
      <c r="U984" s="213" t="str">
        <f t="shared" si="19"/>
        <v>1w</v>
      </c>
      <c r="V984" s="201">
        <f>_xll.qlCalendarAdvance(Calendar,V983,U984,"f",FALSE)</f>
        <v>45674</v>
      </c>
      <c r="W984" s="225">
        <f>_xll.qlCalendarAdvance(Calendar,V984,NDays&amp;"D")</f>
        <v>45678</v>
      </c>
      <c r="X984" s="200">
        <v>3.0267797364781242E-2</v>
      </c>
      <c r="Y984" s="209">
        <v>2.9822586200545231E-2</v>
      </c>
    </row>
    <row r="985" spans="21:25" x14ac:dyDescent="0.2">
      <c r="U985" s="213" t="str">
        <f t="shared" si="19"/>
        <v>1w</v>
      </c>
      <c r="V985" s="201">
        <f>_xll.qlCalendarAdvance(Calendar,V984,U985,"f",FALSE)</f>
        <v>45681</v>
      </c>
      <c r="W985" s="225">
        <f>_xll.qlCalendarAdvance(Calendar,V985,NDays&amp;"D")</f>
        <v>45685</v>
      </c>
      <c r="X985" s="200">
        <v>3.0284369339618943E-2</v>
      </c>
      <c r="Y985" s="209">
        <v>2.9840712099886701E-2</v>
      </c>
    </row>
    <row r="986" spans="21:25" x14ac:dyDescent="0.2">
      <c r="U986" s="213" t="str">
        <f t="shared" si="19"/>
        <v>1w</v>
      </c>
      <c r="V986" s="201">
        <f>_xll.qlCalendarAdvance(Calendar,V985,U986,"f",FALSE)</f>
        <v>45688</v>
      </c>
      <c r="W986" s="225">
        <f>_xll.qlCalendarAdvance(Calendar,V986,NDays&amp;"D")</f>
        <v>45692</v>
      </c>
      <c r="X986" s="200">
        <v>3.0300799246463034E-2</v>
      </c>
      <c r="Y986" s="209">
        <v>2.9858697918321297E-2</v>
      </c>
    </row>
    <row r="987" spans="21:25" x14ac:dyDescent="0.2">
      <c r="U987" s="213" t="str">
        <f t="shared" si="19"/>
        <v>1w</v>
      </c>
      <c r="V987" s="201">
        <f>_xll.qlCalendarAdvance(Calendar,V986,U987,"f",FALSE)</f>
        <v>45695</v>
      </c>
      <c r="W987" s="225">
        <f>_xll.qlCalendarAdvance(Calendar,V987,NDays&amp;"D")</f>
        <v>45699</v>
      </c>
      <c r="X987" s="200">
        <v>3.0317087081844021E-2</v>
      </c>
      <c r="Y987" s="209">
        <v>2.9876543656088828E-2</v>
      </c>
    </row>
    <row r="988" spans="21:25" x14ac:dyDescent="0.2">
      <c r="U988" s="213" t="str">
        <f t="shared" si="19"/>
        <v>1w</v>
      </c>
      <c r="V988" s="201">
        <f>_xll.qlCalendarAdvance(Calendar,V987,U988,"f",FALSE)</f>
        <v>45702</v>
      </c>
      <c r="W988" s="225">
        <f>_xll.qlCalendarAdvance(Calendar,V988,NDays&amp;"D")</f>
        <v>45706</v>
      </c>
      <c r="X988" s="200">
        <v>3.0333232842321561E-2</v>
      </c>
      <c r="Y988" s="209">
        <v>2.9894249312869547E-2</v>
      </c>
    </row>
    <row r="989" spans="21:25" x14ac:dyDescent="0.2">
      <c r="U989" s="213" t="str">
        <f t="shared" si="19"/>
        <v>1w</v>
      </c>
      <c r="V989" s="201">
        <f>_xll.qlCalendarAdvance(Calendar,V988,U989,"f",FALSE)</f>
        <v>45709</v>
      </c>
      <c r="W989" s="225">
        <f>_xll.qlCalendarAdvance(Calendar,V989,NDays&amp;"D")</f>
        <v>45713</v>
      </c>
      <c r="X989" s="200">
        <v>3.0349236524485793E-2</v>
      </c>
      <c r="Y989" s="209">
        <v>2.9911814888823329E-2</v>
      </c>
    </row>
    <row r="990" spans="21:25" x14ac:dyDescent="0.2">
      <c r="U990" s="213" t="str">
        <f t="shared" si="19"/>
        <v>1w</v>
      </c>
      <c r="V990" s="201">
        <f>_xll.qlCalendarAdvance(Calendar,V989,U990,"f",FALSE)</f>
        <v>45716</v>
      </c>
      <c r="W990" s="225">
        <f>_xll.qlCalendarAdvance(Calendar,V990,NDays&amp;"D")</f>
        <v>45720</v>
      </c>
      <c r="X990" s="200">
        <v>3.0372169703237414E-2</v>
      </c>
      <c r="Y990" s="209">
        <v>2.9929240384030109E-2</v>
      </c>
    </row>
    <row r="991" spans="21:25" x14ac:dyDescent="0.2">
      <c r="U991" s="213" t="str">
        <f t="shared" si="19"/>
        <v>1w</v>
      </c>
      <c r="V991" s="201">
        <f>_xll.qlCalendarAdvance(Calendar,V990,U991,"f",FALSE)</f>
        <v>45723</v>
      </c>
      <c r="W991" s="225">
        <f>_xll.qlCalendarAdvance(Calendar,V991,NDays&amp;"D")</f>
        <v>45727</v>
      </c>
      <c r="X991" s="200">
        <v>3.0387862712331796E-2</v>
      </c>
      <c r="Y991" s="209">
        <v>2.9946525798170143E-2</v>
      </c>
    </row>
    <row r="992" spans="21:25" x14ac:dyDescent="0.2">
      <c r="U992" s="213" t="str">
        <f t="shared" si="19"/>
        <v>1w</v>
      </c>
      <c r="V992" s="201">
        <f>_xll.qlCalendarAdvance(Calendar,V991,U992,"f",FALSE)</f>
        <v>45730</v>
      </c>
      <c r="W992" s="225">
        <f>_xll.qlCalendarAdvance(Calendar,V992,NDays&amp;"D")</f>
        <v>45734</v>
      </c>
      <c r="X992" s="200">
        <v>3.0403413598656975E-2</v>
      </c>
      <c r="Y992" s="209">
        <v>2.9963671131563174E-2</v>
      </c>
    </row>
    <row r="993" spans="21:25" x14ac:dyDescent="0.2">
      <c r="U993" s="213" t="str">
        <f t="shared" si="19"/>
        <v>1w</v>
      </c>
      <c r="V993" s="201">
        <f>_xll.qlCalendarAdvance(Calendar,V992,U993,"f",FALSE)</f>
        <v>45737</v>
      </c>
      <c r="W993" s="225">
        <f>_xll.qlCalendarAdvance(Calendar,V993,NDays&amp;"D")</f>
        <v>45741</v>
      </c>
      <c r="X993" s="200">
        <v>3.0418822358874748E-2</v>
      </c>
      <c r="Y993" s="209">
        <v>2.998067638388946E-2</v>
      </c>
    </row>
    <row r="994" spans="21:25" x14ac:dyDescent="0.2">
      <c r="U994" s="213" t="str">
        <f t="shared" si="19"/>
        <v>1w</v>
      </c>
      <c r="V994" s="201">
        <f>_xll.qlCalendarAdvance(Calendar,V993,U994,"f",FALSE)</f>
        <v>45744</v>
      </c>
      <c r="W994" s="225">
        <f>_xll.qlCalendarAdvance(Calendar,V994,NDays&amp;"D")</f>
        <v>45748</v>
      </c>
      <c r="X994" s="200">
        <v>3.0431767928119764E-2</v>
      </c>
      <c r="Y994" s="209">
        <v>2.9997541555308871E-2</v>
      </c>
    </row>
    <row r="995" spans="21:25" x14ac:dyDescent="0.2">
      <c r="U995" s="213" t="str">
        <f t="shared" si="19"/>
        <v>1w</v>
      </c>
      <c r="V995" s="201">
        <f>_xll.qlCalendarAdvance(Calendar,V994,U995,"f",FALSE)</f>
        <v>45751</v>
      </c>
      <c r="W995" s="225">
        <f>_xll.qlCalendarAdvance(Calendar,V995,NDays&amp;"D")</f>
        <v>45755</v>
      </c>
      <c r="X995" s="200">
        <v>3.0446901309169924E-2</v>
      </c>
      <c r="Y995" s="209">
        <v>3.0014266645741472E-2</v>
      </c>
    </row>
    <row r="996" spans="21:25" x14ac:dyDescent="0.2">
      <c r="U996" s="213" t="str">
        <f t="shared" si="19"/>
        <v>1w</v>
      </c>
      <c r="V996" s="201">
        <f>_xll.qlCalendarAdvance(Calendar,V995,U996,"f",FALSE)</f>
        <v>45758</v>
      </c>
      <c r="W996" s="225">
        <f>_xll.qlCalendarAdvance(Calendar,V996,NDays&amp;"D")</f>
        <v>45762</v>
      </c>
      <c r="X996" s="200">
        <v>3.0461892565814289E-2</v>
      </c>
      <c r="Y996" s="209">
        <v>3.0030851655107327E-2</v>
      </c>
    </row>
    <row r="997" spans="21:25" x14ac:dyDescent="0.2">
      <c r="U997" s="213" t="str">
        <f t="shared" si="19"/>
        <v>1w</v>
      </c>
      <c r="V997" s="201">
        <f>_xll.qlCalendarAdvance(Calendar,V996,U997,"f",FALSE)</f>
        <v>45769</v>
      </c>
      <c r="W997" s="225">
        <f>_xll.qlCalendarAdvance(Calendar,V997,NDays&amp;"D")</f>
        <v>45771</v>
      </c>
      <c r="X997" s="200">
        <v>3.0480958197632076E-2</v>
      </c>
      <c r="Y997" s="209">
        <v>3.00519694053758E-2</v>
      </c>
    </row>
    <row r="998" spans="21:25" x14ac:dyDescent="0.2">
      <c r="U998" s="213" t="str">
        <f t="shared" si="19"/>
        <v>1w</v>
      </c>
      <c r="V998" s="201">
        <f>_xll.qlCalendarAdvance(Calendar,V997,U998,"f",FALSE)</f>
        <v>45776</v>
      </c>
      <c r="W998" s="225">
        <f>_xll.qlCalendarAdvance(Calendar,V998,NDays&amp;"D")</f>
        <v>45779</v>
      </c>
      <c r="X998" s="200">
        <v>3.0502270724798653E-2</v>
      </c>
      <c r="Y998" s="209">
        <v>3.0075366867263753E-2</v>
      </c>
    </row>
    <row r="999" spans="21:25" x14ac:dyDescent="0.2">
      <c r="U999" s="213" t="str">
        <f t="shared" si="19"/>
        <v>1w</v>
      </c>
      <c r="V999" s="201">
        <f>_xll.qlCalendarAdvance(Calendar,V998,U999,"f",FALSE)</f>
        <v>45783</v>
      </c>
      <c r="W999" s="225">
        <f>_xll.qlCalendarAdvance(Calendar,V999,NDays&amp;"D")</f>
        <v>45785</v>
      </c>
      <c r="X999" s="200">
        <v>3.0516968587531612E-2</v>
      </c>
      <c r="Y999" s="209">
        <v>3.008435897272399E-2</v>
      </c>
    </row>
    <row r="1000" spans="21:25" x14ac:dyDescent="0.2">
      <c r="U1000" s="213" t="str">
        <f t="shared" si="19"/>
        <v>1w</v>
      </c>
      <c r="V1000" s="201">
        <f>_xll.qlCalendarAdvance(Calendar,V999,U1000,"f",FALSE)</f>
        <v>45790</v>
      </c>
      <c r="W1000" s="225">
        <f>_xll.qlCalendarAdvance(Calendar,V1000,NDays&amp;"D")</f>
        <v>45792</v>
      </c>
      <c r="X1000" s="200">
        <v>3.0531323866777788E-2</v>
      </c>
      <c r="Y1000" s="209">
        <v>3.0100343634877902E-2</v>
      </c>
    </row>
    <row r="1001" spans="21:25" x14ac:dyDescent="0.2">
      <c r="U1001" s="213" t="str">
        <f t="shared" si="19"/>
        <v>1w</v>
      </c>
      <c r="V1001" s="201">
        <f>_xll.qlCalendarAdvance(Calendar,V1000,U1001,"f",FALSE)</f>
        <v>45797</v>
      </c>
      <c r="W1001" s="225">
        <f>_xll.qlCalendarAdvance(Calendar,V1001,NDays&amp;"D")</f>
        <v>45799</v>
      </c>
      <c r="X1001" s="200">
        <v>3.054553697018168E-2</v>
      </c>
      <c r="Y1001" s="209">
        <v>3.0116188215885131E-2</v>
      </c>
    </row>
    <row r="1002" spans="21:25" x14ac:dyDescent="0.2">
      <c r="U1002" s="213" t="str">
        <f t="shared" si="19"/>
        <v>1w</v>
      </c>
      <c r="V1002" s="201">
        <f>_xll.qlCalendarAdvance(Calendar,V1001,U1002,"f",FALSE)</f>
        <v>45804</v>
      </c>
      <c r="W1002" s="225">
        <f>_xll.qlCalendarAdvance(Calendar,V1002,NDays&amp;"D")</f>
        <v>45806</v>
      </c>
      <c r="X1002" s="200">
        <v>3.0552868763085855E-2</v>
      </c>
      <c r="Y1002" s="209">
        <v>3.0131892715665742E-2</v>
      </c>
    </row>
    <row r="1003" spans="21:25" x14ac:dyDescent="0.2">
      <c r="U1003" s="213" t="str">
        <f t="shared" si="19"/>
        <v>1w</v>
      </c>
      <c r="V1003" s="201">
        <f>_xll.qlCalendarAdvance(Calendar,V1002,U1003,"f",FALSE)</f>
        <v>45811</v>
      </c>
      <c r="W1003" s="225">
        <f>_xll.qlCalendarAdvance(Calendar,V1003,NDays&amp;"D")</f>
        <v>45813</v>
      </c>
      <c r="X1003" s="200">
        <v>3.0566824447202816E-2</v>
      </c>
      <c r="Y1003" s="209">
        <v>3.0147457134539479E-2</v>
      </c>
    </row>
    <row r="1004" spans="21:25" x14ac:dyDescent="0.2">
      <c r="U1004" s="213" t="str">
        <f t="shared" si="19"/>
        <v>1w</v>
      </c>
      <c r="V1004" s="201">
        <f>_xll.qlCalendarAdvance(Calendar,V1003,U1004,"f",FALSE)</f>
        <v>45818</v>
      </c>
      <c r="W1004" s="225">
        <f>_xll.qlCalendarAdvance(Calendar,V1004,NDays&amp;"D")</f>
        <v>45820</v>
      </c>
      <c r="X1004" s="200">
        <v>3.0580637981303869E-2</v>
      </c>
      <c r="Y1004" s="209">
        <v>3.0162881472106662E-2</v>
      </c>
    </row>
    <row r="1005" spans="21:25" x14ac:dyDescent="0.2">
      <c r="U1005" s="213" t="str">
        <f t="shared" si="19"/>
        <v>1w</v>
      </c>
      <c r="V1005" s="201">
        <f>_xll.qlCalendarAdvance(Calendar,V1004,U1005,"f",FALSE)</f>
        <v>45825</v>
      </c>
      <c r="W1005" s="225">
        <f>_xll.qlCalendarAdvance(Calendar,V1005,NDays&amp;"D")</f>
        <v>45827</v>
      </c>
      <c r="X1005" s="200">
        <v>3.0594309362437927E-2</v>
      </c>
      <c r="Y1005" s="209">
        <v>3.0178165728527162E-2</v>
      </c>
    </row>
    <row r="1006" spans="21:25" x14ac:dyDescent="0.2">
      <c r="U1006" s="213" t="str">
        <f t="shared" si="19"/>
        <v>1w</v>
      </c>
      <c r="V1006" s="201">
        <f>_xll.qlCalendarAdvance(Calendar,V1005,U1006,"f",FALSE)</f>
        <v>45832</v>
      </c>
      <c r="W1006" s="225">
        <f>_xll.qlCalendarAdvance(Calendar,V1006,NDays&amp;"D")</f>
        <v>45834</v>
      </c>
      <c r="X1006" s="200">
        <v>3.0614469742675642E-2</v>
      </c>
      <c r="Y1006" s="209">
        <v>3.0193309903721044E-2</v>
      </c>
    </row>
    <row r="1007" spans="21:25" x14ac:dyDescent="0.2">
      <c r="U1007" s="213" t="str">
        <f t="shared" si="19"/>
        <v>1w</v>
      </c>
      <c r="V1007" s="201">
        <f>_xll.qlCalendarAdvance(Calendar,V1006,U1007,"f",FALSE)</f>
        <v>45839</v>
      </c>
      <c r="W1007" s="225">
        <f>_xll.qlCalendarAdvance(Calendar,V1007,NDays&amp;"D")</f>
        <v>45841</v>
      </c>
      <c r="X1007" s="200">
        <v>3.0627829727321532E-2</v>
      </c>
      <c r="Y1007" s="209">
        <v>3.0208313997768244E-2</v>
      </c>
    </row>
    <row r="1008" spans="21:25" x14ac:dyDescent="0.2">
      <c r="U1008" s="213" t="str">
        <f t="shared" si="19"/>
        <v>1w</v>
      </c>
      <c r="V1008" s="201">
        <f>_xll.qlCalendarAdvance(Calendar,V1007,U1008,"f",FALSE)</f>
        <v>45846</v>
      </c>
      <c r="W1008" s="225">
        <f>_xll.qlCalendarAdvance(Calendar,V1008,NDays&amp;"D")</f>
        <v>45848</v>
      </c>
      <c r="X1008" s="200">
        <v>3.0641047515178453E-2</v>
      </c>
      <c r="Y1008" s="209">
        <v>3.0223178010588825E-2</v>
      </c>
    </row>
    <row r="1009" spans="21:25" x14ac:dyDescent="0.2">
      <c r="U1009" s="213" t="str">
        <f t="shared" si="19"/>
        <v>1w</v>
      </c>
      <c r="V1009" s="201">
        <f>_xll.qlCalendarAdvance(Calendar,V1008,U1009,"f",FALSE)</f>
        <v>45853</v>
      </c>
      <c r="W1009" s="225">
        <f>_xll.qlCalendarAdvance(Calendar,V1009,NDays&amp;"D")</f>
        <v>45855</v>
      </c>
      <c r="X1009" s="200">
        <v>3.0654123103376875E-2</v>
      </c>
      <c r="Y1009" s="209">
        <v>3.0237901942102852E-2</v>
      </c>
    </row>
    <row r="1010" spans="21:25" x14ac:dyDescent="0.2">
      <c r="U1010" s="213" t="str">
        <f t="shared" si="19"/>
        <v>1w</v>
      </c>
      <c r="V1010" s="201">
        <f>_xll.qlCalendarAdvance(Calendar,V1009,U1010,"f",FALSE)</f>
        <v>45860</v>
      </c>
      <c r="W1010" s="225">
        <f>_xll.qlCalendarAdvance(Calendar,V1010,NDays&amp;"D")</f>
        <v>45862</v>
      </c>
      <c r="X1010" s="200">
        <v>3.0667056489078207E-2</v>
      </c>
      <c r="Y1010" s="209">
        <v>3.025248579239026E-2</v>
      </c>
    </row>
    <row r="1011" spans="21:25" x14ac:dyDescent="0.2">
      <c r="U1011" s="213" t="str">
        <f t="shared" si="19"/>
        <v>1w</v>
      </c>
      <c r="V1011" s="201">
        <f>_xll.qlCalendarAdvance(Calendar,V1010,U1011,"f",FALSE)</f>
        <v>45867</v>
      </c>
      <c r="W1011" s="225">
        <f>_xll.qlCalendarAdvance(Calendar,V1011,NDays&amp;"D")</f>
        <v>45869</v>
      </c>
      <c r="X1011" s="200">
        <v>3.067335227557684E-2</v>
      </c>
      <c r="Y1011" s="209">
        <v>3.026692956145105E-2</v>
      </c>
    </row>
    <row r="1012" spans="21:25" x14ac:dyDescent="0.2">
      <c r="U1012" s="213" t="str">
        <f t="shared" si="19"/>
        <v>1w</v>
      </c>
      <c r="V1012" s="201">
        <f>_xll.qlCalendarAdvance(Calendar,V1011,U1012,"f",FALSE)</f>
        <v>45874</v>
      </c>
      <c r="W1012" s="225">
        <f>_xll.qlCalendarAdvance(Calendar,V1012,NDays&amp;"D")</f>
        <v>45876</v>
      </c>
      <c r="X1012" s="200">
        <v>3.0692496641792539E-2</v>
      </c>
      <c r="Y1012" s="209">
        <v>3.0281233249205286E-2</v>
      </c>
    </row>
    <row r="1013" spans="21:25" x14ac:dyDescent="0.2">
      <c r="U1013" s="213" t="str">
        <f t="shared" si="19"/>
        <v>1w</v>
      </c>
      <c r="V1013" s="201">
        <f>_xll.qlCalendarAdvance(Calendar,V1012,U1013,"f",FALSE)</f>
        <v>45881</v>
      </c>
      <c r="W1013" s="225">
        <f>_xll.qlCalendarAdvance(Calendar,V1013,NDays&amp;"D")</f>
        <v>45883</v>
      </c>
      <c r="X1013" s="200">
        <v>3.0705003403282645E-2</v>
      </c>
      <c r="Y1013" s="209">
        <v>3.0295396855573031E-2</v>
      </c>
    </row>
    <row r="1014" spans="21:25" x14ac:dyDescent="0.2">
      <c r="U1014" s="213" t="str">
        <f t="shared" si="19"/>
        <v>1w</v>
      </c>
      <c r="V1014" s="201">
        <f>_xll.qlCalendarAdvance(Calendar,V1013,U1014,"f",FALSE)</f>
        <v>45888</v>
      </c>
      <c r="W1014" s="225">
        <f>_xll.qlCalendarAdvance(Calendar,V1014,NDays&amp;"D")</f>
        <v>45890</v>
      </c>
      <c r="X1014" s="200">
        <v>3.0717367951231592E-2</v>
      </c>
      <c r="Y1014" s="209">
        <v>3.0309420380714158E-2</v>
      </c>
    </row>
    <row r="1015" spans="21:25" x14ac:dyDescent="0.2">
      <c r="U1015" s="213" t="str">
        <f t="shared" si="19"/>
        <v>1w</v>
      </c>
      <c r="V1015" s="201">
        <f>_xll.qlCalendarAdvance(Calendar,V1014,U1015,"f",FALSE)</f>
        <v>45895</v>
      </c>
      <c r="W1015" s="225">
        <f>_xll.qlCalendarAdvance(Calendar,V1015,NDays&amp;"D")</f>
        <v>45897</v>
      </c>
      <c r="X1015" s="200">
        <v>3.0723204133335635E-2</v>
      </c>
      <c r="Y1015" s="209">
        <v>3.0323303824468795E-2</v>
      </c>
    </row>
    <row r="1016" spans="21:25" x14ac:dyDescent="0.2">
      <c r="U1016" s="213" t="str">
        <f t="shared" si="19"/>
        <v>1w</v>
      </c>
      <c r="V1016" s="201">
        <f>_xll.qlCalendarAdvance(Calendar,V1015,U1016,"f",FALSE)</f>
        <v>45902</v>
      </c>
      <c r="W1016" s="225">
        <f>_xll.qlCalendarAdvance(Calendar,V1016,NDays&amp;"D")</f>
        <v>45904</v>
      </c>
      <c r="X1016" s="200">
        <v>3.0731068701630792E-2</v>
      </c>
      <c r="Y1016" s="209">
        <v>3.0337047186916877E-2</v>
      </c>
    </row>
    <row r="1017" spans="21:25" x14ac:dyDescent="0.2">
      <c r="U1017" s="213" t="str">
        <f t="shared" si="19"/>
        <v>1w</v>
      </c>
      <c r="V1017" s="201">
        <f>_xll.qlCalendarAdvance(Calendar,V1016,U1017,"f",FALSE)</f>
        <v>45909</v>
      </c>
      <c r="W1017" s="225">
        <f>_xll.qlCalendarAdvance(Calendar,V1017,NDays&amp;"D")</f>
        <v>45911</v>
      </c>
      <c r="X1017" s="200">
        <v>3.0743052310227729E-2</v>
      </c>
      <c r="Y1017" s="209">
        <v>3.0350650467898532E-2</v>
      </c>
    </row>
    <row r="1018" spans="21:25" x14ac:dyDescent="0.2">
      <c r="U1018" s="213" t="str">
        <f t="shared" si="19"/>
        <v>1w</v>
      </c>
      <c r="V1018" s="201">
        <f>_xll.qlCalendarAdvance(Calendar,V1017,U1018,"f",FALSE)</f>
        <v>45916</v>
      </c>
      <c r="W1018" s="225">
        <f>_xll.qlCalendarAdvance(Calendar,V1018,NDays&amp;"D")</f>
        <v>45918</v>
      </c>
      <c r="X1018" s="200">
        <v>3.0754893753948548E-2</v>
      </c>
      <c r="Y1018" s="209">
        <v>3.0364113667573633E-2</v>
      </c>
    </row>
    <row r="1019" spans="21:25" x14ac:dyDescent="0.2">
      <c r="U1019" s="213" t="str">
        <f t="shared" si="19"/>
        <v>1w</v>
      </c>
      <c r="V1019" s="201">
        <f>_xll.qlCalendarAdvance(Calendar,V1018,U1019,"f",FALSE)</f>
        <v>45923</v>
      </c>
      <c r="W1019" s="225">
        <f>_xll.qlCalendarAdvance(Calendar,V1019,NDays&amp;"D")</f>
        <v>45925</v>
      </c>
      <c r="X1019" s="200">
        <v>3.0766593030290508E-2</v>
      </c>
      <c r="Y1019" s="209">
        <v>3.0377436785782308E-2</v>
      </c>
    </row>
    <row r="1020" spans="21:25" x14ac:dyDescent="0.2">
      <c r="U1020" s="213" t="str">
        <f t="shared" si="19"/>
        <v>1w</v>
      </c>
      <c r="V1020" s="201">
        <f>_xll.qlCalendarAdvance(Calendar,V1019,U1020,"f",FALSE)</f>
        <v>45930</v>
      </c>
      <c r="W1020" s="225">
        <f>_xll.qlCalendarAdvance(Calendar,V1020,NDays&amp;"D")</f>
        <v>45932</v>
      </c>
      <c r="X1020" s="200">
        <v>3.0780235354381572E-2</v>
      </c>
      <c r="Y1020" s="209">
        <v>3.0390619822604492E-2</v>
      </c>
    </row>
    <row r="1021" spans="21:25" x14ac:dyDescent="0.2">
      <c r="U1021" s="213" t="str">
        <f t="shared" si="19"/>
        <v>1w</v>
      </c>
      <c r="V1021" s="201">
        <f>_xll.qlCalendarAdvance(Calendar,V1020,U1021,"f",FALSE)</f>
        <v>45937</v>
      </c>
      <c r="W1021" s="225">
        <f>_xll.qlCalendarAdvance(Calendar,V1021,NDays&amp;"D")</f>
        <v>45939</v>
      </c>
      <c r="X1021" s="200">
        <v>3.0791641100905088E-2</v>
      </c>
      <c r="Y1021" s="209">
        <v>3.0403662778040186E-2</v>
      </c>
    </row>
    <row r="1022" spans="21:25" x14ac:dyDescent="0.2">
      <c r="U1022" s="213" t="str">
        <f t="shared" si="19"/>
        <v>1w</v>
      </c>
      <c r="V1022" s="201">
        <f>_xll.qlCalendarAdvance(Calendar,V1021,U1022,"f",FALSE)</f>
        <v>45944</v>
      </c>
      <c r="W1022" s="225">
        <f>_xll.qlCalendarAdvance(Calendar,V1022,NDays&amp;"D")</f>
        <v>45946</v>
      </c>
      <c r="X1022" s="200">
        <v>3.0802904660841703E-2</v>
      </c>
      <c r="Y1022" s="209">
        <v>3.0416565652009453E-2</v>
      </c>
    </row>
    <row r="1023" spans="21:25" x14ac:dyDescent="0.2">
      <c r="U1023" s="213" t="str">
        <f t="shared" si="19"/>
        <v>1w</v>
      </c>
      <c r="V1023" s="201">
        <f>_xll.qlCalendarAdvance(Calendar,V1022,U1023,"f",FALSE)</f>
        <v>45951</v>
      </c>
      <c r="W1023" s="225">
        <f>_xll.qlCalendarAdvance(Calendar,V1023,NDays&amp;"D")</f>
        <v>45953</v>
      </c>
      <c r="X1023" s="200">
        <v>3.0814026031800366E-2</v>
      </c>
      <c r="Y1023" s="209">
        <v>3.0429328444432358E-2</v>
      </c>
    </row>
    <row r="1024" spans="21:25" x14ac:dyDescent="0.2">
      <c r="U1024" s="213" t="str">
        <f t="shared" si="19"/>
        <v>1w</v>
      </c>
      <c r="V1024" s="201">
        <f>_xll.qlCalendarAdvance(Calendar,V1023,U1024,"f",FALSE)</f>
        <v>45958</v>
      </c>
      <c r="W1024" s="225">
        <f>_xll.qlCalendarAdvance(Calendar,V1024,NDays&amp;"D")</f>
        <v>45960</v>
      </c>
      <c r="X1024" s="200">
        <v>3.0825005211418125E-2</v>
      </c>
      <c r="Y1024" s="209">
        <v>3.0441951155388836E-2</v>
      </c>
    </row>
    <row r="1025" spans="21:25" x14ac:dyDescent="0.2">
      <c r="U1025" s="213" t="str">
        <f t="shared" si="19"/>
        <v>1w</v>
      </c>
      <c r="V1025" s="201">
        <f>_xll.qlCalendarAdvance(Calendar,V1024,U1025,"f",FALSE)</f>
        <v>45965</v>
      </c>
      <c r="W1025" s="225">
        <f>_xll.qlCalendarAdvance(Calendar,V1025,NDays&amp;"D")</f>
        <v>45967</v>
      </c>
      <c r="X1025" s="200">
        <v>3.0833803037106616E-2</v>
      </c>
      <c r="Y1025" s="209">
        <v>3.0454433784878887E-2</v>
      </c>
    </row>
    <row r="1026" spans="21:25" x14ac:dyDescent="0.2">
      <c r="U1026" s="213" t="str">
        <f t="shared" si="19"/>
        <v>1w</v>
      </c>
      <c r="V1026" s="201">
        <f>_xll.qlCalendarAdvance(Calendar,V1025,U1026,"f",FALSE)</f>
        <v>45972</v>
      </c>
      <c r="W1026" s="225">
        <f>_xll.qlCalendarAdvance(Calendar,V1026,NDays&amp;"D")</f>
        <v>45974</v>
      </c>
      <c r="X1026" s="200">
        <v>3.0844507074284565E-2</v>
      </c>
      <c r="Y1026" s="209">
        <v>3.0466776332902512E-2</v>
      </c>
    </row>
    <row r="1027" spans="21:25" x14ac:dyDescent="0.2">
      <c r="U1027" s="213" t="str">
        <f t="shared" si="19"/>
        <v>1w</v>
      </c>
      <c r="V1027" s="201">
        <f>_xll.qlCalendarAdvance(Calendar,V1026,U1027,"f",FALSE)</f>
        <v>45979</v>
      </c>
      <c r="W1027" s="225">
        <f>_xll.qlCalendarAdvance(Calendar,V1027,NDays&amp;"D")</f>
        <v>45981</v>
      </c>
      <c r="X1027" s="200">
        <v>3.0855068925154258E-2</v>
      </c>
      <c r="Y1027" s="209">
        <v>3.0478978799299838E-2</v>
      </c>
    </row>
    <row r="1028" spans="21:25" x14ac:dyDescent="0.2">
      <c r="U1028" s="213" t="str">
        <f t="shared" si="19"/>
        <v>1w</v>
      </c>
      <c r="V1028" s="201">
        <f>_xll.qlCalendarAdvance(Calendar,V1027,U1028,"f",FALSE)</f>
        <v>45986</v>
      </c>
      <c r="W1028" s="225">
        <f>_xll.qlCalendarAdvance(Calendar,V1028,NDays&amp;"D")</f>
        <v>45988</v>
      </c>
      <c r="X1028" s="200">
        <v>3.0865488587485002E-2</v>
      </c>
      <c r="Y1028" s="209">
        <v>3.0491041184230738E-2</v>
      </c>
    </row>
    <row r="1029" spans="21:25" x14ac:dyDescent="0.2">
      <c r="U1029" s="213" t="str">
        <f t="shared" si="19"/>
        <v>1w</v>
      </c>
      <c r="V1029" s="201">
        <f>_xll.qlCalendarAdvance(Calendar,V1028,U1029,"f",FALSE)</f>
        <v>45993</v>
      </c>
      <c r="W1029" s="225">
        <f>_xll.qlCalendarAdvance(Calendar,V1029,NDays&amp;"D")</f>
        <v>45995</v>
      </c>
      <c r="X1029" s="200">
        <v>3.0877768158508252E-2</v>
      </c>
      <c r="Y1029" s="209">
        <v>3.0502963487615276E-2</v>
      </c>
    </row>
    <row r="1030" spans="21:25" x14ac:dyDescent="0.2">
      <c r="U1030" s="213" t="str">
        <f t="shared" si="19"/>
        <v>1w</v>
      </c>
      <c r="V1030" s="201">
        <f>_xll.qlCalendarAdvance(Calendar,V1029,U1030,"f",FALSE)</f>
        <v>46000</v>
      </c>
      <c r="W1030" s="225">
        <f>_xll.qlCalendarAdvance(Calendar,V1030,NDays&amp;"D")</f>
        <v>46002</v>
      </c>
      <c r="X1030" s="200">
        <v>3.0887893979549684E-2</v>
      </c>
      <c r="Y1030" s="209">
        <v>3.051474570945345E-2</v>
      </c>
    </row>
    <row r="1031" spans="21:25" x14ac:dyDescent="0.2">
      <c r="U1031" s="213" t="str">
        <f t="shared" si="19"/>
        <v>1w</v>
      </c>
      <c r="V1031" s="201">
        <f>_xll.qlCalendarAdvance(Calendar,V1030,U1031,"f",FALSE)</f>
        <v>46007</v>
      </c>
      <c r="W1031" s="225">
        <f>_xll.qlCalendarAdvance(Calendar,V1031,NDays&amp;"D")</f>
        <v>46009</v>
      </c>
      <c r="X1031" s="200">
        <v>3.089787684508654E-2</v>
      </c>
      <c r="Y1031" s="209">
        <v>3.052638784958539E-2</v>
      </c>
    </row>
    <row r="1032" spans="21:25" x14ac:dyDescent="0.2">
      <c r="U1032" s="213" t="str">
        <f t="shared" si="19"/>
        <v>1w</v>
      </c>
      <c r="V1032" s="201">
        <f>_xll.qlCalendarAdvance(Calendar,V1031,U1032,"f",FALSE)</f>
        <v>46014</v>
      </c>
      <c r="W1032" s="225">
        <f>_xll.qlCalendarAdvance(Calendar,V1032,NDays&amp;"D")</f>
        <v>46020</v>
      </c>
      <c r="X1032" s="200">
        <v>3.0913273796389036E-2</v>
      </c>
      <c r="Y1032" s="209">
        <v>3.0544399619421014E-2</v>
      </c>
    </row>
    <row r="1033" spans="21:25" x14ac:dyDescent="0.2">
      <c r="U1033" s="213" t="str">
        <f t="shared" si="19"/>
        <v>1w</v>
      </c>
      <c r="V1033" s="201">
        <f>_xll.qlCalendarAdvance(Calendar,V1032,U1033,"f",FALSE)</f>
        <v>46021</v>
      </c>
      <c r="W1033" s="225">
        <f>_xll.qlCalendarAdvance(Calendar,V1033,NDays&amp;"D")</f>
        <v>46024</v>
      </c>
      <c r="X1033" s="200">
        <v>3.0916821538599124E-2</v>
      </c>
      <c r="Y1033" s="209">
        <v>3.055506448196077E-2</v>
      </c>
    </row>
    <row r="1034" spans="21:25" x14ac:dyDescent="0.2">
      <c r="U1034" s="213" t="str">
        <f t="shared" si="19"/>
        <v>1w</v>
      </c>
      <c r="V1034" s="201">
        <f>_xll.qlCalendarAdvance(Calendar,V1033,U1034,"f",FALSE)</f>
        <v>46028</v>
      </c>
      <c r="W1034" s="225">
        <f>_xll.qlCalendarAdvance(Calendar,V1034,NDays&amp;"D")</f>
        <v>46030</v>
      </c>
      <c r="X1034" s="200">
        <v>3.0925006762551895E-2</v>
      </c>
      <c r="Y1034" s="209">
        <v>3.0560473780623099E-2</v>
      </c>
    </row>
    <row r="1035" spans="21:25" x14ac:dyDescent="0.2">
      <c r="U1035" s="213" t="str">
        <f t="shared" si="19"/>
        <v>1w</v>
      </c>
      <c r="V1035" s="201">
        <f>_xll.qlCalendarAdvance(Calendar,V1034,U1035,"f",FALSE)</f>
        <v>46035</v>
      </c>
      <c r="W1035" s="225">
        <f>_xll.qlCalendarAdvance(Calendar,V1035,NDays&amp;"D")</f>
        <v>46037</v>
      </c>
      <c r="X1035" s="200">
        <v>3.0934421058031212E-2</v>
      </c>
      <c r="Y1035" s="209">
        <v>3.0571555594409716E-2</v>
      </c>
    </row>
    <row r="1036" spans="21:25" x14ac:dyDescent="0.2">
      <c r="U1036" s="213" t="str">
        <f t="shared" si="19"/>
        <v>1w</v>
      </c>
      <c r="V1036" s="201">
        <f>_xll.qlCalendarAdvance(Calendar,V1035,U1036,"f",FALSE)</f>
        <v>46042</v>
      </c>
      <c r="W1036" s="225">
        <f>_xll.qlCalendarAdvance(Calendar,V1036,NDays&amp;"D")</f>
        <v>46044</v>
      </c>
      <c r="X1036" s="200">
        <v>3.0943689197168247E-2</v>
      </c>
      <c r="Y1036" s="209">
        <v>3.0582497326490099E-2</v>
      </c>
    </row>
    <row r="1037" spans="21:25" x14ac:dyDescent="0.2">
      <c r="U1037" s="213" t="str">
        <f t="shared" si="19"/>
        <v>1w</v>
      </c>
      <c r="V1037" s="201">
        <f>_xll.qlCalendarAdvance(Calendar,V1036,U1037,"f",FALSE)</f>
        <v>46049</v>
      </c>
      <c r="W1037" s="225">
        <f>_xll.qlCalendarAdvance(Calendar,V1037,NDays&amp;"D")</f>
        <v>46051</v>
      </c>
      <c r="X1037" s="200">
        <v>3.0952810519457544E-2</v>
      </c>
      <c r="Y1037" s="209">
        <v>3.0593298976944183E-2</v>
      </c>
    </row>
    <row r="1038" spans="21:25" x14ac:dyDescent="0.2">
      <c r="U1038" s="213" t="str">
        <f t="shared" si="19"/>
        <v>1w</v>
      </c>
      <c r="V1038" s="201">
        <f>_xll.qlCalendarAdvance(Calendar,V1037,U1038,"f",FALSE)</f>
        <v>46056</v>
      </c>
      <c r="W1038" s="225">
        <f>_xll.qlCalendarAdvance(Calendar,V1038,NDays&amp;"D")</f>
        <v>46058</v>
      </c>
      <c r="X1038" s="200">
        <v>3.0961784364413072E-2</v>
      </c>
      <c r="Y1038" s="209">
        <v>3.0603960545771969E-2</v>
      </c>
    </row>
    <row r="1039" spans="21:25" x14ac:dyDescent="0.2">
      <c r="U1039" s="213" t="str">
        <f t="shared" si="19"/>
        <v>1w</v>
      </c>
      <c r="V1039" s="201">
        <f>_xll.qlCalendarAdvance(Calendar,V1038,U1039,"f",FALSE)</f>
        <v>46063</v>
      </c>
      <c r="W1039" s="225">
        <f>_xll.qlCalendarAdvance(Calendar,V1039,NDays&amp;"D")</f>
        <v>46065</v>
      </c>
      <c r="X1039" s="200">
        <v>3.0970610071569555E-2</v>
      </c>
      <c r="Y1039" s="209">
        <v>3.061448203289352E-2</v>
      </c>
    </row>
    <row r="1040" spans="21:25" x14ac:dyDescent="0.2">
      <c r="U1040" s="213" t="str">
        <f t="shared" si="19"/>
        <v>1w</v>
      </c>
      <c r="V1040" s="201">
        <f>_xll.qlCalendarAdvance(Calendar,V1039,U1040,"f",FALSE)</f>
        <v>46070</v>
      </c>
      <c r="W1040" s="225">
        <f>_xll.qlCalendarAdvance(Calendar,V1040,NDays&amp;"D")</f>
        <v>46072</v>
      </c>
      <c r="X1040" s="200">
        <v>3.0979286980482915E-2</v>
      </c>
      <c r="Y1040" s="209">
        <v>3.06248634382289E-2</v>
      </c>
    </row>
    <row r="1041" spans="21:25" x14ac:dyDescent="0.2">
      <c r="U1041" s="213" t="str">
        <f t="shared" si="19"/>
        <v>1w</v>
      </c>
      <c r="V1041" s="201">
        <f>_xll.qlCalendarAdvance(Calendar,V1040,U1041,"f",FALSE)</f>
        <v>46077</v>
      </c>
      <c r="W1041" s="225">
        <f>_xll.qlCalendarAdvance(Calendar,V1041,NDays&amp;"D")</f>
        <v>46079</v>
      </c>
      <c r="X1041" s="200">
        <v>3.0987814430728958E-2</v>
      </c>
      <c r="Y1041" s="209">
        <v>3.0635104761937981E-2</v>
      </c>
    </row>
    <row r="1042" spans="21:25" x14ac:dyDescent="0.2">
      <c r="U1042" s="213" t="str">
        <f t="shared" si="19"/>
        <v>1w</v>
      </c>
      <c r="V1042" s="201">
        <f>_xll.qlCalendarAdvance(Calendar,V1041,U1042,"f",FALSE)</f>
        <v>46084</v>
      </c>
      <c r="W1042" s="225">
        <f>_xll.qlCalendarAdvance(Calendar,V1042,NDays&amp;"D")</f>
        <v>46086</v>
      </c>
      <c r="X1042" s="200">
        <v>3.1005550943915942E-2</v>
      </c>
      <c r="Y1042" s="209">
        <v>3.0645206003940828E-2</v>
      </c>
    </row>
    <row r="1043" spans="21:25" x14ac:dyDescent="0.2">
      <c r="U1043" s="213" t="str">
        <f t="shared" si="19"/>
        <v>1w</v>
      </c>
      <c r="V1043" s="201">
        <f>_xll.qlCalendarAdvance(Calendar,V1042,U1043,"f",FALSE)</f>
        <v>46091</v>
      </c>
      <c r="W1043" s="225">
        <f>_xll.qlCalendarAdvance(Calendar,V1043,NDays&amp;"D")</f>
        <v>46093</v>
      </c>
      <c r="X1043" s="200">
        <v>3.1013725464966113E-2</v>
      </c>
      <c r="Y1043" s="209">
        <v>3.0655167164077568E-2</v>
      </c>
    </row>
    <row r="1044" spans="21:25" x14ac:dyDescent="0.2">
      <c r="U1044" s="213" t="str">
        <f t="shared" si="19"/>
        <v>1w</v>
      </c>
      <c r="V1044" s="201">
        <f>_xll.qlCalendarAdvance(Calendar,V1043,U1044,"f",FALSE)</f>
        <v>46098</v>
      </c>
      <c r="W1044" s="225">
        <f>_xll.qlCalendarAdvance(Calendar,V1044,NDays&amp;"D")</f>
        <v>46100</v>
      </c>
      <c r="X1044" s="200">
        <v>3.1021748271751047E-2</v>
      </c>
      <c r="Y1044" s="209">
        <v>3.0664988242588009E-2</v>
      </c>
    </row>
    <row r="1045" spans="21:25" x14ac:dyDescent="0.2">
      <c r="U1045" s="213" t="str">
        <f t="shared" ref="U1045:U1108" si="20">U1044</f>
        <v>1w</v>
      </c>
      <c r="V1045" s="201">
        <f>_xll.qlCalendarAdvance(Calendar,V1044,U1045,"f",FALSE)</f>
        <v>46105</v>
      </c>
      <c r="W1045" s="225">
        <f>_xll.qlCalendarAdvance(Calendar,V1045,NDays&amp;"D")</f>
        <v>46107</v>
      </c>
      <c r="X1045" s="200">
        <v>3.1029618721326122E-2</v>
      </c>
      <c r="Y1045" s="209">
        <v>3.067466923931228E-2</v>
      </c>
    </row>
    <row r="1046" spans="21:25" x14ac:dyDescent="0.2">
      <c r="U1046" s="213" t="str">
        <f t="shared" si="20"/>
        <v>1w</v>
      </c>
      <c r="V1046" s="201">
        <f>_xll.qlCalendarAdvance(Calendar,V1045,U1046,"f",FALSE)</f>
        <v>46112</v>
      </c>
      <c r="W1046" s="225">
        <f>_xll.qlCalendarAdvance(Calendar,V1046,NDays&amp;"D")</f>
        <v>46114</v>
      </c>
      <c r="X1046" s="200">
        <v>3.1031849234815785E-2</v>
      </c>
      <c r="Y1046" s="209">
        <v>3.0692139578359701E-2</v>
      </c>
    </row>
    <row r="1047" spans="21:25" x14ac:dyDescent="0.2">
      <c r="U1047" s="213" t="str">
        <f t="shared" si="20"/>
        <v>1w</v>
      </c>
      <c r="V1047" s="201">
        <f>_xll.qlCalendarAdvance(Calendar,V1046,U1047,"f",FALSE)</f>
        <v>46119</v>
      </c>
      <c r="W1047" s="225">
        <f>_xll.qlCalendarAdvance(Calendar,V1047,NDays&amp;"D")</f>
        <v>46121</v>
      </c>
      <c r="X1047" s="200">
        <v>3.1039444865397992E-2</v>
      </c>
      <c r="Y1047" s="209">
        <v>3.0693610987482245E-2</v>
      </c>
    </row>
    <row r="1048" spans="21:25" x14ac:dyDescent="0.2">
      <c r="U1048" s="213" t="str">
        <f t="shared" si="20"/>
        <v>1w</v>
      </c>
      <c r="V1048" s="201">
        <f>_xll.qlCalendarAdvance(Calendar,V1047,U1048,"f",FALSE)</f>
        <v>46126</v>
      </c>
      <c r="W1048" s="225">
        <f>_xll.qlCalendarAdvance(Calendar,V1048,NDays&amp;"D")</f>
        <v>46128</v>
      </c>
      <c r="X1048" s="200">
        <v>3.1046886332140037E-2</v>
      </c>
      <c r="Y1048" s="209">
        <v>3.0702871738848003E-2</v>
      </c>
    </row>
    <row r="1049" spans="21:25" x14ac:dyDescent="0.2">
      <c r="U1049" s="213" t="str">
        <f t="shared" si="20"/>
        <v>1w</v>
      </c>
      <c r="V1049" s="201">
        <f>_xll.qlCalendarAdvance(Calendar,V1048,U1049,"f",FALSE)</f>
        <v>46133</v>
      </c>
      <c r="W1049" s="225">
        <f>_xll.qlCalendarAdvance(Calendar,V1049,NDays&amp;"D")</f>
        <v>46135</v>
      </c>
      <c r="X1049" s="200">
        <v>3.105417298188002E-2</v>
      </c>
      <c r="Y1049" s="209">
        <v>3.0711992408507527E-2</v>
      </c>
    </row>
    <row r="1050" spans="21:25" x14ac:dyDescent="0.2">
      <c r="U1050" s="213" t="str">
        <f t="shared" si="20"/>
        <v>1w</v>
      </c>
      <c r="V1050" s="201">
        <f>_xll.qlCalendarAdvance(Calendar,V1049,U1050,"f",FALSE)</f>
        <v>46140</v>
      </c>
      <c r="W1050" s="225">
        <f>_xll.qlCalendarAdvance(Calendar,V1050,NDays&amp;"D")</f>
        <v>46142</v>
      </c>
      <c r="X1050" s="200">
        <v>3.1061304161480945E-2</v>
      </c>
      <c r="Y1050" s="209">
        <v>3.0726810516648051E-2</v>
      </c>
    </row>
    <row r="1051" spans="21:25" x14ac:dyDescent="0.2">
      <c r="U1051" s="213" t="str">
        <f t="shared" si="20"/>
        <v>1w</v>
      </c>
      <c r="V1051" s="201">
        <f>_xll.qlCalendarAdvance(Calendar,V1050,U1051,"f",FALSE)</f>
        <v>46147</v>
      </c>
      <c r="W1051" s="225">
        <f>_xll.qlCalendarAdvance(Calendar,V1051,NDays&amp;"D")</f>
        <v>46149</v>
      </c>
      <c r="X1051" s="200">
        <v>3.1073605915621284E-2</v>
      </c>
      <c r="Y1051" s="209">
        <v>3.0729813502228254E-2</v>
      </c>
    </row>
    <row r="1052" spans="21:25" x14ac:dyDescent="0.2">
      <c r="U1052" s="213" t="str">
        <f t="shared" si="20"/>
        <v>1w</v>
      </c>
      <c r="V1052" s="201">
        <f>_xll.qlCalendarAdvance(Calendar,V1051,U1052,"f",FALSE)</f>
        <v>46154</v>
      </c>
      <c r="W1052" s="225">
        <f>_xll.qlCalendarAdvance(Calendar,V1052,NDays&amp;"D")</f>
        <v>46156</v>
      </c>
      <c r="X1052" s="200">
        <v>3.1080391864413852E-2</v>
      </c>
      <c r="Y1052" s="209">
        <v>3.0738513926369393E-2</v>
      </c>
    </row>
    <row r="1053" spans="21:25" x14ac:dyDescent="0.2">
      <c r="U1053" s="213" t="str">
        <f t="shared" si="20"/>
        <v>1w</v>
      </c>
      <c r="V1053" s="201">
        <f>_xll.qlCalendarAdvance(Calendar,V1052,U1053,"f",FALSE)</f>
        <v>46161</v>
      </c>
      <c r="W1053" s="225">
        <f>_xll.qlCalendarAdvance(Calendar,V1053,NDays&amp;"D")</f>
        <v>46163</v>
      </c>
      <c r="X1053" s="200">
        <v>3.1087020313374313E-2</v>
      </c>
      <c r="Y1053" s="209">
        <v>3.0747074268644425E-2</v>
      </c>
    </row>
    <row r="1054" spans="21:25" x14ac:dyDescent="0.2">
      <c r="U1054" s="213" t="str">
        <f t="shared" si="20"/>
        <v>1w</v>
      </c>
      <c r="V1054" s="201">
        <f>_xll.qlCalendarAdvance(Calendar,V1053,U1054,"f",FALSE)</f>
        <v>46168</v>
      </c>
      <c r="W1054" s="225">
        <f>_xll.qlCalendarAdvance(Calendar,V1054,NDays&amp;"D")</f>
        <v>46170</v>
      </c>
      <c r="X1054" s="200">
        <v>3.1093490619802159E-2</v>
      </c>
      <c r="Y1054" s="209">
        <v>3.0755494529133287E-2</v>
      </c>
    </row>
    <row r="1055" spans="21:25" x14ac:dyDescent="0.2">
      <c r="U1055" s="213" t="str">
        <f t="shared" si="20"/>
        <v>1w</v>
      </c>
      <c r="V1055" s="201">
        <f>_xll.qlCalendarAdvance(Calendar,V1054,U1055,"f",FALSE)</f>
        <v>46175</v>
      </c>
      <c r="W1055" s="225">
        <f>_xll.qlCalendarAdvance(Calendar,V1055,NDays&amp;"D")</f>
        <v>46177</v>
      </c>
      <c r="X1055" s="200">
        <v>3.1094605149854782E-2</v>
      </c>
      <c r="Y1055" s="209">
        <v>3.0763774308395497E-2</v>
      </c>
    </row>
    <row r="1056" spans="21:25" x14ac:dyDescent="0.2">
      <c r="U1056" s="213" t="str">
        <f t="shared" si="20"/>
        <v>1w</v>
      </c>
      <c r="V1056" s="201">
        <f>_xll.qlCalendarAdvance(Calendar,V1055,U1056,"f",FALSE)</f>
        <v>46182</v>
      </c>
      <c r="W1056" s="225">
        <f>_xll.qlCalendarAdvance(Calendar,V1056,NDays&amp;"D")</f>
        <v>46184</v>
      </c>
      <c r="X1056" s="200">
        <v>3.1100789956055079E-2</v>
      </c>
      <c r="Y1056" s="209">
        <v>3.0771902428492481E-2</v>
      </c>
    </row>
    <row r="1057" spans="21:25" x14ac:dyDescent="0.2">
      <c r="U1057" s="213" t="str">
        <f t="shared" si="20"/>
        <v>1w</v>
      </c>
      <c r="V1057" s="201">
        <f>_xll.qlCalendarAdvance(Calendar,V1056,U1057,"f",FALSE)</f>
        <v>46189</v>
      </c>
      <c r="W1057" s="225">
        <f>_xll.qlCalendarAdvance(Calendar,V1057,NDays&amp;"D")</f>
        <v>46191</v>
      </c>
      <c r="X1057" s="200">
        <v>3.110681546546672E-2</v>
      </c>
      <c r="Y1057" s="209">
        <v>3.0779873699415816E-2</v>
      </c>
    </row>
    <row r="1058" spans="21:25" x14ac:dyDescent="0.2">
      <c r="U1058" s="213" t="str">
        <f t="shared" si="20"/>
        <v>1w</v>
      </c>
      <c r="V1058" s="201">
        <f>_xll.qlCalendarAdvance(Calendar,V1057,U1058,"f",FALSE)</f>
        <v>46196</v>
      </c>
      <c r="W1058" s="225">
        <f>_xll.qlCalendarAdvance(Calendar,V1058,NDays&amp;"D")</f>
        <v>46198</v>
      </c>
      <c r="X1058" s="200">
        <v>3.1117780884297442E-2</v>
      </c>
      <c r="Y1058" s="209">
        <v>3.0787688121165502E-2</v>
      </c>
    </row>
    <row r="1059" spans="21:25" x14ac:dyDescent="0.2">
      <c r="U1059" s="213" t="str">
        <f t="shared" si="20"/>
        <v>1w</v>
      </c>
      <c r="V1059" s="201">
        <f>_xll.qlCalendarAdvance(Calendar,V1058,U1059,"f",FALSE)</f>
        <v>46203</v>
      </c>
      <c r="W1059" s="225">
        <f>_xll.qlCalendarAdvance(Calendar,V1059,NDays&amp;"D")</f>
        <v>46205</v>
      </c>
      <c r="X1059" s="200">
        <v>3.1123455119261484E-2</v>
      </c>
      <c r="Y1059" s="209">
        <v>3.0795345693741538E-2</v>
      </c>
    </row>
    <row r="1060" spans="21:25" x14ac:dyDescent="0.2">
      <c r="U1060" s="213" t="str">
        <f t="shared" si="20"/>
        <v>1w</v>
      </c>
      <c r="V1060" s="201">
        <f>_xll.qlCalendarAdvance(Calendar,V1059,U1060,"f",FALSE)</f>
        <v>46210</v>
      </c>
      <c r="W1060" s="225">
        <f>_xll.qlCalendarAdvance(Calendar,V1060,NDays&amp;"D")</f>
        <v>46212</v>
      </c>
      <c r="X1060" s="200">
        <v>3.1128970012215401E-2</v>
      </c>
      <c r="Y1060" s="209">
        <v>3.0802846417143925E-2</v>
      </c>
    </row>
    <row r="1061" spans="21:25" x14ac:dyDescent="0.2">
      <c r="U1061" s="213" t="str">
        <f t="shared" si="20"/>
        <v>1w</v>
      </c>
      <c r="V1061" s="201">
        <f>_xll.qlCalendarAdvance(Calendar,V1060,U1061,"f",FALSE)</f>
        <v>46217</v>
      </c>
      <c r="W1061" s="225">
        <f>_xll.qlCalendarAdvance(Calendar,V1061,NDays&amp;"D")</f>
        <v>46219</v>
      </c>
      <c r="X1061" s="200">
        <v>3.1134325561818766E-2</v>
      </c>
      <c r="Y1061" s="209">
        <v>3.0810190291292727E-2</v>
      </c>
    </row>
    <row r="1062" spans="21:25" x14ac:dyDescent="0.2">
      <c r="U1062" s="213" t="str">
        <f t="shared" si="20"/>
        <v>1w</v>
      </c>
      <c r="V1062" s="201">
        <f>_xll.qlCalendarAdvance(Calendar,V1061,U1062,"f",FALSE)</f>
        <v>46224</v>
      </c>
      <c r="W1062" s="225">
        <f>_xll.qlCalendarAdvance(Calendar,V1062,NDays&amp;"D")</f>
        <v>46226</v>
      </c>
      <c r="X1062" s="200">
        <v>3.1139521766770244E-2</v>
      </c>
      <c r="Y1062" s="209">
        <v>3.0817377316187944E-2</v>
      </c>
    </row>
    <row r="1063" spans="21:25" x14ac:dyDescent="0.2">
      <c r="U1063" s="213" t="str">
        <f t="shared" si="20"/>
        <v>1w</v>
      </c>
      <c r="V1063" s="201">
        <f>_xll.qlCalendarAdvance(Calendar,V1062,U1063,"f",FALSE)</f>
        <v>46231</v>
      </c>
      <c r="W1063" s="225">
        <f>_xll.qlCalendarAdvance(Calendar,V1063,NDays&amp;"D")</f>
        <v>46233</v>
      </c>
      <c r="X1063" s="200">
        <v>3.1139623211341907E-2</v>
      </c>
      <c r="Y1063" s="209">
        <v>3.0824407491989447E-2</v>
      </c>
    </row>
    <row r="1064" spans="21:25" x14ac:dyDescent="0.2">
      <c r="U1064" s="213" t="str">
        <f t="shared" si="20"/>
        <v>1w</v>
      </c>
      <c r="V1064" s="201">
        <f>_xll.qlCalendarAdvance(Calendar,V1063,U1064,"f",FALSE)</f>
        <v>46238</v>
      </c>
      <c r="W1064" s="225">
        <f>_xll.qlCalendarAdvance(Calendar,V1064,NDays&amp;"D")</f>
        <v>46240</v>
      </c>
      <c r="X1064" s="200">
        <v>3.1149436137702647E-2</v>
      </c>
      <c r="Y1064" s="209">
        <v>3.0831280818377493E-2</v>
      </c>
    </row>
    <row r="1065" spans="21:25" x14ac:dyDescent="0.2">
      <c r="U1065" s="213" t="str">
        <f t="shared" si="20"/>
        <v>1w</v>
      </c>
      <c r="V1065" s="201">
        <f>_xll.qlCalendarAdvance(Calendar,V1064,U1065,"f",FALSE)</f>
        <v>46245</v>
      </c>
      <c r="W1065" s="225">
        <f>_xll.qlCalendarAdvance(Calendar,V1065,NDays&amp;"D")</f>
        <v>46247</v>
      </c>
      <c r="X1065" s="200">
        <v>3.1154154301273881E-2</v>
      </c>
      <c r="Y1065" s="209">
        <v>3.0837997295671826E-2</v>
      </c>
    </row>
    <row r="1066" spans="21:25" x14ac:dyDescent="0.2">
      <c r="U1066" s="213" t="str">
        <f t="shared" si="20"/>
        <v>1w</v>
      </c>
      <c r="V1066" s="201">
        <f>_xll.qlCalendarAdvance(Calendar,V1065,U1066,"f",FALSE)</f>
        <v>46252</v>
      </c>
      <c r="W1066" s="225">
        <f>_xll.qlCalendarAdvance(Calendar,V1066,NDays&amp;"D")</f>
        <v>46254</v>
      </c>
      <c r="X1066" s="200">
        <v>3.1158713115373004E-2</v>
      </c>
      <c r="Y1066" s="209">
        <v>3.0844556923712574E-2</v>
      </c>
    </row>
    <row r="1067" spans="21:25" x14ac:dyDescent="0.2">
      <c r="U1067" s="213" t="str">
        <f t="shared" si="20"/>
        <v>1w</v>
      </c>
      <c r="V1067" s="201">
        <f>_xll.qlCalendarAdvance(Calendar,V1066,U1067,"f",FALSE)</f>
        <v>46259</v>
      </c>
      <c r="W1067" s="225">
        <f>_xll.qlCalendarAdvance(Calendar,V1067,NDays&amp;"D")</f>
        <v>46261</v>
      </c>
      <c r="X1067" s="200">
        <v>3.1158308938028515E-2</v>
      </c>
      <c r="Y1067" s="209">
        <v>3.0850959702499736E-2</v>
      </c>
    </row>
    <row r="1068" spans="21:25" x14ac:dyDescent="0.2">
      <c r="U1068" s="213" t="str">
        <f t="shared" si="20"/>
        <v>1w</v>
      </c>
      <c r="V1068" s="201">
        <f>_xll.qlCalendarAdvance(Calendar,V1067,U1068,"f",FALSE)</f>
        <v>46266</v>
      </c>
      <c r="W1068" s="225">
        <f>_xll.qlCalendarAdvance(Calendar,V1068,NDays&amp;"D")</f>
        <v>46268</v>
      </c>
      <c r="X1068" s="200">
        <v>3.1159396879473143E-2</v>
      </c>
      <c r="Y1068" s="209">
        <v>3.0857205632033313E-2</v>
      </c>
    </row>
    <row r="1069" spans="21:25" x14ac:dyDescent="0.2">
      <c r="U1069" s="213" t="str">
        <f t="shared" si="20"/>
        <v>1w</v>
      </c>
      <c r="V1069" s="201">
        <f>_xll.qlCalendarAdvance(Calendar,V1068,U1069,"f",FALSE)</f>
        <v>46273</v>
      </c>
      <c r="W1069" s="225">
        <f>_xll.qlCalendarAdvance(Calendar,V1069,NDays&amp;"D")</f>
        <v>46275</v>
      </c>
      <c r="X1069" s="200">
        <v>3.1163532774459633E-2</v>
      </c>
      <c r="Y1069" s="209">
        <v>3.0863294712233369E-2</v>
      </c>
    </row>
    <row r="1070" spans="21:25" x14ac:dyDescent="0.2">
      <c r="U1070" s="213" t="str">
        <f t="shared" si="20"/>
        <v>1w</v>
      </c>
      <c r="V1070" s="201">
        <f>_xll.qlCalendarAdvance(Calendar,V1069,U1070,"f",FALSE)</f>
        <v>46280</v>
      </c>
      <c r="W1070" s="225">
        <f>_xll.qlCalendarAdvance(Calendar,V1070,NDays&amp;"D")</f>
        <v>46282</v>
      </c>
      <c r="X1070" s="200">
        <v>3.1167509384301489E-2</v>
      </c>
      <c r="Y1070" s="209">
        <v>3.0869226943179839E-2</v>
      </c>
    </row>
    <row r="1071" spans="21:25" x14ac:dyDescent="0.2">
      <c r="U1071" s="213" t="str">
        <f t="shared" si="20"/>
        <v>1w</v>
      </c>
      <c r="V1071" s="201">
        <f>_xll.qlCalendarAdvance(Calendar,V1070,U1071,"f",FALSE)</f>
        <v>46287</v>
      </c>
      <c r="W1071" s="225">
        <f>_xll.qlCalendarAdvance(Calendar,V1071,NDays&amp;"D")</f>
        <v>46289</v>
      </c>
      <c r="X1071" s="200">
        <v>3.117132670805715E-2</v>
      </c>
      <c r="Y1071" s="209">
        <v>3.0875002324792788E-2</v>
      </c>
    </row>
    <row r="1072" spans="21:25" x14ac:dyDescent="0.2">
      <c r="U1072" s="213" t="str">
        <f t="shared" si="20"/>
        <v>1w</v>
      </c>
      <c r="V1072" s="201">
        <f>_xll.qlCalendarAdvance(Calendar,V1071,U1072,"f",FALSE)</f>
        <v>46294</v>
      </c>
      <c r="W1072" s="225">
        <f>_xll.qlCalendarAdvance(Calendar,V1072,NDays&amp;"D")</f>
        <v>46296</v>
      </c>
      <c r="X1072" s="200">
        <v>3.1176533659462616E-2</v>
      </c>
      <c r="Y1072" s="209">
        <v>3.0880620857152152E-2</v>
      </c>
    </row>
    <row r="1073" spans="21:25" x14ac:dyDescent="0.2">
      <c r="U1073" s="213" t="str">
        <f t="shared" si="20"/>
        <v>1w</v>
      </c>
      <c r="V1073" s="201">
        <f>_xll.qlCalendarAdvance(Calendar,V1072,U1073,"f",FALSE)</f>
        <v>46301</v>
      </c>
      <c r="W1073" s="225">
        <f>_xll.qlCalendarAdvance(Calendar,V1073,NDays&amp;"D")</f>
        <v>46303</v>
      </c>
      <c r="X1073" s="200">
        <v>3.1180021330239852E-2</v>
      </c>
      <c r="Y1073" s="209">
        <v>3.0886082540177995E-2</v>
      </c>
    </row>
    <row r="1074" spans="21:25" x14ac:dyDescent="0.2">
      <c r="U1074" s="213" t="str">
        <f t="shared" si="20"/>
        <v>1w</v>
      </c>
      <c r="V1074" s="201">
        <f>_xll.qlCalendarAdvance(Calendar,V1073,U1074,"f",FALSE)</f>
        <v>46308</v>
      </c>
      <c r="W1074" s="225">
        <f>_xll.qlCalendarAdvance(Calendar,V1074,NDays&amp;"D")</f>
        <v>46310</v>
      </c>
      <c r="X1074" s="200">
        <v>3.1183349698624272E-2</v>
      </c>
      <c r="Y1074" s="209">
        <v>3.0891387373950252E-2</v>
      </c>
    </row>
    <row r="1075" spans="21:25" x14ac:dyDescent="0.2">
      <c r="U1075" s="213" t="str">
        <f t="shared" si="20"/>
        <v>1w</v>
      </c>
      <c r="V1075" s="201">
        <f>_xll.qlCalendarAdvance(Calendar,V1074,U1075,"f",FALSE)</f>
        <v>46315</v>
      </c>
      <c r="W1075" s="225">
        <f>_xll.qlCalendarAdvance(Calendar,V1075,NDays&amp;"D")</f>
        <v>46317</v>
      </c>
      <c r="X1075" s="200">
        <v>3.1186518763823983E-2</v>
      </c>
      <c r="Y1075" s="209">
        <v>3.0896535358388988E-2</v>
      </c>
    </row>
    <row r="1076" spans="21:25" x14ac:dyDescent="0.2">
      <c r="U1076" s="213" t="str">
        <f t="shared" si="20"/>
        <v>1w</v>
      </c>
      <c r="V1076" s="201">
        <f>_xll.qlCalendarAdvance(Calendar,V1075,U1076,"f",FALSE)</f>
        <v>46322</v>
      </c>
      <c r="W1076" s="225">
        <f>_xll.qlCalendarAdvance(Calendar,V1076,NDays&amp;"D")</f>
        <v>46324</v>
      </c>
      <c r="X1076" s="200">
        <v>3.1189528525084859E-2</v>
      </c>
      <c r="Y1076" s="209">
        <v>3.0901526493494202E-2</v>
      </c>
    </row>
    <row r="1077" spans="21:25" x14ac:dyDescent="0.2">
      <c r="U1077" s="213" t="str">
        <f t="shared" si="20"/>
        <v>1w</v>
      </c>
      <c r="V1077" s="201">
        <f>_xll.qlCalendarAdvance(Calendar,V1076,U1077,"f",FALSE)</f>
        <v>46329</v>
      </c>
      <c r="W1077" s="225">
        <f>_xll.qlCalendarAdvance(Calendar,V1077,NDays&amp;"D")</f>
        <v>46331</v>
      </c>
      <c r="X1077" s="200">
        <v>3.1190885594856818E-2</v>
      </c>
      <c r="Y1077" s="209">
        <v>3.0906360779265896E-2</v>
      </c>
    </row>
    <row r="1078" spans="21:25" x14ac:dyDescent="0.2">
      <c r="U1078" s="213" t="str">
        <f t="shared" si="20"/>
        <v>1w</v>
      </c>
      <c r="V1078" s="201">
        <f>_xll.qlCalendarAdvance(Calendar,V1077,U1078,"f",FALSE)</f>
        <v>46336</v>
      </c>
      <c r="W1078" s="225">
        <f>_xll.qlCalendarAdvance(Calendar,V1078,NDays&amp;"D")</f>
        <v>46338</v>
      </c>
      <c r="X1078" s="200">
        <v>3.1193587892836896E-2</v>
      </c>
      <c r="Y1078" s="209">
        <v>3.0911038215704068E-2</v>
      </c>
    </row>
    <row r="1079" spans="21:25" x14ac:dyDescent="0.2">
      <c r="U1079" s="213" t="str">
        <f t="shared" si="20"/>
        <v>1w</v>
      </c>
      <c r="V1079" s="201">
        <f>_xll.qlCalendarAdvance(Calendar,V1078,U1079,"f",FALSE)</f>
        <v>46343</v>
      </c>
      <c r="W1079" s="225">
        <f>_xll.qlCalendarAdvance(Calendar,V1079,NDays&amp;"D")</f>
        <v>46345</v>
      </c>
      <c r="X1079" s="200">
        <v>3.1196130898562453E-2</v>
      </c>
      <c r="Y1079" s="209">
        <v>3.0915558802808718E-2</v>
      </c>
    </row>
    <row r="1080" spans="21:25" x14ac:dyDescent="0.2">
      <c r="U1080" s="213" t="str">
        <f t="shared" si="20"/>
        <v>1w</v>
      </c>
      <c r="V1080" s="201">
        <f>_xll.qlCalendarAdvance(Calendar,V1079,U1080,"f",FALSE)</f>
        <v>46350</v>
      </c>
      <c r="W1080" s="225">
        <f>_xll.qlCalendarAdvance(Calendar,V1080,NDays&amp;"D")</f>
        <v>46352</v>
      </c>
      <c r="X1080" s="200">
        <v>3.119851461143109E-2</v>
      </c>
      <c r="Y1080" s="209">
        <v>3.0919922540499911E-2</v>
      </c>
    </row>
    <row r="1081" spans="21:25" x14ac:dyDescent="0.2">
      <c r="U1081" s="213" t="str">
        <f t="shared" si="20"/>
        <v>1w</v>
      </c>
      <c r="V1081" s="201">
        <f>_xll.qlCalendarAdvance(Calendar,V1080,U1081,"f",FALSE)</f>
        <v>46357</v>
      </c>
      <c r="W1081" s="225">
        <f>_xll.qlCalendarAdvance(Calendar,V1081,NDays&amp;"D")</f>
        <v>46359</v>
      </c>
      <c r="X1081" s="200">
        <v>3.1202187748580263E-2</v>
      </c>
      <c r="Y1081" s="209">
        <v>3.0924129428937519E-2</v>
      </c>
    </row>
    <row r="1082" spans="21:25" x14ac:dyDescent="0.2">
      <c r="U1082" s="213" t="str">
        <f t="shared" si="20"/>
        <v>1w</v>
      </c>
      <c r="V1082" s="201">
        <f>_xll.qlCalendarAdvance(Calendar,V1081,U1082,"f",FALSE)</f>
        <v>46364</v>
      </c>
      <c r="W1082" s="225">
        <f>_xll.qlCalendarAdvance(Calendar,V1082,NDays&amp;"D")</f>
        <v>46366</v>
      </c>
      <c r="X1082" s="200">
        <v>3.1204241672501756E-2</v>
      </c>
      <c r="Y1082" s="209">
        <v>3.092817946796167E-2</v>
      </c>
    </row>
    <row r="1083" spans="21:25" x14ac:dyDescent="0.2">
      <c r="U1083" s="213" t="str">
        <f t="shared" si="20"/>
        <v>1w</v>
      </c>
      <c r="V1083" s="201">
        <f>_xll.qlCalendarAdvance(Calendar,V1082,U1083,"f",FALSE)</f>
        <v>46371</v>
      </c>
      <c r="W1083" s="225">
        <f>_xll.qlCalendarAdvance(Calendar,V1083,NDays&amp;"D")</f>
        <v>46373</v>
      </c>
      <c r="X1083" s="200">
        <v>3.1206136288268887E-2</v>
      </c>
      <c r="Y1083" s="209">
        <v>3.0932072657572363E-2</v>
      </c>
    </row>
    <row r="1084" spans="21:25" x14ac:dyDescent="0.2">
      <c r="U1084" s="213" t="str">
        <f t="shared" si="20"/>
        <v>1w</v>
      </c>
      <c r="V1084" s="201">
        <f>_xll.qlCalendarAdvance(Calendar,V1083,U1084,"f",FALSE)</f>
        <v>46378</v>
      </c>
      <c r="W1084" s="225">
        <f>_xll.qlCalendarAdvance(Calendar,V1084,NDays&amp;"D")</f>
        <v>46380</v>
      </c>
      <c r="X1084" s="200">
        <v>3.1207871595431466E-2</v>
      </c>
      <c r="Y1084" s="209">
        <v>3.0940575265430148E-2</v>
      </c>
    </row>
    <row r="1085" spans="21:25" x14ac:dyDescent="0.2">
      <c r="U1085" s="213" t="str">
        <f t="shared" si="20"/>
        <v>1w</v>
      </c>
      <c r="V1085" s="201">
        <f>_xll.qlCalendarAdvance(Calendar,V1084,U1085,"f",FALSE)</f>
        <v>46385</v>
      </c>
      <c r="W1085" s="225">
        <f>_xll.qlCalendarAdvance(Calendar,V1085,NDays&amp;"D")</f>
        <v>46387</v>
      </c>
      <c r="X1085" s="200">
        <v>3.1208043764510078E-2</v>
      </c>
      <c r="Y1085" s="209">
        <v>3.0944122060028167E-2</v>
      </c>
    </row>
    <row r="1086" spans="21:25" x14ac:dyDescent="0.2">
      <c r="U1086" s="213" t="str">
        <f t="shared" si="20"/>
        <v>1w</v>
      </c>
      <c r="V1086" s="201">
        <f>_xll.qlCalendarAdvance(Calendar,V1085,U1086,"f",FALSE)</f>
        <v>46392</v>
      </c>
      <c r="W1086" s="225">
        <f>_xll.qlCalendarAdvance(Calendar,V1086,NDays&amp;"D")</f>
        <v>46394</v>
      </c>
      <c r="X1086" s="200">
        <v>3.120947170971702E-2</v>
      </c>
      <c r="Y1086" s="209">
        <v>3.0942811130323378E-2</v>
      </c>
    </row>
    <row r="1087" spans="21:25" x14ac:dyDescent="0.2">
      <c r="U1087" s="213" t="str">
        <f t="shared" si="20"/>
        <v>1w</v>
      </c>
      <c r="V1087" s="201">
        <f>_xll.qlCalendarAdvance(Calendar,V1086,U1087,"f",FALSE)</f>
        <v>46399</v>
      </c>
      <c r="W1087" s="225">
        <f>_xll.qlCalendarAdvance(Calendar,V1087,NDays&amp;"D")</f>
        <v>46401</v>
      </c>
      <c r="X1087" s="200">
        <v>3.1210740358911557E-2</v>
      </c>
      <c r="Y1087" s="209">
        <v>3.0946076922440113E-2</v>
      </c>
    </row>
    <row r="1088" spans="21:25" x14ac:dyDescent="0.2">
      <c r="U1088" s="213" t="str">
        <f t="shared" si="20"/>
        <v>1w</v>
      </c>
      <c r="V1088" s="201">
        <f>_xll.qlCalendarAdvance(Calendar,V1087,U1088,"f",FALSE)</f>
        <v>46406</v>
      </c>
      <c r="W1088" s="225">
        <f>_xll.qlCalendarAdvance(Calendar,V1088,NDays&amp;"D")</f>
        <v>46408</v>
      </c>
      <c r="X1088" s="200">
        <v>3.1211849711793378E-2</v>
      </c>
      <c r="Y1088" s="209">
        <v>3.0949185865223328E-2</v>
      </c>
    </row>
    <row r="1089" spans="21:25" x14ac:dyDescent="0.2">
      <c r="U1089" s="213" t="str">
        <f t="shared" si="20"/>
        <v>1w</v>
      </c>
      <c r="V1089" s="201">
        <f>_xll.qlCalendarAdvance(Calendar,V1088,U1089,"f",FALSE)</f>
        <v>46413</v>
      </c>
      <c r="W1089" s="225">
        <f>_xll.qlCalendarAdvance(Calendar,V1089,NDays&amp;"D")</f>
        <v>46415</v>
      </c>
      <c r="X1089" s="200">
        <v>3.1212799768100152E-2</v>
      </c>
      <c r="Y1089" s="209">
        <v>3.0952137958593084E-2</v>
      </c>
    </row>
    <row r="1090" spans="21:25" x14ac:dyDescent="0.2">
      <c r="U1090" s="213" t="str">
        <f t="shared" si="20"/>
        <v>1w</v>
      </c>
      <c r="V1090" s="201">
        <f>_xll.qlCalendarAdvance(Calendar,V1089,U1090,"f",FALSE)</f>
        <v>46420</v>
      </c>
      <c r="W1090" s="225">
        <f>_xll.qlCalendarAdvance(Calendar,V1090,NDays&amp;"D")</f>
        <v>46422</v>
      </c>
      <c r="X1090" s="200">
        <v>3.121359052760753E-2</v>
      </c>
      <c r="Y1090" s="209">
        <v>3.0954933202549384E-2</v>
      </c>
    </row>
    <row r="1091" spans="21:25" x14ac:dyDescent="0.2">
      <c r="U1091" s="213" t="str">
        <f t="shared" si="20"/>
        <v>1w</v>
      </c>
      <c r="V1091" s="201">
        <f>_xll.qlCalendarAdvance(Calendar,V1090,U1091,"f",FALSE)</f>
        <v>46427</v>
      </c>
      <c r="W1091" s="225">
        <f>_xll.qlCalendarAdvance(Calendar,V1091,NDays&amp;"D")</f>
        <v>46429</v>
      </c>
      <c r="X1091" s="200">
        <v>3.1214221990127813E-2</v>
      </c>
      <c r="Y1091" s="209">
        <v>3.0957571597092226E-2</v>
      </c>
    </row>
    <row r="1092" spans="21:25" x14ac:dyDescent="0.2">
      <c r="U1092" s="213" t="str">
        <f t="shared" si="20"/>
        <v>1w</v>
      </c>
      <c r="V1092" s="201">
        <f>_xll.qlCalendarAdvance(Calendar,V1091,U1092,"f",FALSE)</f>
        <v>46434</v>
      </c>
      <c r="W1092" s="225">
        <f>_xll.qlCalendarAdvance(Calendar,V1092,NDays&amp;"D")</f>
        <v>46436</v>
      </c>
      <c r="X1092" s="200">
        <v>3.1214694155512174E-2</v>
      </c>
      <c r="Y1092" s="209">
        <v>3.0960053142301547E-2</v>
      </c>
    </row>
    <row r="1093" spans="21:25" x14ac:dyDescent="0.2">
      <c r="U1093" s="213" t="str">
        <f t="shared" si="20"/>
        <v>1w</v>
      </c>
      <c r="V1093" s="201">
        <f>_xll.qlCalendarAdvance(Calendar,V1092,U1093,"f",FALSE)</f>
        <v>46441</v>
      </c>
      <c r="W1093" s="225">
        <f>_xll.qlCalendarAdvance(Calendar,V1093,NDays&amp;"D")</f>
        <v>46443</v>
      </c>
      <c r="X1093" s="200">
        <v>3.1215007023648433E-2</v>
      </c>
      <c r="Y1093" s="209">
        <v>3.0962377838017474E-2</v>
      </c>
    </row>
    <row r="1094" spans="21:25" x14ac:dyDescent="0.2">
      <c r="U1094" s="213" t="str">
        <f t="shared" si="20"/>
        <v>1w</v>
      </c>
      <c r="V1094" s="201">
        <f>_xll.qlCalendarAdvance(Calendar,V1093,U1094,"f",FALSE)</f>
        <v>46448</v>
      </c>
      <c r="W1094" s="225">
        <f>_xll.qlCalendarAdvance(Calendar,V1094,NDays&amp;"D")</f>
        <v>46450</v>
      </c>
      <c r="X1094" s="200">
        <v>3.1221660586649738E-2</v>
      </c>
      <c r="Y1094" s="209">
        <v>3.096454568439988E-2</v>
      </c>
    </row>
    <row r="1095" spans="21:25" x14ac:dyDescent="0.2">
      <c r="U1095" s="213" t="str">
        <f t="shared" si="20"/>
        <v>1w</v>
      </c>
      <c r="V1095" s="201">
        <f>_xll.qlCalendarAdvance(Calendar,V1094,U1095,"f",FALSE)</f>
        <v>46455</v>
      </c>
      <c r="W1095" s="225">
        <f>_xll.qlCalendarAdvance(Calendar,V1095,NDays&amp;"D")</f>
        <v>46457</v>
      </c>
      <c r="X1095" s="200">
        <v>3.1221597941256347E-2</v>
      </c>
      <c r="Y1095" s="209">
        <v>3.0966556681288893E-2</v>
      </c>
    </row>
    <row r="1096" spans="21:25" x14ac:dyDescent="0.2">
      <c r="U1096" s="213" t="str">
        <f t="shared" si="20"/>
        <v>1w</v>
      </c>
      <c r="V1096" s="201">
        <f>_xll.qlCalendarAdvance(Calendar,V1095,U1096,"f",FALSE)</f>
        <v>46462</v>
      </c>
      <c r="W1096" s="225">
        <f>_xll.qlCalendarAdvance(Calendar,V1096,NDays&amp;"D")</f>
        <v>46464</v>
      </c>
      <c r="X1096" s="200">
        <v>3.1221375929995361E-2</v>
      </c>
      <c r="Y1096" s="209">
        <v>3.0968410828844384E-2</v>
      </c>
    </row>
    <row r="1097" spans="21:25" x14ac:dyDescent="0.2">
      <c r="U1097" s="213" t="str">
        <f t="shared" si="20"/>
        <v>1w</v>
      </c>
      <c r="V1097" s="201">
        <f>_xll.qlCalendarAdvance(Calendar,V1096,U1097,"f",FALSE)</f>
        <v>46469</v>
      </c>
      <c r="W1097" s="225">
        <f>_xll.qlCalendarAdvance(Calendar,V1097,NDays&amp;"D")</f>
        <v>46471</v>
      </c>
      <c r="X1097" s="200">
        <v>3.1220994552920923E-2</v>
      </c>
      <c r="Y1097" s="209">
        <v>3.0975890271221829E-2</v>
      </c>
    </row>
    <row r="1098" spans="21:25" x14ac:dyDescent="0.2">
      <c r="U1098" s="213" t="str">
        <f t="shared" si="20"/>
        <v>1w</v>
      </c>
      <c r="V1098" s="201">
        <f>_xll.qlCalendarAdvance(Calendar,V1097,U1098,"f",FALSE)</f>
        <v>46476</v>
      </c>
      <c r="W1098" s="225">
        <f>_xll.qlCalendarAdvance(Calendar,V1098,NDays&amp;"D")</f>
        <v>46478</v>
      </c>
      <c r="X1098" s="200">
        <v>3.1216693733688489E-2</v>
      </c>
      <c r="Y1098" s="209">
        <v>3.0971648575555122E-2</v>
      </c>
    </row>
    <row r="1099" spans="21:25" x14ac:dyDescent="0.2">
      <c r="U1099" s="213" t="str">
        <f t="shared" si="20"/>
        <v>1w</v>
      </c>
      <c r="V1099" s="201">
        <f>_xll.qlCalendarAdvance(Calendar,V1098,U1099,"f",FALSE)</f>
        <v>46483</v>
      </c>
      <c r="W1099" s="225">
        <f>_xll.qlCalendarAdvance(Calendar,V1099,NDays&amp;"D")</f>
        <v>46485</v>
      </c>
      <c r="X1099" s="200">
        <v>3.1216027946867404E-2</v>
      </c>
      <c r="Y1099" s="209">
        <v>3.0973032174870241E-2</v>
      </c>
    </row>
    <row r="1100" spans="21:25" x14ac:dyDescent="0.2">
      <c r="U1100" s="213" t="str">
        <f t="shared" si="20"/>
        <v>1w</v>
      </c>
      <c r="V1100" s="201">
        <f>_xll.qlCalendarAdvance(Calendar,V1099,U1100,"f",FALSE)</f>
        <v>46490</v>
      </c>
      <c r="W1100" s="225">
        <f>_xll.qlCalendarAdvance(Calendar,V1100,NDays&amp;"D")</f>
        <v>46492</v>
      </c>
      <c r="X1100" s="200">
        <v>3.1215202835695885E-2</v>
      </c>
      <c r="Y1100" s="209">
        <v>3.0974258924691966E-2</v>
      </c>
    </row>
    <row r="1101" spans="21:25" x14ac:dyDescent="0.2">
      <c r="U1101" s="213" t="str">
        <f t="shared" si="20"/>
        <v>1w</v>
      </c>
      <c r="V1101" s="201">
        <f>_xll.qlCalendarAdvance(Calendar,V1100,U1101,"f",FALSE)</f>
        <v>46497</v>
      </c>
      <c r="W1101" s="225">
        <f>_xll.qlCalendarAdvance(Calendar,V1101,NDays&amp;"D")</f>
        <v>46499</v>
      </c>
      <c r="X1101" s="200">
        <v>3.121421840037137E-2</v>
      </c>
      <c r="Y1101" s="209">
        <v>3.0975328825100235E-2</v>
      </c>
    </row>
    <row r="1102" spans="21:25" x14ac:dyDescent="0.2">
      <c r="U1102" s="213" t="str">
        <f t="shared" si="20"/>
        <v>1w</v>
      </c>
      <c r="V1102" s="201">
        <f>_xll.qlCalendarAdvance(Calendar,V1101,U1102,"f",FALSE)</f>
        <v>46504</v>
      </c>
      <c r="W1102" s="225">
        <f>_xll.qlCalendarAdvance(Calendar,V1102,NDays&amp;"D")</f>
        <v>46506</v>
      </c>
      <c r="X1102" s="200">
        <v>3.121307464113017E-2</v>
      </c>
      <c r="Y1102" s="209">
        <v>3.0976241876095045E-2</v>
      </c>
    </row>
    <row r="1103" spans="21:25" x14ac:dyDescent="0.2">
      <c r="U1103" s="213" t="str">
        <f t="shared" si="20"/>
        <v>1w</v>
      </c>
      <c r="V1103" s="201">
        <f>_xll.qlCalendarAdvance(Calendar,V1102,U1103,"f",FALSE)</f>
        <v>46511</v>
      </c>
      <c r="W1103" s="225">
        <f>_xll.qlCalendarAdvance(Calendar,V1103,NDays&amp;"D")</f>
        <v>46513</v>
      </c>
      <c r="X1103" s="200">
        <v>3.1215359616295228E-2</v>
      </c>
      <c r="Y1103" s="209">
        <v>3.0976998077596463E-2</v>
      </c>
    </row>
    <row r="1104" spans="21:25" x14ac:dyDescent="0.2">
      <c r="U1104" s="213" t="str">
        <f t="shared" si="20"/>
        <v>1w</v>
      </c>
      <c r="V1104" s="201">
        <f>_xll.qlCalendarAdvance(Calendar,V1103,U1104,"f",FALSE)</f>
        <v>46518</v>
      </c>
      <c r="W1104" s="225">
        <f>_xll.qlCalendarAdvance(Calendar,V1104,NDays&amp;"D")</f>
        <v>46520</v>
      </c>
      <c r="X1104" s="200">
        <v>3.1213862683291866E-2</v>
      </c>
      <c r="Y1104" s="209">
        <v>3.0977597429764359E-2</v>
      </c>
    </row>
    <row r="1105" spans="21:25" x14ac:dyDescent="0.2">
      <c r="U1105" s="213" t="str">
        <f t="shared" si="20"/>
        <v>1w</v>
      </c>
      <c r="V1105" s="201">
        <f>_xll.qlCalendarAdvance(Calendar,V1104,U1105,"f",FALSE)</f>
        <v>46525</v>
      </c>
      <c r="W1105" s="225">
        <f>_xll.qlCalendarAdvance(Calendar,V1105,NDays&amp;"D")</f>
        <v>46527</v>
      </c>
      <c r="X1105" s="200">
        <v>3.1212206386301983E-2</v>
      </c>
      <c r="Y1105" s="209">
        <v>3.0978039932438861E-2</v>
      </c>
    </row>
    <row r="1106" spans="21:25" x14ac:dyDescent="0.2">
      <c r="U1106" s="213" t="str">
        <f t="shared" si="20"/>
        <v>1w</v>
      </c>
      <c r="V1106" s="201">
        <f>_xll.qlCalendarAdvance(Calendar,V1105,U1106,"f",FALSE)</f>
        <v>46532</v>
      </c>
      <c r="W1106" s="225">
        <f>_xll.qlCalendarAdvance(Calendar,V1106,NDays&amp;"D")</f>
        <v>46534</v>
      </c>
      <c r="X1106" s="200">
        <v>3.1210390725727406E-2</v>
      </c>
      <c r="Y1106" s="209">
        <v>3.0978325585699906E-2</v>
      </c>
    </row>
    <row r="1107" spans="21:25" x14ac:dyDescent="0.2">
      <c r="U1107" s="213" t="str">
        <f t="shared" si="20"/>
        <v>1w</v>
      </c>
      <c r="V1107" s="201">
        <f>_xll.qlCalendarAdvance(Calendar,V1106,U1107,"f",FALSE)</f>
        <v>46539</v>
      </c>
      <c r="W1107" s="225">
        <f>_xll.qlCalendarAdvance(Calendar,V1107,NDays&amp;"D")</f>
        <v>46541</v>
      </c>
      <c r="X1107" s="200">
        <v>3.1204965997071892E-2</v>
      </c>
      <c r="Y1107" s="209">
        <v>3.0978454389467558E-2</v>
      </c>
    </row>
    <row r="1108" spans="21:25" x14ac:dyDescent="0.2">
      <c r="U1108" s="213" t="str">
        <f t="shared" si="20"/>
        <v>1w</v>
      </c>
      <c r="V1108" s="201">
        <f>_xll.qlCalendarAdvance(Calendar,V1107,U1108,"f",FALSE)</f>
        <v>46546</v>
      </c>
      <c r="W1108" s="225">
        <f>_xll.qlCalendarAdvance(Calendar,V1108,NDays&amp;"D")</f>
        <v>46548</v>
      </c>
      <c r="X1108" s="200">
        <v>3.1202866301405594E-2</v>
      </c>
      <c r="Y1108" s="209">
        <v>3.0978426343901688E-2</v>
      </c>
    </row>
    <row r="1109" spans="21:25" x14ac:dyDescent="0.2">
      <c r="U1109" s="213" t="str">
        <f t="shared" ref="U1109:U1172" si="21">U1108</f>
        <v>1w</v>
      </c>
      <c r="V1109" s="201">
        <f>_xll.qlCalendarAdvance(Calendar,V1108,U1109,"f",FALSE)</f>
        <v>46553</v>
      </c>
      <c r="W1109" s="225">
        <f>_xll.qlCalendarAdvance(Calendar,V1109,NDays&amp;"D")</f>
        <v>46555</v>
      </c>
      <c r="X1109" s="200">
        <v>3.1200607284536948E-2</v>
      </c>
      <c r="Y1109" s="209">
        <v>3.0978241448842425E-2</v>
      </c>
    </row>
    <row r="1110" spans="21:25" x14ac:dyDescent="0.2">
      <c r="U1110" s="213" t="str">
        <f t="shared" si="21"/>
        <v>1w</v>
      </c>
      <c r="V1110" s="201">
        <f>_xll.qlCalendarAdvance(Calendar,V1109,U1110,"f",FALSE)</f>
        <v>46560</v>
      </c>
      <c r="W1110" s="225">
        <f>_xll.qlCalendarAdvance(Calendar,V1110,NDays&amp;"D")</f>
        <v>46562</v>
      </c>
      <c r="X1110" s="200">
        <v>3.1198188947006281E-2</v>
      </c>
      <c r="Y1110" s="209">
        <v>3.0977899704369705E-2</v>
      </c>
    </row>
    <row r="1111" spans="21:25" x14ac:dyDescent="0.2">
      <c r="U1111" s="213" t="str">
        <f t="shared" si="21"/>
        <v>1w</v>
      </c>
      <c r="V1111" s="201">
        <f>_xll.qlCalendarAdvance(Calendar,V1110,U1111,"f",FALSE)</f>
        <v>46567</v>
      </c>
      <c r="W1111" s="225">
        <f>_xll.qlCalendarAdvance(Calendar,V1111,NDays&amp;"D")</f>
        <v>46569</v>
      </c>
      <c r="X1111" s="200">
        <v>3.1198921985893888E-2</v>
      </c>
      <c r="Y1111" s="209">
        <v>3.0977401110483527E-2</v>
      </c>
    </row>
    <row r="1112" spans="21:25" x14ac:dyDescent="0.2">
      <c r="U1112" s="213" t="str">
        <f t="shared" si="21"/>
        <v>1w</v>
      </c>
      <c r="V1112" s="201">
        <f>_xll.qlCalendarAdvance(Calendar,V1111,U1112,"f",FALSE)</f>
        <v>46574</v>
      </c>
      <c r="W1112" s="225">
        <f>_xll.qlCalendarAdvance(Calendar,V1112,NDays&amp;"D")</f>
        <v>46576</v>
      </c>
      <c r="X1112" s="200">
        <v>3.1196150154437486E-2</v>
      </c>
      <c r="Y1112" s="209">
        <v>3.0976745667183891E-2</v>
      </c>
    </row>
    <row r="1113" spans="21:25" x14ac:dyDescent="0.2">
      <c r="U1113" s="213" t="str">
        <f t="shared" si="21"/>
        <v>1w</v>
      </c>
      <c r="V1113" s="201">
        <f>_xll.qlCalendarAdvance(Calendar,V1112,U1113,"f",FALSE)</f>
        <v>46581</v>
      </c>
      <c r="W1113" s="225">
        <f>_xll.qlCalendarAdvance(Calendar,V1113,NDays&amp;"D")</f>
        <v>46583</v>
      </c>
      <c r="X1113" s="200">
        <v>3.1193218963300792E-2</v>
      </c>
      <c r="Y1113" s="209">
        <v>3.0975933374390863E-2</v>
      </c>
    </row>
    <row r="1114" spans="21:25" x14ac:dyDescent="0.2">
      <c r="U1114" s="213" t="str">
        <f t="shared" si="21"/>
        <v>1w</v>
      </c>
      <c r="V1114" s="201">
        <f>_xll.qlCalendarAdvance(Calendar,V1113,U1114,"f",FALSE)</f>
        <v>46588</v>
      </c>
      <c r="W1114" s="225">
        <f>_xll.qlCalendarAdvance(Calendar,V1114,NDays&amp;"D")</f>
        <v>46590</v>
      </c>
      <c r="X1114" s="200">
        <v>3.1190128413195066E-2</v>
      </c>
      <c r="Y1114" s="209">
        <v>3.0974964232184377E-2</v>
      </c>
    </row>
    <row r="1115" spans="21:25" x14ac:dyDescent="0.2">
      <c r="U1115" s="213" t="str">
        <f t="shared" si="21"/>
        <v>1w</v>
      </c>
      <c r="V1115" s="201">
        <f>_xll.qlCalendarAdvance(Calendar,V1114,U1115,"f",FALSE)</f>
        <v>46595</v>
      </c>
      <c r="W1115" s="225">
        <f>_xll.qlCalendarAdvance(Calendar,V1115,NDays&amp;"D")</f>
        <v>46597</v>
      </c>
      <c r="X1115" s="200">
        <v>3.1186878504872395E-2</v>
      </c>
      <c r="Y1115" s="209">
        <v>3.0973838240644369E-2</v>
      </c>
    </row>
    <row r="1116" spans="21:25" x14ac:dyDescent="0.2">
      <c r="U1116" s="213" t="str">
        <f t="shared" si="21"/>
        <v>1w</v>
      </c>
      <c r="V1116" s="201">
        <f>_xll.qlCalendarAdvance(Calendar,V1115,U1116,"f",FALSE)</f>
        <v>46602</v>
      </c>
      <c r="W1116" s="225">
        <f>_xll.qlCalendarAdvance(Calendar,V1116,NDays&amp;"D")</f>
        <v>46604</v>
      </c>
      <c r="X1116" s="200">
        <v>3.1183469239122255E-2</v>
      </c>
      <c r="Y1116" s="209">
        <v>3.0972555399610968E-2</v>
      </c>
    </row>
    <row r="1117" spans="21:25" x14ac:dyDescent="0.2">
      <c r="U1117" s="213" t="str">
        <f t="shared" si="21"/>
        <v>1w</v>
      </c>
      <c r="V1117" s="201">
        <f>_xll.qlCalendarAdvance(Calendar,V1116,U1117,"f",FALSE)</f>
        <v>46609</v>
      </c>
      <c r="W1117" s="225">
        <f>_xll.qlCalendarAdvance(Calendar,V1117,NDays&amp;"D")</f>
        <v>46611</v>
      </c>
      <c r="X1117" s="200">
        <v>3.117990061677323E-2</v>
      </c>
      <c r="Y1117" s="209">
        <v>3.0971115709084174E-2</v>
      </c>
    </row>
    <row r="1118" spans="21:25" x14ac:dyDescent="0.2">
      <c r="U1118" s="213" t="str">
        <f t="shared" si="21"/>
        <v>1w</v>
      </c>
      <c r="V1118" s="201">
        <f>_xll.qlCalendarAdvance(Calendar,V1117,U1118,"f",FALSE)</f>
        <v>46616</v>
      </c>
      <c r="W1118" s="225">
        <f>_xll.qlCalendarAdvance(Calendar,V1118,NDays&amp;"D")</f>
        <v>46618</v>
      </c>
      <c r="X1118" s="200">
        <v>3.1176172638693874E-2</v>
      </c>
      <c r="Y1118" s="209">
        <v>3.0969519169223858E-2</v>
      </c>
    </row>
    <row r="1119" spans="21:25" x14ac:dyDescent="0.2">
      <c r="U1119" s="213" t="str">
        <f t="shared" si="21"/>
        <v>1w</v>
      </c>
      <c r="V1119" s="201">
        <f>_xll.qlCalendarAdvance(Calendar,V1118,U1119,"f",FALSE)</f>
        <v>46623</v>
      </c>
      <c r="W1119" s="225">
        <f>_xll.qlCalendarAdvance(Calendar,V1119,NDays&amp;"D")</f>
        <v>46625</v>
      </c>
      <c r="X1119" s="200">
        <v>3.117228530578884E-2</v>
      </c>
      <c r="Y1119" s="209">
        <v>3.0967765779870149E-2</v>
      </c>
    </row>
    <row r="1120" spans="21:25" x14ac:dyDescent="0.2">
      <c r="U1120" s="213" t="str">
        <f t="shared" si="21"/>
        <v>1w</v>
      </c>
      <c r="V1120" s="201">
        <f>_xll.qlCalendarAdvance(Calendar,V1119,U1120,"f",FALSE)</f>
        <v>46630</v>
      </c>
      <c r="W1120" s="225">
        <f>_xll.qlCalendarAdvance(Calendar,V1120,NDays&amp;"D")</f>
        <v>46632</v>
      </c>
      <c r="X1120" s="200">
        <v>3.116424243744222E-2</v>
      </c>
      <c r="Y1120" s="209">
        <v>3.0965855541182918E-2</v>
      </c>
    </row>
    <row r="1121" spans="21:25" x14ac:dyDescent="0.2">
      <c r="U1121" s="213" t="str">
        <f t="shared" si="21"/>
        <v>1w</v>
      </c>
      <c r="V1121" s="201">
        <f>_xll.qlCalendarAdvance(Calendar,V1120,U1121,"f",FALSE)</f>
        <v>46637</v>
      </c>
      <c r="W1121" s="225">
        <f>_xll.qlCalendarAdvance(Calendar,V1121,NDays&amp;"D")</f>
        <v>46639</v>
      </c>
      <c r="X1121" s="200">
        <v>3.1160083355721877E-2</v>
      </c>
      <c r="Y1121" s="209">
        <v>3.0963788453002294E-2</v>
      </c>
    </row>
    <row r="1122" spans="21:25" x14ac:dyDescent="0.2">
      <c r="U1122" s="213" t="str">
        <f t="shared" si="21"/>
        <v>1w</v>
      </c>
      <c r="V1122" s="201">
        <f>_xll.qlCalendarAdvance(Calendar,V1121,U1122,"f",FALSE)</f>
        <v>46644</v>
      </c>
      <c r="W1122" s="225">
        <f>_xll.qlCalendarAdvance(Calendar,V1122,NDays&amp;"D")</f>
        <v>46646</v>
      </c>
      <c r="X1122" s="200">
        <v>3.1155764976351301E-2</v>
      </c>
      <c r="Y1122" s="209">
        <v>3.0961564515568085E-2</v>
      </c>
    </row>
    <row r="1123" spans="21:25" x14ac:dyDescent="0.2">
      <c r="U1123" s="213" t="str">
        <f t="shared" si="21"/>
        <v>1w</v>
      </c>
      <c r="V1123" s="201">
        <f>_xll.qlCalendarAdvance(Calendar,V1122,U1123,"f",FALSE)</f>
        <v>46651</v>
      </c>
      <c r="W1123" s="225">
        <f>_xll.qlCalendarAdvance(Calendar,V1123,NDays&amp;"D")</f>
        <v>46653</v>
      </c>
      <c r="X1123" s="200">
        <v>3.115128730035736E-2</v>
      </c>
      <c r="Y1123" s="209">
        <v>3.0959183728560546E-2</v>
      </c>
    </row>
    <row r="1124" spans="21:25" x14ac:dyDescent="0.2">
      <c r="U1124" s="213" t="str">
        <f t="shared" si="21"/>
        <v>1w</v>
      </c>
      <c r="V1124" s="201">
        <f>_xll.qlCalendarAdvance(Calendar,V1123,U1124,"f",FALSE)</f>
        <v>46658</v>
      </c>
      <c r="W1124" s="225">
        <f>_xll.qlCalendarAdvance(Calendar,V1124,NDays&amp;"D")</f>
        <v>46660</v>
      </c>
      <c r="X1124" s="200">
        <v>3.114760394534212E-2</v>
      </c>
      <c r="Y1124" s="209">
        <v>3.0956646092219486E-2</v>
      </c>
    </row>
    <row r="1125" spans="21:25" x14ac:dyDescent="0.2">
      <c r="U1125" s="213" t="str">
        <f t="shared" si="21"/>
        <v>1w</v>
      </c>
      <c r="V1125" s="201">
        <f>_xll.qlCalendarAdvance(Calendar,V1124,U1125,"f",FALSE)</f>
        <v>46665</v>
      </c>
      <c r="W1125" s="225">
        <f>_xll.qlCalendarAdvance(Calendar,V1125,NDays&amp;"D")</f>
        <v>46667</v>
      </c>
      <c r="X1125" s="200">
        <v>3.1142795888630444E-2</v>
      </c>
      <c r="Y1125" s="209">
        <v>3.0953951606464969E-2</v>
      </c>
    </row>
    <row r="1126" spans="21:25" x14ac:dyDescent="0.2">
      <c r="U1126" s="213" t="str">
        <f t="shared" si="21"/>
        <v>1w</v>
      </c>
      <c r="V1126" s="201">
        <f>_xll.qlCalendarAdvance(Calendar,V1125,U1126,"f",FALSE)</f>
        <v>46672</v>
      </c>
      <c r="W1126" s="225">
        <f>_xll.qlCalendarAdvance(Calendar,V1126,NDays&amp;"D")</f>
        <v>46674</v>
      </c>
      <c r="X1126" s="200">
        <v>3.1141537835101842E-2</v>
      </c>
      <c r="Y1126" s="209">
        <v>3.0951100271296994E-2</v>
      </c>
    </row>
    <row r="1127" spans="21:25" x14ac:dyDescent="0.2">
      <c r="U1127" s="213" t="str">
        <f t="shared" si="21"/>
        <v>1w</v>
      </c>
      <c r="V1127" s="201">
        <f>_xll.qlCalendarAdvance(Calendar,V1126,U1127,"f",FALSE)</f>
        <v>46679</v>
      </c>
      <c r="W1127" s="225">
        <f>_xll.qlCalendarAdvance(Calendar,V1127,NDays&amp;"D")</f>
        <v>46681</v>
      </c>
      <c r="X1127" s="200">
        <v>3.1132701855890291E-2</v>
      </c>
      <c r="Y1127" s="209">
        <v>3.0948092086715562E-2</v>
      </c>
    </row>
    <row r="1128" spans="21:25" x14ac:dyDescent="0.2">
      <c r="U1128" s="213" t="str">
        <f t="shared" si="21"/>
        <v>1w</v>
      </c>
      <c r="V1128" s="201">
        <f>_xll.qlCalendarAdvance(Calendar,V1127,U1128,"f",FALSE)</f>
        <v>46686</v>
      </c>
      <c r="W1128" s="225">
        <f>_xll.qlCalendarAdvance(Calendar,V1128,NDays&amp;"D")</f>
        <v>46688</v>
      </c>
      <c r="X1128" s="200">
        <v>3.1127415882275623E-2</v>
      </c>
      <c r="Y1128" s="209">
        <v>3.0944927052720672E-2</v>
      </c>
    </row>
    <row r="1129" spans="21:25" x14ac:dyDescent="0.2">
      <c r="U1129" s="213" t="str">
        <f t="shared" si="21"/>
        <v>1w</v>
      </c>
      <c r="V1129" s="201">
        <f>_xll.qlCalendarAdvance(Calendar,V1128,U1129,"f",FALSE)</f>
        <v>46693</v>
      </c>
      <c r="W1129" s="225">
        <f>_xll.qlCalendarAdvance(Calendar,V1129,NDays&amp;"D")</f>
        <v>46695</v>
      </c>
      <c r="X1129" s="200">
        <v>3.1121076077599591E-2</v>
      </c>
      <c r="Y1129" s="209">
        <v>3.0941605169392261E-2</v>
      </c>
    </row>
    <row r="1130" spans="21:25" x14ac:dyDescent="0.2">
      <c r="U1130" s="213" t="str">
        <f t="shared" si="21"/>
        <v>1w</v>
      </c>
      <c r="V1130" s="201">
        <f>_xll.qlCalendarAdvance(Calendar,V1129,U1130,"f",FALSE)</f>
        <v>46700</v>
      </c>
      <c r="W1130" s="225">
        <f>_xll.qlCalendarAdvance(Calendar,V1130,NDays&amp;"D")</f>
        <v>46702</v>
      </c>
      <c r="X1130" s="200">
        <v>3.1115483357186214E-2</v>
      </c>
      <c r="Y1130" s="209">
        <v>3.0938126436730329E-2</v>
      </c>
    </row>
    <row r="1131" spans="21:25" x14ac:dyDescent="0.2">
      <c r="U1131" s="213" t="str">
        <f t="shared" si="21"/>
        <v>1w</v>
      </c>
      <c r="V1131" s="201">
        <f>_xll.qlCalendarAdvance(Calendar,V1130,U1131,"f",FALSE)</f>
        <v>46707</v>
      </c>
      <c r="W1131" s="225">
        <f>_xll.qlCalendarAdvance(Calendar,V1131,NDays&amp;"D")</f>
        <v>46709</v>
      </c>
      <c r="X1131" s="200">
        <v>3.1109731349730382E-2</v>
      </c>
      <c r="Y1131" s="209">
        <v>3.0934490854654939E-2</v>
      </c>
    </row>
    <row r="1132" spans="21:25" x14ac:dyDescent="0.2">
      <c r="U1132" s="213" t="str">
        <f t="shared" si="21"/>
        <v>1w</v>
      </c>
      <c r="V1132" s="201">
        <f>_xll.qlCalendarAdvance(Calendar,V1131,U1132,"f",FALSE)</f>
        <v>46714</v>
      </c>
      <c r="W1132" s="225">
        <f>_xll.qlCalendarAdvance(Calendar,V1132,NDays&amp;"D")</f>
        <v>46716</v>
      </c>
      <c r="X1132" s="200">
        <v>3.1103820056601107E-2</v>
      </c>
      <c r="Y1132" s="209">
        <v>3.0930698423086156E-2</v>
      </c>
    </row>
    <row r="1133" spans="21:25" x14ac:dyDescent="0.2">
      <c r="U1133" s="213" t="str">
        <f t="shared" si="21"/>
        <v>1w</v>
      </c>
      <c r="V1133" s="201">
        <f>_xll.qlCalendarAdvance(Calendar,V1132,U1133,"f",FALSE)</f>
        <v>46721</v>
      </c>
      <c r="W1133" s="225">
        <f>_xll.qlCalendarAdvance(Calendar,V1133,NDays&amp;"D")</f>
        <v>46723</v>
      </c>
      <c r="X1133" s="200">
        <v>3.10985964934728E-2</v>
      </c>
      <c r="Y1133" s="209">
        <v>3.0926749142263787E-2</v>
      </c>
    </row>
    <row r="1134" spans="21:25" x14ac:dyDescent="0.2">
      <c r="U1134" s="213" t="str">
        <f t="shared" si="21"/>
        <v>1w</v>
      </c>
      <c r="V1134" s="201">
        <f>_xll.qlCalendarAdvance(Calendar,V1133,U1134,"f",FALSE)</f>
        <v>46728</v>
      </c>
      <c r="W1134" s="225">
        <f>_xll.qlCalendarAdvance(Calendar,V1134,NDays&amp;"D")</f>
        <v>46730</v>
      </c>
      <c r="X1134" s="200">
        <v>3.1092354721215715E-2</v>
      </c>
      <c r="Y1134" s="209">
        <v>3.0922643012027962E-2</v>
      </c>
    </row>
    <row r="1135" spans="21:25" x14ac:dyDescent="0.2">
      <c r="U1135" s="213" t="str">
        <f t="shared" si="21"/>
        <v>1w</v>
      </c>
      <c r="V1135" s="201">
        <f>_xll.qlCalendarAdvance(Calendar,V1134,U1135,"f",FALSE)</f>
        <v>46735</v>
      </c>
      <c r="W1135" s="225">
        <f>_xll.qlCalendarAdvance(Calendar,V1135,NDays&amp;"D")</f>
        <v>46737</v>
      </c>
      <c r="X1135" s="200">
        <v>3.1085953654187592E-2</v>
      </c>
      <c r="Y1135" s="209">
        <v>3.0918380032458614E-2</v>
      </c>
    </row>
    <row r="1136" spans="21:25" x14ac:dyDescent="0.2">
      <c r="U1136" s="213" t="str">
        <f t="shared" si="21"/>
        <v>1w</v>
      </c>
      <c r="V1136" s="201">
        <f>_xll.qlCalendarAdvance(Calendar,V1135,U1136,"f",FALSE)</f>
        <v>46742</v>
      </c>
      <c r="W1136" s="225">
        <f>_xll.qlCalendarAdvance(Calendar,V1136,NDays&amp;"D")</f>
        <v>46744</v>
      </c>
      <c r="X1136" s="200">
        <v>3.1079393293919014E-2</v>
      </c>
      <c r="Y1136" s="209">
        <v>3.0913960203555746E-2</v>
      </c>
    </row>
    <row r="1137" spans="21:25" x14ac:dyDescent="0.2">
      <c r="U1137" s="213" t="str">
        <f t="shared" si="21"/>
        <v>1w</v>
      </c>
      <c r="V1137" s="201">
        <f>_xll.qlCalendarAdvance(Calendar,V1136,U1137,"f",FALSE)</f>
        <v>46749</v>
      </c>
      <c r="W1137" s="225">
        <f>_xll.qlCalendarAdvance(Calendar,V1137,NDays&amp;"D")</f>
        <v>46751</v>
      </c>
      <c r="X1137" s="200">
        <v>3.1072673641978996E-2</v>
      </c>
      <c r="Y1137" s="209">
        <v>3.090938352523942E-2</v>
      </c>
    </row>
    <row r="1138" spans="21:25" x14ac:dyDescent="0.2">
      <c r="U1138" s="213" t="str">
        <f t="shared" si="21"/>
        <v>1w</v>
      </c>
      <c r="V1138" s="201">
        <f>_xll.qlCalendarAdvance(Calendar,V1137,U1138,"f",FALSE)</f>
        <v>46756</v>
      </c>
      <c r="W1138" s="225">
        <f>_xll.qlCalendarAdvance(Calendar,V1138,NDays&amp;"D")</f>
        <v>46758</v>
      </c>
      <c r="X1138" s="200">
        <v>3.1065007380068167E-2</v>
      </c>
      <c r="Y1138" s="209">
        <v>3.0904649997669509E-2</v>
      </c>
    </row>
    <row r="1139" spans="21:25" x14ac:dyDescent="0.2">
      <c r="U1139" s="213" t="str">
        <f t="shared" si="21"/>
        <v>1w</v>
      </c>
      <c r="V1139" s="201">
        <f>_xll.qlCalendarAdvance(Calendar,V1138,U1139,"f",FALSE)</f>
        <v>46763</v>
      </c>
      <c r="W1139" s="225">
        <f>_xll.qlCalendarAdvance(Calendar,V1139,NDays&amp;"D")</f>
        <v>46765</v>
      </c>
      <c r="X1139" s="200">
        <v>3.1057981128713805E-2</v>
      </c>
      <c r="Y1139" s="209">
        <v>3.0899759620766076E-2</v>
      </c>
    </row>
    <row r="1140" spans="21:25" x14ac:dyDescent="0.2">
      <c r="U1140" s="213" t="str">
        <f t="shared" si="21"/>
        <v>1w</v>
      </c>
      <c r="V1140" s="201">
        <f>_xll.qlCalendarAdvance(Calendar,V1139,U1140,"f",FALSE)</f>
        <v>46770</v>
      </c>
      <c r="W1140" s="225">
        <f>_xll.qlCalendarAdvance(Calendar,V1140,NDays&amp;"D")</f>
        <v>46772</v>
      </c>
      <c r="X1140" s="200">
        <v>3.1050795603995276E-2</v>
      </c>
      <c r="Y1140" s="209">
        <v>3.0894712394449186E-2</v>
      </c>
    </row>
    <row r="1141" spans="21:25" x14ac:dyDescent="0.2">
      <c r="U1141" s="213" t="str">
        <f t="shared" si="21"/>
        <v>1w</v>
      </c>
      <c r="V1141" s="201">
        <f>_xll.qlCalendarAdvance(Calendar,V1140,U1141,"f",FALSE)</f>
        <v>46777</v>
      </c>
      <c r="W1141" s="225">
        <f>_xll.qlCalendarAdvance(Calendar,V1141,NDays&amp;"D")</f>
        <v>46779</v>
      </c>
      <c r="X1141" s="200">
        <v>3.1043450807620662E-2</v>
      </c>
      <c r="Y1141" s="209">
        <v>3.0889508318878711E-2</v>
      </c>
    </row>
    <row r="1142" spans="21:25" x14ac:dyDescent="0.2">
      <c r="U1142" s="213" t="str">
        <f t="shared" si="21"/>
        <v>1w</v>
      </c>
      <c r="V1142" s="201">
        <f>_xll.qlCalendarAdvance(Calendar,V1141,U1142,"f",FALSE)</f>
        <v>46784</v>
      </c>
      <c r="W1142" s="225">
        <f>_xll.qlCalendarAdvance(Calendar,V1142,NDays&amp;"D")</f>
        <v>46786</v>
      </c>
      <c r="X1142" s="200">
        <v>3.1035946741338014E-2</v>
      </c>
      <c r="Y1142" s="209">
        <v>3.0884147394054651E-2</v>
      </c>
    </row>
    <row r="1143" spans="21:25" x14ac:dyDescent="0.2">
      <c r="U1143" s="213" t="str">
        <f t="shared" si="21"/>
        <v>1w</v>
      </c>
      <c r="V1143" s="201">
        <f>_xll.qlCalendarAdvance(Calendar,V1142,U1143,"f",FALSE)</f>
        <v>46791</v>
      </c>
      <c r="W1143" s="225">
        <f>_xll.qlCalendarAdvance(Calendar,V1143,NDays&amp;"D")</f>
        <v>46793</v>
      </c>
      <c r="X1143" s="200">
        <v>3.1028283406931405E-2</v>
      </c>
      <c r="Y1143" s="209">
        <v>3.0878629619737197E-2</v>
      </c>
    </row>
    <row r="1144" spans="21:25" x14ac:dyDescent="0.2">
      <c r="U1144" s="213" t="str">
        <f t="shared" si="21"/>
        <v>1w</v>
      </c>
      <c r="V1144" s="201">
        <f>_xll.qlCalendarAdvance(Calendar,V1143,U1144,"f",FALSE)</f>
        <v>46798</v>
      </c>
      <c r="W1144" s="225">
        <f>_xll.qlCalendarAdvance(Calendar,V1144,NDays&amp;"D")</f>
        <v>46800</v>
      </c>
      <c r="X1144" s="200">
        <v>3.1020460806224427E-2</v>
      </c>
      <c r="Y1144" s="209">
        <v>3.0872954996246094E-2</v>
      </c>
    </row>
    <row r="1145" spans="21:25" x14ac:dyDescent="0.2">
      <c r="U1145" s="213" t="str">
        <f t="shared" si="21"/>
        <v>1w</v>
      </c>
      <c r="V1145" s="201">
        <f>_xll.qlCalendarAdvance(Calendar,V1144,U1145,"f",FALSE)</f>
        <v>46805</v>
      </c>
      <c r="W1145" s="225">
        <f>_xll.qlCalendarAdvance(Calendar,V1145,NDays&amp;"D")</f>
        <v>46807</v>
      </c>
      <c r="X1145" s="200">
        <v>3.1012478941077132E-2</v>
      </c>
      <c r="Y1145" s="209">
        <v>3.0867123523421469E-2</v>
      </c>
    </row>
    <row r="1146" spans="21:25" x14ac:dyDescent="0.2">
      <c r="U1146" s="213" t="str">
        <f t="shared" si="21"/>
        <v>1w</v>
      </c>
      <c r="V1146" s="201">
        <f>_xll.qlCalendarAdvance(Calendar,V1145,U1146,"f",FALSE)</f>
        <v>46812</v>
      </c>
      <c r="W1146" s="225">
        <f>_xll.qlCalendarAdvance(Calendar,V1146,NDays&amp;"D")</f>
        <v>46814</v>
      </c>
      <c r="X1146" s="200">
        <v>3.1007095566518667E-2</v>
      </c>
      <c r="Y1146" s="209">
        <v>3.0861135201263323E-2</v>
      </c>
    </row>
    <row r="1147" spans="21:25" x14ac:dyDescent="0.2">
      <c r="U1147" s="213" t="str">
        <f t="shared" si="21"/>
        <v>1w</v>
      </c>
      <c r="V1147" s="201">
        <f>_xll.qlCalendarAdvance(Calendar,V1146,U1147,"f",FALSE)</f>
        <v>46819</v>
      </c>
      <c r="W1147" s="225">
        <f>_xll.qlCalendarAdvance(Calendar,V1147,NDays&amp;"D")</f>
        <v>46821</v>
      </c>
      <c r="X1147" s="200">
        <v>3.0998746823712335E-2</v>
      </c>
      <c r="Y1147" s="209">
        <v>3.0854990029931528E-2</v>
      </c>
    </row>
    <row r="1148" spans="21:25" x14ac:dyDescent="0.2">
      <c r="U1148" s="213" t="str">
        <f t="shared" si="21"/>
        <v>1w</v>
      </c>
      <c r="V1148" s="201">
        <f>_xll.qlCalendarAdvance(Calendar,V1147,U1148,"f",FALSE)</f>
        <v>46826</v>
      </c>
      <c r="W1148" s="225">
        <f>_xll.qlCalendarAdvance(Calendar,V1148,NDays&amp;"D")</f>
        <v>46828</v>
      </c>
      <c r="X1148" s="200">
        <v>3.0990238769210983E-2</v>
      </c>
      <c r="Y1148" s="209">
        <v>3.0848688009266212E-2</v>
      </c>
    </row>
    <row r="1149" spans="21:25" x14ac:dyDescent="0.2">
      <c r="U1149" s="213" t="str">
        <f t="shared" si="21"/>
        <v>1w</v>
      </c>
      <c r="V1149" s="201">
        <f>_xll.qlCalendarAdvance(Calendar,V1148,U1149,"f",FALSE)</f>
        <v>46833</v>
      </c>
      <c r="W1149" s="225">
        <f>_xll.qlCalendarAdvance(Calendar,V1149,NDays&amp;"D")</f>
        <v>46835</v>
      </c>
      <c r="X1149" s="200">
        <v>3.0981571405082203E-2</v>
      </c>
      <c r="Y1149" s="209">
        <v>3.084222913934731E-2</v>
      </c>
    </row>
    <row r="1150" spans="21:25" x14ac:dyDescent="0.2">
      <c r="U1150" s="213" t="str">
        <f t="shared" si="21"/>
        <v>1w</v>
      </c>
      <c r="V1150" s="201">
        <f>_xll.qlCalendarAdvance(Calendar,V1149,U1150,"f",FALSE)</f>
        <v>46840</v>
      </c>
      <c r="W1150" s="225">
        <f>_xll.qlCalendarAdvance(Calendar,V1150,NDays&amp;"D")</f>
        <v>46842</v>
      </c>
      <c r="X1150" s="200">
        <v>3.0970823407902446E-2</v>
      </c>
      <c r="Y1150" s="209">
        <v>3.0835613420254759E-2</v>
      </c>
    </row>
    <row r="1151" spans="21:25" x14ac:dyDescent="0.2">
      <c r="U1151" s="213" t="str">
        <f t="shared" si="21"/>
        <v>1w</v>
      </c>
      <c r="V1151" s="201">
        <f>_xll.qlCalendarAdvance(Calendar,V1150,U1151,"f",FALSE)</f>
        <v>46847</v>
      </c>
      <c r="W1151" s="225">
        <f>_xll.qlCalendarAdvance(Calendar,V1151,NDays&amp;"D")</f>
        <v>46849</v>
      </c>
      <c r="X1151" s="200">
        <v>3.0961873858641211E-2</v>
      </c>
      <c r="Y1151" s="209">
        <v>3.0828840851748751E-2</v>
      </c>
    </row>
    <row r="1152" spans="21:25" x14ac:dyDescent="0.2">
      <c r="U1152" s="213" t="str">
        <f t="shared" si="21"/>
        <v>1w</v>
      </c>
      <c r="V1152" s="201">
        <f>_xll.qlCalendarAdvance(Calendar,V1151,U1152,"f",FALSE)</f>
        <v>46854</v>
      </c>
      <c r="W1152" s="225">
        <f>_xll.qlCalendarAdvance(Calendar,V1152,NDays&amp;"D")</f>
        <v>46856</v>
      </c>
      <c r="X1152" s="200">
        <v>3.0952765045815452E-2</v>
      </c>
      <c r="Y1152" s="209">
        <v>3.0825177076817312E-2</v>
      </c>
    </row>
    <row r="1153" spans="21:25" x14ac:dyDescent="0.2">
      <c r="U1153" s="213" t="str">
        <f t="shared" si="21"/>
        <v>1w</v>
      </c>
      <c r="V1153" s="201">
        <f>_xll.qlCalendarAdvance(Calendar,V1152,U1153,"f",FALSE)</f>
        <v>46861</v>
      </c>
      <c r="W1153" s="225">
        <f>_xll.qlCalendarAdvance(Calendar,V1153,NDays&amp;"D")</f>
        <v>46863</v>
      </c>
      <c r="X1153" s="200">
        <v>3.0943496971601793E-2</v>
      </c>
      <c r="Y1153" s="209">
        <v>3.0814825167375659E-2</v>
      </c>
    </row>
    <row r="1154" spans="21:25" x14ac:dyDescent="0.2">
      <c r="U1154" s="213" t="str">
        <f t="shared" si="21"/>
        <v>1w</v>
      </c>
      <c r="V1154" s="201">
        <f>_xll.qlCalendarAdvance(Calendar,V1153,U1154,"f",FALSE)</f>
        <v>46868</v>
      </c>
      <c r="W1154" s="225">
        <f>_xll.qlCalendarAdvance(Calendar,V1154,NDays&amp;"D")</f>
        <v>46870</v>
      </c>
      <c r="X1154" s="200">
        <v>3.0934069638217911E-2</v>
      </c>
      <c r="Y1154" s="209">
        <v>3.0807582051188831E-2</v>
      </c>
    </row>
    <row r="1155" spans="21:25" x14ac:dyDescent="0.2">
      <c r="U1155" s="213" t="str">
        <f t="shared" si="21"/>
        <v>1w</v>
      </c>
      <c r="V1155" s="201">
        <f>_xll.qlCalendarAdvance(Calendar,V1154,U1155,"f",FALSE)</f>
        <v>46875</v>
      </c>
      <c r="W1155" s="225">
        <f>_xll.qlCalendarAdvance(Calendar,V1155,NDays&amp;"D")</f>
        <v>46877</v>
      </c>
      <c r="X1155" s="200">
        <v>3.0926221838832327E-2</v>
      </c>
      <c r="Y1155" s="209">
        <v>3.0800182085988226E-2</v>
      </c>
    </row>
    <row r="1156" spans="21:25" x14ac:dyDescent="0.2">
      <c r="U1156" s="213" t="str">
        <f t="shared" si="21"/>
        <v>1w</v>
      </c>
      <c r="V1156" s="201">
        <f>_xll.qlCalendarAdvance(Calendar,V1155,U1156,"f",FALSE)</f>
        <v>46882</v>
      </c>
      <c r="W1156" s="225">
        <f>_xll.qlCalendarAdvance(Calendar,V1156,NDays&amp;"D")</f>
        <v>46884</v>
      </c>
      <c r="X1156" s="200">
        <v>3.0916439368472111E-2</v>
      </c>
      <c r="Y1156" s="209">
        <v>3.0792625271454099E-2</v>
      </c>
    </row>
    <row r="1157" spans="21:25" x14ac:dyDescent="0.2">
      <c r="U1157" s="213" t="str">
        <f t="shared" si="21"/>
        <v>1w</v>
      </c>
      <c r="V1157" s="201">
        <f>_xll.qlCalendarAdvance(Calendar,V1156,U1157,"f",FALSE)</f>
        <v>46889</v>
      </c>
      <c r="W1157" s="225">
        <f>_xll.qlCalendarAdvance(Calendar,V1157,NDays&amp;"D")</f>
        <v>46891</v>
      </c>
      <c r="X1157" s="200">
        <v>3.09064976064241E-2</v>
      </c>
      <c r="Y1157" s="209">
        <v>3.0784911607746324E-2</v>
      </c>
    </row>
    <row r="1158" spans="21:25" x14ac:dyDescent="0.2">
      <c r="U1158" s="213" t="str">
        <f t="shared" si="21"/>
        <v>1w</v>
      </c>
      <c r="V1158" s="201">
        <f>_xll.qlCalendarAdvance(Calendar,V1157,U1158,"f",FALSE)</f>
        <v>46896</v>
      </c>
      <c r="W1158" s="225">
        <f>_xll.qlCalendarAdvance(Calendar,V1158,NDays&amp;"D")</f>
        <v>46898</v>
      </c>
      <c r="X1158" s="200">
        <v>3.089639655510442E-2</v>
      </c>
      <c r="Y1158" s="209">
        <v>3.0777041094944835E-2</v>
      </c>
    </row>
    <row r="1159" spans="21:25" x14ac:dyDescent="0.2">
      <c r="U1159" s="213" t="str">
        <f t="shared" si="21"/>
        <v>1w</v>
      </c>
      <c r="V1159" s="201">
        <f>_xll.qlCalendarAdvance(Calendar,V1158,U1159,"f",FALSE)</f>
        <v>46903</v>
      </c>
      <c r="W1159" s="225">
        <f>_xll.qlCalendarAdvance(Calendar,V1159,NDays&amp;"D")</f>
        <v>46905</v>
      </c>
      <c r="X1159" s="200">
        <v>3.0884544163983913E-2</v>
      </c>
      <c r="Y1159" s="209">
        <v>3.0769013732809825E-2</v>
      </c>
    </row>
    <row r="1160" spans="21:25" x14ac:dyDescent="0.2">
      <c r="U1160" s="213" t="str">
        <f t="shared" si="21"/>
        <v>1w</v>
      </c>
      <c r="V1160" s="201">
        <f>_xll.qlCalendarAdvance(Calendar,V1159,U1160,"f",FALSE)</f>
        <v>46910</v>
      </c>
      <c r="W1160" s="225">
        <f>_xll.qlCalendarAdvance(Calendar,V1160,NDays&amp;"D")</f>
        <v>46912</v>
      </c>
      <c r="X1160" s="200">
        <v>3.0874161324255821E-2</v>
      </c>
      <c r="Y1160" s="209">
        <v>3.0760829521661037E-2</v>
      </c>
    </row>
    <row r="1161" spans="21:25" x14ac:dyDescent="0.2">
      <c r="U1161" s="213" t="str">
        <f t="shared" si="21"/>
        <v>1w</v>
      </c>
      <c r="V1161" s="201">
        <f>_xll.qlCalendarAdvance(Calendar,V1160,U1161,"f",FALSE)</f>
        <v>46917</v>
      </c>
      <c r="W1161" s="225">
        <f>_xll.qlCalendarAdvance(Calendar,V1161,NDays&amp;"D")</f>
        <v>46919</v>
      </c>
      <c r="X1161" s="200">
        <v>3.0863619241938339E-2</v>
      </c>
      <c r="Y1161" s="209">
        <v>3.0752488461338601E-2</v>
      </c>
    </row>
    <row r="1162" spans="21:25" x14ac:dyDescent="0.2">
      <c r="U1162" s="213" t="str">
        <f t="shared" si="21"/>
        <v>1w</v>
      </c>
      <c r="V1162" s="201">
        <f>_xll.qlCalendarAdvance(Calendar,V1161,U1162,"f",FALSE)</f>
        <v>46924</v>
      </c>
      <c r="W1162" s="225">
        <f>_xll.qlCalendarAdvance(Calendar,V1162,NDays&amp;"D")</f>
        <v>46926</v>
      </c>
      <c r="X1162" s="200">
        <v>3.0852917919553604E-2</v>
      </c>
      <c r="Y1162" s="209">
        <v>3.0743990551922451E-2</v>
      </c>
    </row>
    <row r="1163" spans="21:25" x14ac:dyDescent="0.2">
      <c r="U1163" s="213" t="str">
        <f t="shared" si="21"/>
        <v>1w</v>
      </c>
      <c r="V1163" s="201">
        <f>_xll.qlCalendarAdvance(Calendar,V1162,U1163,"f",FALSE)</f>
        <v>46931</v>
      </c>
      <c r="W1163" s="225">
        <f>_xll.qlCalendarAdvance(Calendar,V1163,NDays&amp;"D")</f>
        <v>46933</v>
      </c>
      <c r="X1163" s="200">
        <v>3.0842057359660006E-2</v>
      </c>
      <c r="Y1163" s="209">
        <v>3.0735335793252716E-2</v>
      </c>
    </row>
    <row r="1164" spans="21:25" x14ac:dyDescent="0.2">
      <c r="U1164" s="213" t="str">
        <f t="shared" si="21"/>
        <v>1w</v>
      </c>
      <c r="V1164" s="201">
        <f>_xll.qlCalendarAdvance(Calendar,V1163,U1164,"f",FALSE)</f>
        <v>46938</v>
      </c>
      <c r="W1164" s="225">
        <f>_xll.qlCalendarAdvance(Calendar,V1164,NDays&amp;"D")</f>
        <v>46940</v>
      </c>
      <c r="X1164" s="200">
        <v>3.0832445312676759E-2</v>
      </c>
      <c r="Y1164" s="209">
        <v>3.0726524185569204E-2</v>
      </c>
    </row>
    <row r="1165" spans="21:25" x14ac:dyDescent="0.2">
      <c r="U1165" s="213" t="str">
        <f t="shared" si="21"/>
        <v>1w</v>
      </c>
      <c r="V1165" s="201">
        <f>_xll.qlCalendarAdvance(Calendar,V1164,U1165,"f",FALSE)</f>
        <v>46945</v>
      </c>
      <c r="W1165" s="225">
        <f>_xll.qlCalendarAdvance(Calendar,V1165,NDays&amp;"D")</f>
        <v>46947</v>
      </c>
      <c r="X1165" s="200">
        <v>3.0821229307367731E-2</v>
      </c>
      <c r="Y1165" s="209">
        <v>3.0717555728712043E-2</v>
      </c>
    </row>
    <row r="1166" spans="21:25" x14ac:dyDescent="0.2">
      <c r="U1166" s="213" t="str">
        <f t="shared" si="21"/>
        <v>1w</v>
      </c>
      <c r="V1166" s="201">
        <f>_xll.qlCalendarAdvance(Calendar,V1165,U1166,"f",FALSE)</f>
        <v>46952</v>
      </c>
      <c r="W1166" s="225">
        <f>_xll.qlCalendarAdvance(Calendar,V1166,NDays&amp;"D")</f>
        <v>46954</v>
      </c>
      <c r="X1166" s="200">
        <v>3.0809854033512395E-2</v>
      </c>
      <c r="Y1166" s="209">
        <v>3.0708430422841104E-2</v>
      </c>
    </row>
    <row r="1167" spans="21:25" x14ac:dyDescent="0.2">
      <c r="U1167" s="213" t="str">
        <f t="shared" si="21"/>
        <v>1w</v>
      </c>
      <c r="V1167" s="201">
        <f>_xll.qlCalendarAdvance(Calendar,V1166,U1167,"f",FALSE)</f>
        <v>46959</v>
      </c>
      <c r="W1167" s="225">
        <f>_xll.qlCalendarAdvance(Calendar,V1167,NDays&amp;"D")</f>
        <v>46961</v>
      </c>
      <c r="X1167" s="200">
        <v>3.0798319493876281E-2</v>
      </c>
      <c r="Y1167" s="209">
        <v>3.0699148267876453E-2</v>
      </c>
    </row>
    <row r="1168" spans="21:25" x14ac:dyDescent="0.2">
      <c r="U1168" s="213" t="str">
        <f t="shared" si="21"/>
        <v>1w</v>
      </c>
      <c r="V1168" s="201">
        <f>_xll.qlCalendarAdvance(Calendar,V1167,U1168,"f",FALSE)</f>
        <v>46966</v>
      </c>
      <c r="W1168" s="225">
        <f>_xll.qlCalendarAdvance(Calendar,V1168,NDays&amp;"D")</f>
        <v>46968</v>
      </c>
      <c r="X1168" s="200">
        <v>3.0786625691262306E-2</v>
      </c>
      <c r="Y1168" s="209">
        <v>3.0689709263818088E-2</v>
      </c>
    </row>
    <row r="1169" spans="21:25" x14ac:dyDescent="0.2">
      <c r="U1169" s="213" t="str">
        <f t="shared" si="21"/>
        <v>1w</v>
      </c>
      <c r="V1169" s="201">
        <f>_xll.qlCalendarAdvance(Calendar,V1168,U1169,"f",FALSE)</f>
        <v>46973</v>
      </c>
      <c r="W1169" s="225">
        <f>_xll.qlCalendarAdvance(Calendar,V1169,NDays&amp;"D")</f>
        <v>46975</v>
      </c>
      <c r="X1169" s="200">
        <v>3.0774772628513358E-2</v>
      </c>
      <c r="Y1169" s="209">
        <v>3.0680113410745946E-2</v>
      </c>
    </row>
    <row r="1170" spans="21:25" x14ac:dyDescent="0.2">
      <c r="U1170" s="213" t="str">
        <f t="shared" si="21"/>
        <v>1w</v>
      </c>
      <c r="V1170" s="201">
        <f>_xll.qlCalendarAdvance(Calendar,V1169,U1170,"f",FALSE)</f>
        <v>46980</v>
      </c>
      <c r="W1170" s="225">
        <f>_xll.qlCalendarAdvance(Calendar,V1170,NDays&amp;"D")</f>
        <v>46982</v>
      </c>
      <c r="X1170" s="200">
        <v>3.0762760308509718E-2</v>
      </c>
      <c r="Y1170" s="209">
        <v>3.0670360708580091E-2</v>
      </c>
    </row>
    <row r="1171" spans="21:25" x14ac:dyDescent="0.2">
      <c r="U1171" s="213" t="str">
        <f t="shared" si="21"/>
        <v>1w</v>
      </c>
      <c r="V1171" s="201">
        <f>_xll.qlCalendarAdvance(Calendar,V1170,U1171,"f",FALSE)</f>
        <v>46987</v>
      </c>
      <c r="W1171" s="225">
        <f>_xll.qlCalendarAdvance(Calendar,V1171,NDays&amp;"D")</f>
        <v>46989</v>
      </c>
      <c r="X1171" s="200">
        <v>3.0750588734171625E-2</v>
      </c>
      <c r="Y1171" s="209">
        <v>3.0660451157400459E-2</v>
      </c>
    </row>
    <row r="1172" spans="21:25" x14ac:dyDescent="0.2">
      <c r="U1172" s="213" t="str">
        <f t="shared" si="21"/>
        <v>1w</v>
      </c>
      <c r="V1172" s="201">
        <f>_xll.qlCalendarAdvance(Calendar,V1171,U1172,"f",FALSE)</f>
        <v>46994</v>
      </c>
      <c r="W1172" s="225">
        <f>_xll.qlCalendarAdvance(Calendar,V1172,NDays&amp;"D")</f>
        <v>46996</v>
      </c>
      <c r="X1172" s="200">
        <v>3.0736400679599773E-2</v>
      </c>
      <c r="Y1172" s="209">
        <v>3.065038475720705E-2</v>
      </c>
    </row>
    <row r="1173" spans="21:25" x14ac:dyDescent="0.2">
      <c r="U1173" s="213" t="str">
        <f t="shared" ref="U1173:U1236" si="22">U1172</f>
        <v>1w</v>
      </c>
      <c r="V1173" s="201">
        <f>_xll.qlCalendarAdvance(Calendar,V1172,U1173,"f",FALSE)</f>
        <v>47001</v>
      </c>
      <c r="W1173" s="225">
        <f>_xll.qlCalendarAdvance(Calendar,V1173,NDays&amp;"D")</f>
        <v>47003</v>
      </c>
      <c r="X1173" s="200">
        <v>3.0723972742908522E-2</v>
      </c>
      <c r="Y1173" s="209">
        <v>3.06401615080798E-2</v>
      </c>
    </row>
    <row r="1174" spans="21:25" x14ac:dyDescent="0.2">
      <c r="U1174" s="213" t="str">
        <f t="shared" si="22"/>
        <v>1w</v>
      </c>
      <c r="V1174" s="201">
        <f>_xll.qlCalendarAdvance(Calendar,V1173,U1174,"f",FALSE)</f>
        <v>47008</v>
      </c>
      <c r="W1174" s="225">
        <f>_xll.qlCalendarAdvance(Calendar,V1174,NDays&amp;"D")</f>
        <v>47010</v>
      </c>
      <c r="X1174" s="200">
        <v>3.0711385625045599E-2</v>
      </c>
      <c r="Y1174" s="209">
        <v>3.0629781409858836E-2</v>
      </c>
    </row>
    <row r="1175" spans="21:25" x14ac:dyDescent="0.2">
      <c r="U1175" s="213" t="str">
        <f t="shared" si="22"/>
        <v>1w</v>
      </c>
      <c r="V1175" s="201">
        <f>_xll.qlCalendarAdvance(Calendar,V1174,U1175,"f",FALSE)</f>
        <v>47015</v>
      </c>
      <c r="W1175" s="225">
        <f>_xll.qlCalendarAdvance(Calendar,V1175,NDays&amp;"D")</f>
        <v>47017</v>
      </c>
      <c r="X1175" s="200">
        <v>3.0698639328987188E-2</v>
      </c>
      <c r="Y1175" s="209">
        <v>3.0619244462624096E-2</v>
      </c>
    </row>
    <row r="1176" spans="21:25" x14ac:dyDescent="0.2">
      <c r="U1176" s="213" t="str">
        <f t="shared" si="22"/>
        <v>1w</v>
      </c>
      <c r="V1176" s="201">
        <f>_xll.qlCalendarAdvance(Calendar,V1175,U1176,"f",FALSE)</f>
        <v>47022</v>
      </c>
      <c r="W1176" s="225">
        <f>_xll.qlCalendarAdvance(Calendar,V1176,NDays&amp;"D")</f>
        <v>47024</v>
      </c>
      <c r="X1176" s="200">
        <v>3.0685733857749666E-2</v>
      </c>
      <c r="Y1176" s="209">
        <v>3.0608550666615386E-2</v>
      </c>
    </row>
    <row r="1177" spans="21:25" x14ac:dyDescent="0.2">
      <c r="U1177" s="213" t="str">
        <f t="shared" si="22"/>
        <v>1w</v>
      </c>
      <c r="V1177" s="201">
        <f>_xll.qlCalendarAdvance(Calendar,V1176,U1177,"f",FALSE)</f>
        <v>47029</v>
      </c>
      <c r="W1177" s="225">
        <f>_xll.qlCalendarAdvance(Calendar,V1177,NDays&amp;"D")</f>
        <v>47031</v>
      </c>
      <c r="X1177" s="200">
        <v>3.0672980748862846E-2</v>
      </c>
      <c r="Y1177" s="209">
        <v>3.0597700021512964E-2</v>
      </c>
    </row>
    <row r="1178" spans="21:25" x14ac:dyDescent="0.2">
      <c r="U1178" s="213" t="str">
        <f t="shared" si="22"/>
        <v>1w</v>
      </c>
      <c r="V1178" s="201">
        <f>_xll.qlCalendarAdvance(Calendar,V1177,U1178,"f",FALSE)</f>
        <v>47036</v>
      </c>
      <c r="W1178" s="225">
        <f>_xll.qlCalendarAdvance(Calendar,V1178,NDays&amp;"D")</f>
        <v>47038</v>
      </c>
      <c r="X1178" s="200">
        <v>3.0659744448857346E-2</v>
      </c>
      <c r="Y1178" s="209">
        <v>3.0586692527556636E-2</v>
      </c>
    </row>
    <row r="1179" spans="21:25" x14ac:dyDescent="0.2">
      <c r="U1179" s="213" t="str">
        <f t="shared" si="22"/>
        <v>1w</v>
      </c>
      <c r="V1179" s="201">
        <f>_xll.qlCalendarAdvance(Calendar,V1178,U1179,"f",FALSE)</f>
        <v>47043</v>
      </c>
      <c r="W1179" s="225">
        <f>_xll.qlCalendarAdvance(Calendar,V1179,NDays&amp;"D")</f>
        <v>47045</v>
      </c>
      <c r="X1179" s="200">
        <v>3.0646348970203564E-2</v>
      </c>
      <c r="Y1179" s="209">
        <v>3.0575528184586531E-2</v>
      </c>
    </row>
    <row r="1180" spans="21:25" x14ac:dyDescent="0.2">
      <c r="U1180" s="213" t="str">
        <f t="shared" si="22"/>
        <v>1w</v>
      </c>
      <c r="V1180" s="201">
        <f>_xll.qlCalendarAdvance(Calendar,V1179,U1180,"f",FALSE)</f>
        <v>47050</v>
      </c>
      <c r="W1180" s="225">
        <f>_xll.qlCalendarAdvance(Calendar,V1180,NDays&amp;"D")</f>
        <v>47052</v>
      </c>
      <c r="X1180" s="200">
        <v>3.0632794316087959E-2</v>
      </c>
      <c r="Y1180" s="209">
        <v>3.0564206992842458E-2</v>
      </c>
    </row>
    <row r="1181" spans="21:25" x14ac:dyDescent="0.2">
      <c r="U1181" s="213" t="str">
        <f t="shared" si="22"/>
        <v>1w</v>
      </c>
      <c r="V1181" s="201">
        <f>_xll.qlCalendarAdvance(Calendar,V1180,U1181,"f",FALSE)</f>
        <v>47057</v>
      </c>
      <c r="W1181" s="225">
        <f>_xll.qlCalendarAdvance(Calendar,V1181,NDays&amp;"D")</f>
        <v>47059</v>
      </c>
      <c r="X1181" s="200">
        <v>3.0618818982013352E-2</v>
      </c>
      <c r="Y1181" s="209">
        <v>3.0552728952084607E-2</v>
      </c>
    </row>
    <row r="1182" spans="21:25" x14ac:dyDescent="0.2">
      <c r="U1182" s="213" t="str">
        <f t="shared" si="22"/>
        <v>1w</v>
      </c>
      <c r="V1182" s="201">
        <f>_xll.qlCalendarAdvance(Calendar,V1181,U1182,"f",FALSE)</f>
        <v>47064</v>
      </c>
      <c r="W1182" s="225">
        <f>_xll.qlCalendarAdvance(Calendar,V1182,NDays&amp;"D")</f>
        <v>47066</v>
      </c>
      <c r="X1182" s="200">
        <v>3.0604958525114009E-2</v>
      </c>
      <c r="Y1182" s="209">
        <v>3.0541094062472851E-2</v>
      </c>
    </row>
    <row r="1183" spans="21:25" x14ac:dyDescent="0.2">
      <c r="U1183" s="213" t="str">
        <f t="shared" si="22"/>
        <v>1w</v>
      </c>
      <c r="V1183" s="201">
        <f>_xll.qlCalendarAdvance(Calendar,V1182,U1183,"f",FALSE)</f>
        <v>47071</v>
      </c>
      <c r="W1183" s="225">
        <f>_xll.qlCalendarAdvance(Calendar,V1183,NDays&amp;"D")</f>
        <v>47073</v>
      </c>
      <c r="X1183" s="200">
        <v>3.0590938915191528E-2</v>
      </c>
      <c r="Y1183" s="209">
        <v>3.052930232400719E-2</v>
      </c>
    </row>
    <row r="1184" spans="21:25" x14ac:dyDescent="0.2">
      <c r="U1184" s="213" t="str">
        <f t="shared" si="22"/>
        <v>1w</v>
      </c>
      <c r="V1184" s="201">
        <f>_xll.qlCalendarAdvance(Calendar,V1183,U1184,"f",FALSE)</f>
        <v>47078</v>
      </c>
      <c r="W1184" s="225">
        <f>_xll.qlCalendarAdvance(Calendar,V1184,NDays&amp;"D")</f>
        <v>47080</v>
      </c>
      <c r="X1184" s="200">
        <v>3.0576760155562595E-2</v>
      </c>
      <c r="Y1184" s="209">
        <v>3.0517353736767561E-2</v>
      </c>
    </row>
    <row r="1185" spans="21:25" x14ac:dyDescent="0.2">
      <c r="U1185" s="213" t="str">
        <f t="shared" si="22"/>
        <v>1w</v>
      </c>
      <c r="V1185" s="201">
        <f>_xll.qlCalendarAdvance(Calendar,V1184,U1185,"f",FALSE)</f>
        <v>47085</v>
      </c>
      <c r="W1185" s="225">
        <f>_xll.qlCalendarAdvance(Calendar,V1185,NDays&amp;"D")</f>
        <v>47087</v>
      </c>
      <c r="X1185" s="200">
        <v>3.0562633527723381E-2</v>
      </c>
      <c r="Y1185" s="209">
        <v>3.0505248300674026E-2</v>
      </c>
    </row>
    <row r="1186" spans="21:25" x14ac:dyDescent="0.2">
      <c r="U1186" s="213" t="str">
        <f t="shared" si="22"/>
        <v>1w</v>
      </c>
      <c r="V1186" s="201">
        <f>_xll.qlCalendarAdvance(Calendar,V1185,U1186,"f",FALSE)</f>
        <v>47092</v>
      </c>
      <c r="W1186" s="225">
        <f>_xll.qlCalendarAdvance(Calendar,V1186,NDays&amp;"D")</f>
        <v>47094</v>
      </c>
      <c r="X1186" s="200">
        <v>3.0548123983751799E-2</v>
      </c>
      <c r="Y1186" s="209">
        <v>3.0492986015726586E-2</v>
      </c>
    </row>
    <row r="1187" spans="21:25" x14ac:dyDescent="0.2">
      <c r="U1187" s="213" t="str">
        <f t="shared" si="22"/>
        <v>1w</v>
      </c>
      <c r="V1187" s="201">
        <f>_xll.qlCalendarAdvance(Calendar,V1186,U1187,"f",FALSE)</f>
        <v>47099</v>
      </c>
      <c r="W1187" s="225">
        <f>_xll.qlCalendarAdvance(Calendar,V1187,NDays&amp;"D")</f>
        <v>47101</v>
      </c>
      <c r="X1187" s="200">
        <v>3.0533458577592446E-2</v>
      </c>
      <c r="Y1187" s="209">
        <v>3.0480566882005178E-2</v>
      </c>
    </row>
    <row r="1188" spans="21:25" x14ac:dyDescent="0.2">
      <c r="U1188" s="213" t="str">
        <f t="shared" si="22"/>
        <v>1w</v>
      </c>
      <c r="V1188" s="201">
        <f>_xll.qlCalendarAdvance(Calendar,V1187,U1188,"f",FALSE)</f>
        <v>47106</v>
      </c>
      <c r="W1188" s="225">
        <f>_xll.qlCalendarAdvance(Calendar,V1188,NDays&amp;"D")</f>
        <v>47108</v>
      </c>
      <c r="X1188" s="200">
        <v>3.0518644247164568E-2</v>
      </c>
      <c r="Y1188" s="209">
        <v>3.0467990899429864E-2</v>
      </c>
    </row>
    <row r="1189" spans="21:25" x14ac:dyDescent="0.2">
      <c r="U1189" s="213" t="str">
        <f t="shared" si="22"/>
        <v>1w</v>
      </c>
      <c r="V1189" s="201">
        <f>_xll.qlCalendarAdvance(Calendar,V1188,U1189,"f",FALSE)</f>
        <v>47114</v>
      </c>
      <c r="W1189" s="225">
        <f>_xll.qlCalendarAdvance(Calendar,V1189,NDays&amp;"D")</f>
        <v>47116</v>
      </c>
      <c r="X1189" s="200">
        <v>3.0501540412816178E-2</v>
      </c>
      <c r="Y1189" s="209">
        <v>3.045453434779688E-2</v>
      </c>
    </row>
    <row r="1190" spans="21:25" x14ac:dyDescent="0.2">
      <c r="U1190" s="213" t="str">
        <f t="shared" si="22"/>
        <v>1w</v>
      </c>
      <c r="V1190" s="201">
        <f>_xll.qlCalendarAdvance(Calendar,V1189,U1190,"f",FALSE)</f>
        <v>47121</v>
      </c>
      <c r="W1190" s="225">
        <f>_xll.qlCalendarAdvance(Calendar,V1190,NDays&amp;"D")</f>
        <v>47123</v>
      </c>
      <c r="X1190" s="200">
        <v>3.0486274879341406E-2</v>
      </c>
      <c r="Y1190" s="209">
        <v>3.0441229462816466E-2</v>
      </c>
    </row>
    <row r="1191" spans="21:25" x14ac:dyDescent="0.2">
      <c r="U1191" s="213" t="str">
        <f t="shared" si="22"/>
        <v>1w</v>
      </c>
      <c r="V1191" s="201">
        <f>_xll.qlCalendarAdvance(Calendar,V1190,U1191,"f",FALSE)</f>
        <v>47128</v>
      </c>
      <c r="W1191" s="225">
        <f>_xll.qlCalendarAdvance(Calendar,V1191,NDays&amp;"D")</f>
        <v>47130</v>
      </c>
      <c r="X1191" s="200">
        <v>3.0471047131413818E-2</v>
      </c>
      <c r="Y1191" s="209">
        <v>3.0428135906710452E-2</v>
      </c>
    </row>
    <row r="1192" spans="21:25" x14ac:dyDescent="0.2">
      <c r="U1192" s="213" t="str">
        <f t="shared" si="22"/>
        <v>1w</v>
      </c>
      <c r="V1192" s="201">
        <f>_xll.qlCalendarAdvance(Calendar,V1191,U1192,"f",FALSE)</f>
        <v>47135</v>
      </c>
      <c r="W1192" s="225">
        <f>_xll.qlCalendarAdvance(Calendar,V1192,NDays&amp;"D")</f>
        <v>47137</v>
      </c>
      <c r="X1192" s="200">
        <v>3.0455699323714603E-2</v>
      </c>
      <c r="Y1192" s="209">
        <v>3.0414885476384157E-2</v>
      </c>
    </row>
    <row r="1193" spans="21:25" x14ac:dyDescent="0.2">
      <c r="U1193" s="213" t="str">
        <f t="shared" si="22"/>
        <v>1w</v>
      </c>
      <c r="V1193" s="201">
        <f>_xll.qlCalendarAdvance(Calendar,V1192,U1193,"f",FALSE)</f>
        <v>47142</v>
      </c>
      <c r="W1193" s="225">
        <f>_xll.qlCalendarAdvance(Calendar,V1193,NDays&amp;"D")</f>
        <v>47144</v>
      </c>
      <c r="X1193" s="200">
        <v>3.0440238654722038E-2</v>
      </c>
      <c r="Y1193" s="209">
        <v>3.0401478171810936E-2</v>
      </c>
    </row>
    <row r="1194" spans="21:25" x14ac:dyDescent="0.2">
      <c r="U1194" s="213" t="str">
        <f t="shared" si="22"/>
        <v>1w</v>
      </c>
      <c r="V1194" s="201">
        <f>_xll.qlCalendarAdvance(Calendar,V1193,U1194,"f",FALSE)</f>
        <v>47149</v>
      </c>
      <c r="W1194" s="225">
        <f>_xll.qlCalendarAdvance(Calendar,V1194,NDays&amp;"D")</f>
        <v>47151</v>
      </c>
      <c r="X1194" s="200">
        <v>3.0424672322714341E-2</v>
      </c>
      <c r="Y1194" s="209">
        <v>3.0387913993124016E-2</v>
      </c>
    </row>
    <row r="1195" spans="21:25" x14ac:dyDescent="0.2">
      <c r="U1195" s="213" t="str">
        <f t="shared" si="22"/>
        <v>1w</v>
      </c>
      <c r="V1195" s="201">
        <f>_xll.qlCalendarAdvance(Calendar,V1194,U1195,"f",FALSE)</f>
        <v>47156</v>
      </c>
      <c r="W1195" s="225">
        <f>_xll.qlCalendarAdvance(Calendar,V1195,NDays&amp;"D")</f>
        <v>47158</v>
      </c>
      <c r="X1195" s="200">
        <v>3.0409007525764368E-2</v>
      </c>
      <c r="Y1195" s="209">
        <v>3.0374192940350042E-2</v>
      </c>
    </row>
    <row r="1196" spans="21:25" x14ac:dyDescent="0.2">
      <c r="U1196" s="213" t="str">
        <f t="shared" si="22"/>
        <v>1w</v>
      </c>
      <c r="V1196" s="201">
        <f>_xll.qlCalendarAdvance(Calendar,V1195,U1196,"f",FALSE)</f>
        <v>47163</v>
      </c>
      <c r="W1196" s="225">
        <f>_xll.qlCalendarAdvance(Calendar,V1196,NDays&amp;"D")</f>
        <v>47165</v>
      </c>
      <c r="X1196" s="200">
        <v>3.0393251461737842E-2</v>
      </c>
      <c r="Y1196" s="209">
        <v>3.0360315013489014E-2</v>
      </c>
    </row>
    <row r="1197" spans="21:25" x14ac:dyDescent="0.2">
      <c r="U1197" s="213" t="str">
        <f t="shared" si="22"/>
        <v>1w</v>
      </c>
      <c r="V1197" s="201">
        <f>_xll.qlCalendarAdvance(Calendar,V1196,U1197,"f",FALSE)</f>
        <v>47170</v>
      </c>
      <c r="W1197" s="225">
        <f>_xll.qlCalendarAdvance(Calendar,V1197,NDays&amp;"D")</f>
        <v>47172</v>
      </c>
      <c r="X1197" s="200">
        <v>3.0377411328287633E-2</v>
      </c>
      <c r="Y1197" s="209">
        <v>3.0346280212647514E-2</v>
      </c>
    </row>
    <row r="1198" spans="21:25" x14ac:dyDescent="0.2">
      <c r="U1198" s="213" t="str">
        <f t="shared" si="22"/>
        <v>1w</v>
      </c>
      <c r="V1198" s="201">
        <f>_xll.qlCalendarAdvance(Calendar,V1197,U1198,"f",FALSE)</f>
        <v>47177</v>
      </c>
      <c r="W1198" s="225">
        <f>_xll.qlCalendarAdvance(Calendar,V1198,NDays&amp;"D")</f>
        <v>47179</v>
      </c>
      <c r="X1198" s="200">
        <v>3.0361942607810964E-2</v>
      </c>
      <c r="Y1198" s="209">
        <v>3.0332088537852187E-2</v>
      </c>
    </row>
    <row r="1199" spans="21:25" x14ac:dyDescent="0.2">
      <c r="U1199" s="213" t="str">
        <f t="shared" si="22"/>
        <v>1w</v>
      </c>
      <c r="V1199" s="201">
        <f>_xll.qlCalendarAdvance(Calendar,V1198,U1199,"f",FALSE)</f>
        <v>47184</v>
      </c>
      <c r="W1199" s="225">
        <f>_xll.qlCalendarAdvance(Calendar,V1199,NDays&amp;"D")</f>
        <v>47186</v>
      </c>
      <c r="X1199" s="200">
        <v>3.0345945266908623E-2</v>
      </c>
      <c r="Y1199" s="209">
        <v>3.0317739989182968E-2</v>
      </c>
    </row>
    <row r="1200" spans="21:25" x14ac:dyDescent="0.2">
      <c r="U1200" s="213" t="str">
        <f t="shared" si="22"/>
        <v>1w</v>
      </c>
      <c r="V1200" s="201">
        <f>_xll.qlCalendarAdvance(Calendar,V1199,U1200,"f",FALSE)</f>
        <v>47191</v>
      </c>
      <c r="W1200" s="225">
        <f>_xll.qlCalendarAdvance(Calendar,V1200,NDays&amp;"D")</f>
        <v>47193</v>
      </c>
      <c r="X1200" s="200">
        <v>3.0329887364595264E-2</v>
      </c>
      <c r="Y1200" s="209">
        <v>3.0303234566719794E-2</v>
      </c>
    </row>
    <row r="1201" spans="21:25" x14ac:dyDescent="0.2">
      <c r="U1201" s="213" t="str">
        <f t="shared" si="22"/>
        <v>1w</v>
      </c>
      <c r="V1201" s="201">
        <f>_xll.qlCalendarAdvance(Calendar,V1200,U1201,"f",FALSE)</f>
        <v>47198</v>
      </c>
      <c r="W1201" s="225">
        <f>_xll.qlCalendarAdvance(Calendar,V1201,NDays&amp;"D")</f>
        <v>47200</v>
      </c>
      <c r="X1201" s="200">
        <v>3.0313775944398585E-2</v>
      </c>
      <c r="Y1201" s="209">
        <v>3.0288572270436021E-2</v>
      </c>
    </row>
    <row r="1202" spans="21:25" x14ac:dyDescent="0.2">
      <c r="U1202" s="213" t="str">
        <f t="shared" si="22"/>
        <v>1w</v>
      </c>
      <c r="V1202" s="201">
        <f>_xll.qlCalendarAdvance(Calendar,V1201,U1202,"f",FALSE)</f>
        <v>47205</v>
      </c>
      <c r="W1202" s="225">
        <f>_xll.qlCalendarAdvance(Calendar,V1202,NDays&amp;"D")</f>
        <v>47211</v>
      </c>
      <c r="X1202" s="200">
        <v>3.0288159729973028E-2</v>
      </c>
      <c r="Y1202" s="209">
        <v>3.0264810671027931E-2</v>
      </c>
    </row>
    <row r="1203" spans="21:25" x14ac:dyDescent="0.2">
      <c r="U1203" s="213" t="str">
        <f t="shared" si="22"/>
        <v>1w</v>
      </c>
      <c r="V1203" s="201">
        <f>_xll.qlCalendarAdvance(Calendar,V1202,U1203,"f",FALSE)</f>
        <v>47212</v>
      </c>
      <c r="W1203" s="225">
        <f>_xll.qlCalendarAdvance(Calendar,V1203,NDays&amp;"D")</f>
        <v>47214</v>
      </c>
      <c r="X1203" s="200">
        <v>3.0281420723345286E-2</v>
      </c>
      <c r="Y1203" s="209">
        <v>3.0258777056859643E-2</v>
      </c>
    </row>
    <row r="1204" spans="21:25" x14ac:dyDescent="0.2">
      <c r="U1204" s="213" t="str">
        <f t="shared" si="22"/>
        <v>1w</v>
      </c>
      <c r="V1204" s="201">
        <f>_xll.qlCalendarAdvance(Calendar,V1203,U1204,"f",FALSE)</f>
        <v>47219</v>
      </c>
      <c r="W1204" s="225">
        <f>_xll.qlCalendarAdvance(Calendar,V1204,NDays&amp;"D")</f>
        <v>47221</v>
      </c>
      <c r="X1204" s="200">
        <v>3.0265191008414599E-2</v>
      </c>
      <c r="Y1204" s="209">
        <v>3.0243644139620329E-2</v>
      </c>
    </row>
    <row r="1205" spans="21:25" x14ac:dyDescent="0.2">
      <c r="U1205" s="213" t="str">
        <f t="shared" si="22"/>
        <v>1w</v>
      </c>
      <c r="V1205" s="201">
        <f>_xll.qlCalendarAdvance(Calendar,V1204,U1205,"f",FALSE)</f>
        <v>47226</v>
      </c>
      <c r="W1205" s="225">
        <f>_xll.qlCalendarAdvance(Calendar,V1205,NDays&amp;"D")</f>
        <v>47228</v>
      </c>
      <c r="X1205" s="200">
        <v>3.0248935947450317E-2</v>
      </c>
      <c r="Y1205" s="209">
        <v>3.0228354348906805E-2</v>
      </c>
    </row>
    <row r="1206" spans="21:25" x14ac:dyDescent="0.2">
      <c r="U1206" s="213" t="str">
        <f t="shared" si="22"/>
        <v>1w</v>
      </c>
      <c r="V1206" s="201">
        <f>_xll.qlCalendarAdvance(Calendar,V1205,U1206,"f",FALSE)</f>
        <v>47233</v>
      </c>
      <c r="W1206" s="225">
        <f>_xll.qlCalendarAdvance(Calendar,V1206,NDays&amp;"D")</f>
        <v>47235</v>
      </c>
      <c r="X1206" s="200">
        <v>3.0232662582841598E-2</v>
      </c>
      <c r="Y1206" s="209">
        <v>3.021290768466578E-2</v>
      </c>
    </row>
    <row r="1207" spans="21:25" x14ac:dyDescent="0.2">
      <c r="U1207" s="213" t="str">
        <f t="shared" si="22"/>
        <v>1w</v>
      </c>
      <c r="V1207" s="201">
        <f>_xll.qlCalendarAdvance(Calendar,V1206,U1207,"f",FALSE)</f>
        <v>47240</v>
      </c>
      <c r="W1207" s="225">
        <f>_xll.qlCalendarAdvance(Calendar,V1207,NDays&amp;"D")</f>
        <v>47242</v>
      </c>
      <c r="X1207" s="200">
        <v>3.0216377956745571E-2</v>
      </c>
      <c r="Y1207" s="209">
        <v>3.0197304147030479E-2</v>
      </c>
    </row>
    <row r="1208" spans="21:25" x14ac:dyDescent="0.2">
      <c r="U1208" s="213" t="str">
        <f t="shared" si="22"/>
        <v>1w</v>
      </c>
      <c r="V1208" s="201">
        <f>_xll.qlCalendarAdvance(Calendar,V1207,U1208,"f",FALSE)</f>
        <v>47247</v>
      </c>
      <c r="W1208" s="225">
        <f>_xll.qlCalendarAdvance(Calendar,V1208,NDays&amp;"D")</f>
        <v>47249</v>
      </c>
      <c r="X1208" s="200">
        <v>3.020008911108819E-2</v>
      </c>
      <c r="Y1208" s="209">
        <v>3.0181543736000904E-2</v>
      </c>
    </row>
    <row r="1209" spans="21:25" x14ac:dyDescent="0.2">
      <c r="U1209" s="213" t="str">
        <f t="shared" si="22"/>
        <v>1w</v>
      </c>
      <c r="V1209" s="201">
        <f>_xll.qlCalendarAdvance(Calendar,V1208,U1209,"f",FALSE)</f>
        <v>47254</v>
      </c>
      <c r="W1209" s="225">
        <f>_xll.qlCalendarAdvance(Calendar,V1209,NDays&amp;"D")</f>
        <v>47256</v>
      </c>
      <c r="X1209" s="200">
        <v>3.0183803087563826E-2</v>
      </c>
      <c r="Y1209" s="209">
        <v>3.0165626451736927E-2</v>
      </c>
    </row>
    <row r="1210" spans="21:25" x14ac:dyDescent="0.2">
      <c r="U1210" s="213" t="str">
        <f t="shared" si="22"/>
        <v>1w</v>
      </c>
      <c r="V1210" s="201">
        <f>_xll.qlCalendarAdvance(Calendar,V1209,U1210,"f",FALSE)</f>
        <v>47261</v>
      </c>
      <c r="W1210" s="225">
        <f>_xll.qlCalendarAdvance(Calendar,V1210,NDays&amp;"D")</f>
        <v>47263</v>
      </c>
      <c r="X1210" s="200">
        <v>3.0167526927633082E-2</v>
      </c>
      <c r="Y1210" s="209">
        <v>3.0149552294211901E-2</v>
      </c>
    </row>
    <row r="1211" spans="21:25" x14ac:dyDescent="0.2">
      <c r="U1211" s="213" t="str">
        <f t="shared" si="22"/>
        <v>1w</v>
      </c>
      <c r="V1211" s="201">
        <f>_xll.qlCalendarAdvance(Calendar,V1210,U1211,"f",FALSE)</f>
        <v>47268</v>
      </c>
      <c r="W1211" s="225">
        <f>_xll.qlCalendarAdvance(Calendar,V1211,NDays&amp;"D")</f>
        <v>47270</v>
      </c>
      <c r="X1211" s="200">
        <v>3.0151267672526252E-2</v>
      </c>
      <c r="Y1211" s="209">
        <v>3.0133321263532409E-2</v>
      </c>
    </row>
    <row r="1212" spans="21:25" x14ac:dyDescent="0.2">
      <c r="U1212" s="213" t="str">
        <f t="shared" si="22"/>
        <v>1w</v>
      </c>
      <c r="V1212" s="201">
        <f>_xll.qlCalendarAdvance(Calendar,V1211,U1212,"f",FALSE)</f>
        <v>47275</v>
      </c>
      <c r="W1212" s="225">
        <f>_xll.qlCalendarAdvance(Calendar,V1212,NDays&amp;"D")</f>
        <v>47277</v>
      </c>
      <c r="X1212" s="200">
        <v>3.0135032144267371E-2</v>
      </c>
      <c r="Y1212" s="209">
        <v>3.0116991343209776E-2</v>
      </c>
    </row>
    <row r="1213" spans="21:25" x14ac:dyDescent="0.2">
      <c r="U1213" s="213" t="str">
        <f t="shared" si="22"/>
        <v>1w</v>
      </c>
      <c r="V1213" s="201">
        <f>_xll.qlCalendarAdvance(Calendar,V1212,U1213,"f",FALSE)</f>
        <v>47282</v>
      </c>
      <c r="W1213" s="225">
        <f>_xll.qlCalendarAdvance(Calendar,V1213,NDays&amp;"D")</f>
        <v>47284</v>
      </c>
      <c r="X1213" s="200">
        <v>3.0118823486590354E-2</v>
      </c>
      <c r="Y1213" s="209">
        <v>3.010068224108764E-2</v>
      </c>
    </row>
    <row r="1214" spans="21:25" x14ac:dyDescent="0.2">
      <c r="U1214" s="213" t="str">
        <f t="shared" si="22"/>
        <v>1w</v>
      </c>
      <c r="V1214" s="201">
        <f>_xll.qlCalendarAdvance(Calendar,V1213,U1214,"f",FALSE)</f>
        <v>47289</v>
      </c>
      <c r="W1214" s="225">
        <f>_xll.qlCalendarAdvance(Calendar,V1214,NDays&amp;"D")</f>
        <v>47291</v>
      </c>
      <c r="X1214" s="200">
        <v>3.0102641791215138E-2</v>
      </c>
      <c r="Y1214" s="209">
        <v>3.0084399568437448E-2</v>
      </c>
    </row>
    <row r="1215" spans="21:25" x14ac:dyDescent="0.2">
      <c r="U1215" s="213" t="str">
        <f t="shared" si="22"/>
        <v>1w</v>
      </c>
      <c r="V1215" s="201">
        <f>_xll.qlCalendarAdvance(Calendar,V1214,U1215,"f",FALSE)</f>
        <v>47296</v>
      </c>
      <c r="W1215" s="225">
        <f>_xll.qlCalendarAdvance(Calendar,V1215,NDays&amp;"D")</f>
        <v>47298</v>
      </c>
      <c r="X1215" s="200">
        <v>3.0086487057481921E-2</v>
      </c>
      <c r="Y1215" s="209">
        <v>3.0068143325232555E-2</v>
      </c>
    </row>
    <row r="1216" spans="21:25" x14ac:dyDescent="0.2">
      <c r="U1216" s="213" t="str">
        <f t="shared" si="22"/>
        <v>1w</v>
      </c>
      <c r="V1216" s="201">
        <f>_xll.qlCalendarAdvance(Calendar,V1215,U1216,"f",FALSE)</f>
        <v>47303</v>
      </c>
      <c r="W1216" s="225">
        <f>_xll.qlCalendarAdvance(Calendar,V1216,NDays&amp;"D")</f>
        <v>47305</v>
      </c>
      <c r="X1216" s="200">
        <v>3.0070359284731771E-2</v>
      </c>
      <c r="Y1216" s="209">
        <v>3.0051913511526251E-2</v>
      </c>
    </row>
    <row r="1217" spans="21:25" x14ac:dyDescent="0.2">
      <c r="U1217" s="213" t="str">
        <f t="shared" si="22"/>
        <v>1w</v>
      </c>
      <c r="V1217" s="201">
        <f>_xll.qlCalendarAdvance(Calendar,V1216,U1217,"f",FALSE)</f>
        <v>47310</v>
      </c>
      <c r="W1217" s="225">
        <f>_xll.qlCalendarAdvance(Calendar,V1217,NDays&amp;"D")</f>
        <v>47312</v>
      </c>
      <c r="X1217" s="200">
        <v>3.0054258472305324E-2</v>
      </c>
      <c r="Y1217" s="209">
        <v>3.0035710127238602E-2</v>
      </c>
    </row>
    <row r="1218" spans="21:25" x14ac:dyDescent="0.2">
      <c r="U1218" s="213" t="str">
        <f t="shared" si="22"/>
        <v>1w</v>
      </c>
      <c r="V1218" s="201">
        <f>_xll.qlCalendarAdvance(Calendar,V1217,U1218,"f",FALSE)</f>
        <v>47317</v>
      </c>
      <c r="W1218" s="225">
        <f>_xll.qlCalendarAdvance(Calendar,V1218,NDays&amp;"D")</f>
        <v>47319</v>
      </c>
      <c r="X1218" s="200">
        <v>3.0038184619547104E-2</v>
      </c>
      <c r="Y1218" s="209">
        <v>3.0019533172396251E-2</v>
      </c>
    </row>
    <row r="1219" spans="21:25" x14ac:dyDescent="0.2">
      <c r="U1219" s="213" t="str">
        <f t="shared" si="22"/>
        <v>1w</v>
      </c>
      <c r="V1219" s="201">
        <f>_xll.qlCalendarAdvance(Calendar,V1218,U1219,"f",FALSE)</f>
        <v>47324</v>
      </c>
      <c r="W1219" s="225">
        <f>_xll.qlCalendarAdvance(Calendar,V1219,NDays&amp;"D")</f>
        <v>47326</v>
      </c>
      <c r="X1219" s="200">
        <v>3.0022137725800771E-2</v>
      </c>
      <c r="Y1219" s="209">
        <v>3.0003382646972554E-2</v>
      </c>
    </row>
    <row r="1220" spans="21:25" x14ac:dyDescent="0.2">
      <c r="U1220" s="213" t="str">
        <f t="shared" si="22"/>
        <v>1w</v>
      </c>
      <c r="V1220" s="201">
        <f>_xll.qlCalendarAdvance(Calendar,V1219,U1220,"f",FALSE)</f>
        <v>47331</v>
      </c>
      <c r="W1220" s="225">
        <f>_xll.qlCalendarAdvance(Calendar,V1220,NDays&amp;"D")</f>
        <v>47333</v>
      </c>
      <c r="X1220" s="200">
        <v>3.0006117790411718E-2</v>
      </c>
      <c r="Y1220" s="209">
        <v>2.9987258550994156E-2</v>
      </c>
    </row>
    <row r="1221" spans="21:25" x14ac:dyDescent="0.2">
      <c r="U1221" s="213" t="str">
        <f t="shared" si="22"/>
        <v>1w</v>
      </c>
      <c r="V1221" s="201">
        <f>_xll.qlCalendarAdvance(Calendar,V1220,U1221,"f",FALSE)</f>
        <v>47338</v>
      </c>
      <c r="W1221" s="225">
        <f>_xll.qlCalendarAdvance(Calendar,V1221,NDays&amp;"D")</f>
        <v>47340</v>
      </c>
      <c r="X1221" s="200">
        <v>2.9990124812726192E-2</v>
      </c>
      <c r="Y1221" s="209">
        <v>2.9971160884381121E-2</v>
      </c>
    </row>
    <row r="1222" spans="21:25" x14ac:dyDescent="0.2">
      <c r="U1222" s="213" t="str">
        <f t="shared" si="22"/>
        <v>1w</v>
      </c>
      <c r="V1222" s="201">
        <f>_xll.qlCalendarAdvance(Calendar,V1221,U1222,"f",FALSE)</f>
        <v>47345</v>
      </c>
      <c r="W1222" s="225">
        <f>_xll.qlCalendarAdvance(Calendar,V1222,NDays&amp;"D")</f>
        <v>47347</v>
      </c>
      <c r="X1222" s="200">
        <v>2.9974158792091744E-2</v>
      </c>
      <c r="Y1222" s="209">
        <v>2.9955089647160094E-2</v>
      </c>
    </row>
    <row r="1223" spans="21:25" x14ac:dyDescent="0.2">
      <c r="U1223" s="213" t="str">
        <f t="shared" si="22"/>
        <v>1w</v>
      </c>
      <c r="V1223" s="201">
        <f>_xll.qlCalendarAdvance(Calendar,V1222,U1223,"f",FALSE)</f>
        <v>47352</v>
      </c>
      <c r="W1223" s="225">
        <f>_xll.qlCalendarAdvance(Calendar,V1223,NDays&amp;"D")</f>
        <v>47354</v>
      </c>
      <c r="X1223" s="200">
        <v>2.9958219727857647E-2</v>
      </c>
      <c r="Y1223" s="209">
        <v>2.993904483935772E-2</v>
      </c>
    </row>
    <row r="1224" spans="21:25" x14ac:dyDescent="0.2">
      <c r="U1224" s="213" t="str">
        <f t="shared" si="22"/>
        <v>1w</v>
      </c>
      <c r="V1224" s="201">
        <f>_xll.qlCalendarAdvance(Calendar,V1223,U1224,"f",FALSE)</f>
        <v>47359</v>
      </c>
      <c r="W1224" s="225">
        <f>_xll.qlCalendarAdvance(Calendar,V1224,NDays&amp;"D")</f>
        <v>47361</v>
      </c>
      <c r="X1224" s="200">
        <v>2.9941861409482254E-2</v>
      </c>
      <c r="Y1224" s="209">
        <v>2.9923026460947355E-2</v>
      </c>
    </row>
    <row r="1225" spans="21:25" x14ac:dyDescent="0.2">
      <c r="U1225" s="213" t="str">
        <f t="shared" si="22"/>
        <v>1w</v>
      </c>
      <c r="V1225" s="201">
        <f>_xll.qlCalendarAdvance(Calendar,V1224,U1225,"f",FALSE)</f>
        <v>47366</v>
      </c>
      <c r="W1225" s="225">
        <f>_xll.qlCalendarAdvance(Calendar,V1225,NDays&amp;"D")</f>
        <v>47368</v>
      </c>
      <c r="X1225" s="200">
        <v>2.9925973800676242E-2</v>
      </c>
      <c r="Y1225" s="209">
        <v>2.9907034511849062E-2</v>
      </c>
    </row>
    <row r="1226" spans="21:25" x14ac:dyDescent="0.2">
      <c r="U1226" s="213" t="str">
        <f t="shared" si="22"/>
        <v>1w</v>
      </c>
      <c r="V1226" s="201">
        <f>_xll.qlCalendarAdvance(Calendar,V1225,U1226,"f",FALSE)</f>
        <v>47373</v>
      </c>
      <c r="W1226" s="225">
        <f>_xll.qlCalendarAdvance(Calendar,V1226,NDays&amp;"D")</f>
        <v>47375</v>
      </c>
      <c r="X1226" s="200">
        <v>2.9910113134854206E-2</v>
      </c>
      <c r="Y1226" s="209">
        <v>2.9891068992116132E-2</v>
      </c>
    </row>
    <row r="1227" spans="21:25" x14ac:dyDescent="0.2">
      <c r="U1227" s="213" t="str">
        <f t="shared" si="22"/>
        <v>1w</v>
      </c>
      <c r="V1227" s="201">
        <f>_xll.qlCalendarAdvance(Calendar,V1226,U1227,"f",FALSE)</f>
        <v>47380</v>
      </c>
      <c r="W1227" s="225">
        <f>_xll.qlCalendarAdvance(Calendar,V1227,NDays&amp;"D")</f>
        <v>47382</v>
      </c>
      <c r="X1227" s="200">
        <v>2.9894279411383284E-2</v>
      </c>
      <c r="Y1227" s="209">
        <v>2.987512990172192E-2</v>
      </c>
    </row>
    <row r="1228" spans="21:25" x14ac:dyDescent="0.2">
      <c r="U1228" s="213" t="str">
        <f t="shared" si="22"/>
        <v>1w</v>
      </c>
      <c r="V1228" s="201">
        <f>_xll.qlCalendarAdvance(Calendar,V1227,U1228,"f",FALSE)</f>
        <v>47387</v>
      </c>
      <c r="W1228" s="225">
        <f>_xll.qlCalendarAdvance(Calendar,V1228,NDays&amp;"D")</f>
        <v>47389</v>
      </c>
      <c r="X1228" s="200">
        <v>2.9878586555035978E-2</v>
      </c>
      <c r="Y1228" s="209">
        <v>2.9859217240666425E-2</v>
      </c>
    </row>
    <row r="1229" spans="21:25" x14ac:dyDescent="0.2">
      <c r="U1229" s="213" t="str">
        <f t="shared" si="22"/>
        <v>1w</v>
      </c>
      <c r="V1229" s="201">
        <f>_xll.qlCalendarAdvance(Calendar,V1228,U1229,"f",FALSE)</f>
        <v>47394</v>
      </c>
      <c r="W1229" s="225">
        <f>_xll.qlCalendarAdvance(Calendar,V1229,NDays&amp;"D")</f>
        <v>47396</v>
      </c>
      <c r="X1229" s="200">
        <v>2.9862807339220691E-2</v>
      </c>
      <c r="Y1229" s="209">
        <v>2.9843331008923002E-2</v>
      </c>
    </row>
    <row r="1230" spans="21:25" x14ac:dyDescent="0.2">
      <c r="U1230" s="213" t="str">
        <f t="shared" si="22"/>
        <v>1w</v>
      </c>
      <c r="V1230" s="201">
        <f>_xll.qlCalendarAdvance(Calendar,V1229,U1230,"f",FALSE)</f>
        <v>47401</v>
      </c>
      <c r="W1230" s="225">
        <f>_xll.qlCalendarAdvance(Calendar,V1230,NDays&amp;"D")</f>
        <v>47403</v>
      </c>
      <c r="X1230" s="200">
        <v>2.9847055066717598E-2</v>
      </c>
      <c r="Y1230" s="209">
        <v>2.9827471206491651E-2</v>
      </c>
    </row>
    <row r="1231" spans="21:25" x14ac:dyDescent="0.2">
      <c r="U1231" s="213" t="str">
        <f t="shared" si="22"/>
        <v>1w</v>
      </c>
      <c r="V1231" s="201">
        <f>_xll.qlCalendarAdvance(Calendar,V1230,U1231,"f",FALSE)</f>
        <v>47408</v>
      </c>
      <c r="W1231" s="225">
        <f>_xll.qlCalendarAdvance(Calendar,V1231,NDays&amp;"D")</f>
        <v>47410</v>
      </c>
      <c r="X1231" s="200">
        <v>2.9831793644652164E-2</v>
      </c>
      <c r="Y1231" s="209">
        <v>2.9811637833372373E-2</v>
      </c>
    </row>
    <row r="1232" spans="21:25" x14ac:dyDescent="0.2">
      <c r="U1232" s="213" t="str">
        <f t="shared" si="22"/>
        <v>1w</v>
      </c>
      <c r="V1232" s="201">
        <f>_xll.qlCalendarAdvance(Calendar,V1231,U1232,"f",FALSE)</f>
        <v>47415</v>
      </c>
      <c r="W1232" s="225">
        <f>_xll.qlCalendarAdvance(Calendar,V1232,NDays&amp;"D")</f>
        <v>47417</v>
      </c>
      <c r="X1232" s="200">
        <v>2.9815631349119479E-2</v>
      </c>
      <c r="Y1232" s="209">
        <v>2.9795830889538522E-2</v>
      </c>
    </row>
    <row r="1233" spans="21:25" x14ac:dyDescent="0.2">
      <c r="U1233" s="213" t="str">
        <f t="shared" si="22"/>
        <v>1w</v>
      </c>
      <c r="V1233" s="201">
        <f>_xll.qlCalendarAdvance(Calendar,V1232,U1233,"f",FALSE)</f>
        <v>47422</v>
      </c>
      <c r="W1233" s="225">
        <f>_xll.qlCalendarAdvance(Calendar,V1233,NDays&amp;"D")</f>
        <v>47424</v>
      </c>
      <c r="X1233" s="200">
        <v>2.9799842824616597E-2</v>
      </c>
      <c r="Y1233" s="209">
        <v>2.9780050374963452E-2</v>
      </c>
    </row>
    <row r="1234" spans="21:25" x14ac:dyDescent="0.2">
      <c r="U1234" s="213" t="str">
        <f t="shared" si="22"/>
        <v>1w</v>
      </c>
      <c r="V1234" s="201">
        <f>_xll.qlCalendarAdvance(Calendar,V1233,U1234,"f",FALSE)</f>
        <v>47429</v>
      </c>
      <c r="W1234" s="225">
        <f>_xll.qlCalendarAdvance(Calendar,V1234,NDays&amp;"D")</f>
        <v>47431</v>
      </c>
      <c r="X1234" s="200">
        <v>2.9784197679968948E-2</v>
      </c>
      <c r="Y1234" s="209">
        <v>2.9764296289673808E-2</v>
      </c>
    </row>
    <row r="1235" spans="21:25" x14ac:dyDescent="0.2">
      <c r="U1235" s="213" t="str">
        <f t="shared" si="22"/>
        <v>1w</v>
      </c>
      <c r="V1235" s="201">
        <f>_xll.qlCalendarAdvance(Calendar,V1234,U1235,"f",FALSE)</f>
        <v>47436</v>
      </c>
      <c r="W1235" s="225">
        <f>_xll.qlCalendarAdvance(Calendar,V1235,NDays&amp;"D")</f>
        <v>47438</v>
      </c>
      <c r="X1235" s="200">
        <v>2.9768579472646599E-2</v>
      </c>
      <c r="Y1235" s="209">
        <v>2.9748568633642947E-2</v>
      </c>
    </row>
    <row r="1236" spans="21:25" x14ac:dyDescent="0.2">
      <c r="U1236" s="213" t="str">
        <f t="shared" si="22"/>
        <v>1w</v>
      </c>
      <c r="V1236" s="201">
        <f>_xll.qlCalendarAdvance(Calendar,V1235,U1236,"f",FALSE)</f>
        <v>47443</v>
      </c>
      <c r="W1236" s="225">
        <f>_xll.qlCalendarAdvance(Calendar,V1236,NDays&amp;"D")</f>
        <v>47445</v>
      </c>
      <c r="X1236" s="200">
        <v>2.97529882020264E-2</v>
      </c>
      <c r="Y1236" s="209">
        <v>2.9732867406817576E-2</v>
      </c>
    </row>
    <row r="1237" spans="21:25" x14ac:dyDescent="0.2">
      <c r="U1237" s="213" t="str">
        <f t="shared" ref="U1237:U1300" si="23">U1236</f>
        <v>1w</v>
      </c>
      <c r="V1237" s="201">
        <f>_xll.qlCalendarAdvance(Calendar,V1236,U1237,"f",FALSE)</f>
        <v>47450</v>
      </c>
      <c r="W1237" s="225">
        <f>_xll.qlCalendarAdvance(Calendar,V1237,NDays&amp;"D")</f>
        <v>47452</v>
      </c>
      <c r="X1237" s="200">
        <v>2.9737543518962694E-2</v>
      </c>
      <c r="Y1237" s="209">
        <v>2.9717192609277632E-2</v>
      </c>
    </row>
    <row r="1238" spans="21:25" x14ac:dyDescent="0.2">
      <c r="U1238" s="213" t="str">
        <f t="shared" si="23"/>
        <v>1w</v>
      </c>
      <c r="V1238" s="201">
        <f>_xll.qlCalendarAdvance(Calendar,V1237,U1238,"f",FALSE)</f>
        <v>47457</v>
      </c>
      <c r="W1238" s="225">
        <f>_xll.qlCalendarAdvance(Calendar,V1238,NDays&amp;"D")</f>
        <v>47459</v>
      </c>
      <c r="X1238" s="200">
        <v>2.9722006770287395E-2</v>
      </c>
      <c r="Y1238" s="209">
        <v>2.9701544240969824E-2</v>
      </c>
    </row>
    <row r="1239" spans="21:25" x14ac:dyDescent="0.2">
      <c r="U1239" s="213" t="str">
        <f t="shared" si="23"/>
        <v>1w</v>
      </c>
      <c r="V1239" s="201">
        <f>_xll.qlCalendarAdvance(Calendar,V1238,U1239,"f",FALSE)</f>
        <v>47464</v>
      </c>
      <c r="W1239" s="225">
        <f>_xll.qlCalendarAdvance(Calendar,V1239,NDays&amp;"D")</f>
        <v>47466</v>
      </c>
      <c r="X1239" s="200">
        <v>2.970649695927343E-2</v>
      </c>
      <c r="Y1239" s="209">
        <v>2.9685922301840861E-2</v>
      </c>
    </row>
    <row r="1240" spans="21:25" x14ac:dyDescent="0.2">
      <c r="U1240" s="213" t="str">
        <f t="shared" si="23"/>
        <v>1w</v>
      </c>
      <c r="V1240" s="201">
        <f>_xll.qlCalendarAdvance(Calendar,V1239,U1240,"f",FALSE)</f>
        <v>47471</v>
      </c>
      <c r="W1240" s="225">
        <f>_xll.qlCalendarAdvance(Calendar,V1240,NDays&amp;"D")</f>
        <v>47473</v>
      </c>
      <c r="X1240" s="200">
        <v>2.9691014085298E-2</v>
      </c>
      <c r="Y1240" s="209">
        <v>2.9670326791944035E-2</v>
      </c>
    </row>
    <row r="1241" spans="21:25" x14ac:dyDescent="0.2">
      <c r="U1241" s="213" t="str">
        <f t="shared" si="23"/>
        <v>1w</v>
      </c>
      <c r="V1241" s="201">
        <f>_xll.qlCalendarAdvance(Calendar,V1240,U1241,"f",FALSE)</f>
        <v>47479</v>
      </c>
      <c r="W1241" s="225">
        <f>_xll.qlCalendarAdvance(Calendar,V1241,NDays&amp;"D")</f>
        <v>47483</v>
      </c>
      <c r="X1241" s="200">
        <v>2.9668574971721741E-2</v>
      </c>
      <c r="Y1241" s="209">
        <v>2.9647982814156038E-2</v>
      </c>
    </row>
    <row r="1242" spans="21:25" x14ac:dyDescent="0.2">
      <c r="U1242" s="213" t="str">
        <f t="shared" si="23"/>
        <v>1w</v>
      </c>
      <c r="V1242" s="201">
        <f>_xll.qlCalendarAdvance(Calendar,V1241,U1242,"f",FALSE)</f>
        <v>47486</v>
      </c>
      <c r="W1242" s="225">
        <f>_xll.qlCalendarAdvance(Calendar,V1242,NDays&amp;"D")</f>
        <v>47490</v>
      </c>
      <c r="X1242" s="200">
        <v>2.9653524962153708E-2</v>
      </c>
      <c r="Y1242" s="209">
        <v>2.9632339810943265E-2</v>
      </c>
    </row>
    <row r="1243" spans="21:25" x14ac:dyDescent="0.2">
      <c r="U1243" s="213" t="str">
        <f t="shared" si="23"/>
        <v>1w</v>
      </c>
      <c r="V1243" s="201">
        <f>_xll.qlCalendarAdvance(Calendar,V1242,U1243,"f",FALSE)</f>
        <v>47493</v>
      </c>
      <c r="W1243" s="225">
        <f>_xll.qlCalendarAdvance(Calendar,V1243,NDays&amp;"D")</f>
        <v>47497</v>
      </c>
      <c r="X1243" s="200">
        <v>2.963813443903008E-2</v>
      </c>
      <c r="Y1243" s="209">
        <v>2.9616833691914479E-2</v>
      </c>
    </row>
    <row r="1244" spans="21:25" x14ac:dyDescent="0.2">
      <c r="U1244" s="213" t="str">
        <f t="shared" si="23"/>
        <v>1w</v>
      </c>
      <c r="V1244" s="201">
        <f>_xll.qlCalendarAdvance(Calendar,V1243,U1244,"f",FALSE)</f>
        <v>47500</v>
      </c>
      <c r="W1244" s="225">
        <f>_xll.qlCalendarAdvance(Calendar,V1244,NDays&amp;"D")</f>
        <v>47504</v>
      </c>
      <c r="X1244" s="200">
        <v>2.9622770850201683E-2</v>
      </c>
      <c r="Y1244" s="209">
        <v>2.9601353996389079E-2</v>
      </c>
    </row>
    <row r="1245" spans="21:25" x14ac:dyDescent="0.2">
      <c r="U1245" s="213" t="str">
        <f t="shared" si="23"/>
        <v>1w</v>
      </c>
      <c r="V1245" s="201">
        <f>_xll.qlCalendarAdvance(Calendar,V1244,U1245,"f",FALSE)</f>
        <v>47507</v>
      </c>
      <c r="W1245" s="225">
        <f>_xll.qlCalendarAdvance(Calendar,V1245,NDays&amp;"D")</f>
        <v>47511</v>
      </c>
      <c r="X1245" s="200">
        <v>2.960743419505275E-2</v>
      </c>
      <c r="Y1245" s="209">
        <v>2.9585900724287129E-2</v>
      </c>
    </row>
    <row r="1246" spans="21:25" x14ac:dyDescent="0.2">
      <c r="U1246" s="213" t="str">
        <f t="shared" si="23"/>
        <v>1w</v>
      </c>
      <c r="V1246" s="201">
        <f>_xll.qlCalendarAdvance(Calendar,V1245,U1246,"f",FALSE)</f>
        <v>47514</v>
      </c>
      <c r="W1246" s="225">
        <f>_xll.qlCalendarAdvance(Calendar,V1246,NDays&amp;"D")</f>
        <v>47518</v>
      </c>
      <c r="X1246" s="200">
        <v>2.9592124472967069E-2</v>
      </c>
      <c r="Y1246" s="209">
        <v>2.9570473875688563E-2</v>
      </c>
    </row>
    <row r="1247" spans="21:25" x14ac:dyDescent="0.2">
      <c r="U1247" s="213" t="str">
        <f t="shared" si="23"/>
        <v>1w</v>
      </c>
      <c r="V1247" s="201">
        <f>_xll.qlCalendarAdvance(Calendar,V1246,U1247,"f",FALSE)</f>
        <v>47521</v>
      </c>
      <c r="W1247" s="225">
        <f>_xll.qlCalendarAdvance(Calendar,V1247,NDays&amp;"D")</f>
        <v>47525</v>
      </c>
      <c r="X1247" s="200">
        <v>2.9576841683330187E-2</v>
      </c>
      <c r="Y1247" s="209">
        <v>2.9555073450513447E-2</v>
      </c>
    </row>
    <row r="1248" spans="21:25" x14ac:dyDescent="0.2">
      <c r="U1248" s="213" t="str">
        <f t="shared" si="23"/>
        <v>1w</v>
      </c>
      <c r="V1248" s="201">
        <f>_xll.qlCalendarAdvance(Calendar,V1247,U1248,"f",FALSE)</f>
        <v>47528</v>
      </c>
      <c r="W1248" s="225">
        <f>_xll.qlCalendarAdvance(Calendar,V1248,NDays&amp;"D")</f>
        <v>47532</v>
      </c>
      <c r="X1248" s="200">
        <v>2.9561585825529844E-2</v>
      </c>
      <c r="Y1248" s="209">
        <v>2.9539699448921652E-2</v>
      </c>
    </row>
    <row r="1249" spans="21:25" x14ac:dyDescent="0.2">
      <c r="U1249" s="213" t="str">
        <f t="shared" si="23"/>
        <v>1w</v>
      </c>
      <c r="V1249" s="201">
        <f>_xll.qlCalendarAdvance(Calendar,V1248,U1249,"f",FALSE)</f>
        <v>47535</v>
      </c>
      <c r="W1249" s="225">
        <f>_xll.qlCalendarAdvance(Calendar,V1249,NDays&amp;"D")</f>
        <v>47539</v>
      </c>
      <c r="X1249" s="200">
        <v>2.9546356898952471E-2</v>
      </c>
      <c r="Y1249" s="209">
        <v>2.9524351870673371E-2</v>
      </c>
    </row>
    <row r="1250" spans="21:25" x14ac:dyDescent="0.2">
      <c r="U1250" s="213" t="str">
        <f t="shared" si="23"/>
        <v>1w</v>
      </c>
      <c r="V1250" s="201">
        <f>_xll.qlCalendarAdvance(Calendar,V1249,U1250,"f",FALSE)</f>
        <v>47542</v>
      </c>
      <c r="W1250" s="225">
        <f>_xll.qlCalendarAdvance(Calendar,V1250,NDays&amp;"D")</f>
        <v>47546</v>
      </c>
      <c r="X1250" s="200">
        <v>2.9531412362493268E-2</v>
      </c>
      <c r="Y1250" s="209">
        <v>2.9509030715928475E-2</v>
      </c>
    </row>
    <row r="1251" spans="21:25" x14ac:dyDescent="0.2">
      <c r="U1251" s="213" t="str">
        <f t="shared" si="23"/>
        <v>1w</v>
      </c>
      <c r="V1251" s="201">
        <f>_xll.qlCalendarAdvance(Calendar,V1250,U1251,"f",FALSE)</f>
        <v>47549</v>
      </c>
      <c r="W1251" s="225">
        <f>_xll.qlCalendarAdvance(Calendar,V1251,NDays&amp;"D")</f>
        <v>47553</v>
      </c>
      <c r="X1251" s="200">
        <v>2.9516238673482777E-2</v>
      </c>
      <c r="Y1251" s="209">
        <v>2.9493735984607028E-2</v>
      </c>
    </row>
    <row r="1252" spans="21:25" x14ac:dyDescent="0.2">
      <c r="U1252" s="213" t="str">
        <f t="shared" si="23"/>
        <v>1w</v>
      </c>
      <c r="V1252" s="201">
        <f>_xll.qlCalendarAdvance(Calendar,V1251,U1252,"f",FALSE)</f>
        <v>47556</v>
      </c>
      <c r="W1252" s="225">
        <f>_xll.qlCalendarAdvance(Calendar,V1252,NDays&amp;"D")</f>
        <v>47560</v>
      </c>
      <c r="X1252" s="200">
        <v>2.9501091919420908E-2</v>
      </c>
      <c r="Y1252" s="209">
        <v>2.9478467676788966E-2</v>
      </c>
    </row>
    <row r="1253" spans="21:25" x14ac:dyDescent="0.2">
      <c r="U1253" s="213" t="str">
        <f t="shared" si="23"/>
        <v>1w</v>
      </c>
      <c r="V1253" s="201">
        <f>_xll.qlCalendarAdvance(Calendar,V1252,U1253,"f",FALSE)</f>
        <v>47563</v>
      </c>
      <c r="W1253" s="225">
        <f>_xll.qlCalendarAdvance(Calendar,V1253,NDays&amp;"D")</f>
        <v>47567</v>
      </c>
      <c r="X1253" s="200">
        <v>2.9485972099692063E-2</v>
      </c>
      <c r="Y1253" s="209">
        <v>2.9463225792394354E-2</v>
      </c>
    </row>
    <row r="1254" spans="21:25" x14ac:dyDescent="0.2">
      <c r="U1254" s="213" t="str">
        <f t="shared" si="23"/>
        <v>1w</v>
      </c>
      <c r="V1254" s="201">
        <f>_xll.qlCalendarAdvance(Calendar,V1253,U1254,"f",FALSE)</f>
        <v>47570</v>
      </c>
      <c r="W1254" s="225">
        <f>_xll.qlCalendarAdvance(Calendar,V1254,NDays&amp;"D")</f>
        <v>47574</v>
      </c>
      <c r="X1254" s="200">
        <v>2.94707476761738E-2</v>
      </c>
      <c r="Y1254" s="209">
        <v>2.9448010331423191E-2</v>
      </c>
    </row>
    <row r="1255" spans="21:25" x14ac:dyDescent="0.2">
      <c r="U1255" s="213" t="str">
        <f t="shared" si="23"/>
        <v>1w</v>
      </c>
      <c r="V1255" s="201">
        <f>_xll.qlCalendarAdvance(Calendar,V1254,U1255,"f",FALSE)</f>
        <v>47577</v>
      </c>
      <c r="W1255" s="225">
        <f>_xll.qlCalendarAdvance(Calendar,V1255,NDays&amp;"D")</f>
        <v>47581</v>
      </c>
      <c r="X1255" s="200">
        <v>2.9455681023558437E-2</v>
      </c>
      <c r="Y1255" s="209">
        <v>2.9432821293955413E-2</v>
      </c>
    </row>
    <row r="1256" spans="21:25" x14ac:dyDescent="0.2">
      <c r="U1256" s="213" t="str">
        <f t="shared" si="23"/>
        <v>1w</v>
      </c>
      <c r="V1256" s="201">
        <f>_xll.qlCalendarAdvance(Calendar,V1255,U1256,"f",FALSE)</f>
        <v>47584</v>
      </c>
      <c r="W1256" s="225">
        <f>_xll.qlCalendarAdvance(Calendar,V1256,NDays&amp;"D")</f>
        <v>47588</v>
      </c>
      <c r="X1256" s="200">
        <v>2.9440641300676713E-2</v>
      </c>
      <c r="Y1256" s="209">
        <v>2.9417658679831149E-2</v>
      </c>
    </row>
    <row r="1257" spans="21:25" x14ac:dyDescent="0.2">
      <c r="U1257" s="213" t="str">
        <f t="shared" si="23"/>
        <v>1w</v>
      </c>
      <c r="V1257" s="201">
        <f>_xll.qlCalendarAdvance(Calendar,V1256,U1257,"f",FALSE)</f>
        <v>47591</v>
      </c>
      <c r="W1257" s="225">
        <f>_xll.qlCalendarAdvance(Calendar,V1257,NDays&amp;"D")</f>
        <v>47597</v>
      </c>
      <c r="X1257" s="200">
        <v>2.9421344083356674E-2</v>
      </c>
      <c r="Y1257" s="209">
        <v>2.9398202716670596E-2</v>
      </c>
    </row>
    <row r="1258" spans="21:25" x14ac:dyDescent="0.2">
      <c r="U1258" s="213" t="str">
        <f t="shared" si="23"/>
        <v>1w</v>
      </c>
      <c r="V1258" s="201">
        <f>_xll.qlCalendarAdvance(Calendar,V1257,U1258,"f",FALSE)</f>
        <v>47598</v>
      </c>
      <c r="W1258" s="225">
        <f>_xll.qlCalendarAdvance(Calendar,V1258,NDays&amp;"D")</f>
        <v>47602</v>
      </c>
      <c r="X1258" s="200">
        <v>2.9410642641683755E-2</v>
      </c>
      <c r="Y1258" s="209">
        <v>2.9387412722092776E-2</v>
      </c>
    </row>
    <row r="1259" spans="21:25" x14ac:dyDescent="0.2">
      <c r="U1259" s="213" t="str">
        <f t="shared" si="23"/>
        <v>1w</v>
      </c>
      <c r="V1259" s="201">
        <f>_xll.qlCalendarAdvance(Calendar,V1258,U1259,"f",FALSE)</f>
        <v>47605</v>
      </c>
      <c r="W1259" s="225">
        <f>_xll.qlCalendarAdvance(Calendar,V1259,NDays&amp;"D")</f>
        <v>47609</v>
      </c>
      <c r="X1259" s="200">
        <v>2.9395818768047307E-2</v>
      </c>
      <c r="Y1259" s="209">
        <v>2.9372329378318796E-2</v>
      </c>
    </row>
    <row r="1260" spans="21:25" x14ac:dyDescent="0.2">
      <c r="U1260" s="213" t="str">
        <f t="shared" si="23"/>
        <v>1w</v>
      </c>
      <c r="V1260" s="201">
        <f>_xll.qlCalendarAdvance(Calendar,V1259,U1260,"f",FALSE)</f>
        <v>47612</v>
      </c>
      <c r="W1260" s="225">
        <f>_xll.qlCalendarAdvance(Calendar,V1260,NDays&amp;"D")</f>
        <v>47616</v>
      </c>
      <c r="X1260" s="200">
        <v>2.9380887471538539E-2</v>
      </c>
      <c r="Y1260" s="209">
        <v>2.9357272457968264E-2</v>
      </c>
    </row>
    <row r="1261" spans="21:25" x14ac:dyDescent="0.2">
      <c r="U1261" s="213" t="str">
        <f t="shared" si="23"/>
        <v>1w</v>
      </c>
      <c r="V1261" s="201">
        <f>_xll.qlCalendarAdvance(Calendar,V1260,U1261,"f",FALSE)</f>
        <v>47619</v>
      </c>
      <c r="W1261" s="225">
        <f>_xll.qlCalendarAdvance(Calendar,V1261,NDays&amp;"D")</f>
        <v>47623</v>
      </c>
      <c r="X1261" s="200">
        <v>2.9365983104486699E-2</v>
      </c>
      <c r="Y1261" s="209">
        <v>2.9342241961041182E-2</v>
      </c>
    </row>
    <row r="1262" spans="21:25" x14ac:dyDescent="0.2">
      <c r="U1262" s="213" t="str">
        <f t="shared" si="23"/>
        <v>1w</v>
      </c>
      <c r="V1262" s="201">
        <f>_xll.qlCalendarAdvance(Calendar,V1261,U1262,"f",FALSE)</f>
        <v>47626</v>
      </c>
      <c r="W1262" s="225">
        <f>_xll.qlCalendarAdvance(Calendar,V1262,NDays&amp;"D")</f>
        <v>47630</v>
      </c>
      <c r="X1262" s="200">
        <v>2.9351105666286612E-2</v>
      </c>
      <c r="Y1262" s="209">
        <v>2.9327237887537549E-2</v>
      </c>
    </row>
    <row r="1263" spans="21:25" x14ac:dyDescent="0.2">
      <c r="U1263" s="213" t="str">
        <f t="shared" si="23"/>
        <v>1w</v>
      </c>
      <c r="V1263" s="201">
        <f>_xll.qlCalendarAdvance(Calendar,V1262,U1263,"f",FALSE)</f>
        <v>47633</v>
      </c>
      <c r="W1263" s="225">
        <f>_xll.qlCalendarAdvance(Calendar,V1263,NDays&amp;"D")</f>
        <v>47637</v>
      </c>
      <c r="X1263" s="200">
        <v>2.9336117222177348E-2</v>
      </c>
      <c r="Y1263" s="209">
        <v>2.9312260237457366E-2</v>
      </c>
    </row>
    <row r="1264" spans="21:25" x14ac:dyDescent="0.2">
      <c r="U1264" s="213" t="str">
        <f t="shared" si="23"/>
        <v>1w</v>
      </c>
      <c r="V1264" s="201">
        <f>_xll.qlCalendarAdvance(Calendar,V1263,U1264,"f",FALSE)</f>
        <v>47640</v>
      </c>
      <c r="W1264" s="225">
        <f>_xll.qlCalendarAdvance(Calendar,V1264,NDays&amp;"D")</f>
        <v>47644</v>
      </c>
      <c r="X1264" s="200">
        <v>2.9321292915401993E-2</v>
      </c>
      <c r="Y1264" s="209">
        <v>2.9297309010880568E-2</v>
      </c>
    </row>
    <row r="1265" spans="21:25" x14ac:dyDescent="0.2">
      <c r="U1265" s="213" t="str">
        <f t="shared" si="23"/>
        <v>1w</v>
      </c>
      <c r="V1265" s="201">
        <f>_xll.qlCalendarAdvance(Calendar,V1264,U1265,"f",FALSE)</f>
        <v>47647</v>
      </c>
      <c r="W1265" s="225">
        <f>_xll.qlCalendarAdvance(Calendar,V1265,NDays&amp;"D")</f>
        <v>47651</v>
      </c>
      <c r="X1265" s="200">
        <v>2.9306495532936853E-2</v>
      </c>
      <c r="Y1265" s="209">
        <v>2.9282384207567347E-2</v>
      </c>
    </row>
    <row r="1266" spans="21:25" x14ac:dyDescent="0.2">
      <c r="U1266" s="213" t="str">
        <f t="shared" si="23"/>
        <v>1w</v>
      </c>
      <c r="V1266" s="201">
        <f>_xll.qlCalendarAdvance(Calendar,V1265,U1266,"f",FALSE)</f>
        <v>47654</v>
      </c>
      <c r="W1266" s="225">
        <f>_xll.qlCalendarAdvance(Calendar,V1266,NDays&amp;"D")</f>
        <v>47658</v>
      </c>
      <c r="X1266" s="200">
        <v>2.9291725074184809E-2</v>
      </c>
      <c r="Y1266" s="209">
        <v>2.9267485827757511E-2</v>
      </c>
    </row>
    <row r="1267" spans="21:25" x14ac:dyDescent="0.2">
      <c r="U1267" s="213" t="str">
        <f t="shared" si="23"/>
        <v>1w</v>
      </c>
      <c r="V1267" s="201">
        <f>_xll.qlCalendarAdvance(Calendar,V1266,U1267,"f",FALSE)</f>
        <v>47661</v>
      </c>
      <c r="W1267" s="225">
        <f>_xll.qlCalendarAdvance(Calendar,V1267,NDays&amp;"D")</f>
        <v>47665</v>
      </c>
      <c r="X1267" s="200">
        <v>2.9277263313717845E-2</v>
      </c>
      <c r="Y1267" s="209">
        <v>2.9252613871291189E-2</v>
      </c>
    </row>
    <row r="1268" spans="21:25" x14ac:dyDescent="0.2">
      <c r="U1268" s="213" t="str">
        <f t="shared" si="23"/>
        <v>1w</v>
      </c>
      <c r="V1268" s="201">
        <f>_xll.qlCalendarAdvance(Calendar,V1267,U1268,"f",FALSE)</f>
        <v>47668</v>
      </c>
      <c r="W1268" s="225">
        <f>_xll.qlCalendarAdvance(Calendar,V1268,NDays&amp;"D")</f>
        <v>47672</v>
      </c>
      <c r="X1268" s="200">
        <v>2.9262406509263011E-2</v>
      </c>
      <c r="Y1268" s="209">
        <v>2.9237768338248316E-2</v>
      </c>
    </row>
    <row r="1269" spans="21:25" x14ac:dyDescent="0.2">
      <c r="U1269" s="213" t="str">
        <f t="shared" si="23"/>
        <v>1w</v>
      </c>
      <c r="V1269" s="201">
        <f>_xll.qlCalendarAdvance(Calendar,V1268,U1269,"f",FALSE)</f>
        <v>47675</v>
      </c>
      <c r="W1269" s="225">
        <f>_xll.qlCalendarAdvance(Calendar,V1269,NDays&amp;"D")</f>
        <v>47679</v>
      </c>
      <c r="X1269" s="200">
        <v>2.9247717556191738E-2</v>
      </c>
      <c r="Y1269" s="209">
        <v>2.9222949228628892E-2</v>
      </c>
    </row>
    <row r="1270" spans="21:25" x14ac:dyDescent="0.2">
      <c r="U1270" s="213" t="str">
        <f t="shared" si="23"/>
        <v>1w</v>
      </c>
      <c r="V1270" s="201">
        <f>_xll.qlCalendarAdvance(Calendar,V1269,U1270,"f",FALSE)</f>
        <v>47682</v>
      </c>
      <c r="W1270" s="225">
        <f>_xll.qlCalendarAdvance(Calendar,V1270,NDays&amp;"D")</f>
        <v>47686</v>
      </c>
      <c r="X1270" s="200">
        <v>2.9233055527173882E-2</v>
      </c>
      <c r="Y1270" s="209">
        <v>2.9208156542352981E-2</v>
      </c>
    </row>
    <row r="1271" spans="21:25" x14ac:dyDescent="0.2">
      <c r="U1271" s="213" t="str">
        <f t="shared" si="23"/>
        <v>1w</v>
      </c>
      <c r="V1271" s="201">
        <f>_xll.qlCalendarAdvance(Calendar,V1270,U1271,"f",FALSE)</f>
        <v>47689</v>
      </c>
      <c r="W1271" s="225">
        <f>_xll.qlCalendarAdvance(Calendar,V1271,NDays&amp;"D")</f>
        <v>47693</v>
      </c>
      <c r="X1271" s="200">
        <v>2.9218420421616445E-2</v>
      </c>
      <c r="Y1271" s="209">
        <v>2.919339027950052E-2</v>
      </c>
    </row>
    <row r="1272" spans="21:25" x14ac:dyDescent="0.2">
      <c r="U1272" s="213" t="str">
        <f t="shared" si="23"/>
        <v>1w</v>
      </c>
      <c r="V1272" s="201">
        <f>_xll.qlCalendarAdvance(Calendar,V1271,U1272,"f",FALSE)</f>
        <v>47696</v>
      </c>
      <c r="W1272" s="225">
        <f>_xll.qlCalendarAdvance(Calendar,V1272,NDays&amp;"D")</f>
        <v>47700</v>
      </c>
      <c r="X1272" s="200">
        <v>2.9203812238924251E-2</v>
      </c>
      <c r="Y1272" s="209">
        <v>2.9178650439991571E-2</v>
      </c>
    </row>
    <row r="1273" spans="21:25" x14ac:dyDescent="0.2">
      <c r="U1273" s="213" t="str">
        <f t="shared" si="23"/>
        <v>1w</v>
      </c>
      <c r="V1273" s="201">
        <f>_xll.qlCalendarAdvance(Calendar,V1272,U1273,"f",FALSE)</f>
        <v>47703</v>
      </c>
      <c r="W1273" s="225">
        <f>_xll.qlCalendarAdvance(Calendar,V1273,NDays&amp;"D")</f>
        <v>47707</v>
      </c>
      <c r="X1273" s="200">
        <v>2.9189230978506463E-2</v>
      </c>
      <c r="Y1273" s="209">
        <v>2.9163937023986009E-2</v>
      </c>
    </row>
    <row r="1274" spans="21:25" x14ac:dyDescent="0.2">
      <c r="U1274" s="213" t="str">
        <f t="shared" si="23"/>
        <v>1w</v>
      </c>
      <c r="V1274" s="201">
        <f>_xll.qlCalendarAdvance(Calendar,V1273,U1274,"f",FALSE)</f>
        <v>47710</v>
      </c>
      <c r="W1274" s="225">
        <f>_xll.qlCalendarAdvance(Calendar,V1274,NDays&amp;"D")</f>
        <v>47714</v>
      </c>
      <c r="X1274" s="200">
        <v>2.9174676639769651E-2</v>
      </c>
      <c r="Y1274" s="209">
        <v>2.9149250031244023E-2</v>
      </c>
    </row>
    <row r="1275" spans="21:25" x14ac:dyDescent="0.2">
      <c r="U1275" s="213" t="str">
        <f t="shared" si="23"/>
        <v>1w</v>
      </c>
      <c r="V1275" s="201">
        <f>_xll.qlCalendarAdvance(Calendar,V1274,U1275,"f",FALSE)</f>
        <v>47717</v>
      </c>
      <c r="W1275" s="225">
        <f>_xll.qlCalendarAdvance(Calendar,V1275,NDays&amp;"D")</f>
        <v>47721</v>
      </c>
      <c r="X1275" s="200">
        <v>2.9160149222124714E-2</v>
      </c>
      <c r="Y1275" s="209">
        <v>2.9134589461925486E-2</v>
      </c>
    </row>
    <row r="1276" spans="21:25" x14ac:dyDescent="0.2">
      <c r="U1276" s="213" t="str">
        <f t="shared" si="23"/>
        <v>1w</v>
      </c>
      <c r="V1276" s="201">
        <f>_xll.qlCalendarAdvance(Calendar,V1275,U1276,"f",FALSE)</f>
        <v>47724</v>
      </c>
      <c r="W1276" s="225">
        <f>_xll.qlCalendarAdvance(Calendar,V1276,NDays&amp;"D")</f>
        <v>47728</v>
      </c>
      <c r="X1276" s="200">
        <v>2.9145353676601579E-2</v>
      </c>
      <c r="Y1276" s="209">
        <v>2.9119955315950463E-2</v>
      </c>
    </row>
    <row r="1277" spans="21:25" x14ac:dyDescent="0.2">
      <c r="U1277" s="213" t="str">
        <f t="shared" si="23"/>
        <v>1w</v>
      </c>
      <c r="V1277" s="201">
        <f>_xll.qlCalendarAdvance(Calendar,V1276,U1277,"f",FALSE)</f>
        <v>47731</v>
      </c>
      <c r="W1277" s="225">
        <f>_xll.qlCalendarAdvance(Calendar,V1277,NDays&amp;"D")</f>
        <v>47735</v>
      </c>
      <c r="X1277" s="200">
        <v>2.9130878580130231E-2</v>
      </c>
      <c r="Y1277" s="209">
        <v>2.9105347593318953E-2</v>
      </c>
    </row>
    <row r="1278" spans="21:25" x14ac:dyDescent="0.2">
      <c r="U1278" s="213" t="str">
        <f t="shared" si="23"/>
        <v>1w</v>
      </c>
      <c r="V1278" s="201">
        <f>_xll.qlCalendarAdvance(Calendar,V1277,U1278,"f",FALSE)</f>
        <v>47738</v>
      </c>
      <c r="W1278" s="225">
        <f>_xll.qlCalendarAdvance(Calendar,V1278,NDays&amp;"D")</f>
        <v>47742</v>
      </c>
      <c r="X1278" s="200">
        <v>2.9116430397600292E-2</v>
      </c>
      <c r="Y1278" s="209">
        <v>2.9090766294110892E-2</v>
      </c>
    </row>
    <row r="1279" spans="21:25" x14ac:dyDescent="0.2">
      <c r="U1279" s="213" t="str">
        <f t="shared" si="23"/>
        <v>1w</v>
      </c>
      <c r="V1279" s="201">
        <f>_xll.qlCalendarAdvance(Calendar,V1278,U1279,"f",FALSE)</f>
        <v>47745</v>
      </c>
      <c r="W1279" s="225">
        <f>_xll.qlCalendarAdvance(Calendar,V1279,NDays&amp;"D")</f>
        <v>47749</v>
      </c>
      <c r="X1279" s="200">
        <v>2.9102009128431122E-2</v>
      </c>
      <c r="Y1279" s="209">
        <v>2.9076211418246345E-2</v>
      </c>
    </row>
    <row r="1280" spans="21:25" x14ac:dyDescent="0.2">
      <c r="U1280" s="213" t="str">
        <f t="shared" si="23"/>
        <v>1w</v>
      </c>
      <c r="V1280" s="201">
        <f>_xll.qlCalendarAdvance(Calendar,V1279,U1280,"f",FALSE)</f>
        <v>47752</v>
      </c>
      <c r="W1280" s="225">
        <f>_xll.qlCalendarAdvance(Calendar,V1280,NDays&amp;"D")</f>
        <v>47756</v>
      </c>
      <c r="X1280" s="200">
        <v>2.9087614772045602E-2</v>
      </c>
      <c r="Y1280" s="209">
        <v>2.9061682965805247E-2</v>
      </c>
    </row>
    <row r="1281" spans="21:25" x14ac:dyDescent="0.2">
      <c r="U1281" s="213" t="str">
        <f t="shared" si="23"/>
        <v>1w</v>
      </c>
      <c r="V1281" s="201">
        <f>_xll.qlCalendarAdvance(Calendar,V1280,U1281,"f",FALSE)</f>
        <v>47759</v>
      </c>
      <c r="W1281" s="225">
        <f>_xll.qlCalendarAdvance(Calendar,V1281,NDays&amp;"D")</f>
        <v>47763</v>
      </c>
      <c r="X1281" s="200">
        <v>2.9073247327863976E-2</v>
      </c>
      <c r="Y1281" s="209">
        <v>2.904718093654779E-2</v>
      </c>
    </row>
    <row r="1282" spans="21:25" x14ac:dyDescent="0.2">
      <c r="U1282" s="213" t="str">
        <f t="shared" si="23"/>
        <v>1w</v>
      </c>
      <c r="V1282" s="201">
        <f>_xll.qlCalendarAdvance(Calendar,V1281,U1282,"f",FALSE)</f>
        <v>47766</v>
      </c>
      <c r="W1282" s="225">
        <f>_xll.qlCalendarAdvance(Calendar,V1282,NDays&amp;"D")</f>
        <v>47770</v>
      </c>
      <c r="X1282" s="200">
        <v>2.9059058876228363E-2</v>
      </c>
      <c r="Y1282" s="209">
        <v>2.9032705330873654E-2</v>
      </c>
    </row>
    <row r="1283" spans="21:25" x14ac:dyDescent="0.2">
      <c r="U1283" s="213" t="str">
        <f t="shared" si="23"/>
        <v>1w</v>
      </c>
      <c r="V1283" s="201">
        <f>_xll.qlCalendarAdvance(Calendar,V1282,U1283,"f",FALSE)</f>
        <v>47773</v>
      </c>
      <c r="W1283" s="225">
        <f>_xll.qlCalendarAdvance(Calendar,V1283,NDays&amp;"D")</f>
        <v>47777</v>
      </c>
      <c r="X1283" s="200">
        <v>2.9044593173812704E-2</v>
      </c>
      <c r="Y1283" s="209">
        <v>2.9018256148463095E-2</v>
      </c>
    </row>
    <row r="1284" spans="21:25" x14ac:dyDescent="0.2">
      <c r="U1284" s="213" t="str">
        <f t="shared" si="23"/>
        <v>1w</v>
      </c>
      <c r="V1284" s="201">
        <f>_xll.qlCalendarAdvance(Calendar,V1283,U1284,"f",FALSE)</f>
        <v>47780</v>
      </c>
      <c r="W1284" s="225">
        <f>_xll.qlCalendarAdvance(Calendar,V1284,NDays&amp;"D")</f>
        <v>47784</v>
      </c>
      <c r="X1284" s="200">
        <v>2.9030306462792775E-2</v>
      </c>
      <c r="Y1284" s="209">
        <v>2.900383338939605E-2</v>
      </c>
    </row>
    <row r="1285" spans="21:25" x14ac:dyDescent="0.2">
      <c r="U1285" s="213" t="str">
        <f t="shared" si="23"/>
        <v>1w</v>
      </c>
      <c r="V1285" s="201">
        <f>_xll.qlCalendarAdvance(Calendar,V1284,U1285,"f",FALSE)</f>
        <v>47787</v>
      </c>
      <c r="W1285" s="225">
        <f>_xll.qlCalendarAdvance(Calendar,V1285,NDays&amp;"D")</f>
        <v>47791</v>
      </c>
      <c r="X1285" s="200">
        <v>2.9016046661678795E-2</v>
      </c>
      <c r="Y1285" s="209">
        <v>2.8989437053592582E-2</v>
      </c>
    </row>
    <row r="1286" spans="21:25" x14ac:dyDescent="0.2">
      <c r="U1286" s="213" t="str">
        <f t="shared" si="23"/>
        <v>1w</v>
      </c>
      <c r="V1286" s="201">
        <f>_xll.qlCalendarAdvance(Calendar,V1285,U1286,"f",FALSE)</f>
        <v>47794</v>
      </c>
      <c r="W1286" s="225">
        <f>_xll.qlCalendarAdvance(Calendar,V1286,NDays&amp;"D")</f>
        <v>47798</v>
      </c>
      <c r="X1286" s="200">
        <v>2.9001813769898476E-2</v>
      </c>
      <c r="Y1286" s="209">
        <v>2.8975067141212563E-2</v>
      </c>
    </row>
    <row r="1287" spans="21:25" x14ac:dyDescent="0.2">
      <c r="U1287" s="213" t="str">
        <f t="shared" si="23"/>
        <v>1w</v>
      </c>
      <c r="V1287" s="201">
        <f>_xll.qlCalendarAdvance(Calendar,V1286,U1287,"f",FALSE)</f>
        <v>47801</v>
      </c>
      <c r="W1287" s="225">
        <f>_xll.qlCalendarAdvance(Calendar,V1287,NDays&amp;"D")</f>
        <v>47805</v>
      </c>
      <c r="X1287" s="200">
        <v>2.8987607786880851E-2</v>
      </c>
      <c r="Y1287" s="209">
        <v>2.8960723652176057E-2</v>
      </c>
    </row>
    <row r="1288" spans="21:25" x14ac:dyDescent="0.2">
      <c r="U1288" s="213" t="str">
        <f t="shared" si="23"/>
        <v>1w</v>
      </c>
      <c r="V1288" s="201">
        <f>_xll.qlCalendarAdvance(Calendar,V1287,U1288,"f",FALSE)</f>
        <v>47808</v>
      </c>
      <c r="W1288" s="225">
        <f>_xll.qlCalendarAdvance(Calendar,V1288,NDays&amp;"D")</f>
        <v>47812</v>
      </c>
      <c r="X1288" s="200">
        <v>2.8973428712055382E-2</v>
      </c>
      <c r="Y1288" s="209">
        <v>2.8946406586483064E-2</v>
      </c>
    </row>
    <row r="1289" spans="21:25" x14ac:dyDescent="0.2">
      <c r="U1289" s="213" t="str">
        <f t="shared" si="23"/>
        <v>1w</v>
      </c>
      <c r="V1289" s="201">
        <f>_xll.qlCalendarAdvance(Calendar,V1288,U1289,"f",FALSE)</f>
        <v>47815</v>
      </c>
      <c r="W1289" s="225">
        <f>_xll.qlCalendarAdvance(Calendar,V1289,NDays&amp;"D")</f>
        <v>47819</v>
      </c>
      <c r="X1289" s="200">
        <v>2.8959276544854175E-2</v>
      </c>
      <c r="Y1289" s="209">
        <v>2.8932115944053649E-2</v>
      </c>
    </row>
    <row r="1290" spans="21:25" x14ac:dyDescent="0.2">
      <c r="U1290" s="213" t="str">
        <f t="shared" si="23"/>
        <v>1w</v>
      </c>
      <c r="V1290" s="201">
        <f>_xll.qlCalendarAdvance(Calendar,V1289,U1290,"f",FALSE)</f>
        <v>47822</v>
      </c>
      <c r="W1290" s="225">
        <f>_xll.qlCalendarAdvance(Calendar,V1290,NDays&amp;"D")</f>
        <v>47826</v>
      </c>
      <c r="X1290" s="200">
        <v>2.894515128470845E-2</v>
      </c>
      <c r="Y1290" s="209">
        <v>2.8917851725047683E-2</v>
      </c>
    </row>
    <row r="1291" spans="21:25" x14ac:dyDescent="0.2">
      <c r="U1291" s="213" t="str">
        <f t="shared" si="23"/>
        <v>1w</v>
      </c>
      <c r="V1291" s="201">
        <f>_xll.qlCalendarAdvance(Calendar,V1290,U1291,"f",FALSE)</f>
        <v>47829</v>
      </c>
      <c r="W1291" s="225">
        <f>_xll.qlCalendarAdvance(Calendar,V1291,NDays&amp;"D")</f>
        <v>47833</v>
      </c>
      <c r="X1291" s="200">
        <v>2.8931052931052949E-2</v>
      </c>
      <c r="Y1291" s="209">
        <v>2.8903613929305294E-2</v>
      </c>
    </row>
    <row r="1292" spans="21:25" x14ac:dyDescent="0.2">
      <c r="U1292" s="213" t="str">
        <f t="shared" si="23"/>
        <v>1w</v>
      </c>
      <c r="V1292" s="201">
        <f>_xll.qlCalendarAdvance(Calendar,V1291,U1292,"f",FALSE)</f>
        <v>47836</v>
      </c>
      <c r="W1292" s="225">
        <f>_xll.qlCalendarAdvance(Calendar,V1292,NDays&amp;"D")</f>
        <v>47840</v>
      </c>
      <c r="X1292" s="200">
        <v>2.8916981483319774E-2</v>
      </c>
      <c r="Y1292" s="209">
        <v>2.8889402556906418E-2</v>
      </c>
    </row>
    <row r="1293" spans="21:25" x14ac:dyDescent="0.2">
      <c r="U1293" s="213" t="str">
        <f t="shared" si="23"/>
        <v>1w</v>
      </c>
      <c r="V1293" s="201">
        <f>_xll.qlCalendarAdvance(Calendar,V1292,U1293,"f",FALSE)</f>
        <v>47844</v>
      </c>
      <c r="W1293" s="225">
        <f>_xll.qlCalendarAdvance(Calendar,V1293,NDays&amp;"D")</f>
        <v>47848</v>
      </c>
      <c r="X1293" s="200">
        <v>2.8900771986211177E-2</v>
      </c>
      <c r="Y1293" s="209">
        <v>2.8873339262731612E-2</v>
      </c>
    </row>
    <row r="1294" spans="21:25" x14ac:dyDescent="0.2">
      <c r="U1294" s="213" t="str">
        <f t="shared" si="23"/>
        <v>1w</v>
      </c>
      <c r="V1294" s="201">
        <f>_xll.qlCalendarAdvance(Calendar,V1293,U1294,"f",FALSE)</f>
        <v>47851</v>
      </c>
      <c r="W1294" s="225">
        <f>_xll.qlCalendarAdvance(Calendar,V1294,NDays&amp;"D")</f>
        <v>47855</v>
      </c>
      <c r="X1294" s="200">
        <v>2.8886757387211647E-2</v>
      </c>
      <c r="Y1294" s="209">
        <v>2.8859038592523589E-2</v>
      </c>
    </row>
    <row r="1295" spans="21:25" x14ac:dyDescent="0.2">
      <c r="U1295" s="213" t="str">
        <f t="shared" si="23"/>
        <v>1w</v>
      </c>
      <c r="V1295" s="201">
        <f>_xll.qlCalendarAdvance(Calendar,V1294,U1295,"f",FALSE)</f>
        <v>47858</v>
      </c>
      <c r="W1295" s="225">
        <f>_xll.qlCalendarAdvance(Calendar,V1295,NDays&amp;"D")</f>
        <v>47862</v>
      </c>
      <c r="X1295" s="200">
        <v>2.8872769689724732E-2</v>
      </c>
      <c r="Y1295" s="209">
        <v>2.8844910264815837E-2</v>
      </c>
    </row>
    <row r="1296" spans="21:25" x14ac:dyDescent="0.2">
      <c r="U1296" s="213" t="str">
        <f t="shared" si="23"/>
        <v>1w</v>
      </c>
      <c r="V1296" s="201">
        <f>_xll.qlCalendarAdvance(Calendar,V1295,U1296,"f",FALSE)</f>
        <v>47865</v>
      </c>
      <c r="W1296" s="225">
        <f>_xll.qlCalendarAdvance(Calendar,V1296,NDays&amp;"D")</f>
        <v>47869</v>
      </c>
      <c r="X1296" s="200">
        <v>2.8858808893193536E-2</v>
      </c>
      <c r="Y1296" s="209">
        <v>2.8830808360451599E-2</v>
      </c>
    </row>
    <row r="1297" spans="21:25" x14ac:dyDescent="0.2">
      <c r="U1297" s="213" t="str">
        <f t="shared" si="23"/>
        <v>1w</v>
      </c>
      <c r="V1297" s="201">
        <f>_xll.qlCalendarAdvance(Calendar,V1296,U1297,"f",FALSE)</f>
        <v>47872</v>
      </c>
      <c r="W1297" s="225">
        <f>_xll.qlCalendarAdvance(Calendar,V1297,NDays&amp;"D")</f>
        <v>47876</v>
      </c>
      <c r="X1297" s="200">
        <v>2.8844874997059389E-2</v>
      </c>
      <c r="Y1297" s="209">
        <v>2.8816732879350937E-2</v>
      </c>
    </row>
    <row r="1298" spans="21:25" x14ac:dyDescent="0.2">
      <c r="U1298" s="213" t="str">
        <f t="shared" si="23"/>
        <v>1w</v>
      </c>
      <c r="V1298" s="201">
        <f>_xll.qlCalendarAdvance(Calendar,V1297,U1298,"f",FALSE)</f>
        <v>47879</v>
      </c>
      <c r="W1298" s="225">
        <f>_xll.qlCalendarAdvance(Calendar,V1298,NDays&amp;"D")</f>
        <v>47883</v>
      </c>
      <c r="X1298" s="200">
        <v>2.8830968000767593E-2</v>
      </c>
      <c r="Y1298" s="209">
        <v>2.8802683821593789E-2</v>
      </c>
    </row>
    <row r="1299" spans="21:25" x14ac:dyDescent="0.2">
      <c r="U1299" s="213" t="str">
        <f t="shared" si="23"/>
        <v>1w</v>
      </c>
      <c r="V1299" s="201">
        <f>_xll.qlCalendarAdvance(Calendar,V1298,U1299,"f",FALSE)</f>
        <v>47886</v>
      </c>
      <c r="W1299" s="225">
        <f>_xll.qlCalendarAdvance(Calendar,V1299,NDays&amp;"D")</f>
        <v>47890</v>
      </c>
      <c r="X1299" s="200">
        <v>2.8817087903762573E-2</v>
      </c>
      <c r="Y1299" s="209">
        <v>2.8788661187100217E-2</v>
      </c>
    </row>
    <row r="1300" spans="21:25" x14ac:dyDescent="0.2">
      <c r="U1300" s="213" t="str">
        <f t="shared" si="23"/>
        <v>1w</v>
      </c>
      <c r="V1300" s="201">
        <f>_xll.qlCalendarAdvance(Calendar,V1299,U1300,"f",FALSE)</f>
        <v>47893</v>
      </c>
      <c r="W1300" s="225">
        <f>_xll.qlCalendarAdvance(Calendar,V1300,NDays&amp;"D")</f>
        <v>47897</v>
      </c>
      <c r="X1300" s="200">
        <v>2.8803234705491405E-2</v>
      </c>
      <c r="Y1300" s="209">
        <v>2.8774664975870223E-2</v>
      </c>
    </row>
    <row r="1301" spans="21:25" x14ac:dyDescent="0.2">
      <c r="U1301" s="213" t="str">
        <f t="shared" ref="U1301:U1364" si="24">U1300</f>
        <v>1w</v>
      </c>
      <c r="V1301" s="201">
        <f>_xll.qlCalendarAdvance(Calendar,V1300,U1301,"f",FALSE)</f>
        <v>47900</v>
      </c>
      <c r="W1301" s="225">
        <f>_xll.qlCalendarAdvance(Calendar,V1301,NDays&amp;"D")</f>
        <v>47904</v>
      </c>
      <c r="X1301" s="200">
        <v>2.8789408405400712E-2</v>
      </c>
      <c r="Y1301" s="209">
        <v>2.8760695187983742E-2</v>
      </c>
    </row>
    <row r="1302" spans="21:25" x14ac:dyDescent="0.2">
      <c r="U1302" s="213" t="str">
        <f t="shared" si="24"/>
        <v>1w</v>
      </c>
      <c r="V1302" s="201">
        <f>_xll.qlCalendarAdvance(Calendar,V1301,U1302,"f",FALSE)</f>
        <v>47907</v>
      </c>
      <c r="W1302" s="225">
        <f>_xll.qlCalendarAdvance(Calendar,V1302,NDays&amp;"D")</f>
        <v>47911</v>
      </c>
      <c r="X1302" s="200">
        <v>2.87761136491533E-2</v>
      </c>
      <c r="Y1302" s="209">
        <v>2.8746751823360839E-2</v>
      </c>
    </row>
    <row r="1303" spans="21:25" x14ac:dyDescent="0.2">
      <c r="U1303" s="213" t="str">
        <f t="shared" si="24"/>
        <v>1w</v>
      </c>
      <c r="V1303" s="201">
        <f>_xll.qlCalendarAdvance(Calendar,V1302,U1303,"f",FALSE)</f>
        <v>47914</v>
      </c>
      <c r="W1303" s="225">
        <f>_xll.qlCalendarAdvance(Calendar,V1303,NDays&amp;"D")</f>
        <v>47918</v>
      </c>
      <c r="X1303" s="200">
        <v>2.8762343630340276E-2</v>
      </c>
      <c r="Y1303" s="209">
        <v>2.8732834882161384E-2</v>
      </c>
    </row>
    <row r="1304" spans="21:25" x14ac:dyDescent="0.2">
      <c r="U1304" s="213" t="str">
        <f t="shared" si="24"/>
        <v>1w</v>
      </c>
      <c r="V1304" s="201">
        <f>_xll.qlCalendarAdvance(Calendar,V1303,U1304,"f",FALSE)</f>
        <v>47921</v>
      </c>
      <c r="W1304" s="225">
        <f>_xll.qlCalendarAdvance(Calendar,V1304,NDays&amp;"D")</f>
        <v>47925</v>
      </c>
      <c r="X1304" s="200">
        <v>2.8748600515893376E-2</v>
      </c>
      <c r="Y1304" s="209">
        <v>2.8718944364145571E-2</v>
      </c>
    </row>
    <row r="1305" spans="21:25" x14ac:dyDescent="0.2">
      <c r="U1305" s="213" t="str">
        <f t="shared" si="24"/>
        <v>1w</v>
      </c>
      <c r="V1305" s="201">
        <f>_xll.qlCalendarAdvance(Calendar,V1304,U1305,"f",FALSE)</f>
        <v>47928</v>
      </c>
      <c r="W1305" s="225">
        <f>_xll.qlCalendarAdvance(Calendar,V1305,NDays&amp;"D")</f>
        <v>47932</v>
      </c>
      <c r="X1305" s="200">
        <v>2.8734884305255226E-2</v>
      </c>
      <c r="Y1305" s="209">
        <v>2.8705080269393335E-2</v>
      </c>
    </row>
    <row r="1306" spans="21:25" x14ac:dyDescent="0.2">
      <c r="U1306" s="213" t="str">
        <f t="shared" si="24"/>
        <v>1w</v>
      </c>
      <c r="V1306" s="201">
        <f>_xll.qlCalendarAdvance(Calendar,V1305,U1306,"f",FALSE)</f>
        <v>47935</v>
      </c>
      <c r="W1306" s="225">
        <f>_xll.qlCalendarAdvance(Calendar,V1306,NDays&amp;"D")</f>
        <v>47939</v>
      </c>
      <c r="X1306" s="200">
        <v>2.8721023361713335E-2</v>
      </c>
      <c r="Y1306" s="209">
        <v>2.8691242597904676E-2</v>
      </c>
    </row>
    <row r="1307" spans="21:25" x14ac:dyDescent="0.2">
      <c r="U1307" s="213" t="str">
        <f t="shared" si="24"/>
        <v>1w</v>
      </c>
      <c r="V1307" s="201">
        <f>_xll.qlCalendarAdvance(Calendar,V1306,U1307,"f",FALSE)</f>
        <v>47942</v>
      </c>
      <c r="W1307" s="225">
        <f>_xll.qlCalendarAdvance(Calendar,V1307,NDays&amp;"D")</f>
        <v>47946</v>
      </c>
      <c r="X1307" s="200">
        <v>2.8707360117448816E-2</v>
      </c>
      <c r="Y1307" s="209">
        <v>2.867743134975953E-2</v>
      </c>
    </row>
    <row r="1308" spans="21:25" x14ac:dyDescent="0.2">
      <c r="U1308" s="213" t="str">
        <f t="shared" si="24"/>
        <v>1w</v>
      </c>
      <c r="V1308" s="201">
        <f>_xll.qlCalendarAdvance(Calendar,V1307,U1308,"f",FALSE)</f>
        <v>47953</v>
      </c>
      <c r="W1308" s="225">
        <f>_xll.qlCalendarAdvance(Calendar,V1308,NDays&amp;"D")</f>
        <v>47955</v>
      </c>
      <c r="X1308" s="200">
        <v>2.8689832614890835E-2</v>
      </c>
      <c r="Y1308" s="209">
        <v>2.8659712856766717E-2</v>
      </c>
    </row>
    <row r="1309" spans="21:25" x14ac:dyDescent="0.2">
      <c r="U1309" s="213" t="str">
        <f t="shared" si="24"/>
        <v>1w</v>
      </c>
      <c r="V1309" s="201">
        <f>_xll.qlCalendarAdvance(Calendar,V1308,U1309,"f",FALSE)</f>
        <v>47960</v>
      </c>
      <c r="W1309" s="225">
        <f>_xll.qlCalendarAdvance(Calendar,V1309,NDays&amp;"D")</f>
        <v>47962</v>
      </c>
      <c r="X1309" s="200">
        <v>2.8676230854487814E-2</v>
      </c>
      <c r="Y1309" s="209">
        <v>2.864596200454983E-2</v>
      </c>
    </row>
    <row r="1310" spans="21:25" x14ac:dyDescent="0.2">
      <c r="U1310" s="213" t="str">
        <f t="shared" si="24"/>
        <v>1w</v>
      </c>
      <c r="V1310" s="201">
        <f>_xll.qlCalendarAdvance(Calendar,V1309,U1310,"f",FALSE)</f>
        <v>47967</v>
      </c>
      <c r="W1310" s="225">
        <f>_xll.qlCalendarAdvance(Calendar,V1310,NDays&amp;"D")</f>
        <v>47970</v>
      </c>
      <c r="X1310" s="200">
        <v>2.8661069761095725E-2</v>
      </c>
      <c r="Y1310" s="209">
        <v>2.8630598016947673E-2</v>
      </c>
    </row>
    <row r="1311" spans="21:25" x14ac:dyDescent="0.2">
      <c r="U1311" s="213" t="str">
        <f t="shared" si="24"/>
        <v>1w</v>
      </c>
      <c r="V1311" s="201">
        <f>_xll.qlCalendarAdvance(Calendar,V1310,U1311,"f",FALSE)</f>
        <v>47974</v>
      </c>
      <c r="W1311" s="225">
        <f>_xll.qlCalendarAdvance(Calendar,V1311,NDays&amp;"D")</f>
        <v>47976</v>
      </c>
      <c r="X1311" s="200">
        <v>2.8649636611726217E-2</v>
      </c>
      <c r="Y1311" s="209">
        <v>2.8618539570066659E-2</v>
      </c>
    </row>
    <row r="1312" spans="21:25" x14ac:dyDescent="0.2">
      <c r="U1312" s="213" t="str">
        <f t="shared" si="24"/>
        <v>1w</v>
      </c>
      <c r="V1312" s="201">
        <f>_xll.qlCalendarAdvance(Calendar,V1311,U1312,"f",FALSE)</f>
        <v>47981</v>
      </c>
      <c r="W1312" s="225">
        <f>_xll.qlCalendarAdvance(Calendar,V1312,NDays&amp;"D")</f>
        <v>47983</v>
      </c>
      <c r="X1312" s="200">
        <v>2.8636118105267446E-2</v>
      </c>
      <c r="Y1312" s="209">
        <v>2.8604867987720439E-2</v>
      </c>
    </row>
    <row r="1313" spans="21:25" x14ac:dyDescent="0.2">
      <c r="U1313" s="213" t="str">
        <f t="shared" si="24"/>
        <v>1w</v>
      </c>
      <c r="V1313" s="201">
        <f>_xll.qlCalendarAdvance(Calendar,V1312,U1313,"f",FALSE)</f>
        <v>47988</v>
      </c>
      <c r="W1313" s="225">
        <f>_xll.qlCalendarAdvance(Calendar,V1313,NDays&amp;"D")</f>
        <v>47990</v>
      </c>
      <c r="X1313" s="200">
        <v>2.8622626503209535E-2</v>
      </c>
      <c r="Y1313" s="209">
        <v>2.8591222828717733E-2</v>
      </c>
    </row>
    <row r="1314" spans="21:25" x14ac:dyDescent="0.2">
      <c r="U1314" s="213" t="str">
        <f t="shared" si="24"/>
        <v>1w</v>
      </c>
      <c r="V1314" s="201">
        <f>_xll.qlCalendarAdvance(Calendar,V1313,U1314,"f",FALSE)</f>
        <v>47995</v>
      </c>
      <c r="W1314" s="225">
        <f>_xll.qlCalendarAdvance(Calendar,V1314,NDays&amp;"D")</f>
        <v>47997</v>
      </c>
      <c r="X1314" s="200">
        <v>2.8608625515844716E-2</v>
      </c>
      <c r="Y1314" s="209">
        <v>2.8577604092898667E-2</v>
      </c>
    </row>
    <row r="1315" spans="21:25" x14ac:dyDescent="0.2">
      <c r="U1315" s="213" t="str">
        <f t="shared" si="24"/>
        <v>1w</v>
      </c>
      <c r="V1315" s="201">
        <f>_xll.qlCalendarAdvance(Calendar,V1314,U1315,"f",FALSE)</f>
        <v>48002</v>
      </c>
      <c r="W1315" s="225">
        <f>_xll.qlCalendarAdvance(Calendar,V1315,NDays&amp;"D")</f>
        <v>48004</v>
      </c>
      <c r="X1315" s="200">
        <v>2.8595185136972786E-2</v>
      </c>
      <c r="Y1315" s="209">
        <v>2.8564011780263243E-2</v>
      </c>
    </row>
    <row r="1316" spans="21:25" x14ac:dyDescent="0.2">
      <c r="U1316" s="213" t="str">
        <f t="shared" si="24"/>
        <v>1w</v>
      </c>
      <c r="V1316" s="201">
        <f>_xll.qlCalendarAdvance(Calendar,V1315,U1316,"f",FALSE)</f>
        <v>48009</v>
      </c>
      <c r="W1316" s="225">
        <f>_xll.qlCalendarAdvance(Calendar,V1316,NDays&amp;"D")</f>
        <v>48011</v>
      </c>
      <c r="X1316" s="200">
        <v>2.8581771653119092E-2</v>
      </c>
      <c r="Y1316" s="209">
        <v>2.8550445890971332E-2</v>
      </c>
    </row>
    <row r="1317" spans="21:25" x14ac:dyDescent="0.2">
      <c r="U1317" s="213" t="str">
        <f t="shared" si="24"/>
        <v>1w</v>
      </c>
      <c r="V1317" s="201">
        <f>_xll.qlCalendarAdvance(Calendar,V1316,U1317,"f",FALSE)</f>
        <v>48016</v>
      </c>
      <c r="W1317" s="225">
        <f>_xll.qlCalendarAdvance(Calendar,V1317,NDays&amp;"D")</f>
        <v>48018</v>
      </c>
      <c r="X1317" s="200">
        <v>2.8568385063741986E-2</v>
      </c>
      <c r="Y1317" s="209">
        <v>2.8536906424863062E-2</v>
      </c>
    </row>
    <row r="1318" spans="21:25" x14ac:dyDescent="0.2">
      <c r="U1318" s="213" t="str">
        <f t="shared" si="24"/>
        <v>1w</v>
      </c>
      <c r="V1318" s="201">
        <f>_xll.qlCalendarAdvance(Calendar,V1317,U1318,"f",FALSE)</f>
        <v>48023</v>
      </c>
      <c r="W1318" s="225">
        <f>_xll.qlCalendarAdvance(Calendar,V1318,NDays&amp;"D")</f>
        <v>48025</v>
      </c>
      <c r="X1318" s="200">
        <v>2.8555572039615389E-2</v>
      </c>
      <c r="Y1318" s="209">
        <v>2.8523393382018369E-2</v>
      </c>
    </row>
    <row r="1319" spans="21:25" x14ac:dyDescent="0.2">
      <c r="U1319" s="213" t="str">
        <f t="shared" si="24"/>
        <v>1w</v>
      </c>
      <c r="V1319" s="201">
        <f>_xll.qlCalendarAdvance(Calendar,V1318,U1319,"f",FALSE)</f>
        <v>48030</v>
      </c>
      <c r="W1319" s="225">
        <f>_xll.qlCalendarAdvance(Calendar,V1319,NDays&amp;"D")</f>
        <v>48032</v>
      </c>
      <c r="X1319" s="200">
        <v>2.8542241852387365E-2</v>
      </c>
      <c r="Y1319" s="209">
        <v>2.8509906762437254E-2</v>
      </c>
    </row>
    <row r="1320" spans="21:25" x14ac:dyDescent="0.2">
      <c r="U1320" s="213" t="str">
        <f t="shared" si="24"/>
        <v>1w</v>
      </c>
      <c r="V1320" s="201">
        <f>_xll.qlCalendarAdvance(Calendar,V1319,U1320,"f",FALSE)</f>
        <v>48037</v>
      </c>
      <c r="W1320" s="225">
        <f>_xll.qlCalendarAdvance(Calendar,V1320,NDays&amp;"D")</f>
        <v>48039</v>
      </c>
      <c r="X1320" s="200">
        <v>2.8528938565711665E-2</v>
      </c>
      <c r="Y1320" s="209">
        <v>2.8496446566039779E-2</v>
      </c>
    </row>
    <row r="1321" spans="21:25" x14ac:dyDescent="0.2">
      <c r="U1321" s="213" t="str">
        <f t="shared" si="24"/>
        <v>1w</v>
      </c>
      <c r="V1321" s="201">
        <f>_xll.qlCalendarAdvance(Calendar,V1320,U1321,"f",FALSE)</f>
        <v>48044</v>
      </c>
      <c r="W1321" s="225">
        <f>_xll.qlCalendarAdvance(Calendar,V1321,NDays&amp;"D")</f>
        <v>48046</v>
      </c>
      <c r="X1321" s="200">
        <v>2.8515662179043347E-2</v>
      </c>
      <c r="Y1321" s="209">
        <v>2.8483012792985818E-2</v>
      </c>
    </row>
    <row r="1322" spans="21:25" x14ac:dyDescent="0.2">
      <c r="U1322" s="213" t="str">
        <f t="shared" si="24"/>
        <v>1w</v>
      </c>
      <c r="V1322" s="201">
        <f>_xll.qlCalendarAdvance(Calendar,V1321,U1322,"f",FALSE)</f>
        <v>48051</v>
      </c>
      <c r="W1322" s="225">
        <f>_xll.qlCalendarAdvance(Calendar,V1322,NDays&amp;"D")</f>
        <v>48053</v>
      </c>
      <c r="X1322" s="200">
        <v>2.8502412691837474E-2</v>
      </c>
      <c r="Y1322" s="209">
        <v>2.8469605443035562E-2</v>
      </c>
    </row>
    <row r="1323" spans="21:25" x14ac:dyDescent="0.2">
      <c r="U1323" s="213" t="str">
        <f t="shared" si="24"/>
        <v>1w</v>
      </c>
      <c r="V1323" s="201">
        <f>_xll.qlCalendarAdvance(Calendar,V1322,U1323,"f",FALSE)</f>
        <v>48058</v>
      </c>
      <c r="W1323" s="225">
        <f>_xll.qlCalendarAdvance(Calendar,V1323,NDays&amp;"D")</f>
        <v>48060</v>
      </c>
      <c r="X1323" s="200">
        <v>2.8488630281335716E-2</v>
      </c>
      <c r="Y1323" s="209">
        <v>2.8456224516348883E-2</v>
      </c>
    </row>
    <row r="1324" spans="21:25" x14ac:dyDescent="0.2">
      <c r="U1324" s="213" t="str">
        <f t="shared" si="24"/>
        <v>1w</v>
      </c>
      <c r="V1324" s="201">
        <f>_xll.qlCalendarAdvance(Calendar,V1323,U1324,"f",FALSE)</f>
        <v>48065</v>
      </c>
      <c r="W1324" s="225">
        <f>_xll.qlCalendarAdvance(Calendar,V1324,NDays&amp;"D")</f>
        <v>48067</v>
      </c>
      <c r="X1324" s="200">
        <v>2.8475994413642746E-2</v>
      </c>
      <c r="Y1324" s="209">
        <v>2.8442870013005717E-2</v>
      </c>
    </row>
    <row r="1325" spans="21:25" x14ac:dyDescent="0.2">
      <c r="U1325" s="213" t="str">
        <f t="shared" si="24"/>
        <v>1w</v>
      </c>
      <c r="V1325" s="201">
        <f>_xll.qlCalendarAdvance(Calendar,V1324,U1325,"f",FALSE)</f>
        <v>48072</v>
      </c>
      <c r="W1325" s="225">
        <f>_xll.qlCalendarAdvance(Calendar,V1325,NDays&amp;"D")</f>
        <v>48074</v>
      </c>
      <c r="X1325" s="200">
        <v>2.8462825621569598E-2</v>
      </c>
      <c r="Y1325" s="209">
        <v>2.842954193268632E-2</v>
      </c>
    </row>
    <row r="1326" spans="21:25" x14ac:dyDescent="0.2">
      <c r="U1326" s="213" t="str">
        <f t="shared" si="24"/>
        <v>1w</v>
      </c>
      <c r="V1326" s="201">
        <f>_xll.qlCalendarAdvance(Calendar,V1325,U1326,"f",FALSE)</f>
        <v>48079</v>
      </c>
      <c r="W1326" s="225">
        <f>_xll.qlCalendarAdvance(Calendar,V1326,NDays&amp;"D")</f>
        <v>48081</v>
      </c>
      <c r="X1326" s="200">
        <v>2.84496837267946E-2</v>
      </c>
      <c r="Y1326" s="209">
        <v>2.8416240275790372E-2</v>
      </c>
    </row>
    <row r="1327" spans="21:25" x14ac:dyDescent="0.2">
      <c r="U1327" s="213" t="str">
        <f t="shared" si="24"/>
        <v>1w</v>
      </c>
      <c r="V1327" s="201">
        <f>_xll.qlCalendarAdvance(Calendar,V1326,U1327,"f",FALSE)</f>
        <v>48086</v>
      </c>
      <c r="W1327" s="225">
        <f>_xll.qlCalendarAdvance(Calendar,V1327,NDays&amp;"D")</f>
        <v>48088</v>
      </c>
      <c r="X1327" s="200">
        <v>2.8435998247953214E-2</v>
      </c>
      <c r="Y1327" s="209">
        <v>2.8402965041918193E-2</v>
      </c>
    </row>
    <row r="1328" spans="21:25" x14ac:dyDescent="0.2">
      <c r="U1328" s="213" t="str">
        <f t="shared" si="24"/>
        <v>1w</v>
      </c>
      <c r="V1328" s="201">
        <f>_xll.qlCalendarAdvance(Calendar,V1327,U1328,"f",FALSE)</f>
        <v>48093</v>
      </c>
      <c r="W1328" s="225">
        <f>_xll.qlCalendarAdvance(Calendar,V1328,NDays&amp;"D")</f>
        <v>48095</v>
      </c>
      <c r="X1328" s="200">
        <v>2.8422716599717183E-2</v>
      </c>
      <c r="Y1328" s="209">
        <v>2.8389716231309592E-2</v>
      </c>
    </row>
    <row r="1329" spans="21:25" x14ac:dyDescent="0.2">
      <c r="U1329" s="213" t="str">
        <f t="shared" si="24"/>
        <v>1w</v>
      </c>
      <c r="V1329" s="201">
        <f>_xll.qlCalendarAdvance(Calendar,V1328,U1329,"f",FALSE)</f>
        <v>48100</v>
      </c>
      <c r="W1329" s="225">
        <f>_xll.qlCalendarAdvance(Calendar,V1329,NDays&amp;"D")</f>
        <v>48102</v>
      </c>
      <c r="X1329" s="200">
        <v>2.84096518057101E-2</v>
      </c>
      <c r="Y1329" s="209">
        <v>2.8376493843964568E-2</v>
      </c>
    </row>
    <row r="1330" spans="21:25" x14ac:dyDescent="0.2">
      <c r="U1330" s="213" t="str">
        <f t="shared" si="24"/>
        <v>1w</v>
      </c>
      <c r="V1330" s="201">
        <f>_xll.qlCalendarAdvance(Calendar,V1329,U1330,"f",FALSE)</f>
        <v>48107</v>
      </c>
      <c r="W1330" s="225">
        <f>_xll.qlCalendarAdvance(Calendar,V1330,NDays&amp;"D")</f>
        <v>48109</v>
      </c>
      <c r="X1330" s="200">
        <v>2.8396613896710204E-2</v>
      </c>
      <c r="Y1330" s="209">
        <v>2.8363297879803184E-2</v>
      </c>
    </row>
    <row r="1331" spans="21:25" x14ac:dyDescent="0.2">
      <c r="U1331" s="213" t="str">
        <f t="shared" si="24"/>
        <v>1w</v>
      </c>
      <c r="V1331" s="201">
        <f>_xll.qlCalendarAdvance(Calendar,V1330,U1331,"f",FALSE)</f>
        <v>48114</v>
      </c>
      <c r="W1331" s="225">
        <f>_xll.qlCalendarAdvance(Calendar,V1331,NDays&amp;"D")</f>
        <v>48116</v>
      </c>
      <c r="X1331" s="200">
        <v>2.8383602872193957E-2</v>
      </c>
      <c r="Y1331" s="209">
        <v>2.8350128338905378E-2</v>
      </c>
    </row>
    <row r="1332" spans="21:25" x14ac:dyDescent="0.2">
      <c r="U1332" s="213" t="str">
        <f t="shared" si="24"/>
        <v>1w</v>
      </c>
      <c r="V1332" s="201">
        <f>_xll.qlCalendarAdvance(Calendar,V1331,U1332,"f",FALSE)</f>
        <v>48121</v>
      </c>
      <c r="W1332" s="225">
        <f>_xll.qlCalendarAdvance(Calendar,V1332,NDays&amp;"D")</f>
        <v>48123</v>
      </c>
      <c r="X1332" s="200">
        <v>2.8370813195736911E-2</v>
      </c>
      <c r="Y1332" s="209">
        <v>2.8336985221111277E-2</v>
      </c>
    </row>
    <row r="1333" spans="21:25" x14ac:dyDescent="0.2">
      <c r="U1333" s="213" t="str">
        <f t="shared" si="24"/>
        <v>1w</v>
      </c>
      <c r="V1333" s="201">
        <f>_xll.qlCalendarAdvance(Calendar,V1332,U1333,"f",FALSE)</f>
        <v>48128</v>
      </c>
      <c r="W1333" s="225">
        <f>_xll.qlCalendarAdvance(Calendar,V1333,NDays&amp;"D")</f>
        <v>48130</v>
      </c>
      <c r="X1333" s="200">
        <v>2.8357856845295432E-2</v>
      </c>
      <c r="Y1333" s="209">
        <v>2.8323868526580753E-2</v>
      </c>
    </row>
    <row r="1334" spans="21:25" x14ac:dyDescent="0.2">
      <c r="U1334" s="213" t="str">
        <f t="shared" si="24"/>
        <v>1w</v>
      </c>
      <c r="V1334" s="201">
        <f>_xll.qlCalendarAdvance(Calendar,V1333,U1334,"f",FALSE)</f>
        <v>48135</v>
      </c>
      <c r="W1334" s="225">
        <f>_xll.qlCalendarAdvance(Calendar,V1334,NDays&amp;"D")</f>
        <v>48137</v>
      </c>
      <c r="X1334" s="200">
        <v>2.8344927380299513E-2</v>
      </c>
      <c r="Y1334" s="209">
        <v>2.831077825523387E-2</v>
      </c>
    </row>
    <row r="1335" spans="21:25" x14ac:dyDescent="0.2">
      <c r="U1335" s="213" t="str">
        <f t="shared" si="24"/>
        <v>1w</v>
      </c>
      <c r="V1335" s="201">
        <f>_xll.qlCalendarAdvance(Calendar,V1334,U1335,"f",FALSE)</f>
        <v>48142</v>
      </c>
      <c r="W1335" s="225">
        <f>_xll.qlCalendarAdvance(Calendar,V1335,NDays&amp;"D")</f>
        <v>48144</v>
      </c>
      <c r="X1335" s="200">
        <v>2.833202480022674E-2</v>
      </c>
      <c r="Y1335" s="209">
        <v>2.8297714407070629E-2</v>
      </c>
    </row>
    <row r="1336" spans="21:25" x14ac:dyDescent="0.2">
      <c r="U1336" s="213" t="str">
        <f t="shared" si="24"/>
        <v>1w</v>
      </c>
      <c r="V1336" s="201">
        <f>_xll.qlCalendarAdvance(Calendar,V1335,U1336,"f",FALSE)</f>
        <v>48149</v>
      </c>
      <c r="W1336" s="225">
        <f>_xll.qlCalendarAdvance(Calendar,V1336,NDays&amp;"D")</f>
        <v>48151</v>
      </c>
      <c r="X1336" s="200">
        <v>2.8319149104558176E-2</v>
      </c>
      <c r="Y1336" s="209">
        <v>2.8284676982091028E-2</v>
      </c>
    </row>
    <row r="1337" spans="21:25" x14ac:dyDescent="0.2">
      <c r="U1337" s="213" t="str">
        <f t="shared" si="24"/>
        <v>1w</v>
      </c>
      <c r="V1337" s="201">
        <f>_xll.qlCalendarAdvance(Calendar,V1336,U1337,"f",FALSE)</f>
        <v>48156</v>
      </c>
      <c r="W1337" s="225">
        <f>_xll.qlCalendarAdvance(Calendar,V1337,NDays&amp;"D")</f>
        <v>48158</v>
      </c>
      <c r="X1337" s="200">
        <v>2.8306101270096234E-2</v>
      </c>
      <c r="Y1337" s="209">
        <v>2.8271665980215133E-2</v>
      </c>
    </row>
    <row r="1338" spans="21:25" x14ac:dyDescent="0.2">
      <c r="U1338" s="213" t="str">
        <f t="shared" si="24"/>
        <v>1w</v>
      </c>
      <c r="V1338" s="201">
        <f>_xll.qlCalendarAdvance(Calendar,V1337,U1338,"f",FALSE)</f>
        <v>48163</v>
      </c>
      <c r="W1338" s="225">
        <f>_xll.qlCalendarAdvance(Calendar,V1338,NDays&amp;"D")</f>
        <v>48165</v>
      </c>
      <c r="X1338" s="200">
        <v>2.8293278422411468E-2</v>
      </c>
      <c r="Y1338" s="209">
        <v>2.825868140168275E-2</v>
      </c>
    </row>
    <row r="1339" spans="21:25" x14ac:dyDescent="0.2">
      <c r="U1339" s="213" t="str">
        <f t="shared" si="24"/>
        <v>1w</v>
      </c>
      <c r="V1339" s="201">
        <f>_xll.qlCalendarAdvance(Calendar,V1338,U1339,"f",FALSE)</f>
        <v>48170</v>
      </c>
      <c r="W1339" s="225">
        <f>_xll.qlCalendarAdvance(Calendar,V1339,NDays&amp;"D")</f>
        <v>48172</v>
      </c>
      <c r="X1339" s="200">
        <v>2.8280482455065096E-2</v>
      </c>
      <c r="Y1339" s="209">
        <v>2.8245723246254073E-2</v>
      </c>
    </row>
    <row r="1340" spans="21:25" x14ac:dyDescent="0.2">
      <c r="U1340" s="213" t="str">
        <f t="shared" si="24"/>
        <v>1w</v>
      </c>
      <c r="V1340" s="201">
        <f>_xll.qlCalendarAdvance(Calendar,V1339,U1340,"f",FALSE)</f>
        <v>48177</v>
      </c>
      <c r="W1340" s="225">
        <f>_xll.qlCalendarAdvance(Calendar,V1340,NDays&amp;"D")</f>
        <v>48179</v>
      </c>
      <c r="X1340" s="200">
        <v>2.8267713367543683E-2</v>
      </c>
      <c r="Y1340" s="209">
        <v>2.8232791514009037E-2</v>
      </c>
    </row>
    <row r="1341" spans="21:25" x14ac:dyDescent="0.2">
      <c r="U1341" s="213" t="str">
        <f t="shared" si="24"/>
        <v>1w</v>
      </c>
      <c r="V1341" s="201">
        <f>_xll.qlCalendarAdvance(Calendar,V1340,U1341,"f",FALSE)</f>
        <v>48184</v>
      </c>
      <c r="W1341" s="225">
        <f>_xll.qlCalendarAdvance(Calendar,V1341,NDays&amp;"D")</f>
        <v>48186</v>
      </c>
      <c r="X1341" s="200">
        <v>2.825517387412823E-2</v>
      </c>
      <c r="Y1341" s="209">
        <v>2.8219886204947642E-2</v>
      </c>
    </row>
    <row r="1342" spans="21:25" x14ac:dyDescent="0.2">
      <c r="U1342" s="213" t="str">
        <f t="shared" si="24"/>
        <v>1w</v>
      </c>
      <c r="V1342" s="201">
        <f>_xll.qlCalendarAdvance(Calendar,V1341,U1342,"f",FALSE)</f>
        <v>48191</v>
      </c>
      <c r="W1342" s="225">
        <f>_xll.qlCalendarAdvance(Calendar,V1342,NDays&amp;"D")</f>
        <v>48193</v>
      </c>
      <c r="X1342" s="200">
        <v>2.8242459474012754E-2</v>
      </c>
      <c r="Y1342" s="209">
        <v>2.8207007318989952E-2</v>
      </c>
    </row>
    <row r="1343" spans="21:25" x14ac:dyDescent="0.2">
      <c r="U1343" s="213" t="str">
        <f t="shared" si="24"/>
        <v>1w</v>
      </c>
      <c r="V1343" s="201">
        <f>_xll.qlCalendarAdvance(Calendar,V1342,U1343,"f",FALSE)</f>
        <v>48198</v>
      </c>
      <c r="W1343" s="225">
        <f>_xll.qlCalendarAdvance(Calendar,V1343,NDays&amp;"D")</f>
        <v>48200</v>
      </c>
      <c r="X1343" s="200">
        <v>2.8229771954688204E-2</v>
      </c>
      <c r="Y1343" s="209">
        <v>2.8194154856295839E-2</v>
      </c>
    </row>
    <row r="1344" spans="21:25" x14ac:dyDescent="0.2">
      <c r="U1344" s="213" t="str">
        <f t="shared" si="24"/>
        <v>1w</v>
      </c>
      <c r="V1344" s="201">
        <f>_xll.qlCalendarAdvance(Calendar,V1343,U1344,"f",FALSE)</f>
        <v>48205</v>
      </c>
      <c r="W1344" s="225">
        <f>_xll.qlCalendarAdvance(Calendar,V1344,NDays&amp;"D")</f>
        <v>48211</v>
      </c>
      <c r="X1344" s="200">
        <v>2.8209888733260417E-2</v>
      </c>
      <c r="Y1344" s="209">
        <v>2.8174011514741082E-2</v>
      </c>
    </row>
    <row r="1345" spans="21:25" x14ac:dyDescent="0.2">
      <c r="U1345" s="213" t="str">
        <f t="shared" si="24"/>
        <v>1w</v>
      </c>
      <c r="V1345" s="201">
        <f>_xll.qlCalendarAdvance(Calendar,V1344,U1345,"f",FALSE)</f>
        <v>48212</v>
      </c>
      <c r="W1345" s="225">
        <f>_xll.qlCalendarAdvance(Calendar,V1345,NDays&amp;"D")</f>
        <v>48215</v>
      </c>
      <c r="X1345" s="200">
        <v>2.8202468346881015E-2</v>
      </c>
      <c r="Y1345" s="209">
        <v>2.816708075839891E-2</v>
      </c>
    </row>
    <row r="1346" spans="21:25" x14ac:dyDescent="0.2">
      <c r="U1346" s="213" t="str">
        <f t="shared" si="24"/>
        <v>1w</v>
      </c>
      <c r="V1346" s="201">
        <f>_xll.qlCalendarAdvance(Calendar,V1345,U1346,"f",FALSE)</f>
        <v>48219</v>
      </c>
      <c r="W1346" s="225">
        <f>_xll.qlCalendarAdvance(Calendar,V1346,NDays&amp;"D")</f>
        <v>48221</v>
      </c>
      <c r="X1346" s="200">
        <v>2.8191663290138492E-2</v>
      </c>
      <c r="Y1346" s="209">
        <v>2.8155756007075539E-2</v>
      </c>
    </row>
    <row r="1347" spans="21:25" x14ac:dyDescent="0.2">
      <c r="U1347" s="213" t="str">
        <f t="shared" si="24"/>
        <v>1w</v>
      </c>
      <c r="V1347" s="201">
        <f>_xll.qlCalendarAdvance(Calendar,V1346,U1347,"f",FALSE)</f>
        <v>48226</v>
      </c>
      <c r="W1347" s="225">
        <f>_xll.qlCalendarAdvance(Calendar,V1347,NDays&amp;"D")</f>
        <v>48228</v>
      </c>
      <c r="X1347" s="200">
        <v>2.8179082347112666E-2</v>
      </c>
      <c r="Y1347" s="209">
        <v>2.8143009237036054E-2</v>
      </c>
    </row>
    <row r="1348" spans="21:25" x14ac:dyDescent="0.2">
      <c r="U1348" s="213" t="str">
        <f t="shared" si="24"/>
        <v>1w</v>
      </c>
      <c r="V1348" s="201">
        <f>_xll.qlCalendarAdvance(Calendar,V1347,U1348,"f",FALSE)</f>
        <v>48233</v>
      </c>
      <c r="W1348" s="225">
        <f>_xll.qlCalendarAdvance(Calendar,V1348,NDays&amp;"D")</f>
        <v>48235</v>
      </c>
      <c r="X1348" s="200">
        <v>2.8166528279844723E-2</v>
      </c>
      <c r="Y1348" s="209">
        <v>2.8130288890100275E-2</v>
      </c>
    </row>
    <row r="1349" spans="21:25" x14ac:dyDescent="0.2">
      <c r="U1349" s="213" t="str">
        <f t="shared" si="24"/>
        <v>1w</v>
      </c>
      <c r="V1349" s="201">
        <f>_xll.qlCalendarAdvance(Calendar,V1348,U1349,"f",FALSE)</f>
        <v>48240</v>
      </c>
      <c r="W1349" s="225">
        <f>_xll.qlCalendarAdvance(Calendar,V1349,NDays&amp;"D")</f>
        <v>48242</v>
      </c>
      <c r="X1349" s="200">
        <v>2.8154001087831771E-2</v>
      </c>
      <c r="Y1349" s="209">
        <v>2.8117594966348136E-2</v>
      </c>
    </row>
    <row r="1350" spans="21:25" x14ac:dyDescent="0.2">
      <c r="U1350" s="213" t="str">
        <f t="shared" si="24"/>
        <v>1w</v>
      </c>
      <c r="V1350" s="201">
        <f>_xll.qlCalendarAdvance(Calendar,V1349,U1350,"f",FALSE)</f>
        <v>48247</v>
      </c>
      <c r="W1350" s="225">
        <f>_xll.qlCalendarAdvance(Calendar,V1350,NDays&amp;"D")</f>
        <v>48249</v>
      </c>
      <c r="X1350" s="200">
        <v>2.8141500770570031E-2</v>
      </c>
      <c r="Y1350" s="209">
        <v>2.8104927465699703E-2</v>
      </c>
    </row>
    <row r="1351" spans="21:25" x14ac:dyDescent="0.2">
      <c r="U1351" s="213" t="str">
        <f t="shared" si="24"/>
        <v>1w</v>
      </c>
      <c r="V1351" s="201">
        <f>_xll.qlCalendarAdvance(Calendar,V1350,U1351,"f",FALSE)</f>
        <v>48254</v>
      </c>
      <c r="W1351" s="225">
        <f>_xll.qlCalendarAdvance(Calendar,V1351,NDays&amp;"D")</f>
        <v>48256</v>
      </c>
      <c r="X1351" s="200">
        <v>2.8129027327559248E-2</v>
      </c>
      <c r="Y1351" s="209">
        <v>2.8092286388234911E-2</v>
      </c>
    </row>
    <row r="1352" spans="21:25" x14ac:dyDescent="0.2">
      <c r="U1352" s="213" t="str">
        <f t="shared" si="24"/>
        <v>1w</v>
      </c>
      <c r="V1352" s="201">
        <f>_xll.qlCalendarAdvance(Calendar,V1351,U1352,"f",FALSE)</f>
        <v>48261</v>
      </c>
      <c r="W1352" s="225">
        <f>_xll.qlCalendarAdvance(Calendar,V1352,NDays&amp;"D")</f>
        <v>48263</v>
      </c>
      <c r="X1352" s="200">
        <v>2.8116580758298725E-2</v>
      </c>
      <c r="Y1352" s="209">
        <v>2.8079671733873823E-2</v>
      </c>
    </row>
    <row r="1353" spans="21:25" x14ac:dyDescent="0.2">
      <c r="U1353" s="213" t="str">
        <f t="shared" si="24"/>
        <v>1w</v>
      </c>
      <c r="V1353" s="201">
        <f>_xll.qlCalendarAdvance(Calendar,V1352,U1353,"f",FALSE)</f>
        <v>48268</v>
      </c>
      <c r="W1353" s="225">
        <f>_xll.qlCalendarAdvance(Calendar,V1353,NDays&amp;"D")</f>
        <v>48270</v>
      </c>
      <c r="X1353" s="200">
        <v>2.8104161062289079E-2</v>
      </c>
      <c r="Y1353" s="209">
        <v>2.8067083502856249E-2</v>
      </c>
    </row>
    <row r="1354" spans="21:25" x14ac:dyDescent="0.2">
      <c r="U1354" s="213" t="str">
        <f t="shared" si="24"/>
        <v>1w</v>
      </c>
      <c r="V1354" s="201">
        <f>_xll.qlCalendarAdvance(Calendar,V1353,U1354,"f",FALSE)</f>
        <v>48275</v>
      </c>
      <c r="W1354" s="225">
        <f>_xll.qlCalendarAdvance(Calendar,V1354,NDays&amp;"D")</f>
        <v>48277</v>
      </c>
      <c r="X1354" s="200">
        <v>2.8092628818334239E-2</v>
      </c>
      <c r="Y1354" s="209">
        <v>2.8054521694622636E-2</v>
      </c>
    </row>
    <row r="1355" spans="21:25" x14ac:dyDescent="0.2">
      <c r="U1355" s="213" t="str">
        <f t="shared" si="24"/>
        <v>1w</v>
      </c>
      <c r="V1355" s="201">
        <f>_xll.qlCalendarAdvance(Calendar,V1354,U1355,"f",FALSE)</f>
        <v>48282</v>
      </c>
      <c r="W1355" s="225">
        <f>_xll.qlCalendarAdvance(Calendar,V1355,NDays&amp;"D")</f>
        <v>48284</v>
      </c>
      <c r="X1355" s="200">
        <v>2.808026671527818E-2</v>
      </c>
      <c r="Y1355" s="209">
        <v>2.8041986309812472E-2</v>
      </c>
    </row>
    <row r="1356" spans="21:25" x14ac:dyDescent="0.2">
      <c r="U1356" s="213" t="str">
        <f t="shared" si="24"/>
        <v>1w</v>
      </c>
      <c r="V1356" s="201">
        <f>_xll.qlCalendarAdvance(Calendar,V1355,U1356,"f",FALSE)</f>
        <v>48289</v>
      </c>
      <c r="W1356" s="225">
        <f>_xll.qlCalendarAdvance(Calendar,V1356,NDays&amp;"D")</f>
        <v>48291</v>
      </c>
      <c r="X1356" s="200">
        <v>2.8067931493835189E-2</v>
      </c>
      <c r="Y1356" s="209">
        <v>2.8029477347946141E-2</v>
      </c>
    </row>
    <row r="1357" spans="21:25" x14ac:dyDescent="0.2">
      <c r="U1357" s="213" t="str">
        <f t="shared" si="24"/>
        <v>1w</v>
      </c>
      <c r="V1357" s="201">
        <f>_xll.qlCalendarAdvance(Calendar,V1356,U1357,"f",FALSE)</f>
        <v>48296</v>
      </c>
      <c r="W1357" s="225">
        <f>_xll.qlCalendarAdvance(Calendar,V1357,NDays&amp;"D")</f>
        <v>48298</v>
      </c>
      <c r="X1357" s="200">
        <v>2.8055623153500717E-2</v>
      </c>
      <c r="Y1357" s="209">
        <v>2.8017793837435079E-2</v>
      </c>
    </row>
    <row r="1358" spans="21:25" x14ac:dyDescent="0.2">
      <c r="U1358" s="213" t="str">
        <f t="shared" si="24"/>
        <v>1w</v>
      </c>
      <c r="V1358" s="201">
        <f>_xll.qlCalendarAdvance(Calendar,V1357,U1358,"f",FALSE)</f>
        <v>48303</v>
      </c>
      <c r="W1358" s="225">
        <f>_xll.qlCalendarAdvance(Calendar,V1358,NDays&amp;"D")</f>
        <v>48305</v>
      </c>
      <c r="X1358" s="200">
        <v>2.8042684514371124E-2</v>
      </c>
      <c r="Y1358" s="209">
        <v>2.8004538693924275E-2</v>
      </c>
    </row>
    <row r="1359" spans="21:25" x14ac:dyDescent="0.2">
      <c r="U1359" s="213" t="str">
        <f t="shared" si="24"/>
        <v>1w</v>
      </c>
      <c r="V1359" s="201">
        <f>_xll.qlCalendarAdvance(Calendar,V1358,U1359,"f",FALSE)</f>
        <v>48310</v>
      </c>
      <c r="W1359" s="225">
        <f>_xll.qlCalendarAdvance(Calendar,V1359,NDays&amp;"D")</f>
        <v>48312</v>
      </c>
      <c r="X1359" s="200">
        <v>2.8030427018848933E-2</v>
      </c>
      <c r="Y1359" s="209">
        <v>2.7992109001528931E-2</v>
      </c>
    </row>
    <row r="1360" spans="21:25" x14ac:dyDescent="0.2">
      <c r="U1360" s="213" t="str">
        <f t="shared" si="24"/>
        <v>1w</v>
      </c>
      <c r="V1360" s="201">
        <f>_xll.qlCalendarAdvance(Calendar,V1359,U1360,"f",FALSE)</f>
        <v>48317</v>
      </c>
      <c r="W1360" s="225">
        <f>_xll.qlCalendarAdvance(Calendar,V1360,NDays&amp;"D")</f>
        <v>48319</v>
      </c>
      <c r="X1360" s="200">
        <v>2.801819639556757E-2</v>
      </c>
      <c r="Y1360" s="209">
        <v>2.7979705732237292E-2</v>
      </c>
    </row>
    <row r="1361" spans="21:25" x14ac:dyDescent="0.2">
      <c r="U1361" s="213" t="str">
        <f t="shared" si="24"/>
        <v>1w</v>
      </c>
      <c r="V1361" s="201">
        <f>_xll.qlCalendarAdvance(Calendar,V1360,U1361,"f",FALSE)</f>
        <v>48324</v>
      </c>
      <c r="W1361" s="225">
        <f>_xll.qlCalendarAdvance(Calendar,V1361,NDays&amp;"D")</f>
        <v>48326</v>
      </c>
      <c r="X1361" s="200">
        <v>2.8005992644032127E-2</v>
      </c>
      <c r="Y1361" s="209">
        <v>2.7967328886049359E-2</v>
      </c>
    </row>
    <row r="1362" spans="21:25" x14ac:dyDescent="0.2">
      <c r="U1362" s="213" t="str">
        <f t="shared" si="24"/>
        <v>1w</v>
      </c>
      <c r="V1362" s="201">
        <f>_xll.qlCalendarAdvance(Calendar,V1361,U1362,"f",FALSE)</f>
        <v>48331</v>
      </c>
      <c r="W1362" s="225">
        <f>_xll.qlCalendarAdvance(Calendar,V1362,NDays&amp;"D")</f>
        <v>48333</v>
      </c>
      <c r="X1362" s="200">
        <v>2.7993815763750759E-2</v>
      </c>
      <c r="Y1362" s="209">
        <v>2.7954978463045066E-2</v>
      </c>
    </row>
    <row r="1363" spans="21:25" x14ac:dyDescent="0.2">
      <c r="U1363" s="213" t="str">
        <f t="shared" si="24"/>
        <v>1w</v>
      </c>
      <c r="V1363" s="201">
        <f>_xll.qlCalendarAdvance(Calendar,V1362,U1363,"f",FALSE)</f>
        <v>48338</v>
      </c>
      <c r="W1363" s="225">
        <f>_xll.qlCalendarAdvance(Calendar,V1363,NDays&amp;"D")</f>
        <v>48340</v>
      </c>
      <c r="X1363" s="200">
        <v>2.7982337586590668E-2</v>
      </c>
      <c r="Y1363" s="209">
        <v>2.7942654463144478E-2</v>
      </c>
    </row>
    <row r="1364" spans="21:25" x14ac:dyDescent="0.2">
      <c r="U1364" s="213" t="str">
        <f t="shared" si="24"/>
        <v>1w</v>
      </c>
      <c r="V1364" s="201">
        <f>_xll.qlCalendarAdvance(Calendar,V1363,U1364,"f",FALSE)</f>
        <v>48345</v>
      </c>
      <c r="W1364" s="225">
        <f>_xll.qlCalendarAdvance(Calendar,V1364,NDays&amp;"D")</f>
        <v>48347</v>
      </c>
      <c r="X1364" s="200">
        <v>2.7970217399948823E-2</v>
      </c>
      <c r="Y1364" s="209">
        <v>2.7930356886347596E-2</v>
      </c>
    </row>
    <row r="1365" spans="21:25" x14ac:dyDescent="0.2">
      <c r="U1365" s="213" t="str">
        <f t="shared" ref="U1365:U1428" si="25">U1364</f>
        <v>1w</v>
      </c>
      <c r="V1365" s="201">
        <f>_xll.qlCalendarAdvance(Calendar,V1364,U1365,"f",FALSE)</f>
        <v>48352</v>
      </c>
      <c r="W1365" s="225">
        <f>_xll.qlCalendarAdvance(Calendar,V1365,NDays&amp;"D")</f>
        <v>48354</v>
      </c>
      <c r="X1365" s="200">
        <v>2.7958124090409243E-2</v>
      </c>
      <c r="Y1365" s="209">
        <v>2.7918085732574482E-2</v>
      </c>
    </row>
    <row r="1366" spans="21:25" x14ac:dyDescent="0.2">
      <c r="U1366" s="213" t="str">
        <f t="shared" si="25"/>
        <v>1w</v>
      </c>
      <c r="V1366" s="201">
        <f>_xll.qlCalendarAdvance(Calendar,V1365,U1366,"f",FALSE)</f>
        <v>48359</v>
      </c>
      <c r="W1366" s="225">
        <f>_xll.qlCalendarAdvance(Calendar,V1366,NDays&amp;"D")</f>
        <v>48361</v>
      </c>
      <c r="X1366" s="200">
        <v>2.7946057657477697E-2</v>
      </c>
      <c r="Y1366" s="209">
        <v>2.7905841002064946E-2</v>
      </c>
    </row>
    <row r="1367" spans="21:25" x14ac:dyDescent="0.2">
      <c r="U1367" s="213" t="str">
        <f t="shared" si="25"/>
        <v>1w</v>
      </c>
      <c r="V1367" s="201">
        <f>_xll.qlCalendarAdvance(Calendar,V1366,U1367,"f",FALSE)</f>
        <v>48366</v>
      </c>
      <c r="W1367" s="225">
        <f>_xll.qlCalendarAdvance(Calendar,V1367,NDays&amp;"D")</f>
        <v>48368</v>
      </c>
      <c r="X1367" s="200">
        <v>2.7933334414009404E-2</v>
      </c>
      <c r="Y1367" s="209">
        <v>2.7893622694499243E-2</v>
      </c>
    </row>
    <row r="1368" spans="21:25" x14ac:dyDescent="0.2">
      <c r="U1368" s="213" t="str">
        <f t="shared" si="25"/>
        <v>1w</v>
      </c>
      <c r="V1368" s="201">
        <f>_xll.qlCalendarAdvance(Calendar,V1367,U1368,"f",FALSE)</f>
        <v>48373</v>
      </c>
      <c r="W1368" s="225">
        <f>_xll.qlCalendarAdvance(Calendar,V1368,NDays&amp;"D")</f>
        <v>48375</v>
      </c>
      <c r="X1368" s="200">
        <v>2.7921318750979168E-2</v>
      </c>
      <c r="Y1368" s="209">
        <v>2.788143081011718E-2</v>
      </c>
    </row>
    <row r="1369" spans="21:25" x14ac:dyDescent="0.2">
      <c r="U1369" s="213" t="str">
        <f t="shared" si="25"/>
        <v>1w</v>
      </c>
      <c r="V1369" s="201">
        <f>_xll.qlCalendarAdvance(Calendar,V1368,U1369,"f",FALSE)</f>
        <v>48380</v>
      </c>
      <c r="W1369" s="225">
        <f>_xll.qlCalendarAdvance(Calendar,V1369,NDays&amp;"D")</f>
        <v>48382</v>
      </c>
      <c r="X1369" s="200">
        <v>2.790932995578891E-2</v>
      </c>
      <c r="Y1369" s="209">
        <v>2.7869265348918759E-2</v>
      </c>
    </row>
    <row r="1370" spans="21:25" x14ac:dyDescent="0.2">
      <c r="U1370" s="213" t="str">
        <f t="shared" si="25"/>
        <v>1w</v>
      </c>
      <c r="V1370" s="201">
        <f>_xll.qlCalendarAdvance(Calendar,V1369,U1370,"f",FALSE)</f>
        <v>48387</v>
      </c>
      <c r="W1370" s="225">
        <f>_xll.qlCalendarAdvance(Calendar,V1370,NDays&amp;"D")</f>
        <v>48389</v>
      </c>
      <c r="X1370" s="200">
        <v>2.7897368027953767E-2</v>
      </c>
      <c r="Y1370" s="209">
        <v>2.7857126310664171E-2</v>
      </c>
    </row>
    <row r="1371" spans="21:25" x14ac:dyDescent="0.2">
      <c r="U1371" s="213" t="str">
        <f t="shared" si="25"/>
        <v>1w</v>
      </c>
      <c r="V1371" s="201">
        <f>_xll.qlCalendarAdvance(Calendar,V1370,U1371,"f",FALSE)</f>
        <v>48394</v>
      </c>
      <c r="W1371" s="225">
        <f>_xll.qlCalendarAdvance(Calendar,V1371,NDays&amp;"D")</f>
        <v>48396</v>
      </c>
      <c r="X1371" s="200">
        <v>2.788612862465327E-2</v>
      </c>
      <c r="Y1371" s="209">
        <v>2.7845013695593224E-2</v>
      </c>
    </row>
    <row r="1372" spans="21:25" x14ac:dyDescent="0.2">
      <c r="U1372" s="213" t="str">
        <f t="shared" si="25"/>
        <v>1w</v>
      </c>
      <c r="V1372" s="201">
        <f>_xll.qlCalendarAdvance(Calendar,V1371,U1372,"f",FALSE)</f>
        <v>48401</v>
      </c>
      <c r="W1372" s="225">
        <f>_xll.qlCalendarAdvance(Calendar,V1372,NDays&amp;"D")</f>
        <v>48403</v>
      </c>
      <c r="X1372" s="200">
        <v>2.7874223441016501E-2</v>
      </c>
      <c r="Y1372" s="209">
        <v>2.7832927503546046E-2</v>
      </c>
    </row>
    <row r="1373" spans="21:25" x14ac:dyDescent="0.2">
      <c r="U1373" s="213" t="str">
        <f t="shared" si="25"/>
        <v>1w</v>
      </c>
      <c r="V1373" s="201">
        <f>_xll.qlCalendarAdvance(Calendar,V1372,U1373,"f",FALSE)</f>
        <v>48408</v>
      </c>
      <c r="W1373" s="225">
        <f>_xll.qlCalendarAdvance(Calendar,V1373,NDays&amp;"D")</f>
        <v>48410</v>
      </c>
      <c r="X1373" s="200">
        <v>2.7862345130547941E-2</v>
      </c>
      <c r="Y1373" s="209">
        <v>2.7820867734762444E-2</v>
      </c>
    </row>
    <row r="1374" spans="21:25" x14ac:dyDescent="0.2">
      <c r="U1374" s="213" t="str">
        <f t="shared" si="25"/>
        <v>1w</v>
      </c>
      <c r="V1374" s="201">
        <f>_xll.qlCalendarAdvance(Calendar,V1373,U1374,"f",FALSE)</f>
        <v>48415</v>
      </c>
      <c r="W1374" s="225">
        <f>_xll.qlCalendarAdvance(Calendar,V1374,NDays&amp;"D")</f>
        <v>48417</v>
      </c>
      <c r="X1374" s="200">
        <v>2.7850493692760235E-2</v>
      </c>
      <c r="Y1374" s="209">
        <v>2.7808834388762804E-2</v>
      </c>
    </row>
    <row r="1375" spans="21:25" x14ac:dyDescent="0.2">
      <c r="U1375" s="213" t="str">
        <f t="shared" si="25"/>
        <v>1w</v>
      </c>
      <c r="V1375" s="201">
        <f>_xll.qlCalendarAdvance(Calendar,V1374,U1375,"f",FALSE)</f>
        <v>48422</v>
      </c>
      <c r="W1375" s="225">
        <f>_xll.qlCalendarAdvance(Calendar,V1375,NDays&amp;"D")</f>
        <v>48424</v>
      </c>
      <c r="X1375" s="200">
        <v>2.7838669127168609E-2</v>
      </c>
      <c r="Y1375" s="209">
        <v>2.7796827466106677E-2</v>
      </c>
    </row>
    <row r="1376" spans="21:25" x14ac:dyDescent="0.2">
      <c r="U1376" s="213" t="str">
        <f t="shared" si="25"/>
        <v>1w</v>
      </c>
      <c r="V1376" s="201">
        <f>_xll.qlCalendarAdvance(Calendar,V1375,U1376,"f",FALSE)</f>
        <v>48429</v>
      </c>
      <c r="W1376" s="225">
        <f>_xll.qlCalendarAdvance(Calendar,V1376,NDays&amp;"D")</f>
        <v>48431</v>
      </c>
      <c r="X1376" s="200">
        <v>2.7826871433287433E-2</v>
      </c>
      <c r="Y1376" s="209">
        <v>2.7784846966394383E-2</v>
      </c>
    </row>
    <row r="1377" spans="21:25" x14ac:dyDescent="0.2">
      <c r="U1377" s="213" t="str">
        <f t="shared" si="25"/>
        <v>1w</v>
      </c>
      <c r="V1377" s="201">
        <f>_xll.qlCalendarAdvance(Calendar,V1376,U1377,"f",FALSE)</f>
        <v>48436</v>
      </c>
      <c r="W1377" s="225">
        <f>_xll.qlCalendarAdvance(Calendar,V1377,NDays&amp;"D")</f>
        <v>48438</v>
      </c>
      <c r="X1377" s="200">
        <v>2.781510061063365E-2</v>
      </c>
      <c r="Y1377" s="209">
        <v>2.7772892889785794E-2</v>
      </c>
    </row>
    <row r="1378" spans="21:25" x14ac:dyDescent="0.2">
      <c r="U1378" s="213" t="str">
        <f t="shared" si="25"/>
        <v>1w</v>
      </c>
      <c r="V1378" s="201">
        <f>_xll.qlCalendarAdvance(Calendar,V1377,U1378,"f",FALSE)</f>
        <v>48443</v>
      </c>
      <c r="W1378" s="225">
        <f>_xll.qlCalendarAdvance(Calendar,V1378,NDays&amp;"D")</f>
        <v>48445</v>
      </c>
      <c r="X1378" s="200">
        <v>2.7803356658724639E-2</v>
      </c>
      <c r="Y1378" s="209">
        <v>2.776096523628091E-2</v>
      </c>
    </row>
    <row r="1379" spans="21:25" x14ac:dyDescent="0.2">
      <c r="U1379" s="213" t="str">
        <f t="shared" si="25"/>
        <v>1w</v>
      </c>
      <c r="V1379" s="201">
        <f>_xll.qlCalendarAdvance(Calendar,V1378,U1379,"f",FALSE)</f>
        <v>48450</v>
      </c>
      <c r="W1379" s="225">
        <f>_xll.qlCalendarAdvance(Calendar,V1379,NDays&amp;"D")</f>
        <v>48452</v>
      </c>
      <c r="X1379" s="200">
        <v>2.7791639577079488E-2</v>
      </c>
      <c r="Y1379" s="209">
        <v>2.7749064005879731E-2</v>
      </c>
    </row>
    <row r="1380" spans="21:25" x14ac:dyDescent="0.2">
      <c r="U1380" s="213" t="str">
        <f t="shared" si="25"/>
        <v>1w</v>
      </c>
      <c r="V1380" s="201">
        <f>_xll.qlCalendarAdvance(Calendar,V1379,U1380,"f",FALSE)</f>
        <v>48457</v>
      </c>
      <c r="W1380" s="225">
        <f>_xll.qlCalendarAdvance(Calendar,V1380,NDays&amp;"D")</f>
        <v>48459</v>
      </c>
      <c r="X1380" s="200">
        <v>2.7778744890562795E-2</v>
      </c>
      <c r="Y1380" s="209">
        <v>2.7737189198502321E-2</v>
      </c>
    </row>
    <row r="1381" spans="21:25" x14ac:dyDescent="0.2">
      <c r="U1381" s="213" t="str">
        <f t="shared" si="25"/>
        <v>1w</v>
      </c>
      <c r="V1381" s="201">
        <f>_xll.qlCalendarAdvance(Calendar,V1380,U1381,"f",FALSE)</f>
        <v>48464</v>
      </c>
      <c r="W1381" s="225">
        <f>_xll.qlCalendarAdvance(Calendar,V1381,NDays&amp;"D")</f>
        <v>48466</v>
      </c>
      <c r="X1381" s="200">
        <v>2.7767076422784052E-2</v>
      </c>
      <c r="Y1381" s="209">
        <v>2.7725340814068744E-2</v>
      </c>
    </row>
    <row r="1382" spans="21:25" x14ac:dyDescent="0.2">
      <c r="U1382" s="213" t="str">
        <f t="shared" si="25"/>
        <v>1w</v>
      </c>
      <c r="V1382" s="201">
        <f>_xll.qlCalendarAdvance(Calendar,V1381,U1382,"f",FALSE)</f>
        <v>48471</v>
      </c>
      <c r="W1382" s="225">
        <f>_xll.qlCalendarAdvance(Calendar,V1382,NDays&amp;"D")</f>
        <v>48473</v>
      </c>
      <c r="X1382" s="200">
        <v>2.7755434811852223E-2</v>
      </c>
      <c r="Y1382" s="209">
        <v>2.7713518852898744E-2</v>
      </c>
    </row>
    <row r="1383" spans="21:25" x14ac:dyDescent="0.2">
      <c r="U1383" s="213" t="str">
        <f t="shared" si="25"/>
        <v>1w</v>
      </c>
      <c r="V1383" s="201">
        <f>_xll.qlCalendarAdvance(Calendar,V1382,U1383,"f",FALSE)</f>
        <v>48478</v>
      </c>
      <c r="W1383" s="225">
        <f>_xll.qlCalendarAdvance(Calendar,V1383,NDays&amp;"D")</f>
        <v>48480</v>
      </c>
      <c r="X1383" s="200">
        <v>2.7743820057302703E-2</v>
      </c>
      <c r="Y1383" s="209">
        <v>2.7701723314672577E-2</v>
      </c>
    </row>
    <row r="1384" spans="21:25" x14ac:dyDescent="0.2">
      <c r="U1384" s="213" t="str">
        <f t="shared" si="25"/>
        <v>1w</v>
      </c>
      <c r="V1384" s="201">
        <f>_xll.qlCalendarAdvance(Calendar,V1383,U1384,"f",FALSE)</f>
        <v>48485</v>
      </c>
      <c r="W1384" s="225">
        <f>_xll.qlCalendarAdvance(Calendar,V1384,NDays&amp;"D")</f>
        <v>48487</v>
      </c>
      <c r="X1384" s="200">
        <v>2.7732476944750284E-2</v>
      </c>
      <c r="Y1384" s="209">
        <v>2.7689954199550115E-2</v>
      </c>
    </row>
    <row r="1385" spans="21:25" x14ac:dyDescent="0.2">
      <c r="U1385" s="213" t="str">
        <f t="shared" si="25"/>
        <v>1w</v>
      </c>
      <c r="V1385" s="201">
        <f>_xll.qlCalendarAdvance(Calendar,V1384,U1385,"f",FALSE)</f>
        <v>48492</v>
      </c>
      <c r="W1385" s="225">
        <f>_xll.qlCalendarAdvance(Calendar,V1385,NDays&amp;"D")</f>
        <v>48494</v>
      </c>
      <c r="X1385" s="200">
        <v>2.7720916935639887E-2</v>
      </c>
      <c r="Y1385" s="209">
        <v>2.7678211507531358E-2</v>
      </c>
    </row>
    <row r="1386" spans="21:25" x14ac:dyDescent="0.2">
      <c r="U1386" s="213" t="str">
        <f t="shared" si="25"/>
        <v>1w</v>
      </c>
      <c r="V1386" s="201">
        <f>_xll.qlCalendarAdvance(Calendar,V1385,U1386,"f",FALSE)</f>
        <v>48499</v>
      </c>
      <c r="W1386" s="225">
        <f>_xll.qlCalendarAdvance(Calendar,V1386,NDays&amp;"D")</f>
        <v>48501</v>
      </c>
      <c r="X1386" s="200">
        <v>2.7709383783910864E-2</v>
      </c>
      <c r="Y1386" s="209">
        <v>2.7666495238456434E-2</v>
      </c>
    </row>
    <row r="1387" spans="21:25" x14ac:dyDescent="0.2">
      <c r="U1387" s="213" t="str">
        <f t="shared" si="25"/>
        <v>1w</v>
      </c>
      <c r="V1387" s="201">
        <f>_xll.qlCalendarAdvance(Calendar,V1386,U1387,"f",FALSE)</f>
        <v>48506</v>
      </c>
      <c r="W1387" s="225">
        <f>_xll.qlCalendarAdvance(Calendar,V1387,NDays&amp;"D")</f>
        <v>48508</v>
      </c>
      <c r="X1387" s="200">
        <v>2.7697877489101609E-2</v>
      </c>
      <c r="Y1387" s="209">
        <v>2.7654805392485216E-2</v>
      </c>
    </row>
    <row r="1388" spans="21:25" x14ac:dyDescent="0.2">
      <c r="U1388" s="213" t="str">
        <f t="shared" si="25"/>
        <v>1w</v>
      </c>
      <c r="V1388" s="201">
        <f>_xll.qlCalendarAdvance(Calendar,V1387,U1388,"f",FALSE)</f>
        <v>48513</v>
      </c>
      <c r="W1388" s="225">
        <f>_xll.qlCalendarAdvance(Calendar,V1388,NDays&amp;"D")</f>
        <v>48515</v>
      </c>
      <c r="X1388" s="200">
        <v>2.7686398050750509E-2</v>
      </c>
      <c r="Y1388" s="209">
        <v>2.7643141969537766E-2</v>
      </c>
    </row>
    <row r="1389" spans="21:25" x14ac:dyDescent="0.2">
      <c r="U1389" s="213" t="str">
        <f t="shared" si="25"/>
        <v>1w</v>
      </c>
      <c r="V1389" s="201">
        <f>_xll.qlCalendarAdvance(Calendar,V1388,U1389,"f",FALSE)</f>
        <v>48520</v>
      </c>
      <c r="W1389" s="225">
        <f>_xll.qlCalendarAdvance(Calendar,V1389,NDays&amp;"D")</f>
        <v>48522</v>
      </c>
      <c r="X1389" s="200">
        <v>2.767469548817238E-2</v>
      </c>
      <c r="Y1389" s="209">
        <v>2.7631504969694021E-2</v>
      </c>
    </row>
    <row r="1390" spans="21:25" x14ac:dyDescent="0.2">
      <c r="U1390" s="213" t="str">
        <f t="shared" si="25"/>
        <v>1w</v>
      </c>
      <c r="V1390" s="201">
        <f>_xll.qlCalendarAdvance(Calendar,V1389,U1390,"f",FALSE)</f>
        <v>48527</v>
      </c>
      <c r="W1390" s="225">
        <f>_xll.qlCalendarAdvance(Calendar,V1390,NDays&amp;"D")</f>
        <v>48529</v>
      </c>
      <c r="X1390" s="200">
        <v>2.766326871539003E-2</v>
      </c>
      <c r="Y1390" s="209">
        <v>2.7619894392794109E-2</v>
      </c>
    </row>
    <row r="1391" spans="21:25" x14ac:dyDescent="0.2">
      <c r="U1391" s="213" t="str">
        <f t="shared" si="25"/>
        <v>1w</v>
      </c>
      <c r="V1391" s="201">
        <f>_xll.qlCalendarAdvance(Calendar,V1390,U1391,"f",FALSE)</f>
        <v>48534</v>
      </c>
      <c r="W1391" s="225">
        <f>_xll.qlCalendarAdvance(Calendar,V1391,NDays&amp;"D")</f>
        <v>48536</v>
      </c>
      <c r="X1391" s="200">
        <v>2.7651868795314258E-2</v>
      </c>
      <c r="Y1391" s="209">
        <v>2.7608310239077838E-2</v>
      </c>
    </row>
    <row r="1392" spans="21:25" x14ac:dyDescent="0.2">
      <c r="U1392" s="213" t="str">
        <f t="shared" si="25"/>
        <v>1w</v>
      </c>
      <c r="V1392" s="201">
        <f>_xll.qlCalendarAdvance(Calendar,V1391,U1392,"f",FALSE)</f>
        <v>48541</v>
      </c>
      <c r="W1392" s="225">
        <f>_xll.qlCalendarAdvance(Calendar,V1392,NDays&amp;"D")</f>
        <v>48543</v>
      </c>
      <c r="X1392" s="200">
        <v>2.7640495727489736E-2</v>
      </c>
      <c r="Y1392" s="209">
        <v>2.7596752508225464E-2</v>
      </c>
    </row>
    <row r="1393" spans="21:25" x14ac:dyDescent="0.2">
      <c r="U1393" s="213" t="str">
        <f t="shared" si="25"/>
        <v>1w</v>
      </c>
      <c r="V1393" s="201">
        <f>_xll.qlCalendarAdvance(Calendar,V1392,U1393,"f",FALSE)</f>
        <v>48548</v>
      </c>
      <c r="W1393" s="225">
        <f>_xll.qlCalendarAdvance(Calendar,V1393,NDays&amp;"D")</f>
        <v>48550</v>
      </c>
      <c r="X1393" s="200">
        <v>2.7629403689791415E-2</v>
      </c>
      <c r="Y1393" s="209">
        <v>2.7585221200636667E-2</v>
      </c>
    </row>
    <row r="1394" spans="21:25" x14ac:dyDescent="0.2">
      <c r="U1394" s="213" t="str">
        <f t="shared" si="25"/>
        <v>1w</v>
      </c>
      <c r="V1394" s="201">
        <f>_xll.qlCalendarAdvance(Calendar,V1393,U1394,"f",FALSE)</f>
        <v>48555</v>
      </c>
      <c r="W1394" s="225">
        <f>_xll.qlCalendarAdvance(Calendar,V1394,NDays&amp;"D")</f>
        <v>48557</v>
      </c>
      <c r="X1394" s="200">
        <v>2.7618085380558717E-2</v>
      </c>
      <c r="Y1394" s="209">
        <v>2.7573716315831831E-2</v>
      </c>
    </row>
    <row r="1395" spans="21:25" x14ac:dyDescent="0.2">
      <c r="U1395" s="213" t="str">
        <f t="shared" si="25"/>
        <v>1w</v>
      </c>
      <c r="V1395" s="201">
        <f>_xll.qlCalendarAdvance(Calendar,V1394,U1395,"f",FALSE)</f>
        <v>48562</v>
      </c>
      <c r="W1395" s="225">
        <f>_xll.qlCalendarAdvance(Calendar,V1395,NDays&amp;"D")</f>
        <v>48564</v>
      </c>
      <c r="X1395" s="200">
        <v>2.7606793924584094E-2</v>
      </c>
      <c r="Y1395" s="209">
        <v>2.7562237854210636E-2</v>
      </c>
    </row>
    <row r="1396" spans="21:25" x14ac:dyDescent="0.2">
      <c r="U1396" s="213" t="str">
        <f t="shared" si="25"/>
        <v>1w</v>
      </c>
      <c r="V1396" s="201">
        <f>_xll.qlCalendarAdvance(Calendar,V1395,U1396,"f",FALSE)</f>
        <v>48569</v>
      </c>
      <c r="W1396" s="225">
        <f>_xll.qlCalendarAdvance(Calendar,V1396,NDays&amp;"D")</f>
        <v>48571</v>
      </c>
      <c r="X1396" s="200">
        <v>2.7595529321415162E-2</v>
      </c>
      <c r="Y1396" s="209">
        <v>2.755078581561321E-2</v>
      </c>
    </row>
    <row r="1397" spans="21:25" x14ac:dyDescent="0.2">
      <c r="U1397" s="213" t="str">
        <f t="shared" si="25"/>
        <v>1w</v>
      </c>
      <c r="V1397" s="201">
        <f>_xll.qlCalendarAdvance(Calendar,V1396,U1397,"f",FALSE)</f>
        <v>48576</v>
      </c>
      <c r="W1397" s="225">
        <f>_xll.qlCalendarAdvance(Calendar,V1397,NDays&amp;"D")</f>
        <v>48578</v>
      </c>
      <c r="X1397" s="200">
        <v>2.7584291570599544E-2</v>
      </c>
      <c r="Y1397" s="209">
        <v>2.7539360200039553E-2</v>
      </c>
    </row>
    <row r="1398" spans="21:25" x14ac:dyDescent="0.2">
      <c r="U1398" s="213" t="str">
        <f t="shared" si="25"/>
        <v>1w</v>
      </c>
      <c r="V1398" s="201">
        <f>_xll.qlCalendarAdvance(Calendar,V1397,U1398,"f",FALSE)</f>
        <v>48583</v>
      </c>
      <c r="W1398" s="225">
        <f>_xll.qlCalendarAdvance(Calendar,V1398,NDays&amp;"D")</f>
        <v>48585</v>
      </c>
      <c r="X1398" s="200">
        <v>2.7572821192509627E-2</v>
      </c>
      <c r="Y1398" s="209">
        <v>2.7527961007409729E-2</v>
      </c>
    </row>
    <row r="1399" spans="21:25" x14ac:dyDescent="0.2">
      <c r="U1399" s="213" t="str">
        <f t="shared" si="25"/>
        <v>1w</v>
      </c>
      <c r="V1399" s="201">
        <f>_xll.qlCalendarAdvance(Calendar,V1398,U1399,"f",FALSE)</f>
        <v>48590</v>
      </c>
      <c r="W1399" s="225">
        <f>_xll.qlCalendarAdvance(Calendar,V1399,NDays&amp;"D")</f>
        <v>48592</v>
      </c>
      <c r="X1399" s="200">
        <v>2.7561636077808226E-2</v>
      </c>
      <c r="Y1399" s="209">
        <v>2.7516588237803674E-2</v>
      </c>
    </row>
    <row r="1400" spans="21:25" x14ac:dyDescent="0.2">
      <c r="U1400" s="213" t="str">
        <f t="shared" si="25"/>
        <v>1w</v>
      </c>
      <c r="V1400" s="201">
        <f>_xll.qlCalendarAdvance(Calendar,V1399,U1400,"f",FALSE)</f>
        <v>48597</v>
      </c>
      <c r="W1400" s="225">
        <f>_xll.qlCalendarAdvance(Calendar,V1400,NDays&amp;"D")</f>
        <v>48599</v>
      </c>
      <c r="X1400" s="200">
        <v>2.7550477811760513E-2</v>
      </c>
      <c r="Y1400" s="209">
        <v>2.7505241891301324E-2</v>
      </c>
    </row>
    <row r="1401" spans="21:25" x14ac:dyDescent="0.2">
      <c r="U1401" s="213" t="str">
        <f t="shared" si="25"/>
        <v>1w</v>
      </c>
      <c r="V1401" s="201">
        <f>_xll.qlCalendarAdvance(Calendar,V1400,U1401,"f",FALSE)</f>
        <v>48604</v>
      </c>
      <c r="W1401" s="225">
        <f>_xll.qlCalendarAdvance(Calendar,V1401,NDays&amp;"D")</f>
        <v>48606</v>
      </c>
      <c r="X1401" s="200">
        <v>2.753934639391999E-2</v>
      </c>
      <c r="Y1401" s="209">
        <v>2.7493921967742807E-2</v>
      </c>
    </row>
    <row r="1402" spans="21:25" x14ac:dyDescent="0.2">
      <c r="U1402" s="213" t="str">
        <f t="shared" si="25"/>
        <v>1w</v>
      </c>
      <c r="V1402" s="201">
        <f>_xll.qlCalendarAdvance(Calendar,V1401,U1402,"f",FALSE)</f>
        <v>48611</v>
      </c>
      <c r="W1402" s="225">
        <f>_xll.qlCalendarAdvance(Calendar,V1402,NDays&amp;"D")</f>
        <v>48613</v>
      </c>
      <c r="X1402" s="200">
        <v>2.7528241823845469E-2</v>
      </c>
      <c r="Y1402" s="209">
        <v>2.7482628467367931E-2</v>
      </c>
    </row>
    <row r="1403" spans="21:25" x14ac:dyDescent="0.2">
      <c r="U1403" s="213" t="str">
        <f t="shared" si="25"/>
        <v>1w</v>
      </c>
      <c r="V1403" s="201">
        <f>_xll.qlCalendarAdvance(Calendar,V1402,U1403,"f",FALSE)</f>
        <v>48618</v>
      </c>
      <c r="W1403" s="225">
        <f>_xll.qlCalendarAdvance(Calendar,V1403,NDays&amp;"D")</f>
        <v>48620</v>
      </c>
      <c r="X1403" s="200">
        <v>2.7517164101090896E-2</v>
      </c>
      <c r="Y1403" s="209">
        <v>2.7471361389777016E-2</v>
      </c>
    </row>
    <row r="1404" spans="21:25" x14ac:dyDescent="0.2">
      <c r="U1404" s="213" t="str">
        <f t="shared" si="25"/>
        <v>1w</v>
      </c>
      <c r="V1404" s="201">
        <f>_xll.qlCalendarAdvance(Calendar,V1403,U1404,"f",FALSE)</f>
        <v>48625</v>
      </c>
      <c r="W1404" s="225">
        <f>_xll.qlCalendarAdvance(Calendar,V1404,NDays&amp;"D")</f>
        <v>48627</v>
      </c>
      <c r="X1404" s="200">
        <v>2.75061132252164E-2</v>
      </c>
      <c r="Y1404" s="209">
        <v>2.7460120735289806E-2</v>
      </c>
    </row>
    <row r="1405" spans="21:25" x14ac:dyDescent="0.2">
      <c r="U1405" s="213" t="str">
        <f t="shared" si="25"/>
        <v>1w</v>
      </c>
      <c r="V1405" s="201">
        <f>_xll.qlCalendarAdvance(Calendar,V1404,U1405,"f",FALSE)</f>
        <v>48632</v>
      </c>
      <c r="W1405" s="225">
        <f>_xll.qlCalendarAdvance(Calendar,V1405,NDays&amp;"D")</f>
        <v>48634</v>
      </c>
      <c r="X1405" s="200">
        <v>2.7495089195781228E-2</v>
      </c>
      <c r="Y1405" s="209">
        <v>2.7448906503826365E-2</v>
      </c>
    </row>
    <row r="1406" spans="21:25" x14ac:dyDescent="0.2">
      <c r="U1406" s="213" t="str">
        <f t="shared" si="25"/>
        <v>1w</v>
      </c>
      <c r="V1406" s="201">
        <f>_xll.qlCalendarAdvance(Calendar,V1405,U1406,"f",FALSE)</f>
        <v>48639</v>
      </c>
      <c r="W1406" s="225">
        <f>_xll.qlCalendarAdvance(Calendar,V1406,NDays&amp;"D")</f>
        <v>48641</v>
      </c>
      <c r="X1406" s="200">
        <v>2.7485433603578125E-2</v>
      </c>
      <c r="Y1406" s="209">
        <v>2.7437718695306756E-2</v>
      </c>
    </row>
    <row r="1407" spans="21:25" x14ac:dyDescent="0.2">
      <c r="U1407" s="213" t="str">
        <f t="shared" si="25"/>
        <v>1w</v>
      </c>
      <c r="V1407" s="201">
        <f>_xll.qlCalendarAdvance(Calendar,V1406,U1407,"f",FALSE)</f>
        <v>48646</v>
      </c>
      <c r="W1407" s="225">
        <f>_xll.qlCalendarAdvance(Calendar,V1407,NDays&amp;"D")</f>
        <v>48648</v>
      </c>
      <c r="X1407" s="200">
        <v>2.7474468698356059E-2</v>
      </c>
      <c r="Y1407" s="209">
        <v>2.7426557309810917E-2</v>
      </c>
    </row>
    <row r="1408" spans="21:25" x14ac:dyDescent="0.2">
      <c r="U1408" s="213" t="str">
        <f t="shared" si="25"/>
        <v>1w</v>
      </c>
      <c r="V1408" s="201">
        <f>_xll.qlCalendarAdvance(Calendar,V1407,U1408,"f",FALSE)</f>
        <v>48653</v>
      </c>
      <c r="W1408" s="225">
        <f>_xll.qlCalendarAdvance(Calendar,V1408,NDays&amp;"D")</f>
        <v>48655</v>
      </c>
      <c r="X1408" s="200">
        <v>2.7463530649917453E-2</v>
      </c>
      <c r="Y1408" s="209">
        <v>2.7415422347258911E-2</v>
      </c>
    </row>
    <row r="1409" spans="21:25" x14ac:dyDescent="0.2">
      <c r="U1409" s="213" t="str">
        <f t="shared" si="25"/>
        <v>1w</v>
      </c>
      <c r="V1409" s="201">
        <f>_xll.qlCalendarAdvance(Calendar,V1408,U1409,"f",FALSE)</f>
        <v>48660</v>
      </c>
      <c r="W1409" s="225">
        <f>_xll.qlCalendarAdvance(Calendar,V1409,NDays&amp;"D")</f>
        <v>48662</v>
      </c>
      <c r="X1409" s="200">
        <v>2.745261945781536E-2</v>
      </c>
      <c r="Y1409" s="209">
        <v>2.740431380781061E-2</v>
      </c>
    </row>
    <row r="1410" spans="21:25" x14ac:dyDescent="0.2">
      <c r="U1410" s="213" t="str">
        <f t="shared" si="25"/>
        <v>1w</v>
      </c>
      <c r="V1410" s="201">
        <f>_xll.qlCalendarAdvance(Calendar,V1409,U1410,"f",FALSE)</f>
        <v>48667</v>
      </c>
      <c r="W1410" s="225">
        <f>_xll.qlCalendarAdvance(Calendar,V1410,NDays&amp;"D")</f>
        <v>48669</v>
      </c>
      <c r="X1410" s="200">
        <v>2.7440916730107671E-2</v>
      </c>
      <c r="Y1410" s="209">
        <v>2.7393231691306141E-2</v>
      </c>
    </row>
    <row r="1411" spans="21:25" x14ac:dyDescent="0.2">
      <c r="U1411" s="213" t="str">
        <f t="shared" si="25"/>
        <v>1w</v>
      </c>
      <c r="V1411" s="201">
        <f>_xll.qlCalendarAdvance(Calendar,V1410,U1411,"f",FALSE)</f>
        <v>48674</v>
      </c>
      <c r="W1411" s="225">
        <f>_xll.qlCalendarAdvance(Calendar,V1411,NDays&amp;"D")</f>
        <v>48676</v>
      </c>
      <c r="X1411" s="200">
        <v>2.7430055960986466E-2</v>
      </c>
      <c r="Y1411" s="209">
        <v>2.7382175997825442E-2</v>
      </c>
    </row>
    <row r="1412" spans="21:25" x14ac:dyDescent="0.2">
      <c r="U1412" s="213" t="str">
        <f t="shared" si="25"/>
        <v>1w</v>
      </c>
      <c r="V1412" s="201">
        <f>_xll.qlCalendarAdvance(Calendar,V1411,U1412,"f",FALSE)</f>
        <v>48681</v>
      </c>
      <c r="W1412" s="225">
        <f>_xll.qlCalendarAdvance(Calendar,V1412,NDays&amp;"D")</f>
        <v>48683</v>
      </c>
      <c r="X1412" s="200">
        <v>2.741922203989507E-2</v>
      </c>
      <c r="Y1412" s="209">
        <v>2.7372162368571651E-2</v>
      </c>
    </row>
    <row r="1413" spans="21:25" x14ac:dyDescent="0.2">
      <c r="U1413" s="213" t="str">
        <f t="shared" si="25"/>
        <v>1w</v>
      </c>
      <c r="V1413" s="201">
        <f>_xll.qlCalendarAdvance(Calendar,V1412,U1413,"f",FALSE)</f>
        <v>48688</v>
      </c>
      <c r="W1413" s="225">
        <f>_xll.qlCalendarAdvance(Calendar,V1413,NDays&amp;"D")</f>
        <v>48690</v>
      </c>
      <c r="X1413" s="200">
        <v>2.7408414966396243E-2</v>
      </c>
      <c r="Y1413" s="209">
        <v>2.7360143879775478E-2</v>
      </c>
    </row>
    <row r="1414" spans="21:25" x14ac:dyDescent="0.2">
      <c r="U1414" s="213" t="str">
        <f t="shared" si="25"/>
        <v>1w</v>
      </c>
      <c r="V1414" s="201">
        <f>_xll.qlCalendarAdvance(Calendar,V1413,U1414,"f",FALSE)</f>
        <v>48695</v>
      </c>
      <c r="W1414" s="225">
        <f>_xll.qlCalendarAdvance(Calendar,V1414,NDays&amp;"D")</f>
        <v>48697</v>
      </c>
      <c r="X1414" s="200">
        <v>2.7397634740054914E-2</v>
      </c>
      <c r="Y1414" s="209">
        <v>2.7349167455206214E-2</v>
      </c>
    </row>
    <row r="1415" spans="21:25" x14ac:dyDescent="0.2">
      <c r="U1415" s="213" t="str">
        <f t="shared" si="25"/>
        <v>1w</v>
      </c>
      <c r="V1415" s="201">
        <f>_xll.qlCalendarAdvance(Calendar,V1414,U1415,"f",FALSE)</f>
        <v>48702</v>
      </c>
      <c r="W1415" s="225">
        <f>_xll.qlCalendarAdvance(Calendar,V1415,NDays&amp;"D")</f>
        <v>48704</v>
      </c>
      <c r="X1415" s="200">
        <v>2.7387716263280876E-2</v>
      </c>
      <c r="Y1415" s="209">
        <v>2.7338217453660718E-2</v>
      </c>
    </row>
    <row r="1416" spans="21:25" x14ac:dyDescent="0.2">
      <c r="U1416" s="213" t="str">
        <f t="shared" si="25"/>
        <v>1w</v>
      </c>
      <c r="V1416" s="201">
        <f>_xll.qlCalendarAdvance(Calendar,V1415,U1416,"f",FALSE)</f>
        <v>48709</v>
      </c>
      <c r="W1416" s="225">
        <f>_xll.qlCalendarAdvance(Calendar,V1416,NDays&amp;"D")</f>
        <v>48711</v>
      </c>
      <c r="X1416" s="200">
        <v>2.7376993053067761E-2</v>
      </c>
      <c r="Y1416" s="209">
        <v>2.7327293874979119E-2</v>
      </c>
    </row>
    <row r="1417" spans="21:25" x14ac:dyDescent="0.2">
      <c r="U1417" s="213" t="str">
        <f t="shared" si="25"/>
        <v>1w</v>
      </c>
      <c r="V1417" s="201">
        <f>_xll.qlCalendarAdvance(Calendar,V1416,U1417,"f",FALSE)</f>
        <v>48716</v>
      </c>
      <c r="W1417" s="225">
        <f>_xll.qlCalendarAdvance(Calendar,V1417,NDays&amp;"D")</f>
        <v>48718</v>
      </c>
      <c r="X1417" s="200">
        <v>2.7366296695643458E-2</v>
      </c>
      <c r="Y1417" s="209">
        <v>2.7316396719401226E-2</v>
      </c>
    </row>
    <row r="1418" spans="21:25" x14ac:dyDescent="0.2">
      <c r="U1418" s="213" t="str">
        <f t="shared" si="25"/>
        <v>1w</v>
      </c>
      <c r="V1418" s="201">
        <f>_xll.qlCalendarAdvance(Calendar,V1417,U1418,"f",FALSE)</f>
        <v>48723</v>
      </c>
      <c r="W1418" s="225">
        <f>_xll.qlCalendarAdvance(Calendar,V1418,NDays&amp;"D")</f>
        <v>48725</v>
      </c>
      <c r="X1418" s="200">
        <v>2.7355627190570463E-2</v>
      </c>
      <c r="Y1418" s="209">
        <v>2.7305525986847101E-2</v>
      </c>
    </row>
    <row r="1419" spans="21:25" x14ac:dyDescent="0.2">
      <c r="U1419" s="213" t="str">
        <f t="shared" si="25"/>
        <v>1w</v>
      </c>
      <c r="V1419" s="201">
        <f>_xll.qlCalendarAdvance(Calendar,V1418,U1419,"f",FALSE)</f>
        <v>48730</v>
      </c>
      <c r="W1419" s="225">
        <f>_xll.qlCalendarAdvance(Calendar,V1419,NDays&amp;"D")</f>
        <v>48732</v>
      </c>
      <c r="X1419" s="200">
        <v>2.7344136300528645E-2</v>
      </c>
      <c r="Y1419" s="209">
        <v>2.7294681677156873E-2</v>
      </c>
    </row>
    <row r="1420" spans="21:25" x14ac:dyDescent="0.2">
      <c r="U1420" s="213" t="str">
        <f t="shared" si="25"/>
        <v>1w</v>
      </c>
      <c r="V1420" s="201">
        <f>_xll.qlCalendarAdvance(Calendar,V1419,U1420,"f",FALSE)</f>
        <v>48737</v>
      </c>
      <c r="W1420" s="225">
        <f>_xll.qlCalendarAdvance(Calendar,V1420,NDays&amp;"D")</f>
        <v>48739</v>
      </c>
      <c r="X1420" s="200">
        <v>2.733351714803928E-2</v>
      </c>
      <c r="Y1420" s="209">
        <v>2.7283863790410479E-2</v>
      </c>
    </row>
    <row r="1421" spans="21:25" x14ac:dyDescent="0.2">
      <c r="U1421" s="213" t="str">
        <f t="shared" si="25"/>
        <v>1w</v>
      </c>
      <c r="V1421" s="201">
        <f>_xll.qlCalendarAdvance(Calendar,V1420,U1421,"f",FALSE)</f>
        <v>48744</v>
      </c>
      <c r="W1421" s="225">
        <f>_xll.qlCalendarAdvance(Calendar,V1421,NDays&amp;"D")</f>
        <v>48746</v>
      </c>
      <c r="X1421" s="200">
        <v>2.7322924839687755E-2</v>
      </c>
      <c r="Y1421" s="209">
        <v>2.7273072326687853E-2</v>
      </c>
    </row>
    <row r="1422" spans="21:25" x14ac:dyDescent="0.2">
      <c r="U1422" s="213" t="str">
        <f t="shared" si="25"/>
        <v>1w</v>
      </c>
      <c r="V1422" s="201">
        <f>_xll.qlCalendarAdvance(Calendar,V1421,U1422,"f",FALSE)</f>
        <v>48751</v>
      </c>
      <c r="W1422" s="225">
        <f>_xll.qlCalendarAdvance(Calendar,V1422,NDays&amp;"D")</f>
        <v>48753</v>
      </c>
      <c r="X1422" s="200">
        <v>2.7312359375045562E-2</v>
      </c>
      <c r="Y1422" s="209">
        <v>2.726230728590906E-2</v>
      </c>
    </row>
    <row r="1423" spans="21:25" x14ac:dyDescent="0.2">
      <c r="U1423" s="213" t="str">
        <f t="shared" si="25"/>
        <v>1w</v>
      </c>
      <c r="V1423" s="201">
        <f>_xll.qlCalendarAdvance(Calendar,V1422,U1423,"f",FALSE)</f>
        <v>48758</v>
      </c>
      <c r="W1423" s="225">
        <f>_xll.qlCalendarAdvance(Calendar,V1423,NDays&amp;"D")</f>
        <v>48760</v>
      </c>
      <c r="X1423" s="200">
        <v>2.730182075368856E-2</v>
      </c>
      <c r="Y1423" s="209">
        <v>2.72515686680741E-2</v>
      </c>
    </row>
    <row r="1424" spans="21:25" x14ac:dyDescent="0.2">
      <c r="U1424" s="213" t="str">
        <f t="shared" si="25"/>
        <v>1w</v>
      </c>
      <c r="V1424" s="201">
        <f>_xll.qlCalendarAdvance(Calendar,V1423,U1424,"f",FALSE)</f>
        <v>48765</v>
      </c>
      <c r="W1424" s="225">
        <f>_xll.qlCalendarAdvance(Calendar,V1424,NDays&amp;"D")</f>
        <v>48767</v>
      </c>
      <c r="X1424" s="200">
        <v>2.7292174035086533E-2</v>
      </c>
      <c r="Y1424" s="209">
        <v>2.7240856473182973E-2</v>
      </c>
    </row>
    <row r="1425" spans="21:25" x14ac:dyDescent="0.2">
      <c r="U1425" s="213" t="str">
        <f t="shared" si="25"/>
        <v>1w</v>
      </c>
      <c r="V1425" s="201">
        <f>_xll.qlCalendarAdvance(Calendar,V1424,U1425,"f",FALSE)</f>
        <v>48772</v>
      </c>
      <c r="W1425" s="225">
        <f>_xll.qlCalendarAdvance(Calendar,V1425,NDays&amp;"D")</f>
        <v>48774</v>
      </c>
      <c r="X1425" s="200">
        <v>2.728169248428719E-2</v>
      </c>
      <c r="Y1425" s="209">
        <v>2.7230170701395551E-2</v>
      </c>
    </row>
    <row r="1426" spans="21:25" x14ac:dyDescent="0.2">
      <c r="U1426" s="213" t="str">
        <f t="shared" si="25"/>
        <v>1w</v>
      </c>
      <c r="V1426" s="201">
        <f>_xll.qlCalendarAdvance(Calendar,V1425,U1426,"f",FALSE)</f>
        <v>48779</v>
      </c>
      <c r="W1426" s="225">
        <f>_xll.qlCalendarAdvance(Calendar,V1426,NDays&amp;"D")</f>
        <v>48781</v>
      </c>
      <c r="X1426" s="200">
        <v>2.727123778237053E-2</v>
      </c>
      <c r="Y1426" s="209">
        <v>2.721951135239209E-2</v>
      </c>
    </row>
    <row r="1427" spans="21:25" x14ac:dyDescent="0.2">
      <c r="U1427" s="213" t="str">
        <f t="shared" si="25"/>
        <v>1w</v>
      </c>
      <c r="V1427" s="201">
        <f>_xll.qlCalendarAdvance(Calendar,V1426,U1427,"f",FALSE)</f>
        <v>48786</v>
      </c>
      <c r="W1427" s="225">
        <f>_xll.qlCalendarAdvance(Calendar,V1427,NDays&amp;"D")</f>
        <v>48788</v>
      </c>
      <c r="X1427" s="200">
        <v>2.7260809928909804E-2</v>
      </c>
      <c r="Y1427" s="209">
        <v>2.7208878426412397E-2</v>
      </c>
    </row>
    <row r="1428" spans="21:25" x14ac:dyDescent="0.2">
      <c r="U1428" s="213" t="str">
        <f t="shared" si="25"/>
        <v>1w</v>
      </c>
      <c r="V1428" s="201">
        <f>_xll.qlCalendarAdvance(Calendar,V1427,U1428,"f",FALSE)</f>
        <v>48793</v>
      </c>
      <c r="W1428" s="225">
        <f>_xll.qlCalendarAdvance(Calendar,V1428,NDays&amp;"D")</f>
        <v>48795</v>
      </c>
      <c r="X1428" s="200">
        <v>2.7250408923476535E-2</v>
      </c>
      <c r="Y1428" s="209">
        <v>2.7198271923376538E-2</v>
      </c>
    </row>
    <row r="1429" spans="21:25" x14ac:dyDescent="0.2">
      <c r="U1429" s="213" t="str">
        <f t="shared" ref="U1429:U1492" si="26">U1428</f>
        <v>1w</v>
      </c>
      <c r="V1429" s="201">
        <f>_xll.qlCalendarAdvance(Calendar,V1428,U1429,"f",FALSE)</f>
        <v>48800</v>
      </c>
      <c r="W1429" s="225">
        <f>_xll.qlCalendarAdvance(Calendar,V1429,NDays&amp;"D")</f>
        <v>48802</v>
      </c>
      <c r="X1429" s="200">
        <v>2.7240034765644829E-2</v>
      </c>
      <c r="Y1429" s="209">
        <v>2.7187691843364448E-2</v>
      </c>
    </row>
    <row r="1430" spans="21:25" x14ac:dyDescent="0.2">
      <c r="U1430" s="213" t="str">
        <f t="shared" si="26"/>
        <v>1w</v>
      </c>
      <c r="V1430" s="201">
        <f>_xll.qlCalendarAdvance(Calendar,V1429,U1430,"f",FALSE)</f>
        <v>48807</v>
      </c>
      <c r="W1430" s="225">
        <f>_xll.qlCalendarAdvance(Calendar,V1430,NDays&amp;"D")</f>
        <v>48809</v>
      </c>
      <c r="X1430" s="200">
        <v>2.7229687454989215E-2</v>
      </c>
      <c r="Y1430" s="209">
        <v>2.7177138186136318E-2</v>
      </c>
    </row>
    <row r="1431" spans="21:25" x14ac:dyDescent="0.2">
      <c r="U1431" s="213" t="str">
        <f t="shared" si="26"/>
        <v>1w</v>
      </c>
      <c r="V1431" s="201">
        <f>_xll.qlCalendarAdvance(Calendar,V1430,U1431,"f",FALSE)</f>
        <v>48814</v>
      </c>
      <c r="W1431" s="225">
        <f>_xll.qlCalendarAdvance(Calendar,V1431,NDays&amp;"D")</f>
        <v>48816</v>
      </c>
      <c r="X1431" s="200">
        <v>2.7219366991086381E-2</v>
      </c>
      <c r="Y1431" s="209">
        <v>2.7166610952011894E-2</v>
      </c>
    </row>
    <row r="1432" spans="21:25" x14ac:dyDescent="0.2">
      <c r="U1432" s="213" t="str">
        <f t="shared" si="26"/>
        <v>1w</v>
      </c>
      <c r="V1432" s="201">
        <f>_xll.qlCalendarAdvance(Calendar,V1431,U1432,"f",FALSE)</f>
        <v>48821</v>
      </c>
      <c r="W1432" s="225">
        <f>_xll.qlCalendarAdvance(Calendar,V1432,NDays&amp;"D")</f>
        <v>48823</v>
      </c>
      <c r="X1432" s="200">
        <v>2.7207586773904131E-2</v>
      </c>
      <c r="Y1432" s="209">
        <v>2.715611014067143E-2</v>
      </c>
    </row>
    <row r="1433" spans="21:25" x14ac:dyDescent="0.2">
      <c r="U1433" s="213" t="str">
        <f t="shared" si="26"/>
        <v>1w</v>
      </c>
      <c r="V1433" s="201">
        <f>_xll.qlCalendarAdvance(Calendar,V1432,U1433,"f",FALSE)</f>
        <v>48828</v>
      </c>
      <c r="W1433" s="225">
        <f>_xll.qlCalendarAdvance(Calendar,V1433,NDays&amp;"D")</f>
        <v>48830</v>
      </c>
      <c r="X1433" s="200">
        <v>2.7197314270176926E-2</v>
      </c>
      <c r="Y1433" s="209">
        <v>2.7145635752354735E-2</v>
      </c>
    </row>
    <row r="1434" spans="21:25" x14ac:dyDescent="0.2">
      <c r="U1434" s="213" t="str">
        <f t="shared" si="26"/>
        <v>1w</v>
      </c>
      <c r="V1434" s="201">
        <f>_xll.qlCalendarAdvance(Calendar,V1433,U1434,"f",FALSE)</f>
        <v>48835</v>
      </c>
      <c r="W1434" s="225">
        <f>_xll.qlCalendarAdvance(Calendar,V1434,NDays&amp;"D")</f>
        <v>48837</v>
      </c>
      <c r="X1434" s="200">
        <v>2.7187068600574474E-2</v>
      </c>
      <c r="Y1434" s="209">
        <v>2.7135187786981874E-2</v>
      </c>
    </row>
    <row r="1435" spans="21:25" x14ac:dyDescent="0.2">
      <c r="U1435" s="213" t="str">
        <f t="shared" si="26"/>
        <v>1w</v>
      </c>
      <c r="V1435" s="201">
        <f>_xll.qlCalendarAdvance(Calendar,V1434,U1435,"f",FALSE)</f>
        <v>48842</v>
      </c>
      <c r="W1435" s="225">
        <f>_xll.qlCalendarAdvance(Calendar,V1435,NDays&amp;"D")</f>
        <v>48844</v>
      </c>
      <c r="X1435" s="200">
        <v>2.7176849764687386E-2</v>
      </c>
      <c r="Y1435" s="209">
        <v>2.7124766244552845E-2</v>
      </c>
    </row>
    <row r="1436" spans="21:25" x14ac:dyDescent="0.2">
      <c r="U1436" s="213" t="str">
        <f t="shared" si="26"/>
        <v>1w</v>
      </c>
      <c r="V1436" s="201">
        <f>_xll.qlCalendarAdvance(Calendar,V1435,U1436,"f",FALSE)</f>
        <v>48849</v>
      </c>
      <c r="W1436" s="225">
        <f>_xll.qlCalendarAdvance(Calendar,V1436,NDays&amp;"D")</f>
        <v>48851</v>
      </c>
      <c r="X1436" s="200">
        <v>2.7166657762108467E-2</v>
      </c>
      <c r="Y1436" s="209">
        <v>2.7114371125067649E-2</v>
      </c>
    </row>
    <row r="1437" spans="21:25" x14ac:dyDescent="0.2">
      <c r="U1437" s="213" t="str">
        <f t="shared" si="26"/>
        <v>1w</v>
      </c>
      <c r="V1437" s="201">
        <f>_xll.qlCalendarAdvance(Calendar,V1436,U1437,"f",FALSE)</f>
        <v>48856</v>
      </c>
      <c r="W1437" s="225">
        <f>_xll.qlCalendarAdvance(Calendar,V1437,NDays&amp;"D")</f>
        <v>48858</v>
      </c>
      <c r="X1437" s="200">
        <v>2.7156795414962371E-2</v>
      </c>
      <c r="Y1437" s="209">
        <v>2.710400242844635E-2</v>
      </c>
    </row>
    <row r="1438" spans="21:25" x14ac:dyDescent="0.2">
      <c r="U1438" s="213" t="str">
        <f t="shared" si="26"/>
        <v>1w</v>
      </c>
      <c r="V1438" s="201">
        <f>_xll.qlCalendarAdvance(Calendar,V1437,U1438,"f",FALSE)</f>
        <v>48863</v>
      </c>
      <c r="W1438" s="225">
        <f>_xll.qlCalendarAdvance(Calendar,V1438,NDays&amp;"D")</f>
        <v>48865</v>
      </c>
      <c r="X1438" s="200">
        <v>2.7146658234999222E-2</v>
      </c>
      <c r="Y1438" s="209">
        <v>2.709366015484882E-2</v>
      </c>
    </row>
    <row r="1439" spans="21:25" x14ac:dyDescent="0.2">
      <c r="U1439" s="213" t="str">
        <f t="shared" si="26"/>
        <v>1w</v>
      </c>
      <c r="V1439" s="201">
        <f>_xll.qlCalendarAdvance(Calendar,V1438,U1439,"f",FALSE)</f>
        <v>48870</v>
      </c>
      <c r="W1439" s="225">
        <f>_xll.qlCalendarAdvance(Calendar,V1439,NDays&amp;"D")</f>
        <v>48872</v>
      </c>
      <c r="X1439" s="200">
        <v>2.7136547889389715E-2</v>
      </c>
      <c r="Y1439" s="209">
        <v>2.7083344304035251E-2</v>
      </c>
    </row>
    <row r="1440" spans="21:25" x14ac:dyDescent="0.2">
      <c r="U1440" s="213" t="str">
        <f t="shared" si="26"/>
        <v>1w</v>
      </c>
      <c r="V1440" s="201">
        <f>_xll.qlCalendarAdvance(Calendar,V1439,U1440,"f",FALSE)</f>
        <v>48877</v>
      </c>
      <c r="W1440" s="225">
        <f>_xll.qlCalendarAdvance(Calendar,V1440,NDays&amp;"D")</f>
        <v>48879</v>
      </c>
      <c r="X1440" s="200">
        <v>2.71264643777289E-2</v>
      </c>
      <c r="Y1440" s="209">
        <v>2.707305487624545E-2</v>
      </c>
    </row>
    <row r="1441" spans="21:25" x14ac:dyDescent="0.2">
      <c r="U1441" s="213" t="str">
        <f t="shared" si="26"/>
        <v>1w</v>
      </c>
      <c r="V1441" s="201">
        <f>_xll.qlCalendarAdvance(Calendar,V1440,U1441,"f",FALSE)</f>
        <v>48884</v>
      </c>
      <c r="W1441" s="225">
        <f>_xll.qlCalendarAdvance(Calendar,V1441,NDays&amp;"D")</f>
        <v>48886</v>
      </c>
      <c r="X1441" s="200">
        <v>2.7116100234649797E-2</v>
      </c>
      <c r="Y1441" s="209">
        <v>2.7062791871319547E-2</v>
      </c>
    </row>
    <row r="1442" spans="21:25" x14ac:dyDescent="0.2">
      <c r="U1442" s="213" t="str">
        <f t="shared" si="26"/>
        <v>1w</v>
      </c>
      <c r="V1442" s="201">
        <f>_xll.qlCalendarAdvance(Calendar,V1441,U1442,"f",FALSE)</f>
        <v>48891</v>
      </c>
      <c r="W1442" s="225">
        <f>_xll.qlCalendarAdvance(Calendar,V1442,NDays&amp;"D")</f>
        <v>48893</v>
      </c>
      <c r="X1442" s="200">
        <v>2.7106069223422839E-2</v>
      </c>
      <c r="Y1442" s="209">
        <v>2.7052555289337477E-2</v>
      </c>
    </row>
    <row r="1443" spans="21:25" x14ac:dyDescent="0.2">
      <c r="U1443" s="213" t="str">
        <f t="shared" si="26"/>
        <v>1w</v>
      </c>
      <c r="V1443" s="201">
        <f>_xll.qlCalendarAdvance(Calendar,V1442,U1443,"f",FALSE)</f>
        <v>48898</v>
      </c>
      <c r="W1443" s="225">
        <f>_xll.qlCalendarAdvance(Calendar,V1443,NDays&amp;"D")</f>
        <v>48900</v>
      </c>
      <c r="X1443" s="200">
        <v>2.7096065042681122E-2</v>
      </c>
      <c r="Y1443" s="209">
        <v>2.7042345130299239E-2</v>
      </c>
    </row>
    <row r="1444" spans="21:25" x14ac:dyDescent="0.2">
      <c r="U1444" s="213" t="str">
        <f t="shared" si="26"/>
        <v>1w</v>
      </c>
      <c r="V1444" s="201">
        <f>_xll.qlCalendarAdvance(Calendar,V1443,U1444,"f",FALSE)</f>
        <v>48905</v>
      </c>
      <c r="W1444" s="225">
        <f>_xll.qlCalendarAdvance(Calendar,V1444,NDays&amp;"D")</f>
        <v>48907</v>
      </c>
      <c r="X1444" s="200">
        <v>2.7086087692026726E-2</v>
      </c>
      <c r="Y1444" s="209">
        <v>2.7032161394204834E-2</v>
      </c>
    </row>
    <row r="1445" spans="21:25" x14ac:dyDescent="0.2">
      <c r="U1445" s="213" t="str">
        <f t="shared" si="26"/>
        <v>1w</v>
      </c>
      <c r="V1445" s="201">
        <f>_xll.qlCalendarAdvance(Calendar,V1444,U1445,"f",FALSE)</f>
        <v>48912</v>
      </c>
      <c r="W1445" s="225">
        <f>_xll.qlCalendarAdvance(Calendar,V1445,NDays&amp;"D")</f>
        <v>48914</v>
      </c>
      <c r="X1445" s="200">
        <v>2.7076449314538974E-2</v>
      </c>
      <c r="Y1445" s="209">
        <v>2.7022004080894391E-2</v>
      </c>
    </row>
    <row r="1446" spans="21:25" x14ac:dyDescent="0.2">
      <c r="U1446" s="213" t="str">
        <f t="shared" si="26"/>
        <v>1w</v>
      </c>
      <c r="V1446" s="201">
        <f>_xll.qlCalendarAdvance(Calendar,V1445,U1446,"f",FALSE)</f>
        <v>48919</v>
      </c>
      <c r="W1446" s="225">
        <f>_xll.qlCalendarAdvance(Calendar,V1446,NDays&amp;"D")</f>
        <v>48921</v>
      </c>
      <c r="X1446" s="200">
        <v>2.7066526782667657E-2</v>
      </c>
      <c r="Y1446" s="209">
        <v>2.7011873190607716E-2</v>
      </c>
    </row>
    <row r="1447" spans="21:25" x14ac:dyDescent="0.2">
      <c r="U1447" s="213" t="str">
        <f t="shared" si="26"/>
        <v>1w</v>
      </c>
      <c r="V1447" s="201">
        <f>_xll.qlCalendarAdvance(Calendar,V1446,U1447,"f",FALSE)</f>
        <v>48926</v>
      </c>
      <c r="W1447" s="225">
        <f>_xll.qlCalendarAdvance(Calendar,V1447,NDays&amp;"D")</f>
        <v>48928</v>
      </c>
      <c r="X1447" s="200">
        <v>2.7056630540672987E-2</v>
      </c>
      <c r="Y1447" s="209">
        <v>2.7001768723184938E-2</v>
      </c>
    </row>
    <row r="1448" spans="21:25" x14ac:dyDescent="0.2">
      <c r="U1448" s="213" t="str">
        <f t="shared" si="26"/>
        <v>1w</v>
      </c>
      <c r="V1448" s="201">
        <f>_xll.qlCalendarAdvance(Calendar,V1447,U1448,"f",FALSE)</f>
        <v>48933</v>
      </c>
      <c r="W1448" s="225">
        <f>_xll.qlCalendarAdvance(Calendar,V1448,NDays&amp;"D")</f>
        <v>48935</v>
      </c>
      <c r="X1448" s="200">
        <v>2.7046759447281958E-2</v>
      </c>
      <c r="Y1448" s="209">
        <v>2.6991690678626057E-2</v>
      </c>
    </row>
    <row r="1449" spans="21:25" x14ac:dyDescent="0.2">
      <c r="U1449" s="213" t="str">
        <f t="shared" si="26"/>
        <v>1w</v>
      </c>
      <c r="V1449" s="201">
        <f>_xll.qlCalendarAdvance(Calendar,V1448,U1449,"f",FALSE)</f>
        <v>48940</v>
      </c>
      <c r="W1449" s="225">
        <f>_xll.qlCalendarAdvance(Calendar,V1449,NDays&amp;"D")</f>
        <v>48942</v>
      </c>
      <c r="X1449" s="200">
        <v>2.7036912324627533E-2</v>
      </c>
      <c r="Y1449" s="209">
        <v>2.6981639057090945E-2</v>
      </c>
    </row>
    <row r="1450" spans="21:25" x14ac:dyDescent="0.2">
      <c r="U1450" s="213" t="str">
        <f t="shared" si="26"/>
        <v>1w</v>
      </c>
      <c r="V1450" s="201">
        <f>_xll.qlCalendarAdvance(Calendar,V1449,U1450,"f",FALSE)</f>
        <v>48947</v>
      </c>
      <c r="W1450" s="225">
        <f>_xll.qlCalendarAdvance(Calendar,V1450,NDays&amp;"D")</f>
        <v>48949</v>
      </c>
      <c r="X1450" s="200">
        <v>2.7026771465394381E-2</v>
      </c>
      <c r="Y1450" s="209">
        <v>2.6971613858339794E-2</v>
      </c>
    </row>
    <row r="1451" spans="21:25" x14ac:dyDescent="0.2">
      <c r="U1451" s="213" t="str">
        <f t="shared" si="26"/>
        <v>1w</v>
      </c>
      <c r="V1451" s="201">
        <f>_xll.qlCalendarAdvance(Calendar,V1450,U1451,"f",FALSE)</f>
        <v>48954</v>
      </c>
      <c r="W1451" s="225">
        <f>_xll.qlCalendarAdvance(Calendar,V1451,NDays&amp;"D")</f>
        <v>48956</v>
      </c>
      <c r="X1451" s="200">
        <v>2.7016968307517757E-2</v>
      </c>
      <c r="Y1451" s="209">
        <v>2.6961615082532475E-2</v>
      </c>
    </row>
    <row r="1452" spans="21:25" x14ac:dyDescent="0.2">
      <c r="U1452" s="213" t="str">
        <f t="shared" si="26"/>
        <v>1w</v>
      </c>
      <c r="V1452" s="201">
        <f>_xll.qlCalendarAdvance(Calendar,V1451,U1452,"f",FALSE)</f>
        <v>48961</v>
      </c>
      <c r="W1452" s="225">
        <f>_xll.qlCalendarAdvance(Calendar,V1452,NDays&amp;"D")</f>
        <v>48963</v>
      </c>
      <c r="X1452" s="200">
        <v>2.700718571896682E-2</v>
      </c>
      <c r="Y1452" s="209">
        <v>2.6951642729589054E-2</v>
      </c>
    </row>
    <row r="1453" spans="21:25" x14ac:dyDescent="0.2">
      <c r="U1453" s="213" t="str">
        <f t="shared" si="26"/>
        <v>1w</v>
      </c>
      <c r="V1453" s="201">
        <f>_xll.qlCalendarAdvance(Calendar,V1452,U1453,"f",FALSE)</f>
        <v>48968</v>
      </c>
      <c r="W1453" s="225">
        <f>_xll.qlCalendarAdvance(Calendar,V1453,NDays&amp;"D")</f>
        <v>48970</v>
      </c>
      <c r="X1453" s="200">
        <v>2.6997422515551591E-2</v>
      </c>
      <c r="Y1453" s="209">
        <v>2.6941696799589465E-2</v>
      </c>
    </row>
    <row r="1454" spans="21:25" x14ac:dyDescent="0.2">
      <c r="U1454" s="213" t="str">
        <f t="shared" si="26"/>
        <v>1w</v>
      </c>
      <c r="V1454" s="201">
        <f>_xll.qlCalendarAdvance(Calendar,V1453,U1454,"f",FALSE)</f>
        <v>48975</v>
      </c>
      <c r="W1454" s="225">
        <f>_xll.qlCalendarAdvance(Calendar,V1454,NDays&amp;"D")</f>
        <v>48977</v>
      </c>
      <c r="X1454" s="200">
        <v>2.6987677513105053E-2</v>
      </c>
      <c r="Y1454" s="209">
        <v>2.6931777292453773E-2</v>
      </c>
    </row>
    <row r="1455" spans="21:25" x14ac:dyDescent="0.2">
      <c r="U1455" s="213" t="str">
        <f t="shared" si="26"/>
        <v>1w</v>
      </c>
      <c r="V1455" s="201">
        <f>_xll.qlCalendarAdvance(Calendar,V1454,U1455,"f",FALSE)</f>
        <v>48982</v>
      </c>
      <c r="W1455" s="225">
        <f>_xll.qlCalendarAdvance(Calendar,V1455,NDays&amp;"D")</f>
        <v>48984</v>
      </c>
      <c r="X1455" s="200">
        <v>2.697794952748403E-2</v>
      </c>
      <c r="Y1455" s="209">
        <v>2.6921884208181979E-2</v>
      </c>
    </row>
    <row r="1456" spans="21:25" x14ac:dyDescent="0.2">
      <c r="U1456" s="213" t="str">
        <f t="shared" si="26"/>
        <v>1w</v>
      </c>
      <c r="V1456" s="201">
        <f>_xll.qlCalendarAdvance(Calendar,V1455,U1456,"f",FALSE)</f>
        <v>48989</v>
      </c>
      <c r="W1456" s="225">
        <f>_xll.qlCalendarAdvance(Calendar,V1456,NDays&amp;"D")</f>
        <v>48991</v>
      </c>
      <c r="X1456" s="200">
        <v>2.6968237374569645E-2</v>
      </c>
      <c r="Y1456" s="209">
        <v>2.6912017546854017E-2</v>
      </c>
    </row>
    <row r="1457" spans="21:25" x14ac:dyDescent="0.2">
      <c r="U1457" s="213" t="str">
        <f t="shared" si="26"/>
        <v>1w</v>
      </c>
      <c r="V1457" s="201">
        <f>_xll.qlCalendarAdvance(Calendar,V1456,U1457,"f",FALSE)</f>
        <v>48996</v>
      </c>
      <c r="W1457" s="225">
        <f>_xll.qlCalendarAdvance(Calendar,V1457,NDays&amp;"D")</f>
        <v>48998</v>
      </c>
      <c r="X1457" s="200">
        <v>2.6958539870264659E-2</v>
      </c>
      <c r="Y1457" s="209">
        <v>2.6902177308310016E-2</v>
      </c>
    </row>
    <row r="1458" spans="21:25" x14ac:dyDescent="0.2">
      <c r="U1458" s="213" t="str">
        <f t="shared" si="26"/>
        <v>1w</v>
      </c>
      <c r="V1458" s="201">
        <f>_xll.qlCalendarAdvance(Calendar,V1457,U1458,"f",FALSE)</f>
        <v>49003</v>
      </c>
      <c r="W1458" s="225">
        <f>_xll.qlCalendarAdvance(Calendar,V1458,NDays&amp;"D")</f>
        <v>49005</v>
      </c>
      <c r="X1458" s="200">
        <v>2.695043902469673E-2</v>
      </c>
      <c r="Y1458" s="209">
        <v>2.6892363492789784E-2</v>
      </c>
    </row>
    <row r="1459" spans="21:25" x14ac:dyDescent="0.2">
      <c r="U1459" s="213" t="str">
        <f t="shared" si="26"/>
        <v>1w</v>
      </c>
      <c r="V1459" s="201">
        <f>_xll.qlCalendarAdvance(Calendar,V1458,U1459,"f",FALSE)</f>
        <v>49010</v>
      </c>
      <c r="W1459" s="225">
        <f>_xll.qlCalendarAdvance(Calendar,V1459,NDays&amp;"D")</f>
        <v>49012</v>
      </c>
      <c r="X1459" s="200">
        <v>2.6940765038388794E-2</v>
      </c>
      <c r="Y1459" s="209">
        <v>2.6882576100053512E-2</v>
      </c>
    </row>
    <row r="1460" spans="21:25" x14ac:dyDescent="0.2">
      <c r="U1460" s="213" t="str">
        <f t="shared" si="26"/>
        <v>1w</v>
      </c>
      <c r="V1460" s="201">
        <f>_xll.qlCalendarAdvance(Calendar,V1459,U1460,"f",FALSE)</f>
        <v>49017</v>
      </c>
      <c r="W1460" s="225">
        <f>_xll.qlCalendarAdvance(Calendar,V1460,NDays&amp;"D")</f>
        <v>49019</v>
      </c>
      <c r="X1460" s="200">
        <v>2.6931101753692066E-2</v>
      </c>
      <c r="Y1460" s="209">
        <v>2.6872815130181138E-2</v>
      </c>
    </row>
    <row r="1461" spans="21:25" x14ac:dyDescent="0.2">
      <c r="U1461" s="213" t="str">
        <f t="shared" si="26"/>
        <v>1w</v>
      </c>
      <c r="V1461" s="201">
        <f>_xll.qlCalendarAdvance(Calendar,V1460,U1461,"f",FALSE)</f>
        <v>49024</v>
      </c>
      <c r="W1461" s="225">
        <f>_xll.qlCalendarAdvance(Calendar,V1461,NDays&amp;"D")</f>
        <v>49026</v>
      </c>
      <c r="X1461" s="200">
        <v>2.6921448017999939E-2</v>
      </c>
      <c r="Y1461" s="209">
        <v>2.686308058317266E-2</v>
      </c>
    </row>
    <row r="1462" spans="21:25" x14ac:dyDescent="0.2">
      <c r="U1462" s="213" t="str">
        <f t="shared" si="26"/>
        <v>1w</v>
      </c>
      <c r="V1462" s="201">
        <f>_xll.qlCalendarAdvance(Calendar,V1461,U1462,"f",FALSE)</f>
        <v>49031</v>
      </c>
      <c r="W1462" s="225">
        <f>_xll.qlCalendarAdvance(Calendar,V1462,NDays&amp;"D")</f>
        <v>49033</v>
      </c>
      <c r="X1462" s="200">
        <v>2.6910859657301472E-2</v>
      </c>
      <c r="Y1462" s="209">
        <v>2.6853372459187952E-2</v>
      </c>
    </row>
    <row r="1463" spans="21:25" x14ac:dyDescent="0.2">
      <c r="U1463" s="213" t="str">
        <f t="shared" si="26"/>
        <v>1w</v>
      </c>
      <c r="V1463" s="201">
        <f>_xll.qlCalendarAdvance(Calendar,V1462,U1463,"f",FALSE)</f>
        <v>49038</v>
      </c>
      <c r="W1463" s="225">
        <f>_xll.qlCalendarAdvance(Calendar,V1463,NDays&amp;"D")</f>
        <v>49040</v>
      </c>
      <c r="X1463" s="200">
        <v>2.6901223741356967E-2</v>
      </c>
      <c r="Y1463" s="209">
        <v>2.6844932668002031E-2</v>
      </c>
    </row>
    <row r="1464" spans="21:25" x14ac:dyDescent="0.2">
      <c r="U1464" s="213" t="str">
        <f t="shared" si="26"/>
        <v>1w</v>
      </c>
      <c r="V1464" s="201">
        <f>_xll.qlCalendarAdvance(Calendar,V1463,U1464,"f",FALSE)</f>
        <v>49045</v>
      </c>
      <c r="W1464" s="225">
        <f>_xll.qlCalendarAdvance(Calendar,V1464,NDays&amp;"D")</f>
        <v>49047</v>
      </c>
      <c r="X1464" s="200">
        <v>2.6891594076522692E-2</v>
      </c>
      <c r="Y1464" s="209">
        <v>2.6834035479650353E-2</v>
      </c>
    </row>
    <row r="1465" spans="21:25" x14ac:dyDescent="0.2">
      <c r="U1465" s="213" t="str">
        <f t="shared" si="26"/>
        <v>1w</v>
      </c>
      <c r="V1465" s="201">
        <f>_xll.qlCalendarAdvance(Calendar,V1464,U1465,"f",FALSE)</f>
        <v>49052</v>
      </c>
      <c r="W1465" s="225">
        <f>_xll.qlCalendarAdvance(Calendar,V1465,NDays&amp;"D")</f>
        <v>49054</v>
      </c>
      <c r="X1465" s="200">
        <v>2.6881969491652846E-2</v>
      </c>
      <c r="Y1465" s="209">
        <v>2.6824406624177399E-2</v>
      </c>
    </row>
    <row r="1466" spans="21:25" x14ac:dyDescent="0.2">
      <c r="U1466" s="213" t="str">
        <f t="shared" si="26"/>
        <v>1w</v>
      </c>
      <c r="V1466" s="201">
        <f>_xll.qlCalendarAdvance(Calendar,V1465,U1466,"f",FALSE)</f>
        <v>49059</v>
      </c>
      <c r="W1466" s="225">
        <f>_xll.qlCalendarAdvance(Calendar,V1466,NDays&amp;"D")</f>
        <v>49061</v>
      </c>
      <c r="X1466" s="200">
        <v>2.6872348815620405E-2</v>
      </c>
      <c r="Y1466" s="209">
        <v>2.6814804191568342E-2</v>
      </c>
    </row>
    <row r="1467" spans="21:25" x14ac:dyDescent="0.2">
      <c r="U1467" s="213" t="str">
        <f t="shared" si="26"/>
        <v>1w</v>
      </c>
      <c r="V1467" s="201">
        <f>_xll.qlCalendarAdvance(Calendar,V1466,U1467,"f",FALSE)</f>
        <v>49066</v>
      </c>
      <c r="W1467" s="225">
        <f>_xll.qlCalendarAdvance(Calendar,V1467,NDays&amp;"D")</f>
        <v>49068</v>
      </c>
      <c r="X1467" s="200">
        <v>2.686366158993278E-2</v>
      </c>
      <c r="Y1467" s="209">
        <v>2.6805228181823182E-2</v>
      </c>
    </row>
    <row r="1468" spans="21:25" x14ac:dyDescent="0.2">
      <c r="U1468" s="213" t="str">
        <f t="shared" si="26"/>
        <v>1w</v>
      </c>
      <c r="V1468" s="201">
        <f>_xll.qlCalendarAdvance(Calendar,V1467,U1468,"f",FALSE)</f>
        <v>49073</v>
      </c>
      <c r="W1468" s="225">
        <f>_xll.qlCalendarAdvance(Calendar,V1468,NDays&amp;"D")</f>
        <v>49075</v>
      </c>
      <c r="X1468" s="200">
        <v>2.6854042426241828E-2</v>
      </c>
      <c r="Y1468" s="209">
        <v>2.6795678594861982E-2</v>
      </c>
    </row>
    <row r="1469" spans="21:25" x14ac:dyDescent="0.2">
      <c r="U1469" s="213" t="str">
        <f t="shared" si="26"/>
        <v>1w</v>
      </c>
      <c r="V1469" s="201">
        <f>_xll.qlCalendarAdvance(Calendar,V1468,U1469,"f",FALSE)</f>
        <v>49080</v>
      </c>
      <c r="W1469" s="225">
        <f>_xll.qlCalendarAdvance(Calendar,V1469,NDays&amp;"D")</f>
        <v>49082</v>
      </c>
      <c r="X1469" s="200">
        <v>2.6844423591532447E-2</v>
      </c>
      <c r="Y1469" s="209">
        <v>2.6786155430924552E-2</v>
      </c>
    </row>
    <row r="1470" spans="21:25" x14ac:dyDescent="0.2">
      <c r="U1470" s="213" t="str">
        <f t="shared" si="26"/>
        <v>1w</v>
      </c>
      <c r="V1470" s="201">
        <f>_xll.qlCalendarAdvance(Calendar,V1469,U1470,"f",FALSE)</f>
        <v>49087</v>
      </c>
      <c r="W1470" s="225">
        <f>_xll.qlCalendarAdvance(Calendar,V1470,NDays&amp;"D")</f>
        <v>49089</v>
      </c>
      <c r="X1470" s="200">
        <v>2.6834803933403453E-2</v>
      </c>
      <c r="Y1470" s="209">
        <v>2.6776658689691146E-2</v>
      </c>
    </row>
    <row r="1471" spans="21:25" x14ac:dyDescent="0.2">
      <c r="U1471" s="213" t="str">
        <f t="shared" si="26"/>
        <v>1w</v>
      </c>
      <c r="V1471" s="201">
        <f>_xll.qlCalendarAdvance(Calendar,V1470,U1471,"f",FALSE)</f>
        <v>49094</v>
      </c>
      <c r="W1471" s="225">
        <f>_xll.qlCalendarAdvance(Calendar,V1471,NDays&amp;"D")</f>
        <v>49096</v>
      </c>
      <c r="X1471" s="200">
        <v>2.6824263080229963E-2</v>
      </c>
      <c r="Y1471" s="209">
        <v>2.6767188371401573E-2</v>
      </c>
    </row>
    <row r="1472" spans="21:25" x14ac:dyDescent="0.2">
      <c r="U1472" s="213" t="str">
        <f t="shared" si="26"/>
        <v>1w</v>
      </c>
      <c r="V1472" s="201">
        <f>_xll.qlCalendarAdvance(Calendar,V1471,U1472,"f",FALSE)</f>
        <v>49101</v>
      </c>
      <c r="W1472" s="225">
        <f>_xll.qlCalendarAdvance(Calendar,V1472,NDays&amp;"D")</f>
        <v>49103</v>
      </c>
      <c r="X1472" s="200">
        <v>2.681464128022535E-2</v>
      </c>
      <c r="Y1472" s="209">
        <v>2.6757740674696606E-2</v>
      </c>
    </row>
    <row r="1473" spans="21:25" x14ac:dyDescent="0.2">
      <c r="U1473" s="213" t="str">
        <f t="shared" si="26"/>
        <v>1w</v>
      </c>
      <c r="V1473" s="201">
        <f>_xll.qlCalendarAdvance(Calendar,V1472,U1473,"f",FALSE)</f>
        <v>49108</v>
      </c>
      <c r="W1473" s="225">
        <f>_xll.qlCalendarAdvance(Calendar,V1473,NDays&amp;"D")</f>
        <v>49110</v>
      </c>
      <c r="X1473" s="200">
        <v>2.6805015730093532E-2</v>
      </c>
      <c r="Y1473" s="209">
        <v>2.6748292997735845E-2</v>
      </c>
    </row>
    <row r="1474" spans="21:25" x14ac:dyDescent="0.2">
      <c r="U1474" s="213" t="str">
        <f t="shared" si="26"/>
        <v>1w</v>
      </c>
      <c r="V1474" s="201">
        <f>_xll.qlCalendarAdvance(Calendar,V1473,U1474,"f",FALSE)</f>
        <v>49115</v>
      </c>
      <c r="W1474" s="225">
        <f>_xll.qlCalendarAdvance(Calendar,V1474,NDays&amp;"D")</f>
        <v>49117</v>
      </c>
      <c r="X1474" s="200">
        <v>2.6795386393473217E-2</v>
      </c>
      <c r="Y1474" s="209">
        <v>2.6738841539319935E-2</v>
      </c>
    </row>
    <row r="1475" spans="21:25" x14ac:dyDescent="0.2">
      <c r="U1475" s="213" t="str">
        <f t="shared" si="26"/>
        <v>1w</v>
      </c>
      <c r="V1475" s="201">
        <f>_xll.qlCalendarAdvance(Calendar,V1474,U1475,"f",FALSE)</f>
        <v>49122</v>
      </c>
      <c r="W1475" s="225">
        <f>_xll.qlCalendarAdvance(Calendar,V1475,NDays&amp;"D")</f>
        <v>49124</v>
      </c>
      <c r="X1475" s="200">
        <v>2.6785753270419436E-2</v>
      </c>
      <c r="Y1475" s="209">
        <v>2.6729386299448876E-2</v>
      </c>
    </row>
    <row r="1476" spans="21:25" x14ac:dyDescent="0.2">
      <c r="U1476" s="213" t="str">
        <f t="shared" si="26"/>
        <v>1w</v>
      </c>
      <c r="V1476" s="201">
        <f>_xll.qlCalendarAdvance(Calendar,V1475,U1476,"f",FALSE)</f>
        <v>49129</v>
      </c>
      <c r="W1476" s="225">
        <f>_xll.qlCalendarAdvance(Calendar,V1476,NDays&amp;"D")</f>
        <v>49131</v>
      </c>
      <c r="X1476" s="200">
        <v>2.6777020842470307E-2</v>
      </c>
      <c r="Y1476" s="209">
        <v>2.6719927278122668E-2</v>
      </c>
    </row>
    <row r="1477" spans="21:25" x14ac:dyDescent="0.2">
      <c r="U1477" s="213" t="str">
        <f t="shared" si="26"/>
        <v>1w</v>
      </c>
      <c r="V1477" s="201">
        <f>_xll.qlCalendarAdvance(Calendar,V1476,U1477,"f",FALSE)</f>
        <v>49136</v>
      </c>
      <c r="W1477" s="225">
        <f>_xll.qlCalendarAdvance(Calendar,V1477,NDays&amp;"D")</f>
        <v>49138</v>
      </c>
      <c r="X1477" s="200">
        <v>2.6767377198854171E-2</v>
      </c>
      <c r="Y1477" s="209">
        <v>2.6710464475181439E-2</v>
      </c>
    </row>
    <row r="1478" spans="21:25" x14ac:dyDescent="0.2">
      <c r="U1478" s="213" t="str">
        <f t="shared" si="26"/>
        <v>1w</v>
      </c>
      <c r="V1478" s="201">
        <f>_xll.qlCalendarAdvance(Calendar,V1477,U1478,"f",FALSE)</f>
        <v>49143</v>
      </c>
      <c r="W1478" s="225">
        <f>_xll.qlCalendarAdvance(Calendar,V1478,NDays&amp;"D")</f>
        <v>49145</v>
      </c>
      <c r="X1478" s="200">
        <v>2.6757729768908504E-2</v>
      </c>
      <c r="Y1478" s="209">
        <v>2.6700997890944933E-2</v>
      </c>
    </row>
    <row r="1479" spans="21:25" x14ac:dyDescent="0.2">
      <c r="U1479" s="213" t="str">
        <f t="shared" si="26"/>
        <v>1w</v>
      </c>
      <c r="V1479" s="201">
        <f>_xll.qlCalendarAdvance(Calendar,V1478,U1479,"f",FALSE)</f>
        <v>49150</v>
      </c>
      <c r="W1479" s="225">
        <f>_xll.qlCalendarAdvance(Calendar,V1479,NDays&amp;"D")</f>
        <v>49152</v>
      </c>
      <c r="X1479" s="200">
        <v>2.6748078552690034E-2</v>
      </c>
      <c r="Y1479" s="209">
        <v>2.6691527525093406E-2</v>
      </c>
    </row>
    <row r="1480" spans="21:25" x14ac:dyDescent="0.2">
      <c r="U1480" s="213" t="str">
        <f t="shared" si="26"/>
        <v>1w</v>
      </c>
      <c r="V1480" s="201">
        <f>_xll.qlCalendarAdvance(Calendar,V1479,U1480,"f",FALSE)</f>
        <v>49157</v>
      </c>
      <c r="W1480" s="225">
        <f>_xll.qlCalendarAdvance(Calendar,V1480,NDays&amp;"D")</f>
        <v>49159</v>
      </c>
      <c r="X1480" s="200">
        <v>2.6738423550255068E-2</v>
      </c>
      <c r="Y1480" s="209">
        <v>2.6682053377866666E-2</v>
      </c>
    </row>
    <row r="1481" spans="21:25" x14ac:dyDescent="0.2">
      <c r="U1481" s="213" t="str">
        <f t="shared" si="26"/>
        <v>1w</v>
      </c>
      <c r="V1481" s="201">
        <f>_xll.qlCalendarAdvance(Calendar,V1480,U1481,"f",FALSE)</f>
        <v>49164</v>
      </c>
      <c r="W1481" s="225">
        <f>_xll.qlCalendarAdvance(Calendar,V1481,NDays&amp;"D")</f>
        <v>49166</v>
      </c>
      <c r="X1481" s="200">
        <v>2.6728764761658606E-2</v>
      </c>
      <c r="Y1481" s="209">
        <v>2.6672575449024905E-2</v>
      </c>
    </row>
    <row r="1482" spans="21:25" x14ac:dyDescent="0.2">
      <c r="U1482" s="213" t="str">
        <f t="shared" si="26"/>
        <v>1w</v>
      </c>
      <c r="V1482" s="201">
        <f>_xll.qlCalendarAdvance(Calendar,V1481,U1482,"f",FALSE)</f>
        <v>49171</v>
      </c>
      <c r="W1482" s="225">
        <f>_xll.qlCalendarAdvance(Calendar,V1482,NDays&amp;"D")</f>
        <v>49173</v>
      </c>
      <c r="X1482" s="200">
        <v>2.6719102186958672E-2</v>
      </c>
      <c r="Y1482" s="209">
        <v>2.666309373880793E-2</v>
      </c>
    </row>
    <row r="1483" spans="21:25" x14ac:dyDescent="0.2">
      <c r="U1483" s="213" t="str">
        <f t="shared" si="26"/>
        <v>1w</v>
      </c>
      <c r="V1483" s="201">
        <f>_xll.qlCalendarAdvance(Calendar,V1482,U1483,"f",FALSE)</f>
        <v>49178</v>
      </c>
      <c r="W1483" s="225">
        <f>_xll.qlCalendarAdvance(Calendar,V1483,NDays&amp;"D")</f>
        <v>49180</v>
      </c>
      <c r="X1483" s="200">
        <v>2.6709435826211134E-2</v>
      </c>
      <c r="Y1483" s="209">
        <v>2.6653608247055871E-2</v>
      </c>
    </row>
    <row r="1484" spans="21:25" x14ac:dyDescent="0.2">
      <c r="U1484" s="213" t="str">
        <f t="shared" si="26"/>
        <v>1w</v>
      </c>
      <c r="V1484" s="201">
        <f>_xll.qlCalendarAdvance(Calendar,V1483,U1484,"f",FALSE)</f>
        <v>49185</v>
      </c>
      <c r="W1484" s="225">
        <f>_xll.qlCalendarAdvance(Calendar,V1484,NDays&amp;"D")</f>
        <v>49187</v>
      </c>
      <c r="X1484" s="200">
        <v>2.6698297121437672E-2</v>
      </c>
      <c r="Y1484" s="209">
        <v>2.6644118973848663E-2</v>
      </c>
    </row>
    <row r="1485" spans="21:25" x14ac:dyDescent="0.2">
      <c r="U1485" s="213" t="str">
        <f t="shared" si="26"/>
        <v>1w</v>
      </c>
      <c r="V1485" s="201">
        <f>_xll.qlCalendarAdvance(Calendar,V1484,U1485,"f",FALSE)</f>
        <v>49192</v>
      </c>
      <c r="W1485" s="225">
        <f>_xll.qlCalendarAdvance(Calendar,V1485,NDays&amp;"D")</f>
        <v>49194</v>
      </c>
      <c r="X1485" s="200">
        <v>2.6688628102378226E-2</v>
      </c>
      <c r="Y1485" s="209">
        <v>2.6634625919266242E-2</v>
      </c>
    </row>
    <row r="1486" spans="21:25" x14ac:dyDescent="0.2">
      <c r="U1486" s="213" t="str">
        <f t="shared" si="26"/>
        <v>1w</v>
      </c>
      <c r="V1486" s="201">
        <f>_xll.qlCalendarAdvance(Calendar,V1485,U1486,"f",FALSE)</f>
        <v>49199</v>
      </c>
      <c r="W1486" s="225">
        <f>_xll.qlCalendarAdvance(Calendar,V1486,NDays&amp;"D")</f>
        <v>49201</v>
      </c>
      <c r="X1486" s="200">
        <v>2.6678955297532073E-2</v>
      </c>
      <c r="Y1486" s="209">
        <v>2.6625129083068799E-2</v>
      </c>
    </row>
    <row r="1487" spans="21:25" x14ac:dyDescent="0.2">
      <c r="U1487" s="213" t="str">
        <f t="shared" si="26"/>
        <v>1w</v>
      </c>
      <c r="V1487" s="201">
        <f>_xll.qlCalendarAdvance(Calendar,V1486,U1487,"f",FALSE)</f>
        <v>49206</v>
      </c>
      <c r="W1487" s="225">
        <f>_xll.qlCalendarAdvance(Calendar,V1487,NDays&amp;"D")</f>
        <v>49208</v>
      </c>
      <c r="X1487" s="200">
        <v>2.6669278706954409E-2</v>
      </c>
      <c r="Y1487" s="209">
        <v>2.6615628465496144E-2</v>
      </c>
    </row>
    <row r="1488" spans="21:25" x14ac:dyDescent="0.2">
      <c r="U1488" s="213" t="str">
        <f t="shared" si="26"/>
        <v>1w</v>
      </c>
      <c r="V1488" s="201">
        <f>_xll.qlCalendarAdvance(Calendar,V1487,U1488,"f",FALSE)</f>
        <v>49213</v>
      </c>
      <c r="W1488" s="225">
        <f>_xll.qlCalendarAdvance(Calendar,V1488,NDays&amp;"D")</f>
        <v>49215</v>
      </c>
      <c r="X1488" s="200">
        <v>2.6659598330700002E-2</v>
      </c>
      <c r="Y1488" s="209">
        <v>2.6606124066388404E-2</v>
      </c>
    </row>
    <row r="1489" spans="21:25" x14ac:dyDescent="0.2">
      <c r="U1489" s="213" t="str">
        <f t="shared" si="26"/>
        <v>1w</v>
      </c>
      <c r="V1489" s="201">
        <f>_xll.qlCalendarAdvance(Calendar,V1488,U1489,"f",FALSE)</f>
        <v>49220</v>
      </c>
      <c r="W1489" s="225">
        <f>_xll.qlCalendarAdvance(Calendar,V1489,NDays&amp;"D")</f>
        <v>49222</v>
      </c>
      <c r="X1489" s="200">
        <v>2.6650203125798824E-2</v>
      </c>
      <c r="Y1489" s="209">
        <v>2.6596615885825514E-2</v>
      </c>
    </row>
    <row r="1490" spans="21:25" x14ac:dyDescent="0.2">
      <c r="U1490" s="213" t="str">
        <f t="shared" si="26"/>
        <v>1w</v>
      </c>
      <c r="V1490" s="201">
        <f>_xll.qlCalendarAdvance(Calendar,V1489,U1490,"f",FALSE)</f>
        <v>49227</v>
      </c>
      <c r="W1490" s="225">
        <f>_xll.qlCalendarAdvance(Calendar,V1490,NDays&amp;"D")</f>
        <v>49229</v>
      </c>
      <c r="X1490" s="200">
        <v>2.6640514195655357E-2</v>
      </c>
      <c r="Y1490" s="209">
        <v>2.6587103923807476E-2</v>
      </c>
    </row>
    <row r="1491" spans="21:25" x14ac:dyDescent="0.2">
      <c r="U1491" s="213" t="str">
        <f t="shared" si="26"/>
        <v>1w</v>
      </c>
      <c r="V1491" s="201">
        <f>_xll.qlCalendarAdvance(Calendar,V1490,U1491,"f",FALSE)</f>
        <v>49234</v>
      </c>
      <c r="W1491" s="225">
        <f>_xll.qlCalendarAdvance(Calendar,V1491,NDays&amp;"D")</f>
        <v>49236</v>
      </c>
      <c r="X1491" s="200">
        <v>2.6630821479982199E-2</v>
      </c>
      <c r="Y1491" s="209">
        <v>2.6577588180254352E-2</v>
      </c>
    </row>
    <row r="1492" spans="21:25" x14ac:dyDescent="0.2">
      <c r="U1492" s="213" t="str">
        <f t="shared" si="26"/>
        <v>1w</v>
      </c>
      <c r="V1492" s="201">
        <f>_xll.qlCalendarAdvance(Calendar,V1491,U1492,"f",FALSE)</f>
        <v>49241</v>
      </c>
      <c r="W1492" s="225">
        <f>_xll.qlCalendarAdvance(Calendar,V1492,NDays&amp;"D")</f>
        <v>49243</v>
      </c>
      <c r="X1492" s="200">
        <v>2.6621124978836445E-2</v>
      </c>
      <c r="Y1492" s="209">
        <v>2.6568068655326016E-2</v>
      </c>
    </row>
    <row r="1493" spans="21:25" x14ac:dyDescent="0.2">
      <c r="U1493" s="213" t="str">
        <f t="shared" ref="U1493:U1556" si="27">U1492</f>
        <v>1w</v>
      </c>
      <c r="V1493" s="201">
        <f>_xll.qlCalendarAdvance(Calendar,V1492,U1493,"f",FALSE)</f>
        <v>49248</v>
      </c>
      <c r="W1493" s="225">
        <f>_xll.qlCalendarAdvance(Calendar,V1493,NDays&amp;"D")</f>
        <v>49250</v>
      </c>
      <c r="X1493" s="200">
        <v>2.6611139666204979E-2</v>
      </c>
      <c r="Y1493" s="209">
        <v>2.6558545348862594E-2</v>
      </c>
    </row>
    <row r="1494" spans="21:25" x14ac:dyDescent="0.2">
      <c r="U1494" s="213" t="str">
        <f t="shared" si="27"/>
        <v>1w</v>
      </c>
      <c r="V1494" s="201">
        <f>_xll.qlCalendarAdvance(Calendar,V1493,U1494,"f",FALSE)</f>
        <v>49255</v>
      </c>
      <c r="W1494" s="225">
        <f>_xll.qlCalendarAdvance(Calendar,V1494,NDays&amp;"D")</f>
        <v>49257</v>
      </c>
      <c r="X1494" s="200">
        <v>2.660143657704675E-2</v>
      </c>
      <c r="Y1494" s="209">
        <v>2.6549018260944024E-2</v>
      </c>
    </row>
    <row r="1495" spans="21:25" x14ac:dyDescent="0.2">
      <c r="U1495" s="213" t="str">
        <f t="shared" si="27"/>
        <v>1w</v>
      </c>
      <c r="V1495" s="201">
        <f>_xll.qlCalendarAdvance(Calendar,V1494,U1495,"f",FALSE)</f>
        <v>49262</v>
      </c>
      <c r="W1495" s="225">
        <f>_xll.qlCalendarAdvance(Calendar,V1495,NDays&amp;"D")</f>
        <v>49264</v>
      </c>
      <c r="X1495" s="200">
        <v>2.6591729702596441E-2</v>
      </c>
      <c r="Y1495" s="209">
        <v>2.6539487391490368E-2</v>
      </c>
    </row>
    <row r="1496" spans="21:25" x14ac:dyDescent="0.2">
      <c r="U1496" s="213" t="str">
        <f t="shared" si="27"/>
        <v>1w</v>
      </c>
      <c r="V1496" s="201">
        <f>_xll.qlCalendarAdvance(Calendar,V1495,U1496,"f",FALSE)</f>
        <v>49269</v>
      </c>
      <c r="W1496" s="225">
        <f>_xll.qlCalendarAdvance(Calendar,V1496,NDays&amp;"D")</f>
        <v>49271</v>
      </c>
      <c r="X1496" s="200">
        <v>2.658201904291058E-2</v>
      </c>
      <c r="Y1496" s="209">
        <v>2.65299527406615E-2</v>
      </c>
    </row>
    <row r="1497" spans="21:25" x14ac:dyDescent="0.2">
      <c r="U1497" s="213" t="str">
        <f t="shared" si="27"/>
        <v>1w</v>
      </c>
      <c r="V1497" s="201">
        <f>_xll.qlCalendarAdvance(Calendar,V1496,U1497,"f",FALSE)</f>
        <v>49276</v>
      </c>
      <c r="W1497" s="225">
        <f>_xll.qlCalendarAdvance(Calendar,V1497,NDays&amp;"D")</f>
        <v>49278</v>
      </c>
      <c r="X1497" s="200">
        <v>2.657258569294952E-2</v>
      </c>
      <c r="Y1497" s="209">
        <v>2.6520414308297546E-2</v>
      </c>
    </row>
    <row r="1498" spans="21:25" x14ac:dyDescent="0.2">
      <c r="U1498" s="213" t="str">
        <f t="shared" si="27"/>
        <v>1w</v>
      </c>
      <c r="V1498" s="201">
        <f>_xll.qlCalendarAdvance(Calendar,V1497,U1498,"f",FALSE)</f>
        <v>49283</v>
      </c>
      <c r="W1498" s="225">
        <f>_xll.qlCalendarAdvance(Calendar,V1498,NDays&amp;"D")</f>
        <v>49285</v>
      </c>
      <c r="X1498" s="200">
        <v>2.6562866480128587E-2</v>
      </c>
      <c r="Y1498" s="209">
        <v>2.6510872094398508E-2</v>
      </c>
    </row>
    <row r="1499" spans="21:25" x14ac:dyDescent="0.2">
      <c r="U1499" s="213" t="str">
        <f t="shared" si="27"/>
        <v>1w</v>
      </c>
      <c r="V1499" s="201">
        <f>_xll.qlCalendarAdvance(Calendar,V1498,U1499,"f",FALSE)</f>
        <v>49290</v>
      </c>
      <c r="W1499" s="225">
        <f>_xll.qlCalendarAdvance(Calendar,V1499,NDays&amp;"D")</f>
        <v>49292</v>
      </c>
      <c r="X1499" s="200">
        <v>2.6553143482222884E-2</v>
      </c>
      <c r="Y1499" s="209">
        <v>2.6501326099204192E-2</v>
      </c>
    </row>
    <row r="1500" spans="21:25" x14ac:dyDescent="0.2">
      <c r="U1500" s="213" t="str">
        <f t="shared" si="27"/>
        <v>1w</v>
      </c>
      <c r="V1500" s="201">
        <f>_xll.qlCalendarAdvance(Calendar,V1499,U1500,"f",FALSE)</f>
        <v>49297</v>
      </c>
      <c r="W1500" s="225">
        <f>_xll.qlCalendarAdvance(Calendar,V1500,NDays&amp;"D")</f>
        <v>49299</v>
      </c>
      <c r="X1500" s="200">
        <v>2.6543416699287305E-2</v>
      </c>
      <c r="Y1500" s="209">
        <v>2.6491776322474792E-2</v>
      </c>
    </row>
    <row r="1501" spans="21:25" x14ac:dyDescent="0.2">
      <c r="U1501" s="213" t="str">
        <f t="shared" si="27"/>
        <v>1w</v>
      </c>
      <c r="V1501" s="201">
        <f>_xll.qlCalendarAdvance(Calendar,V1500,U1501,"f",FALSE)</f>
        <v>49305</v>
      </c>
      <c r="W1501" s="225">
        <f>_xll.qlCalendarAdvance(Calendar,V1501,NDays&amp;"D")</f>
        <v>49307</v>
      </c>
      <c r="X1501" s="200">
        <v>2.6532295741273929E-2</v>
      </c>
      <c r="Y1501" s="209">
        <v>2.6481731321723601E-2</v>
      </c>
    </row>
    <row r="1502" spans="21:25" x14ac:dyDescent="0.2">
      <c r="U1502" s="213" t="str">
        <f t="shared" si="27"/>
        <v>1w</v>
      </c>
      <c r="V1502" s="201">
        <f>_xll.qlCalendarAdvance(Calendar,V1501,U1502,"f",FALSE)</f>
        <v>49312</v>
      </c>
      <c r="W1502" s="225">
        <f>_xll.qlCalendarAdvance(Calendar,V1502,NDays&amp;"D")</f>
        <v>49314</v>
      </c>
      <c r="X1502" s="200">
        <v>2.6522284807539452E-2</v>
      </c>
      <c r="Y1502" s="209">
        <v>2.6471880354002053E-2</v>
      </c>
    </row>
    <row r="1503" spans="21:25" x14ac:dyDescent="0.2">
      <c r="U1503" s="213" t="str">
        <f t="shared" si="27"/>
        <v>1w</v>
      </c>
      <c r="V1503" s="201">
        <f>_xll.qlCalendarAdvance(Calendar,V1502,U1503,"f",FALSE)</f>
        <v>49319</v>
      </c>
      <c r="W1503" s="225">
        <f>_xll.qlCalendarAdvance(Calendar,V1503,NDays&amp;"D")</f>
        <v>49321</v>
      </c>
      <c r="X1503" s="200">
        <v>2.6512547112058551E-2</v>
      </c>
      <c r="Y1503" s="209">
        <v>2.6462316746442838E-2</v>
      </c>
    </row>
    <row r="1504" spans="21:25" x14ac:dyDescent="0.2">
      <c r="U1504" s="213" t="str">
        <f t="shared" si="27"/>
        <v>1w</v>
      </c>
      <c r="V1504" s="201">
        <f>_xll.qlCalendarAdvance(Calendar,V1503,U1504,"f",FALSE)</f>
        <v>49326</v>
      </c>
      <c r="W1504" s="225">
        <f>_xll.qlCalendarAdvance(Calendar,V1504,NDays&amp;"D")</f>
        <v>49328</v>
      </c>
      <c r="X1504" s="200">
        <v>2.6502805631791245E-2</v>
      </c>
      <c r="Y1504" s="209">
        <v>2.6452749357348537E-2</v>
      </c>
    </row>
    <row r="1505" spans="21:25" x14ac:dyDescent="0.2">
      <c r="U1505" s="213" t="str">
        <f t="shared" si="27"/>
        <v>1w</v>
      </c>
      <c r="V1505" s="201">
        <f>_xll.qlCalendarAdvance(Calendar,V1504,U1505,"f",FALSE)</f>
        <v>49333</v>
      </c>
      <c r="W1505" s="225">
        <f>_xll.qlCalendarAdvance(Calendar,V1505,NDays&amp;"D")</f>
        <v>49335</v>
      </c>
      <c r="X1505" s="200">
        <v>2.6493060366792737E-2</v>
      </c>
      <c r="Y1505" s="209">
        <v>2.6443178186745797E-2</v>
      </c>
    </row>
    <row r="1506" spans="21:25" x14ac:dyDescent="0.2">
      <c r="U1506" s="213" t="str">
        <f t="shared" si="27"/>
        <v>1w</v>
      </c>
      <c r="V1506" s="201">
        <f>_xll.qlCalendarAdvance(Calendar,V1505,U1506,"f",FALSE)</f>
        <v>49340</v>
      </c>
      <c r="W1506" s="225">
        <f>_xll.qlCalendarAdvance(Calendar,V1506,NDays&amp;"D")</f>
        <v>49342</v>
      </c>
      <c r="X1506" s="200">
        <v>2.6483311317118671E-2</v>
      </c>
      <c r="Y1506" s="209">
        <v>2.6433603234661263E-2</v>
      </c>
    </row>
    <row r="1507" spans="21:25" x14ac:dyDescent="0.2">
      <c r="U1507" s="213" t="str">
        <f t="shared" si="27"/>
        <v>1w</v>
      </c>
      <c r="V1507" s="201">
        <f>_xll.qlCalendarAdvance(Calendar,V1506,U1507,"f",FALSE)</f>
        <v>49347</v>
      </c>
      <c r="W1507" s="225">
        <f>_xll.qlCalendarAdvance(Calendar,V1507,NDays&amp;"D")</f>
        <v>49349</v>
      </c>
      <c r="X1507" s="200">
        <v>2.6473558482824695E-2</v>
      </c>
      <c r="Y1507" s="209">
        <v>2.6424024500988352E-2</v>
      </c>
    </row>
    <row r="1508" spans="21:25" x14ac:dyDescent="0.2">
      <c r="U1508" s="213" t="str">
        <f t="shared" si="27"/>
        <v>1w</v>
      </c>
      <c r="V1508" s="201">
        <f>_xll.qlCalendarAdvance(Calendar,V1507,U1508,"f",FALSE)</f>
        <v>49354</v>
      </c>
      <c r="W1508" s="225">
        <f>_xll.qlCalendarAdvance(Calendar,V1508,NDays&amp;"D")</f>
        <v>49356</v>
      </c>
      <c r="X1508" s="200">
        <v>2.6463801863966015E-2</v>
      </c>
      <c r="Y1508" s="209">
        <v>2.6414441985886938E-2</v>
      </c>
    </row>
    <row r="1509" spans="21:25" x14ac:dyDescent="0.2">
      <c r="U1509" s="213" t="str">
        <f t="shared" si="27"/>
        <v>1w</v>
      </c>
      <c r="V1509" s="201">
        <f>_xll.qlCalendarAdvance(Calendar,V1508,U1509,"f",FALSE)</f>
        <v>49361</v>
      </c>
      <c r="W1509" s="225">
        <f>_xll.qlCalendarAdvance(Calendar,V1509,NDays&amp;"D")</f>
        <v>49363</v>
      </c>
      <c r="X1509" s="200">
        <v>2.6454041460597391E-2</v>
      </c>
      <c r="Y1509" s="209">
        <v>2.6404855689223794E-2</v>
      </c>
    </row>
    <row r="1510" spans="21:25" x14ac:dyDescent="0.2">
      <c r="U1510" s="213" t="str">
        <f t="shared" si="27"/>
        <v>1w</v>
      </c>
      <c r="V1510" s="201">
        <f>_xll.qlCalendarAdvance(Calendar,V1509,U1510,"f",FALSE)</f>
        <v>49368</v>
      </c>
      <c r="W1510" s="225">
        <f>_xll.qlCalendarAdvance(Calendar,V1510,NDays&amp;"D")</f>
        <v>49370</v>
      </c>
      <c r="X1510" s="200">
        <v>2.6445349495088581E-2</v>
      </c>
      <c r="Y1510" s="209">
        <v>2.6395265611078855E-2</v>
      </c>
    </row>
    <row r="1511" spans="21:25" x14ac:dyDescent="0.2">
      <c r="U1511" s="213" t="str">
        <f t="shared" si="27"/>
        <v>1w</v>
      </c>
      <c r="V1511" s="201">
        <f>_xll.qlCalendarAdvance(Calendar,V1510,U1511,"f",FALSE)</f>
        <v>49375</v>
      </c>
      <c r="W1511" s="225">
        <f>_xll.qlCalendarAdvance(Calendar,V1511,NDays&amp;"D")</f>
        <v>49377</v>
      </c>
      <c r="X1511" s="200">
        <v>2.6435577590569723E-2</v>
      </c>
      <c r="Y1511" s="209">
        <v>2.6385671751398831E-2</v>
      </c>
    </row>
    <row r="1512" spans="21:25" x14ac:dyDescent="0.2">
      <c r="U1512" s="213" t="str">
        <f t="shared" si="27"/>
        <v>1w</v>
      </c>
      <c r="V1512" s="201">
        <f>_xll.qlCalendarAdvance(Calendar,V1511,U1512,"f",FALSE)</f>
        <v>49382</v>
      </c>
      <c r="W1512" s="225">
        <f>_xll.qlCalendarAdvance(Calendar,V1512,NDays&amp;"D")</f>
        <v>49384</v>
      </c>
      <c r="X1512" s="200">
        <v>2.6425801901667028E-2</v>
      </c>
      <c r="Y1512" s="209">
        <v>2.6376074110183723E-2</v>
      </c>
    </row>
    <row r="1513" spans="21:25" x14ac:dyDescent="0.2">
      <c r="U1513" s="213" t="str">
        <f t="shared" si="27"/>
        <v>1w</v>
      </c>
      <c r="V1513" s="201">
        <f>_xll.qlCalendarAdvance(Calendar,V1512,U1513,"f",FALSE)</f>
        <v>49389</v>
      </c>
      <c r="W1513" s="225">
        <f>_xll.qlCalendarAdvance(Calendar,V1513,NDays&amp;"D")</f>
        <v>49395</v>
      </c>
      <c r="X1513" s="200">
        <v>2.6410168035792089E-2</v>
      </c>
      <c r="Y1513" s="209">
        <v>2.6360426412805893E-2</v>
      </c>
    </row>
    <row r="1514" spans="21:25" x14ac:dyDescent="0.2">
      <c r="U1514" s="213" t="str">
        <f t="shared" si="27"/>
        <v>1w</v>
      </c>
      <c r="V1514" s="201">
        <f>_xll.qlCalendarAdvance(Calendar,V1513,U1514,"f",FALSE)</f>
        <v>49396</v>
      </c>
      <c r="W1514" s="225">
        <f>_xll.qlCalendarAdvance(Calendar,V1514,NDays&amp;"D")</f>
        <v>49398</v>
      </c>
      <c r="X1514" s="200">
        <v>2.6405446922687741E-2</v>
      </c>
      <c r="Y1514" s="209">
        <v>2.6356867483308122E-2</v>
      </c>
    </row>
    <row r="1515" spans="21:25" x14ac:dyDescent="0.2">
      <c r="U1515" s="213" t="str">
        <f t="shared" si="27"/>
        <v>1w</v>
      </c>
      <c r="V1515" s="201">
        <f>_xll.qlCalendarAdvance(Calendar,V1514,U1515,"f",FALSE)</f>
        <v>49403</v>
      </c>
      <c r="W1515" s="225">
        <f>_xll.qlCalendarAdvance(Calendar,V1515,NDays&amp;"D")</f>
        <v>49405</v>
      </c>
      <c r="X1515" s="200">
        <v>2.6396452129221117E-2</v>
      </c>
      <c r="Y1515" s="209">
        <v>2.6347258497594339E-2</v>
      </c>
    </row>
    <row r="1516" spans="21:25" x14ac:dyDescent="0.2">
      <c r="U1516" s="213" t="str">
        <f t="shared" si="27"/>
        <v>1w</v>
      </c>
      <c r="V1516" s="201">
        <f>_xll.qlCalendarAdvance(Calendar,V1515,U1516,"f",FALSE)</f>
        <v>49410</v>
      </c>
      <c r="W1516" s="225">
        <f>_xll.qlCalendarAdvance(Calendar,V1516,NDays&amp;"D")</f>
        <v>49412</v>
      </c>
      <c r="X1516" s="200">
        <v>2.6386661303349556E-2</v>
      </c>
      <c r="Y1516" s="209">
        <v>2.6337645730372117E-2</v>
      </c>
    </row>
    <row r="1517" spans="21:25" x14ac:dyDescent="0.2">
      <c r="U1517" s="213" t="str">
        <f t="shared" si="27"/>
        <v>1w</v>
      </c>
      <c r="V1517" s="201">
        <f>_xll.qlCalendarAdvance(Calendar,V1516,U1517,"f",FALSE)</f>
        <v>49417</v>
      </c>
      <c r="W1517" s="225">
        <f>_xll.qlCalendarAdvance(Calendar,V1517,NDays&amp;"D")</f>
        <v>49419</v>
      </c>
      <c r="X1517" s="200">
        <v>2.6376866693377611E-2</v>
      </c>
      <c r="Y1517" s="209">
        <v>2.6328029181641455E-2</v>
      </c>
    </row>
    <row r="1518" spans="21:25" x14ac:dyDescent="0.2">
      <c r="U1518" s="213" t="str">
        <f t="shared" si="27"/>
        <v>1w</v>
      </c>
      <c r="V1518" s="201">
        <f>_xll.qlCalendarAdvance(Calendar,V1517,U1518,"f",FALSE)</f>
        <v>49424</v>
      </c>
      <c r="W1518" s="225">
        <f>_xll.qlCalendarAdvance(Calendar,V1518,NDays&amp;"D")</f>
        <v>49426</v>
      </c>
      <c r="X1518" s="200">
        <v>2.6367068299362317E-2</v>
      </c>
      <c r="Y1518" s="209">
        <v>2.6318408851455644E-2</v>
      </c>
    </row>
    <row r="1519" spans="21:25" x14ac:dyDescent="0.2">
      <c r="U1519" s="213" t="str">
        <f t="shared" si="27"/>
        <v>1w</v>
      </c>
      <c r="V1519" s="201">
        <f>_xll.qlCalendarAdvance(Calendar,V1518,U1519,"f",FALSE)</f>
        <v>49431</v>
      </c>
      <c r="W1519" s="225">
        <f>_xll.qlCalendarAdvance(Calendar,V1519,NDays&amp;"D")</f>
        <v>49433</v>
      </c>
      <c r="X1519" s="200">
        <v>2.6357266121360277E-2</v>
      </c>
      <c r="Y1519" s="209">
        <v>2.6308784739681457E-2</v>
      </c>
    </row>
    <row r="1520" spans="21:25" x14ac:dyDescent="0.2">
      <c r="U1520" s="213" t="str">
        <f t="shared" si="27"/>
        <v>1w</v>
      </c>
      <c r="V1520" s="201">
        <f>_xll.qlCalendarAdvance(Calendar,V1519,U1520,"f",FALSE)</f>
        <v>49438</v>
      </c>
      <c r="W1520" s="225">
        <f>_xll.qlCalendarAdvance(Calendar,V1520,NDays&amp;"D")</f>
        <v>49440</v>
      </c>
      <c r="X1520" s="200">
        <v>2.6347460159428529E-2</v>
      </c>
      <c r="Y1520" s="209">
        <v>2.6299156846478766E-2</v>
      </c>
    </row>
    <row r="1521" spans="21:25" x14ac:dyDescent="0.2">
      <c r="U1521" s="213" t="str">
        <f t="shared" si="27"/>
        <v>1w</v>
      </c>
      <c r="V1521" s="201">
        <f>_xll.qlCalendarAdvance(Calendar,V1520,U1521,"f",FALSE)</f>
        <v>49445</v>
      </c>
      <c r="W1521" s="225">
        <f>_xll.qlCalendarAdvance(Calendar,V1521,NDays&amp;"D")</f>
        <v>49447</v>
      </c>
      <c r="X1521" s="200">
        <v>2.6337650413623671E-2</v>
      </c>
      <c r="Y1521" s="209">
        <v>2.6289525171714345E-2</v>
      </c>
    </row>
    <row r="1522" spans="21:25" x14ac:dyDescent="0.2">
      <c r="U1522" s="213" t="str">
        <f t="shared" si="27"/>
        <v>1w</v>
      </c>
      <c r="V1522" s="201">
        <f>_xll.qlCalendarAdvance(Calendar,V1521,U1522,"f",FALSE)</f>
        <v>49452</v>
      </c>
      <c r="W1522" s="225">
        <f>_xll.qlCalendarAdvance(Calendar,V1522,NDays&amp;"D")</f>
        <v>49454</v>
      </c>
      <c r="X1522" s="200">
        <v>2.632783688400404E-2</v>
      </c>
      <c r="Y1522" s="209">
        <v>2.6279889715494775E-2</v>
      </c>
    </row>
    <row r="1523" spans="21:25" x14ac:dyDescent="0.2">
      <c r="U1523" s="213" t="str">
        <f t="shared" si="27"/>
        <v>1w</v>
      </c>
      <c r="V1523" s="201">
        <f>_xll.qlCalendarAdvance(Calendar,V1522,U1523,"f",FALSE)</f>
        <v>49459</v>
      </c>
      <c r="W1523" s="225">
        <f>_xll.qlCalendarAdvance(Calendar,V1523,NDays&amp;"D")</f>
        <v>49461</v>
      </c>
      <c r="X1523" s="200">
        <v>2.6318019570625371E-2</v>
      </c>
      <c r="Y1523" s="209">
        <v>2.627025047774012E-2</v>
      </c>
    </row>
    <row r="1524" spans="21:25" x14ac:dyDescent="0.2">
      <c r="U1524" s="213" t="str">
        <f t="shared" si="27"/>
        <v>1w</v>
      </c>
      <c r="V1524" s="201">
        <f>_xll.qlCalendarAdvance(Calendar,V1523,U1524,"f",FALSE)</f>
        <v>49466</v>
      </c>
      <c r="W1524" s="225">
        <f>_xll.qlCalendarAdvance(Calendar,V1524,NDays&amp;"D")</f>
        <v>49468</v>
      </c>
      <c r="X1524" s="200">
        <v>2.6308198473544271E-2</v>
      </c>
      <c r="Y1524" s="209">
        <v>2.6260607458503671E-2</v>
      </c>
    </row>
    <row r="1525" spans="21:25" x14ac:dyDescent="0.2">
      <c r="U1525" s="213" t="str">
        <f t="shared" si="27"/>
        <v>1w</v>
      </c>
      <c r="V1525" s="201">
        <f>_xll.qlCalendarAdvance(Calendar,V1524,U1525,"f",FALSE)</f>
        <v>49473</v>
      </c>
      <c r="W1525" s="225">
        <f>_xll.qlCalendarAdvance(Calendar,V1525,NDays&amp;"D")</f>
        <v>49475</v>
      </c>
      <c r="X1525" s="200">
        <v>2.6298373592819071E-2</v>
      </c>
      <c r="Y1525" s="209">
        <v>2.6250960657758782E-2</v>
      </c>
    </row>
    <row r="1526" spans="21:25" x14ac:dyDescent="0.2">
      <c r="U1526" s="213" t="str">
        <f t="shared" si="27"/>
        <v>1w</v>
      </c>
      <c r="V1526" s="201">
        <f>_xll.qlCalendarAdvance(Calendar,V1525,U1526,"f",FALSE)</f>
        <v>49480</v>
      </c>
      <c r="W1526" s="225">
        <f>_xll.qlCalendarAdvance(Calendar,V1526,NDays&amp;"D")</f>
        <v>49482</v>
      </c>
      <c r="X1526" s="200">
        <v>2.6288544928505943E-2</v>
      </c>
      <c r="Y1526" s="209">
        <v>2.6241310075558744E-2</v>
      </c>
    </row>
    <row r="1527" spans="21:25" x14ac:dyDescent="0.2">
      <c r="U1527" s="213" t="str">
        <f t="shared" si="27"/>
        <v>1w</v>
      </c>
      <c r="V1527" s="201">
        <f>_xll.qlCalendarAdvance(Calendar,V1526,U1527,"f",FALSE)</f>
        <v>49487</v>
      </c>
      <c r="W1527" s="225">
        <f>_xll.qlCalendarAdvance(Calendar,V1527,NDays&amp;"D")</f>
        <v>49489</v>
      </c>
      <c r="X1527" s="200">
        <v>2.6278712480661919E-2</v>
      </c>
      <c r="Y1527" s="209">
        <v>2.623165571182362E-2</v>
      </c>
    </row>
    <row r="1528" spans="21:25" x14ac:dyDescent="0.2">
      <c r="U1528" s="213" t="str">
        <f t="shared" si="27"/>
        <v>1w</v>
      </c>
      <c r="V1528" s="201">
        <f>_xll.qlCalendarAdvance(Calendar,V1527,U1528,"f",FALSE)</f>
        <v>49494</v>
      </c>
      <c r="W1528" s="225">
        <f>_xll.qlCalendarAdvance(Calendar,V1528,NDays&amp;"D")</f>
        <v>49496</v>
      </c>
      <c r="X1528" s="200">
        <v>2.6268876249344469E-2</v>
      </c>
      <c r="Y1528" s="209">
        <v>2.6221997566606703E-2</v>
      </c>
    </row>
    <row r="1529" spans="21:25" x14ac:dyDescent="0.2">
      <c r="U1529" s="213" t="str">
        <f t="shared" si="27"/>
        <v>1w</v>
      </c>
      <c r="V1529" s="201">
        <f>_xll.qlCalendarAdvance(Calendar,V1528,U1529,"f",FALSE)</f>
        <v>49501</v>
      </c>
      <c r="W1529" s="225">
        <f>_xll.qlCalendarAdvance(Calendar,V1529,NDays&amp;"D")</f>
        <v>49503</v>
      </c>
      <c r="X1529" s="200">
        <v>2.6259036234610195E-2</v>
      </c>
      <c r="Y1529" s="209">
        <v>2.62123356398547E-2</v>
      </c>
    </row>
    <row r="1530" spans="21:25" x14ac:dyDescent="0.2">
      <c r="U1530" s="213" t="str">
        <f t="shared" si="27"/>
        <v>1w</v>
      </c>
      <c r="V1530" s="201">
        <f>_xll.qlCalendarAdvance(Calendar,V1529,U1530,"f",FALSE)</f>
        <v>49508</v>
      </c>
      <c r="W1530" s="225">
        <f>_xll.qlCalendarAdvance(Calendar,V1530,NDays&amp;"D")</f>
        <v>49510</v>
      </c>
      <c r="X1530" s="200">
        <v>2.6249192436516997E-2</v>
      </c>
      <c r="Y1530" s="209">
        <v>2.6202669931647549E-2</v>
      </c>
    </row>
    <row r="1531" spans="21:25" x14ac:dyDescent="0.2">
      <c r="U1531" s="213" t="str">
        <f t="shared" si="27"/>
        <v>1w</v>
      </c>
      <c r="V1531" s="201">
        <f>_xll.qlCalendarAdvance(Calendar,V1530,U1531,"f",FALSE)</f>
        <v>49515</v>
      </c>
      <c r="W1531" s="225">
        <f>_xll.qlCalendarAdvance(Calendar,V1531,NDays&amp;"D")</f>
        <v>49517</v>
      </c>
      <c r="X1531" s="200">
        <v>2.6239344855121478E-2</v>
      </c>
      <c r="Y1531" s="209">
        <v>2.6193000441985248E-2</v>
      </c>
    </row>
    <row r="1532" spans="21:25" x14ac:dyDescent="0.2">
      <c r="U1532" s="213" t="str">
        <f t="shared" si="27"/>
        <v>1w</v>
      </c>
      <c r="V1532" s="201">
        <f>_xll.qlCalendarAdvance(Calendar,V1531,U1532,"f",FALSE)</f>
        <v>49522</v>
      </c>
      <c r="W1532" s="225">
        <f>_xll.qlCalendarAdvance(Calendar,V1532,NDays&amp;"D")</f>
        <v>49524</v>
      </c>
      <c r="X1532" s="200">
        <v>2.6229493490480246E-2</v>
      </c>
      <c r="Y1532" s="209">
        <v>2.6183327170761217E-2</v>
      </c>
    </row>
    <row r="1533" spans="21:25" x14ac:dyDescent="0.2">
      <c r="U1533" s="213" t="str">
        <f t="shared" si="27"/>
        <v>1w</v>
      </c>
      <c r="V1533" s="201">
        <f>_xll.qlCalendarAdvance(Calendar,V1532,U1533,"f",FALSE)</f>
        <v>49529</v>
      </c>
      <c r="W1533" s="225">
        <f>_xll.qlCalendarAdvance(Calendar,V1533,NDays&amp;"D")</f>
        <v>49531</v>
      </c>
      <c r="X1533" s="200">
        <v>2.6219638342651626E-2</v>
      </c>
      <c r="Y1533" s="209">
        <v>2.6173650118055392E-2</v>
      </c>
    </row>
    <row r="1534" spans="21:25" x14ac:dyDescent="0.2">
      <c r="U1534" s="213" t="str">
        <f t="shared" si="27"/>
        <v>1w</v>
      </c>
      <c r="V1534" s="201">
        <f>_xll.qlCalendarAdvance(Calendar,V1533,U1534,"f",FALSE)</f>
        <v>49536</v>
      </c>
      <c r="W1534" s="225">
        <f>_xll.qlCalendarAdvance(Calendar,V1534,NDays&amp;"D")</f>
        <v>49538</v>
      </c>
      <c r="X1534" s="200">
        <v>2.6209779411691794E-2</v>
      </c>
      <c r="Y1534" s="209">
        <v>2.6163969283894417E-2</v>
      </c>
    </row>
    <row r="1535" spans="21:25" x14ac:dyDescent="0.2">
      <c r="U1535" s="213" t="str">
        <f t="shared" si="27"/>
        <v>1w</v>
      </c>
      <c r="V1535" s="201">
        <f>_xll.qlCalendarAdvance(Calendar,V1534,U1535,"f",FALSE)</f>
        <v>49543</v>
      </c>
      <c r="W1535" s="225">
        <f>_xll.qlCalendarAdvance(Calendar,V1535,NDays&amp;"D")</f>
        <v>49545</v>
      </c>
      <c r="X1535" s="200">
        <v>2.619991669765908E-2</v>
      </c>
      <c r="Y1535" s="209">
        <v>2.6154284668225003E-2</v>
      </c>
    </row>
    <row r="1536" spans="21:25" x14ac:dyDescent="0.2">
      <c r="U1536" s="213" t="str">
        <f t="shared" si="27"/>
        <v>1w</v>
      </c>
      <c r="V1536" s="201">
        <f>_xll.qlCalendarAdvance(Calendar,V1535,U1536,"f",FALSE)</f>
        <v>49550</v>
      </c>
      <c r="W1536" s="225">
        <f>_xll.qlCalendarAdvance(Calendar,V1536,NDays&amp;"D")</f>
        <v>49552</v>
      </c>
      <c r="X1536" s="200">
        <v>2.6189322844438902E-2</v>
      </c>
      <c r="Y1536" s="209">
        <v>2.6144596271073794E-2</v>
      </c>
    </row>
    <row r="1537" spans="21:25" x14ac:dyDescent="0.2">
      <c r="U1537" s="213" t="str">
        <f t="shared" si="27"/>
        <v>1w</v>
      </c>
      <c r="V1537" s="201">
        <f>_xll.qlCalendarAdvance(Calendar,V1536,U1537,"f",FALSE)</f>
        <v>49557</v>
      </c>
      <c r="W1537" s="225">
        <f>_xll.qlCalendarAdvance(Calendar,V1537,NDays&amp;"D")</f>
        <v>49559</v>
      </c>
      <c r="X1537" s="200">
        <v>2.6179455514231485E-2</v>
      </c>
      <c r="Y1537" s="209">
        <v>2.6134904092440792E-2</v>
      </c>
    </row>
    <row r="1538" spans="21:25" x14ac:dyDescent="0.2">
      <c r="U1538" s="213" t="str">
        <f t="shared" si="27"/>
        <v>1w</v>
      </c>
      <c r="V1538" s="201">
        <f>_xll.qlCalendarAdvance(Calendar,V1537,U1538,"f",FALSE)</f>
        <v>49564</v>
      </c>
      <c r="W1538" s="225">
        <f>_xll.qlCalendarAdvance(Calendar,V1538,NDays&amp;"D")</f>
        <v>49566</v>
      </c>
      <c r="X1538" s="200">
        <v>2.6169584401127433E-2</v>
      </c>
      <c r="Y1538" s="209">
        <v>2.6125208132272704E-2</v>
      </c>
    </row>
    <row r="1539" spans="21:25" x14ac:dyDescent="0.2">
      <c r="U1539" s="213" t="str">
        <f t="shared" si="27"/>
        <v>1w</v>
      </c>
      <c r="V1539" s="201">
        <f>_xll.qlCalendarAdvance(Calendar,V1538,U1539,"f",FALSE)</f>
        <v>49571</v>
      </c>
      <c r="W1539" s="225">
        <f>_xll.qlCalendarAdvance(Calendar,V1539,NDays&amp;"D")</f>
        <v>49573</v>
      </c>
      <c r="X1539" s="200">
        <v>2.6159709505186039E-2</v>
      </c>
      <c r="Y1539" s="209">
        <v>2.6115508390676112E-2</v>
      </c>
    </row>
    <row r="1540" spans="21:25" x14ac:dyDescent="0.2">
      <c r="U1540" s="213" t="str">
        <f t="shared" si="27"/>
        <v>1w</v>
      </c>
      <c r="V1540" s="201">
        <f>_xll.qlCalendarAdvance(Calendar,V1539,U1540,"f",FALSE)</f>
        <v>49578</v>
      </c>
      <c r="W1540" s="225">
        <f>_xll.qlCalendarAdvance(Calendar,V1540,NDays&amp;"D")</f>
        <v>49580</v>
      </c>
      <c r="X1540" s="200">
        <v>2.6150546383397224E-2</v>
      </c>
      <c r="Y1540" s="209">
        <v>2.6105804867597726E-2</v>
      </c>
    </row>
    <row r="1541" spans="21:25" x14ac:dyDescent="0.2">
      <c r="U1541" s="213" t="str">
        <f t="shared" si="27"/>
        <v>1w</v>
      </c>
      <c r="V1541" s="201">
        <f>_xll.qlCalendarAdvance(Calendar,V1540,U1541,"f",FALSE)</f>
        <v>49585</v>
      </c>
      <c r="W1541" s="225">
        <f>_xll.qlCalendarAdvance(Calendar,V1541,NDays&amp;"D")</f>
        <v>49587</v>
      </c>
      <c r="X1541" s="200">
        <v>2.6140660972126691E-2</v>
      </c>
      <c r="Y1541" s="209">
        <v>2.6096097562984255E-2</v>
      </c>
    </row>
    <row r="1542" spans="21:25" x14ac:dyDescent="0.2">
      <c r="U1542" s="213" t="str">
        <f t="shared" si="27"/>
        <v>1w</v>
      </c>
      <c r="V1542" s="201">
        <f>_xll.qlCalendarAdvance(Calendar,V1541,U1542,"f",FALSE)</f>
        <v>49592</v>
      </c>
      <c r="W1542" s="225">
        <f>_xll.qlCalendarAdvance(Calendar,V1542,NDays&amp;"D")</f>
        <v>49594</v>
      </c>
      <c r="X1542" s="200">
        <v>2.6131008165752433E-2</v>
      </c>
      <c r="Y1542" s="209">
        <v>2.6086386476915635E-2</v>
      </c>
    </row>
    <row r="1543" spans="21:25" x14ac:dyDescent="0.2">
      <c r="U1543" s="213" t="str">
        <f t="shared" si="27"/>
        <v>1w</v>
      </c>
      <c r="V1543" s="201">
        <f>_xll.qlCalendarAdvance(Calendar,V1542,U1543,"f",FALSE)</f>
        <v>49599</v>
      </c>
      <c r="W1543" s="225">
        <f>_xll.qlCalendarAdvance(Calendar,V1543,NDays&amp;"D")</f>
        <v>49601</v>
      </c>
      <c r="X1543" s="200">
        <v>2.6120878801625214E-2</v>
      </c>
      <c r="Y1543" s="209">
        <v>2.6076671609365221E-2</v>
      </c>
    </row>
    <row r="1544" spans="21:25" x14ac:dyDescent="0.2">
      <c r="U1544" s="213" t="str">
        <f t="shared" si="27"/>
        <v>1w</v>
      </c>
      <c r="V1544" s="201">
        <f>_xll.qlCalendarAdvance(Calendar,V1543,U1544,"f",FALSE)</f>
        <v>49606</v>
      </c>
      <c r="W1544" s="225">
        <f>_xll.qlCalendarAdvance(Calendar,V1544,NDays&amp;"D")</f>
        <v>49608</v>
      </c>
      <c r="X1544" s="200">
        <v>2.611098204251007E-2</v>
      </c>
      <c r="Y1544" s="209">
        <v>2.6066952960359657E-2</v>
      </c>
    </row>
    <row r="1545" spans="21:25" x14ac:dyDescent="0.2">
      <c r="U1545" s="213" t="str">
        <f t="shared" si="27"/>
        <v>1w</v>
      </c>
      <c r="V1545" s="201">
        <f>_xll.qlCalendarAdvance(Calendar,V1544,U1545,"f",FALSE)</f>
        <v>49613</v>
      </c>
      <c r="W1545" s="225">
        <f>_xll.qlCalendarAdvance(Calendar,V1545,NDays&amp;"D")</f>
        <v>49615</v>
      </c>
      <c r="X1545" s="200">
        <v>2.6100380693076759E-2</v>
      </c>
      <c r="Y1545" s="209">
        <v>2.6057230529845654E-2</v>
      </c>
    </row>
    <row r="1546" spans="21:25" x14ac:dyDescent="0.2">
      <c r="U1546" s="213" t="str">
        <f t="shared" si="27"/>
        <v>1w</v>
      </c>
      <c r="V1546" s="201">
        <f>_xll.qlCalendarAdvance(Calendar,V1545,U1546,"f",FALSE)</f>
        <v>49620</v>
      </c>
      <c r="W1546" s="225">
        <f>_xll.qlCalendarAdvance(Calendar,V1546,NDays&amp;"D")</f>
        <v>49622</v>
      </c>
      <c r="X1546" s="200">
        <v>2.6090479318843278E-2</v>
      </c>
      <c r="Y1546" s="209">
        <v>2.6047504317876502E-2</v>
      </c>
    </row>
    <row r="1547" spans="21:25" x14ac:dyDescent="0.2">
      <c r="U1547" s="213" t="str">
        <f t="shared" si="27"/>
        <v>1w</v>
      </c>
      <c r="V1547" s="201">
        <f>_xll.qlCalendarAdvance(Calendar,V1546,U1547,"f",FALSE)</f>
        <v>49627</v>
      </c>
      <c r="W1547" s="225">
        <f>_xll.qlCalendarAdvance(Calendar,V1547,NDays&amp;"D")</f>
        <v>49629</v>
      </c>
      <c r="X1547" s="200">
        <v>2.6080574162222651E-2</v>
      </c>
      <c r="Y1547" s="209">
        <v>2.6037774324372265E-2</v>
      </c>
    </row>
    <row r="1548" spans="21:25" x14ac:dyDescent="0.2">
      <c r="U1548" s="213" t="str">
        <f t="shared" si="27"/>
        <v>1w</v>
      </c>
      <c r="V1548" s="201">
        <f>_xll.qlCalendarAdvance(Calendar,V1547,U1548,"f",FALSE)</f>
        <v>49634</v>
      </c>
      <c r="W1548" s="225">
        <f>_xll.qlCalendarAdvance(Calendar,V1548,NDays&amp;"D")</f>
        <v>49636</v>
      </c>
      <c r="X1548" s="200">
        <v>2.6070665223271089E-2</v>
      </c>
      <c r="Y1548" s="209">
        <v>2.6028040549412879E-2</v>
      </c>
    </row>
    <row r="1549" spans="21:25" x14ac:dyDescent="0.2">
      <c r="U1549" s="213" t="str">
        <f t="shared" si="27"/>
        <v>1w</v>
      </c>
      <c r="V1549" s="201">
        <f>_xll.qlCalendarAdvance(Calendar,V1548,U1549,"f",FALSE)</f>
        <v>49641</v>
      </c>
      <c r="W1549" s="225">
        <f>_xll.qlCalendarAdvance(Calendar,V1549,NDays&amp;"D")</f>
        <v>49643</v>
      </c>
      <c r="X1549" s="200">
        <v>2.6060752502045693E-2</v>
      </c>
      <c r="Y1549" s="209">
        <v>2.6018302992998343E-2</v>
      </c>
    </row>
    <row r="1550" spans="21:25" x14ac:dyDescent="0.2">
      <c r="U1550" s="213" t="str">
        <f t="shared" si="27"/>
        <v>1w</v>
      </c>
      <c r="V1550" s="201">
        <f>_xll.qlCalendarAdvance(Calendar,V1549,U1550,"f",FALSE)</f>
        <v>49648</v>
      </c>
      <c r="W1550" s="225">
        <f>_xll.qlCalendarAdvance(Calendar,V1550,NDays&amp;"D")</f>
        <v>49650</v>
      </c>
      <c r="X1550" s="200">
        <v>2.605152205732978E-2</v>
      </c>
      <c r="Y1550" s="209">
        <v>2.6008561655102014E-2</v>
      </c>
    </row>
    <row r="1551" spans="21:25" x14ac:dyDescent="0.2">
      <c r="U1551" s="213" t="str">
        <f t="shared" si="27"/>
        <v>1w</v>
      </c>
      <c r="V1551" s="201">
        <f>_xll.qlCalendarAdvance(Calendar,V1550,U1551,"f",FALSE)</f>
        <v>49655</v>
      </c>
      <c r="W1551" s="225">
        <f>_xll.qlCalendarAdvance(Calendar,V1551,NDays&amp;"D")</f>
        <v>49657</v>
      </c>
      <c r="X1551" s="200">
        <v>2.6041598821922345E-2</v>
      </c>
      <c r="Y1551" s="209">
        <v>2.5998816535750535E-2</v>
      </c>
    </row>
    <row r="1552" spans="21:25" x14ac:dyDescent="0.2">
      <c r="U1552" s="213" t="str">
        <f t="shared" si="27"/>
        <v>1w</v>
      </c>
      <c r="V1552" s="201">
        <f>_xll.qlCalendarAdvance(Calendar,V1551,U1552,"f",FALSE)</f>
        <v>49662</v>
      </c>
      <c r="W1552" s="225">
        <f>_xll.qlCalendarAdvance(Calendar,V1552,NDays&amp;"D")</f>
        <v>49664</v>
      </c>
      <c r="X1552" s="200">
        <v>2.6031671804417244E-2</v>
      </c>
      <c r="Y1552" s="209">
        <v>2.5989067634890617E-2</v>
      </c>
    </row>
    <row r="1553" spans="21:25" x14ac:dyDescent="0.2">
      <c r="U1553" s="213" t="str">
        <f t="shared" si="27"/>
        <v>1w</v>
      </c>
      <c r="V1553" s="201">
        <f>_xll.qlCalendarAdvance(Calendar,V1552,U1553,"f",FALSE)</f>
        <v>49670</v>
      </c>
      <c r="W1553" s="225">
        <f>_xll.qlCalendarAdvance(Calendar,V1553,NDays&amp;"D")</f>
        <v>49674</v>
      </c>
      <c r="X1553" s="200">
        <v>2.6016807845028665E-2</v>
      </c>
      <c r="Y1553" s="209">
        <v>2.5974893897413587E-2</v>
      </c>
    </row>
    <row r="1554" spans="21:25" x14ac:dyDescent="0.2">
      <c r="U1554" s="213" t="str">
        <f t="shared" si="27"/>
        <v>1w</v>
      </c>
      <c r="V1554" s="201">
        <f>_xll.qlCalendarAdvance(Calendar,V1553,U1554,"f",FALSE)</f>
        <v>49677</v>
      </c>
      <c r="W1554" s="225">
        <f>_xll.qlCalendarAdvance(Calendar,V1554,NDays&amp;"D")</f>
        <v>49681</v>
      </c>
      <c r="X1554" s="200">
        <v>2.600687459244775E-2</v>
      </c>
      <c r="Y1554" s="209">
        <v>2.5964897503021334E-2</v>
      </c>
    </row>
    <row r="1555" spans="21:25" x14ac:dyDescent="0.2">
      <c r="U1555" s="213" t="str">
        <f t="shared" si="27"/>
        <v>1w</v>
      </c>
      <c r="V1555" s="201">
        <f>_xll.qlCalendarAdvance(Calendar,V1554,U1555,"f",FALSE)</f>
        <v>49684</v>
      </c>
      <c r="W1555" s="225">
        <f>_xll.qlCalendarAdvance(Calendar,V1555,NDays&amp;"D")</f>
        <v>49688</v>
      </c>
      <c r="X1555" s="200">
        <v>2.5996937557956668E-2</v>
      </c>
      <c r="Y1555" s="209">
        <v>2.5955137584947607E-2</v>
      </c>
    </row>
    <row r="1556" spans="21:25" x14ac:dyDescent="0.2">
      <c r="U1556" s="213" t="str">
        <f t="shared" si="27"/>
        <v>1w</v>
      </c>
      <c r="V1556" s="201">
        <f>_xll.qlCalendarAdvance(Calendar,V1555,U1556,"f",FALSE)</f>
        <v>49691</v>
      </c>
      <c r="W1556" s="225">
        <f>_xll.qlCalendarAdvance(Calendar,V1556,NDays&amp;"D")</f>
        <v>49695</v>
      </c>
      <c r="X1556" s="200">
        <v>2.5986996741612513E-2</v>
      </c>
      <c r="Y1556" s="209">
        <v>2.5945373885578604E-2</v>
      </c>
    </row>
    <row r="1557" spans="21:25" x14ac:dyDescent="0.2">
      <c r="U1557" s="213" t="str">
        <f t="shared" ref="U1557:U1620" si="28">U1556</f>
        <v>1w</v>
      </c>
      <c r="V1557" s="201">
        <f>_xll.qlCalendarAdvance(Calendar,V1556,U1557,"f",FALSE)</f>
        <v>49698</v>
      </c>
      <c r="W1557" s="225">
        <f>_xll.qlCalendarAdvance(Calendar,V1557,NDays&amp;"D")</f>
        <v>49702</v>
      </c>
      <c r="X1557" s="200">
        <v>2.5977052143472821E-2</v>
      </c>
      <c r="Y1557" s="209">
        <v>2.5935606404514644E-2</v>
      </c>
    </row>
    <row r="1558" spans="21:25" x14ac:dyDescent="0.2">
      <c r="U1558" s="213" t="str">
        <f t="shared" si="28"/>
        <v>1w</v>
      </c>
      <c r="V1558" s="201">
        <f>_xll.qlCalendarAdvance(Calendar,V1557,U1558,"f",FALSE)</f>
        <v>49705</v>
      </c>
      <c r="W1558" s="225">
        <f>_xll.qlCalendarAdvance(Calendar,V1558,NDays&amp;"D")</f>
        <v>49709</v>
      </c>
      <c r="X1558" s="200">
        <v>2.5967103763593371E-2</v>
      </c>
      <c r="Y1558" s="209">
        <v>2.5925835142235343E-2</v>
      </c>
    </row>
    <row r="1559" spans="21:25" x14ac:dyDescent="0.2">
      <c r="U1559" s="213" t="str">
        <f t="shared" si="28"/>
        <v>1w</v>
      </c>
      <c r="V1559" s="201">
        <f>_xll.qlCalendarAdvance(Calendar,V1558,U1559,"f",FALSE)</f>
        <v>49712</v>
      </c>
      <c r="W1559" s="225">
        <f>_xll.qlCalendarAdvance(Calendar,V1559,NDays&amp;"D")</f>
        <v>49716</v>
      </c>
      <c r="X1559" s="200">
        <v>2.5957151602031266E-2</v>
      </c>
      <c r="Y1559" s="209">
        <v>2.5916060098420957E-2</v>
      </c>
    </row>
    <row r="1560" spans="21:25" x14ac:dyDescent="0.2">
      <c r="U1560" s="213" t="str">
        <f t="shared" si="28"/>
        <v>1w</v>
      </c>
      <c r="V1560" s="201">
        <f>_xll.qlCalendarAdvance(Calendar,V1559,U1560,"f",FALSE)</f>
        <v>49719</v>
      </c>
      <c r="W1560" s="225">
        <f>_xll.qlCalendarAdvance(Calendar,V1560,NDays&amp;"D")</f>
        <v>49723</v>
      </c>
      <c r="X1560" s="200">
        <v>2.5947195658843156E-2</v>
      </c>
      <c r="Y1560" s="209">
        <v>2.5906281273071485E-2</v>
      </c>
    </row>
    <row r="1561" spans="21:25" x14ac:dyDescent="0.2">
      <c r="U1561" s="213" t="str">
        <f t="shared" si="28"/>
        <v>1w</v>
      </c>
      <c r="V1561" s="201">
        <f>_xll.qlCalendarAdvance(Calendar,V1560,U1561,"f",FALSE)</f>
        <v>49726</v>
      </c>
      <c r="W1561" s="225">
        <f>_xll.qlCalendarAdvance(Calendar,V1561,NDays&amp;"D")</f>
        <v>49730</v>
      </c>
      <c r="X1561" s="200">
        <v>2.5937235934086582E-2</v>
      </c>
      <c r="Y1561" s="209">
        <v>2.5896498666346801E-2</v>
      </c>
    </row>
    <row r="1562" spans="21:25" x14ac:dyDescent="0.2">
      <c r="U1562" s="213" t="str">
        <f t="shared" si="28"/>
        <v>1w</v>
      </c>
      <c r="V1562" s="201">
        <f>_xll.qlCalendarAdvance(Calendar,V1561,U1562,"f",FALSE)</f>
        <v>49733</v>
      </c>
      <c r="W1562" s="225">
        <f>_xll.qlCalendarAdvance(Calendar,V1562,NDays&amp;"D")</f>
        <v>49737</v>
      </c>
      <c r="X1562" s="200">
        <v>2.5927705443012206E-2</v>
      </c>
      <c r="Y1562" s="209">
        <v>2.5886712278087032E-2</v>
      </c>
    </row>
    <row r="1563" spans="21:25" x14ac:dyDescent="0.2">
      <c r="U1563" s="213" t="str">
        <f t="shared" si="28"/>
        <v>1w</v>
      </c>
      <c r="V1563" s="201">
        <f>_xll.qlCalendarAdvance(Calendar,V1562,U1563,"f",FALSE)</f>
        <v>49740</v>
      </c>
      <c r="W1563" s="225">
        <f>_xll.qlCalendarAdvance(Calendar,V1563,NDays&amp;"D")</f>
        <v>49744</v>
      </c>
      <c r="X1563" s="200">
        <v>2.5917736188903452E-2</v>
      </c>
      <c r="Y1563" s="209">
        <v>2.587692210845205E-2</v>
      </c>
    </row>
    <row r="1564" spans="21:25" x14ac:dyDescent="0.2">
      <c r="U1564" s="213" t="str">
        <f t="shared" si="28"/>
        <v>1w</v>
      </c>
      <c r="V1564" s="201">
        <f>_xll.qlCalendarAdvance(Calendar,V1563,U1564,"f",FALSE)</f>
        <v>49747</v>
      </c>
      <c r="W1564" s="225">
        <f>_xll.qlCalendarAdvance(Calendar,V1564,NDays&amp;"D")</f>
        <v>49751</v>
      </c>
      <c r="X1564" s="200">
        <v>2.590776315340949E-2</v>
      </c>
      <c r="Y1564" s="209">
        <v>2.5867128157361918E-2</v>
      </c>
    </row>
    <row r="1565" spans="21:25" x14ac:dyDescent="0.2">
      <c r="U1565" s="213" t="str">
        <f t="shared" si="28"/>
        <v>1w</v>
      </c>
      <c r="V1565" s="201">
        <f>_xll.qlCalendarAdvance(Calendar,V1564,U1565,"f",FALSE)</f>
        <v>49754</v>
      </c>
      <c r="W1565" s="225">
        <f>_xll.qlCalendarAdvance(Calendar,V1565,NDays&amp;"D")</f>
        <v>49758</v>
      </c>
      <c r="X1565" s="200">
        <v>2.5897786336586803E-2</v>
      </c>
      <c r="Y1565" s="209">
        <v>2.5857330424736702E-2</v>
      </c>
    </row>
    <row r="1566" spans="21:25" x14ac:dyDescent="0.2">
      <c r="U1566" s="213" t="str">
        <f t="shared" si="28"/>
        <v>1w</v>
      </c>
      <c r="V1566" s="201">
        <f>_xll.qlCalendarAdvance(Calendar,V1565,U1566,"f",FALSE)</f>
        <v>49761</v>
      </c>
      <c r="W1566" s="225">
        <f>_xll.qlCalendarAdvance(Calendar,V1566,NDays&amp;"D")</f>
        <v>49765</v>
      </c>
      <c r="X1566" s="200">
        <v>2.5887593205457863E-2</v>
      </c>
      <c r="Y1566" s="209">
        <v>2.5847528910736273E-2</v>
      </c>
    </row>
    <row r="1567" spans="21:25" x14ac:dyDescent="0.2">
      <c r="U1567" s="213" t="str">
        <f t="shared" si="28"/>
        <v>1w</v>
      </c>
      <c r="V1567" s="201">
        <f>_xll.qlCalendarAdvance(Calendar,V1566,U1567,"f",FALSE)</f>
        <v>49768</v>
      </c>
      <c r="W1567" s="225">
        <f>_xll.qlCalendarAdvance(Calendar,V1567,NDays&amp;"D")</f>
        <v>49772</v>
      </c>
      <c r="X1567" s="200">
        <v>2.5877609809342384E-2</v>
      </c>
      <c r="Y1567" s="209">
        <v>2.5837723615280694E-2</v>
      </c>
    </row>
    <row r="1568" spans="21:25" x14ac:dyDescent="0.2">
      <c r="U1568" s="213" t="str">
        <f t="shared" si="28"/>
        <v>1w</v>
      </c>
      <c r="V1568" s="201">
        <f>_xll.qlCalendarAdvance(Calendar,V1567,U1568,"f",FALSE)</f>
        <v>49775</v>
      </c>
      <c r="W1568" s="225">
        <f>_xll.qlCalendarAdvance(Calendar,V1568,NDays&amp;"D")</f>
        <v>49781</v>
      </c>
      <c r="X1568" s="200">
        <v>2.5864768458349993E-2</v>
      </c>
      <c r="Y1568" s="209">
        <v>2.5825111250368238E-2</v>
      </c>
    </row>
    <row r="1569" spans="21:25" x14ac:dyDescent="0.2">
      <c r="U1569" s="213" t="str">
        <f t="shared" si="28"/>
        <v>1w</v>
      </c>
      <c r="V1569" s="201">
        <f>_xll.qlCalendarAdvance(Calendar,V1568,U1569,"f",FALSE)</f>
        <v>49782</v>
      </c>
      <c r="W1569" s="225">
        <f>_xll.qlCalendarAdvance(Calendar,V1569,NDays&amp;"D")</f>
        <v>49786</v>
      </c>
      <c r="X1569" s="200">
        <v>2.5857631673680308E-2</v>
      </c>
      <c r="Y1569" s="209">
        <v>2.5818101680084027E-2</v>
      </c>
    </row>
    <row r="1570" spans="21:25" x14ac:dyDescent="0.2">
      <c r="U1570" s="213" t="str">
        <f t="shared" si="28"/>
        <v>1w</v>
      </c>
      <c r="V1570" s="201">
        <f>_xll.qlCalendarAdvance(Calendar,V1569,U1570,"f",FALSE)</f>
        <v>49789</v>
      </c>
      <c r="W1570" s="225">
        <f>_xll.qlCalendarAdvance(Calendar,V1570,NDays&amp;"D")</f>
        <v>49793</v>
      </c>
      <c r="X1570" s="200">
        <v>2.5847636934248158E-2</v>
      </c>
      <c r="Y1570" s="209">
        <v>2.5808285040342938E-2</v>
      </c>
    </row>
    <row r="1571" spans="21:25" x14ac:dyDescent="0.2">
      <c r="U1571" s="213" t="str">
        <f t="shared" si="28"/>
        <v>1w</v>
      </c>
      <c r="V1571" s="201">
        <f>_xll.qlCalendarAdvance(Calendar,V1570,U1571,"f",FALSE)</f>
        <v>49797</v>
      </c>
      <c r="W1571" s="225">
        <f>_xll.qlCalendarAdvance(Calendar,V1571,NDays&amp;"D")</f>
        <v>49801</v>
      </c>
      <c r="X1571" s="200">
        <v>2.5836417221825107E-2</v>
      </c>
      <c r="Y1571" s="209">
        <v>2.5797061392971443E-2</v>
      </c>
    </row>
    <row r="1572" spans="21:25" x14ac:dyDescent="0.2">
      <c r="U1572" s="213" t="str">
        <f t="shared" si="28"/>
        <v>1w</v>
      </c>
      <c r="V1572" s="201">
        <f>_xll.qlCalendarAdvance(Calendar,V1571,U1572,"f",FALSE)</f>
        <v>49804</v>
      </c>
      <c r="W1572" s="225">
        <f>_xll.qlCalendarAdvance(Calendar,V1572,NDays&amp;"D")</f>
        <v>49808</v>
      </c>
      <c r="X1572" s="200">
        <v>2.5826413397191217E-2</v>
      </c>
      <c r="Y1572" s="209">
        <v>2.5787236650032241E-2</v>
      </c>
    </row>
    <row r="1573" spans="21:25" x14ac:dyDescent="0.2">
      <c r="U1573" s="213" t="str">
        <f t="shared" si="28"/>
        <v>1w</v>
      </c>
      <c r="V1573" s="201">
        <f>_xll.qlCalendarAdvance(Calendar,V1572,U1573,"f",FALSE)</f>
        <v>49811</v>
      </c>
      <c r="W1573" s="225">
        <f>_xll.qlCalendarAdvance(Calendar,V1573,NDays&amp;"D")</f>
        <v>49815</v>
      </c>
      <c r="X1573" s="200">
        <v>2.5816405791698655E-2</v>
      </c>
      <c r="Y1573" s="209">
        <v>2.5777408125717827E-2</v>
      </c>
    </row>
    <row r="1574" spans="21:25" x14ac:dyDescent="0.2">
      <c r="U1574" s="213" t="str">
        <f t="shared" si="28"/>
        <v>1w</v>
      </c>
      <c r="V1574" s="201">
        <f>_xll.qlCalendarAdvance(Calendar,V1573,U1574,"f",FALSE)</f>
        <v>49818</v>
      </c>
      <c r="W1574" s="225">
        <f>_xll.qlCalendarAdvance(Calendar,V1574,NDays&amp;"D")</f>
        <v>49822</v>
      </c>
      <c r="X1574" s="200">
        <v>2.5806394405405202E-2</v>
      </c>
      <c r="Y1574" s="209">
        <v>2.5767575819868327E-2</v>
      </c>
    </row>
    <row r="1575" spans="21:25" x14ac:dyDescent="0.2">
      <c r="U1575" s="213" t="str">
        <f t="shared" si="28"/>
        <v>1w</v>
      </c>
      <c r="V1575" s="201">
        <f>_xll.qlCalendarAdvance(Calendar,V1574,U1575,"f",FALSE)</f>
        <v>49825</v>
      </c>
      <c r="W1575" s="225">
        <f>_xll.qlCalendarAdvance(Calendar,V1575,NDays&amp;"D")</f>
        <v>49829</v>
      </c>
      <c r="X1575" s="200">
        <v>2.5796175694199851E-2</v>
      </c>
      <c r="Y1575" s="209">
        <v>2.575773973272355E-2</v>
      </c>
    </row>
    <row r="1576" spans="21:25" x14ac:dyDescent="0.2">
      <c r="U1576" s="213" t="str">
        <f t="shared" si="28"/>
        <v>1w</v>
      </c>
      <c r="V1576" s="201">
        <f>_xll.qlCalendarAdvance(Calendar,V1575,U1576,"f",FALSE)</f>
        <v>49832</v>
      </c>
      <c r="W1576" s="225">
        <f>_xll.qlCalendarAdvance(Calendar,V1576,NDays&amp;"D")</f>
        <v>49836</v>
      </c>
      <c r="X1576" s="200">
        <v>2.5786157729588109E-2</v>
      </c>
      <c r="Y1576" s="209">
        <v>2.5747899863963752E-2</v>
      </c>
    </row>
    <row r="1577" spans="21:25" x14ac:dyDescent="0.2">
      <c r="U1577" s="213" t="str">
        <f t="shared" si="28"/>
        <v>1w</v>
      </c>
      <c r="V1577" s="201">
        <f>_xll.qlCalendarAdvance(Calendar,V1576,U1577,"f",FALSE)</f>
        <v>49839</v>
      </c>
      <c r="W1577" s="225">
        <f>_xll.qlCalendarAdvance(Calendar,V1577,NDays&amp;"D")</f>
        <v>49843</v>
      </c>
      <c r="X1577" s="200">
        <v>2.5776135984339796E-2</v>
      </c>
      <c r="Y1577" s="209">
        <v>2.5738056213908678E-2</v>
      </c>
    </row>
    <row r="1578" spans="21:25" x14ac:dyDescent="0.2">
      <c r="U1578" s="213" t="str">
        <f t="shared" si="28"/>
        <v>1w</v>
      </c>
      <c r="V1578" s="201">
        <f>_xll.qlCalendarAdvance(Calendar,V1577,U1578,"f",FALSE)</f>
        <v>49846</v>
      </c>
      <c r="W1578" s="225">
        <f>_xll.qlCalendarAdvance(Calendar,V1578,NDays&amp;"D")</f>
        <v>49850</v>
      </c>
      <c r="X1578" s="200">
        <v>2.5766110458510391E-2</v>
      </c>
      <c r="Y1578" s="209">
        <v>2.5728208782238582E-2</v>
      </c>
    </row>
    <row r="1579" spans="21:25" x14ac:dyDescent="0.2">
      <c r="U1579" s="213" t="str">
        <f t="shared" si="28"/>
        <v>1w</v>
      </c>
      <c r="V1579" s="201">
        <f>_xll.qlCalendarAdvance(Calendar,V1578,U1579,"f",FALSE)</f>
        <v>49853</v>
      </c>
      <c r="W1579" s="225">
        <f>_xll.qlCalendarAdvance(Calendar,V1579,NDays&amp;"D")</f>
        <v>49857</v>
      </c>
      <c r="X1579" s="200">
        <v>2.5756480291414256E-2</v>
      </c>
      <c r="Y1579" s="209">
        <v>2.5718357569113337E-2</v>
      </c>
    </row>
    <row r="1580" spans="21:25" x14ac:dyDescent="0.2">
      <c r="U1580" s="213" t="str">
        <f t="shared" si="28"/>
        <v>1w</v>
      </c>
      <c r="V1580" s="201">
        <f>_xll.qlCalendarAdvance(Calendar,V1579,U1580,"f",FALSE)</f>
        <v>49860</v>
      </c>
      <c r="W1580" s="225">
        <f>_xll.qlCalendarAdvance(Calendar,V1580,NDays&amp;"D")</f>
        <v>49864</v>
      </c>
      <c r="X1580" s="200">
        <v>2.5746246694064084E-2</v>
      </c>
      <c r="Y1580" s="209">
        <v>2.5708502574612879E-2</v>
      </c>
    </row>
    <row r="1581" spans="21:25" x14ac:dyDescent="0.2">
      <c r="U1581" s="213" t="str">
        <f t="shared" si="28"/>
        <v>1w</v>
      </c>
      <c r="V1581" s="201">
        <f>_xll.qlCalendarAdvance(Calendar,V1580,U1581,"f",FALSE)</f>
        <v>49867</v>
      </c>
      <c r="W1581" s="225">
        <f>_xll.qlCalendarAdvance(Calendar,V1581,NDays&amp;"D")</f>
        <v>49871</v>
      </c>
      <c r="X1581" s="200">
        <v>2.5736208843783543E-2</v>
      </c>
      <c r="Y1581" s="209">
        <v>2.5698643798737208E-2</v>
      </c>
    </row>
    <row r="1582" spans="21:25" x14ac:dyDescent="0.2">
      <c r="U1582" s="213" t="str">
        <f t="shared" si="28"/>
        <v>1w</v>
      </c>
      <c r="V1582" s="201">
        <f>_xll.qlCalendarAdvance(Calendar,V1581,U1582,"f",FALSE)</f>
        <v>49874</v>
      </c>
      <c r="W1582" s="225">
        <f>_xll.qlCalendarAdvance(Calendar,V1582,NDays&amp;"D")</f>
        <v>49878</v>
      </c>
      <c r="X1582" s="200">
        <v>2.5726167213165656E-2</v>
      </c>
      <c r="Y1582" s="209">
        <v>2.5688781241326453E-2</v>
      </c>
    </row>
    <row r="1583" spans="21:25" x14ac:dyDescent="0.2">
      <c r="U1583" s="213" t="str">
        <f t="shared" si="28"/>
        <v>1w</v>
      </c>
      <c r="V1583" s="201">
        <f>_xll.qlCalendarAdvance(Calendar,V1582,U1583,"f",FALSE)</f>
        <v>49881</v>
      </c>
      <c r="W1583" s="225">
        <f>_xll.qlCalendarAdvance(Calendar,V1583,NDays&amp;"D")</f>
        <v>49885</v>
      </c>
      <c r="X1583" s="200">
        <v>2.571612180226733E-2</v>
      </c>
      <c r="Y1583" s="209">
        <v>2.5678914902460548E-2</v>
      </c>
    </row>
    <row r="1584" spans="21:25" x14ac:dyDescent="0.2">
      <c r="U1584" s="213" t="str">
        <f t="shared" si="28"/>
        <v>1w</v>
      </c>
      <c r="V1584" s="201">
        <f>_xll.qlCalendarAdvance(Calendar,V1583,U1584,"f",FALSE)</f>
        <v>49888</v>
      </c>
      <c r="W1584" s="225">
        <f>_xll.qlCalendarAdvance(Calendar,V1584,NDays&amp;"D")</f>
        <v>49892</v>
      </c>
      <c r="X1584" s="200">
        <v>2.570607261114722E-2</v>
      </c>
      <c r="Y1584" s="209">
        <v>2.566904478221943E-2</v>
      </c>
    </row>
    <row r="1585" spans="21:25" x14ac:dyDescent="0.2">
      <c r="U1585" s="213" t="str">
        <f t="shared" si="28"/>
        <v>1w</v>
      </c>
      <c r="V1585" s="201">
        <f>_xll.qlCalendarAdvance(Calendar,V1584,U1585,"f",FALSE)</f>
        <v>49895</v>
      </c>
      <c r="W1585" s="225">
        <f>_xll.qlCalendarAdvance(Calendar,V1585,NDays&amp;"D")</f>
        <v>49899</v>
      </c>
      <c r="X1585" s="200">
        <v>2.5696019639863101E-2</v>
      </c>
      <c r="Y1585" s="209">
        <v>2.5659170880523163E-2</v>
      </c>
    </row>
    <row r="1586" spans="21:25" x14ac:dyDescent="0.2">
      <c r="U1586" s="213" t="str">
        <f t="shared" si="28"/>
        <v>1w</v>
      </c>
      <c r="V1586" s="201">
        <f>_xll.qlCalendarAdvance(Calendar,V1585,U1586,"f",FALSE)</f>
        <v>49902</v>
      </c>
      <c r="W1586" s="225">
        <f>_xll.qlCalendarAdvance(Calendar,V1586,NDays&amp;"D")</f>
        <v>49906</v>
      </c>
      <c r="X1586" s="200">
        <v>2.5685962888473184E-2</v>
      </c>
      <c r="Y1586" s="209">
        <v>2.5649293197451684E-2</v>
      </c>
    </row>
    <row r="1587" spans="21:25" x14ac:dyDescent="0.2">
      <c r="U1587" s="213" t="str">
        <f t="shared" si="28"/>
        <v>1w</v>
      </c>
      <c r="V1587" s="201">
        <f>_xll.qlCalendarAdvance(Calendar,V1586,U1587,"f",FALSE)</f>
        <v>49909</v>
      </c>
      <c r="W1587" s="225">
        <f>_xll.qlCalendarAdvance(Calendar,V1587,NDays&amp;"D")</f>
        <v>49913</v>
      </c>
      <c r="X1587" s="200">
        <v>2.5675902357035256E-2</v>
      </c>
      <c r="Y1587" s="209">
        <v>2.5639411732765183E-2</v>
      </c>
    </row>
    <row r="1588" spans="21:25" x14ac:dyDescent="0.2">
      <c r="U1588" s="213" t="str">
        <f t="shared" si="28"/>
        <v>1w</v>
      </c>
      <c r="V1588" s="201">
        <f>_xll.qlCalendarAdvance(Calendar,V1587,U1588,"f",FALSE)</f>
        <v>49916</v>
      </c>
      <c r="W1588" s="225">
        <f>_xll.qlCalendarAdvance(Calendar,V1588,NDays&amp;"D")</f>
        <v>49920</v>
      </c>
      <c r="X1588" s="200">
        <v>2.5665265497458487E-2</v>
      </c>
      <c r="Y1588" s="209">
        <v>2.5629526486703469E-2</v>
      </c>
    </row>
    <row r="1589" spans="21:25" x14ac:dyDescent="0.2">
      <c r="U1589" s="213" t="str">
        <f t="shared" si="28"/>
        <v>1w</v>
      </c>
      <c r="V1589" s="201">
        <f>_xll.qlCalendarAdvance(Calendar,V1588,U1589,"f",FALSE)</f>
        <v>49923</v>
      </c>
      <c r="W1589" s="225">
        <f>_xll.qlCalendarAdvance(Calendar,V1589,NDays&amp;"D")</f>
        <v>49927</v>
      </c>
      <c r="X1589" s="200">
        <v>2.5655200354805893E-2</v>
      </c>
      <c r="Y1589" s="209">
        <v>2.5619637459266542E-2</v>
      </c>
    </row>
    <row r="1590" spans="21:25" x14ac:dyDescent="0.2">
      <c r="U1590" s="213" t="str">
        <f t="shared" si="28"/>
        <v>1w</v>
      </c>
      <c r="V1590" s="201">
        <f>_xll.qlCalendarAdvance(Calendar,V1589,U1590,"f",FALSE)</f>
        <v>49930</v>
      </c>
      <c r="W1590" s="225">
        <f>_xll.qlCalendarAdvance(Calendar,V1590,NDays&amp;"D")</f>
        <v>49934</v>
      </c>
      <c r="X1590" s="200">
        <v>2.5645131432236363E-2</v>
      </c>
      <c r="Y1590" s="209">
        <v>2.5609744650374466E-2</v>
      </c>
    </row>
    <row r="1591" spans="21:25" x14ac:dyDescent="0.2">
      <c r="U1591" s="213" t="str">
        <f t="shared" si="28"/>
        <v>1w</v>
      </c>
      <c r="V1591" s="201">
        <f>_xll.qlCalendarAdvance(Calendar,V1590,U1591,"f",FALSE)</f>
        <v>49937</v>
      </c>
      <c r="W1591" s="225">
        <f>_xll.qlCalendarAdvance(Calendar,V1591,NDays&amp;"D")</f>
        <v>49941</v>
      </c>
      <c r="X1591" s="200">
        <v>2.5635058729806429E-2</v>
      </c>
      <c r="Y1591" s="209">
        <v>2.5599848059947306E-2</v>
      </c>
    </row>
    <row r="1592" spans="21:25" x14ac:dyDescent="0.2">
      <c r="U1592" s="213" t="str">
        <f t="shared" si="28"/>
        <v>1w</v>
      </c>
      <c r="V1592" s="201">
        <f>_xll.qlCalendarAdvance(Calendar,V1591,U1592,"f",FALSE)</f>
        <v>49944</v>
      </c>
      <c r="W1592" s="225">
        <f>_xll.qlCalendarAdvance(Calendar,V1592,NDays&amp;"D")</f>
        <v>49948</v>
      </c>
      <c r="X1592" s="200">
        <v>2.5625169250378756E-2</v>
      </c>
      <c r="Y1592" s="209">
        <v>2.5589947688064996E-2</v>
      </c>
    </row>
    <row r="1593" spans="21:25" x14ac:dyDescent="0.2">
      <c r="U1593" s="213" t="str">
        <f t="shared" si="28"/>
        <v>1w</v>
      </c>
      <c r="V1593" s="201">
        <f>_xll.qlCalendarAdvance(Calendar,V1592,U1593,"f",FALSE)</f>
        <v>49951</v>
      </c>
      <c r="W1593" s="225">
        <f>_xll.qlCalendarAdvance(Calendar,V1593,NDays&amp;"D")</f>
        <v>49955</v>
      </c>
      <c r="X1593" s="200">
        <v>2.5615088005607911E-2</v>
      </c>
      <c r="Y1593" s="209">
        <v>2.5580043534887409E-2</v>
      </c>
    </row>
    <row r="1594" spans="21:25" x14ac:dyDescent="0.2">
      <c r="U1594" s="213" t="str">
        <f t="shared" si="28"/>
        <v>1w</v>
      </c>
      <c r="V1594" s="201">
        <f>_xll.qlCalendarAdvance(Calendar,V1593,U1594,"f",FALSE)</f>
        <v>49958</v>
      </c>
      <c r="W1594" s="225">
        <f>_xll.qlCalendarAdvance(Calendar,V1594,NDays&amp;"D")</f>
        <v>49962</v>
      </c>
      <c r="X1594" s="200">
        <v>2.560500298116335E-2</v>
      </c>
      <c r="Y1594" s="209">
        <v>2.5570135600094801E-2</v>
      </c>
    </row>
    <row r="1595" spans="21:25" x14ac:dyDescent="0.2">
      <c r="U1595" s="213" t="str">
        <f t="shared" si="28"/>
        <v>1w</v>
      </c>
      <c r="V1595" s="201">
        <f>_xll.qlCalendarAdvance(Calendar,V1594,U1595,"f",FALSE)</f>
        <v>49965</v>
      </c>
      <c r="W1595" s="225">
        <f>_xll.qlCalendarAdvance(Calendar,V1595,NDays&amp;"D")</f>
        <v>49969</v>
      </c>
      <c r="X1595" s="200">
        <v>2.5594914177104362E-2</v>
      </c>
      <c r="Y1595" s="209">
        <v>2.5560223884086852E-2</v>
      </c>
    </row>
    <row r="1596" spans="21:25" x14ac:dyDescent="0.2">
      <c r="U1596" s="213" t="str">
        <f t="shared" si="28"/>
        <v>1w</v>
      </c>
      <c r="V1596" s="201">
        <f>_xll.qlCalendarAdvance(Calendar,V1595,U1596,"f",FALSE)</f>
        <v>49972</v>
      </c>
      <c r="W1596" s="225">
        <f>_xll.qlCalendarAdvance(Calendar,V1596,NDays&amp;"D")</f>
        <v>49976</v>
      </c>
      <c r="X1596" s="200">
        <v>2.5584821593488051E-2</v>
      </c>
      <c r="Y1596" s="209">
        <v>2.5550308386463882E-2</v>
      </c>
    </row>
    <row r="1597" spans="21:25" x14ac:dyDescent="0.2">
      <c r="U1597" s="213" t="str">
        <f t="shared" si="28"/>
        <v>1w</v>
      </c>
      <c r="V1597" s="201">
        <f>_xll.qlCalendarAdvance(Calendar,V1596,U1597,"f",FALSE)</f>
        <v>49979</v>
      </c>
      <c r="W1597" s="225">
        <f>_xll.qlCalendarAdvance(Calendar,V1597,NDays&amp;"D")</f>
        <v>49983</v>
      </c>
      <c r="X1597" s="200">
        <v>2.5574543141377467E-2</v>
      </c>
      <c r="Y1597" s="209">
        <v>2.5540389107385764E-2</v>
      </c>
    </row>
    <row r="1598" spans="21:25" x14ac:dyDescent="0.2">
      <c r="U1598" s="213" t="str">
        <f t="shared" si="28"/>
        <v>1w</v>
      </c>
      <c r="V1598" s="201">
        <f>_xll.qlCalendarAdvance(Calendar,V1597,U1598,"f",FALSE)</f>
        <v>49986</v>
      </c>
      <c r="W1598" s="225">
        <f>_xll.qlCalendarAdvance(Calendar,V1598,NDays&amp;"D")</f>
        <v>49990</v>
      </c>
      <c r="X1598" s="200">
        <v>2.5564443981532271E-2</v>
      </c>
      <c r="Y1598" s="209">
        <v>2.5530466046932432E-2</v>
      </c>
    </row>
    <row r="1599" spans="21:25" x14ac:dyDescent="0.2">
      <c r="U1599" s="213" t="str">
        <f t="shared" si="28"/>
        <v>1w</v>
      </c>
      <c r="V1599" s="201">
        <f>_xll.qlCalendarAdvance(Calendar,V1598,U1599,"f",FALSE)</f>
        <v>49993</v>
      </c>
      <c r="W1599" s="225">
        <f>_xll.qlCalendarAdvance(Calendar,V1599,NDays&amp;"D")</f>
        <v>49997</v>
      </c>
      <c r="X1599" s="200">
        <v>2.5554341042284649E-2</v>
      </c>
      <c r="Y1599" s="209">
        <v>2.5520539204944015E-2</v>
      </c>
    </row>
    <row r="1600" spans="21:25" x14ac:dyDescent="0.2">
      <c r="U1600" s="213" t="str">
        <f t="shared" si="28"/>
        <v>1w</v>
      </c>
      <c r="V1600" s="201">
        <f>_xll.qlCalendarAdvance(Calendar,V1599,U1600,"f",FALSE)</f>
        <v>50000</v>
      </c>
      <c r="W1600" s="225">
        <f>_xll.qlCalendarAdvance(Calendar,V1600,NDays&amp;"D")</f>
        <v>50004</v>
      </c>
      <c r="X1600" s="200">
        <v>2.5544234323693779E-2</v>
      </c>
      <c r="Y1600" s="209">
        <v>2.5510608581660321E-2</v>
      </c>
    </row>
    <row r="1601" spans="21:25" x14ac:dyDescent="0.2">
      <c r="U1601" s="213" t="str">
        <f t="shared" si="28"/>
        <v>1w</v>
      </c>
      <c r="V1601" s="201">
        <f>_xll.qlCalendarAdvance(Calendar,V1600,U1601,"f",FALSE)</f>
        <v>50007</v>
      </c>
      <c r="W1601" s="225">
        <f>_xll.qlCalendarAdvance(Calendar,V1601,NDays&amp;"D")</f>
        <v>50011</v>
      </c>
      <c r="X1601" s="200">
        <v>2.5534301984064763E-2</v>
      </c>
      <c r="Y1601" s="209">
        <v>2.5500674176841542E-2</v>
      </c>
    </row>
    <row r="1602" spans="21:25" x14ac:dyDescent="0.2">
      <c r="U1602" s="213" t="str">
        <f t="shared" si="28"/>
        <v>1w</v>
      </c>
      <c r="V1602" s="201">
        <f>_xll.qlCalendarAdvance(Calendar,V1601,U1602,"f",FALSE)</f>
        <v>50014</v>
      </c>
      <c r="W1602" s="225">
        <f>_xll.qlCalendarAdvance(Calendar,V1602,NDays&amp;"D")</f>
        <v>50018</v>
      </c>
      <c r="X1602" s="200">
        <v>2.552418672431583E-2</v>
      </c>
      <c r="Y1602" s="209">
        <v>2.5490735990567615E-2</v>
      </c>
    </row>
    <row r="1603" spans="21:25" x14ac:dyDescent="0.2">
      <c r="U1603" s="213" t="str">
        <f t="shared" si="28"/>
        <v>1w</v>
      </c>
      <c r="V1603" s="201">
        <f>_xll.qlCalendarAdvance(Calendar,V1602,U1603,"f",FALSE)</f>
        <v>50021</v>
      </c>
      <c r="W1603" s="225">
        <f>_xll.qlCalendarAdvance(Calendar,V1603,NDays&amp;"D")</f>
        <v>50025</v>
      </c>
      <c r="X1603" s="200">
        <v>2.5514067685413207E-2</v>
      </c>
      <c r="Y1603" s="209">
        <v>2.548079402299841E-2</v>
      </c>
    </row>
    <row r="1604" spans="21:25" x14ac:dyDescent="0.2">
      <c r="U1604" s="213" t="str">
        <f t="shared" si="28"/>
        <v>1w</v>
      </c>
      <c r="V1604" s="201">
        <f>_xll.qlCalendarAdvance(Calendar,V1603,U1604,"f",FALSE)</f>
        <v>50028</v>
      </c>
      <c r="W1604" s="225">
        <f>_xll.qlCalendarAdvance(Calendar,V1604,NDays&amp;"D")</f>
        <v>50032</v>
      </c>
      <c r="X1604" s="200">
        <v>2.5503944867415744E-2</v>
      </c>
      <c r="Y1604" s="209">
        <v>2.547084827389412E-2</v>
      </c>
    </row>
    <row r="1605" spans="21:25" x14ac:dyDescent="0.2">
      <c r="U1605" s="213" t="str">
        <f t="shared" si="28"/>
        <v>1w</v>
      </c>
      <c r="V1605" s="201">
        <f>_xll.qlCalendarAdvance(Calendar,V1604,U1605,"f",FALSE)</f>
        <v>50038</v>
      </c>
      <c r="W1605" s="225">
        <f>_xll.qlCalendarAdvance(Calendar,V1605,NDays&amp;"D")</f>
        <v>50040</v>
      </c>
      <c r="X1605" s="200">
        <v>2.549219721774091E-2</v>
      </c>
      <c r="Y1605" s="209">
        <v>2.5459666406022485E-2</v>
      </c>
    </row>
    <row r="1606" spans="21:25" x14ac:dyDescent="0.2">
      <c r="U1606" s="213" t="str">
        <f t="shared" si="28"/>
        <v>1w</v>
      </c>
      <c r="V1606" s="201">
        <f>_xll.qlCalendarAdvance(Calendar,V1605,U1606,"f",FALSE)</f>
        <v>50045</v>
      </c>
      <c r="W1606" s="225">
        <f>_xll.qlCalendarAdvance(Calendar,V1606,NDays&amp;"D")</f>
        <v>50047</v>
      </c>
      <c r="X1606" s="200">
        <v>2.5482067284437675E-2</v>
      </c>
      <c r="Y1606" s="209">
        <v>2.5449523220890669E-2</v>
      </c>
    </row>
    <row r="1607" spans="21:25" x14ac:dyDescent="0.2">
      <c r="U1607" s="213" t="str">
        <f t="shared" si="28"/>
        <v>1w</v>
      </c>
      <c r="V1607" s="201">
        <f>_xll.qlCalendarAdvance(Calendar,V1606,U1607,"f",FALSE)</f>
        <v>50052</v>
      </c>
      <c r="W1607" s="225">
        <f>_xll.qlCalendarAdvance(Calendar,V1607,NDays&amp;"D")</f>
        <v>50054</v>
      </c>
      <c r="X1607" s="200">
        <v>2.5471933572200151E-2</v>
      </c>
      <c r="Y1607" s="209">
        <v>2.5439565587292989E-2</v>
      </c>
    </row>
    <row r="1608" spans="21:25" x14ac:dyDescent="0.2">
      <c r="U1608" s="213" t="str">
        <f t="shared" si="28"/>
        <v>1w</v>
      </c>
      <c r="V1608" s="201">
        <f>_xll.qlCalendarAdvance(Calendar,V1607,U1608,"f",FALSE)</f>
        <v>50059</v>
      </c>
      <c r="W1608" s="225">
        <f>_xll.qlCalendarAdvance(Calendar,V1608,NDays&amp;"D")</f>
        <v>50061</v>
      </c>
      <c r="X1608" s="200">
        <v>2.5461796081087073E-2</v>
      </c>
      <c r="Y1608" s="209">
        <v>2.5429604172240161E-2</v>
      </c>
    </row>
    <row r="1609" spans="21:25" x14ac:dyDescent="0.2">
      <c r="U1609" s="213" t="str">
        <f t="shared" si="28"/>
        <v>1w</v>
      </c>
      <c r="V1609" s="201">
        <f>_xll.qlCalendarAdvance(Calendar,V1608,U1609,"f",FALSE)</f>
        <v>50066</v>
      </c>
      <c r="W1609" s="225">
        <f>_xll.qlCalendarAdvance(Calendar,V1609,NDays&amp;"D")</f>
        <v>50068</v>
      </c>
      <c r="X1609" s="200">
        <v>2.5451654811155407E-2</v>
      </c>
      <c r="Y1609" s="209">
        <v>2.541963897581212E-2</v>
      </c>
    </row>
    <row r="1610" spans="21:25" x14ac:dyDescent="0.2">
      <c r="U1610" s="213" t="str">
        <f t="shared" si="28"/>
        <v>1w</v>
      </c>
      <c r="V1610" s="201">
        <f>_xll.qlCalendarAdvance(Calendar,V1609,U1610,"f",FALSE)</f>
        <v>50073</v>
      </c>
      <c r="W1610" s="225">
        <f>_xll.qlCalendarAdvance(Calendar,V1610,NDays&amp;"D")</f>
        <v>50075</v>
      </c>
      <c r="X1610" s="200">
        <v>2.5441509762461248E-2</v>
      </c>
      <c r="Y1610" s="209">
        <v>2.5409669997769058E-2</v>
      </c>
    </row>
    <row r="1611" spans="21:25" x14ac:dyDescent="0.2">
      <c r="U1611" s="213" t="str">
        <f t="shared" si="28"/>
        <v>1w</v>
      </c>
      <c r="V1611" s="201">
        <f>_xll.qlCalendarAdvance(Calendar,V1610,U1611,"f",FALSE)</f>
        <v>50080</v>
      </c>
      <c r="W1611" s="225">
        <f>_xll.qlCalendarAdvance(Calendar,V1611,NDays&amp;"D")</f>
        <v>50082</v>
      </c>
      <c r="X1611" s="200">
        <v>2.5431360935064654E-2</v>
      </c>
      <c r="Y1611" s="209">
        <v>2.5399697238350782E-2</v>
      </c>
    </row>
    <row r="1612" spans="21:25" x14ac:dyDescent="0.2">
      <c r="U1612" s="213" t="str">
        <f t="shared" si="28"/>
        <v>1w</v>
      </c>
      <c r="V1612" s="201">
        <f>_xll.qlCalendarAdvance(Calendar,V1611,U1612,"f",FALSE)</f>
        <v>50087</v>
      </c>
      <c r="W1612" s="225">
        <f>_xll.qlCalendarAdvance(Calendar,V1612,NDays&amp;"D")</f>
        <v>50089</v>
      </c>
      <c r="X1612" s="200">
        <v>2.5421208329021717E-2</v>
      </c>
      <c r="Y1612" s="209">
        <v>2.5389720697557294E-2</v>
      </c>
    </row>
    <row r="1613" spans="21:25" x14ac:dyDescent="0.2">
      <c r="U1613" s="213" t="str">
        <f t="shared" si="28"/>
        <v>1w</v>
      </c>
      <c r="V1613" s="201">
        <f>_xll.qlCalendarAdvance(Calendar,V1612,U1613,"f",FALSE)</f>
        <v>50094</v>
      </c>
      <c r="W1613" s="225">
        <f>_xll.qlCalendarAdvance(Calendar,V1613,NDays&amp;"D")</f>
        <v>50096</v>
      </c>
      <c r="X1613" s="200">
        <v>2.5411051944390285E-2</v>
      </c>
      <c r="Y1613" s="209">
        <v>2.5379740375308657E-2</v>
      </c>
    </row>
    <row r="1614" spans="21:25" x14ac:dyDescent="0.2">
      <c r="U1614" s="213" t="str">
        <f t="shared" si="28"/>
        <v>1w</v>
      </c>
      <c r="V1614" s="201">
        <f>_xll.qlCalendarAdvance(Calendar,V1613,U1614,"f",FALSE)</f>
        <v>50101</v>
      </c>
      <c r="W1614" s="225">
        <f>_xll.qlCalendarAdvance(Calendar,V1614,NDays&amp;"D")</f>
        <v>50103</v>
      </c>
      <c r="X1614" s="200">
        <v>2.5401387258566731E-2</v>
      </c>
      <c r="Y1614" s="209">
        <v>2.5369756271604871E-2</v>
      </c>
    </row>
    <row r="1615" spans="21:25" x14ac:dyDescent="0.2">
      <c r="U1615" s="213" t="str">
        <f t="shared" si="28"/>
        <v>1w</v>
      </c>
      <c r="V1615" s="201">
        <f>_xll.qlCalendarAdvance(Calendar,V1614,U1615,"f",FALSE)</f>
        <v>50108</v>
      </c>
      <c r="W1615" s="225">
        <f>_xll.qlCalendarAdvance(Calendar,V1615,NDays&amp;"D")</f>
        <v>50110</v>
      </c>
      <c r="X1615" s="200">
        <v>2.5391220369676826E-2</v>
      </c>
      <c r="Y1615" s="209">
        <v>2.5359768386525872E-2</v>
      </c>
    </row>
    <row r="1616" spans="21:25" x14ac:dyDescent="0.2">
      <c r="U1616" s="213" t="str">
        <f t="shared" si="28"/>
        <v>1w</v>
      </c>
      <c r="V1616" s="201">
        <f>_xll.qlCalendarAdvance(Calendar,V1615,U1616,"f",FALSE)</f>
        <v>50115</v>
      </c>
      <c r="W1616" s="225">
        <f>_xll.qlCalendarAdvance(Calendar,V1616,NDays&amp;"D")</f>
        <v>50117</v>
      </c>
      <c r="X1616" s="200">
        <v>2.5381049702439724E-2</v>
      </c>
      <c r="Y1616" s="209">
        <v>2.5349776719991723E-2</v>
      </c>
    </row>
    <row r="1617" spans="21:25" x14ac:dyDescent="0.2">
      <c r="U1617" s="213" t="str">
        <f t="shared" si="28"/>
        <v>1w</v>
      </c>
      <c r="V1617" s="201">
        <f>_xll.qlCalendarAdvance(Calendar,V1616,U1617,"f",FALSE)</f>
        <v>50122</v>
      </c>
      <c r="W1617" s="225">
        <f>_xll.qlCalendarAdvance(Calendar,V1617,NDays&amp;"D")</f>
        <v>50124</v>
      </c>
      <c r="X1617" s="200">
        <v>2.5370875256914501E-2</v>
      </c>
      <c r="Y1617" s="209">
        <v>2.5339781272002426E-2</v>
      </c>
    </row>
    <row r="1618" spans="21:25" x14ac:dyDescent="0.2">
      <c r="U1618" s="213" t="str">
        <f t="shared" si="28"/>
        <v>1w</v>
      </c>
      <c r="V1618" s="201">
        <f>_xll.qlCalendarAdvance(Calendar,V1617,U1618,"f",FALSE)</f>
        <v>50129</v>
      </c>
      <c r="W1618" s="225">
        <f>_xll.qlCalendarAdvance(Calendar,V1618,NDays&amp;"D")</f>
        <v>50131</v>
      </c>
      <c r="X1618" s="200">
        <v>2.5360535889772405E-2</v>
      </c>
      <c r="Y1618" s="209">
        <v>2.532978204255798E-2</v>
      </c>
    </row>
    <row r="1619" spans="21:25" x14ac:dyDescent="0.2">
      <c r="U1619" s="213" t="str">
        <f t="shared" si="28"/>
        <v>1w</v>
      </c>
      <c r="V1619" s="201">
        <f>_xll.qlCalendarAdvance(Calendar,V1618,U1619,"f",FALSE)</f>
        <v>50137</v>
      </c>
      <c r="W1619" s="225">
        <f>_xll.qlCalendarAdvance(Calendar,V1619,NDays&amp;"D")</f>
        <v>50139</v>
      </c>
      <c r="X1619" s="200">
        <v>2.5348900130434501E-2</v>
      </c>
      <c r="Y1619" s="209">
        <v>2.5318349721468181E-2</v>
      </c>
    </row>
    <row r="1620" spans="21:25" x14ac:dyDescent="0.2">
      <c r="U1620" s="213" t="str">
        <f t="shared" si="28"/>
        <v>1w</v>
      </c>
      <c r="V1620" s="201">
        <f>_xll.qlCalendarAdvance(Calendar,V1619,U1620,"f",FALSE)</f>
        <v>50144</v>
      </c>
      <c r="W1620" s="225">
        <f>_xll.qlCalendarAdvance(Calendar,V1620,NDays&amp;"D")</f>
        <v>50146</v>
      </c>
      <c r="X1620" s="200">
        <v>2.5338714793016869E-2</v>
      </c>
      <c r="Y1620" s="209">
        <v>2.5308342388985494E-2</v>
      </c>
    </row>
    <row r="1621" spans="21:25" x14ac:dyDescent="0.2">
      <c r="U1621" s="213" t="str">
        <f t="shared" ref="U1621:U1684" si="29">U1620</f>
        <v>1w</v>
      </c>
      <c r="V1621" s="201">
        <f>_xll.qlCalendarAdvance(Calendar,V1620,U1621,"f",FALSE)</f>
        <v>50151</v>
      </c>
      <c r="W1621" s="225">
        <f>_xll.qlCalendarAdvance(Calendar,V1621,NDays&amp;"D")</f>
        <v>50153</v>
      </c>
      <c r="X1621" s="200">
        <v>2.5328525677530668E-2</v>
      </c>
      <c r="Y1621" s="209">
        <v>2.5298331275047659E-2</v>
      </c>
    </row>
    <row r="1622" spans="21:25" x14ac:dyDescent="0.2">
      <c r="U1622" s="213" t="str">
        <f t="shared" si="29"/>
        <v>1w</v>
      </c>
      <c r="V1622" s="201">
        <f>_xll.qlCalendarAdvance(Calendar,V1621,U1622,"f",FALSE)</f>
        <v>50158</v>
      </c>
      <c r="W1622" s="225">
        <f>_xll.qlCalendarAdvance(Calendar,V1622,NDays&amp;"D")</f>
        <v>50160</v>
      </c>
      <c r="X1622" s="200">
        <v>2.5318332784033122E-2</v>
      </c>
      <c r="Y1622" s="209">
        <v>2.5288834041807817E-2</v>
      </c>
    </row>
    <row r="1623" spans="21:25" x14ac:dyDescent="0.2">
      <c r="U1623" s="213" t="str">
        <f t="shared" si="29"/>
        <v>1w</v>
      </c>
      <c r="V1623" s="201">
        <f>_xll.qlCalendarAdvance(Calendar,V1622,U1623,"f",FALSE)</f>
        <v>50165</v>
      </c>
      <c r="W1623" s="225">
        <f>_xll.qlCalendarAdvance(Calendar,V1623,NDays&amp;"D")</f>
        <v>50167</v>
      </c>
      <c r="X1623" s="200">
        <v>2.5308604127610674E-2</v>
      </c>
      <c r="Y1623" s="209">
        <v>2.5278297702886476E-2</v>
      </c>
    </row>
    <row r="1624" spans="21:25" x14ac:dyDescent="0.2">
      <c r="U1624" s="213" t="str">
        <f t="shared" si="29"/>
        <v>1w</v>
      </c>
      <c r="V1624" s="201">
        <f>_xll.qlCalendarAdvance(Calendar,V1623,U1624,"f",FALSE)</f>
        <v>50172</v>
      </c>
      <c r="W1624" s="225">
        <f>_xll.qlCalendarAdvance(Calendar,V1624,NDays&amp;"D")</f>
        <v>50174</v>
      </c>
      <c r="X1624" s="200">
        <v>2.5298400731398434E-2</v>
      </c>
      <c r="Y1624" s="209">
        <v>2.526827524466313E-2</v>
      </c>
    </row>
    <row r="1625" spans="21:25" x14ac:dyDescent="0.2">
      <c r="U1625" s="213" t="str">
        <f t="shared" si="29"/>
        <v>1w</v>
      </c>
      <c r="V1625" s="201">
        <f>_xll.qlCalendarAdvance(Calendar,V1624,U1625,"f",FALSE)</f>
        <v>50179</v>
      </c>
      <c r="W1625" s="225">
        <f>_xll.qlCalendarAdvance(Calendar,V1625,NDays&amp;"D")</f>
        <v>50181</v>
      </c>
      <c r="X1625" s="200">
        <v>2.5288193557428732E-2</v>
      </c>
      <c r="Y1625" s="209">
        <v>2.525824900506457E-2</v>
      </c>
    </row>
    <row r="1626" spans="21:25" x14ac:dyDescent="0.2">
      <c r="U1626" s="213" t="str">
        <f t="shared" si="29"/>
        <v>1w</v>
      </c>
      <c r="V1626" s="201">
        <f>_xll.qlCalendarAdvance(Calendar,V1625,U1626,"f",FALSE)</f>
        <v>50186</v>
      </c>
      <c r="W1626" s="225">
        <f>_xll.qlCalendarAdvance(Calendar,V1626,NDays&amp;"D")</f>
        <v>50188</v>
      </c>
      <c r="X1626" s="200">
        <v>2.5277982605761307E-2</v>
      </c>
      <c r="Y1626" s="209">
        <v>2.5248218983930926E-2</v>
      </c>
    </row>
    <row r="1627" spans="21:25" x14ac:dyDescent="0.2">
      <c r="U1627" s="213" t="str">
        <f t="shared" si="29"/>
        <v>1w</v>
      </c>
      <c r="V1627" s="201">
        <f>_xll.qlCalendarAdvance(Calendar,V1626,U1627,"f",FALSE)</f>
        <v>50193</v>
      </c>
      <c r="W1627" s="225">
        <f>_xll.qlCalendarAdvance(Calendar,V1627,NDays&amp;"D")</f>
        <v>50195</v>
      </c>
      <c r="X1627" s="200">
        <v>2.5267311648438678E-2</v>
      </c>
      <c r="Y1627" s="209">
        <v>2.5238185181342132E-2</v>
      </c>
    </row>
    <row r="1628" spans="21:25" x14ac:dyDescent="0.2">
      <c r="U1628" s="213" t="str">
        <f t="shared" si="29"/>
        <v>1w</v>
      </c>
      <c r="V1628" s="201">
        <f>_xll.qlCalendarAdvance(Calendar,V1627,U1628,"f",FALSE)</f>
        <v>50200</v>
      </c>
      <c r="W1628" s="225">
        <f>_xll.qlCalendarAdvance(Calendar,V1628,NDays&amp;"D")</f>
        <v>50202</v>
      </c>
      <c r="X1628" s="200">
        <v>2.5257096088107913E-2</v>
      </c>
      <c r="Y1628" s="209">
        <v>2.5228147597378126E-2</v>
      </c>
    </row>
    <row r="1629" spans="21:25" x14ac:dyDescent="0.2">
      <c r="U1629" s="213" t="str">
        <f t="shared" si="29"/>
        <v>1w</v>
      </c>
      <c r="V1629" s="201">
        <f>_xll.qlCalendarAdvance(Calendar,V1628,U1629,"f",FALSE)</f>
        <v>50207</v>
      </c>
      <c r="W1629" s="225">
        <f>_xll.qlCalendarAdvance(Calendar,V1629,NDays&amp;"D")</f>
        <v>50209</v>
      </c>
      <c r="X1629" s="200">
        <v>2.5246876750176839E-2</v>
      </c>
      <c r="Y1629" s="209">
        <v>2.5218106232038906E-2</v>
      </c>
    </row>
    <row r="1630" spans="21:25" x14ac:dyDescent="0.2">
      <c r="U1630" s="213" t="str">
        <f t="shared" si="29"/>
        <v>1w</v>
      </c>
      <c r="V1630" s="201">
        <f>_xll.qlCalendarAdvance(Calendar,V1629,U1630,"f",FALSE)</f>
        <v>50214</v>
      </c>
      <c r="W1630" s="225">
        <f>_xll.qlCalendarAdvance(Calendar,V1630,NDays&amp;"D")</f>
        <v>50216</v>
      </c>
      <c r="X1630" s="200">
        <v>2.5237101023309103E-2</v>
      </c>
      <c r="Y1630" s="209">
        <v>2.5208061085164601E-2</v>
      </c>
    </row>
    <row r="1631" spans="21:25" x14ac:dyDescent="0.2">
      <c r="U1631" s="213" t="str">
        <f t="shared" si="29"/>
        <v>1w</v>
      </c>
      <c r="V1631" s="201">
        <f>_xll.qlCalendarAdvance(Calendar,V1630,U1631,"f",FALSE)</f>
        <v>50221</v>
      </c>
      <c r="W1631" s="225">
        <f>_xll.qlCalendarAdvance(Calendar,V1631,NDays&amp;"D")</f>
        <v>50223</v>
      </c>
      <c r="X1631" s="200">
        <v>2.5226871184048684E-2</v>
      </c>
      <c r="Y1631" s="209">
        <v>2.5198012156915084E-2</v>
      </c>
    </row>
    <row r="1632" spans="21:25" x14ac:dyDescent="0.2">
      <c r="U1632" s="213" t="str">
        <f t="shared" si="29"/>
        <v>1w</v>
      </c>
      <c r="V1632" s="201">
        <f>_xll.qlCalendarAdvance(Calendar,V1631,U1632,"f",FALSE)</f>
        <v>50228</v>
      </c>
      <c r="W1632" s="225">
        <f>_xll.qlCalendarAdvance(Calendar,V1632,NDays&amp;"D")</f>
        <v>50230</v>
      </c>
      <c r="X1632" s="200">
        <v>2.5216637567448529E-2</v>
      </c>
      <c r="Y1632" s="209">
        <v>2.5187959447370289E-2</v>
      </c>
    </row>
    <row r="1633" spans="21:25" x14ac:dyDescent="0.2">
      <c r="U1633" s="213" t="str">
        <f t="shared" si="29"/>
        <v>1w</v>
      </c>
      <c r="V1633" s="201">
        <f>_xll.qlCalendarAdvance(Calendar,V1632,U1633,"f",FALSE)</f>
        <v>50235</v>
      </c>
      <c r="W1633" s="225">
        <f>_xll.qlCalendarAdvance(Calendar,V1633,NDays&amp;"D")</f>
        <v>50237</v>
      </c>
      <c r="X1633" s="200">
        <v>2.5206400173567955E-2</v>
      </c>
      <c r="Y1633" s="209">
        <v>2.5177902956130538E-2</v>
      </c>
    </row>
    <row r="1634" spans="21:25" x14ac:dyDescent="0.2">
      <c r="U1634" s="213" t="str">
        <f t="shared" si="29"/>
        <v>1w</v>
      </c>
      <c r="V1634" s="201">
        <f>_xll.qlCalendarAdvance(Calendar,V1633,U1634,"f",FALSE)</f>
        <v>50242</v>
      </c>
      <c r="W1634" s="225">
        <f>_xll.qlCalendarAdvance(Calendar,V1634,NDays&amp;"D")</f>
        <v>50244</v>
      </c>
      <c r="X1634" s="200">
        <v>2.5196159002467553E-2</v>
      </c>
      <c r="Y1634" s="209">
        <v>2.5167842683675445E-2</v>
      </c>
    </row>
    <row r="1635" spans="21:25" x14ac:dyDescent="0.2">
      <c r="U1635" s="213" t="str">
        <f t="shared" si="29"/>
        <v>1w</v>
      </c>
      <c r="V1635" s="201">
        <f>_xll.qlCalendarAdvance(Calendar,V1634,U1635,"f",FALSE)</f>
        <v>50249</v>
      </c>
      <c r="W1635" s="225">
        <f>_xll.qlCalendarAdvance(Calendar,V1635,NDays&amp;"D")</f>
        <v>50251</v>
      </c>
      <c r="X1635" s="200">
        <v>2.5185481396264774E-2</v>
      </c>
      <c r="Y1635" s="209">
        <v>2.5157778629685268E-2</v>
      </c>
    </row>
    <row r="1636" spans="21:25" x14ac:dyDescent="0.2">
      <c r="U1636" s="213" t="str">
        <f t="shared" si="29"/>
        <v>1w</v>
      </c>
      <c r="V1636" s="201">
        <f>_xll.qlCalendarAdvance(Calendar,V1635,U1636,"f",FALSE)</f>
        <v>50256</v>
      </c>
      <c r="W1636" s="225">
        <f>_xll.qlCalendarAdvance(Calendar,V1636,NDays&amp;"D")</f>
        <v>50258</v>
      </c>
      <c r="X1636" s="200">
        <v>2.5175665328843633E-2</v>
      </c>
      <c r="Y1636" s="209">
        <v>2.5147710794239941E-2</v>
      </c>
    </row>
    <row r="1637" spans="21:25" x14ac:dyDescent="0.2">
      <c r="U1637" s="213" t="str">
        <f t="shared" si="29"/>
        <v>1w</v>
      </c>
      <c r="V1637" s="201">
        <f>_xll.qlCalendarAdvance(Calendar,V1636,U1637,"f",FALSE)</f>
        <v>50263</v>
      </c>
      <c r="W1637" s="225">
        <f>_xll.qlCalendarAdvance(Calendar,V1637,NDays&amp;"D")</f>
        <v>50265</v>
      </c>
      <c r="X1637" s="200">
        <v>2.5165412826440452E-2</v>
      </c>
      <c r="Y1637" s="209">
        <v>2.5137639177419402E-2</v>
      </c>
    </row>
    <row r="1638" spans="21:25" x14ac:dyDescent="0.2">
      <c r="U1638" s="213" t="str">
        <f t="shared" si="29"/>
        <v>1w</v>
      </c>
      <c r="V1638" s="201">
        <f>_xll.qlCalendarAdvance(Calendar,V1637,U1638,"f",FALSE)</f>
        <v>50270</v>
      </c>
      <c r="W1638" s="225">
        <f>_xll.qlCalendarAdvance(Calendar,V1638,NDays&amp;"D")</f>
        <v>50272</v>
      </c>
      <c r="X1638" s="200">
        <v>2.5155156547056395E-2</v>
      </c>
      <c r="Y1638" s="209">
        <v>2.5127563779223649E-2</v>
      </c>
    </row>
    <row r="1639" spans="21:25" x14ac:dyDescent="0.2">
      <c r="U1639" s="213" t="str">
        <f t="shared" si="29"/>
        <v>1w</v>
      </c>
      <c r="V1639" s="201">
        <f>_xll.qlCalendarAdvance(Calendar,V1638,U1639,"f",FALSE)</f>
        <v>50277</v>
      </c>
      <c r="W1639" s="225">
        <f>_xll.qlCalendarAdvance(Calendar,V1639,NDays&amp;"D")</f>
        <v>50279</v>
      </c>
      <c r="X1639" s="200">
        <v>2.5144475615751123E-2</v>
      </c>
      <c r="Y1639" s="209">
        <v>2.5117484599572748E-2</v>
      </c>
    </row>
    <row r="1640" spans="21:25" x14ac:dyDescent="0.2">
      <c r="U1640" s="213" t="str">
        <f t="shared" si="29"/>
        <v>1w</v>
      </c>
      <c r="V1640" s="201">
        <f>_xll.qlCalendarAdvance(Calendar,V1639,U1640,"f",FALSE)</f>
        <v>50284</v>
      </c>
      <c r="W1640" s="225">
        <f>_xll.qlCalendarAdvance(Calendar,V1640,NDays&amp;"D")</f>
        <v>50286</v>
      </c>
      <c r="X1640" s="200">
        <v>2.5133935672372015E-2</v>
      </c>
      <c r="Y1640" s="209">
        <v>2.5107401638466698E-2</v>
      </c>
    </row>
    <row r="1641" spans="21:25" x14ac:dyDescent="0.2">
      <c r="U1641" s="213" t="str">
        <f t="shared" si="29"/>
        <v>1w</v>
      </c>
      <c r="V1641" s="201">
        <f>_xll.qlCalendarAdvance(Calendar,V1640,U1641,"f",FALSE)</f>
        <v>50291</v>
      </c>
      <c r="W1641" s="225">
        <f>_xll.qlCalendarAdvance(Calendar,V1641,NDays&amp;"D")</f>
        <v>50293</v>
      </c>
      <c r="X1641" s="200">
        <v>2.5123672971199155E-2</v>
      </c>
      <c r="Y1641" s="209">
        <v>2.5097314895905498E-2</v>
      </c>
    </row>
    <row r="1642" spans="21:25" x14ac:dyDescent="0.2">
      <c r="U1642" s="213" t="str">
        <f t="shared" si="29"/>
        <v>1w</v>
      </c>
      <c r="V1642" s="201">
        <f>_xll.qlCalendarAdvance(Calendar,V1641,U1642,"f",FALSE)</f>
        <v>50298</v>
      </c>
      <c r="W1642" s="225">
        <f>_xll.qlCalendarAdvance(Calendar,V1642,NDays&amp;"D")</f>
        <v>50300</v>
      </c>
      <c r="X1642" s="200">
        <v>2.5113406493127946E-2</v>
      </c>
      <c r="Y1642" s="209">
        <v>2.5087224371969086E-2</v>
      </c>
    </row>
    <row r="1643" spans="21:25" x14ac:dyDescent="0.2">
      <c r="U1643" s="213" t="str">
        <f t="shared" si="29"/>
        <v>1w</v>
      </c>
      <c r="V1643" s="201">
        <f>_xll.qlCalendarAdvance(Calendar,V1642,U1643,"f",FALSE)</f>
        <v>50305</v>
      </c>
      <c r="W1643" s="225">
        <f>_xll.qlCalendarAdvance(Calendar,V1643,NDays&amp;"D")</f>
        <v>50307</v>
      </c>
      <c r="X1643" s="200">
        <v>2.5103136238216237E-2</v>
      </c>
      <c r="Y1643" s="209">
        <v>2.5077130066577524E-2</v>
      </c>
    </row>
    <row r="1644" spans="21:25" x14ac:dyDescent="0.2">
      <c r="U1644" s="213" t="str">
        <f t="shared" si="29"/>
        <v>1w</v>
      </c>
      <c r="V1644" s="201">
        <f>_xll.qlCalendarAdvance(Calendar,V1643,U1644,"f",FALSE)</f>
        <v>50312</v>
      </c>
      <c r="W1644" s="225">
        <f>_xll.qlCalendarAdvance(Calendar,V1644,NDays&amp;"D")</f>
        <v>50314</v>
      </c>
      <c r="X1644" s="200">
        <v>2.5092997851493878E-2</v>
      </c>
      <c r="Y1644" s="209">
        <v>2.506703197981075E-2</v>
      </c>
    </row>
    <row r="1645" spans="21:25" x14ac:dyDescent="0.2">
      <c r="U1645" s="213" t="str">
        <f t="shared" si="29"/>
        <v>1w</v>
      </c>
      <c r="V1645" s="201">
        <f>_xll.qlCalendarAdvance(Calendar,V1644,U1645,"f",FALSE)</f>
        <v>50319</v>
      </c>
      <c r="W1645" s="225">
        <f>_xll.qlCalendarAdvance(Calendar,V1645,NDays&amp;"D")</f>
        <v>50321</v>
      </c>
      <c r="X1645" s="200">
        <v>2.5082719061533157E-2</v>
      </c>
      <c r="Y1645" s="209">
        <v>2.505693011150889E-2</v>
      </c>
    </row>
    <row r="1646" spans="21:25" x14ac:dyDescent="0.2">
      <c r="U1646" s="213" t="str">
        <f t="shared" si="29"/>
        <v>1w</v>
      </c>
      <c r="V1646" s="201">
        <f>_xll.qlCalendarAdvance(Calendar,V1645,U1646,"f",FALSE)</f>
        <v>50326</v>
      </c>
      <c r="W1646" s="225">
        <f>_xll.qlCalendarAdvance(Calendar,V1646,NDays&amp;"D")</f>
        <v>50328</v>
      </c>
      <c r="X1646" s="200">
        <v>2.5072436494940682E-2</v>
      </c>
      <c r="Y1646" s="209">
        <v>2.5046824461831818E-2</v>
      </c>
    </row>
    <row r="1647" spans="21:25" x14ac:dyDescent="0.2">
      <c r="U1647" s="213" t="str">
        <f t="shared" si="29"/>
        <v>1w</v>
      </c>
      <c r="V1647" s="201">
        <f>_xll.qlCalendarAdvance(Calendar,V1646,U1647,"f",FALSE)</f>
        <v>50333</v>
      </c>
      <c r="W1647" s="225">
        <f>_xll.qlCalendarAdvance(Calendar,V1647,NDays&amp;"D")</f>
        <v>50335</v>
      </c>
      <c r="X1647" s="200">
        <v>2.506215015177355E-2</v>
      </c>
      <c r="Y1647" s="209">
        <v>2.5036715030859469E-2</v>
      </c>
    </row>
    <row r="1648" spans="21:25" x14ac:dyDescent="0.2">
      <c r="U1648" s="213" t="str">
        <f t="shared" si="29"/>
        <v>1w</v>
      </c>
      <c r="V1648" s="201">
        <f>_xll.qlCalendarAdvance(Calendar,V1647,U1648,"f",FALSE)</f>
        <v>50340</v>
      </c>
      <c r="W1648" s="225">
        <f>_xll.qlCalendarAdvance(Calendar,V1648,NDays&amp;"D")</f>
        <v>50342</v>
      </c>
      <c r="X1648" s="200">
        <v>2.5051860032090614E-2</v>
      </c>
      <c r="Y1648" s="209">
        <v>2.5026601818192162E-2</v>
      </c>
    </row>
    <row r="1649" spans="21:25" x14ac:dyDescent="0.2">
      <c r="U1649" s="213" t="str">
        <f t="shared" si="29"/>
        <v>1w</v>
      </c>
      <c r="V1649" s="201">
        <f>_xll.qlCalendarAdvance(Calendar,V1648,U1649,"f",FALSE)</f>
        <v>50347</v>
      </c>
      <c r="W1649" s="225">
        <f>_xll.qlCalendarAdvance(Calendar,V1649,NDays&amp;"D")</f>
        <v>50349</v>
      </c>
      <c r="X1649" s="200">
        <v>2.5041435398358777E-2</v>
      </c>
      <c r="Y1649" s="209">
        <v>2.5016484824309515E-2</v>
      </c>
    </row>
    <row r="1650" spans="21:25" x14ac:dyDescent="0.2">
      <c r="U1650" s="213" t="str">
        <f t="shared" si="29"/>
        <v>1w</v>
      </c>
      <c r="V1650" s="201">
        <f>_xll.qlCalendarAdvance(Calendar,V1649,U1650,"f",FALSE)</f>
        <v>50354</v>
      </c>
      <c r="W1650" s="225">
        <f>_xll.qlCalendarAdvance(Calendar,V1650,NDays&amp;"D")</f>
        <v>50356</v>
      </c>
      <c r="X1650" s="200">
        <v>2.5031138707197639E-2</v>
      </c>
      <c r="Y1650" s="209">
        <v>2.5006364049051655E-2</v>
      </c>
    </row>
    <row r="1651" spans="21:25" x14ac:dyDescent="0.2">
      <c r="U1651" s="213" t="str">
        <f t="shared" si="29"/>
        <v>1w</v>
      </c>
      <c r="V1651" s="201">
        <f>_xll.qlCalendarAdvance(Calendar,V1650,U1651,"f",FALSE)</f>
        <v>50361</v>
      </c>
      <c r="W1651" s="225">
        <f>_xll.qlCalendarAdvance(Calendar,V1651,NDays&amp;"D")</f>
        <v>50363</v>
      </c>
      <c r="X1651" s="200">
        <v>2.5020838239661482E-2</v>
      </c>
      <c r="Y1651" s="209">
        <v>2.4996239492098837E-2</v>
      </c>
    </row>
    <row r="1652" spans="21:25" x14ac:dyDescent="0.2">
      <c r="U1652" s="213" t="str">
        <f t="shared" si="29"/>
        <v>1w</v>
      </c>
      <c r="V1652" s="201">
        <f>_xll.qlCalendarAdvance(Calendar,V1651,U1652,"f",FALSE)</f>
        <v>50368</v>
      </c>
      <c r="W1652" s="225">
        <f>_xll.qlCalendarAdvance(Calendar,V1652,NDays&amp;"D")</f>
        <v>50370</v>
      </c>
      <c r="X1652" s="200">
        <v>2.5010533995811258E-2</v>
      </c>
      <c r="Y1652" s="209">
        <v>2.4986111153930679E-2</v>
      </c>
    </row>
    <row r="1653" spans="21:25" x14ac:dyDescent="0.2">
      <c r="U1653" s="213" t="str">
        <f t="shared" si="29"/>
        <v>1w</v>
      </c>
      <c r="V1653" s="201">
        <f>_xll.qlCalendarAdvance(Calendar,V1652,U1653,"f",FALSE)</f>
        <v>50375</v>
      </c>
      <c r="W1653" s="225">
        <f>_xll.qlCalendarAdvance(Calendar,V1653,NDays&amp;"D")</f>
        <v>50377</v>
      </c>
      <c r="X1653" s="200">
        <v>2.5000352787999648E-2</v>
      </c>
      <c r="Y1653" s="209">
        <v>2.4975979034387308E-2</v>
      </c>
    </row>
    <row r="1654" spans="21:25" x14ac:dyDescent="0.2">
      <c r="U1654" s="213" t="str">
        <f t="shared" si="29"/>
        <v>1w</v>
      </c>
      <c r="V1654" s="201">
        <f>_xll.qlCalendarAdvance(Calendar,V1653,U1654,"f",FALSE)</f>
        <v>50382</v>
      </c>
      <c r="W1654" s="225">
        <f>_xll.qlCalendarAdvance(Calendar,V1654,NDays&amp;"D")</f>
        <v>50384</v>
      </c>
      <c r="X1654" s="200">
        <v>2.4990040010457387E-2</v>
      </c>
      <c r="Y1654" s="209">
        <v>2.4965843133308852E-2</v>
      </c>
    </row>
    <row r="1655" spans="21:25" x14ac:dyDescent="0.2">
      <c r="U1655" s="213" t="str">
        <f t="shared" si="29"/>
        <v>1w</v>
      </c>
      <c r="V1655" s="201">
        <f>_xll.qlCalendarAdvance(Calendar,V1654,U1655,"f",FALSE)</f>
        <v>50389</v>
      </c>
      <c r="W1655" s="225">
        <f>_xll.qlCalendarAdvance(Calendar,V1655,NDays&amp;"D")</f>
        <v>50391</v>
      </c>
      <c r="X1655" s="200">
        <v>2.4979723456811299E-2</v>
      </c>
      <c r="Y1655" s="209">
        <v>2.4955703450775246E-2</v>
      </c>
    </row>
    <row r="1656" spans="21:25" x14ac:dyDescent="0.2">
      <c r="U1656" s="213" t="str">
        <f t="shared" si="29"/>
        <v>1w</v>
      </c>
      <c r="V1656" s="201">
        <f>_xll.qlCalendarAdvance(Calendar,V1655,U1656,"f",FALSE)</f>
        <v>50396</v>
      </c>
      <c r="W1656" s="225">
        <f>_xll.qlCalendarAdvance(Calendar,V1656,NDays&amp;"D")</f>
        <v>50398</v>
      </c>
      <c r="X1656" s="200">
        <v>2.4969403127120683E-2</v>
      </c>
      <c r="Y1656" s="209">
        <v>2.4945978352408638E-2</v>
      </c>
    </row>
    <row r="1657" spans="21:25" x14ac:dyDescent="0.2">
      <c r="U1657" s="213" t="str">
        <f t="shared" si="29"/>
        <v>1w</v>
      </c>
      <c r="V1657" s="201">
        <f>_xll.qlCalendarAdvance(Calendar,V1656,U1657,"f",FALSE)</f>
        <v>50403</v>
      </c>
      <c r="W1657" s="225">
        <f>_xll.qlCalendarAdvance(Calendar,V1657,NDays&amp;"D")</f>
        <v>50405</v>
      </c>
      <c r="X1657" s="200">
        <v>2.4958956133881088E-2</v>
      </c>
      <c r="Y1657" s="209">
        <v>2.4935828187719888E-2</v>
      </c>
    </row>
    <row r="1658" spans="21:25" x14ac:dyDescent="0.2">
      <c r="U1658" s="213" t="str">
        <f t="shared" si="29"/>
        <v>1w</v>
      </c>
      <c r="V1658" s="201">
        <f>_xll.qlCalendarAdvance(Calendar,V1657,U1658,"f",FALSE)</f>
        <v>50410</v>
      </c>
      <c r="W1658" s="225">
        <f>_xll.qlCalendarAdvance(Calendar,V1658,NDays&amp;"D")</f>
        <v>50412</v>
      </c>
      <c r="X1658" s="200">
        <v>2.4948629233369789E-2</v>
      </c>
      <c r="Y1658" s="209">
        <v>2.4925261714843217E-2</v>
      </c>
    </row>
    <row r="1659" spans="21:25" x14ac:dyDescent="0.2">
      <c r="U1659" s="213" t="str">
        <f t="shared" si="29"/>
        <v>1w</v>
      </c>
      <c r="V1659" s="201">
        <f>_xll.qlCalendarAdvance(Calendar,V1658,U1659,"f",FALSE)</f>
        <v>50417</v>
      </c>
      <c r="W1659" s="225">
        <f>_xll.qlCalendarAdvance(Calendar,V1659,NDays&amp;"D")</f>
        <v>50419</v>
      </c>
      <c r="X1659" s="200">
        <v>2.4938298556953373E-2</v>
      </c>
      <c r="Y1659" s="209">
        <v>2.4915106906648887E-2</v>
      </c>
    </row>
    <row r="1660" spans="21:25" x14ac:dyDescent="0.2">
      <c r="U1660" s="213" t="str">
        <f t="shared" si="29"/>
        <v>1w</v>
      </c>
      <c r="V1660" s="201">
        <f>_xll.qlCalendarAdvance(Calendar,V1659,U1660,"f",FALSE)</f>
        <v>50424</v>
      </c>
      <c r="W1660" s="225">
        <f>_xll.qlCalendarAdvance(Calendar,V1660,NDays&amp;"D")</f>
        <v>50426</v>
      </c>
      <c r="X1660" s="200">
        <v>2.4927964104691027E-2</v>
      </c>
      <c r="Y1660" s="209">
        <v>2.4904948317079345E-2</v>
      </c>
    </row>
    <row r="1661" spans="21:25" x14ac:dyDescent="0.2">
      <c r="U1661" s="213" t="str">
        <f t="shared" si="29"/>
        <v>1w</v>
      </c>
      <c r="V1661" s="201">
        <f>_xll.qlCalendarAdvance(Calendar,V1660,U1661,"f",FALSE)</f>
        <v>50431</v>
      </c>
      <c r="W1661" s="225">
        <f>_xll.qlCalendarAdvance(Calendar,V1661,NDays&amp;"D")</f>
        <v>50433</v>
      </c>
      <c r="X1661" s="200">
        <v>2.4917625876640155E-2</v>
      </c>
      <c r="Y1661" s="209">
        <v>2.489478594613459E-2</v>
      </c>
    </row>
    <row r="1662" spans="21:25" x14ac:dyDescent="0.2">
      <c r="U1662" s="213" t="str">
        <f t="shared" si="29"/>
        <v>1w</v>
      </c>
      <c r="V1662" s="201">
        <f>_xll.qlCalendarAdvance(Calendar,V1661,U1662,"f",FALSE)</f>
        <v>50438</v>
      </c>
      <c r="W1662" s="225">
        <f>_xll.qlCalendarAdvance(Calendar,V1662,NDays&amp;"D")</f>
        <v>50440</v>
      </c>
      <c r="X1662" s="200">
        <v>2.4907283872861268E-2</v>
      </c>
      <c r="Y1662" s="209">
        <v>2.488461979365475E-2</v>
      </c>
    </row>
    <row r="1663" spans="21:25" x14ac:dyDescent="0.2">
      <c r="U1663" s="213" t="str">
        <f t="shared" si="29"/>
        <v>1w</v>
      </c>
      <c r="V1663" s="201">
        <f>_xll.qlCalendarAdvance(Calendar,V1662,U1663,"f",FALSE)</f>
        <v>50445</v>
      </c>
      <c r="W1663" s="225">
        <f>_xll.qlCalendarAdvance(Calendar,V1663,NDays&amp;"D")</f>
        <v>50447</v>
      </c>
      <c r="X1663" s="200">
        <v>2.4896938093410894E-2</v>
      </c>
      <c r="Y1663" s="209">
        <v>2.4874449859799697E-2</v>
      </c>
    </row>
    <row r="1664" spans="21:25" x14ac:dyDescent="0.2">
      <c r="U1664" s="213" t="str">
        <f t="shared" si="29"/>
        <v>1w</v>
      </c>
      <c r="V1664" s="201">
        <f>_xll.qlCalendarAdvance(Calendar,V1663,U1664,"f",FALSE)</f>
        <v>50452</v>
      </c>
      <c r="W1664" s="225">
        <f>_xll.qlCalendarAdvance(Calendar,V1664,NDays&amp;"D")</f>
        <v>50454</v>
      </c>
      <c r="X1664" s="200">
        <v>2.4886588538349092E-2</v>
      </c>
      <c r="Y1664" s="209">
        <v>2.4864276144489494E-2</v>
      </c>
    </row>
    <row r="1665" spans="21:25" x14ac:dyDescent="0.2">
      <c r="U1665" s="213" t="str">
        <f t="shared" si="29"/>
        <v>1w</v>
      </c>
      <c r="V1665" s="201">
        <f>_xll.qlCalendarAdvance(Calendar,V1664,U1665,"f",FALSE)</f>
        <v>50459</v>
      </c>
      <c r="W1665" s="225">
        <f>_xll.qlCalendarAdvance(Calendar,V1665,NDays&amp;"D")</f>
        <v>50461</v>
      </c>
      <c r="X1665" s="200">
        <v>2.4876235207735044E-2</v>
      </c>
      <c r="Y1665" s="209">
        <v>2.4854098647804079E-2</v>
      </c>
    </row>
    <row r="1666" spans="21:25" x14ac:dyDescent="0.2">
      <c r="U1666" s="213" t="str">
        <f t="shared" si="29"/>
        <v>1w</v>
      </c>
      <c r="V1666" s="201">
        <f>_xll.qlCalendarAdvance(Calendar,V1665,U1666,"f",FALSE)</f>
        <v>50466</v>
      </c>
      <c r="W1666" s="225">
        <f>_xll.qlCalendarAdvance(Calendar,V1666,NDays&amp;"D")</f>
        <v>50468</v>
      </c>
      <c r="X1666" s="200">
        <v>2.4866447513446816E-2</v>
      </c>
      <c r="Y1666" s="209">
        <v>2.4843917369663515E-2</v>
      </c>
    </row>
    <row r="1667" spans="21:25" x14ac:dyDescent="0.2">
      <c r="U1667" s="213" t="str">
        <f t="shared" si="29"/>
        <v>1w</v>
      </c>
      <c r="V1667" s="201">
        <f>_xll.qlCalendarAdvance(Calendar,V1666,U1667,"f",FALSE)</f>
        <v>50473</v>
      </c>
      <c r="W1667" s="225">
        <f>_xll.qlCalendarAdvance(Calendar,V1667,NDays&amp;"D")</f>
        <v>50475</v>
      </c>
      <c r="X1667" s="200">
        <v>2.4856081727724567E-2</v>
      </c>
      <c r="Y1667" s="209">
        <v>2.4833732310227674E-2</v>
      </c>
    </row>
    <row r="1668" spans="21:25" x14ac:dyDescent="0.2">
      <c r="U1668" s="213" t="str">
        <f t="shared" si="29"/>
        <v>1w</v>
      </c>
      <c r="V1668" s="201">
        <f>_xll.qlCalendarAdvance(Calendar,V1667,U1668,"f",FALSE)</f>
        <v>50480</v>
      </c>
      <c r="W1668" s="225">
        <f>_xll.qlCalendarAdvance(Calendar,V1668,NDays&amp;"D")</f>
        <v>50482</v>
      </c>
      <c r="X1668" s="200">
        <v>2.4845712166824727E-2</v>
      </c>
      <c r="Y1668" s="209">
        <v>2.4823543469256748E-2</v>
      </c>
    </row>
    <row r="1669" spans="21:25" x14ac:dyDescent="0.2">
      <c r="U1669" s="213" t="str">
        <f t="shared" si="29"/>
        <v>1w</v>
      </c>
      <c r="V1669" s="201">
        <f>_xll.qlCalendarAdvance(Calendar,V1668,U1669,"f",FALSE)</f>
        <v>50487</v>
      </c>
      <c r="W1669" s="225">
        <f>_xll.qlCalendarAdvance(Calendar,V1669,NDays&amp;"D")</f>
        <v>50489</v>
      </c>
      <c r="X1669" s="200">
        <v>2.4835338830808754E-2</v>
      </c>
      <c r="Y1669" s="209">
        <v>2.4813350846910609E-2</v>
      </c>
    </row>
    <row r="1670" spans="21:25" x14ac:dyDescent="0.2">
      <c r="U1670" s="213" t="str">
        <f t="shared" si="29"/>
        <v>1w</v>
      </c>
      <c r="V1670" s="201">
        <f>_xll.qlCalendarAdvance(Calendar,V1669,U1670,"f",FALSE)</f>
        <v>50494</v>
      </c>
      <c r="W1670" s="225">
        <f>_xll.qlCalendarAdvance(Calendar,V1670,NDays&amp;"D")</f>
        <v>50496</v>
      </c>
      <c r="X1670" s="200">
        <v>2.4824632107557129E-2</v>
      </c>
      <c r="Y1670" s="209">
        <v>2.4803154443109321E-2</v>
      </c>
    </row>
    <row r="1671" spans="21:25" x14ac:dyDescent="0.2">
      <c r="U1671" s="213" t="str">
        <f t="shared" si="29"/>
        <v>1w</v>
      </c>
      <c r="V1671" s="201">
        <f>_xll.qlCalendarAdvance(Calendar,V1670,U1671,"f",FALSE)</f>
        <v>50501</v>
      </c>
      <c r="W1671" s="225">
        <f>_xll.qlCalendarAdvance(Calendar,V1671,NDays&amp;"D")</f>
        <v>50503</v>
      </c>
      <c r="X1671" s="200">
        <v>2.4814254163642191E-2</v>
      </c>
      <c r="Y1671" s="209">
        <v>2.479295425793282E-2</v>
      </c>
    </row>
    <row r="1672" spans="21:25" x14ac:dyDescent="0.2">
      <c r="U1672" s="213" t="str">
        <f t="shared" si="29"/>
        <v>1w</v>
      </c>
      <c r="V1672" s="201">
        <f>_xll.qlCalendarAdvance(Calendar,V1671,U1672,"f",FALSE)</f>
        <v>50508</v>
      </c>
      <c r="W1672" s="225">
        <f>_xll.qlCalendarAdvance(Calendar,V1672,NDays&amp;"D")</f>
        <v>50510</v>
      </c>
      <c r="X1672" s="200">
        <v>2.4803872444668296E-2</v>
      </c>
      <c r="Y1672" s="209">
        <v>2.4782750291381106E-2</v>
      </c>
    </row>
    <row r="1673" spans="21:25" x14ac:dyDescent="0.2">
      <c r="U1673" s="213" t="str">
        <f t="shared" si="29"/>
        <v>1w</v>
      </c>
      <c r="V1673" s="201">
        <f>_xll.qlCalendarAdvance(Calendar,V1672,U1673,"f",FALSE)</f>
        <v>50515</v>
      </c>
      <c r="W1673" s="225">
        <f>_xll.qlCalendarAdvance(Calendar,V1673,NDays&amp;"D")</f>
        <v>50517</v>
      </c>
      <c r="X1673" s="200">
        <v>2.4793486950694853E-2</v>
      </c>
      <c r="Y1673" s="209">
        <v>2.4773034030753038E-2</v>
      </c>
    </row>
    <row r="1674" spans="21:25" x14ac:dyDescent="0.2">
      <c r="U1674" s="213" t="str">
        <f t="shared" si="29"/>
        <v>1w</v>
      </c>
      <c r="V1674" s="201">
        <f>_xll.qlCalendarAdvance(Calendar,V1673,U1674,"f",FALSE)</f>
        <v>50522</v>
      </c>
      <c r="W1674" s="225">
        <f>_xll.qlCalendarAdvance(Calendar,V1674,NDays&amp;"D")</f>
        <v>50524</v>
      </c>
      <c r="X1674" s="200">
        <v>2.4783097681782142E-2</v>
      </c>
      <c r="Y1674" s="209">
        <v>2.4762331013832295E-2</v>
      </c>
    </row>
    <row r="1675" spans="21:25" x14ac:dyDescent="0.2">
      <c r="U1675" s="213" t="str">
        <f t="shared" si="29"/>
        <v>1w</v>
      </c>
      <c r="V1675" s="201">
        <f>_xll.qlCalendarAdvance(Calendar,V1674,U1675,"f",FALSE)</f>
        <v>50529</v>
      </c>
      <c r="W1675" s="225">
        <f>_xll.qlCalendarAdvance(Calendar,V1675,NDays&amp;"D")</f>
        <v>50531</v>
      </c>
      <c r="X1675" s="200">
        <v>2.4773019540662359E-2</v>
      </c>
      <c r="Y1675" s="209">
        <v>2.475211570299507E-2</v>
      </c>
    </row>
    <row r="1676" spans="21:25" x14ac:dyDescent="0.2">
      <c r="U1676" s="213" t="str">
        <f t="shared" si="29"/>
        <v>1w</v>
      </c>
      <c r="V1676" s="201">
        <f>_xll.qlCalendarAdvance(Calendar,V1675,U1676,"f",FALSE)</f>
        <v>50536</v>
      </c>
      <c r="W1676" s="225">
        <f>_xll.qlCalendarAdvance(Calendar,V1676,NDays&amp;"D")</f>
        <v>50538</v>
      </c>
      <c r="X1676" s="200">
        <v>2.476261978052844E-2</v>
      </c>
      <c r="Y1676" s="209">
        <v>2.4741896610702696E-2</v>
      </c>
    </row>
    <row r="1677" spans="21:25" x14ac:dyDescent="0.2">
      <c r="U1677" s="213" t="str">
        <f t="shared" si="29"/>
        <v>1w</v>
      </c>
      <c r="V1677" s="201">
        <f>_xll.qlCalendarAdvance(Calendar,V1676,U1677,"f",FALSE)</f>
        <v>50543</v>
      </c>
      <c r="W1677" s="225">
        <f>_xll.qlCalendarAdvance(Calendar,V1677,NDays&amp;"D")</f>
        <v>50545</v>
      </c>
      <c r="X1677" s="200">
        <v>2.4752216245763587E-2</v>
      </c>
      <c r="Y1677" s="209">
        <v>2.4731673736955173E-2</v>
      </c>
    </row>
    <row r="1678" spans="21:25" x14ac:dyDescent="0.2">
      <c r="U1678" s="213" t="str">
        <f t="shared" si="29"/>
        <v>1w</v>
      </c>
      <c r="V1678" s="201">
        <f>_xll.qlCalendarAdvance(Calendar,V1677,U1678,"f",FALSE)</f>
        <v>50550</v>
      </c>
      <c r="W1678" s="225">
        <f>_xll.qlCalendarAdvance(Calendar,V1678,NDays&amp;"D")</f>
        <v>50552</v>
      </c>
      <c r="X1678" s="200">
        <v>2.4741808936427113E-2</v>
      </c>
      <c r="Y1678" s="209">
        <v>2.4721447081912373E-2</v>
      </c>
    </row>
    <row r="1679" spans="21:25" x14ac:dyDescent="0.2">
      <c r="U1679" s="213" t="str">
        <f t="shared" si="29"/>
        <v>1w</v>
      </c>
      <c r="V1679" s="201">
        <f>_xll.qlCalendarAdvance(Calendar,V1678,U1679,"f",FALSE)</f>
        <v>50557</v>
      </c>
      <c r="W1679" s="225">
        <f>_xll.qlCalendarAdvance(Calendar,V1679,NDays&amp;"D")</f>
        <v>50559</v>
      </c>
      <c r="X1679" s="200">
        <v>2.4731094715217079E-2</v>
      </c>
      <c r="Y1679" s="209">
        <v>2.4711216645414424E-2</v>
      </c>
    </row>
    <row r="1680" spans="21:25" x14ac:dyDescent="0.2">
      <c r="U1680" s="213" t="str">
        <f t="shared" si="29"/>
        <v>1w</v>
      </c>
      <c r="V1680" s="201">
        <f>_xll.qlCalendarAdvance(Calendar,V1679,U1680,"f",FALSE)</f>
        <v>50564</v>
      </c>
      <c r="W1680" s="225">
        <f>_xll.qlCalendarAdvance(Calendar,V1680,NDays&amp;"D")</f>
        <v>50566</v>
      </c>
      <c r="X1680" s="200">
        <v>2.4720682797921525E-2</v>
      </c>
      <c r="Y1680" s="209">
        <v>2.4700982427461327E-2</v>
      </c>
    </row>
    <row r="1681" spans="21:25" x14ac:dyDescent="0.2">
      <c r="U1681" s="213" t="str">
        <f t="shared" si="29"/>
        <v>1w</v>
      </c>
      <c r="V1681" s="201">
        <f>_xll.qlCalendarAdvance(Calendar,V1680,U1681,"f",FALSE)</f>
        <v>50571</v>
      </c>
      <c r="W1681" s="225">
        <f>_xll.qlCalendarAdvance(Calendar,V1681,NDays&amp;"D")</f>
        <v>50573</v>
      </c>
      <c r="X1681" s="200">
        <v>2.4710267106104297E-2</v>
      </c>
      <c r="Y1681" s="209">
        <v>2.4690744428212952E-2</v>
      </c>
    </row>
    <row r="1682" spans="21:25" x14ac:dyDescent="0.2">
      <c r="U1682" s="213" t="str">
        <f t="shared" si="29"/>
        <v>1w</v>
      </c>
      <c r="V1682" s="201">
        <f>_xll.qlCalendarAdvance(Calendar,V1681,U1682,"f",FALSE)</f>
        <v>50578</v>
      </c>
      <c r="W1682" s="225">
        <f>_xll.qlCalendarAdvance(Calendar,V1682,NDays&amp;"D")</f>
        <v>50580</v>
      </c>
      <c r="X1682" s="200">
        <v>2.4699847639824791E-2</v>
      </c>
      <c r="Y1682" s="209">
        <v>2.468050264726962E-2</v>
      </c>
    </row>
    <row r="1683" spans="21:25" x14ac:dyDescent="0.2">
      <c r="U1683" s="213" t="str">
        <f t="shared" si="29"/>
        <v>1w</v>
      </c>
      <c r="V1683" s="201">
        <f>_xll.qlCalendarAdvance(Calendar,V1682,U1683,"f",FALSE)</f>
        <v>50585</v>
      </c>
      <c r="W1683" s="225">
        <f>_xll.qlCalendarAdvance(Calendar,V1683,NDays&amp;"D")</f>
        <v>50587</v>
      </c>
      <c r="X1683" s="200">
        <v>2.4689715773308467E-2</v>
      </c>
      <c r="Y1683" s="209">
        <v>2.4670257085110947E-2</v>
      </c>
    </row>
    <row r="1684" spans="21:25" x14ac:dyDescent="0.2">
      <c r="U1684" s="213" t="str">
        <f t="shared" si="29"/>
        <v>1w</v>
      </c>
      <c r="V1684" s="201">
        <f>_xll.qlCalendarAdvance(Calendar,V1683,U1684,"f",FALSE)</f>
        <v>50592</v>
      </c>
      <c r="W1684" s="225">
        <f>_xll.qlCalendarAdvance(Calendar,V1684,NDays&amp;"D")</f>
        <v>50594</v>
      </c>
      <c r="X1684" s="200">
        <v>2.467928581782295E-2</v>
      </c>
      <c r="Y1684" s="209">
        <v>2.4660007741577061E-2</v>
      </c>
    </row>
    <row r="1685" spans="21:25" x14ac:dyDescent="0.2">
      <c r="U1685" s="213" t="str">
        <f t="shared" ref="U1685:U1748" si="30">U1684</f>
        <v>1w</v>
      </c>
      <c r="V1685" s="201">
        <f>_xll.qlCalendarAdvance(Calendar,V1684,U1685,"f",FALSE)</f>
        <v>50599</v>
      </c>
      <c r="W1685" s="225">
        <f>_xll.qlCalendarAdvance(Calendar,V1685,NDays&amp;"D")</f>
        <v>50601</v>
      </c>
      <c r="X1685" s="200">
        <v>2.4668852088191705E-2</v>
      </c>
      <c r="Y1685" s="209">
        <v>2.4649754616508091E-2</v>
      </c>
    </row>
    <row r="1686" spans="21:25" x14ac:dyDescent="0.2">
      <c r="U1686" s="213" t="str">
        <f t="shared" si="30"/>
        <v>1w</v>
      </c>
      <c r="V1686" s="201">
        <f>_xll.qlCalendarAdvance(Calendar,V1685,U1686,"f",FALSE)</f>
        <v>50606</v>
      </c>
      <c r="W1686" s="225">
        <f>_xll.qlCalendarAdvance(Calendar,V1686,NDays&amp;"D")</f>
        <v>50608</v>
      </c>
      <c r="X1686" s="200">
        <v>2.4658414584475763E-2</v>
      </c>
      <c r="Y1686" s="209">
        <v>2.4639497710143843E-2</v>
      </c>
    </row>
    <row r="1687" spans="21:25" x14ac:dyDescent="0.2">
      <c r="U1687" s="213" t="str">
        <f t="shared" si="30"/>
        <v>1w</v>
      </c>
      <c r="V1687" s="201">
        <f>_xll.qlCalendarAdvance(Calendar,V1686,U1687,"f",FALSE)</f>
        <v>50613</v>
      </c>
      <c r="W1687" s="225">
        <f>_xll.qlCalendarAdvance(Calendar,V1687,NDays&amp;"D")</f>
        <v>50615</v>
      </c>
      <c r="X1687" s="200">
        <v>2.4647973306736574E-2</v>
      </c>
      <c r="Y1687" s="209">
        <v>2.462923702224451E-2</v>
      </c>
    </row>
    <row r="1688" spans="21:25" x14ac:dyDescent="0.2">
      <c r="U1688" s="213" t="str">
        <f t="shared" si="30"/>
        <v>1w</v>
      </c>
      <c r="V1688" s="201">
        <f>_xll.qlCalendarAdvance(Calendar,V1687,U1688,"f",FALSE)</f>
        <v>50620</v>
      </c>
      <c r="W1688" s="225">
        <f>_xll.qlCalendarAdvance(Calendar,V1688,NDays&amp;"D")</f>
        <v>50622</v>
      </c>
      <c r="X1688" s="200">
        <v>2.4637528255034735E-2</v>
      </c>
      <c r="Y1688" s="209">
        <v>2.4618972553129836E-2</v>
      </c>
    </row>
    <row r="1689" spans="21:25" x14ac:dyDescent="0.2">
      <c r="U1689" s="213" t="str">
        <f t="shared" si="30"/>
        <v>1w</v>
      </c>
      <c r="V1689" s="201">
        <f>_xll.qlCalendarAdvance(Calendar,V1688,U1689,"f",FALSE)</f>
        <v>50627</v>
      </c>
      <c r="W1689" s="225">
        <f>_xll.qlCalendarAdvance(Calendar,V1689,NDays&amp;"D")</f>
        <v>50629</v>
      </c>
      <c r="X1689" s="200">
        <v>2.4627079429430418E-2</v>
      </c>
      <c r="Y1689" s="209">
        <v>2.4608704302400142E-2</v>
      </c>
    </row>
    <row r="1690" spans="21:25" x14ac:dyDescent="0.2">
      <c r="U1690" s="213" t="str">
        <f t="shared" si="30"/>
        <v>1w</v>
      </c>
      <c r="V1690" s="201">
        <f>_xll.qlCalendarAdvance(Calendar,V1689,U1690,"f",FALSE)</f>
        <v>50634</v>
      </c>
      <c r="W1690" s="225">
        <f>_xll.qlCalendarAdvance(Calendar,V1690,NDays&amp;"D")</f>
        <v>50636</v>
      </c>
      <c r="X1690" s="200">
        <v>2.4616626829985937E-2</v>
      </c>
      <c r="Y1690" s="209">
        <v>2.459843227037517E-2</v>
      </c>
    </row>
    <row r="1691" spans="21:25" x14ac:dyDescent="0.2">
      <c r="U1691" s="213" t="str">
        <f t="shared" si="30"/>
        <v>1w</v>
      </c>
      <c r="V1691" s="201">
        <f>_xll.qlCalendarAdvance(Calendar,V1690,U1691,"f",FALSE)</f>
        <v>50641</v>
      </c>
      <c r="W1691" s="225">
        <f>_xll.qlCalendarAdvance(Calendar,V1691,NDays&amp;"D")</f>
        <v>50643</v>
      </c>
      <c r="X1691" s="200">
        <v>2.4606170456760595E-2</v>
      </c>
      <c r="Y1691" s="209">
        <v>2.4588156456815113E-2</v>
      </c>
    </row>
    <row r="1692" spans="21:25" x14ac:dyDescent="0.2">
      <c r="U1692" s="213" t="str">
        <f t="shared" si="30"/>
        <v>1w</v>
      </c>
      <c r="V1692" s="201">
        <f>_xll.qlCalendarAdvance(Calendar,V1691,U1692,"f",FALSE)</f>
        <v>50648</v>
      </c>
      <c r="W1692" s="225">
        <f>_xll.qlCalendarAdvance(Calendar,V1692,NDays&amp;"D")</f>
        <v>50650</v>
      </c>
      <c r="X1692" s="200">
        <v>2.4595268337461496E-2</v>
      </c>
      <c r="Y1692" s="209">
        <v>2.457787686195978E-2</v>
      </c>
    </row>
    <row r="1693" spans="21:25" x14ac:dyDescent="0.2">
      <c r="U1693" s="213" t="str">
        <f t="shared" si="30"/>
        <v>1w</v>
      </c>
      <c r="V1693" s="201">
        <f>_xll.qlCalendarAdvance(Calendar,V1692,U1693,"f",FALSE)</f>
        <v>50655</v>
      </c>
      <c r="W1693" s="225">
        <f>_xll.qlCalendarAdvance(Calendar,V1693,NDays&amp;"D")</f>
        <v>50657</v>
      </c>
      <c r="X1693" s="200">
        <v>2.4584809315309715E-2</v>
      </c>
      <c r="Y1693" s="209">
        <v>2.4567593485649297E-2</v>
      </c>
    </row>
    <row r="1694" spans="21:25" x14ac:dyDescent="0.2">
      <c r="U1694" s="213" t="str">
        <f t="shared" si="30"/>
        <v>1w</v>
      </c>
      <c r="V1694" s="201">
        <f>_xll.qlCalendarAdvance(Calendar,V1693,U1694,"f",FALSE)</f>
        <v>50662</v>
      </c>
      <c r="W1694" s="225">
        <f>_xll.qlCalendarAdvance(Calendar,V1694,NDays&amp;"D")</f>
        <v>50664</v>
      </c>
      <c r="X1694" s="200">
        <v>2.4574346519317912E-2</v>
      </c>
      <c r="Y1694" s="209">
        <v>2.4557306327883666E-2</v>
      </c>
    </row>
    <row r="1695" spans="21:25" x14ac:dyDescent="0.2">
      <c r="U1695" s="213" t="str">
        <f t="shared" si="30"/>
        <v>1w</v>
      </c>
      <c r="V1695" s="201">
        <f>_xll.qlCalendarAdvance(Calendar,V1694,U1695,"f",FALSE)</f>
        <v>50669</v>
      </c>
      <c r="W1695" s="225">
        <f>_xll.qlCalendarAdvance(Calendar,V1695,NDays&amp;"D")</f>
        <v>50671</v>
      </c>
      <c r="X1695" s="200">
        <v>2.4563879949546587E-2</v>
      </c>
      <c r="Y1695" s="209">
        <v>2.4547015388822757E-2</v>
      </c>
    </row>
    <row r="1696" spans="21:25" x14ac:dyDescent="0.2">
      <c r="U1696" s="213" t="str">
        <f t="shared" si="30"/>
        <v>1w</v>
      </c>
      <c r="V1696" s="201">
        <f>_xll.qlCalendarAdvance(Calendar,V1695,U1696,"f",FALSE)</f>
        <v>50676</v>
      </c>
      <c r="W1696" s="225">
        <f>_xll.qlCalendarAdvance(Calendar,V1696,NDays&amp;"D")</f>
        <v>50678</v>
      </c>
      <c r="X1696" s="200">
        <v>2.4553494261314444E-2</v>
      </c>
      <c r="Y1696" s="209">
        <v>2.45367206683067E-2</v>
      </c>
    </row>
    <row r="1697" spans="21:25" x14ac:dyDescent="0.2">
      <c r="U1697" s="213" t="str">
        <f t="shared" si="30"/>
        <v>1w</v>
      </c>
      <c r="V1697" s="201">
        <f>_xll.qlCalendarAdvance(Calendar,V1696,U1697,"f",FALSE)</f>
        <v>50683</v>
      </c>
      <c r="W1697" s="225">
        <f>_xll.qlCalendarAdvance(Calendar,V1697,NDays&amp;"D")</f>
        <v>50685</v>
      </c>
      <c r="X1697" s="200">
        <v>2.4543019164749345E-2</v>
      </c>
      <c r="Y1697" s="209">
        <v>2.4526422166415429E-2</v>
      </c>
    </row>
    <row r="1698" spans="21:25" x14ac:dyDescent="0.2">
      <c r="U1698" s="213" t="str">
        <f t="shared" si="30"/>
        <v>1w</v>
      </c>
      <c r="V1698" s="201">
        <f>_xll.qlCalendarAdvance(Calendar,V1697,U1698,"f",FALSE)</f>
        <v>50690</v>
      </c>
      <c r="W1698" s="225">
        <f>_xll.qlCalendarAdvance(Calendar,V1698,NDays&amp;"D")</f>
        <v>50692</v>
      </c>
      <c r="X1698" s="200">
        <v>2.4532540294631786E-2</v>
      </c>
      <c r="Y1698" s="209">
        <v>2.451611988306901E-2</v>
      </c>
    </row>
    <row r="1699" spans="21:25" x14ac:dyDescent="0.2">
      <c r="U1699" s="213" t="str">
        <f t="shared" si="30"/>
        <v>1w</v>
      </c>
      <c r="V1699" s="201">
        <f>_xll.qlCalendarAdvance(Calendar,V1698,U1699,"f",FALSE)</f>
        <v>50697</v>
      </c>
      <c r="W1699" s="225">
        <f>_xll.qlCalendarAdvance(Calendar,V1699,NDays&amp;"D")</f>
        <v>50699</v>
      </c>
      <c r="X1699" s="200">
        <v>2.4522057651021938E-2</v>
      </c>
      <c r="Y1699" s="209">
        <v>2.4505813818267441E-2</v>
      </c>
    </row>
    <row r="1700" spans="21:25" x14ac:dyDescent="0.2">
      <c r="U1700" s="213" t="str">
        <f t="shared" si="30"/>
        <v>1w</v>
      </c>
      <c r="V1700" s="201">
        <f>_xll.qlCalendarAdvance(Calendar,V1699,U1700,"f",FALSE)</f>
        <v>50704</v>
      </c>
      <c r="W1700" s="225">
        <f>_xll.qlCalendarAdvance(Calendar,V1700,NDays&amp;"D")</f>
        <v>50706</v>
      </c>
      <c r="X1700" s="200">
        <v>2.4511571233979536E-2</v>
      </c>
      <c r="Y1700" s="209">
        <v>2.449550397209066E-2</v>
      </c>
    </row>
    <row r="1701" spans="21:25" x14ac:dyDescent="0.2">
      <c r="U1701" s="213" t="str">
        <f t="shared" si="30"/>
        <v>1w</v>
      </c>
      <c r="V1701" s="201">
        <f>_xll.qlCalendarAdvance(Calendar,V1700,U1701,"f",FALSE)</f>
        <v>50711</v>
      </c>
      <c r="W1701" s="225">
        <f>_xll.qlCalendarAdvance(Calendar,V1701,NDays&amp;"D")</f>
        <v>50713</v>
      </c>
      <c r="X1701" s="200">
        <v>2.4501001284860078E-2</v>
      </c>
      <c r="Y1701" s="209">
        <v>2.4485190344538665E-2</v>
      </c>
    </row>
    <row r="1702" spans="21:25" x14ac:dyDescent="0.2">
      <c r="U1702" s="213" t="str">
        <f t="shared" si="30"/>
        <v>1w</v>
      </c>
      <c r="V1702" s="201">
        <f>_xll.qlCalendarAdvance(Calendar,V1701,U1702,"f",FALSE)</f>
        <v>50718</v>
      </c>
      <c r="W1702" s="225">
        <f>_xll.qlCalendarAdvance(Calendar,V1702,NDays&amp;"D")</f>
        <v>50720</v>
      </c>
      <c r="X1702" s="200">
        <v>2.4490508300291772E-2</v>
      </c>
      <c r="Y1702" s="209">
        <v>2.4474872935531522E-2</v>
      </c>
    </row>
    <row r="1703" spans="21:25" x14ac:dyDescent="0.2">
      <c r="U1703" s="213" t="str">
        <f t="shared" si="30"/>
        <v>1w</v>
      </c>
      <c r="V1703" s="201">
        <f>_xll.qlCalendarAdvance(Calendar,V1702,U1703,"f",FALSE)</f>
        <v>50725</v>
      </c>
      <c r="W1703" s="225">
        <f>_xll.qlCalendarAdvance(Calendar,V1703,NDays&amp;"D")</f>
        <v>50727</v>
      </c>
      <c r="X1703" s="200">
        <v>2.4480011542419147E-2</v>
      </c>
      <c r="Y1703" s="209">
        <v>2.4464551745149166E-2</v>
      </c>
    </row>
    <row r="1704" spans="21:25" x14ac:dyDescent="0.2">
      <c r="U1704" s="213" t="str">
        <f t="shared" si="30"/>
        <v>1w</v>
      </c>
      <c r="V1704" s="201">
        <f>_xll.qlCalendarAdvance(Calendar,V1703,U1704,"f",FALSE)</f>
        <v>50732</v>
      </c>
      <c r="W1704" s="225">
        <f>_xll.qlCalendarAdvance(Calendar,V1704,NDays&amp;"D")</f>
        <v>50734</v>
      </c>
      <c r="X1704" s="200">
        <v>2.4469511011300939E-2</v>
      </c>
      <c r="Y1704" s="209">
        <v>2.445422677331166E-2</v>
      </c>
    </row>
    <row r="1705" spans="21:25" x14ac:dyDescent="0.2">
      <c r="U1705" s="213" t="str">
        <f t="shared" si="30"/>
        <v>1w</v>
      </c>
      <c r="V1705" s="201">
        <f>_xll.qlCalendarAdvance(Calendar,V1704,U1705,"f",FALSE)</f>
        <v>50739</v>
      </c>
      <c r="W1705" s="225">
        <f>_xll.qlCalendarAdvance(Calendar,V1705,NDays&amp;"D")</f>
        <v>50741</v>
      </c>
      <c r="X1705" s="200">
        <v>2.4459082549375098E-2</v>
      </c>
      <c r="Y1705" s="209">
        <v>2.4443898020178878E-2</v>
      </c>
    </row>
    <row r="1706" spans="21:25" x14ac:dyDescent="0.2">
      <c r="U1706" s="213" t="str">
        <f t="shared" si="30"/>
        <v>1w</v>
      </c>
      <c r="V1706" s="201">
        <f>_xll.qlCalendarAdvance(Calendar,V1705,U1706,"f",FALSE)</f>
        <v>50746</v>
      </c>
      <c r="W1706" s="225">
        <f>_xll.qlCalendarAdvance(Calendar,V1706,NDays&amp;"D")</f>
        <v>50748</v>
      </c>
      <c r="X1706" s="200">
        <v>2.4448573708083864E-2</v>
      </c>
      <c r="Y1706" s="209">
        <v>2.4433565485511011E-2</v>
      </c>
    </row>
    <row r="1707" spans="21:25" x14ac:dyDescent="0.2">
      <c r="U1707" s="213" t="str">
        <f t="shared" si="30"/>
        <v>1w</v>
      </c>
      <c r="V1707" s="201">
        <f>_xll.qlCalendarAdvance(Calendar,V1706,U1707,"f",FALSE)</f>
        <v>50753</v>
      </c>
      <c r="W1707" s="225">
        <f>_xll.qlCalendarAdvance(Calendar,V1707,NDays&amp;"D")</f>
        <v>50755</v>
      </c>
      <c r="X1707" s="200">
        <v>2.4438062851330107E-2</v>
      </c>
      <c r="Y1707" s="209">
        <v>2.4423229169627803E-2</v>
      </c>
    </row>
    <row r="1708" spans="21:25" x14ac:dyDescent="0.2">
      <c r="U1708" s="213" t="str">
        <f t="shared" si="30"/>
        <v>1w</v>
      </c>
      <c r="V1708" s="201">
        <f>_xll.qlCalendarAdvance(Calendar,V1707,U1708,"f",FALSE)</f>
        <v>50760</v>
      </c>
      <c r="W1708" s="225">
        <f>_xll.qlCalendarAdvance(Calendar,V1708,NDays&amp;"D")</f>
        <v>50762</v>
      </c>
      <c r="X1708" s="200">
        <v>2.442755202745291E-2</v>
      </c>
      <c r="Y1708" s="209">
        <v>2.4412889072129573E-2</v>
      </c>
    </row>
    <row r="1709" spans="21:25" x14ac:dyDescent="0.2">
      <c r="U1709" s="213" t="str">
        <f t="shared" si="30"/>
        <v>1w</v>
      </c>
      <c r="V1709" s="201">
        <f>_xll.qlCalendarAdvance(Calendar,V1708,U1709,"f",FALSE)</f>
        <v>50767</v>
      </c>
      <c r="W1709" s="225">
        <f>_xll.qlCalendarAdvance(Calendar,V1709,NDays&amp;"D")</f>
        <v>50769</v>
      </c>
      <c r="X1709" s="200">
        <v>2.4417043285746193E-2</v>
      </c>
      <c r="Y1709" s="209">
        <v>2.4402545193336067E-2</v>
      </c>
    </row>
    <row r="1710" spans="21:25" x14ac:dyDescent="0.2">
      <c r="U1710" s="213" t="str">
        <f t="shared" si="30"/>
        <v>1w</v>
      </c>
      <c r="V1710" s="201">
        <f>_xll.qlCalendarAdvance(Calendar,V1709,U1710,"f",FALSE)</f>
        <v>50774</v>
      </c>
      <c r="W1710" s="225">
        <f>_xll.qlCalendarAdvance(Calendar,V1710,NDays&amp;"D")</f>
        <v>50776</v>
      </c>
      <c r="X1710" s="200">
        <v>2.4406464569869887E-2</v>
      </c>
      <c r="Y1710" s="209">
        <v>2.4392197533167348E-2</v>
      </c>
    </row>
    <row r="1711" spans="21:25" x14ac:dyDescent="0.2">
      <c r="U1711" s="213" t="str">
        <f t="shared" si="30"/>
        <v>1w</v>
      </c>
      <c r="V1711" s="201">
        <f>_xll.qlCalendarAdvance(Calendar,V1710,U1711,"f",FALSE)</f>
        <v>50781</v>
      </c>
      <c r="W1711" s="225">
        <f>_xll.qlCalendarAdvance(Calendar,V1711,NDays&amp;"D")</f>
        <v>50783</v>
      </c>
      <c r="X1711" s="200">
        <v>2.4395965724010461E-2</v>
      </c>
      <c r="Y1711" s="209">
        <v>2.4381846091463544E-2</v>
      </c>
    </row>
    <row r="1712" spans="21:25" x14ac:dyDescent="0.2">
      <c r="U1712" s="213" t="str">
        <f t="shared" si="30"/>
        <v>1w</v>
      </c>
      <c r="V1712" s="201">
        <f>_xll.qlCalendarAdvance(Calendar,V1711,U1712,"f",FALSE)</f>
        <v>50788</v>
      </c>
      <c r="W1712" s="225">
        <f>_xll.qlCalendarAdvance(Calendar,V1712,NDays&amp;"D")</f>
        <v>50790</v>
      </c>
      <c r="X1712" s="200">
        <v>2.4385474879062792E-2</v>
      </c>
      <c r="Y1712" s="209">
        <v>2.4371490868464463E-2</v>
      </c>
    </row>
    <row r="1713" spans="21:25" x14ac:dyDescent="0.2">
      <c r="U1713" s="213" t="str">
        <f t="shared" si="30"/>
        <v>1w</v>
      </c>
      <c r="V1713" s="201">
        <f>_xll.qlCalendarAdvance(Calendar,V1712,U1713,"f",FALSE)</f>
        <v>50795</v>
      </c>
      <c r="W1713" s="225">
        <f>_xll.qlCalendarAdvance(Calendar,V1713,NDays&amp;"D")</f>
        <v>50797</v>
      </c>
      <c r="X1713" s="200">
        <v>2.4374994095337253E-2</v>
      </c>
      <c r="Y1713" s="209">
        <v>2.4361131863930297E-2</v>
      </c>
    </row>
    <row r="1714" spans="21:25" x14ac:dyDescent="0.2">
      <c r="U1714" s="213" t="str">
        <f t="shared" si="30"/>
        <v>1w</v>
      </c>
      <c r="V1714" s="201">
        <f>_xll.qlCalendarAdvance(Calendar,V1713,U1714,"f",FALSE)</f>
        <v>50802</v>
      </c>
      <c r="W1714" s="225">
        <f>_xll.qlCalendarAdvance(Calendar,V1714,NDays&amp;"D")</f>
        <v>50804</v>
      </c>
      <c r="X1714" s="200">
        <v>2.4364525433100942E-2</v>
      </c>
      <c r="Y1714" s="209">
        <v>2.435076907818079E-2</v>
      </c>
    </row>
    <row r="1715" spans="21:25" x14ac:dyDescent="0.2">
      <c r="U1715" s="213" t="str">
        <f t="shared" si="30"/>
        <v>1w</v>
      </c>
      <c r="V1715" s="201">
        <f>_xll.qlCalendarAdvance(Calendar,V1714,U1715,"f",FALSE)</f>
        <v>50809</v>
      </c>
      <c r="W1715" s="225">
        <f>_xll.qlCalendarAdvance(Calendar,V1715,NDays&amp;"D")</f>
        <v>50811</v>
      </c>
      <c r="X1715" s="200">
        <v>2.4354070952578116E-2</v>
      </c>
      <c r="Y1715" s="209">
        <v>2.4340402510896197E-2</v>
      </c>
    </row>
    <row r="1716" spans="21:25" x14ac:dyDescent="0.2">
      <c r="U1716" s="213" t="str">
        <f t="shared" si="30"/>
        <v>1w</v>
      </c>
      <c r="V1716" s="201">
        <f>_xll.qlCalendarAdvance(Calendar,V1715,U1716,"f",FALSE)</f>
        <v>50816</v>
      </c>
      <c r="W1716" s="225">
        <f>_xll.qlCalendarAdvance(Calendar,V1716,NDays&amp;"D")</f>
        <v>50818</v>
      </c>
      <c r="X1716" s="200">
        <v>2.4343632713951069E-2</v>
      </c>
      <c r="Y1716" s="209">
        <v>2.4330032162236392E-2</v>
      </c>
    </row>
    <row r="1717" spans="21:25" x14ac:dyDescent="0.2">
      <c r="U1717" s="213" t="str">
        <f t="shared" si="30"/>
        <v>1w</v>
      </c>
      <c r="V1717" s="201">
        <f>_xll.qlCalendarAdvance(Calendar,V1716,U1717,"f",FALSE)</f>
        <v>50823</v>
      </c>
      <c r="W1717" s="225">
        <f>_xll.qlCalendarAdvance(Calendar,V1717,NDays&amp;"D")</f>
        <v>50825</v>
      </c>
      <c r="X1717" s="200">
        <v>2.4333212777359274E-2</v>
      </c>
      <c r="Y1717" s="209">
        <v>2.4319658032201374E-2</v>
      </c>
    </row>
    <row r="1718" spans="21:25" x14ac:dyDescent="0.2">
      <c r="U1718" s="213" t="str">
        <f t="shared" si="30"/>
        <v>1w</v>
      </c>
      <c r="V1718" s="201">
        <f>_xll.qlCalendarAdvance(Calendar,V1717,U1718,"f",FALSE)</f>
        <v>50830</v>
      </c>
      <c r="W1718" s="225">
        <f>_xll.qlCalendarAdvance(Calendar,V1718,NDays&amp;"D")</f>
        <v>50832</v>
      </c>
      <c r="X1718" s="200">
        <v>2.4323231575928111E-2</v>
      </c>
      <c r="Y1718" s="209">
        <v>2.4309280120711207E-2</v>
      </c>
    </row>
    <row r="1719" spans="21:25" x14ac:dyDescent="0.2">
      <c r="U1719" s="213" t="str">
        <f t="shared" si="30"/>
        <v>1w</v>
      </c>
      <c r="V1719" s="201">
        <f>_xll.qlCalendarAdvance(Calendar,V1718,U1719,"f",FALSE)</f>
        <v>50837</v>
      </c>
      <c r="W1719" s="225">
        <f>_xll.qlCalendarAdvance(Calendar,V1719,NDays&amp;"D")</f>
        <v>50839</v>
      </c>
      <c r="X1719" s="200">
        <v>2.4312864194406238E-2</v>
      </c>
      <c r="Y1719" s="209">
        <v>2.4298898427845828E-2</v>
      </c>
    </row>
    <row r="1720" spans="21:25" x14ac:dyDescent="0.2">
      <c r="U1720" s="213" t="str">
        <f t="shared" si="30"/>
        <v>1w</v>
      </c>
      <c r="V1720" s="201">
        <f>_xll.qlCalendarAdvance(Calendar,V1719,U1720,"f",FALSE)</f>
        <v>50844</v>
      </c>
      <c r="W1720" s="225">
        <f>_xll.qlCalendarAdvance(Calendar,V1720,NDays&amp;"D")</f>
        <v>50846</v>
      </c>
      <c r="X1720" s="200">
        <v>2.4302521977362181E-2</v>
      </c>
      <c r="Y1720" s="209">
        <v>2.4288512953605235E-2</v>
      </c>
    </row>
    <row r="1721" spans="21:25" x14ac:dyDescent="0.2">
      <c r="U1721" s="213" t="str">
        <f t="shared" si="30"/>
        <v>1w</v>
      </c>
      <c r="V1721" s="201">
        <f>_xll.qlCalendarAdvance(Calendar,V1720,U1721,"f",FALSE)</f>
        <v>50851</v>
      </c>
      <c r="W1721" s="225">
        <f>_xll.qlCalendarAdvance(Calendar,V1721,NDays&amp;"D")</f>
        <v>50853</v>
      </c>
      <c r="X1721" s="200">
        <v>2.4292206930030622E-2</v>
      </c>
      <c r="Y1721" s="209">
        <v>2.4278123697989429E-2</v>
      </c>
    </row>
    <row r="1722" spans="21:25" x14ac:dyDescent="0.2">
      <c r="U1722" s="213" t="str">
        <f t="shared" si="30"/>
        <v>1w</v>
      </c>
      <c r="V1722" s="201">
        <f>_xll.qlCalendarAdvance(Calendar,V1721,U1722,"f",FALSE)</f>
        <v>50858</v>
      </c>
      <c r="W1722" s="225">
        <f>_xll.qlCalendarAdvance(Calendar,V1722,NDays&amp;"D")</f>
        <v>50860</v>
      </c>
      <c r="X1722" s="200">
        <v>2.4281643476846002E-2</v>
      </c>
      <c r="Y1722" s="209">
        <v>2.4267730660918474E-2</v>
      </c>
    </row>
    <row r="1723" spans="21:25" x14ac:dyDescent="0.2">
      <c r="U1723" s="213" t="str">
        <f t="shared" si="30"/>
        <v>1w</v>
      </c>
      <c r="V1723" s="201">
        <f>_xll.qlCalendarAdvance(Calendar,V1722,U1723,"f",FALSE)</f>
        <v>50865</v>
      </c>
      <c r="W1723" s="225">
        <f>_xll.qlCalendarAdvance(Calendar,V1723,NDays&amp;"D")</f>
        <v>50867</v>
      </c>
      <c r="X1723" s="200">
        <v>2.4271381466813884E-2</v>
      </c>
      <c r="Y1723" s="209">
        <v>2.4257630960850207E-2</v>
      </c>
    </row>
    <row r="1724" spans="21:25" x14ac:dyDescent="0.2">
      <c r="U1724" s="213" t="str">
        <f t="shared" si="30"/>
        <v>1w</v>
      </c>
      <c r="V1724" s="201">
        <f>_xll.qlCalendarAdvance(Calendar,V1723,U1724,"f",FALSE)</f>
        <v>50872</v>
      </c>
      <c r="W1724" s="225">
        <f>_xll.qlCalendarAdvance(Calendar,V1724,NDays&amp;"D")</f>
        <v>50874</v>
      </c>
      <c r="X1724" s="200">
        <v>2.4261152366879583E-2</v>
      </c>
      <c r="Y1724" s="209">
        <v>2.4246933242570989E-2</v>
      </c>
    </row>
    <row r="1725" spans="21:25" x14ac:dyDescent="0.2">
      <c r="U1725" s="213" t="str">
        <f t="shared" si="30"/>
        <v>1w</v>
      </c>
      <c r="V1725" s="201">
        <f>_xll.qlCalendarAdvance(Calendar,V1724,U1725,"f",FALSE)</f>
        <v>50879</v>
      </c>
      <c r="W1725" s="225">
        <f>_xll.qlCalendarAdvance(Calendar,V1725,NDays&amp;"D")</f>
        <v>50881</v>
      </c>
      <c r="X1725" s="200">
        <v>2.4250958214597919E-2</v>
      </c>
      <c r="Y1725" s="209">
        <v>2.4236528861374396E-2</v>
      </c>
    </row>
    <row r="1726" spans="21:25" x14ac:dyDescent="0.2">
      <c r="U1726" s="213" t="str">
        <f t="shared" si="30"/>
        <v>1w</v>
      </c>
      <c r="V1726" s="201">
        <f>_xll.qlCalendarAdvance(Calendar,V1725,U1726,"f",FALSE)</f>
        <v>50886</v>
      </c>
      <c r="W1726" s="225">
        <f>_xll.qlCalendarAdvance(Calendar,V1726,NDays&amp;"D")</f>
        <v>50888</v>
      </c>
      <c r="X1726" s="200">
        <v>2.4240801047483974E-2</v>
      </c>
      <c r="Y1726" s="209">
        <v>2.4226120698642717E-2</v>
      </c>
    </row>
    <row r="1727" spans="21:25" x14ac:dyDescent="0.2">
      <c r="U1727" s="213" t="str">
        <f t="shared" si="30"/>
        <v>1w</v>
      </c>
      <c r="V1727" s="201">
        <f>_xll.qlCalendarAdvance(Calendar,V1726,U1727,"f",FALSE)</f>
        <v>50893</v>
      </c>
      <c r="W1727" s="225">
        <f>_xll.qlCalendarAdvance(Calendar,V1727,NDays&amp;"D")</f>
        <v>50895</v>
      </c>
      <c r="X1727" s="200">
        <v>2.4230999497994756E-2</v>
      </c>
      <c r="Y1727" s="209">
        <v>2.4215708754615761E-2</v>
      </c>
    </row>
    <row r="1728" spans="21:25" x14ac:dyDescent="0.2">
      <c r="U1728" s="213" t="str">
        <f t="shared" si="30"/>
        <v>1w</v>
      </c>
      <c r="V1728" s="201">
        <f>_xll.qlCalendarAdvance(Calendar,V1727,U1728,"f",FALSE)</f>
        <v>50900</v>
      </c>
      <c r="W1728" s="225">
        <f>_xll.qlCalendarAdvance(Calendar,V1728,NDays&amp;"D")</f>
        <v>50902</v>
      </c>
      <c r="X1728" s="200">
        <v>2.4220930781801053E-2</v>
      </c>
      <c r="Y1728" s="209">
        <v>2.4205293029213593E-2</v>
      </c>
    </row>
    <row r="1729" spans="21:25" x14ac:dyDescent="0.2">
      <c r="U1729" s="213" t="str">
        <f t="shared" si="30"/>
        <v>1w</v>
      </c>
      <c r="V1729" s="201">
        <f>_xll.qlCalendarAdvance(Calendar,V1728,U1729,"f",FALSE)</f>
        <v>50907</v>
      </c>
      <c r="W1729" s="225">
        <f>_xll.qlCalendarAdvance(Calendar,V1729,NDays&amp;"D")</f>
        <v>50909</v>
      </c>
      <c r="X1729" s="200">
        <v>2.4210905275740883E-2</v>
      </c>
      <c r="Y1729" s="209">
        <v>2.4194873522276339E-2</v>
      </c>
    </row>
    <row r="1730" spans="21:25" x14ac:dyDescent="0.2">
      <c r="U1730" s="213" t="str">
        <f t="shared" si="30"/>
        <v>1w</v>
      </c>
      <c r="V1730" s="201">
        <f>_xll.qlCalendarAdvance(Calendar,V1729,U1730,"f",FALSE)</f>
        <v>50914</v>
      </c>
      <c r="W1730" s="225">
        <f>_xll.qlCalendarAdvance(Calendar,V1730,NDays&amp;"D")</f>
        <v>50916</v>
      </c>
      <c r="X1730" s="200">
        <v>2.4200924984691376E-2</v>
      </c>
      <c r="Y1730" s="209">
        <v>2.4184450234043808E-2</v>
      </c>
    </row>
    <row r="1731" spans="21:25" x14ac:dyDescent="0.2">
      <c r="U1731" s="213" t="str">
        <f t="shared" si="30"/>
        <v>1w</v>
      </c>
      <c r="V1731" s="201">
        <f>_xll.qlCalendarAdvance(Calendar,V1730,U1731,"f",FALSE)</f>
        <v>50921</v>
      </c>
      <c r="W1731" s="225">
        <f>_xll.qlCalendarAdvance(Calendar,V1731,NDays&amp;"D")</f>
        <v>50923</v>
      </c>
      <c r="X1731" s="200">
        <v>2.4190641299717919E-2</v>
      </c>
      <c r="Y1731" s="209">
        <v>2.4174023164356129E-2</v>
      </c>
    </row>
    <row r="1732" spans="21:25" x14ac:dyDescent="0.2">
      <c r="U1732" s="213" t="str">
        <f t="shared" si="30"/>
        <v>1w</v>
      </c>
      <c r="V1732" s="201">
        <f>_xll.qlCalendarAdvance(Calendar,V1731,U1732,"f",FALSE)</f>
        <v>50928</v>
      </c>
      <c r="W1732" s="225">
        <f>_xll.qlCalendarAdvance(Calendar,V1732,NDays&amp;"D")</f>
        <v>50930</v>
      </c>
      <c r="X1732" s="200">
        <v>2.4180748615343507E-2</v>
      </c>
      <c r="Y1732" s="209">
        <v>2.4163615050465381E-2</v>
      </c>
    </row>
    <row r="1733" spans="21:25" x14ac:dyDescent="0.2">
      <c r="U1733" s="213" t="str">
        <f t="shared" si="30"/>
        <v>1w</v>
      </c>
      <c r="V1733" s="201">
        <f>_xll.qlCalendarAdvance(Calendar,V1732,U1733,"f",FALSE)</f>
        <v>50935</v>
      </c>
      <c r="W1733" s="225">
        <f>_xll.qlCalendarAdvance(Calendar,V1733,NDays&amp;"D")</f>
        <v>50937</v>
      </c>
      <c r="X1733" s="200">
        <v>2.4170905429830063E-2</v>
      </c>
      <c r="Y1733" s="209">
        <v>2.4153255611558677E-2</v>
      </c>
    </row>
    <row r="1734" spans="21:25" x14ac:dyDescent="0.2">
      <c r="U1734" s="213" t="str">
        <f t="shared" si="30"/>
        <v>1w</v>
      </c>
      <c r="V1734" s="201">
        <f>_xll.qlCalendarAdvance(Calendar,V1733,U1734,"f",FALSE)</f>
        <v>50942</v>
      </c>
      <c r="W1734" s="225">
        <f>_xll.qlCalendarAdvance(Calendar,V1734,NDays&amp;"D")</f>
        <v>50944</v>
      </c>
      <c r="X1734" s="200">
        <v>2.4161111743434428E-2</v>
      </c>
      <c r="Y1734" s="209">
        <v>2.414294502661285E-2</v>
      </c>
    </row>
    <row r="1735" spans="21:25" x14ac:dyDescent="0.2">
      <c r="U1735" s="213" t="str">
        <f t="shared" si="30"/>
        <v>1w</v>
      </c>
      <c r="V1735" s="201">
        <f>_xll.qlCalendarAdvance(Calendar,V1734,U1735,"f",FALSE)</f>
        <v>50949</v>
      </c>
      <c r="W1735" s="225">
        <f>_xll.qlCalendarAdvance(Calendar,V1735,NDays&amp;"D")</f>
        <v>50951</v>
      </c>
      <c r="X1735" s="200">
        <v>2.4151367555427131E-2</v>
      </c>
      <c r="Y1735" s="209">
        <v>2.4132683295867707E-2</v>
      </c>
    </row>
    <row r="1736" spans="21:25" x14ac:dyDescent="0.2">
      <c r="U1736" s="213" t="str">
        <f t="shared" si="30"/>
        <v>1w</v>
      </c>
      <c r="V1736" s="201">
        <f>_xll.qlCalendarAdvance(Calendar,V1735,U1736,"f",FALSE)</f>
        <v>50956</v>
      </c>
      <c r="W1736" s="225">
        <f>_xll.qlCalendarAdvance(Calendar,V1736,NDays&amp;"D")</f>
        <v>50958</v>
      </c>
      <c r="X1736" s="200">
        <v>2.4142066721043499E-2</v>
      </c>
      <c r="Y1736" s="209">
        <v>2.4122470419083442E-2</v>
      </c>
    </row>
    <row r="1737" spans="21:25" x14ac:dyDescent="0.2">
      <c r="U1737" s="213" t="str">
        <f t="shared" si="30"/>
        <v>1w</v>
      </c>
      <c r="V1737" s="201">
        <f>_xll.qlCalendarAdvance(Calendar,V1736,U1737,"f",FALSE)</f>
        <v>50963</v>
      </c>
      <c r="W1737" s="225">
        <f>_xll.qlCalendarAdvance(Calendar,V1737,NDays&amp;"D")</f>
        <v>50965</v>
      </c>
      <c r="X1737" s="200">
        <v>2.4132430207660968E-2</v>
      </c>
      <c r="Y1737" s="209">
        <v>2.4112306396419925E-2</v>
      </c>
    </row>
    <row r="1738" spans="21:25" x14ac:dyDescent="0.2">
      <c r="U1738" s="213" t="str">
        <f t="shared" si="30"/>
        <v>1w</v>
      </c>
      <c r="V1738" s="201">
        <f>_xll.qlCalendarAdvance(Calendar,V1737,U1738,"f",FALSE)</f>
        <v>50970</v>
      </c>
      <c r="W1738" s="225">
        <f>_xll.qlCalendarAdvance(Calendar,V1738,NDays&amp;"D")</f>
        <v>50972</v>
      </c>
      <c r="X1738" s="200">
        <v>2.4122843201000603E-2</v>
      </c>
      <c r="Y1738" s="209">
        <v>2.4102191227717285E-2</v>
      </c>
    </row>
    <row r="1739" spans="21:25" x14ac:dyDescent="0.2">
      <c r="U1739" s="213" t="str">
        <f t="shared" si="30"/>
        <v>1w</v>
      </c>
      <c r="V1739" s="201">
        <f>_xll.qlCalendarAdvance(Calendar,V1738,U1739,"f",FALSE)</f>
        <v>50977</v>
      </c>
      <c r="W1739" s="225">
        <f>_xll.qlCalendarAdvance(Calendar,V1739,NDays&amp;"D")</f>
        <v>50979</v>
      </c>
      <c r="X1739" s="200">
        <v>2.4113305700336096E-2</v>
      </c>
      <c r="Y1739" s="209">
        <v>2.4092124913135393E-2</v>
      </c>
    </row>
    <row r="1740" spans="21:25" x14ac:dyDescent="0.2">
      <c r="U1740" s="213" t="str">
        <f t="shared" si="30"/>
        <v>1w</v>
      </c>
      <c r="V1740" s="201">
        <f>_xll.qlCalendarAdvance(Calendar,V1739,U1740,"f",FALSE)</f>
        <v>50984</v>
      </c>
      <c r="W1740" s="225">
        <f>_xll.qlCalendarAdvance(Calendar,V1740,NDays&amp;"D")</f>
        <v>50986</v>
      </c>
      <c r="X1740" s="200">
        <v>2.4103817704945452E-2</v>
      </c>
      <c r="Y1740" s="209">
        <v>2.4082107452594315E-2</v>
      </c>
    </row>
    <row r="1741" spans="21:25" x14ac:dyDescent="0.2">
      <c r="U1741" s="213" t="str">
        <f t="shared" si="30"/>
        <v>1w</v>
      </c>
      <c r="V1741" s="201">
        <f>_xll.qlCalendarAdvance(Calendar,V1740,U1741,"f",FALSE)</f>
        <v>50991</v>
      </c>
      <c r="W1741" s="225">
        <f>_xll.qlCalendarAdvance(Calendar,V1741,NDays&amp;"D")</f>
        <v>50993</v>
      </c>
      <c r="X1741" s="200">
        <v>2.409437921410924E-2</v>
      </c>
      <c r="Y1741" s="209">
        <v>2.4072138846094049E-2</v>
      </c>
    </row>
    <row r="1742" spans="21:25" x14ac:dyDescent="0.2">
      <c r="U1742" s="213" t="str">
        <f t="shared" si="30"/>
        <v>1w</v>
      </c>
      <c r="V1742" s="201">
        <f>_xll.qlCalendarAdvance(Calendar,V1741,U1742,"f",FALSE)</f>
        <v>50998</v>
      </c>
      <c r="W1742" s="225">
        <f>_xll.qlCalendarAdvance(Calendar,V1742,NDays&amp;"D")</f>
        <v>51000</v>
      </c>
      <c r="X1742" s="200">
        <v>2.4084990227112763E-2</v>
      </c>
      <c r="Y1742" s="209">
        <v>2.4062219093474724E-2</v>
      </c>
    </row>
    <row r="1743" spans="21:25" x14ac:dyDescent="0.2">
      <c r="U1743" s="213" t="str">
        <f t="shared" si="30"/>
        <v>1w</v>
      </c>
      <c r="V1743" s="201">
        <f>_xll.qlCalendarAdvance(Calendar,V1742,U1743,"f",FALSE)</f>
        <v>51005</v>
      </c>
      <c r="W1743" s="225">
        <f>_xll.qlCalendarAdvance(Calendar,V1743,NDays&amp;"D")</f>
        <v>51007</v>
      </c>
      <c r="X1743" s="200">
        <v>2.4075650743246059E-2</v>
      </c>
      <c r="Y1743" s="209">
        <v>2.4052348195056084E-2</v>
      </c>
    </row>
    <row r="1744" spans="21:25" x14ac:dyDescent="0.2">
      <c r="U1744" s="213" t="str">
        <f t="shared" si="30"/>
        <v>1w</v>
      </c>
      <c r="V1744" s="201">
        <f>_xll.qlCalendarAdvance(Calendar,V1743,U1744,"f",FALSE)</f>
        <v>51012</v>
      </c>
      <c r="W1744" s="225">
        <f>_xll.qlCalendarAdvance(Calendar,V1744,NDays&amp;"D")</f>
        <v>51014</v>
      </c>
      <c r="X1744" s="200">
        <v>2.4065743214722733E-2</v>
      </c>
      <c r="Y1744" s="209">
        <v>2.4042526150678256E-2</v>
      </c>
    </row>
    <row r="1745" spans="21:25" x14ac:dyDescent="0.2">
      <c r="U1745" s="213" t="str">
        <f t="shared" si="30"/>
        <v>1w</v>
      </c>
      <c r="V1745" s="201">
        <f>_xll.qlCalendarAdvance(Calendar,V1744,U1745,"f",FALSE)</f>
        <v>51019</v>
      </c>
      <c r="W1745" s="225">
        <f>_xll.qlCalendarAdvance(Calendar,V1745,NDays&amp;"D")</f>
        <v>51021</v>
      </c>
      <c r="X1745" s="200">
        <v>2.4056491050940806E-2</v>
      </c>
      <c r="Y1745" s="209">
        <v>2.4032752960101433E-2</v>
      </c>
    </row>
    <row r="1746" spans="21:25" x14ac:dyDescent="0.2">
      <c r="U1746" s="213" t="str">
        <f t="shared" si="30"/>
        <v>1w</v>
      </c>
      <c r="V1746" s="201">
        <f>_xll.qlCalendarAdvance(Calendar,V1745,U1746,"f",FALSE)</f>
        <v>51026</v>
      </c>
      <c r="W1746" s="225">
        <f>_xll.qlCalendarAdvance(Calendar,V1746,NDays&amp;"D")</f>
        <v>51028</v>
      </c>
      <c r="X1746" s="200">
        <v>2.4047288374290633E-2</v>
      </c>
      <c r="Y1746" s="209">
        <v>2.4023028623725295E-2</v>
      </c>
    </row>
    <row r="1747" spans="21:25" x14ac:dyDescent="0.2">
      <c r="U1747" s="213" t="str">
        <f t="shared" si="30"/>
        <v>1w</v>
      </c>
      <c r="V1747" s="201">
        <f>_xll.qlCalendarAdvance(Calendar,V1746,U1747,"f",FALSE)</f>
        <v>51033</v>
      </c>
      <c r="W1747" s="225">
        <f>_xll.qlCalendarAdvance(Calendar,V1747,NDays&amp;"D")</f>
        <v>51035</v>
      </c>
      <c r="X1747" s="200">
        <v>2.4038135184089246E-2</v>
      </c>
      <c r="Y1747" s="209">
        <v>2.4013353141230098E-2</v>
      </c>
    </row>
    <row r="1748" spans="21:25" x14ac:dyDescent="0.2">
      <c r="U1748" s="213" t="str">
        <f t="shared" si="30"/>
        <v>1w</v>
      </c>
      <c r="V1748" s="201">
        <f>_xll.qlCalendarAdvance(Calendar,V1747,U1748,"f",FALSE)</f>
        <v>51040</v>
      </c>
      <c r="W1748" s="225">
        <f>_xll.qlCalendarAdvance(Calendar,V1748,NDays&amp;"D")</f>
        <v>51042</v>
      </c>
      <c r="X1748" s="200">
        <v>2.4029031479659822E-2</v>
      </c>
      <c r="Y1748" s="209">
        <v>2.4003726512775714E-2</v>
      </c>
    </row>
    <row r="1749" spans="21:25" x14ac:dyDescent="0.2">
      <c r="U1749" s="213" t="str">
        <f t="shared" ref="U1749:U1812" si="31">U1748</f>
        <v>1w</v>
      </c>
      <c r="V1749" s="201">
        <f>_xll.qlCalendarAdvance(Calendar,V1748,U1749,"f",FALSE)</f>
        <v>51047</v>
      </c>
      <c r="W1749" s="225">
        <f>_xll.qlCalendarAdvance(Calendar,V1749,NDays&amp;"D")</f>
        <v>51049</v>
      </c>
      <c r="X1749" s="200">
        <v>2.402014585415601E-2</v>
      </c>
      <c r="Y1749" s="209">
        <v>2.3994148738442078E-2</v>
      </c>
    </row>
    <row r="1750" spans="21:25" x14ac:dyDescent="0.2">
      <c r="U1750" s="213" t="str">
        <f t="shared" si="31"/>
        <v>1w</v>
      </c>
      <c r="V1750" s="201">
        <f>_xll.qlCalendarAdvance(Calendar,V1749,U1750,"f",FALSE)</f>
        <v>51054</v>
      </c>
      <c r="W1750" s="225">
        <f>_xll.qlCalendarAdvance(Calendar,V1750,NDays&amp;"D")</f>
        <v>51056</v>
      </c>
      <c r="X1750" s="200">
        <v>2.4011144056899556E-2</v>
      </c>
      <c r="Y1750" s="209">
        <v>2.3984619817909447E-2</v>
      </c>
    </row>
    <row r="1751" spans="21:25" x14ac:dyDescent="0.2">
      <c r="U1751" s="213" t="str">
        <f t="shared" si="31"/>
        <v>1w</v>
      </c>
      <c r="V1751" s="201">
        <f>_xll.qlCalendarAdvance(Calendar,V1750,U1751,"f",FALSE)</f>
        <v>51061</v>
      </c>
      <c r="W1751" s="225">
        <f>_xll.qlCalendarAdvance(Calendar,V1751,NDays&amp;"D")</f>
        <v>51063</v>
      </c>
      <c r="X1751" s="200">
        <v>2.4002191746856551E-2</v>
      </c>
      <c r="Y1751" s="209">
        <v>2.3975139751577501E-2</v>
      </c>
    </row>
    <row r="1752" spans="21:25" x14ac:dyDescent="0.2">
      <c r="U1752" s="213" t="str">
        <f t="shared" si="31"/>
        <v>1w</v>
      </c>
      <c r="V1752" s="201">
        <f>_xll.qlCalendarAdvance(Calendar,V1751,U1752,"f",FALSE)</f>
        <v>51068</v>
      </c>
      <c r="W1752" s="225">
        <f>_xll.qlCalendarAdvance(Calendar,V1752,NDays&amp;"D")</f>
        <v>51070</v>
      </c>
      <c r="X1752" s="200">
        <v>2.399328892335956E-2</v>
      </c>
      <c r="Y1752" s="209">
        <v>2.3965708539126496E-2</v>
      </c>
    </row>
    <row r="1753" spans="21:25" x14ac:dyDescent="0.2">
      <c r="U1753" s="213" t="str">
        <f t="shared" si="31"/>
        <v>1w</v>
      </c>
      <c r="V1753" s="201">
        <f>_xll.qlCalendarAdvance(Calendar,V1752,U1753,"f",FALSE)</f>
        <v>51075</v>
      </c>
      <c r="W1753" s="225">
        <f>_xll.qlCalendarAdvance(Calendar,V1753,NDays&amp;"D")</f>
        <v>51077</v>
      </c>
      <c r="X1753" s="200">
        <v>2.3984255220594032E-2</v>
      </c>
      <c r="Y1753" s="209">
        <v>2.3956326180636367E-2</v>
      </c>
    </row>
    <row r="1754" spans="21:25" x14ac:dyDescent="0.2">
      <c r="U1754" s="213" t="str">
        <f t="shared" si="31"/>
        <v>1w</v>
      </c>
      <c r="V1754" s="201">
        <f>_xll.qlCalendarAdvance(Calendar,V1753,U1754,"f",FALSE)</f>
        <v>51082</v>
      </c>
      <c r="W1754" s="225">
        <f>_xll.qlCalendarAdvance(Calendar,V1754,NDays&amp;"D")</f>
        <v>51084</v>
      </c>
      <c r="X1754" s="200">
        <v>2.3975448416750922E-2</v>
      </c>
      <c r="Y1754" s="209">
        <v>2.3946992676107115E-2</v>
      </c>
    </row>
    <row r="1755" spans="21:25" x14ac:dyDescent="0.2">
      <c r="U1755" s="213" t="str">
        <f t="shared" si="31"/>
        <v>1w</v>
      </c>
      <c r="V1755" s="201">
        <f>_xll.qlCalendarAdvance(Calendar,V1754,U1755,"f",FALSE)</f>
        <v>51089</v>
      </c>
      <c r="W1755" s="225">
        <f>_xll.qlCalendarAdvance(Calendar,V1755,NDays&amp;"D")</f>
        <v>51091</v>
      </c>
      <c r="X1755" s="200">
        <v>2.3966691094033824E-2</v>
      </c>
      <c r="Y1755" s="209">
        <v>2.3937708025778548E-2</v>
      </c>
    </row>
    <row r="1756" spans="21:25" x14ac:dyDescent="0.2">
      <c r="U1756" s="213" t="str">
        <f t="shared" si="31"/>
        <v>1w</v>
      </c>
      <c r="V1756" s="201">
        <f>_xll.qlCalendarAdvance(Calendar,V1755,U1756,"f",FALSE)</f>
        <v>51096</v>
      </c>
      <c r="W1756" s="225">
        <f>_xll.qlCalendarAdvance(Calendar,V1756,NDays&amp;"D")</f>
        <v>51098</v>
      </c>
      <c r="X1756" s="200">
        <v>2.3957983251793144E-2</v>
      </c>
      <c r="Y1756" s="209">
        <v>2.3928472229171049E-2</v>
      </c>
    </row>
    <row r="1757" spans="21:25" x14ac:dyDescent="0.2">
      <c r="U1757" s="213" t="str">
        <f t="shared" si="31"/>
        <v>1w</v>
      </c>
      <c r="V1757" s="201">
        <f>_xll.qlCalendarAdvance(Calendar,V1756,U1757,"f",FALSE)</f>
        <v>51103</v>
      </c>
      <c r="W1757" s="225">
        <f>_xll.qlCalendarAdvance(Calendar,V1757,NDays&amp;"D")</f>
        <v>51105</v>
      </c>
      <c r="X1757" s="200">
        <v>2.3949517080965817E-2</v>
      </c>
      <c r="Y1757" s="209">
        <v>2.3919285286764236E-2</v>
      </c>
    </row>
    <row r="1758" spans="21:25" x14ac:dyDescent="0.2">
      <c r="U1758" s="213" t="str">
        <f t="shared" si="31"/>
        <v>1w</v>
      </c>
      <c r="V1758" s="201">
        <f>_xll.qlCalendarAdvance(Calendar,V1757,U1758,"f",FALSE)</f>
        <v>51110</v>
      </c>
      <c r="W1758" s="225">
        <f>_xll.qlCalendarAdvance(Calendar,V1758,NDays&amp;"D")</f>
        <v>51112</v>
      </c>
      <c r="X1758" s="200">
        <v>2.3940911162939088E-2</v>
      </c>
      <c r="Y1758" s="209">
        <v>2.3910147198078491E-2</v>
      </c>
    </row>
    <row r="1759" spans="21:25" x14ac:dyDescent="0.2">
      <c r="U1759" s="213" t="str">
        <f t="shared" si="31"/>
        <v>1w</v>
      </c>
      <c r="V1759" s="201">
        <f>_xll.qlCalendarAdvance(Calendar,V1758,U1759,"f",FALSE)</f>
        <v>51117</v>
      </c>
      <c r="W1759" s="225">
        <f>_xll.qlCalendarAdvance(Calendar,V1759,NDays&amp;"D")</f>
        <v>51119</v>
      </c>
      <c r="X1759" s="200">
        <v>2.3932354726891966E-2</v>
      </c>
      <c r="Y1759" s="209">
        <v>2.3901057963513495E-2</v>
      </c>
    </row>
    <row r="1760" spans="21:25" x14ac:dyDescent="0.2">
      <c r="U1760" s="213" t="str">
        <f t="shared" si="31"/>
        <v>1w</v>
      </c>
      <c r="V1760" s="201">
        <f>_xll.qlCalendarAdvance(Calendar,V1759,U1760,"f",FALSE)</f>
        <v>51124</v>
      </c>
      <c r="W1760" s="225">
        <f>_xll.qlCalendarAdvance(Calendar,V1760,NDays&amp;"D")</f>
        <v>51126</v>
      </c>
      <c r="X1760" s="200">
        <v>2.3923847772186271E-2</v>
      </c>
      <c r="Y1760" s="209">
        <v>2.3892017582829439E-2</v>
      </c>
    </row>
    <row r="1761" spans="21:25" x14ac:dyDescent="0.2">
      <c r="U1761" s="213" t="str">
        <f t="shared" si="31"/>
        <v>1w</v>
      </c>
      <c r="V1761" s="201">
        <f>_xll.qlCalendarAdvance(Calendar,V1760,U1761,"f",FALSE)</f>
        <v>51131</v>
      </c>
      <c r="W1761" s="225">
        <f>_xll.qlCalendarAdvance(Calendar,V1761,NDays&amp;"D")</f>
        <v>51133</v>
      </c>
      <c r="X1761" s="200">
        <v>2.3915390298188195E-2</v>
      </c>
      <c r="Y1761" s="209">
        <v>2.388302605610626E-2</v>
      </c>
    </row>
    <row r="1762" spans="21:25" x14ac:dyDescent="0.2">
      <c r="U1762" s="213" t="str">
        <f t="shared" si="31"/>
        <v>1w</v>
      </c>
      <c r="V1762" s="201">
        <f>_xll.qlCalendarAdvance(Calendar,V1761,U1762,"f",FALSE)</f>
        <v>51138</v>
      </c>
      <c r="W1762" s="225">
        <f>_xll.qlCalendarAdvance(Calendar,V1762,NDays&amp;"D")</f>
        <v>51140</v>
      </c>
      <c r="X1762" s="200">
        <v>2.3906775252471802E-2</v>
      </c>
      <c r="Y1762" s="209">
        <v>2.3874083383343958E-2</v>
      </c>
    </row>
    <row r="1763" spans="21:25" x14ac:dyDescent="0.2">
      <c r="U1763" s="213" t="str">
        <f t="shared" si="31"/>
        <v>1w</v>
      </c>
      <c r="V1763" s="201">
        <f>_xll.qlCalendarAdvance(Calendar,V1762,U1763,"f",FALSE)</f>
        <v>51145</v>
      </c>
      <c r="W1763" s="225">
        <f>_xll.qlCalendarAdvance(Calendar,V1763,NDays&amp;"D")</f>
        <v>51147</v>
      </c>
      <c r="X1763" s="200">
        <v>2.3898413755702546E-2</v>
      </c>
      <c r="Y1763" s="209">
        <v>2.3865189564542533E-2</v>
      </c>
    </row>
    <row r="1764" spans="21:25" x14ac:dyDescent="0.2">
      <c r="U1764" s="213" t="str">
        <f t="shared" si="31"/>
        <v>1w</v>
      </c>
      <c r="V1764" s="201">
        <f>_xll.qlCalendarAdvance(Calendar,V1763,U1764,"f",FALSE)</f>
        <v>51152</v>
      </c>
      <c r="W1764" s="225">
        <f>_xll.qlCalendarAdvance(Calendar,V1764,NDays&amp;"D")</f>
        <v>51154</v>
      </c>
      <c r="X1764" s="200">
        <v>2.3890101734349578E-2</v>
      </c>
      <c r="Y1764" s="209">
        <v>2.385634459978192E-2</v>
      </c>
    </row>
    <row r="1765" spans="21:25" x14ac:dyDescent="0.2">
      <c r="U1765" s="213" t="str">
        <f t="shared" si="31"/>
        <v>1w</v>
      </c>
      <c r="V1765" s="201">
        <f>_xll.qlCalendarAdvance(Calendar,V1764,U1765,"f",FALSE)</f>
        <v>51159</v>
      </c>
      <c r="W1765" s="225">
        <f>_xll.qlCalendarAdvance(Calendar,V1765,NDays&amp;"D")</f>
        <v>51161</v>
      </c>
      <c r="X1765" s="200">
        <v>2.3881839187796693E-2</v>
      </c>
      <c r="Y1765" s="209">
        <v>2.3847548488742376E-2</v>
      </c>
    </row>
    <row r="1766" spans="21:25" x14ac:dyDescent="0.2">
      <c r="U1766" s="213" t="str">
        <f t="shared" si="31"/>
        <v>1w</v>
      </c>
      <c r="V1766" s="201">
        <f>_xll.qlCalendarAdvance(Calendar,V1765,U1766,"f",FALSE)</f>
        <v>51166</v>
      </c>
      <c r="W1766" s="225">
        <f>_xll.qlCalendarAdvance(Calendar,V1766,NDays&amp;"D")</f>
        <v>51168</v>
      </c>
      <c r="X1766" s="200">
        <v>2.387362611543295E-2</v>
      </c>
      <c r="Y1766" s="209">
        <v>2.3838801231903517E-2</v>
      </c>
    </row>
    <row r="1767" spans="21:25" x14ac:dyDescent="0.2">
      <c r="U1767" s="213" t="str">
        <f t="shared" si="31"/>
        <v>1w</v>
      </c>
      <c r="V1767" s="201">
        <f>_xll.qlCalendarAdvance(Calendar,V1766,U1767,"f",FALSE)</f>
        <v>51173</v>
      </c>
      <c r="W1767" s="225">
        <f>_xll.qlCalendarAdvance(Calendar,V1767,NDays&amp;"D")</f>
        <v>51175</v>
      </c>
      <c r="X1767" s="200">
        <v>2.3865462516647847E-2</v>
      </c>
      <c r="Y1767" s="209">
        <v>2.3830102828785726E-2</v>
      </c>
    </row>
    <row r="1768" spans="21:25" x14ac:dyDescent="0.2">
      <c r="U1768" s="213" t="str">
        <f t="shared" si="31"/>
        <v>1w</v>
      </c>
      <c r="V1768" s="201">
        <f>_xll.qlCalendarAdvance(Calendar,V1767,U1768,"f",FALSE)</f>
        <v>51180</v>
      </c>
      <c r="W1768" s="225">
        <f>_xll.qlCalendarAdvance(Calendar,V1768,NDays&amp;"D")</f>
        <v>51182</v>
      </c>
      <c r="X1768" s="200">
        <v>2.3857348390837911E-2</v>
      </c>
      <c r="Y1768" s="209">
        <v>2.3821453279628813E-2</v>
      </c>
    </row>
    <row r="1769" spans="21:25" x14ac:dyDescent="0.2">
      <c r="U1769" s="213" t="str">
        <f t="shared" si="31"/>
        <v>1w</v>
      </c>
      <c r="V1769" s="201">
        <f>_xll.qlCalendarAdvance(Calendar,V1768,U1769,"f",FALSE)</f>
        <v>51187</v>
      </c>
      <c r="W1769" s="225">
        <f>_xll.qlCalendarAdvance(Calendar,V1769,NDays&amp;"D")</f>
        <v>51189</v>
      </c>
      <c r="X1769" s="200">
        <v>2.3849283737401427E-2</v>
      </c>
      <c r="Y1769" s="209">
        <v>2.3812852584512711E-2</v>
      </c>
    </row>
    <row r="1770" spans="21:25" x14ac:dyDescent="0.2">
      <c r="U1770" s="213" t="str">
        <f t="shared" si="31"/>
        <v>1w</v>
      </c>
      <c r="V1770" s="201">
        <f>_xll.qlCalendarAdvance(Calendar,V1769,U1770,"f",FALSE)</f>
        <v>51194</v>
      </c>
      <c r="W1770" s="225">
        <f>_xll.qlCalendarAdvance(Calendar,V1770,NDays&amp;"D")</f>
        <v>51196</v>
      </c>
      <c r="X1770" s="200">
        <v>2.3842194365884615E-2</v>
      </c>
      <c r="Y1770" s="209">
        <v>2.3804300743277551E-2</v>
      </c>
    </row>
    <row r="1771" spans="21:25" x14ac:dyDescent="0.2">
      <c r="U1771" s="213" t="str">
        <f t="shared" si="31"/>
        <v>1w</v>
      </c>
      <c r="V1771" s="201">
        <f>_xll.qlCalendarAdvance(Calendar,V1770,U1771,"f",FALSE)</f>
        <v>51201</v>
      </c>
      <c r="W1771" s="225">
        <f>_xll.qlCalendarAdvance(Calendar,V1771,NDays&amp;"D")</f>
        <v>51203</v>
      </c>
      <c r="X1771" s="200">
        <v>2.3834240696136422E-2</v>
      </c>
      <c r="Y1771" s="209">
        <v>2.3795797755923331E-2</v>
      </c>
    </row>
    <row r="1772" spans="21:25" x14ac:dyDescent="0.2">
      <c r="U1772" s="213" t="str">
        <f t="shared" si="31"/>
        <v>1w</v>
      </c>
      <c r="V1772" s="201">
        <f>_xll.qlCalendarAdvance(Calendar,V1771,U1772,"f",FALSE)</f>
        <v>51208</v>
      </c>
      <c r="W1772" s="225">
        <f>_xll.qlCalendarAdvance(Calendar,V1772,NDays&amp;"D")</f>
        <v>51210</v>
      </c>
      <c r="X1772" s="200">
        <v>2.3826336510525875E-2</v>
      </c>
      <c r="Y1772" s="209">
        <v>2.3787343622450052E-2</v>
      </c>
    </row>
    <row r="1773" spans="21:25" x14ac:dyDescent="0.2">
      <c r="U1773" s="213" t="str">
        <f t="shared" si="31"/>
        <v>1w</v>
      </c>
      <c r="V1773" s="201">
        <f>_xll.qlCalendarAdvance(Calendar,V1772,U1773,"f",FALSE)</f>
        <v>51215</v>
      </c>
      <c r="W1773" s="225">
        <f>_xll.qlCalendarAdvance(Calendar,V1773,NDays&amp;"D")</f>
        <v>51217</v>
      </c>
      <c r="X1773" s="200">
        <v>2.3818481808454747E-2</v>
      </c>
      <c r="Y1773" s="209">
        <v>2.3778938343017586E-2</v>
      </c>
    </row>
    <row r="1774" spans="21:25" x14ac:dyDescent="0.2">
      <c r="U1774" s="213" t="str">
        <f t="shared" si="31"/>
        <v>1w</v>
      </c>
      <c r="V1774" s="201">
        <f>_xll.qlCalendarAdvance(Calendar,V1773,U1774,"f",FALSE)</f>
        <v>51222</v>
      </c>
      <c r="W1774" s="225">
        <f>_xll.qlCalendarAdvance(Calendar,V1774,NDays&amp;"D")</f>
        <v>51224</v>
      </c>
      <c r="X1774" s="200">
        <v>2.3809945598904418E-2</v>
      </c>
      <c r="Y1774" s="209">
        <v>2.3771343030974279E-2</v>
      </c>
    </row>
    <row r="1775" spans="21:25" x14ac:dyDescent="0.2">
      <c r="U1775" s="213" t="str">
        <f t="shared" si="31"/>
        <v>1w</v>
      </c>
      <c r="V1775" s="201">
        <f>_xll.qlCalendarAdvance(Calendar,V1774,U1775,"f",FALSE)</f>
        <v>51229</v>
      </c>
      <c r="W1775" s="225">
        <f>_xll.qlCalendarAdvance(Calendar,V1775,NDays&amp;"D")</f>
        <v>51231</v>
      </c>
      <c r="X1775" s="200">
        <v>2.3802180790320766E-2</v>
      </c>
      <c r="Y1775" s="209">
        <v>2.3762274345795475E-2</v>
      </c>
    </row>
    <row r="1776" spans="21:25" x14ac:dyDescent="0.2">
      <c r="U1776" s="213" t="str">
        <f t="shared" si="31"/>
        <v>1w</v>
      </c>
      <c r="V1776" s="201">
        <f>_xll.qlCalendarAdvance(Calendar,V1775,U1776,"f",FALSE)</f>
        <v>51236</v>
      </c>
      <c r="W1776" s="225">
        <f>_xll.qlCalendarAdvance(Calendar,V1776,NDays&amp;"D")</f>
        <v>51238</v>
      </c>
      <c r="X1776" s="200">
        <v>2.3794465453378325E-2</v>
      </c>
      <c r="Y1776" s="209">
        <v>2.3754015627925895E-2</v>
      </c>
    </row>
    <row r="1777" spans="21:25" x14ac:dyDescent="0.2">
      <c r="U1777" s="213" t="str">
        <f t="shared" si="31"/>
        <v>1w</v>
      </c>
      <c r="V1777" s="201">
        <f>_xll.qlCalendarAdvance(Calendar,V1776,U1777,"f",FALSE)</f>
        <v>51243</v>
      </c>
      <c r="W1777" s="225">
        <f>_xll.qlCalendarAdvance(Calendar,V1777,NDays&amp;"D")</f>
        <v>51245</v>
      </c>
      <c r="X1777" s="200">
        <v>2.3786799587503998E-2</v>
      </c>
      <c r="Y1777" s="209">
        <v>2.3745805764097128E-2</v>
      </c>
    </row>
    <row r="1778" spans="21:25" x14ac:dyDescent="0.2">
      <c r="U1778" s="213" t="str">
        <f t="shared" si="31"/>
        <v>1w</v>
      </c>
      <c r="V1778" s="201">
        <f>_xll.qlCalendarAdvance(Calendar,V1777,U1778,"f",FALSE)</f>
        <v>51250</v>
      </c>
      <c r="W1778" s="225">
        <f>_xll.qlCalendarAdvance(Calendar,V1778,NDays&amp;"D")</f>
        <v>51252</v>
      </c>
      <c r="X1778" s="200">
        <v>2.3779183192124697E-2</v>
      </c>
      <c r="Y1778" s="209">
        <v>2.3737644754149301E-2</v>
      </c>
    </row>
    <row r="1779" spans="21:25" x14ac:dyDescent="0.2">
      <c r="U1779" s="213" t="str">
        <f t="shared" si="31"/>
        <v>1w</v>
      </c>
      <c r="V1779" s="201">
        <f>_xll.qlCalendarAdvance(Calendar,V1778,U1779,"f",FALSE)</f>
        <v>51258</v>
      </c>
      <c r="W1779" s="225">
        <f>_xll.qlCalendarAdvance(Calendar,V1779,NDays&amp;"D")</f>
        <v>51260</v>
      </c>
      <c r="X1779" s="200">
        <v>2.3771057515604665E-2</v>
      </c>
      <c r="Y1779" s="209">
        <v>2.3728788015553448E-2</v>
      </c>
    </row>
    <row r="1780" spans="21:25" x14ac:dyDescent="0.2">
      <c r="U1780" s="213" t="str">
        <f t="shared" si="31"/>
        <v>1w</v>
      </c>
      <c r="V1780" s="201">
        <f>_xll.qlCalendarAdvance(Calendar,V1779,U1780,"f",FALSE)</f>
        <v>51265</v>
      </c>
      <c r="W1780" s="225">
        <f>_xll.qlCalendarAdvance(Calendar,V1780,NDays&amp;"D")</f>
        <v>51267</v>
      </c>
      <c r="X1780" s="200">
        <v>2.3763553208596216E-2</v>
      </c>
      <c r="Y1780" s="209">
        <v>2.372073761073068E-2</v>
      </c>
    </row>
    <row r="1781" spans="21:25" x14ac:dyDescent="0.2">
      <c r="U1781" s="213" t="str">
        <f t="shared" si="31"/>
        <v>1w</v>
      </c>
      <c r="V1781" s="201">
        <f>_xll.qlCalendarAdvance(Calendar,V1780,U1781,"f",FALSE)</f>
        <v>51272</v>
      </c>
      <c r="W1781" s="225">
        <f>_xll.qlCalendarAdvance(Calendar,V1781,NDays&amp;"D")</f>
        <v>51274</v>
      </c>
      <c r="X1781" s="200">
        <v>2.3756098377032481E-2</v>
      </c>
      <c r="Y1781" s="209">
        <v>2.3712736066556772E-2</v>
      </c>
    </row>
    <row r="1782" spans="21:25" x14ac:dyDescent="0.2">
      <c r="U1782" s="213" t="str">
        <f t="shared" si="31"/>
        <v>1w</v>
      </c>
      <c r="V1782" s="201">
        <f>_xll.qlCalendarAdvance(Calendar,V1781,U1782,"f",FALSE)</f>
        <v>51279</v>
      </c>
      <c r="W1782" s="225">
        <f>_xll.qlCalendarAdvance(Calendar,V1782,NDays&amp;"D")</f>
        <v>51281</v>
      </c>
      <c r="X1782" s="200">
        <v>2.3748693020352183E-2</v>
      </c>
      <c r="Y1782" s="209">
        <v>2.370478338305837E-2</v>
      </c>
    </row>
    <row r="1783" spans="21:25" x14ac:dyDescent="0.2">
      <c r="U1783" s="213" t="str">
        <f t="shared" si="31"/>
        <v>1w</v>
      </c>
      <c r="V1783" s="201">
        <f>_xll.qlCalendarAdvance(Calendar,V1782,U1783,"f",FALSE)</f>
        <v>51286</v>
      </c>
      <c r="W1783" s="225">
        <f>_xll.qlCalendarAdvance(Calendar,V1783,NDays&amp;"D")</f>
        <v>51288</v>
      </c>
      <c r="X1783" s="200">
        <v>2.3741337137995762E-2</v>
      </c>
      <c r="Y1783" s="209">
        <v>2.3696879560208828E-2</v>
      </c>
    </row>
    <row r="1784" spans="21:25" x14ac:dyDescent="0.2">
      <c r="U1784" s="213" t="str">
        <f t="shared" si="31"/>
        <v>1w</v>
      </c>
      <c r="V1784" s="201">
        <f>_xll.qlCalendarAdvance(Calendar,V1783,U1784,"f",FALSE)</f>
        <v>51293</v>
      </c>
      <c r="W1784" s="225">
        <f>_xll.qlCalendarAdvance(Calendar,V1784,NDays&amp;"D")</f>
        <v>51295</v>
      </c>
      <c r="X1784" s="200">
        <v>2.3734030729411017E-2</v>
      </c>
      <c r="Y1784" s="209">
        <v>2.3689024598008146E-2</v>
      </c>
    </row>
    <row r="1785" spans="21:25" x14ac:dyDescent="0.2">
      <c r="U1785" s="213" t="str">
        <f t="shared" si="31"/>
        <v>1w</v>
      </c>
      <c r="V1785" s="201">
        <f>_xll.qlCalendarAdvance(Calendar,V1784,U1785,"f",FALSE)</f>
        <v>51300</v>
      </c>
      <c r="W1785" s="225">
        <f>_xll.qlCalendarAdvance(Calendar,V1785,NDays&amp;"D")</f>
        <v>51302</v>
      </c>
      <c r="X1785" s="200">
        <v>2.3726773794047466E-2</v>
      </c>
      <c r="Y1785" s="209">
        <v>2.368121849648297E-2</v>
      </c>
    </row>
    <row r="1786" spans="21:25" x14ac:dyDescent="0.2">
      <c r="U1786" s="213" t="str">
        <f t="shared" si="31"/>
        <v>1w</v>
      </c>
      <c r="V1786" s="201">
        <f>_xll.qlCalendarAdvance(Calendar,V1785,U1786,"f",FALSE)</f>
        <v>51307</v>
      </c>
      <c r="W1786" s="225">
        <f>_xll.qlCalendarAdvance(Calendar,V1786,NDays&amp;"D")</f>
        <v>51309</v>
      </c>
      <c r="X1786" s="200">
        <v>2.3719566331357227E-2</v>
      </c>
      <c r="Y1786" s="209">
        <v>2.3673461255553363E-2</v>
      </c>
    </row>
    <row r="1787" spans="21:25" x14ac:dyDescent="0.2">
      <c r="U1787" s="213" t="str">
        <f t="shared" si="31"/>
        <v>1w</v>
      </c>
      <c r="V1787" s="201">
        <f>_xll.qlCalendarAdvance(Calendar,V1786,U1787,"f",FALSE)</f>
        <v>51314</v>
      </c>
      <c r="W1787" s="225">
        <f>_xll.qlCalendarAdvance(Calendar,V1787,NDays&amp;"D")</f>
        <v>51316</v>
      </c>
      <c r="X1787" s="200">
        <v>2.371240834079846E-2</v>
      </c>
      <c r="Y1787" s="209">
        <v>2.3665752875272617E-2</v>
      </c>
    </row>
    <row r="1788" spans="21:25" x14ac:dyDescent="0.2">
      <c r="U1788" s="213" t="str">
        <f t="shared" si="31"/>
        <v>1w</v>
      </c>
      <c r="V1788" s="201">
        <f>_xll.qlCalendarAdvance(Calendar,V1787,U1788,"f",FALSE)</f>
        <v>51321</v>
      </c>
      <c r="W1788" s="225">
        <f>_xll.qlCalendarAdvance(Calendar,V1788,NDays&amp;"D")</f>
        <v>51323</v>
      </c>
      <c r="X1788" s="200">
        <v>2.3705299821831487E-2</v>
      </c>
      <c r="Y1788" s="209">
        <v>2.3658093355614085E-2</v>
      </c>
    </row>
    <row r="1789" spans="21:25" x14ac:dyDescent="0.2">
      <c r="U1789" s="213" t="str">
        <f t="shared" si="31"/>
        <v>1w</v>
      </c>
      <c r="V1789" s="201">
        <f>_xll.qlCalendarAdvance(Calendar,V1788,U1789,"f",FALSE)</f>
        <v>51328</v>
      </c>
      <c r="W1789" s="225">
        <f>_xll.qlCalendarAdvance(Calendar,V1789,NDays&amp;"D")</f>
        <v>51330</v>
      </c>
      <c r="X1789" s="200">
        <v>2.3698240773920957E-2</v>
      </c>
      <c r="Y1789" s="209">
        <v>2.3650482696551123E-2</v>
      </c>
    </row>
    <row r="1790" spans="21:25" x14ac:dyDescent="0.2">
      <c r="U1790" s="213" t="str">
        <f t="shared" si="31"/>
        <v>1w</v>
      </c>
      <c r="V1790" s="201">
        <f>_xll.qlCalendarAdvance(Calendar,V1789,U1790,"f",FALSE)</f>
        <v>51335</v>
      </c>
      <c r="W1790" s="225">
        <f>_xll.qlCalendarAdvance(Calendar,V1790,NDays&amp;"D")</f>
        <v>51337</v>
      </c>
      <c r="X1790" s="200">
        <v>2.3691231196535399E-2</v>
      </c>
      <c r="Y1790" s="209">
        <v>2.364292089808373E-2</v>
      </c>
    </row>
    <row r="1791" spans="21:25" x14ac:dyDescent="0.2">
      <c r="U1791" s="213" t="str">
        <f t="shared" si="31"/>
        <v>1w</v>
      </c>
      <c r="V1791" s="201">
        <f>_xll.qlCalendarAdvance(Calendar,V1790,U1791,"f",FALSE)</f>
        <v>51342</v>
      </c>
      <c r="W1791" s="225">
        <f>_xll.qlCalendarAdvance(Calendar,V1791,NDays&amp;"D")</f>
        <v>51344</v>
      </c>
      <c r="X1791" s="200">
        <v>2.3684271089147238E-2</v>
      </c>
      <c r="Y1791" s="209">
        <v>2.3635407960185262E-2</v>
      </c>
    </row>
    <row r="1792" spans="21:25" x14ac:dyDescent="0.2">
      <c r="U1792" s="213" t="str">
        <f t="shared" si="31"/>
        <v>1w</v>
      </c>
      <c r="V1792" s="201">
        <f>_xll.qlCalendarAdvance(Calendar,V1791,U1792,"f",FALSE)</f>
        <v>51349</v>
      </c>
      <c r="W1792" s="225">
        <f>_xll.qlCalendarAdvance(Calendar,V1792,NDays&amp;"D")</f>
        <v>51351</v>
      </c>
      <c r="X1792" s="200">
        <v>2.3677360451231054E-2</v>
      </c>
      <c r="Y1792" s="209">
        <v>2.3627943882882363E-2</v>
      </c>
    </row>
    <row r="1793" spans="21:25" x14ac:dyDescent="0.2">
      <c r="U1793" s="213" t="str">
        <f t="shared" si="31"/>
        <v>1w</v>
      </c>
      <c r="V1793" s="201">
        <f>_xll.qlCalendarAdvance(Calendar,V1792,U1793,"f",FALSE)</f>
        <v>51356</v>
      </c>
      <c r="W1793" s="225">
        <f>_xll.qlCalendarAdvance(Calendar,V1793,NDays&amp;"D")</f>
        <v>51358</v>
      </c>
      <c r="X1793" s="200">
        <v>2.3670499282267481E-2</v>
      </c>
      <c r="Y1793" s="209">
        <v>2.3620528666148388E-2</v>
      </c>
    </row>
    <row r="1794" spans="21:25" x14ac:dyDescent="0.2">
      <c r="U1794" s="213" t="str">
        <f t="shared" si="31"/>
        <v>1w</v>
      </c>
      <c r="V1794" s="201">
        <f>_xll.qlCalendarAdvance(Calendar,V1793,U1794,"f",FALSE)</f>
        <v>51363</v>
      </c>
      <c r="W1794" s="225">
        <f>_xll.qlCalendarAdvance(Calendar,V1794,NDays&amp;"D")</f>
        <v>51365</v>
      </c>
      <c r="X1794" s="200">
        <v>2.3663687581738011E-2</v>
      </c>
      <c r="Y1794" s="209">
        <v>2.3613162309983338E-2</v>
      </c>
    </row>
    <row r="1795" spans="21:25" x14ac:dyDescent="0.2">
      <c r="U1795" s="213" t="str">
        <f t="shared" si="31"/>
        <v>1w</v>
      </c>
      <c r="V1795" s="201">
        <f>_xll.qlCalendarAdvance(Calendar,V1794,U1795,"f",FALSE)</f>
        <v>51370</v>
      </c>
      <c r="W1795" s="225">
        <f>_xll.qlCalendarAdvance(Calendar,V1795,NDays&amp;"D")</f>
        <v>51372</v>
      </c>
      <c r="X1795" s="200">
        <v>2.3656925349131924E-2</v>
      </c>
      <c r="Y1795" s="209">
        <v>2.3605844814333921E-2</v>
      </c>
    </row>
    <row r="1796" spans="21:25" x14ac:dyDescent="0.2">
      <c r="U1796" s="213" t="str">
        <f t="shared" si="31"/>
        <v>1w</v>
      </c>
      <c r="V1796" s="201">
        <f>_xll.qlCalendarAdvance(Calendar,V1795,U1796,"f",FALSE)</f>
        <v>51377</v>
      </c>
      <c r="W1796" s="225">
        <f>_xll.qlCalendarAdvance(Calendar,V1796,NDays&amp;"D")</f>
        <v>51379</v>
      </c>
      <c r="X1796" s="200">
        <v>2.3648968812002943E-2</v>
      </c>
      <c r="Y1796" s="209">
        <v>2.3598576179253428E-2</v>
      </c>
    </row>
    <row r="1797" spans="21:25" x14ac:dyDescent="0.2">
      <c r="U1797" s="213" t="str">
        <f t="shared" si="31"/>
        <v>1w</v>
      </c>
      <c r="V1797" s="201">
        <f>_xll.qlCalendarAdvance(Calendar,V1796,U1797,"f",FALSE)</f>
        <v>51384</v>
      </c>
      <c r="W1797" s="225">
        <f>_xll.qlCalendarAdvance(Calendar,V1797,NDays&amp;"D")</f>
        <v>51386</v>
      </c>
      <c r="X1797" s="200">
        <v>2.3642293124356954E-2</v>
      </c>
      <c r="Y1797" s="209">
        <v>2.3591356404715214E-2</v>
      </c>
    </row>
    <row r="1798" spans="21:25" x14ac:dyDescent="0.2">
      <c r="U1798" s="213" t="str">
        <f t="shared" si="31"/>
        <v>1w</v>
      </c>
      <c r="V1798" s="201">
        <f>_xll.qlCalendarAdvance(Calendar,V1797,U1798,"f",FALSE)</f>
        <v>51391</v>
      </c>
      <c r="W1798" s="225">
        <f>_xll.qlCalendarAdvance(Calendar,V1798,NDays&amp;"D")</f>
        <v>51393</v>
      </c>
      <c r="X1798" s="200">
        <v>2.3635666889854863E-2</v>
      </c>
      <c r="Y1798" s="209">
        <v>2.3584185490665988E-2</v>
      </c>
    </row>
    <row r="1799" spans="21:25" x14ac:dyDescent="0.2">
      <c r="U1799" s="213" t="str">
        <f t="shared" si="31"/>
        <v>1w</v>
      </c>
      <c r="V1799" s="201">
        <f>_xll.qlCalendarAdvance(Calendar,V1798,U1799,"f",FALSE)</f>
        <v>51398</v>
      </c>
      <c r="W1799" s="225">
        <f>_xll.qlCalendarAdvance(Calendar,V1799,NDays&amp;"D")</f>
        <v>51400</v>
      </c>
      <c r="X1799" s="200">
        <v>2.3629090108010436E-2</v>
      </c>
      <c r="Y1799" s="209">
        <v>2.357706343715904E-2</v>
      </c>
    </row>
    <row r="1800" spans="21:25" x14ac:dyDescent="0.2">
      <c r="U1800" s="213" t="str">
        <f t="shared" si="31"/>
        <v>1w</v>
      </c>
      <c r="V1800" s="201">
        <f>_xll.qlCalendarAdvance(Calendar,V1799,U1800,"f",FALSE)</f>
        <v>51405</v>
      </c>
      <c r="W1800" s="225">
        <f>_xll.qlCalendarAdvance(Calendar,V1800,NDays&amp;"D")</f>
        <v>51407</v>
      </c>
      <c r="X1800" s="200">
        <v>2.3622885663368353E-2</v>
      </c>
      <c r="Y1800" s="209">
        <v>2.3569990244167727E-2</v>
      </c>
    </row>
    <row r="1801" spans="21:25" x14ac:dyDescent="0.2">
      <c r="U1801" s="213" t="str">
        <f t="shared" si="31"/>
        <v>1w</v>
      </c>
      <c r="V1801" s="201">
        <f>_xll.qlCalendarAdvance(Calendar,V1800,U1801,"f",FALSE)</f>
        <v>51412</v>
      </c>
      <c r="W1801" s="225">
        <f>_xll.qlCalendarAdvance(Calendar,V1801,NDays&amp;"D")</f>
        <v>51414</v>
      </c>
      <c r="X1801" s="200">
        <v>2.3616410895301598E-2</v>
      </c>
      <c r="Y1801" s="209">
        <v>2.3562965911638756E-2</v>
      </c>
    </row>
    <row r="1802" spans="21:25" x14ac:dyDescent="0.2">
      <c r="U1802" s="213" t="str">
        <f t="shared" si="31"/>
        <v>1w</v>
      </c>
      <c r="V1802" s="201">
        <f>_xll.qlCalendarAdvance(Calendar,V1801,U1802,"f",FALSE)</f>
        <v>51419</v>
      </c>
      <c r="W1802" s="225">
        <f>_xll.qlCalendarAdvance(Calendar,V1802,NDays&amp;"D")</f>
        <v>51421</v>
      </c>
      <c r="X1802" s="200">
        <v>2.360998558175488E-2</v>
      </c>
      <c r="Y1802" s="209">
        <v>2.3555990439625418E-2</v>
      </c>
    </row>
    <row r="1803" spans="21:25" x14ac:dyDescent="0.2">
      <c r="U1803" s="213" t="str">
        <f t="shared" si="31"/>
        <v>1w</v>
      </c>
      <c r="V1803" s="201">
        <f>_xll.qlCalendarAdvance(Calendar,V1802,U1803,"f",FALSE)</f>
        <v>51426</v>
      </c>
      <c r="W1803" s="225">
        <f>_xll.qlCalendarAdvance(Calendar,V1803,NDays&amp;"D")</f>
        <v>51428</v>
      </c>
      <c r="X1803" s="200">
        <v>2.3604941749245403E-2</v>
      </c>
      <c r="Y1803" s="209">
        <v>2.3549063828074424E-2</v>
      </c>
    </row>
    <row r="1804" spans="21:25" x14ac:dyDescent="0.2">
      <c r="U1804" s="213" t="str">
        <f t="shared" si="31"/>
        <v>1w</v>
      </c>
      <c r="V1804" s="201">
        <f>_xll.qlCalendarAdvance(Calendar,V1803,U1804,"f",FALSE)</f>
        <v>51433</v>
      </c>
      <c r="W1804" s="225">
        <f>_xll.qlCalendarAdvance(Calendar,V1804,NDays&amp;"D")</f>
        <v>51435</v>
      </c>
      <c r="X1804" s="200">
        <v>2.3597283316316719E-2</v>
      </c>
      <c r="Y1804" s="209">
        <v>2.3542186077012417E-2</v>
      </c>
    </row>
    <row r="1805" spans="21:25" x14ac:dyDescent="0.2">
      <c r="U1805" s="213" t="str">
        <f t="shared" si="31"/>
        <v>1w</v>
      </c>
      <c r="V1805" s="201">
        <f>_xll.qlCalendarAdvance(Calendar,V1804,U1805,"f",FALSE)</f>
        <v>51440</v>
      </c>
      <c r="W1805" s="225">
        <f>_xll.qlCalendarAdvance(Calendar,V1805,NDays&amp;"D")</f>
        <v>51442</v>
      </c>
      <c r="X1805" s="200">
        <v>2.3590667895842316E-2</v>
      </c>
      <c r="Y1805" s="209">
        <v>2.3535357186386108E-2</v>
      </c>
    </row>
    <row r="1806" spans="21:25" x14ac:dyDescent="0.2">
      <c r="U1806" s="213" t="str">
        <f t="shared" si="31"/>
        <v>1w</v>
      </c>
      <c r="V1806" s="201">
        <f>_xll.qlCalendarAdvance(Calendar,V1805,U1806,"f",FALSE)</f>
        <v>51447</v>
      </c>
      <c r="W1806" s="225">
        <f>_xll.qlCalendarAdvance(Calendar,V1806,NDays&amp;"D")</f>
        <v>51449</v>
      </c>
      <c r="X1806" s="200">
        <v>2.3584437269226568E-2</v>
      </c>
      <c r="Y1806" s="209">
        <v>2.3528577156222141E-2</v>
      </c>
    </row>
    <row r="1807" spans="21:25" x14ac:dyDescent="0.2">
      <c r="U1807" s="213" t="str">
        <f t="shared" si="31"/>
        <v>1w</v>
      </c>
      <c r="V1807" s="201">
        <f>_xll.qlCalendarAdvance(Calendar,V1806,U1807,"f",FALSE)</f>
        <v>51454</v>
      </c>
      <c r="W1807" s="225">
        <f>_xll.qlCalendarAdvance(Calendar,V1807,NDays&amp;"D")</f>
        <v>51456</v>
      </c>
      <c r="X1807" s="200">
        <v>2.3578256091492934E-2</v>
      </c>
      <c r="Y1807" s="209">
        <v>2.3521845986547163E-2</v>
      </c>
    </row>
    <row r="1808" spans="21:25" x14ac:dyDescent="0.2">
      <c r="U1808" s="213" t="str">
        <f t="shared" si="31"/>
        <v>1w</v>
      </c>
      <c r="V1808" s="201">
        <f>_xll.qlCalendarAdvance(Calendar,V1807,U1808,"f",FALSE)</f>
        <v>51461</v>
      </c>
      <c r="W1808" s="225">
        <f>_xll.qlCalendarAdvance(Calendar,V1808,NDays&amp;"D")</f>
        <v>51463</v>
      </c>
      <c r="X1808" s="200">
        <v>2.3572124362184324E-2</v>
      </c>
      <c r="Y1808" s="209">
        <v>2.3515163677281237E-2</v>
      </c>
    </row>
    <row r="1809" spans="21:25" x14ac:dyDescent="0.2">
      <c r="U1809" s="213" t="str">
        <f t="shared" si="31"/>
        <v>1w</v>
      </c>
      <c r="V1809" s="201">
        <f>_xll.qlCalendarAdvance(Calendar,V1808,U1809,"f",FALSE)</f>
        <v>51468</v>
      </c>
      <c r="W1809" s="225">
        <f>_xll.qlCalendarAdvance(Calendar,V1809,NDays&amp;"D")</f>
        <v>51470</v>
      </c>
      <c r="X1809" s="200">
        <v>2.3566393073925905E-2</v>
      </c>
      <c r="Y1809" s="209">
        <v>2.3508530228424362E-2</v>
      </c>
    </row>
    <row r="1810" spans="21:25" x14ac:dyDescent="0.2">
      <c r="U1810" s="213" t="str">
        <f t="shared" si="31"/>
        <v>1w</v>
      </c>
      <c r="V1810" s="201">
        <f>_xll.qlCalendarAdvance(Calendar,V1809,U1810,"f",FALSE)</f>
        <v>51475</v>
      </c>
      <c r="W1810" s="225">
        <f>_xll.qlCalendarAdvance(Calendar,V1810,NDays&amp;"D")</f>
        <v>51477</v>
      </c>
      <c r="X1810" s="200">
        <v>2.3560363379698912E-2</v>
      </c>
      <c r="Y1810" s="209">
        <v>2.3501945640003186E-2</v>
      </c>
    </row>
    <row r="1811" spans="21:25" x14ac:dyDescent="0.2">
      <c r="U1811" s="213" t="str">
        <f t="shared" si="31"/>
        <v>1w</v>
      </c>
      <c r="V1811" s="201">
        <f>_xll.qlCalendarAdvance(Calendar,V1810,U1811,"f",FALSE)</f>
        <v>51482</v>
      </c>
      <c r="W1811" s="225">
        <f>_xll.qlCalendarAdvance(Calendar,V1811,NDays&amp;"D")</f>
        <v>51484</v>
      </c>
      <c r="X1811" s="200">
        <v>2.3554383135837919E-2</v>
      </c>
      <c r="Y1811" s="209">
        <v>2.3495409912017706E-2</v>
      </c>
    </row>
    <row r="1812" spans="21:25" x14ac:dyDescent="0.2">
      <c r="U1812" s="213" t="str">
        <f t="shared" si="31"/>
        <v>1w</v>
      </c>
      <c r="V1812" s="201">
        <f>_xll.qlCalendarAdvance(Calendar,V1811,U1812,"f",FALSE)</f>
        <v>51489</v>
      </c>
      <c r="W1812" s="225">
        <f>_xll.qlCalendarAdvance(Calendar,V1812,NDays&amp;"D")</f>
        <v>51491</v>
      </c>
      <c r="X1812" s="200">
        <v>2.3548452341899763E-2</v>
      </c>
      <c r="Y1812" s="209">
        <v>2.3488923044414634E-2</v>
      </c>
    </row>
    <row r="1813" spans="21:25" x14ac:dyDescent="0.2">
      <c r="U1813" s="213" t="str">
        <f t="shared" ref="U1813:U1876" si="32">U1812</f>
        <v>1w</v>
      </c>
      <c r="V1813" s="201">
        <f>_xll.qlCalendarAdvance(Calendar,V1812,U1813,"f",FALSE)</f>
        <v>51497</v>
      </c>
      <c r="W1813" s="225">
        <f>_xll.qlCalendarAdvance(Calendar,V1813,NDays&amp;"D")</f>
        <v>51501</v>
      </c>
      <c r="X1813" s="200">
        <v>2.3538971745112477E-2</v>
      </c>
      <c r="Y1813" s="209">
        <v>2.3479431727189137E-2</v>
      </c>
    </row>
    <row r="1814" spans="21:25" x14ac:dyDescent="0.2">
      <c r="U1814" s="213" t="str">
        <f t="shared" si="32"/>
        <v>1w</v>
      </c>
      <c r="V1814" s="201">
        <f>_xll.qlCalendarAdvance(Calendar,V1813,U1814,"f",FALSE)</f>
        <v>51504</v>
      </c>
      <c r="W1814" s="225">
        <f>_xll.qlCalendarAdvance(Calendar,V1814,NDays&amp;"D")</f>
        <v>51508</v>
      </c>
      <c r="X1814" s="200">
        <v>2.3534254855647623E-2</v>
      </c>
      <c r="Y1814" s="209">
        <v>2.3472748556612189E-2</v>
      </c>
    </row>
    <row r="1815" spans="21:25" x14ac:dyDescent="0.2">
      <c r="U1815" s="213" t="str">
        <f t="shared" si="32"/>
        <v>1w</v>
      </c>
      <c r="V1815" s="201">
        <f>_xll.qlCalendarAdvance(Calendar,V1814,U1815,"f",FALSE)</f>
        <v>51511</v>
      </c>
      <c r="W1815" s="225">
        <f>_xll.qlCalendarAdvance(Calendar,V1815,NDays&amp;"D")</f>
        <v>51515</v>
      </c>
      <c r="X1815" s="200">
        <v>2.3528493600988347E-2</v>
      </c>
      <c r="Y1815" s="209">
        <v>2.3466423055049646E-2</v>
      </c>
    </row>
    <row r="1816" spans="21:25" x14ac:dyDescent="0.2">
      <c r="U1816" s="213" t="str">
        <f t="shared" si="32"/>
        <v>1w</v>
      </c>
      <c r="V1816" s="201">
        <f>_xll.qlCalendarAdvance(Calendar,V1815,U1816,"f",FALSE)</f>
        <v>51518</v>
      </c>
      <c r="W1816" s="225">
        <f>_xll.qlCalendarAdvance(Calendar,V1816,NDays&amp;"D")</f>
        <v>51522</v>
      </c>
      <c r="X1816" s="200">
        <v>2.3522781794333005E-2</v>
      </c>
      <c r="Y1816" s="209">
        <v>2.3460146407368043E-2</v>
      </c>
    </row>
    <row r="1817" spans="21:25" x14ac:dyDescent="0.2">
      <c r="U1817" s="213" t="str">
        <f t="shared" si="32"/>
        <v>1w</v>
      </c>
      <c r="V1817" s="201">
        <f>_xll.qlCalendarAdvance(Calendar,V1816,U1817,"f",FALSE)</f>
        <v>51525</v>
      </c>
      <c r="W1817" s="225">
        <f>_xll.qlCalendarAdvance(Calendar,V1817,NDays&amp;"D")</f>
        <v>51529</v>
      </c>
      <c r="X1817" s="200">
        <v>2.3517119435259075E-2</v>
      </c>
      <c r="Y1817" s="209">
        <v>2.3453918613407509E-2</v>
      </c>
    </row>
    <row r="1818" spans="21:25" x14ac:dyDescent="0.2">
      <c r="U1818" s="213" t="str">
        <f t="shared" si="32"/>
        <v>1w</v>
      </c>
      <c r="V1818" s="201">
        <f>_xll.qlCalendarAdvance(Calendar,V1817,U1818,"f",FALSE)</f>
        <v>51532</v>
      </c>
      <c r="W1818" s="225">
        <f>_xll.qlCalendarAdvance(Calendar,V1818,NDays&amp;"D")</f>
        <v>51536</v>
      </c>
      <c r="X1818" s="200">
        <v>2.3511506523346676E-2</v>
      </c>
      <c r="Y1818" s="209">
        <v>2.3447739673168044E-2</v>
      </c>
    </row>
    <row r="1819" spans="21:25" x14ac:dyDescent="0.2">
      <c r="U1819" s="213" t="str">
        <f t="shared" si="32"/>
        <v>1w</v>
      </c>
      <c r="V1819" s="201">
        <f>_xll.qlCalendarAdvance(Calendar,V1818,U1819,"f",FALSE)</f>
        <v>51539</v>
      </c>
      <c r="W1819" s="225">
        <f>_xll.qlCalendarAdvance(Calendar,V1819,NDays&amp;"D")</f>
        <v>51543</v>
      </c>
      <c r="X1819" s="200">
        <v>2.3505943058179438E-2</v>
      </c>
      <c r="Y1819" s="209">
        <v>2.3441609586729584E-2</v>
      </c>
    </row>
    <row r="1820" spans="21:25" x14ac:dyDescent="0.2">
      <c r="U1820" s="213" t="str">
        <f t="shared" si="32"/>
        <v>1w</v>
      </c>
      <c r="V1820" s="201">
        <f>_xll.qlCalendarAdvance(Calendar,V1819,U1820,"f",FALSE)</f>
        <v>51546</v>
      </c>
      <c r="W1820" s="225">
        <f>_xll.qlCalendarAdvance(Calendar,V1820,NDays&amp;"D")</f>
        <v>51550</v>
      </c>
      <c r="X1820" s="200">
        <v>2.3500429039347136E-2</v>
      </c>
      <c r="Y1820" s="209">
        <v>2.3435528354172064E-2</v>
      </c>
    </row>
    <row r="1821" spans="21:25" x14ac:dyDescent="0.2">
      <c r="U1821" s="213" t="str">
        <f t="shared" si="32"/>
        <v>1w</v>
      </c>
      <c r="V1821" s="201">
        <f>_xll.qlCalendarAdvance(Calendar,V1820,U1821,"f",FALSE)</f>
        <v>51553</v>
      </c>
      <c r="W1821" s="225">
        <f>_xll.qlCalendarAdvance(Calendar,V1821,NDays&amp;"D")</f>
        <v>51557</v>
      </c>
      <c r="X1821" s="200">
        <v>2.3494964466439117E-2</v>
      </c>
      <c r="Y1821" s="209">
        <v>2.3429495975255676E-2</v>
      </c>
    </row>
    <row r="1822" spans="21:25" x14ac:dyDescent="0.2">
      <c r="U1822" s="213" t="str">
        <f t="shared" si="32"/>
        <v>1w</v>
      </c>
      <c r="V1822" s="201">
        <f>_xll.qlCalendarAdvance(Calendar,V1821,U1822,"f",FALSE)</f>
        <v>51560</v>
      </c>
      <c r="W1822" s="225">
        <f>_xll.qlCalendarAdvance(Calendar,V1822,NDays&amp;"D")</f>
        <v>51564</v>
      </c>
      <c r="X1822" s="200">
        <v>2.349033715654739E-2</v>
      </c>
      <c r="Y1822" s="209">
        <v>2.342351245022023E-2</v>
      </c>
    </row>
    <row r="1823" spans="21:25" x14ac:dyDescent="0.2">
      <c r="U1823" s="213" t="str">
        <f t="shared" si="32"/>
        <v>1w</v>
      </c>
      <c r="V1823" s="201">
        <f>_xll.qlCalendarAdvance(Calendar,V1822,U1823,"f",FALSE)</f>
        <v>51567</v>
      </c>
      <c r="W1823" s="225">
        <f>_xll.qlCalendarAdvance(Calendar,V1823,NDays&amp;"D")</f>
        <v>51571</v>
      </c>
      <c r="X1823" s="200">
        <v>2.3484977842639945E-2</v>
      </c>
      <c r="Y1823" s="209">
        <v>2.3417577778825915E-2</v>
      </c>
    </row>
    <row r="1824" spans="21:25" x14ac:dyDescent="0.2">
      <c r="U1824" s="213" t="str">
        <f t="shared" si="32"/>
        <v>1w</v>
      </c>
      <c r="V1824" s="201">
        <f>_xll.qlCalendarAdvance(Calendar,V1823,U1824,"f",FALSE)</f>
        <v>51574</v>
      </c>
      <c r="W1824" s="225">
        <f>_xll.qlCalendarAdvance(Calendar,V1824,NDays&amp;"D")</f>
        <v>51578</v>
      </c>
      <c r="X1824" s="200">
        <v>2.347966797996735E-2</v>
      </c>
      <c r="Y1824" s="209">
        <v>2.3411691961232606E-2</v>
      </c>
    </row>
    <row r="1825" spans="21:25" x14ac:dyDescent="0.2">
      <c r="U1825" s="213" t="str">
        <f t="shared" si="32"/>
        <v>1w</v>
      </c>
      <c r="V1825" s="201">
        <f>_xll.qlCalendarAdvance(Calendar,V1824,U1825,"f",FALSE)</f>
        <v>51581</v>
      </c>
      <c r="W1825" s="225">
        <f>_xll.qlCalendarAdvance(Calendar,V1825,NDays&amp;"D")</f>
        <v>51585</v>
      </c>
      <c r="X1825" s="200">
        <v>2.3474407568132089E-2</v>
      </c>
      <c r="Y1825" s="209">
        <v>2.3405854997360365E-2</v>
      </c>
    </row>
    <row r="1826" spans="21:25" x14ac:dyDescent="0.2">
      <c r="U1826" s="213" t="str">
        <f t="shared" si="32"/>
        <v>1w</v>
      </c>
      <c r="V1826" s="201">
        <f>_xll.qlCalendarAdvance(Calendar,V1825,U1826,"f",FALSE)</f>
        <v>51588</v>
      </c>
      <c r="W1826" s="225">
        <f>_xll.qlCalendarAdvance(Calendar,V1826,NDays&amp;"D")</f>
        <v>51592</v>
      </c>
      <c r="X1826" s="200">
        <v>2.3468789780111261E-2</v>
      </c>
      <c r="Y1826" s="209">
        <v>2.3400066887369064E-2</v>
      </c>
    </row>
    <row r="1827" spans="21:25" x14ac:dyDescent="0.2">
      <c r="U1827" s="213" t="str">
        <f t="shared" si="32"/>
        <v>1w</v>
      </c>
      <c r="V1827" s="201">
        <f>_xll.qlCalendarAdvance(Calendar,V1826,U1827,"f",FALSE)</f>
        <v>51595</v>
      </c>
      <c r="W1827" s="225">
        <f>_xll.qlCalendarAdvance(Calendar,V1827,NDays&amp;"D")</f>
        <v>51599</v>
      </c>
      <c r="X1827" s="200">
        <v>2.3463625071353109E-2</v>
      </c>
      <c r="Y1827" s="209">
        <v>2.3394327631018896E-2</v>
      </c>
    </row>
    <row r="1828" spans="21:25" x14ac:dyDescent="0.2">
      <c r="U1828" s="213" t="str">
        <f t="shared" si="32"/>
        <v>1w</v>
      </c>
      <c r="V1828" s="201">
        <f>_xll.qlCalendarAdvance(Calendar,V1827,U1828,"f",FALSE)</f>
        <v>51602</v>
      </c>
      <c r="W1828" s="225">
        <f>_xll.qlCalendarAdvance(Calendar,V1828,NDays&amp;"D")</f>
        <v>51606</v>
      </c>
      <c r="X1828" s="200">
        <v>2.3458509809011319E-2</v>
      </c>
      <c r="Y1828" s="209">
        <v>2.3388637228549669E-2</v>
      </c>
    </row>
    <row r="1829" spans="21:25" x14ac:dyDescent="0.2">
      <c r="U1829" s="213" t="str">
        <f t="shared" si="32"/>
        <v>1w</v>
      </c>
      <c r="V1829" s="201">
        <f>_xll.qlCalendarAdvance(Calendar,V1828,U1829,"f",FALSE)</f>
        <v>51609</v>
      </c>
      <c r="W1829" s="225">
        <f>_xll.qlCalendarAdvance(Calendar,V1829,NDays&amp;"D")</f>
        <v>51615</v>
      </c>
      <c r="X1829" s="200">
        <v>2.3452005698489896E-2</v>
      </c>
      <c r="Y1829" s="209">
        <v>2.3381392781827159E-2</v>
      </c>
    </row>
    <row r="1830" spans="21:25" x14ac:dyDescent="0.2">
      <c r="U1830" s="213" t="str">
        <f t="shared" si="32"/>
        <v>1w</v>
      </c>
      <c r="V1830" s="201">
        <f>_xll.qlCalendarAdvance(Calendar,V1829,U1830,"f",FALSE)</f>
        <v>51616</v>
      </c>
      <c r="W1830" s="225">
        <f>_xll.qlCalendarAdvance(Calendar,V1830,NDays&amp;"D")</f>
        <v>51620</v>
      </c>
      <c r="X1830" s="200">
        <v>2.3448427622057157E-2</v>
      </c>
      <c r="Y1830" s="209">
        <v>2.3377402984694484E-2</v>
      </c>
    </row>
    <row r="1831" spans="21:25" x14ac:dyDescent="0.2">
      <c r="U1831" s="213" t="str">
        <f t="shared" si="32"/>
        <v>1w</v>
      </c>
      <c r="V1831" s="201">
        <f>_xll.qlCalendarAdvance(Calendar,V1830,U1831,"f",FALSE)</f>
        <v>51623</v>
      </c>
      <c r="W1831" s="225">
        <f>_xll.qlCalendarAdvance(Calendar,V1831,NDays&amp;"D")</f>
        <v>51627</v>
      </c>
      <c r="X1831" s="200">
        <v>2.3443883542891217E-2</v>
      </c>
      <c r="Y1831" s="209">
        <v>2.3371859143468399E-2</v>
      </c>
    </row>
    <row r="1832" spans="21:25" x14ac:dyDescent="0.2">
      <c r="U1832" s="213" t="str">
        <f t="shared" si="32"/>
        <v>1w</v>
      </c>
      <c r="V1832" s="201">
        <f>_xll.qlCalendarAdvance(Calendar,V1831,U1832,"f",FALSE)</f>
        <v>51630</v>
      </c>
      <c r="W1832" s="225">
        <f>_xll.qlCalendarAdvance(Calendar,V1832,NDays&amp;"D")</f>
        <v>51634</v>
      </c>
      <c r="X1832" s="200">
        <v>2.3438969276089027E-2</v>
      </c>
      <c r="Y1832" s="209">
        <v>2.3366364155883446E-2</v>
      </c>
    </row>
    <row r="1833" spans="21:25" x14ac:dyDescent="0.2">
      <c r="U1833" s="213" t="str">
        <f t="shared" si="32"/>
        <v>1w</v>
      </c>
      <c r="V1833" s="201">
        <f>_xll.qlCalendarAdvance(Calendar,V1832,U1833,"f",FALSE)</f>
        <v>51637</v>
      </c>
      <c r="W1833" s="225">
        <f>_xll.qlCalendarAdvance(Calendar,V1833,NDays&amp;"D")</f>
        <v>51641</v>
      </c>
      <c r="X1833" s="200">
        <v>2.3434104457075312E-2</v>
      </c>
      <c r="Y1833" s="209">
        <v>2.3360918022099497E-2</v>
      </c>
    </row>
    <row r="1834" spans="21:25" x14ac:dyDescent="0.2">
      <c r="U1834" s="213" t="str">
        <f t="shared" si="32"/>
        <v>1w</v>
      </c>
      <c r="V1834" s="201">
        <f>_xll.qlCalendarAdvance(Calendar,V1833,U1834,"f",FALSE)</f>
        <v>51644</v>
      </c>
      <c r="W1834" s="225">
        <f>_xll.qlCalendarAdvance(Calendar,V1834,NDays&amp;"D")</f>
        <v>51648</v>
      </c>
      <c r="X1834" s="200">
        <v>2.3429289085485579E-2</v>
      </c>
      <c r="Y1834" s="209">
        <v>2.3355520742036617E-2</v>
      </c>
    </row>
    <row r="1835" spans="21:25" x14ac:dyDescent="0.2">
      <c r="U1835" s="213" t="str">
        <f t="shared" si="32"/>
        <v>1w</v>
      </c>
      <c r="V1835" s="201">
        <f>_xll.qlCalendarAdvance(Calendar,V1834,U1835,"f",FALSE)</f>
        <v>51651</v>
      </c>
      <c r="W1835" s="225">
        <f>_xll.qlCalendarAdvance(Calendar,V1835,NDays&amp;"D")</f>
        <v>51655</v>
      </c>
      <c r="X1835" s="200">
        <v>2.3424087440740565E-2</v>
      </c>
      <c r="Y1835" s="209">
        <v>2.3350172315694806E-2</v>
      </c>
    </row>
    <row r="1836" spans="21:25" x14ac:dyDescent="0.2">
      <c r="U1836" s="213" t="str">
        <f t="shared" si="32"/>
        <v>1w</v>
      </c>
      <c r="V1836" s="201">
        <f>_xll.qlCalendarAdvance(Calendar,V1835,U1836,"f",FALSE)</f>
        <v>51658</v>
      </c>
      <c r="W1836" s="225">
        <f>_xll.qlCalendarAdvance(Calendar,V1836,NDays&amp;"D")</f>
        <v>51662</v>
      </c>
      <c r="X1836" s="200">
        <v>2.3419367736323114E-2</v>
      </c>
      <c r="Y1836" s="209">
        <v>2.3344872743074063E-2</v>
      </c>
    </row>
    <row r="1837" spans="21:25" x14ac:dyDescent="0.2">
      <c r="U1837" s="213" t="str">
        <f t="shared" si="32"/>
        <v>1w</v>
      </c>
      <c r="V1837" s="201">
        <f>_xll.qlCalendarAdvance(Calendar,V1836,U1837,"f",FALSE)</f>
        <v>51665</v>
      </c>
      <c r="W1837" s="225">
        <f>_xll.qlCalendarAdvance(Calendar,V1837,NDays&amp;"D")</f>
        <v>51669</v>
      </c>
      <c r="X1837" s="200">
        <v>2.3414697475024986E-2</v>
      </c>
      <c r="Y1837" s="209">
        <v>2.3339622024254325E-2</v>
      </c>
    </row>
    <row r="1838" spans="21:25" x14ac:dyDescent="0.2">
      <c r="U1838" s="213" t="str">
        <f t="shared" si="32"/>
        <v>1w</v>
      </c>
      <c r="V1838" s="201">
        <f>_xll.qlCalendarAdvance(Calendar,V1837,U1838,"f",FALSE)</f>
        <v>51672</v>
      </c>
      <c r="W1838" s="225">
        <f>_xll.qlCalendarAdvance(Calendar,V1838,NDays&amp;"D")</f>
        <v>51676</v>
      </c>
      <c r="X1838" s="200">
        <v>2.3410076656498045E-2</v>
      </c>
      <c r="Y1838" s="209">
        <v>2.3334420159075719E-2</v>
      </c>
    </row>
    <row r="1839" spans="21:25" x14ac:dyDescent="0.2">
      <c r="U1839" s="213" t="str">
        <f t="shared" si="32"/>
        <v>1w</v>
      </c>
      <c r="V1839" s="201">
        <f>_xll.qlCalendarAdvance(Calendar,V1838,U1839,"f",FALSE)</f>
        <v>51679</v>
      </c>
      <c r="W1839" s="225">
        <f>_xll.qlCalendarAdvance(Calendar,V1839,NDays&amp;"D")</f>
        <v>51683</v>
      </c>
      <c r="X1839" s="200">
        <v>2.3406402901475526E-2</v>
      </c>
      <c r="Y1839" s="209">
        <v>2.3329267147618182E-2</v>
      </c>
    </row>
    <row r="1840" spans="21:25" x14ac:dyDescent="0.2">
      <c r="U1840" s="213" t="str">
        <f t="shared" si="32"/>
        <v>1w</v>
      </c>
      <c r="V1840" s="201">
        <f>_xll.qlCalendarAdvance(Calendar,V1839,U1840,"f",FALSE)</f>
        <v>51686</v>
      </c>
      <c r="W1840" s="225">
        <f>_xll.qlCalendarAdvance(Calendar,V1840,NDays&amp;"D")</f>
        <v>51690</v>
      </c>
      <c r="X1840" s="200">
        <v>2.3401435231906308E-2</v>
      </c>
      <c r="Y1840" s="209">
        <v>2.332416298996165E-2</v>
      </c>
    </row>
    <row r="1841" spans="21:25" x14ac:dyDescent="0.2">
      <c r="U1841" s="213" t="str">
        <f t="shared" si="32"/>
        <v>1w</v>
      </c>
      <c r="V1841" s="201">
        <f>_xll.qlCalendarAdvance(Calendar,V1840,U1841,"f",FALSE)</f>
        <v>51693</v>
      </c>
      <c r="W1841" s="225">
        <f>_xll.qlCalendarAdvance(Calendar,V1841,NDays&amp;"D")</f>
        <v>51697</v>
      </c>
      <c r="X1841" s="200">
        <v>2.3396965982390622E-2</v>
      </c>
      <c r="Y1841" s="209">
        <v>2.331910768594625E-2</v>
      </c>
    </row>
    <row r="1842" spans="21:25" x14ac:dyDescent="0.2">
      <c r="U1842" s="213" t="str">
        <f t="shared" si="32"/>
        <v>1w</v>
      </c>
      <c r="V1842" s="201">
        <f>_xll.qlCalendarAdvance(Calendar,V1841,U1842,"f",FALSE)</f>
        <v>51700</v>
      </c>
      <c r="W1842" s="225">
        <f>_xll.qlCalendarAdvance(Calendar,V1842,NDays&amp;"D")</f>
        <v>51704</v>
      </c>
      <c r="X1842" s="200">
        <v>2.3392546177517227E-2</v>
      </c>
      <c r="Y1842" s="209">
        <v>2.3314101235891727E-2</v>
      </c>
    </row>
    <row r="1843" spans="21:25" x14ac:dyDescent="0.2">
      <c r="U1843" s="213" t="str">
        <f t="shared" si="32"/>
        <v>1w</v>
      </c>
      <c r="V1843" s="201">
        <f>_xll.qlCalendarAdvance(Calendar,V1842,U1843,"f",FALSE)</f>
        <v>51707</v>
      </c>
      <c r="W1843" s="225">
        <f>_xll.qlCalendarAdvance(Calendar,V1843,NDays&amp;"D")</f>
        <v>51711</v>
      </c>
      <c r="X1843" s="200">
        <v>2.338817581695465E-2</v>
      </c>
      <c r="Y1843" s="209">
        <v>2.3309143639318464E-2</v>
      </c>
    </row>
    <row r="1844" spans="21:25" x14ac:dyDescent="0.2">
      <c r="U1844" s="213" t="str">
        <f t="shared" si="32"/>
        <v>1w</v>
      </c>
      <c r="V1844" s="201">
        <f>_xll.qlCalendarAdvance(Calendar,V1843,U1844,"f",FALSE)</f>
        <v>51714</v>
      </c>
      <c r="W1844" s="225">
        <f>_xll.qlCalendarAdvance(Calendar,V1844,NDays&amp;"D")</f>
        <v>51718</v>
      </c>
      <c r="X1844" s="200">
        <v>2.3383854900374899E-2</v>
      </c>
      <c r="Y1844" s="209">
        <v>2.3304234896546205E-2</v>
      </c>
    </row>
    <row r="1845" spans="21:25" x14ac:dyDescent="0.2">
      <c r="U1845" s="213" t="str">
        <f t="shared" si="32"/>
        <v>1w</v>
      </c>
      <c r="V1845" s="201">
        <f>_xll.qlCalendarAdvance(Calendar,V1844,U1845,"f",FALSE)</f>
        <v>51721</v>
      </c>
      <c r="W1845" s="225">
        <f>_xll.qlCalendarAdvance(Calendar,V1845,NDays&amp;"D")</f>
        <v>51725</v>
      </c>
      <c r="X1845" s="200">
        <v>2.3379583427455615E-2</v>
      </c>
      <c r="Y1845" s="209">
        <v>2.3299375007495016E-2</v>
      </c>
    </row>
    <row r="1846" spans="21:25" x14ac:dyDescent="0.2">
      <c r="U1846" s="213" t="str">
        <f t="shared" si="32"/>
        <v>1w</v>
      </c>
      <c r="V1846" s="201">
        <f>_xll.qlCalendarAdvance(Calendar,V1845,U1846,"f",FALSE)</f>
        <v>51728</v>
      </c>
      <c r="W1846" s="225">
        <f>_xll.qlCalendarAdvance(Calendar,V1846,NDays&amp;"D")</f>
        <v>51732</v>
      </c>
      <c r="X1846" s="200">
        <v>2.3375361397874887E-2</v>
      </c>
      <c r="Y1846" s="209">
        <v>2.3294563972084958E-2</v>
      </c>
    </row>
    <row r="1847" spans="21:25" x14ac:dyDescent="0.2">
      <c r="U1847" s="213" t="str">
        <f t="shared" si="32"/>
        <v>1w</v>
      </c>
      <c r="V1847" s="201">
        <f>_xll.qlCalendarAdvance(Calendar,V1846,U1847,"f",FALSE)</f>
        <v>51735</v>
      </c>
      <c r="W1847" s="225">
        <f>_xll.qlCalendarAdvance(Calendar,V1847,NDays&amp;"D")</f>
        <v>51739</v>
      </c>
      <c r="X1847" s="200">
        <v>2.3371188811318177E-2</v>
      </c>
      <c r="Y1847" s="209">
        <v>2.328980179039597E-2</v>
      </c>
    </row>
    <row r="1848" spans="21:25" x14ac:dyDescent="0.2">
      <c r="U1848" s="213" t="str">
        <f t="shared" si="32"/>
        <v>1w</v>
      </c>
      <c r="V1848" s="201">
        <f>_xll.qlCalendarAdvance(Calendar,V1847,U1848,"f",FALSE)</f>
        <v>51742</v>
      </c>
      <c r="W1848" s="225">
        <f>_xll.qlCalendarAdvance(Calendar,V1848,NDays&amp;"D")</f>
        <v>51746</v>
      </c>
      <c r="X1848" s="200">
        <v>2.3366110165030922E-2</v>
      </c>
      <c r="Y1848" s="209">
        <v>2.3285088462507986E-2</v>
      </c>
    </row>
    <row r="1849" spans="21:25" x14ac:dyDescent="0.2">
      <c r="U1849" s="213" t="str">
        <f t="shared" si="32"/>
        <v>1w</v>
      </c>
      <c r="V1849" s="201">
        <f>_xll.qlCalendarAdvance(Calendar,V1848,U1849,"f",FALSE)</f>
        <v>51749</v>
      </c>
      <c r="W1849" s="225">
        <f>_xll.qlCalendarAdvance(Calendar,V1849,NDays&amp;"D")</f>
        <v>51753</v>
      </c>
      <c r="X1849" s="200">
        <v>2.336202992701621E-2</v>
      </c>
      <c r="Y1849" s="209">
        <v>2.3280423988261134E-2</v>
      </c>
    </row>
    <row r="1850" spans="21:25" x14ac:dyDescent="0.2">
      <c r="U1850" s="213" t="str">
        <f t="shared" si="32"/>
        <v>1w</v>
      </c>
      <c r="V1850" s="201">
        <f>_xll.qlCalendarAdvance(Calendar,V1849,U1850,"f",FALSE)</f>
        <v>51756</v>
      </c>
      <c r="W1850" s="225">
        <f>_xll.qlCalendarAdvance(Calendar,V1850,NDays&amp;"D")</f>
        <v>51760</v>
      </c>
      <c r="X1850" s="200">
        <v>2.3357999124671999E-2</v>
      </c>
      <c r="Y1850" s="209">
        <v>2.3275808367735351E-2</v>
      </c>
    </row>
    <row r="1851" spans="21:25" x14ac:dyDescent="0.2">
      <c r="U1851" s="213" t="str">
        <f t="shared" si="32"/>
        <v>1w</v>
      </c>
      <c r="V1851" s="201">
        <f>_xll.qlCalendarAdvance(Calendar,V1850,U1851,"f",FALSE)</f>
        <v>51763</v>
      </c>
      <c r="W1851" s="225">
        <f>_xll.qlCalendarAdvance(Calendar,V1851,NDays&amp;"D")</f>
        <v>51767</v>
      </c>
      <c r="X1851" s="200">
        <v>2.3354017757699193E-2</v>
      </c>
      <c r="Y1851" s="209">
        <v>2.3271241601010573E-2</v>
      </c>
    </row>
    <row r="1852" spans="21:25" x14ac:dyDescent="0.2">
      <c r="U1852" s="213" t="str">
        <f t="shared" si="32"/>
        <v>1w</v>
      </c>
      <c r="V1852" s="201">
        <f>_xll.qlCalendarAdvance(Calendar,V1851,U1852,"f",FALSE)</f>
        <v>51770</v>
      </c>
      <c r="W1852" s="225">
        <f>_xll.qlCalendarAdvance(Calendar,V1852,NDays&amp;"D")</f>
        <v>51774</v>
      </c>
      <c r="X1852" s="200">
        <v>2.3350085825801756E-2</v>
      </c>
      <c r="Y1852" s="209">
        <v>2.3266723687846991E-2</v>
      </c>
    </row>
    <row r="1853" spans="21:25" x14ac:dyDescent="0.2">
      <c r="U1853" s="213" t="str">
        <f t="shared" si="32"/>
        <v>1w</v>
      </c>
      <c r="V1853" s="201">
        <f>_xll.qlCalendarAdvance(Calendar,V1852,U1853,"f",FALSE)</f>
        <v>51777</v>
      </c>
      <c r="W1853" s="225">
        <f>_xll.qlCalendarAdvance(Calendar,V1853,NDays&amp;"D")</f>
        <v>51781</v>
      </c>
      <c r="X1853" s="200">
        <v>2.3346697285849288E-2</v>
      </c>
      <c r="Y1853" s="209">
        <v>2.3262254628484413E-2</v>
      </c>
    </row>
    <row r="1854" spans="21:25" x14ac:dyDescent="0.2">
      <c r="U1854" s="213" t="str">
        <f t="shared" si="32"/>
        <v>1w</v>
      </c>
      <c r="V1854" s="201">
        <f>_xll.qlCalendarAdvance(Calendar,V1853,U1854,"f",FALSE)</f>
        <v>51784</v>
      </c>
      <c r="W1854" s="225">
        <f>_xll.qlCalendarAdvance(Calendar,V1854,NDays&amp;"D")</f>
        <v>51788</v>
      </c>
      <c r="X1854" s="200">
        <v>2.3342370266076572E-2</v>
      </c>
      <c r="Y1854" s="209">
        <v>2.3257834422842905E-2</v>
      </c>
    </row>
    <row r="1855" spans="21:25" x14ac:dyDescent="0.2">
      <c r="U1855" s="213" t="str">
        <f t="shared" si="32"/>
        <v>1w</v>
      </c>
      <c r="V1855" s="201">
        <f>_xll.qlCalendarAdvance(Calendar,V1854,U1855,"f",FALSE)</f>
        <v>51791</v>
      </c>
      <c r="W1855" s="225">
        <f>_xll.qlCalendarAdvance(Calendar,V1855,NDays&amp;"D")</f>
        <v>51795</v>
      </c>
      <c r="X1855" s="200">
        <v>2.3338586637676094E-2</v>
      </c>
      <c r="Y1855" s="209">
        <v>2.3253463070682656E-2</v>
      </c>
    </row>
    <row r="1856" spans="21:25" x14ac:dyDescent="0.2">
      <c r="U1856" s="213" t="str">
        <f t="shared" si="32"/>
        <v>1w</v>
      </c>
      <c r="V1856" s="201">
        <f>_xll.qlCalendarAdvance(Calendar,V1855,U1856,"f",FALSE)</f>
        <v>51798</v>
      </c>
      <c r="W1856" s="225">
        <f>_xll.qlCalendarAdvance(Calendar,V1856,NDays&amp;"D")</f>
        <v>51802</v>
      </c>
      <c r="X1856" s="200">
        <v>2.3334852443209046E-2</v>
      </c>
      <c r="Y1856" s="209">
        <v>2.3249140572403348E-2</v>
      </c>
    </row>
    <row r="1857" spans="21:25" x14ac:dyDescent="0.2">
      <c r="U1857" s="213" t="str">
        <f t="shared" si="32"/>
        <v>1w</v>
      </c>
      <c r="V1857" s="201">
        <f>_xll.qlCalendarAdvance(Calendar,V1856,U1857,"f",FALSE)</f>
        <v>51805</v>
      </c>
      <c r="W1857" s="225">
        <f>_xll.qlCalendarAdvance(Calendar,V1857,NDays&amp;"D")</f>
        <v>51809</v>
      </c>
      <c r="X1857" s="200">
        <v>2.3331167682398287E-2</v>
      </c>
      <c r="Y1857" s="209">
        <v>2.3244866927765173E-2</v>
      </c>
    </row>
    <row r="1858" spans="21:25" x14ac:dyDescent="0.2">
      <c r="U1858" s="213" t="str">
        <f t="shared" si="32"/>
        <v>1w</v>
      </c>
      <c r="V1858" s="201">
        <f>_xll.qlCalendarAdvance(Calendar,V1857,U1858,"f",FALSE)</f>
        <v>51812</v>
      </c>
      <c r="W1858" s="225">
        <f>_xll.qlCalendarAdvance(Calendar,V1858,NDays&amp;"D")</f>
        <v>51816</v>
      </c>
      <c r="X1858" s="200">
        <v>2.3327532354970627E-2</v>
      </c>
      <c r="Y1858" s="209">
        <v>2.3240642136848066E-2</v>
      </c>
    </row>
    <row r="1859" spans="21:25" x14ac:dyDescent="0.2">
      <c r="U1859" s="213" t="str">
        <f t="shared" si="32"/>
        <v>1w</v>
      </c>
      <c r="V1859" s="201">
        <f>_xll.qlCalendarAdvance(Calendar,V1858,U1859,"f",FALSE)</f>
        <v>51819</v>
      </c>
      <c r="W1859" s="225">
        <f>_xll.qlCalendarAdvance(Calendar,V1859,NDays&amp;"D")</f>
        <v>51823</v>
      </c>
      <c r="X1859" s="200">
        <v>2.3323946460657274E-2</v>
      </c>
      <c r="Y1859" s="209">
        <v>2.3236466199731964E-2</v>
      </c>
    </row>
    <row r="1860" spans="21:25" x14ac:dyDescent="0.2">
      <c r="U1860" s="213" t="str">
        <f t="shared" si="32"/>
        <v>1w</v>
      </c>
      <c r="V1860" s="201">
        <f>_xll.qlCalendarAdvance(Calendar,V1859,U1860,"f",FALSE)</f>
        <v>51826</v>
      </c>
      <c r="W1860" s="225">
        <f>_xll.qlCalendarAdvance(Calendar,V1860,NDays&amp;"D")</f>
        <v>51830</v>
      </c>
      <c r="X1860" s="200">
        <v>2.3320409999192944E-2</v>
      </c>
      <c r="Y1860" s="209">
        <v>2.3232339116177059E-2</v>
      </c>
    </row>
    <row r="1861" spans="21:25" x14ac:dyDescent="0.2">
      <c r="U1861" s="213" t="str">
        <f t="shared" si="32"/>
        <v>1w</v>
      </c>
      <c r="V1861" s="201">
        <f>_xll.qlCalendarAdvance(Calendar,V1860,U1861,"f",FALSE)</f>
        <v>51833</v>
      </c>
      <c r="W1861" s="225">
        <f>_xll.qlCalendarAdvance(Calendar,V1861,NDays&amp;"D")</f>
        <v>51837</v>
      </c>
      <c r="X1861" s="200">
        <v>2.3316922970313674E-2</v>
      </c>
      <c r="Y1861" s="209">
        <v>2.3228260886263286E-2</v>
      </c>
    </row>
    <row r="1862" spans="21:25" x14ac:dyDescent="0.2">
      <c r="U1862" s="213" t="str">
        <f t="shared" si="32"/>
        <v>1w</v>
      </c>
      <c r="V1862" s="201">
        <f>_xll.qlCalendarAdvance(Calendar,V1861,U1862,"f",FALSE)</f>
        <v>51840</v>
      </c>
      <c r="W1862" s="225">
        <f>_xll.qlCalendarAdvance(Calendar,V1862,NDays&amp;"D")</f>
        <v>51844</v>
      </c>
      <c r="X1862" s="200">
        <v>2.3313485373763838E-2</v>
      </c>
      <c r="Y1862" s="209">
        <v>2.3224231510150517E-2</v>
      </c>
    </row>
    <row r="1863" spans="21:25" x14ac:dyDescent="0.2">
      <c r="U1863" s="213" t="str">
        <f t="shared" si="32"/>
        <v>1w</v>
      </c>
      <c r="V1863" s="201">
        <f>_xll.qlCalendarAdvance(Calendar,V1862,U1863,"f",FALSE)</f>
        <v>51847</v>
      </c>
      <c r="W1863" s="225">
        <f>_xll.qlCalendarAdvance(Calendar,V1863,NDays&amp;"D")</f>
        <v>51851</v>
      </c>
      <c r="X1863" s="200">
        <v>2.3310097209286507E-2</v>
      </c>
      <c r="Y1863" s="209">
        <v>2.3220250987678881E-2</v>
      </c>
    </row>
    <row r="1864" spans="21:25" x14ac:dyDescent="0.2">
      <c r="U1864" s="213" t="str">
        <f t="shared" si="32"/>
        <v>1w</v>
      </c>
      <c r="V1864" s="201">
        <f>_xll.qlCalendarAdvance(Calendar,V1863,U1864,"f",FALSE)</f>
        <v>51854</v>
      </c>
      <c r="W1864" s="225">
        <f>_xll.qlCalendarAdvance(Calendar,V1864,NDays&amp;"D")</f>
        <v>51858</v>
      </c>
      <c r="X1864" s="200">
        <v>2.3306758476631766E-2</v>
      </c>
      <c r="Y1864" s="209">
        <v>2.3216319318768441E-2</v>
      </c>
    </row>
    <row r="1865" spans="21:25" x14ac:dyDescent="0.2">
      <c r="U1865" s="213" t="str">
        <f t="shared" si="32"/>
        <v>1w</v>
      </c>
      <c r="V1865" s="201">
        <f>_xll.qlCalendarAdvance(Calendar,V1864,U1865,"f",FALSE)</f>
        <v>51862</v>
      </c>
      <c r="W1865" s="225">
        <f>_xll.qlCalendarAdvance(Calendar,V1865,NDays&amp;"D")</f>
        <v>51866</v>
      </c>
      <c r="X1865" s="200">
        <v>2.3302469598779237E-2</v>
      </c>
      <c r="Y1865" s="209">
        <v>2.3212359256490345E-2</v>
      </c>
    </row>
    <row r="1866" spans="21:25" x14ac:dyDescent="0.2">
      <c r="U1866" s="213" t="str">
        <f t="shared" si="32"/>
        <v>1w</v>
      </c>
      <c r="V1866" s="201">
        <f>_xll.qlCalendarAdvance(Calendar,V1865,U1866,"f",FALSE)</f>
        <v>51869</v>
      </c>
      <c r="W1866" s="225">
        <f>_xll.qlCalendarAdvance(Calendar,V1866,NDays&amp;"D")</f>
        <v>51873</v>
      </c>
      <c r="X1866" s="200">
        <v>2.3299233468101772E-2</v>
      </c>
      <c r="Y1866" s="209">
        <v>2.3208058821522215E-2</v>
      </c>
    </row>
    <row r="1867" spans="21:25" x14ac:dyDescent="0.2">
      <c r="U1867" s="213" t="str">
        <f t="shared" si="32"/>
        <v>1w</v>
      </c>
      <c r="V1867" s="201">
        <f>_xll.qlCalendarAdvance(Calendar,V1866,U1867,"f",FALSE)</f>
        <v>51876</v>
      </c>
      <c r="W1867" s="225">
        <f>_xll.qlCalendarAdvance(Calendar,V1867,NDays&amp;"D")</f>
        <v>51880</v>
      </c>
      <c r="X1867" s="200">
        <v>2.3296046765288982E-2</v>
      </c>
      <c r="Y1867" s="209">
        <v>2.3204280692912249E-2</v>
      </c>
    </row>
    <row r="1868" spans="21:25" x14ac:dyDescent="0.2">
      <c r="U1868" s="213" t="str">
        <f t="shared" si="32"/>
        <v>1w</v>
      </c>
      <c r="V1868" s="201">
        <f>_xll.qlCalendarAdvance(Calendar,V1867,U1868,"f",FALSE)</f>
        <v>51883</v>
      </c>
      <c r="W1868" s="225">
        <f>_xll.qlCalendarAdvance(Calendar,V1868,NDays&amp;"D")</f>
        <v>51887</v>
      </c>
      <c r="X1868" s="200">
        <v>2.3292909490106799E-2</v>
      </c>
      <c r="Y1868" s="209">
        <v>2.320055141786348E-2</v>
      </c>
    </row>
    <row r="1869" spans="21:25" x14ac:dyDescent="0.2">
      <c r="U1869" s="213" t="str">
        <f t="shared" si="32"/>
        <v>1w</v>
      </c>
      <c r="V1869" s="201">
        <f>_xll.qlCalendarAdvance(Calendar,V1868,U1869,"f",FALSE)</f>
        <v>51890</v>
      </c>
      <c r="W1869" s="225">
        <f>_xll.qlCalendarAdvance(Calendar,V1869,NDays&amp;"D")</f>
        <v>51894</v>
      </c>
      <c r="X1869" s="200">
        <v>2.3289821642322923E-2</v>
      </c>
      <c r="Y1869" s="209">
        <v>2.3196870996615715E-2</v>
      </c>
    </row>
    <row r="1870" spans="21:25" x14ac:dyDescent="0.2">
      <c r="U1870" s="213" t="str">
        <f t="shared" si="32"/>
        <v>1w</v>
      </c>
      <c r="V1870" s="201">
        <f>_xll.qlCalendarAdvance(Calendar,V1869,U1870,"f",FALSE)</f>
        <v>51897</v>
      </c>
      <c r="W1870" s="225">
        <f>_xll.qlCalendarAdvance(Calendar,V1870,NDays&amp;"D")</f>
        <v>51901</v>
      </c>
      <c r="X1870" s="200">
        <v>2.3286783221711238E-2</v>
      </c>
      <c r="Y1870" s="209">
        <v>2.3193239428929147E-2</v>
      </c>
    </row>
    <row r="1871" spans="21:25" x14ac:dyDescent="0.2">
      <c r="U1871" s="213" t="str">
        <f t="shared" si="32"/>
        <v>1w</v>
      </c>
      <c r="V1871" s="201">
        <f>_xll.qlCalendarAdvance(Calendar,V1870,U1871,"f",FALSE)</f>
        <v>51904</v>
      </c>
      <c r="W1871" s="225">
        <f>_xll.qlCalendarAdvance(Calendar,V1871,NDays&amp;"D")</f>
        <v>51908</v>
      </c>
      <c r="X1871" s="200">
        <v>2.3283794228046505E-2</v>
      </c>
      <c r="Y1871" s="209">
        <v>2.3189656714963647E-2</v>
      </c>
    </row>
    <row r="1872" spans="21:25" x14ac:dyDescent="0.2">
      <c r="U1872" s="213" t="str">
        <f t="shared" si="32"/>
        <v>1w</v>
      </c>
      <c r="V1872" s="201">
        <f>_xll.qlCalendarAdvance(Calendar,V1871,U1872,"f",FALSE)</f>
        <v>51911</v>
      </c>
      <c r="W1872" s="225">
        <f>_xll.qlCalendarAdvance(Calendar,V1872,NDays&amp;"D")</f>
        <v>51915</v>
      </c>
      <c r="X1872" s="200">
        <v>2.3280854661109678E-2</v>
      </c>
      <c r="Y1872" s="209">
        <v>2.3186122854719216E-2</v>
      </c>
    </row>
    <row r="1873" spans="21:25" x14ac:dyDescent="0.2">
      <c r="U1873" s="213" t="str">
        <f t="shared" si="32"/>
        <v>1w</v>
      </c>
      <c r="V1873" s="201">
        <f>_xll.qlCalendarAdvance(Calendar,V1872,U1873,"f",FALSE)</f>
        <v>51918</v>
      </c>
      <c r="W1873" s="225">
        <f>_xll.qlCalendarAdvance(Calendar,V1873,NDays&amp;"D")</f>
        <v>51922</v>
      </c>
      <c r="X1873" s="200">
        <v>2.327796452068303E-2</v>
      </c>
      <c r="Y1873" s="209">
        <v>2.3182637848035981E-2</v>
      </c>
    </row>
    <row r="1874" spans="21:25" x14ac:dyDescent="0.2">
      <c r="U1874" s="213" t="str">
        <f t="shared" si="32"/>
        <v>1w</v>
      </c>
      <c r="V1874" s="201">
        <f>_xll.qlCalendarAdvance(Calendar,V1873,U1874,"f",FALSE)</f>
        <v>51925</v>
      </c>
      <c r="W1874" s="225">
        <f>_xll.qlCalendarAdvance(Calendar,V1874,NDays&amp;"D")</f>
        <v>51929</v>
      </c>
      <c r="X1874" s="200">
        <v>2.3276816028468032E-2</v>
      </c>
      <c r="Y1874" s="209">
        <v>2.3179201694993878E-2</v>
      </c>
    </row>
    <row r="1875" spans="21:25" x14ac:dyDescent="0.2">
      <c r="U1875" s="213" t="str">
        <f t="shared" si="32"/>
        <v>1w</v>
      </c>
      <c r="V1875" s="201">
        <f>_xll.qlCalendarAdvance(Calendar,V1874,U1875,"f",FALSE)</f>
        <v>51932</v>
      </c>
      <c r="W1875" s="225">
        <f>_xll.qlCalendarAdvance(Calendar,V1875,NDays&amp;"D")</f>
        <v>51936</v>
      </c>
      <c r="X1875" s="200">
        <v>2.3274034795424163E-2</v>
      </c>
      <c r="Y1875" s="209">
        <v>2.3175814395752781E-2</v>
      </c>
    </row>
    <row r="1876" spans="21:25" x14ac:dyDescent="0.2">
      <c r="U1876" s="213" t="str">
        <f t="shared" si="32"/>
        <v>1w</v>
      </c>
      <c r="V1876" s="201">
        <f>_xll.qlCalendarAdvance(Calendar,V1875,U1876,"f",FALSE)</f>
        <v>51939</v>
      </c>
      <c r="W1876" s="225">
        <f>_xll.qlCalendarAdvance(Calendar,V1876,NDays&amp;"D")</f>
        <v>51943</v>
      </c>
      <c r="X1876" s="200">
        <v>2.3271302997813433E-2</v>
      </c>
      <c r="Y1876" s="209">
        <v>2.3172475950152815E-2</v>
      </c>
    </row>
    <row r="1877" spans="21:25" x14ac:dyDescent="0.2">
      <c r="U1877" s="213" t="str">
        <f t="shared" ref="U1877:U1940" si="33">U1876</f>
        <v>1w</v>
      </c>
      <c r="V1877" s="201">
        <f>_xll.qlCalendarAdvance(Calendar,V1876,U1877,"f",FALSE)</f>
        <v>51946</v>
      </c>
      <c r="W1877" s="225">
        <f>_xll.qlCalendarAdvance(Calendar,V1877,NDays&amp;"D")</f>
        <v>51950</v>
      </c>
      <c r="X1877" s="200">
        <v>2.3268620635430788E-2</v>
      </c>
      <c r="Y1877" s="209">
        <v>2.3169186358193983E-2</v>
      </c>
    </row>
    <row r="1878" spans="21:25" x14ac:dyDescent="0.2">
      <c r="U1878" s="213" t="str">
        <f t="shared" si="33"/>
        <v>1w</v>
      </c>
      <c r="V1878" s="201">
        <f>_xll.qlCalendarAdvance(Calendar,V1877,U1878,"f",FALSE)</f>
        <v>51953</v>
      </c>
      <c r="W1878" s="225">
        <f>_xll.qlCalendarAdvance(Calendar,V1878,NDays&amp;"D")</f>
        <v>51957</v>
      </c>
      <c r="X1878" s="200">
        <v>2.3265409861994508E-2</v>
      </c>
      <c r="Y1878" s="209">
        <v>2.3165945619796346E-2</v>
      </c>
    </row>
    <row r="1879" spans="21:25" x14ac:dyDescent="0.2">
      <c r="U1879" s="213" t="str">
        <f t="shared" si="33"/>
        <v>1w</v>
      </c>
      <c r="V1879" s="201">
        <f>_xll.qlCalendarAdvance(Calendar,V1878,U1879,"f",FALSE)</f>
        <v>51964</v>
      </c>
      <c r="W1879" s="225">
        <f>_xll.qlCalendarAdvance(Calendar,V1879,NDays&amp;"D")</f>
        <v>51966</v>
      </c>
      <c r="X1879" s="200">
        <v>2.3262092981784454E-2</v>
      </c>
      <c r="Y1879" s="209">
        <v>2.3161850741280077E-2</v>
      </c>
    </row>
    <row r="1880" spans="21:25" x14ac:dyDescent="0.2">
      <c r="U1880" s="213" t="str">
        <f t="shared" si="33"/>
        <v>1w</v>
      </c>
      <c r="V1880" s="201">
        <f>_xll.qlCalendarAdvance(Calendar,V1879,U1880,"f",FALSE)</f>
        <v>51971</v>
      </c>
      <c r="W1880" s="225">
        <f>_xll.qlCalendarAdvance(Calendar,V1880,NDays&amp;"D")</f>
        <v>51973</v>
      </c>
      <c r="X1880" s="200">
        <v>2.3259569679117752E-2</v>
      </c>
      <c r="Y1880" s="209">
        <v>2.3158721668439242E-2</v>
      </c>
    </row>
    <row r="1881" spans="21:25" x14ac:dyDescent="0.2">
      <c r="U1881" s="213" t="str">
        <f t="shared" si="33"/>
        <v>1w</v>
      </c>
      <c r="V1881" s="201">
        <f>_xll.qlCalendarAdvance(Calendar,V1880,U1881,"f",FALSE)</f>
        <v>51978</v>
      </c>
      <c r="W1881" s="225">
        <f>_xll.qlCalendarAdvance(Calendar,V1881,NDays&amp;"D")</f>
        <v>51980</v>
      </c>
      <c r="X1881" s="200">
        <v>2.3257095807664704E-2</v>
      </c>
      <c r="Y1881" s="209">
        <v>2.3155641449239539E-2</v>
      </c>
    </row>
    <row r="1882" spans="21:25" x14ac:dyDescent="0.2">
      <c r="U1882" s="213" t="str">
        <f t="shared" si="33"/>
        <v>1w</v>
      </c>
      <c r="V1882" s="201">
        <f>_xll.qlCalendarAdvance(Calendar,V1881,U1882,"f",FALSE)</f>
        <v>51985</v>
      </c>
      <c r="W1882" s="225">
        <f>_xll.qlCalendarAdvance(Calendar,V1882,NDays&amp;"D")</f>
        <v>51988</v>
      </c>
      <c r="X1882" s="200">
        <v>2.3255514945494122E-2</v>
      </c>
      <c r="Y1882" s="209">
        <v>2.3153242215920855E-2</v>
      </c>
    </row>
    <row r="1883" spans="21:25" x14ac:dyDescent="0.2">
      <c r="U1883" s="213" t="str">
        <f t="shared" si="33"/>
        <v>1w</v>
      </c>
      <c r="V1883" s="201">
        <f>_xll.qlCalendarAdvance(Calendar,V1882,U1883,"f",FALSE)</f>
        <v>51992</v>
      </c>
      <c r="W1883" s="225">
        <f>_xll.qlCalendarAdvance(Calendar,V1883,NDays&amp;"D")</f>
        <v>51994</v>
      </c>
      <c r="X1883" s="200">
        <v>2.3254084407109264E-2</v>
      </c>
      <c r="Y1883" s="209">
        <v>2.314962757200334E-2</v>
      </c>
    </row>
    <row r="1884" spans="21:25" x14ac:dyDescent="0.2">
      <c r="U1884" s="213" t="str">
        <f t="shared" si="33"/>
        <v>1w</v>
      </c>
      <c r="V1884" s="201">
        <f>_xll.qlCalendarAdvance(Calendar,V1883,U1884,"f",FALSE)</f>
        <v>51999</v>
      </c>
      <c r="W1884" s="225">
        <f>_xll.qlCalendarAdvance(Calendar,V1884,NDays&amp;"D")</f>
        <v>52001</v>
      </c>
      <c r="X1884" s="200">
        <v>2.3251768974464078E-2</v>
      </c>
      <c r="Y1884" s="209">
        <v>2.3146693913886907E-2</v>
      </c>
    </row>
    <row r="1885" spans="21:25" x14ac:dyDescent="0.2">
      <c r="U1885" s="213" t="str">
        <f t="shared" si="33"/>
        <v>1w</v>
      </c>
      <c r="V1885" s="201">
        <f>_xll.qlCalendarAdvance(Calendar,V1884,U1885,"f",FALSE)</f>
        <v>52006</v>
      </c>
      <c r="W1885" s="225">
        <f>_xll.qlCalendarAdvance(Calendar,V1885,NDays&amp;"D")</f>
        <v>52008</v>
      </c>
      <c r="X1885" s="200">
        <v>2.3249502981847737E-2</v>
      </c>
      <c r="Y1885" s="209">
        <v>2.3143809109251734E-2</v>
      </c>
    </row>
    <row r="1886" spans="21:25" x14ac:dyDescent="0.2">
      <c r="U1886" s="213" t="str">
        <f t="shared" si="33"/>
        <v>1w</v>
      </c>
      <c r="V1886" s="201">
        <f>_xll.qlCalendarAdvance(Calendar,V1885,U1886,"f",FALSE)</f>
        <v>52013</v>
      </c>
      <c r="W1886" s="225">
        <f>_xll.qlCalendarAdvance(Calendar,V1886,NDays&amp;"D")</f>
        <v>52015</v>
      </c>
      <c r="X1886" s="200">
        <v>2.3245467912296824E-2</v>
      </c>
      <c r="Y1886" s="209">
        <v>2.3140973158497502E-2</v>
      </c>
    </row>
    <row r="1887" spans="21:25" x14ac:dyDescent="0.2">
      <c r="U1887" s="213" t="str">
        <f t="shared" si="33"/>
        <v>1w</v>
      </c>
      <c r="V1887" s="201">
        <f>_xll.qlCalendarAdvance(Calendar,V1886,U1887,"f",FALSE)</f>
        <v>52020</v>
      </c>
      <c r="W1887" s="225">
        <f>_xll.qlCalendarAdvance(Calendar,V1887,NDays&amp;"D")</f>
        <v>52022</v>
      </c>
      <c r="X1887" s="200">
        <v>2.3243290624389259E-2</v>
      </c>
      <c r="Y1887" s="209">
        <v>2.313818606122453E-2</v>
      </c>
    </row>
    <row r="1888" spans="21:25" x14ac:dyDescent="0.2">
      <c r="U1888" s="213" t="str">
        <f t="shared" si="33"/>
        <v>1w</v>
      </c>
      <c r="V1888" s="201">
        <f>_xll.qlCalendarAdvance(Calendar,V1887,U1888,"f",FALSE)</f>
        <v>52027</v>
      </c>
      <c r="W1888" s="225">
        <f>_xll.qlCalendarAdvance(Calendar,V1888,NDays&amp;"D")</f>
        <v>52029</v>
      </c>
      <c r="X1888" s="200">
        <v>2.3241162766482772E-2</v>
      </c>
      <c r="Y1888" s="209">
        <v>2.3135447817592691E-2</v>
      </c>
    </row>
    <row r="1889" spans="21:25" x14ac:dyDescent="0.2">
      <c r="U1889" s="213" t="str">
        <f t="shared" si="33"/>
        <v>1w</v>
      </c>
      <c r="V1889" s="201">
        <f>_xll.qlCalendarAdvance(Calendar,V1888,U1889,"f",FALSE)</f>
        <v>52034</v>
      </c>
      <c r="W1889" s="225">
        <f>_xll.qlCalendarAdvance(Calendar,V1889,NDays&amp;"D")</f>
        <v>52036</v>
      </c>
      <c r="X1889" s="200">
        <v>2.3239084338420545E-2</v>
      </c>
      <c r="Y1889" s="209">
        <v>2.3132758427681921E-2</v>
      </c>
    </row>
    <row r="1890" spans="21:25" x14ac:dyDescent="0.2">
      <c r="U1890" s="213" t="str">
        <f t="shared" si="33"/>
        <v>1w</v>
      </c>
      <c r="V1890" s="201">
        <f>_xll.qlCalendarAdvance(Calendar,V1889,U1890,"f",FALSE)</f>
        <v>52041</v>
      </c>
      <c r="W1890" s="225">
        <f>_xll.qlCalendarAdvance(Calendar,V1890,NDays&amp;"D")</f>
        <v>52043</v>
      </c>
      <c r="X1890" s="200">
        <v>2.3238914613323402E-2</v>
      </c>
      <c r="Y1890" s="209">
        <v>2.3130117891412283E-2</v>
      </c>
    </row>
    <row r="1891" spans="21:25" x14ac:dyDescent="0.2">
      <c r="U1891" s="213" t="str">
        <f t="shared" si="33"/>
        <v>1w</v>
      </c>
      <c r="V1891" s="201">
        <f>_xll.qlCalendarAdvance(Calendar,V1890,U1891,"f",FALSE)</f>
        <v>52048</v>
      </c>
      <c r="W1891" s="225">
        <f>_xll.qlCalendarAdvance(Calendar,V1891,NDays&amp;"D")</f>
        <v>52050</v>
      </c>
      <c r="X1891" s="200">
        <v>2.3236945257408072E-2</v>
      </c>
      <c r="Y1891" s="209">
        <v>2.3127526208783777E-2</v>
      </c>
    </row>
    <row r="1892" spans="21:25" x14ac:dyDescent="0.2">
      <c r="U1892" s="213" t="str">
        <f t="shared" si="33"/>
        <v>1w</v>
      </c>
      <c r="V1892" s="201">
        <f>_xll.qlCalendarAdvance(Calendar,V1891,U1892,"f",FALSE)</f>
        <v>52055</v>
      </c>
      <c r="W1892" s="225">
        <f>_xll.qlCalendarAdvance(Calendar,V1892,NDays&amp;"D")</f>
        <v>52057</v>
      </c>
      <c r="X1892" s="200">
        <v>2.3235025340398612E-2</v>
      </c>
      <c r="Y1892" s="209">
        <v>2.3124983379796404E-2</v>
      </c>
    </row>
    <row r="1893" spans="21:25" x14ac:dyDescent="0.2">
      <c r="U1893" s="213" t="str">
        <f t="shared" si="33"/>
        <v>1w</v>
      </c>
      <c r="V1893" s="201">
        <f>_xll.qlCalendarAdvance(Calendar,V1892,U1893,"f",FALSE)</f>
        <v>52062</v>
      </c>
      <c r="W1893" s="225">
        <f>_xll.qlCalendarAdvance(Calendar,V1893,NDays&amp;"D")</f>
        <v>52064</v>
      </c>
      <c r="X1893" s="200">
        <v>2.3233154862150194E-2</v>
      </c>
      <c r="Y1893" s="209">
        <v>2.31224894045301E-2</v>
      </c>
    </row>
    <row r="1894" spans="21:25" x14ac:dyDescent="0.2">
      <c r="U1894" s="213" t="str">
        <f t="shared" si="33"/>
        <v>1w</v>
      </c>
      <c r="V1894" s="201">
        <f>_xll.qlCalendarAdvance(Calendar,V1893,U1894,"f",FALSE)</f>
        <v>52069</v>
      </c>
      <c r="W1894" s="225">
        <f>_xll.qlCalendarAdvance(Calendar,V1894,NDays&amp;"D")</f>
        <v>52071</v>
      </c>
      <c r="X1894" s="200">
        <v>2.3231333822520565E-2</v>
      </c>
      <c r="Y1894" s="209">
        <v>2.3120044282824992E-2</v>
      </c>
    </row>
    <row r="1895" spans="21:25" x14ac:dyDescent="0.2">
      <c r="U1895" s="213" t="str">
        <f t="shared" si="33"/>
        <v>1w</v>
      </c>
      <c r="V1895" s="201">
        <f>_xll.qlCalendarAdvance(Calendar,V1894,U1895,"f",FALSE)</f>
        <v>52076</v>
      </c>
      <c r="W1895" s="225">
        <f>_xll.qlCalendarAdvance(Calendar,V1895,NDays&amp;"D")</f>
        <v>52078</v>
      </c>
      <c r="X1895" s="200">
        <v>2.3227651788337529E-2</v>
      </c>
      <c r="Y1895" s="209">
        <v>2.3117648014761016E-2</v>
      </c>
    </row>
    <row r="1896" spans="21:25" x14ac:dyDescent="0.2">
      <c r="U1896" s="213" t="str">
        <f t="shared" si="33"/>
        <v>1w</v>
      </c>
      <c r="V1896" s="201">
        <f>_xll.qlCalendarAdvance(Calendar,V1895,U1896,"f",FALSE)</f>
        <v>52083</v>
      </c>
      <c r="W1896" s="225">
        <f>_xll.qlCalendarAdvance(Calendar,V1896,NDays&amp;"D")</f>
        <v>52085</v>
      </c>
      <c r="X1896" s="200">
        <v>2.322784005857231E-2</v>
      </c>
      <c r="Y1896" s="209">
        <v>2.3115300600258237E-2</v>
      </c>
    </row>
    <row r="1897" spans="21:25" x14ac:dyDescent="0.2">
      <c r="U1897" s="213" t="str">
        <f t="shared" si="33"/>
        <v>1w</v>
      </c>
      <c r="V1897" s="201">
        <f>_xll.qlCalendarAdvance(Calendar,V1896,U1897,"f",FALSE)</f>
        <v>52090</v>
      </c>
      <c r="W1897" s="225">
        <f>_xll.qlCalendarAdvance(Calendar,V1897,NDays&amp;"D")</f>
        <v>52092</v>
      </c>
      <c r="X1897" s="200">
        <v>2.3226167333988516E-2</v>
      </c>
      <c r="Y1897" s="209">
        <v>2.3113002039476527E-2</v>
      </c>
    </row>
    <row r="1898" spans="21:25" x14ac:dyDescent="0.2">
      <c r="U1898" s="213" t="str">
        <f t="shared" si="33"/>
        <v>1w</v>
      </c>
      <c r="V1898" s="201">
        <f>_xll.qlCalendarAdvance(Calendar,V1897,U1898,"f",FALSE)</f>
        <v>52097</v>
      </c>
      <c r="W1898" s="225">
        <f>_xll.qlCalendarAdvance(Calendar,V1898,NDays&amp;"D")</f>
        <v>52099</v>
      </c>
      <c r="X1898" s="200">
        <v>2.3224544047494907E-2</v>
      </c>
      <c r="Y1898" s="209">
        <v>2.3110752332335949E-2</v>
      </c>
    </row>
    <row r="1899" spans="21:25" x14ac:dyDescent="0.2">
      <c r="U1899" s="213" t="str">
        <f t="shared" si="33"/>
        <v>1w</v>
      </c>
      <c r="V1899" s="201">
        <f>_xll.qlCalendarAdvance(Calendar,V1898,U1899,"f",FALSE)</f>
        <v>52104</v>
      </c>
      <c r="W1899" s="225">
        <f>_xll.qlCalendarAdvance(Calendar,V1899,NDays&amp;"D")</f>
        <v>52106</v>
      </c>
      <c r="X1899" s="200">
        <v>2.3221018666924519E-2</v>
      </c>
      <c r="Y1899" s="209">
        <v>2.3108551478916439E-2</v>
      </c>
    </row>
    <row r="1900" spans="21:25" x14ac:dyDescent="0.2">
      <c r="U1900" s="213" t="str">
        <f t="shared" si="33"/>
        <v>1w</v>
      </c>
      <c r="V1900" s="201">
        <f>_xll.qlCalendarAdvance(Calendar,V1899,U1900,"f",FALSE)</f>
        <v>52111</v>
      </c>
      <c r="W1900" s="225">
        <f>_xll.qlCalendarAdvance(Calendar,V1900,NDays&amp;"D")</f>
        <v>52113</v>
      </c>
      <c r="X1900" s="200">
        <v>2.3218177852290883E-2</v>
      </c>
      <c r="Y1900" s="209">
        <v>2.3106399479058126E-2</v>
      </c>
    </row>
    <row r="1901" spans="21:25" x14ac:dyDescent="0.2">
      <c r="U1901" s="213" t="str">
        <f t="shared" si="33"/>
        <v>1w</v>
      </c>
      <c r="V1901" s="201">
        <f>_xll.qlCalendarAdvance(Calendar,V1900,U1901,"f",FALSE)</f>
        <v>52118</v>
      </c>
      <c r="W1901" s="225">
        <f>_xll.qlCalendarAdvance(Calendar,V1901,NDays&amp;"D")</f>
        <v>52120</v>
      </c>
      <c r="X1901" s="200">
        <v>2.3216685701539636E-2</v>
      </c>
      <c r="Y1901" s="209">
        <v>2.3104296332840946E-2</v>
      </c>
    </row>
    <row r="1902" spans="21:25" x14ac:dyDescent="0.2">
      <c r="U1902" s="213" t="str">
        <f t="shared" si="33"/>
        <v>1w</v>
      </c>
      <c r="V1902" s="201">
        <f>_xll.qlCalendarAdvance(Calendar,V1901,U1902,"f",FALSE)</f>
        <v>52125</v>
      </c>
      <c r="W1902" s="225">
        <f>_xll.qlCalendarAdvance(Calendar,V1902,NDays&amp;"D")</f>
        <v>52127</v>
      </c>
      <c r="X1902" s="200">
        <v>2.3215242972571298E-2</v>
      </c>
      <c r="Y1902" s="209">
        <v>2.3102242040184962E-2</v>
      </c>
    </row>
    <row r="1903" spans="21:25" x14ac:dyDescent="0.2">
      <c r="U1903" s="213" t="str">
        <f t="shared" si="33"/>
        <v>1w</v>
      </c>
      <c r="V1903" s="201">
        <f>_xll.qlCalendarAdvance(Calendar,V1902,U1903,"f",FALSE)</f>
        <v>52132</v>
      </c>
      <c r="W1903" s="225">
        <f>_xll.qlCalendarAdvance(Calendar,V1903,NDays&amp;"D")</f>
        <v>52134</v>
      </c>
      <c r="X1903" s="200">
        <v>2.3213849665278553E-2</v>
      </c>
      <c r="Y1903" s="209">
        <v>2.3100236601329982E-2</v>
      </c>
    </row>
    <row r="1904" spans="21:25" x14ac:dyDescent="0.2">
      <c r="U1904" s="213" t="str">
        <f t="shared" si="33"/>
        <v>1w</v>
      </c>
      <c r="V1904" s="201">
        <f>_xll.qlCalendarAdvance(Calendar,V1903,U1904,"f",FALSE)</f>
        <v>52139</v>
      </c>
      <c r="W1904" s="225">
        <f>_xll.qlCalendarAdvance(Calendar,V1904,NDays&amp;"D")</f>
        <v>52141</v>
      </c>
      <c r="X1904" s="200">
        <v>2.3213172411833845E-2</v>
      </c>
      <c r="Y1904" s="209">
        <v>2.3098280015876327E-2</v>
      </c>
    </row>
    <row r="1905" spans="21:25" x14ac:dyDescent="0.2">
      <c r="U1905" s="213" t="str">
        <f t="shared" si="33"/>
        <v>1w</v>
      </c>
      <c r="V1905" s="201">
        <f>_xll.qlCalendarAdvance(Calendar,V1904,U1905,"f",FALSE)</f>
        <v>52146</v>
      </c>
      <c r="W1905" s="225">
        <f>_xll.qlCalendarAdvance(Calendar,V1905,NDays&amp;"D")</f>
        <v>52148</v>
      </c>
      <c r="X1905" s="200">
        <v>2.3211881394924642E-2</v>
      </c>
      <c r="Y1905" s="209">
        <v>2.3096372284223676E-2</v>
      </c>
    </row>
    <row r="1906" spans="21:25" x14ac:dyDescent="0.2">
      <c r="U1906" s="213" t="str">
        <f t="shared" si="33"/>
        <v>1w</v>
      </c>
      <c r="V1906" s="201">
        <f>_xll.qlCalendarAdvance(Calendar,V1905,U1906,"f",FALSE)</f>
        <v>52153</v>
      </c>
      <c r="W1906" s="225">
        <f>_xll.qlCalendarAdvance(Calendar,V1906,NDays&amp;"D")</f>
        <v>52155</v>
      </c>
      <c r="X1906" s="200">
        <v>2.3210639802560776E-2</v>
      </c>
      <c r="Y1906" s="209">
        <v>2.3094513406132222E-2</v>
      </c>
    </row>
    <row r="1907" spans="21:25" x14ac:dyDescent="0.2">
      <c r="U1907" s="213" t="str">
        <f t="shared" si="33"/>
        <v>1w</v>
      </c>
      <c r="V1907" s="201">
        <f>_xll.qlCalendarAdvance(Calendar,V1906,U1907,"f",FALSE)</f>
        <v>52160</v>
      </c>
      <c r="W1907" s="225">
        <f>_xll.qlCalendarAdvance(Calendar,V1907,NDays&amp;"D")</f>
        <v>52162</v>
      </c>
      <c r="X1907" s="200">
        <v>2.3209447634650451E-2</v>
      </c>
      <c r="Y1907" s="209">
        <v>2.3092703381841773E-2</v>
      </c>
    </row>
    <row r="1908" spans="21:25" x14ac:dyDescent="0.2">
      <c r="U1908" s="213" t="str">
        <f t="shared" si="33"/>
        <v>1w</v>
      </c>
      <c r="V1908" s="201">
        <f>_xll.qlCalendarAdvance(Calendar,V1907,U1908,"f",FALSE)</f>
        <v>52167</v>
      </c>
      <c r="W1908" s="225">
        <f>_xll.qlCalendarAdvance(Calendar,V1908,NDays&amp;"D")</f>
        <v>52169</v>
      </c>
      <c r="X1908" s="200">
        <v>2.3208304891104949E-2</v>
      </c>
      <c r="Y1908" s="209">
        <v>2.3090942210872711E-2</v>
      </c>
    </row>
    <row r="1909" spans="21:25" x14ac:dyDescent="0.2">
      <c r="U1909" s="213" t="str">
        <f t="shared" si="33"/>
        <v>1w</v>
      </c>
      <c r="V1909" s="201">
        <f>_xll.qlCalendarAdvance(Calendar,V1908,U1909,"f",FALSE)</f>
        <v>52174</v>
      </c>
      <c r="W1909" s="225">
        <f>_xll.qlCalendarAdvance(Calendar,V1909,NDays&amp;"D")</f>
        <v>52176</v>
      </c>
      <c r="X1909" s="200">
        <v>2.320652767122881E-2</v>
      </c>
      <c r="Y1909" s="209">
        <v>2.3089229893784591E-2</v>
      </c>
    </row>
    <row r="1910" spans="21:25" x14ac:dyDescent="0.2">
      <c r="U1910" s="213" t="str">
        <f t="shared" si="33"/>
        <v>1w</v>
      </c>
      <c r="V1910" s="201">
        <f>_xll.qlCalendarAdvance(Calendar,V1909,U1910,"f",FALSE)</f>
        <v>52181</v>
      </c>
      <c r="W1910" s="225">
        <f>_xll.qlCalendarAdvance(Calendar,V1910,NDays&amp;"D")</f>
        <v>52183</v>
      </c>
      <c r="X1910" s="200">
        <v>2.320548031299861E-2</v>
      </c>
      <c r="Y1910" s="209">
        <v>2.3087566430257667E-2</v>
      </c>
    </row>
    <row r="1911" spans="21:25" x14ac:dyDescent="0.2">
      <c r="U1911" s="213" t="str">
        <f t="shared" si="33"/>
        <v>1w</v>
      </c>
      <c r="V1911" s="201">
        <f>_xll.qlCalendarAdvance(Calendar,V1910,U1911,"f",FALSE)</f>
        <v>52188</v>
      </c>
      <c r="W1911" s="225">
        <f>_xll.qlCalendarAdvance(Calendar,V1911,NDays&amp;"D")</f>
        <v>52190</v>
      </c>
      <c r="X1911" s="200">
        <v>2.3204482375725463E-2</v>
      </c>
      <c r="Y1911" s="209">
        <v>2.3085951820451811E-2</v>
      </c>
    </row>
    <row r="1912" spans="21:25" x14ac:dyDescent="0.2">
      <c r="U1912" s="213" t="str">
        <f t="shared" si="33"/>
        <v>1w</v>
      </c>
      <c r="V1912" s="201">
        <f>_xll.qlCalendarAdvance(Calendar,V1911,U1912,"f",FALSE)</f>
        <v>52195</v>
      </c>
      <c r="W1912" s="225">
        <f>_xll.qlCalendarAdvance(Calendar,V1912,NDays&amp;"D")</f>
        <v>52197</v>
      </c>
      <c r="X1912" s="200">
        <v>2.3203533859335611E-2</v>
      </c>
      <c r="Y1912" s="209">
        <v>2.3084386064127216E-2</v>
      </c>
    </row>
    <row r="1913" spans="21:25" x14ac:dyDescent="0.2">
      <c r="U1913" s="213" t="str">
        <f t="shared" si="33"/>
        <v>1w</v>
      </c>
      <c r="V1913" s="201">
        <f>_xll.qlCalendarAdvance(Calendar,V1912,U1913,"f",FALSE)</f>
        <v>52202</v>
      </c>
      <c r="W1913" s="225">
        <f>_xll.qlCalendarAdvance(Calendar,V1913,NDays&amp;"D")</f>
        <v>52204</v>
      </c>
      <c r="X1913" s="200">
        <v>2.3203332536016835E-2</v>
      </c>
      <c r="Y1913" s="209">
        <v>2.3082869161443753E-2</v>
      </c>
    </row>
    <row r="1914" spans="21:25" x14ac:dyDescent="0.2">
      <c r="U1914" s="213" t="str">
        <f t="shared" si="33"/>
        <v>1w</v>
      </c>
      <c r="V1914" s="201">
        <f>_xll.qlCalendarAdvance(Calendar,V1913,U1914,"f",FALSE)</f>
        <v>52209</v>
      </c>
      <c r="W1914" s="225">
        <f>_xll.qlCalendarAdvance(Calendar,V1914,NDays&amp;"D")</f>
        <v>52211</v>
      </c>
      <c r="X1914" s="200">
        <v>2.3202486337011902E-2</v>
      </c>
      <c r="Y1914" s="209">
        <v>2.3081401112481359E-2</v>
      </c>
    </row>
    <row r="1915" spans="21:25" x14ac:dyDescent="0.2">
      <c r="U1915" s="213" t="str">
        <f t="shared" si="33"/>
        <v>1w</v>
      </c>
      <c r="V1915" s="201">
        <f>_xll.qlCalendarAdvance(Calendar,V1914,U1915,"f",FALSE)</f>
        <v>52216</v>
      </c>
      <c r="W1915" s="225">
        <f>_xll.qlCalendarAdvance(Calendar,V1915,NDays&amp;"D")</f>
        <v>52218</v>
      </c>
      <c r="X1915" s="200">
        <v>2.3201689561855719E-2</v>
      </c>
      <c r="Y1915" s="209">
        <v>2.3079981917000225E-2</v>
      </c>
    </row>
    <row r="1916" spans="21:25" x14ac:dyDescent="0.2">
      <c r="U1916" s="213" t="str">
        <f t="shared" si="33"/>
        <v>1w</v>
      </c>
      <c r="V1916" s="201">
        <f>_xll.qlCalendarAdvance(Calendar,V1915,U1916,"f",FALSE)</f>
        <v>52223</v>
      </c>
      <c r="W1916" s="225">
        <f>_xll.qlCalendarAdvance(Calendar,V1916,NDays&amp;"D")</f>
        <v>52229</v>
      </c>
      <c r="X1916" s="200">
        <v>2.3200537342817736E-2</v>
      </c>
      <c r="Y1916" s="209">
        <v>2.3077850457111637E-2</v>
      </c>
    </row>
    <row r="1917" spans="21:25" x14ac:dyDescent="0.2">
      <c r="U1917" s="213" t="str">
        <f t="shared" si="33"/>
        <v>1w</v>
      </c>
      <c r="V1917" s="201">
        <f>_xll.qlCalendarAdvance(Calendar,V1916,U1917,"f",FALSE)</f>
        <v>52230</v>
      </c>
      <c r="W1917" s="225">
        <f>_xll.qlCalendarAdvance(Calendar,V1917,NDays&amp;"D")</f>
        <v>52233</v>
      </c>
      <c r="X1917" s="200">
        <v>2.3199436420795545E-2</v>
      </c>
      <c r="Y1917" s="209">
        <v>2.3078401145886218E-2</v>
      </c>
    </row>
    <row r="1918" spans="21:25" x14ac:dyDescent="0.2">
      <c r="U1918" s="213" t="str">
        <f t="shared" si="33"/>
        <v>1w</v>
      </c>
      <c r="V1918" s="201">
        <f>_xll.qlCalendarAdvance(Calendar,V1917,U1918,"f",FALSE)</f>
        <v>52237</v>
      </c>
      <c r="W1918" s="225">
        <f>_xll.qlCalendarAdvance(Calendar,V1918,NDays&amp;"D")</f>
        <v>52239</v>
      </c>
      <c r="X1918" s="200">
        <v>2.3198880595886352E-2</v>
      </c>
      <c r="Y1918" s="209">
        <v>2.3076017452563491E-2</v>
      </c>
    </row>
    <row r="1919" spans="21:25" x14ac:dyDescent="0.2">
      <c r="U1919" s="213" t="str">
        <f t="shared" si="33"/>
        <v>1w</v>
      </c>
      <c r="V1919" s="201">
        <f>_xll.qlCalendarAdvance(Calendar,V1918,U1919,"f",FALSE)</f>
        <v>52244</v>
      </c>
      <c r="W1919" s="225">
        <f>_xll.qlCalendarAdvance(Calendar,V1919,NDays&amp;"D")</f>
        <v>52246</v>
      </c>
      <c r="X1919" s="200">
        <v>2.3198278023926291E-2</v>
      </c>
      <c r="Y1919" s="209">
        <v>2.3074793671646887E-2</v>
      </c>
    </row>
    <row r="1920" spans="21:25" x14ac:dyDescent="0.2">
      <c r="U1920" s="213" t="str">
        <f t="shared" si="33"/>
        <v>1w</v>
      </c>
      <c r="V1920" s="201">
        <f>_xll.qlCalendarAdvance(Calendar,V1919,U1920,"f",FALSE)</f>
        <v>52251</v>
      </c>
      <c r="W1920" s="225">
        <f>_xll.qlCalendarAdvance(Calendar,V1920,NDays&amp;"D")</f>
        <v>52253</v>
      </c>
      <c r="X1920" s="200">
        <v>2.3197724872392432E-2</v>
      </c>
      <c r="Y1920" s="209">
        <v>2.3073618744371416E-2</v>
      </c>
    </row>
    <row r="1921" spans="21:25" x14ac:dyDescent="0.2">
      <c r="U1921" s="213" t="str">
        <f t="shared" si="33"/>
        <v>1w</v>
      </c>
      <c r="V1921" s="201">
        <f>_xll.qlCalendarAdvance(Calendar,V1920,U1921,"f",FALSE)</f>
        <v>52258</v>
      </c>
      <c r="W1921" s="225">
        <f>_xll.qlCalendarAdvance(Calendar,V1921,NDays&amp;"D")</f>
        <v>52260</v>
      </c>
      <c r="X1921" s="200">
        <v>2.3197221141244586E-2</v>
      </c>
      <c r="Y1921" s="209">
        <v>2.3072492670737077E-2</v>
      </c>
    </row>
    <row r="1922" spans="21:25" x14ac:dyDescent="0.2">
      <c r="U1922" s="213" t="str">
        <f t="shared" si="33"/>
        <v>1w</v>
      </c>
      <c r="V1922" s="201">
        <f>_xll.qlCalendarAdvance(Calendar,V1921,U1922,"f",FALSE)</f>
        <v>52265</v>
      </c>
      <c r="W1922" s="225">
        <f>_xll.qlCalendarAdvance(Calendar,V1922,NDays&amp;"D")</f>
        <v>52267</v>
      </c>
      <c r="X1922" s="200">
        <v>2.3196766830444335E-2</v>
      </c>
      <c r="Y1922" s="209">
        <v>2.3071415450743871E-2</v>
      </c>
    </row>
    <row r="1923" spans="21:25" x14ac:dyDescent="0.2">
      <c r="U1923" s="213" t="str">
        <f t="shared" si="33"/>
        <v>1w</v>
      </c>
      <c r="V1923" s="201">
        <f>_xll.qlCalendarAdvance(Calendar,V1922,U1923,"f",FALSE)</f>
        <v>52272</v>
      </c>
      <c r="W1923" s="225">
        <f>_xll.qlCalendarAdvance(Calendar,V1923,NDays&amp;"D")</f>
        <v>52274</v>
      </c>
      <c r="X1923" s="200">
        <v>2.3196361939958998E-2</v>
      </c>
      <c r="Y1923" s="209">
        <v>2.3070387084311861E-2</v>
      </c>
    </row>
    <row r="1924" spans="21:25" x14ac:dyDescent="0.2">
      <c r="U1924" s="213" t="str">
        <f t="shared" si="33"/>
        <v>1w</v>
      </c>
      <c r="V1924" s="201">
        <f>_xll.qlCalendarAdvance(Calendar,V1923,U1924,"f",FALSE)</f>
        <v>52279</v>
      </c>
      <c r="W1924" s="225">
        <f>_xll.qlCalendarAdvance(Calendar,V1924,NDays&amp;"D")</f>
        <v>52281</v>
      </c>
      <c r="X1924" s="200">
        <v>2.3196006469758983E-2</v>
      </c>
      <c r="Y1924" s="209">
        <v>2.3069407571600919E-2</v>
      </c>
    </row>
    <row r="1925" spans="21:25" x14ac:dyDescent="0.2">
      <c r="U1925" s="213" t="str">
        <f t="shared" si="33"/>
        <v>1w</v>
      </c>
      <c r="V1925" s="201">
        <f>_xll.qlCalendarAdvance(Calendar,V1924,U1925,"f",FALSE)</f>
        <v>52286</v>
      </c>
      <c r="W1925" s="225">
        <f>_xll.qlCalendarAdvance(Calendar,V1925,NDays&amp;"D")</f>
        <v>52288</v>
      </c>
      <c r="X1925" s="200">
        <v>2.3195700419816907E-2</v>
      </c>
      <c r="Y1925" s="209">
        <v>2.3068476912371239E-2</v>
      </c>
    </row>
    <row r="1926" spans="21:25" x14ac:dyDescent="0.2">
      <c r="U1926" s="213" t="str">
        <f t="shared" si="33"/>
        <v>1w</v>
      </c>
      <c r="V1926" s="201">
        <f>_xll.qlCalendarAdvance(Calendar,V1925,U1926,"f",FALSE)</f>
        <v>52293</v>
      </c>
      <c r="W1926" s="225">
        <f>_xll.qlCalendarAdvance(Calendar,V1926,NDays&amp;"D")</f>
        <v>52295</v>
      </c>
      <c r="X1926" s="200">
        <v>2.3199163493872257E-2</v>
      </c>
      <c r="Y1926" s="209">
        <v>2.306759510678269E-2</v>
      </c>
    </row>
    <row r="1927" spans="21:25" x14ac:dyDescent="0.2">
      <c r="U1927" s="213" t="str">
        <f t="shared" si="33"/>
        <v>1w</v>
      </c>
      <c r="V1927" s="201">
        <f>_xll.qlCalendarAdvance(Calendar,V1926,U1927,"f",FALSE)</f>
        <v>52300</v>
      </c>
      <c r="W1927" s="225">
        <f>_xll.qlCalendarAdvance(Calendar,V1927,NDays&amp;"D")</f>
        <v>52302</v>
      </c>
      <c r="X1927" s="200">
        <v>2.3198973873726006E-2</v>
      </c>
      <c r="Y1927" s="209">
        <v>2.3066762154835274E-2</v>
      </c>
    </row>
    <row r="1928" spans="21:25" x14ac:dyDescent="0.2">
      <c r="U1928" s="213" t="str">
        <f t="shared" si="33"/>
        <v>1w</v>
      </c>
      <c r="V1928" s="201">
        <f>_xll.qlCalendarAdvance(Calendar,V1927,U1928,"f",FALSE)</f>
        <v>52307</v>
      </c>
      <c r="W1928" s="225">
        <f>_xll.qlCalendarAdvance(Calendar,V1928,NDays&amp;"D")</f>
        <v>52309</v>
      </c>
      <c r="X1928" s="200">
        <v>2.3198833689611367E-2</v>
      </c>
      <c r="Y1928" s="209">
        <v>2.3065978056528991E-2</v>
      </c>
    </row>
    <row r="1929" spans="21:25" x14ac:dyDescent="0.2">
      <c r="U1929" s="213" t="str">
        <f t="shared" si="33"/>
        <v>1w</v>
      </c>
      <c r="V1929" s="201">
        <f>_xll.qlCalendarAdvance(Calendar,V1928,U1929,"f",FALSE)</f>
        <v>52314</v>
      </c>
      <c r="W1929" s="225">
        <f>_xll.qlCalendarAdvance(Calendar,V1929,NDays&amp;"D")</f>
        <v>52316</v>
      </c>
      <c r="X1929" s="200">
        <v>2.3198742941517168E-2</v>
      </c>
      <c r="Y1929" s="209">
        <v>2.3067998435928772E-2</v>
      </c>
    </row>
    <row r="1930" spans="21:25" x14ac:dyDescent="0.2">
      <c r="U1930" s="213" t="str">
        <f t="shared" si="33"/>
        <v>1w</v>
      </c>
      <c r="V1930" s="201">
        <f>_xll.qlCalendarAdvance(Calendar,V1929,U1930,"f",FALSE)</f>
        <v>52321</v>
      </c>
      <c r="W1930" s="225">
        <f>_xll.qlCalendarAdvance(Calendar,V1930,NDays&amp;"D")</f>
        <v>52323</v>
      </c>
      <c r="X1930" s="200">
        <v>2.319642642637193E-2</v>
      </c>
      <c r="Y1930" s="209">
        <v>2.3064556420839821E-2</v>
      </c>
    </row>
    <row r="1931" spans="21:25" x14ac:dyDescent="0.2">
      <c r="U1931" s="213" t="str">
        <f t="shared" si="33"/>
        <v>1w</v>
      </c>
      <c r="V1931" s="201">
        <f>_xll.qlCalendarAdvance(Calendar,V1930,U1931,"f",FALSE)</f>
        <v>52328</v>
      </c>
      <c r="W1931" s="225">
        <f>_xll.qlCalendarAdvance(Calendar,V1931,NDays&amp;"D")</f>
        <v>52330</v>
      </c>
      <c r="X1931" s="200">
        <v>2.319642395734629E-2</v>
      </c>
      <c r="Y1931" s="209">
        <v>2.3063918883456935E-2</v>
      </c>
    </row>
    <row r="1932" spans="21:25" x14ac:dyDescent="0.2">
      <c r="U1932" s="213" t="str">
        <f t="shared" si="33"/>
        <v>1w</v>
      </c>
      <c r="V1932" s="201">
        <f>_xll.qlCalendarAdvance(Calendar,V1931,U1932,"f",FALSE)</f>
        <v>52335</v>
      </c>
      <c r="W1932" s="225">
        <f>_xll.qlCalendarAdvance(Calendar,V1932,NDays&amp;"D")</f>
        <v>52337</v>
      </c>
      <c r="X1932" s="200">
        <v>2.3196470914829872E-2</v>
      </c>
      <c r="Y1932" s="209">
        <v>2.306333019955531E-2</v>
      </c>
    </row>
    <row r="1933" spans="21:25" x14ac:dyDescent="0.2">
      <c r="U1933" s="213" t="str">
        <f t="shared" si="33"/>
        <v>1w</v>
      </c>
      <c r="V1933" s="201">
        <f>_xll.qlCalendarAdvance(Calendar,V1932,U1933,"f",FALSE)</f>
        <v>52342</v>
      </c>
      <c r="W1933" s="225">
        <f>_xll.qlCalendarAdvance(Calendar,V1933,NDays&amp;"D")</f>
        <v>52344</v>
      </c>
      <c r="X1933" s="200">
        <v>2.3196567298827925E-2</v>
      </c>
      <c r="Y1933" s="209">
        <v>2.3062790369454689E-2</v>
      </c>
    </row>
    <row r="1934" spans="21:25" x14ac:dyDescent="0.2">
      <c r="U1934" s="213" t="str">
        <f t="shared" si="33"/>
        <v>1w</v>
      </c>
      <c r="V1934" s="201">
        <f>_xll.qlCalendarAdvance(Calendar,V1933,U1934,"f",FALSE)</f>
        <v>52349</v>
      </c>
      <c r="W1934" s="225">
        <f>_xll.qlCalendarAdvance(Calendar,V1934,NDays&amp;"D")</f>
        <v>52351</v>
      </c>
      <c r="X1934" s="200">
        <v>2.319671310934612E-2</v>
      </c>
      <c r="Y1934" s="209">
        <v>2.306441736193543E-2</v>
      </c>
    </row>
    <row r="1935" spans="21:25" x14ac:dyDescent="0.2">
      <c r="U1935" s="213" t="str">
        <f t="shared" si="33"/>
        <v>1w</v>
      </c>
      <c r="V1935" s="201">
        <f>_xll.qlCalendarAdvance(Calendar,V1934,U1935,"f",FALSE)</f>
        <v>52356</v>
      </c>
      <c r="W1935" s="225">
        <f>_xll.qlCalendarAdvance(Calendar,V1935,NDays&amp;"D")</f>
        <v>52358</v>
      </c>
      <c r="X1935" s="200">
        <v>2.3199236609260411E-2</v>
      </c>
      <c r="Y1935" s="209">
        <v>2.30618572698571E-2</v>
      </c>
    </row>
    <row r="1936" spans="21:25" x14ac:dyDescent="0.2">
      <c r="U1936" s="213" t="str">
        <f t="shared" si="33"/>
        <v>1w</v>
      </c>
      <c r="V1936" s="201">
        <f>_xll.qlCalendarAdvance(Calendar,V1935,U1936,"f",FALSE)</f>
        <v>52363</v>
      </c>
      <c r="W1936" s="225">
        <f>_xll.qlCalendarAdvance(Calendar,V1936,NDays&amp;"D")</f>
        <v>52365</v>
      </c>
      <c r="X1936" s="200">
        <v>2.319949191332733E-2</v>
      </c>
      <c r="Y1936" s="209">
        <v>2.3061464000440068E-2</v>
      </c>
    </row>
    <row r="1937" spans="21:25" x14ac:dyDescent="0.2">
      <c r="U1937" s="213" t="str">
        <f t="shared" si="33"/>
        <v>1w</v>
      </c>
      <c r="V1937" s="201">
        <f>_xll.qlCalendarAdvance(Calendar,V1936,U1937,"f",FALSE)</f>
        <v>52370</v>
      </c>
      <c r="W1937" s="225">
        <f>_xll.qlCalendarAdvance(Calendar,V1937,NDays&amp;"D")</f>
        <v>52372</v>
      </c>
      <c r="X1937" s="200">
        <v>2.3199796653464541E-2</v>
      </c>
      <c r="Y1937" s="209">
        <v>2.3061119584744105E-2</v>
      </c>
    </row>
    <row r="1938" spans="21:25" x14ac:dyDescent="0.2">
      <c r="U1938" s="213" t="str">
        <f t="shared" si="33"/>
        <v>1w</v>
      </c>
      <c r="V1938" s="201">
        <f>_xll.qlCalendarAdvance(Calendar,V1937,U1938,"f",FALSE)</f>
        <v>52377</v>
      </c>
      <c r="W1938" s="225">
        <f>_xll.qlCalendarAdvance(Calendar,V1938,NDays&amp;"D")</f>
        <v>52379</v>
      </c>
      <c r="X1938" s="200">
        <v>2.3200150829695249E-2</v>
      </c>
      <c r="Y1938" s="209">
        <v>2.3060824022689275E-2</v>
      </c>
    </row>
    <row r="1939" spans="21:25" x14ac:dyDescent="0.2">
      <c r="U1939" s="213" t="str">
        <f t="shared" si="33"/>
        <v>1w</v>
      </c>
      <c r="V1939" s="201">
        <f>_xll.qlCalendarAdvance(Calendar,V1938,U1939,"f",FALSE)</f>
        <v>52384</v>
      </c>
      <c r="W1939" s="225">
        <f>_xll.qlCalendarAdvance(Calendar,V1939,NDays&amp;"D")</f>
        <v>52386</v>
      </c>
      <c r="X1939" s="200">
        <v>2.3198183560261685E-2</v>
      </c>
      <c r="Y1939" s="209">
        <v>2.306057731419564E-2</v>
      </c>
    </row>
    <row r="1940" spans="21:25" x14ac:dyDescent="0.2">
      <c r="U1940" s="213" t="str">
        <f t="shared" si="33"/>
        <v>1w</v>
      </c>
      <c r="V1940" s="201">
        <f>_xll.qlCalendarAdvance(Calendar,V1939,U1940,"f",FALSE)</f>
        <v>52391</v>
      </c>
      <c r="W1940" s="225">
        <f>_xll.qlCalendarAdvance(Calendar,V1940,NDays&amp;"D")</f>
        <v>52393</v>
      </c>
      <c r="X1940" s="200">
        <v>2.3198625930262427E-2</v>
      </c>
      <c r="Y1940" s="209">
        <v>2.3060379459263203E-2</v>
      </c>
    </row>
    <row r="1941" spans="21:25" x14ac:dyDescent="0.2">
      <c r="U1941" s="213" t="str">
        <f t="shared" ref="U1941:U2004" si="34">U1940</f>
        <v>1w</v>
      </c>
      <c r="V1941" s="201">
        <f>_xll.qlCalendarAdvance(Calendar,V1940,U1941,"f",FALSE)</f>
        <v>52398</v>
      </c>
      <c r="W1941" s="225">
        <f>_xll.qlCalendarAdvance(Calendar,V1941,NDays&amp;"D")</f>
        <v>52400</v>
      </c>
      <c r="X1941" s="200">
        <v>2.3199117726937502E-2</v>
      </c>
      <c r="Y1941" s="209">
        <v>2.3060230457971898E-2</v>
      </c>
    </row>
    <row r="1942" spans="21:25" x14ac:dyDescent="0.2">
      <c r="U1942" s="213" t="str">
        <f t="shared" si="34"/>
        <v>1w</v>
      </c>
      <c r="V1942" s="201">
        <f>_xll.qlCalendarAdvance(Calendar,V1941,U1942,"f",FALSE)</f>
        <v>52405</v>
      </c>
      <c r="W1942" s="225">
        <f>_xll.qlCalendarAdvance(Calendar,V1942,NDays&amp;"D")</f>
        <v>52407</v>
      </c>
      <c r="X1942" s="200">
        <v>2.3202061896146143E-2</v>
      </c>
      <c r="Y1942" s="209">
        <v>2.3060130310401661E-2</v>
      </c>
    </row>
    <row r="1943" spans="21:25" x14ac:dyDescent="0.2">
      <c r="U1943" s="213" t="str">
        <f t="shared" si="34"/>
        <v>1w</v>
      </c>
      <c r="V1943" s="201">
        <f>_xll.qlCalendarAdvance(Calendar,V1942,U1943,"f",FALSE)</f>
        <v>52412</v>
      </c>
      <c r="W1943" s="225">
        <f>_xll.qlCalendarAdvance(Calendar,V1943,NDays&amp;"D")</f>
        <v>52414</v>
      </c>
      <c r="X1943" s="200">
        <v>2.3202663253320953E-2</v>
      </c>
      <c r="Y1943" s="209">
        <v>2.3060079016312685E-2</v>
      </c>
    </row>
    <row r="1944" spans="21:25" x14ac:dyDescent="0.2">
      <c r="U1944" s="213" t="str">
        <f t="shared" si="34"/>
        <v>1w</v>
      </c>
      <c r="V1944" s="201">
        <f>_xll.qlCalendarAdvance(Calendar,V1943,U1944,"f",FALSE)</f>
        <v>52419</v>
      </c>
      <c r="W1944" s="225">
        <f>_xll.qlCalendarAdvance(Calendar,V1944,NDays&amp;"D")</f>
        <v>52421</v>
      </c>
      <c r="X1944" s="200">
        <v>2.3203314046806721E-2</v>
      </c>
      <c r="Y1944" s="209">
        <v>2.3060076575864841E-2</v>
      </c>
    </row>
    <row r="1945" spans="21:25" x14ac:dyDescent="0.2">
      <c r="U1945" s="213" t="str">
        <f t="shared" si="34"/>
        <v>1w</v>
      </c>
      <c r="V1945" s="201">
        <f>_xll.qlCalendarAdvance(Calendar,V1944,U1945,"f",FALSE)</f>
        <v>52426</v>
      </c>
      <c r="W1945" s="225">
        <f>_xll.qlCalendarAdvance(Calendar,V1945,NDays&amp;"D")</f>
        <v>52428</v>
      </c>
      <c r="X1945" s="200">
        <v>2.3204014276652443E-2</v>
      </c>
      <c r="Y1945" s="209">
        <v>2.3060122989138065E-2</v>
      </c>
    </row>
    <row r="1946" spans="21:25" x14ac:dyDescent="0.2">
      <c r="U1946" s="213" t="str">
        <f t="shared" si="34"/>
        <v>1w</v>
      </c>
      <c r="V1946" s="201">
        <f>_xll.qlCalendarAdvance(Calendar,V1945,U1946,"f",FALSE)</f>
        <v>52433</v>
      </c>
      <c r="W1946" s="225">
        <f>_xll.qlCalendarAdvance(Calendar,V1946,NDays&amp;"D")</f>
        <v>52435</v>
      </c>
      <c r="X1946" s="200">
        <v>2.3204763942910545E-2</v>
      </c>
      <c r="Y1946" s="209">
        <v>2.3060218255892551E-2</v>
      </c>
    </row>
    <row r="1947" spans="21:25" x14ac:dyDescent="0.2">
      <c r="U1947" s="213" t="str">
        <f t="shared" si="34"/>
        <v>1w</v>
      </c>
      <c r="V1947" s="201">
        <f>_xll.qlCalendarAdvance(Calendar,V1946,U1947,"f",FALSE)</f>
        <v>52440</v>
      </c>
      <c r="W1947" s="225">
        <f>_xll.qlCalendarAdvance(Calendar,V1947,NDays&amp;"D")</f>
        <v>52442</v>
      </c>
      <c r="X1947" s="200">
        <v>2.3203106469457606E-2</v>
      </c>
      <c r="Y1947" s="209">
        <v>2.3060362376527976E-2</v>
      </c>
    </row>
    <row r="1948" spans="21:25" x14ac:dyDescent="0.2">
      <c r="U1948" s="213" t="str">
        <f t="shared" si="34"/>
        <v>1w</v>
      </c>
      <c r="V1948" s="201">
        <f>_xll.qlCalendarAdvance(Calendar,V1947,U1948,"f",FALSE)</f>
        <v>52447</v>
      </c>
      <c r="W1948" s="225">
        <f>_xll.qlCalendarAdvance(Calendar,V1948,NDays&amp;"D")</f>
        <v>52449</v>
      </c>
      <c r="X1948" s="200">
        <v>2.3206411584897262E-2</v>
      </c>
      <c r="Y1948" s="209">
        <v>2.306055535048479E-2</v>
      </c>
    </row>
    <row r="1949" spans="21:25" x14ac:dyDescent="0.2">
      <c r="U1949" s="213" t="str">
        <f t="shared" si="34"/>
        <v>1w</v>
      </c>
      <c r="V1949" s="201">
        <f>_xll.qlCalendarAdvance(Calendar,V1948,U1949,"f",FALSE)</f>
        <v>52454</v>
      </c>
      <c r="W1949" s="225">
        <f>_xll.qlCalendarAdvance(Calendar,V1949,NDays&amp;"D")</f>
        <v>52456</v>
      </c>
      <c r="X1949" s="200">
        <v>2.3207309560750077E-2</v>
      </c>
      <c r="Y1949" s="209">
        <v>2.3060797178162673E-2</v>
      </c>
    </row>
    <row r="1950" spans="21:25" x14ac:dyDescent="0.2">
      <c r="U1950" s="213" t="str">
        <f t="shared" si="34"/>
        <v>1w</v>
      </c>
      <c r="V1950" s="201">
        <f>_xll.qlCalendarAdvance(Calendar,V1949,U1950,"f",FALSE)</f>
        <v>52461</v>
      </c>
      <c r="W1950" s="225">
        <f>_xll.qlCalendarAdvance(Calendar,V1950,NDays&amp;"D")</f>
        <v>52463</v>
      </c>
      <c r="X1950" s="200">
        <v>2.3208256973264538E-2</v>
      </c>
      <c r="Y1950" s="209">
        <v>2.3061087859481688E-2</v>
      </c>
    </row>
    <row r="1951" spans="21:25" x14ac:dyDescent="0.2">
      <c r="U1951" s="213" t="str">
        <f t="shared" si="34"/>
        <v>1w</v>
      </c>
      <c r="V1951" s="201">
        <f>_xll.qlCalendarAdvance(Calendar,V1950,U1951,"f",FALSE)</f>
        <v>52468</v>
      </c>
      <c r="W1951" s="225">
        <f>_xll.qlCalendarAdvance(Calendar,V1951,NDays&amp;"D")</f>
        <v>52470</v>
      </c>
      <c r="X1951" s="200">
        <v>2.3209253822513706E-2</v>
      </c>
      <c r="Y1951" s="209">
        <v>2.3061427394441836E-2</v>
      </c>
    </row>
    <row r="1952" spans="21:25" x14ac:dyDescent="0.2">
      <c r="U1952" s="213" t="str">
        <f t="shared" si="34"/>
        <v>1w</v>
      </c>
      <c r="V1952" s="201">
        <f>_xll.qlCalendarAdvance(Calendar,V1951,U1952,"f",FALSE)</f>
        <v>52475</v>
      </c>
      <c r="W1952" s="225">
        <f>_xll.qlCalendarAdvance(Calendar,V1952,NDays&amp;"D")</f>
        <v>52477</v>
      </c>
      <c r="X1952" s="200">
        <v>2.3206953608774082E-2</v>
      </c>
      <c r="Y1952" s="209">
        <v>2.3061815782883244E-2</v>
      </c>
    </row>
    <row r="1953" spans="21:25" x14ac:dyDescent="0.2">
      <c r="U1953" s="213" t="str">
        <f t="shared" si="34"/>
        <v>1w</v>
      </c>
      <c r="V1953" s="201">
        <f>_xll.qlCalendarAdvance(Calendar,V1952,U1953,"f",FALSE)</f>
        <v>52482</v>
      </c>
      <c r="W1953" s="225">
        <f>_xll.qlCalendarAdvance(Calendar,V1953,NDays&amp;"D")</f>
        <v>52484</v>
      </c>
      <c r="X1953" s="200">
        <v>2.3208034929610471E-2</v>
      </c>
      <c r="Y1953" s="209">
        <v>2.3062253025125656E-2</v>
      </c>
    </row>
    <row r="1954" spans="21:25" x14ac:dyDescent="0.2">
      <c r="U1954" s="213" t="str">
        <f t="shared" si="34"/>
        <v>1w</v>
      </c>
      <c r="V1954" s="201">
        <f>_xll.qlCalendarAdvance(Calendar,V1953,U1954,"f",FALSE)</f>
        <v>52489</v>
      </c>
      <c r="W1954" s="225">
        <f>_xll.qlCalendarAdvance(Calendar,V1954,NDays&amp;"D")</f>
        <v>52491</v>
      </c>
      <c r="X1954" s="200">
        <v>2.3209165674707148E-2</v>
      </c>
      <c r="Y1954" s="209">
        <v>2.3062739120769393E-2</v>
      </c>
    </row>
    <row r="1955" spans="21:25" x14ac:dyDescent="0.2">
      <c r="U1955" s="213" t="str">
        <f t="shared" si="34"/>
        <v>1w</v>
      </c>
      <c r="V1955" s="201">
        <f>_xll.qlCalendarAdvance(Calendar,V1954,U1955,"f",FALSE)</f>
        <v>52496</v>
      </c>
      <c r="W1955" s="225">
        <f>_xll.qlCalendarAdvance(Calendar,V1955,NDays&amp;"D")</f>
        <v>52498</v>
      </c>
      <c r="X1955" s="200">
        <v>2.3210345844148002E-2</v>
      </c>
      <c r="Y1955" s="209">
        <v>2.3063274070214135E-2</v>
      </c>
    </row>
    <row r="1956" spans="21:25" x14ac:dyDescent="0.2">
      <c r="U1956" s="213" t="str">
        <f t="shared" si="34"/>
        <v>1w</v>
      </c>
      <c r="V1956" s="201">
        <f>_xll.qlCalendarAdvance(Calendar,V1955,U1956,"f",FALSE)</f>
        <v>52503</v>
      </c>
      <c r="W1956" s="225">
        <f>_xll.qlCalendarAdvance(Calendar,V1956,NDays&amp;"D")</f>
        <v>52505</v>
      </c>
      <c r="X1956" s="200">
        <v>2.3212425911651735E-2</v>
      </c>
      <c r="Y1956" s="209">
        <v>2.3063857873140137E-2</v>
      </c>
    </row>
    <row r="1957" spans="21:25" x14ac:dyDescent="0.2">
      <c r="U1957" s="213" t="str">
        <f t="shared" si="34"/>
        <v>1w</v>
      </c>
      <c r="V1957" s="201">
        <f>_xll.qlCalendarAdvance(Calendar,V1956,U1957,"f",FALSE)</f>
        <v>52510</v>
      </c>
      <c r="W1957" s="225">
        <f>_xll.qlCalendarAdvance(Calendar,V1957,NDays&amp;"D")</f>
        <v>52512</v>
      </c>
      <c r="X1957" s="200">
        <v>2.3213708542601821E-2</v>
      </c>
      <c r="Y1957" s="209">
        <v>2.3064490529867143E-2</v>
      </c>
    </row>
    <row r="1958" spans="21:25" x14ac:dyDescent="0.2">
      <c r="U1958" s="213" t="str">
        <f t="shared" si="34"/>
        <v>1w</v>
      </c>
      <c r="V1958" s="201">
        <f>_xll.qlCalendarAdvance(Calendar,V1957,U1958,"f",FALSE)</f>
        <v>52517</v>
      </c>
      <c r="W1958" s="225">
        <f>_xll.qlCalendarAdvance(Calendar,V1958,NDays&amp;"D")</f>
        <v>52519</v>
      </c>
      <c r="X1958" s="200">
        <v>2.3218475235108865E-2</v>
      </c>
      <c r="Y1958" s="209">
        <v>2.306517204007541E-2</v>
      </c>
    </row>
    <row r="1959" spans="21:25" x14ac:dyDescent="0.2">
      <c r="U1959" s="213" t="str">
        <f t="shared" si="34"/>
        <v>1w</v>
      </c>
      <c r="V1959" s="201">
        <f>_xll.qlCalendarAdvance(Calendar,V1958,U1959,"f",FALSE)</f>
        <v>52524</v>
      </c>
      <c r="W1959" s="225">
        <f>_xll.qlCalendarAdvance(Calendar,V1959,NDays&amp;"D")</f>
        <v>52526</v>
      </c>
      <c r="X1959" s="200">
        <v>2.3216422087993703E-2</v>
      </c>
      <c r="Y1959" s="209">
        <v>2.306590240392481E-2</v>
      </c>
    </row>
    <row r="1960" spans="21:25" x14ac:dyDescent="0.2">
      <c r="U1960" s="213" t="str">
        <f t="shared" si="34"/>
        <v>1w</v>
      </c>
      <c r="V1960" s="201">
        <f>_xll.qlCalendarAdvance(Calendar,V1959,U1960,"f",FALSE)</f>
        <v>52531</v>
      </c>
      <c r="W1960" s="225">
        <f>_xll.qlCalendarAdvance(Calendar,V1960,NDays&amp;"D")</f>
        <v>52533</v>
      </c>
      <c r="X1960" s="200">
        <v>2.3217853002638619E-2</v>
      </c>
      <c r="Y1960" s="209">
        <v>2.3066681621415341E-2</v>
      </c>
    </row>
    <row r="1961" spans="21:25" x14ac:dyDescent="0.2">
      <c r="U1961" s="213" t="str">
        <f t="shared" si="34"/>
        <v>1w</v>
      </c>
      <c r="V1961" s="201">
        <f>_xll.qlCalendarAdvance(Calendar,V1960,U1961,"f",FALSE)</f>
        <v>52538</v>
      </c>
      <c r="W1961" s="225">
        <f>_xll.qlCalendarAdvance(Calendar,V1961,NDays&amp;"D")</f>
        <v>52540</v>
      </c>
      <c r="X1961" s="200">
        <v>2.3218464777172345E-2</v>
      </c>
      <c r="Y1961" s="209">
        <v>2.3067509692547006E-2</v>
      </c>
    </row>
    <row r="1962" spans="21:25" x14ac:dyDescent="0.2">
      <c r="U1962" s="213" t="str">
        <f t="shared" si="34"/>
        <v>1w</v>
      </c>
      <c r="V1962" s="201">
        <f>_xll.qlCalendarAdvance(Calendar,V1961,U1962,"f",FALSE)</f>
        <v>52545</v>
      </c>
      <c r="W1962" s="225">
        <f>_xll.qlCalendarAdvance(Calendar,V1962,NDays&amp;"D")</f>
        <v>52547</v>
      </c>
      <c r="X1962" s="200">
        <v>2.3219990919675266E-2</v>
      </c>
      <c r="Y1962" s="209">
        <v>2.3068386617239867E-2</v>
      </c>
    </row>
    <row r="1963" spans="21:25" x14ac:dyDescent="0.2">
      <c r="U1963" s="213" t="str">
        <f t="shared" si="34"/>
        <v>1w</v>
      </c>
      <c r="V1963" s="201">
        <f>_xll.qlCalendarAdvance(Calendar,V1962,U1963,"f",FALSE)</f>
        <v>52552</v>
      </c>
      <c r="W1963" s="225">
        <f>_xll.qlCalendarAdvance(Calendar,V1963,NDays&amp;"D")</f>
        <v>52554</v>
      </c>
      <c r="X1963" s="200">
        <v>2.322156648732436E-2</v>
      </c>
      <c r="Y1963" s="209">
        <v>2.3069312395653796E-2</v>
      </c>
    </row>
    <row r="1964" spans="21:25" x14ac:dyDescent="0.2">
      <c r="U1964" s="213" t="str">
        <f t="shared" si="34"/>
        <v>1w</v>
      </c>
      <c r="V1964" s="201">
        <f>_xll.qlCalendarAdvance(Calendar,V1963,U1964,"f",FALSE)</f>
        <v>52559</v>
      </c>
      <c r="W1964" s="225">
        <f>_xll.qlCalendarAdvance(Calendar,V1964,NDays&amp;"D")</f>
        <v>52561</v>
      </c>
      <c r="X1964" s="200">
        <v>2.3223191480236459E-2</v>
      </c>
      <c r="Y1964" s="209">
        <v>2.3070287027548986E-2</v>
      </c>
    </row>
    <row r="1965" spans="21:25" x14ac:dyDescent="0.2">
      <c r="U1965" s="213" t="str">
        <f t="shared" si="34"/>
        <v>1w</v>
      </c>
      <c r="V1965" s="201">
        <f>_xll.qlCalendarAdvance(Calendar,V1964,U1965,"f",FALSE)</f>
        <v>52566</v>
      </c>
      <c r="W1965" s="225">
        <f>_xll.qlCalendarAdvance(Calendar,V1965,NDays&amp;"D")</f>
        <v>52568</v>
      </c>
      <c r="X1965" s="200">
        <v>2.3225748999721896E-2</v>
      </c>
      <c r="Y1965" s="209">
        <v>2.3071310513165244E-2</v>
      </c>
    </row>
    <row r="1966" spans="21:25" x14ac:dyDescent="0.2">
      <c r="U1966" s="213" t="str">
        <f t="shared" si="34"/>
        <v>1w</v>
      </c>
      <c r="V1966" s="201">
        <f>_xll.qlCalendarAdvance(Calendar,V1965,U1966,"f",FALSE)</f>
        <v>52573</v>
      </c>
      <c r="W1966" s="225">
        <f>_xll.qlCalendarAdvance(Calendar,V1966,NDays&amp;"D")</f>
        <v>52575</v>
      </c>
      <c r="X1966" s="200">
        <v>2.3227476200796082E-2</v>
      </c>
      <c r="Y1966" s="209">
        <v>2.3072382852342699E-2</v>
      </c>
    </row>
    <row r="1967" spans="21:25" x14ac:dyDescent="0.2">
      <c r="U1967" s="213" t="str">
        <f t="shared" si="34"/>
        <v>1w</v>
      </c>
      <c r="V1967" s="201">
        <f>_xll.qlCalendarAdvance(Calendar,V1966,U1967,"f",FALSE)</f>
        <v>52580</v>
      </c>
      <c r="W1967" s="225">
        <f>_xll.qlCalendarAdvance(Calendar,V1967,NDays&amp;"D")</f>
        <v>52582</v>
      </c>
      <c r="X1967" s="200">
        <v>2.3229251127066305E-2</v>
      </c>
      <c r="Y1967" s="209">
        <v>2.3073504045241222E-2</v>
      </c>
    </row>
    <row r="1968" spans="21:25" x14ac:dyDescent="0.2">
      <c r="U1968" s="213" t="str">
        <f t="shared" si="34"/>
        <v>1w</v>
      </c>
      <c r="V1968" s="201">
        <f>_xll.qlCalendarAdvance(Calendar,V1967,U1968,"f",FALSE)</f>
        <v>52587</v>
      </c>
      <c r="W1968" s="225">
        <f>_xll.qlCalendarAdvance(Calendar,V1968,NDays&amp;"D")</f>
        <v>52589</v>
      </c>
      <c r="X1968" s="200">
        <v>2.323107207502921E-2</v>
      </c>
      <c r="Y1968" s="209">
        <v>2.3077150441785932E-2</v>
      </c>
    </row>
    <row r="1969" spans="21:25" x14ac:dyDescent="0.2">
      <c r="U1969" s="213" t="str">
        <f t="shared" si="34"/>
        <v>1w</v>
      </c>
      <c r="V1969" s="201">
        <f>_xll.qlCalendarAdvance(Calendar,V1968,U1969,"f",FALSE)</f>
        <v>52594</v>
      </c>
      <c r="W1969" s="225">
        <f>_xll.qlCalendarAdvance(Calendar,V1969,NDays&amp;"D")</f>
        <v>52596</v>
      </c>
      <c r="X1969" s="200">
        <v>2.3232041445842084E-2</v>
      </c>
      <c r="Y1969" s="209">
        <v>2.3078380046923641E-2</v>
      </c>
    </row>
    <row r="1970" spans="21:25" x14ac:dyDescent="0.2">
      <c r="U1970" s="213" t="str">
        <f t="shared" si="34"/>
        <v>1w</v>
      </c>
      <c r="V1970" s="201">
        <f>_xll.qlCalendarAdvance(Calendar,V1969,U1970,"f",FALSE)</f>
        <v>52601</v>
      </c>
      <c r="W1970" s="225">
        <f>_xll.qlCalendarAdvance(Calendar,V1970,NDays&amp;"D")</f>
        <v>52603</v>
      </c>
      <c r="X1970" s="200">
        <v>2.3233946662319854E-2</v>
      </c>
      <c r="Y1970" s="209">
        <v>2.3077160745463843E-2</v>
      </c>
    </row>
    <row r="1971" spans="21:25" x14ac:dyDescent="0.2">
      <c r="U1971" s="213" t="str">
        <f t="shared" si="34"/>
        <v>1w</v>
      </c>
      <c r="V1971" s="201">
        <f>_xll.qlCalendarAdvance(Calendar,V1970,U1971,"f",FALSE)</f>
        <v>52608</v>
      </c>
      <c r="W1971" s="225">
        <f>_xll.qlCalendarAdvance(Calendar,V1971,NDays&amp;"D")</f>
        <v>52610</v>
      </c>
      <c r="X1971" s="200">
        <v>2.3235892985221381E-2</v>
      </c>
      <c r="Y1971" s="209">
        <v>2.3078477352767024E-2</v>
      </c>
    </row>
    <row r="1972" spans="21:25" x14ac:dyDescent="0.2">
      <c r="U1972" s="213" t="str">
        <f t="shared" si="34"/>
        <v>1w</v>
      </c>
      <c r="V1972" s="201">
        <f>_xll.qlCalendarAdvance(Calendar,V1971,U1972,"f",FALSE)</f>
        <v>52615</v>
      </c>
      <c r="W1972" s="225">
        <f>_xll.qlCalendarAdvance(Calendar,V1972,NDays&amp;"D")</f>
        <v>52617</v>
      </c>
      <c r="X1972" s="200">
        <v>2.3237878701779159E-2</v>
      </c>
      <c r="Y1972" s="209">
        <v>2.3079842813711338E-2</v>
      </c>
    </row>
    <row r="1973" spans="21:25" x14ac:dyDescent="0.2">
      <c r="U1973" s="213" t="str">
        <f t="shared" si="34"/>
        <v>1w</v>
      </c>
      <c r="V1973" s="201">
        <f>_xll.qlCalendarAdvance(Calendar,V1972,U1973,"f",FALSE)</f>
        <v>52622</v>
      </c>
      <c r="W1973" s="225">
        <f>_xll.qlCalendarAdvance(Calendar,V1973,NDays&amp;"D")</f>
        <v>52624</v>
      </c>
      <c r="X1973" s="200">
        <v>2.3239902099222162E-2</v>
      </c>
      <c r="Y1973" s="209">
        <v>2.3081257128296784E-2</v>
      </c>
    </row>
    <row r="1974" spans="21:25" x14ac:dyDescent="0.2">
      <c r="U1974" s="213" t="str">
        <f t="shared" si="34"/>
        <v>1w</v>
      </c>
      <c r="V1974" s="201">
        <f>_xll.qlCalendarAdvance(Calendar,V1973,U1974,"f",FALSE)</f>
        <v>52629</v>
      </c>
      <c r="W1974" s="225">
        <f>_xll.qlCalendarAdvance(Calendar,V1974,NDays&amp;"D")</f>
        <v>52631</v>
      </c>
      <c r="X1974" s="200">
        <v>2.3241961464775852E-2</v>
      </c>
      <c r="Y1974" s="209">
        <v>2.3082720296523362E-2</v>
      </c>
    </row>
    <row r="1975" spans="21:25" x14ac:dyDescent="0.2">
      <c r="U1975" s="213" t="str">
        <f t="shared" si="34"/>
        <v>1w</v>
      </c>
      <c r="V1975" s="201">
        <f>_xll.qlCalendarAdvance(Calendar,V1974,U1975,"f",FALSE)</f>
        <v>52636</v>
      </c>
      <c r="W1975" s="225">
        <f>_xll.qlCalendarAdvance(Calendar,V1975,NDays&amp;"D")</f>
        <v>52638</v>
      </c>
      <c r="X1975" s="200">
        <v>2.3244055085657349E-2</v>
      </c>
      <c r="Y1975" s="209">
        <v>2.3084232318391074E-2</v>
      </c>
    </row>
    <row r="1976" spans="21:25" x14ac:dyDescent="0.2">
      <c r="U1976" s="213" t="str">
        <f t="shared" si="34"/>
        <v>1w</v>
      </c>
      <c r="V1976" s="201">
        <f>_xll.qlCalendarAdvance(Calendar,V1975,U1976,"f",FALSE)</f>
        <v>52643</v>
      </c>
      <c r="W1976" s="225">
        <f>_xll.qlCalendarAdvance(Calendar,V1976,NDays&amp;"D")</f>
        <v>52645</v>
      </c>
      <c r="X1976" s="200">
        <v>2.3246181249082887E-2</v>
      </c>
      <c r="Y1976" s="209">
        <v>2.3085793193819981E-2</v>
      </c>
    </row>
    <row r="1977" spans="21:25" x14ac:dyDescent="0.2">
      <c r="U1977" s="213" t="str">
        <f t="shared" si="34"/>
        <v>1w</v>
      </c>
      <c r="V1977" s="201">
        <f>_xll.qlCalendarAdvance(Calendar,V1976,U1977,"f",FALSE)</f>
        <v>52650</v>
      </c>
      <c r="W1977" s="225">
        <f>_xll.qlCalendarAdvance(Calendar,V1977,NDays&amp;"D")</f>
        <v>52652</v>
      </c>
      <c r="X1977" s="200">
        <v>2.3248338242257732E-2</v>
      </c>
      <c r="Y1977" s="209">
        <v>2.3087402922890021E-2</v>
      </c>
    </row>
    <row r="1978" spans="21:25" x14ac:dyDescent="0.2">
      <c r="U1978" s="213" t="str">
        <f t="shared" si="34"/>
        <v>1w</v>
      </c>
      <c r="V1978" s="201">
        <f>_xll.qlCalendarAdvance(Calendar,V1977,U1978,"f",FALSE)</f>
        <v>52657</v>
      </c>
      <c r="W1978" s="225">
        <f>_xll.qlCalendarAdvance(Calendar,V1978,NDays&amp;"D")</f>
        <v>52659</v>
      </c>
      <c r="X1978" s="200">
        <v>2.325417959033229E-2</v>
      </c>
      <c r="Y1978" s="209">
        <v>2.308906150568113E-2</v>
      </c>
    </row>
    <row r="1979" spans="21:25" x14ac:dyDescent="0.2">
      <c r="U1979" s="213" t="str">
        <f t="shared" si="34"/>
        <v>1w</v>
      </c>
      <c r="V1979" s="201">
        <f>_xll.qlCalendarAdvance(Calendar,V1978,U1979,"f",FALSE)</f>
        <v>52664</v>
      </c>
      <c r="W1979" s="225">
        <f>_xll.qlCalendarAdvance(Calendar,V1979,NDays&amp;"D")</f>
        <v>52666</v>
      </c>
      <c r="X1979" s="200">
        <v>2.3256398017587519E-2</v>
      </c>
      <c r="Y1979" s="209">
        <v>2.3090768942033435E-2</v>
      </c>
    </row>
    <row r="1980" spans="21:25" x14ac:dyDescent="0.2">
      <c r="U1980" s="213" t="str">
        <f t="shared" si="34"/>
        <v>1w</v>
      </c>
      <c r="V1980" s="201">
        <f>_xll.qlCalendarAdvance(Calendar,V1979,U1980,"f",FALSE)</f>
        <v>52671</v>
      </c>
      <c r="W1980" s="225">
        <f>_xll.qlCalendarAdvance(Calendar,V1980,NDays&amp;"D")</f>
        <v>52673</v>
      </c>
      <c r="X1980" s="200">
        <v>2.3258641695438339E-2</v>
      </c>
      <c r="Y1980" s="209">
        <v>2.3092525232026873E-2</v>
      </c>
    </row>
    <row r="1981" spans="21:25" x14ac:dyDescent="0.2">
      <c r="U1981" s="213" t="str">
        <f t="shared" si="34"/>
        <v>1w</v>
      </c>
      <c r="V1981" s="201">
        <f>_xll.qlCalendarAdvance(Calendar,V1980,U1981,"f",FALSE)</f>
        <v>52678</v>
      </c>
      <c r="W1981" s="225">
        <f>_xll.qlCalendarAdvance(Calendar,V1981,NDays&amp;"D")</f>
        <v>52680</v>
      </c>
      <c r="X1981" s="200">
        <v>2.3260908947473059E-2</v>
      </c>
      <c r="Y1981" s="209">
        <v>2.3094330375501571E-2</v>
      </c>
    </row>
    <row r="1982" spans="21:25" x14ac:dyDescent="0.2">
      <c r="U1982" s="213" t="str">
        <f t="shared" si="34"/>
        <v>1w</v>
      </c>
      <c r="V1982" s="201">
        <f>_xll.qlCalendarAdvance(Calendar,V1981,U1982,"f",FALSE)</f>
        <v>52685</v>
      </c>
      <c r="W1982" s="225">
        <f>_xll.qlCalendarAdvance(Calendar,V1982,NDays&amp;"D")</f>
        <v>52687</v>
      </c>
      <c r="X1982" s="200">
        <v>2.3260443654062626E-2</v>
      </c>
      <c r="Y1982" s="209">
        <v>2.3096184372857209E-2</v>
      </c>
    </row>
    <row r="1983" spans="21:25" x14ac:dyDescent="0.2">
      <c r="U1983" s="213" t="str">
        <f t="shared" si="34"/>
        <v>1w</v>
      </c>
      <c r="V1983" s="201">
        <f>_xll.qlCalendarAdvance(Calendar,V1982,U1983,"f",FALSE)</f>
        <v>52692</v>
      </c>
      <c r="W1983" s="225">
        <f>_xll.qlCalendarAdvance(Calendar,V1983,NDays&amp;"D")</f>
        <v>52694</v>
      </c>
      <c r="X1983" s="200">
        <v>2.3262750504369469E-2</v>
      </c>
      <c r="Y1983" s="209">
        <v>2.3098087223694108E-2</v>
      </c>
    </row>
    <row r="1984" spans="21:25" x14ac:dyDescent="0.2">
      <c r="U1984" s="213" t="str">
        <f t="shared" si="34"/>
        <v>1w</v>
      </c>
      <c r="V1984" s="201">
        <f>_xll.qlCalendarAdvance(Calendar,V1983,U1984,"f",FALSE)</f>
        <v>52699</v>
      </c>
      <c r="W1984" s="225">
        <f>_xll.qlCalendarAdvance(Calendar,V1984,NDays&amp;"D")</f>
        <v>52701</v>
      </c>
      <c r="X1984" s="200">
        <v>2.3265076119710428E-2</v>
      </c>
      <c r="Y1984" s="209">
        <v>2.3103571374075926E-2</v>
      </c>
    </row>
    <row r="1985" spans="21:25" x14ac:dyDescent="0.2">
      <c r="U1985" s="213" t="str">
        <f t="shared" si="34"/>
        <v>1w</v>
      </c>
      <c r="V1985" s="201">
        <f>_xll.qlCalendarAdvance(Calendar,V1984,U1985,"f",FALSE)</f>
        <v>52706</v>
      </c>
      <c r="W1985" s="225">
        <f>_xll.qlCalendarAdvance(Calendar,V1985,NDays&amp;"D")</f>
        <v>52708</v>
      </c>
      <c r="X1985" s="200">
        <v>2.3267418796490861E-2</v>
      </c>
      <c r="Y1985" s="209">
        <v>2.3102039486291304E-2</v>
      </c>
    </row>
    <row r="1986" spans="21:25" x14ac:dyDescent="0.2">
      <c r="U1986" s="213" t="str">
        <f t="shared" si="34"/>
        <v>1w</v>
      </c>
      <c r="V1986" s="201">
        <f>_xll.qlCalendarAdvance(Calendar,V1985,U1986,"f",FALSE)</f>
        <v>52713</v>
      </c>
      <c r="W1986" s="225">
        <f>_xll.qlCalendarAdvance(Calendar,V1986,NDays&amp;"D")</f>
        <v>52715</v>
      </c>
      <c r="X1986" s="200">
        <v>2.3269776831107827E-2</v>
      </c>
      <c r="Y1986" s="209">
        <v>2.31040888980516E-2</v>
      </c>
    </row>
    <row r="1987" spans="21:25" x14ac:dyDescent="0.2">
      <c r="U1987" s="213" t="str">
        <f t="shared" si="34"/>
        <v>1w</v>
      </c>
      <c r="V1987" s="201">
        <f>_xll.qlCalendarAdvance(Calendar,V1986,U1987,"f",FALSE)</f>
        <v>52720</v>
      </c>
      <c r="W1987" s="225">
        <f>_xll.qlCalendarAdvance(Calendar,V1987,NDays&amp;"D")</f>
        <v>52722</v>
      </c>
      <c r="X1987" s="200">
        <v>2.32749136376449E-2</v>
      </c>
      <c r="Y1987" s="209">
        <v>2.3106187163532965E-2</v>
      </c>
    </row>
    <row r="1988" spans="21:25" x14ac:dyDescent="0.2">
      <c r="U1988" s="213" t="str">
        <f t="shared" si="34"/>
        <v>1w</v>
      </c>
      <c r="V1988" s="201">
        <f>_xll.qlCalendarAdvance(Calendar,V1987,U1988,"f",FALSE)</f>
        <v>52727</v>
      </c>
      <c r="W1988" s="225">
        <f>_xll.qlCalendarAdvance(Calendar,V1988,NDays&amp;"D")</f>
        <v>52729</v>
      </c>
      <c r="X1988" s="200">
        <v>2.3277298968860889E-2</v>
      </c>
      <c r="Y1988" s="209">
        <v>2.3108334282495591E-2</v>
      </c>
    </row>
    <row r="1989" spans="21:25" x14ac:dyDescent="0.2">
      <c r="U1989" s="213" t="str">
        <f t="shared" si="34"/>
        <v>1w</v>
      </c>
      <c r="V1989" s="201">
        <f>_xll.qlCalendarAdvance(Calendar,V1988,U1989,"f",FALSE)</f>
        <v>52734</v>
      </c>
      <c r="W1989" s="225">
        <f>_xll.qlCalendarAdvance(Calendar,V1989,NDays&amp;"D")</f>
        <v>52736</v>
      </c>
      <c r="X1989" s="200">
        <v>2.3279694462711054E-2</v>
      </c>
      <c r="Y1989" s="209">
        <v>2.3110530255259221E-2</v>
      </c>
    </row>
    <row r="1990" spans="21:25" x14ac:dyDescent="0.2">
      <c r="U1990" s="213" t="str">
        <f t="shared" si="34"/>
        <v>1w</v>
      </c>
      <c r="V1990" s="201">
        <f>_xll.qlCalendarAdvance(Calendar,V1989,U1990,"f",FALSE)</f>
        <v>52741</v>
      </c>
      <c r="W1990" s="225">
        <f>_xll.qlCalendarAdvance(Calendar,V1990,NDays&amp;"D")</f>
        <v>52743</v>
      </c>
      <c r="X1990" s="200">
        <v>2.3282098442717083E-2</v>
      </c>
      <c r="Y1990" s="209">
        <v>2.3112775081504111E-2</v>
      </c>
    </row>
    <row r="1991" spans="21:25" x14ac:dyDescent="0.2">
      <c r="U1991" s="213" t="str">
        <f t="shared" si="34"/>
        <v>1w</v>
      </c>
      <c r="V1991" s="201">
        <f>_xll.qlCalendarAdvance(Calendar,V1990,U1991,"f",FALSE)</f>
        <v>52748</v>
      </c>
      <c r="W1991" s="225">
        <f>_xll.qlCalendarAdvance(Calendar,V1991,NDays&amp;"D")</f>
        <v>52750</v>
      </c>
      <c r="X1991" s="200">
        <v>2.3281737745120937E-2</v>
      </c>
      <c r="Y1991" s="209">
        <v>2.3115068761550006E-2</v>
      </c>
    </row>
    <row r="1992" spans="21:25" x14ac:dyDescent="0.2">
      <c r="U1992" s="213" t="str">
        <f t="shared" si="34"/>
        <v>1w</v>
      </c>
      <c r="V1992" s="201">
        <f>_xll.qlCalendarAdvance(Calendar,V1991,U1992,"f",FALSE)</f>
        <v>52755</v>
      </c>
      <c r="W1992" s="225">
        <f>_xll.qlCalendarAdvance(Calendar,V1992,NDays&amp;"D")</f>
        <v>52757</v>
      </c>
      <c r="X1992" s="200">
        <v>2.3284152329483335E-2</v>
      </c>
      <c r="Y1992" s="209">
        <v>2.3117392279328186E-2</v>
      </c>
    </row>
    <row r="1993" spans="21:25" x14ac:dyDescent="0.2">
      <c r="U1993" s="213" t="str">
        <f t="shared" si="34"/>
        <v>1w</v>
      </c>
      <c r="V1993" s="201">
        <f>_xll.qlCalendarAdvance(Calendar,V1992,U1993,"f",FALSE)</f>
        <v>52762</v>
      </c>
      <c r="W1993" s="225">
        <f>_xll.qlCalendarAdvance(Calendar,V1993,NDays&amp;"D")</f>
        <v>52764</v>
      </c>
      <c r="X1993" s="200">
        <v>2.3286571807367824E-2</v>
      </c>
      <c r="Y1993" s="209">
        <v>2.3119720779760655E-2</v>
      </c>
    </row>
    <row r="1994" spans="21:25" x14ac:dyDescent="0.2">
      <c r="U1994" s="213" t="str">
        <f t="shared" si="34"/>
        <v>1w</v>
      </c>
      <c r="V1994" s="201">
        <f>_xll.qlCalendarAdvance(Calendar,V1993,U1994,"f",FALSE)</f>
        <v>52769</v>
      </c>
      <c r="W1994" s="225">
        <f>_xll.qlCalendarAdvance(Calendar,V1994,NDays&amp;"D")</f>
        <v>52771</v>
      </c>
      <c r="X1994" s="200">
        <v>2.3288996177965E-2</v>
      </c>
      <c r="Y1994" s="209">
        <v>2.3122054113127177E-2</v>
      </c>
    </row>
    <row r="1995" spans="21:25" x14ac:dyDescent="0.2">
      <c r="U1995" s="213" t="str">
        <f t="shared" si="34"/>
        <v>1w</v>
      </c>
      <c r="V1995" s="201">
        <f>_xll.qlCalendarAdvance(Calendar,V1994,U1995,"f",FALSE)</f>
        <v>52776</v>
      </c>
      <c r="W1995" s="225">
        <f>_xll.qlCalendarAdvance(Calendar,V1995,NDays&amp;"D")</f>
        <v>52778</v>
      </c>
      <c r="X1995" s="200">
        <v>2.3291425441291015E-2</v>
      </c>
      <c r="Y1995" s="209">
        <v>2.3124392279347816E-2</v>
      </c>
    </row>
    <row r="1996" spans="21:25" x14ac:dyDescent="0.2">
      <c r="U1996" s="213" t="str">
        <f t="shared" si="34"/>
        <v>1w</v>
      </c>
      <c r="V1996" s="201">
        <f>_xll.qlCalendarAdvance(Calendar,V1995,U1996,"f",FALSE)</f>
        <v>52783</v>
      </c>
      <c r="W1996" s="225">
        <f>_xll.qlCalendarAdvance(Calendar,V1996,NDays&amp;"D")</f>
        <v>52785</v>
      </c>
      <c r="X1996" s="200">
        <v>2.3296638666782287E-2</v>
      </c>
      <c r="Y1996" s="209">
        <v>2.3126735278422572E-2</v>
      </c>
    </row>
    <row r="1997" spans="21:25" x14ac:dyDescent="0.2">
      <c r="U1997" s="213" t="str">
        <f t="shared" si="34"/>
        <v>1w</v>
      </c>
      <c r="V1997" s="201">
        <f>_xll.qlCalendarAdvance(Calendar,V1996,U1997,"f",FALSE)</f>
        <v>52790</v>
      </c>
      <c r="W1997" s="225">
        <f>_xll.qlCalendarAdvance(Calendar,V1997,NDays&amp;"D")</f>
        <v>52792</v>
      </c>
      <c r="X1997" s="200">
        <v>2.3299079235039023E-2</v>
      </c>
      <c r="Y1997" s="209">
        <v>2.3129083110431381E-2</v>
      </c>
    </row>
    <row r="1998" spans="21:25" x14ac:dyDescent="0.2">
      <c r="U1998" s="213" t="str">
        <f t="shared" si="34"/>
        <v>1w</v>
      </c>
      <c r="V1998" s="201">
        <f>_xll.qlCalendarAdvance(Calendar,V1997,U1998,"f",FALSE)</f>
        <v>52797</v>
      </c>
      <c r="W1998" s="225">
        <f>_xll.qlCalendarAdvance(Calendar,V1998,NDays&amp;"D")</f>
        <v>52799</v>
      </c>
      <c r="X1998" s="200">
        <v>2.3301524697077483E-2</v>
      </c>
      <c r="Y1998" s="209">
        <v>2.3131435775294307E-2</v>
      </c>
    </row>
    <row r="1999" spans="21:25" x14ac:dyDescent="0.2">
      <c r="U1999" s="213" t="str">
        <f t="shared" si="34"/>
        <v>1w</v>
      </c>
      <c r="V1999" s="201">
        <f>_xll.qlCalendarAdvance(Calendar,V1998,U1999,"f",FALSE)</f>
        <v>52804</v>
      </c>
      <c r="W1999" s="225">
        <f>_xll.qlCalendarAdvance(Calendar,V1999,NDays&amp;"D")</f>
        <v>52806</v>
      </c>
      <c r="X1999" s="200">
        <v>2.3303975052914861E-2</v>
      </c>
      <c r="Y1999" s="209">
        <v>2.3133793273011349E-2</v>
      </c>
    </row>
    <row r="2000" spans="21:25" x14ac:dyDescent="0.2">
      <c r="U2000" s="213" t="str">
        <f t="shared" si="34"/>
        <v>1w</v>
      </c>
      <c r="V2000" s="201">
        <f>_xll.qlCalendarAdvance(Calendar,V1999,U2000,"f",FALSE)</f>
        <v>52811</v>
      </c>
      <c r="W2000" s="225">
        <f>_xll.qlCalendarAdvance(Calendar,V2000,NDays&amp;"D")</f>
        <v>52813</v>
      </c>
      <c r="X2000" s="200">
        <v>2.3306430302570489E-2</v>
      </c>
      <c r="Y2000" s="209">
        <v>2.3136155603662445E-2</v>
      </c>
    </row>
    <row r="2001" spans="21:25" x14ac:dyDescent="0.2">
      <c r="U2001" s="213" t="str">
        <f t="shared" si="34"/>
        <v>1w</v>
      </c>
      <c r="V2001" s="201">
        <f>_xll.qlCalendarAdvance(Calendar,V2000,U2001,"f",FALSE)</f>
        <v>52818</v>
      </c>
      <c r="W2001" s="225">
        <f>_xll.qlCalendarAdvance(Calendar,V2001,NDays&amp;"D")</f>
        <v>52820</v>
      </c>
      <c r="X2001" s="200">
        <v>2.3308890446062422E-2</v>
      </c>
      <c r="Y2001" s="209">
        <v>2.3138522767247593E-2</v>
      </c>
    </row>
    <row r="2002" spans="21:25" x14ac:dyDescent="0.2">
      <c r="U2002" s="213" t="str">
        <f t="shared" si="34"/>
        <v>1w</v>
      </c>
      <c r="V2002" s="201">
        <f>_xll.qlCalendarAdvance(Calendar,V2001,U2002,"f",FALSE)</f>
        <v>52825</v>
      </c>
      <c r="W2002" s="225">
        <f>_xll.qlCalendarAdvance(Calendar,V2002,NDays&amp;"D")</f>
        <v>52827</v>
      </c>
      <c r="X2002" s="200">
        <v>2.3311355483408711E-2</v>
      </c>
      <c r="Y2002" s="209">
        <v>2.3140894763606923E-2</v>
      </c>
    </row>
    <row r="2003" spans="21:25" x14ac:dyDescent="0.2">
      <c r="U2003" s="213" t="str">
        <f t="shared" si="34"/>
        <v>1w</v>
      </c>
      <c r="V2003" s="201">
        <f>_xll.qlCalendarAdvance(Calendar,V2002,U2003,"f",FALSE)</f>
        <v>52832</v>
      </c>
      <c r="W2003" s="225">
        <f>_xll.qlCalendarAdvance(Calendar,V2003,NDays&amp;"D")</f>
        <v>52834</v>
      </c>
      <c r="X2003" s="200">
        <v>2.3313825414628262E-2</v>
      </c>
      <c r="Y2003" s="209">
        <v>2.3143271592980241E-2</v>
      </c>
    </row>
    <row r="2004" spans="21:25" x14ac:dyDescent="0.2">
      <c r="U2004" s="213" t="str">
        <f t="shared" si="34"/>
        <v>1w</v>
      </c>
      <c r="V2004" s="201">
        <f>_xll.qlCalendarAdvance(Calendar,V2003,U2004,"f",FALSE)</f>
        <v>52839</v>
      </c>
      <c r="W2004" s="225">
        <f>_xll.qlCalendarAdvance(Calendar,V2004,NDays&amp;"D")</f>
        <v>52841</v>
      </c>
      <c r="X2004" s="200">
        <v>2.3311648594679393E-2</v>
      </c>
      <c r="Y2004" s="209">
        <v>2.3145653255207677E-2</v>
      </c>
    </row>
    <row r="2005" spans="21:25" x14ac:dyDescent="0.2">
      <c r="U2005" s="213" t="str">
        <f t="shared" ref="U2005:U2068" si="35">U2004</f>
        <v>1w</v>
      </c>
      <c r="V2005" s="201">
        <f>_xll.qlCalendarAdvance(Calendar,V2004,U2005,"f",FALSE)</f>
        <v>52846</v>
      </c>
      <c r="W2005" s="225">
        <f>_xll.qlCalendarAdvance(Calendar,V2005,NDays&amp;"D")</f>
        <v>52848</v>
      </c>
      <c r="X2005" s="200">
        <v>2.3314125768315555E-2</v>
      </c>
      <c r="Y2005" s="209">
        <v>2.3148039750289229E-2</v>
      </c>
    </row>
    <row r="2006" spans="21:25" x14ac:dyDescent="0.2">
      <c r="U2006" s="213" t="str">
        <f t="shared" si="35"/>
        <v>1w</v>
      </c>
      <c r="V2006" s="201">
        <f>_xll.qlCalendarAdvance(Calendar,V2005,U2006,"f",FALSE)</f>
        <v>52853</v>
      </c>
      <c r="W2006" s="225">
        <f>_xll.qlCalendarAdvance(Calendar,V2006,NDays&amp;"D")</f>
        <v>52855</v>
      </c>
      <c r="X2006" s="200">
        <v>2.3316607834214666E-2</v>
      </c>
      <c r="Y2006" s="209">
        <v>2.3150431078144962E-2</v>
      </c>
    </row>
    <row r="2007" spans="21:25" x14ac:dyDescent="0.2">
      <c r="U2007" s="213" t="str">
        <f t="shared" si="35"/>
        <v>1w</v>
      </c>
      <c r="V2007" s="201">
        <f>_xll.qlCalendarAdvance(Calendar,V2006,U2007,"f",FALSE)</f>
        <v>52860</v>
      </c>
      <c r="W2007" s="225">
        <f>_xll.qlCalendarAdvance(Calendar,V2007,NDays&amp;"D")</f>
        <v>52862</v>
      </c>
      <c r="X2007" s="200">
        <v>2.3319094792393948E-2</v>
      </c>
      <c r="Y2007" s="209">
        <v>2.315282723909462E-2</v>
      </c>
    </row>
    <row r="2008" spans="21:25" x14ac:dyDescent="0.2">
      <c r="U2008" s="213" t="str">
        <f t="shared" si="35"/>
        <v>1w</v>
      </c>
      <c r="V2008" s="201">
        <f>_xll.qlCalendarAdvance(Calendar,V2007,U2008,"f",FALSE)</f>
        <v>52867</v>
      </c>
      <c r="W2008" s="225">
        <f>_xll.qlCalendarAdvance(Calendar,V2008,NDays&amp;"D")</f>
        <v>52869</v>
      </c>
      <c r="X2008" s="200">
        <v>2.3321586642872393E-2</v>
      </c>
      <c r="Y2008" s="209">
        <v>2.3155228232818459E-2</v>
      </c>
    </row>
    <row r="2009" spans="21:25" x14ac:dyDescent="0.2">
      <c r="U2009" s="213" t="str">
        <f t="shared" si="35"/>
        <v>1w</v>
      </c>
      <c r="V2009" s="201">
        <f>_xll.qlCalendarAdvance(Calendar,V2008,U2009,"f",FALSE)</f>
        <v>52874</v>
      </c>
      <c r="W2009" s="225">
        <f>_xll.qlCalendarAdvance(Calendar,V2009,NDays&amp;"D")</f>
        <v>52876</v>
      </c>
      <c r="X2009" s="200">
        <v>2.3325016085720959E-2</v>
      </c>
      <c r="Y2009" s="209">
        <v>2.3157634059396415E-2</v>
      </c>
    </row>
    <row r="2010" spans="21:25" x14ac:dyDescent="0.2">
      <c r="U2010" s="213" t="str">
        <f t="shared" si="35"/>
        <v>1w</v>
      </c>
      <c r="V2010" s="201">
        <f>_xll.qlCalendarAdvance(Calendar,V2009,U2010,"f",FALSE)</f>
        <v>52881</v>
      </c>
      <c r="W2010" s="225">
        <f>_xll.qlCalendarAdvance(Calendar,V2010,NDays&amp;"D")</f>
        <v>52883</v>
      </c>
      <c r="X2010" s="200">
        <v>2.3327518231480118E-2</v>
      </c>
      <c r="Y2010" s="209">
        <v>2.316004471898836E-2</v>
      </c>
    </row>
    <row r="2011" spans="21:25" x14ac:dyDescent="0.2">
      <c r="U2011" s="213" t="str">
        <f t="shared" si="35"/>
        <v>1w</v>
      </c>
      <c r="V2011" s="201">
        <f>_xll.qlCalendarAdvance(Calendar,V2010,U2011,"f",FALSE)</f>
        <v>52888</v>
      </c>
      <c r="W2011" s="225">
        <f>_xll.qlCalendarAdvance(Calendar,V2011,NDays&amp;"D")</f>
        <v>52890</v>
      </c>
      <c r="X2011" s="200">
        <v>2.3330025269925093E-2</v>
      </c>
      <c r="Y2011" s="209">
        <v>2.3162460211354485E-2</v>
      </c>
    </row>
    <row r="2012" spans="21:25" x14ac:dyDescent="0.2">
      <c r="U2012" s="213" t="str">
        <f t="shared" si="35"/>
        <v>1w</v>
      </c>
      <c r="V2012" s="201">
        <f>_xll.qlCalendarAdvance(Calendar,V2011,U2012,"f",FALSE)</f>
        <v>52895</v>
      </c>
      <c r="W2012" s="225">
        <f>_xll.qlCalendarAdvance(Calendar,V2012,NDays&amp;"D")</f>
        <v>52897</v>
      </c>
      <c r="X2012" s="200">
        <v>2.3332537201076968E-2</v>
      </c>
      <c r="Y2012" s="209">
        <v>2.3164880536654664E-2</v>
      </c>
    </row>
    <row r="2013" spans="21:25" x14ac:dyDescent="0.2">
      <c r="U2013" s="213" t="str">
        <f t="shared" si="35"/>
        <v>1w</v>
      </c>
      <c r="V2013" s="201">
        <f>_xll.qlCalendarAdvance(Calendar,V2012,U2013,"f",FALSE)</f>
        <v>52902</v>
      </c>
      <c r="W2013" s="225">
        <f>_xll.qlCalendarAdvance(Calendar,V2013,NDays&amp;"D")</f>
        <v>52904</v>
      </c>
      <c r="X2013" s="200">
        <v>2.3334119280381826E-2</v>
      </c>
      <c r="Y2013" s="209">
        <v>2.3167305694888896E-2</v>
      </c>
    </row>
    <row r="2014" spans="21:25" x14ac:dyDescent="0.2">
      <c r="U2014" s="213" t="str">
        <f t="shared" si="35"/>
        <v>1w</v>
      </c>
      <c r="V2014" s="201">
        <f>_xll.qlCalendarAdvance(Calendar,V2013,U2014,"f",FALSE)</f>
        <v>52909</v>
      </c>
      <c r="W2014" s="225">
        <f>_xll.qlCalendarAdvance(Calendar,V2014,NDays&amp;"D")</f>
        <v>52911</v>
      </c>
      <c r="X2014" s="200">
        <v>2.3336640485035493E-2</v>
      </c>
      <c r="Y2014" s="209">
        <v>2.3169735685977244E-2</v>
      </c>
    </row>
    <row r="2015" spans="21:25" x14ac:dyDescent="0.2">
      <c r="U2015" s="213" t="str">
        <f t="shared" si="35"/>
        <v>1w</v>
      </c>
      <c r="V2015" s="201">
        <f>_xll.qlCalendarAdvance(Calendar,V2014,U2015,"f",FALSE)</f>
        <v>52916</v>
      </c>
      <c r="W2015" s="225">
        <f>_xll.qlCalendarAdvance(Calendar,V2015,NDays&amp;"D")</f>
        <v>52918</v>
      </c>
      <c r="X2015" s="200">
        <v>2.3339166582115517E-2</v>
      </c>
      <c r="Y2015" s="209">
        <v>2.3172170509999646E-2</v>
      </c>
    </row>
    <row r="2016" spans="21:25" x14ac:dyDescent="0.2">
      <c r="U2016" s="213" t="str">
        <f t="shared" si="35"/>
        <v>1w</v>
      </c>
      <c r="V2016" s="201">
        <f>_xll.qlCalendarAdvance(Calendar,V2015,U2016,"f",FALSE)</f>
        <v>52923</v>
      </c>
      <c r="W2016" s="225">
        <f>_xll.qlCalendarAdvance(Calendar,V2016,NDays&amp;"D")</f>
        <v>52925</v>
      </c>
      <c r="X2016" s="200">
        <v>2.3341697571640882E-2</v>
      </c>
      <c r="Y2016" s="209">
        <v>2.3174610166716292E-2</v>
      </c>
    </row>
    <row r="2017" spans="21:25" x14ac:dyDescent="0.2">
      <c r="U2017" s="213" t="str">
        <f t="shared" si="35"/>
        <v>1w</v>
      </c>
      <c r="V2017" s="201">
        <f>_xll.qlCalendarAdvance(Calendar,V2016,U2017,"f",FALSE)</f>
        <v>52930</v>
      </c>
      <c r="W2017" s="225">
        <f>_xll.qlCalendarAdvance(Calendar,V2017,NDays&amp;"D")</f>
        <v>52932</v>
      </c>
      <c r="X2017" s="200">
        <v>2.3345170248059547E-2</v>
      </c>
      <c r="Y2017" s="209">
        <v>2.3177054656526863E-2</v>
      </c>
    </row>
    <row r="2018" spans="21:25" x14ac:dyDescent="0.2">
      <c r="U2018" s="213" t="str">
        <f t="shared" si="35"/>
        <v>1w</v>
      </c>
      <c r="V2018" s="201">
        <f>_xll.qlCalendarAdvance(Calendar,V2017,U2018,"f",FALSE)</f>
        <v>52937</v>
      </c>
      <c r="W2018" s="225">
        <f>_xll.qlCalendarAdvance(Calendar,V2018,NDays&amp;"D")</f>
        <v>52939</v>
      </c>
      <c r="X2018" s="200">
        <v>2.3347711535831414E-2</v>
      </c>
      <c r="Y2018" s="209">
        <v>2.3179503979111615E-2</v>
      </c>
    </row>
    <row r="2019" spans="21:25" x14ac:dyDescent="0.2">
      <c r="U2019" s="213" t="str">
        <f t="shared" si="35"/>
        <v>1w</v>
      </c>
      <c r="V2019" s="201">
        <f>_xll.qlCalendarAdvance(Calendar,V2018,U2019,"f",FALSE)</f>
        <v>52944</v>
      </c>
      <c r="W2019" s="225">
        <f>_xll.qlCalendarAdvance(Calendar,V2019,NDays&amp;"D")</f>
        <v>52946</v>
      </c>
      <c r="X2019" s="200">
        <v>2.3350257716438425E-2</v>
      </c>
      <c r="Y2019" s="209">
        <v>2.318195813463042E-2</v>
      </c>
    </row>
    <row r="2020" spans="21:25" x14ac:dyDescent="0.2">
      <c r="U2020" s="213" t="str">
        <f t="shared" si="35"/>
        <v>1w</v>
      </c>
      <c r="V2020" s="201">
        <f>_xll.qlCalendarAdvance(Calendar,V2019,U2020,"f",FALSE)</f>
        <v>52951</v>
      </c>
      <c r="W2020" s="225">
        <f>_xll.qlCalendarAdvance(Calendar,V2020,NDays&amp;"D")</f>
        <v>52953</v>
      </c>
      <c r="X2020" s="200">
        <v>2.3352808789899034E-2</v>
      </c>
      <c r="Y2020" s="209">
        <v>2.3184417123083279E-2</v>
      </c>
    </row>
    <row r="2021" spans="21:25" x14ac:dyDescent="0.2">
      <c r="U2021" s="213" t="str">
        <f t="shared" si="35"/>
        <v>1w</v>
      </c>
      <c r="V2021" s="201">
        <f>_xll.qlCalendarAdvance(Calendar,V2020,U2021,"f",FALSE)</f>
        <v>52958</v>
      </c>
      <c r="W2021" s="225">
        <f>_xll.qlCalendarAdvance(Calendar,V2021,NDays&amp;"D")</f>
        <v>52960</v>
      </c>
      <c r="X2021" s="200">
        <v>2.3355364756232126E-2</v>
      </c>
      <c r="Y2021" s="209">
        <v>2.3186880944310317E-2</v>
      </c>
    </row>
    <row r="2022" spans="21:25" x14ac:dyDescent="0.2">
      <c r="U2022" s="213" t="str">
        <f t="shared" si="35"/>
        <v>1w</v>
      </c>
      <c r="V2022" s="201">
        <f>_xll.qlCalendarAdvance(Calendar,V2021,U2022,"f",FALSE)</f>
        <v>52965</v>
      </c>
      <c r="W2022" s="225">
        <f>_xll.qlCalendarAdvance(Calendar,V2022,NDays&amp;"D")</f>
        <v>52967</v>
      </c>
      <c r="X2022" s="200">
        <v>2.3356986251174751E-2</v>
      </c>
      <c r="Y2022" s="209">
        <v>2.3189349598551345E-2</v>
      </c>
    </row>
    <row r="2023" spans="21:25" x14ac:dyDescent="0.2">
      <c r="U2023" s="213" t="str">
        <f t="shared" si="35"/>
        <v>1w</v>
      </c>
      <c r="V2023" s="201">
        <f>_xll.qlCalendarAdvance(Calendar,V2022,U2023,"f",FALSE)</f>
        <v>52972</v>
      </c>
      <c r="W2023" s="225">
        <f>_xll.qlCalendarAdvance(Calendar,V2023,NDays&amp;"D")</f>
        <v>52974</v>
      </c>
      <c r="X2023" s="200">
        <v>2.3359551488334677E-2</v>
      </c>
      <c r="Y2023" s="209">
        <v>2.319182308564649E-2</v>
      </c>
    </row>
    <row r="2024" spans="21:25" x14ac:dyDescent="0.2">
      <c r="U2024" s="213" t="str">
        <f t="shared" si="35"/>
        <v>1w</v>
      </c>
      <c r="V2024" s="201">
        <f>_xll.qlCalendarAdvance(Calendar,V2023,U2024,"f",FALSE)</f>
        <v>52979</v>
      </c>
      <c r="W2024" s="225">
        <f>_xll.qlCalendarAdvance(Calendar,V2024,NDays&amp;"D")</f>
        <v>52981</v>
      </c>
      <c r="X2024" s="200">
        <v>2.3362121618087456E-2</v>
      </c>
      <c r="Y2024" s="209">
        <v>2.3194301405515816E-2</v>
      </c>
    </row>
    <row r="2025" spans="21:25" x14ac:dyDescent="0.2">
      <c r="U2025" s="213" t="str">
        <f t="shared" si="35"/>
        <v>1w</v>
      </c>
      <c r="V2025" s="201">
        <f>_xll.qlCalendarAdvance(Calendar,V2024,U2025,"f",FALSE)</f>
        <v>52986</v>
      </c>
      <c r="W2025" s="225">
        <f>_xll.qlCalendarAdvance(Calendar,V2025,NDays&amp;"D")</f>
        <v>52988</v>
      </c>
      <c r="X2025" s="200">
        <v>2.3364696640453399E-2</v>
      </c>
      <c r="Y2025" s="209">
        <v>2.3196784558479067E-2</v>
      </c>
    </row>
    <row r="2026" spans="21:25" x14ac:dyDescent="0.2">
      <c r="U2026" s="213" t="str">
        <f t="shared" si="35"/>
        <v>1w</v>
      </c>
      <c r="V2026" s="201">
        <f>_xll.qlCalendarAdvance(Calendar,V2025,U2026,"f",FALSE)</f>
        <v>52993</v>
      </c>
      <c r="W2026" s="225">
        <f>_xll.qlCalendarAdvance(Calendar,V2026,NDays&amp;"D")</f>
        <v>52995</v>
      </c>
      <c r="X2026" s="200">
        <v>2.3367276555450175E-2</v>
      </c>
      <c r="Y2026" s="209">
        <v>2.3199272544136562E-2</v>
      </c>
    </row>
    <row r="2027" spans="21:25" x14ac:dyDescent="0.2">
      <c r="U2027" s="213" t="str">
        <f t="shared" si="35"/>
        <v>1w</v>
      </c>
      <c r="V2027" s="201">
        <f>_xll.qlCalendarAdvance(Calendar,V2026,U2027,"f",FALSE)</f>
        <v>53000</v>
      </c>
      <c r="W2027" s="225">
        <f>_xll.qlCalendarAdvance(Calendar,V2027,NDays&amp;"D")</f>
        <v>53002</v>
      </c>
      <c r="X2027" s="200">
        <v>2.3369861363097211E-2</v>
      </c>
      <c r="Y2027" s="209">
        <v>2.3201765362808047E-2</v>
      </c>
    </row>
    <row r="2028" spans="21:25" x14ac:dyDescent="0.2">
      <c r="U2028" s="213" t="str">
        <f t="shared" si="35"/>
        <v>1w</v>
      </c>
      <c r="V2028" s="201">
        <f>_xll.qlCalendarAdvance(Calendar,V2027,U2028,"f",FALSE)</f>
        <v>53007</v>
      </c>
      <c r="W2028" s="225">
        <f>_xll.qlCalendarAdvance(Calendar,V2028,NDays&amp;"D")</f>
        <v>53009</v>
      </c>
      <c r="X2028" s="200">
        <v>2.3372451063412618E-2</v>
      </c>
      <c r="Y2028" s="209">
        <v>2.3204263014253712E-2</v>
      </c>
    </row>
    <row r="2029" spans="21:25" x14ac:dyDescent="0.2">
      <c r="U2029" s="213" t="str">
        <f t="shared" si="35"/>
        <v>1w</v>
      </c>
      <c r="V2029" s="201">
        <f>_xll.qlCalendarAdvance(Calendar,V2028,U2029,"f",FALSE)</f>
        <v>53014</v>
      </c>
      <c r="W2029" s="225">
        <f>_xll.qlCalendarAdvance(Calendar,V2029,NDays&amp;"D")</f>
        <v>53016</v>
      </c>
      <c r="X2029" s="200">
        <v>2.3375045656416269E-2</v>
      </c>
      <c r="Y2029" s="209">
        <v>2.320676549863343E-2</v>
      </c>
    </row>
    <row r="2030" spans="21:25" x14ac:dyDescent="0.2">
      <c r="U2030" s="213" t="str">
        <f t="shared" si="35"/>
        <v>1w</v>
      </c>
      <c r="V2030" s="201">
        <f>_xll.qlCalendarAdvance(Calendar,V2029,U2030,"f",FALSE)</f>
        <v>53021</v>
      </c>
      <c r="W2030" s="225">
        <f>_xll.qlCalendarAdvance(Calendar,V2030,NDays&amp;"D")</f>
        <v>53023</v>
      </c>
      <c r="X2030" s="200">
        <v>2.338236351010986E-2</v>
      </c>
      <c r="Y2030" s="209">
        <v>2.3209272815947202E-2</v>
      </c>
    </row>
    <row r="2031" spans="21:25" x14ac:dyDescent="0.2">
      <c r="U2031" s="213" t="str">
        <f t="shared" si="35"/>
        <v>1w</v>
      </c>
      <c r="V2031" s="201">
        <f>_xll.qlCalendarAdvance(Calendar,V2030,U2031,"f",FALSE)</f>
        <v>53028</v>
      </c>
      <c r="W2031" s="225">
        <f>_xll.qlCalendarAdvance(Calendar,V2031,NDays&amp;"D")</f>
        <v>53030</v>
      </c>
      <c r="X2031" s="200">
        <v>2.3384970477425861E-2</v>
      </c>
      <c r="Y2031" s="209">
        <v>2.321178496611509E-2</v>
      </c>
    </row>
    <row r="2032" spans="21:25" x14ac:dyDescent="0.2">
      <c r="U2032" s="213" t="str">
        <f t="shared" si="35"/>
        <v>1w</v>
      </c>
      <c r="V2032" s="201">
        <f>_xll.qlCalendarAdvance(Calendar,V2031,U2032,"f",FALSE)</f>
        <v>53035</v>
      </c>
      <c r="W2032" s="225">
        <f>_xll.qlCalendarAdvance(Calendar,V2032,NDays&amp;"D")</f>
        <v>53037</v>
      </c>
      <c r="X2032" s="200">
        <v>2.3387582339166081E-2</v>
      </c>
      <c r="Y2032" s="209">
        <v>2.3214301949217031E-2</v>
      </c>
    </row>
    <row r="2033" spans="21:25" x14ac:dyDescent="0.2">
      <c r="U2033" s="213" t="str">
        <f t="shared" si="35"/>
        <v>1w</v>
      </c>
      <c r="V2033" s="201">
        <f>_xll.qlCalendarAdvance(Calendar,V2032,U2033,"f",FALSE)</f>
        <v>53042</v>
      </c>
      <c r="W2033" s="225">
        <f>_xll.qlCalendarAdvance(Calendar,V2033,NDays&amp;"D")</f>
        <v>53044</v>
      </c>
      <c r="X2033" s="200">
        <v>2.3390199095350721E-2</v>
      </c>
      <c r="Y2033" s="209">
        <v>2.3216823765173089E-2</v>
      </c>
    </row>
    <row r="2034" spans="21:25" x14ac:dyDescent="0.2">
      <c r="U2034" s="213" t="str">
        <f t="shared" si="35"/>
        <v>1w</v>
      </c>
      <c r="V2034" s="201">
        <f>_xll.qlCalendarAdvance(Calendar,V2033,U2034,"f",FALSE)</f>
        <v>53049</v>
      </c>
      <c r="W2034" s="225">
        <f>_xll.qlCalendarAdvance(Calendar,V2034,NDays&amp;"D")</f>
        <v>53051</v>
      </c>
      <c r="X2034" s="200">
        <v>2.3389983234937548E-2</v>
      </c>
      <c r="Y2034" s="209">
        <v>2.32193504140632E-2</v>
      </c>
    </row>
    <row r="2035" spans="21:25" x14ac:dyDescent="0.2">
      <c r="U2035" s="213" t="str">
        <f t="shared" si="35"/>
        <v>1w</v>
      </c>
      <c r="V2035" s="201">
        <f>_xll.qlCalendarAdvance(Calendar,V2034,U2035,"f",FALSE)</f>
        <v>53056</v>
      </c>
      <c r="W2035" s="225">
        <f>_xll.qlCalendarAdvance(Calendar,V2035,NDays&amp;"D")</f>
        <v>53058</v>
      </c>
      <c r="X2035" s="200">
        <v>2.3392608222530961E-2</v>
      </c>
      <c r="Y2035" s="209">
        <v>2.3225602408281532E-2</v>
      </c>
    </row>
    <row r="2036" spans="21:25" x14ac:dyDescent="0.2">
      <c r="U2036" s="213" t="str">
        <f t="shared" si="35"/>
        <v>1w</v>
      </c>
      <c r="V2036" s="201">
        <f>_xll.qlCalendarAdvance(Calendar,V2035,U2036,"f",FALSE)</f>
        <v>53063</v>
      </c>
      <c r="W2036" s="225">
        <f>_xll.qlCalendarAdvance(Calendar,V2036,NDays&amp;"D")</f>
        <v>53065</v>
      </c>
      <c r="X2036" s="200">
        <v>2.3395238103617634E-2</v>
      </c>
      <c r="Y2036" s="209">
        <v>2.3224418210405773E-2</v>
      </c>
    </row>
    <row r="2037" spans="21:25" x14ac:dyDescent="0.2">
      <c r="U2037" s="213" t="str">
        <f t="shared" si="35"/>
        <v>1w</v>
      </c>
      <c r="V2037" s="201">
        <f>_xll.qlCalendarAdvance(Calendar,V2036,U2037,"f",FALSE)</f>
        <v>53070</v>
      </c>
      <c r="W2037" s="225">
        <f>_xll.qlCalendarAdvance(Calendar,V2037,NDays&amp;"D")</f>
        <v>53072</v>
      </c>
      <c r="X2037" s="200">
        <v>2.3397872878217658E-2</v>
      </c>
      <c r="Y2037" s="209">
        <v>2.3226959357938171E-2</v>
      </c>
    </row>
    <row r="2038" spans="21:25" x14ac:dyDescent="0.2">
      <c r="U2038" s="213" t="str">
        <f t="shared" si="35"/>
        <v>1w</v>
      </c>
      <c r="V2038" s="201">
        <f>_xll.qlCalendarAdvance(Calendar,V2037,U2038,"f",FALSE)</f>
        <v>53077</v>
      </c>
      <c r="W2038" s="225">
        <f>_xll.qlCalendarAdvance(Calendar,V2038,NDays&amp;"D")</f>
        <v>53079</v>
      </c>
      <c r="X2038" s="200">
        <v>2.3400512546349821E-2</v>
      </c>
      <c r="Y2038" s="209">
        <v>2.3229505338324685E-2</v>
      </c>
    </row>
    <row r="2039" spans="21:25" x14ac:dyDescent="0.2">
      <c r="U2039" s="213" t="str">
        <f t="shared" si="35"/>
        <v>1w</v>
      </c>
      <c r="V2039" s="201">
        <f>_xll.qlCalendarAdvance(Calendar,V2038,U2039,"f",FALSE)</f>
        <v>53084</v>
      </c>
      <c r="W2039" s="225">
        <f>_xll.qlCalendarAdvance(Calendar,V2039,NDays&amp;"D")</f>
        <v>53086</v>
      </c>
      <c r="X2039" s="200">
        <v>2.3406002416889421E-2</v>
      </c>
      <c r="Y2039" s="209">
        <v>2.3232056151565317E-2</v>
      </c>
    </row>
    <row r="2040" spans="21:25" x14ac:dyDescent="0.2">
      <c r="U2040" s="213" t="str">
        <f t="shared" si="35"/>
        <v>1w</v>
      </c>
      <c r="V2040" s="201">
        <f>_xll.qlCalendarAdvance(Calendar,V2039,U2040,"f",FALSE)</f>
        <v>53091</v>
      </c>
      <c r="W2040" s="225">
        <f>_xll.qlCalendarAdvance(Calendar,V2040,NDays&amp;"D")</f>
        <v>53093</v>
      </c>
      <c r="X2040" s="200">
        <v>2.3408653434735093E-2</v>
      </c>
      <c r="Y2040" s="209">
        <v>2.3234611797819937E-2</v>
      </c>
    </row>
    <row r="2041" spans="21:25" x14ac:dyDescent="0.2">
      <c r="U2041" s="213" t="str">
        <f t="shared" si="35"/>
        <v>1w</v>
      </c>
      <c r="V2041" s="201">
        <f>_xll.qlCalendarAdvance(Calendar,V2040,U2041,"f",FALSE)</f>
        <v>53098</v>
      </c>
      <c r="W2041" s="225">
        <f>_xll.qlCalendarAdvance(Calendar,V2041,NDays&amp;"D")</f>
        <v>53100</v>
      </c>
      <c r="X2041" s="200">
        <v>2.3411309347183343E-2</v>
      </c>
      <c r="Y2041" s="209">
        <v>2.3237172276928675E-2</v>
      </c>
    </row>
    <row r="2042" spans="21:25" x14ac:dyDescent="0.2">
      <c r="U2042" s="213" t="str">
        <f t="shared" si="35"/>
        <v>1w</v>
      </c>
      <c r="V2042" s="201">
        <f>_xll.qlCalendarAdvance(Calendar,V2041,U2042,"f",FALSE)</f>
        <v>53105</v>
      </c>
      <c r="W2042" s="225">
        <f>_xll.qlCalendarAdvance(Calendar,V2042,NDays&amp;"D")</f>
        <v>53107</v>
      </c>
      <c r="X2042" s="200">
        <v>2.3413970154253071E-2</v>
      </c>
      <c r="Y2042" s="209">
        <v>2.3239737588891529E-2</v>
      </c>
    </row>
    <row r="2043" spans="21:25" x14ac:dyDescent="0.2">
      <c r="U2043" s="213" t="str">
        <f t="shared" si="35"/>
        <v>1w</v>
      </c>
      <c r="V2043" s="201">
        <f>_xll.qlCalendarAdvance(Calendar,V2042,U2043,"f",FALSE)</f>
        <v>53112</v>
      </c>
      <c r="W2043" s="225">
        <f>_xll.qlCalendarAdvance(Calendar,V2043,NDays&amp;"D")</f>
        <v>53114</v>
      </c>
      <c r="X2043" s="200">
        <v>2.3413784290682416E-2</v>
      </c>
      <c r="Y2043" s="209">
        <v>2.3242307733788437E-2</v>
      </c>
    </row>
    <row r="2044" spans="21:25" x14ac:dyDescent="0.2">
      <c r="U2044" s="213" t="str">
        <f t="shared" si="35"/>
        <v>1w</v>
      </c>
      <c r="V2044" s="201">
        <f>_xll.qlCalendarAdvance(Calendar,V2043,U2044,"f",FALSE)</f>
        <v>53119</v>
      </c>
      <c r="W2044" s="225">
        <f>_xll.qlCalendarAdvance(Calendar,V2044,NDays&amp;"D")</f>
        <v>53121</v>
      </c>
      <c r="X2044" s="200">
        <v>2.3416453320420184E-2</v>
      </c>
      <c r="Y2044" s="209">
        <v>2.3244882711539461E-2</v>
      </c>
    </row>
    <row r="2045" spans="21:25" x14ac:dyDescent="0.2">
      <c r="U2045" s="213" t="str">
        <f t="shared" si="35"/>
        <v>1w</v>
      </c>
      <c r="V2045" s="201">
        <f>_xll.qlCalendarAdvance(Calendar,V2044,U2045,"f",FALSE)</f>
        <v>53126</v>
      </c>
      <c r="W2045" s="225">
        <f>_xll.qlCalendarAdvance(Calendar,V2045,NDays&amp;"D")</f>
        <v>53128</v>
      </c>
      <c r="X2045" s="200">
        <v>2.3419127243827248E-2</v>
      </c>
      <c r="Y2045" s="209">
        <v>2.3247462522144602E-2</v>
      </c>
    </row>
    <row r="2046" spans="21:25" x14ac:dyDescent="0.2">
      <c r="U2046" s="213" t="str">
        <f t="shared" si="35"/>
        <v>1w</v>
      </c>
      <c r="V2046" s="201">
        <f>_xll.qlCalendarAdvance(Calendar,V2045,U2046,"f",FALSE)</f>
        <v>53133</v>
      </c>
      <c r="W2046" s="225">
        <f>_xll.qlCalendarAdvance(Calendar,V2046,NDays&amp;"D")</f>
        <v>53135</v>
      </c>
      <c r="X2046" s="200">
        <v>2.3421806060923263E-2</v>
      </c>
      <c r="Y2046" s="209">
        <v>2.3250047165683796E-2</v>
      </c>
    </row>
    <row r="2047" spans="21:25" x14ac:dyDescent="0.2">
      <c r="U2047" s="213" t="str">
        <f t="shared" si="35"/>
        <v>1w</v>
      </c>
      <c r="V2047" s="201">
        <f>_xll.qlCalendarAdvance(Calendar,V2046,U2047,"f",FALSE)</f>
        <v>53140</v>
      </c>
      <c r="W2047" s="225">
        <f>_xll.qlCalendarAdvance(Calendar,V2047,NDays&amp;"D")</f>
        <v>53142</v>
      </c>
      <c r="X2047" s="200">
        <v>2.3424489771728323E-2</v>
      </c>
      <c r="Y2047" s="209">
        <v>2.3252636642157043E-2</v>
      </c>
    </row>
    <row r="2048" spans="21:25" x14ac:dyDescent="0.2">
      <c r="U2048" s="213" t="str">
        <f t="shared" si="35"/>
        <v>1w</v>
      </c>
      <c r="V2048" s="201">
        <f>_xll.qlCalendarAdvance(Calendar,V2047,U2048,"f",FALSE)</f>
        <v>53147</v>
      </c>
      <c r="W2048" s="225">
        <f>_xll.qlCalendarAdvance(Calendar,V2048,NDays&amp;"D")</f>
        <v>53149</v>
      </c>
      <c r="X2048" s="200">
        <v>2.3430037784854151E-2</v>
      </c>
      <c r="Y2048" s="209">
        <v>2.3255230951404471E-2</v>
      </c>
    </row>
    <row r="2049" spans="21:25" x14ac:dyDescent="0.2">
      <c r="U2049" s="213" t="str">
        <f t="shared" si="35"/>
        <v>1w</v>
      </c>
      <c r="V2049" s="201">
        <f>_xll.qlCalendarAdvance(Calendar,V2048,U2049,"f",FALSE)</f>
        <v>53154</v>
      </c>
      <c r="W2049" s="225">
        <f>_xll.qlCalendarAdvance(Calendar,V2049,NDays&amp;"D")</f>
        <v>53156</v>
      </c>
      <c r="X2049" s="200">
        <v>2.3432732854838538E-2</v>
      </c>
      <c r="Y2049" s="209">
        <v>2.3257830093665888E-2</v>
      </c>
    </row>
    <row r="2050" spans="21:25" x14ac:dyDescent="0.2">
      <c r="U2050" s="213" t="str">
        <f t="shared" si="35"/>
        <v>1w</v>
      </c>
      <c r="V2050" s="201">
        <f>_xll.qlCalendarAdvance(Calendar,V2049,U2050,"f",FALSE)</f>
        <v>53161</v>
      </c>
      <c r="W2050" s="225">
        <f>_xll.qlCalendarAdvance(Calendar,V2050,NDays&amp;"D")</f>
        <v>53163</v>
      </c>
      <c r="X2050" s="200">
        <v>2.3435432819605567E-2</v>
      </c>
      <c r="Y2050" s="209">
        <v>2.3260434068781422E-2</v>
      </c>
    </row>
    <row r="2051" spans="21:25" x14ac:dyDescent="0.2">
      <c r="U2051" s="213" t="str">
        <f t="shared" si="35"/>
        <v>1w</v>
      </c>
      <c r="V2051" s="201">
        <f>_xll.qlCalendarAdvance(Calendar,V2050,U2051,"f",FALSE)</f>
        <v>53168</v>
      </c>
      <c r="W2051" s="225">
        <f>_xll.qlCalendarAdvance(Calendar,V2051,NDays&amp;"D")</f>
        <v>53170</v>
      </c>
      <c r="X2051" s="200">
        <v>2.343813767917587E-2</v>
      </c>
      <c r="Y2051" s="209">
        <v>2.3263042876751072E-2</v>
      </c>
    </row>
    <row r="2052" spans="21:25" x14ac:dyDescent="0.2">
      <c r="U2052" s="213" t="str">
        <f t="shared" si="35"/>
        <v>1w</v>
      </c>
      <c r="V2052" s="201">
        <f>_xll.qlCalendarAdvance(Calendar,V2051,U2052,"f",FALSE)</f>
        <v>53175</v>
      </c>
      <c r="W2052" s="225">
        <f>_xll.qlCalendarAdvance(Calendar,V2052,NDays&amp;"D")</f>
        <v>53177</v>
      </c>
      <c r="X2052" s="200">
        <v>2.3440847433568782E-2</v>
      </c>
      <c r="Y2052" s="209">
        <v>2.3265656517654776E-2</v>
      </c>
    </row>
    <row r="2053" spans="21:25" x14ac:dyDescent="0.2">
      <c r="U2053" s="213" t="str">
        <f t="shared" si="35"/>
        <v>1w</v>
      </c>
      <c r="V2053" s="201">
        <f>_xll.qlCalendarAdvance(Calendar,V2052,U2053,"f",FALSE)</f>
        <v>53182</v>
      </c>
      <c r="W2053" s="225">
        <f>_xll.qlCalendarAdvance(Calendar,V2053,NDays&amp;"D")</f>
        <v>53184</v>
      </c>
      <c r="X2053" s="200">
        <v>2.3443562082804507E-2</v>
      </c>
      <c r="Y2053" s="209">
        <v>2.3268274991412596E-2</v>
      </c>
    </row>
    <row r="2054" spans="21:25" x14ac:dyDescent="0.2">
      <c r="U2054" s="213" t="str">
        <f t="shared" si="35"/>
        <v>1w</v>
      </c>
      <c r="V2054" s="201">
        <f>_xll.qlCalendarAdvance(Calendar,V2053,U2054,"f",FALSE)</f>
        <v>53189</v>
      </c>
      <c r="W2054" s="225">
        <f>_xll.qlCalendarAdvance(Calendar,V2054,NDays&amp;"D")</f>
        <v>53191</v>
      </c>
      <c r="X2054" s="200">
        <v>2.3446281626904961E-2</v>
      </c>
      <c r="Y2054" s="209">
        <v>2.327089829810447E-2</v>
      </c>
    </row>
    <row r="2055" spans="21:25" x14ac:dyDescent="0.2">
      <c r="U2055" s="213" t="str">
        <f t="shared" si="35"/>
        <v>1w</v>
      </c>
      <c r="V2055" s="201">
        <f>_xll.qlCalendarAdvance(Calendar,V2054,U2055,"f",FALSE)</f>
        <v>53196</v>
      </c>
      <c r="W2055" s="225">
        <f>_xll.qlCalendarAdvance(Calendar,V2055,NDays&amp;"D")</f>
        <v>53198</v>
      </c>
      <c r="X2055" s="200">
        <v>2.3449006065889053E-2</v>
      </c>
      <c r="Y2055" s="209">
        <v>2.3273526437730396E-2</v>
      </c>
    </row>
    <row r="2056" spans="21:25" x14ac:dyDescent="0.2">
      <c r="U2056" s="213" t="str">
        <f t="shared" si="35"/>
        <v>1w</v>
      </c>
      <c r="V2056" s="201">
        <f>_xll.qlCalendarAdvance(Calendar,V2055,U2056,"f",FALSE)</f>
        <v>53203</v>
      </c>
      <c r="W2056" s="225">
        <f>_xll.qlCalendarAdvance(Calendar,V2056,NDays&amp;"D")</f>
        <v>53205</v>
      </c>
      <c r="X2056" s="200">
        <v>2.3446949173450207E-2</v>
      </c>
      <c r="Y2056" s="209">
        <v>2.3276159410130504E-2</v>
      </c>
    </row>
    <row r="2057" spans="21:25" x14ac:dyDescent="0.2">
      <c r="U2057" s="213" t="str">
        <f t="shared" si="35"/>
        <v>1w</v>
      </c>
      <c r="V2057" s="201">
        <f>_xll.qlCalendarAdvance(Calendar,V2056,U2057,"f",FALSE)</f>
        <v>53210</v>
      </c>
      <c r="W2057" s="225">
        <f>_xll.qlCalendarAdvance(Calendar,V2057,NDays&amp;"D")</f>
        <v>53212</v>
      </c>
      <c r="X2057" s="200">
        <v>2.3449680769521752E-2</v>
      </c>
      <c r="Y2057" s="209">
        <v>2.3278797215464664E-2</v>
      </c>
    </row>
    <row r="2058" spans="21:25" x14ac:dyDescent="0.2">
      <c r="U2058" s="213" t="str">
        <f t="shared" si="35"/>
        <v>1w</v>
      </c>
      <c r="V2058" s="201">
        <f>_xll.qlCalendarAdvance(Calendar,V2057,U2058,"f",FALSE)</f>
        <v>53217</v>
      </c>
      <c r="W2058" s="225">
        <f>_xll.qlCalendarAdvance(Calendar,V2058,NDays&amp;"D")</f>
        <v>53219</v>
      </c>
      <c r="X2058" s="200">
        <v>2.3452417258843304E-2</v>
      </c>
      <c r="Y2058" s="209">
        <v>2.3281439853732877E-2</v>
      </c>
    </row>
    <row r="2059" spans="21:25" x14ac:dyDescent="0.2">
      <c r="U2059" s="213" t="str">
        <f t="shared" si="35"/>
        <v>1w</v>
      </c>
      <c r="V2059" s="201">
        <f>_xll.qlCalendarAdvance(Calendar,V2058,U2059,"f",FALSE)</f>
        <v>53224</v>
      </c>
      <c r="W2059" s="225">
        <f>_xll.qlCalendarAdvance(Calendar,V2059,NDays&amp;"D")</f>
        <v>53226</v>
      </c>
      <c r="X2059" s="200">
        <v>2.3455158641436057E-2</v>
      </c>
      <c r="Y2059" s="209">
        <v>2.3284087324855207E-2</v>
      </c>
    </row>
    <row r="2060" spans="21:25" x14ac:dyDescent="0.2">
      <c r="U2060" s="213" t="str">
        <f t="shared" si="35"/>
        <v>1w</v>
      </c>
      <c r="V2060" s="201">
        <f>_xll.qlCalendarAdvance(Calendar,V2059,U2060,"f",FALSE)</f>
        <v>53231</v>
      </c>
      <c r="W2060" s="225">
        <f>_xll.qlCalendarAdvance(Calendar,V2060,NDays&amp;"D")</f>
        <v>53233</v>
      </c>
      <c r="X2060" s="200">
        <v>2.3457904917319444E-2</v>
      </c>
      <c r="Y2060" s="209">
        <v>2.328673962891159E-2</v>
      </c>
    </row>
    <row r="2061" spans="21:25" x14ac:dyDescent="0.2">
      <c r="U2061" s="213" t="str">
        <f t="shared" si="35"/>
        <v>1w</v>
      </c>
      <c r="V2061" s="201">
        <f>_xll.qlCalendarAdvance(Calendar,V2060,U2061,"f",FALSE)</f>
        <v>53238</v>
      </c>
      <c r="W2061" s="225">
        <f>_xll.qlCalendarAdvance(Calendar,V2061,NDays&amp;"D")</f>
        <v>53240</v>
      </c>
      <c r="X2061" s="200">
        <v>2.3461615784102177E-2</v>
      </c>
      <c r="Y2061" s="209">
        <v>2.328939676582209E-2</v>
      </c>
    </row>
    <row r="2062" spans="21:25" x14ac:dyDescent="0.2">
      <c r="U2062" s="213" t="str">
        <f t="shared" si="35"/>
        <v>1w</v>
      </c>
      <c r="V2062" s="201">
        <f>_xll.qlCalendarAdvance(Calendar,V2061,U2062,"f",FALSE)</f>
        <v>53245</v>
      </c>
      <c r="W2062" s="225">
        <f>_xll.qlCalendarAdvance(Calendar,V2062,NDays&amp;"D")</f>
        <v>53247</v>
      </c>
      <c r="X2062" s="200">
        <v>2.3464372374751546E-2</v>
      </c>
      <c r="Y2062" s="209">
        <v>2.3292058735586707E-2</v>
      </c>
    </row>
    <row r="2063" spans="21:25" x14ac:dyDescent="0.2">
      <c r="U2063" s="213" t="str">
        <f t="shared" si="35"/>
        <v>1w</v>
      </c>
      <c r="V2063" s="201">
        <f>_xll.qlCalendarAdvance(Calendar,V2062,U2063,"f",FALSE)</f>
        <v>53252</v>
      </c>
      <c r="W2063" s="225">
        <f>_xll.qlCalendarAdvance(Calendar,V2063,NDays&amp;"D")</f>
        <v>53254</v>
      </c>
      <c r="X2063" s="200">
        <v>2.3467133859091206E-2</v>
      </c>
      <c r="Y2063" s="209">
        <v>2.3294725538365313E-2</v>
      </c>
    </row>
    <row r="2064" spans="21:25" x14ac:dyDescent="0.2">
      <c r="U2064" s="213" t="str">
        <f t="shared" si="35"/>
        <v>1w</v>
      </c>
      <c r="V2064" s="201">
        <f>_xll.qlCalendarAdvance(Calendar,V2063,U2064,"f",FALSE)</f>
        <v>53259</v>
      </c>
      <c r="W2064" s="225">
        <f>_xll.qlCalendarAdvance(Calendar,V2064,NDays&amp;"D")</f>
        <v>53261</v>
      </c>
      <c r="X2064" s="200">
        <v>2.3469900237141357E-2</v>
      </c>
      <c r="Y2064" s="209">
        <v>2.32973971739181E-2</v>
      </c>
    </row>
    <row r="2065" spans="21:25" x14ac:dyDescent="0.2">
      <c r="U2065" s="213" t="str">
        <f t="shared" si="35"/>
        <v>1w</v>
      </c>
      <c r="V2065" s="201">
        <f>_xll.qlCalendarAdvance(Calendar,V2064,U2065,"f",FALSE)</f>
        <v>53266</v>
      </c>
      <c r="W2065" s="225">
        <f>_xll.qlCalendarAdvance(Calendar,V2065,NDays&amp;"D")</f>
        <v>53268</v>
      </c>
      <c r="X2065" s="200">
        <v>2.3471709696800312E-2</v>
      </c>
      <c r="Y2065" s="209">
        <v>2.3300073642404939E-2</v>
      </c>
    </row>
    <row r="2066" spans="21:25" x14ac:dyDescent="0.2">
      <c r="U2066" s="213" t="str">
        <f t="shared" si="35"/>
        <v>1w</v>
      </c>
      <c r="V2066" s="201">
        <f>_xll.qlCalendarAdvance(Calendar,V2065,U2066,"f",FALSE)</f>
        <v>53273</v>
      </c>
      <c r="W2066" s="225">
        <f>_xll.qlCalendarAdvance(Calendar,V2066,NDays&amp;"D")</f>
        <v>53275</v>
      </c>
      <c r="X2066" s="200">
        <v>2.3474485332850153E-2</v>
      </c>
      <c r="Y2066" s="209">
        <v>2.3302754943825832E-2</v>
      </c>
    </row>
    <row r="2067" spans="21:25" x14ac:dyDescent="0.2">
      <c r="U2067" s="213" t="str">
        <f t="shared" si="35"/>
        <v>1w</v>
      </c>
      <c r="V2067" s="201">
        <f>_xll.qlCalendarAdvance(Calendar,V2066,U2067,"f",FALSE)</f>
        <v>53280</v>
      </c>
      <c r="W2067" s="225">
        <f>_xll.qlCalendarAdvance(Calendar,V2067,NDays&amp;"D")</f>
        <v>53282</v>
      </c>
      <c r="X2067" s="200">
        <v>2.3477265862331509E-2</v>
      </c>
      <c r="Y2067" s="209">
        <v>2.3305441078100841E-2</v>
      </c>
    </row>
    <row r="2068" spans="21:25" x14ac:dyDescent="0.2">
      <c r="U2068" s="213" t="str">
        <f t="shared" si="35"/>
        <v>1w</v>
      </c>
      <c r="V2068" s="201">
        <f>_xll.qlCalendarAdvance(Calendar,V2067,U2068,"f",FALSE)</f>
        <v>53287</v>
      </c>
      <c r="W2068" s="225">
        <f>_xll.qlCalendarAdvance(Calendar,V2068,NDays&amp;"D")</f>
        <v>53289</v>
      </c>
      <c r="X2068" s="200">
        <v>2.348005128526514E-2</v>
      </c>
      <c r="Y2068" s="209">
        <v>2.3308132045229968E-2</v>
      </c>
    </row>
    <row r="2069" spans="21:25" x14ac:dyDescent="0.2">
      <c r="U2069" s="213" t="str">
        <f t="shared" ref="U2069:U2132" si="36">U2068</f>
        <v>1w</v>
      </c>
      <c r="V2069" s="201">
        <f>_xll.qlCalendarAdvance(Calendar,V2068,U2069,"f",FALSE)</f>
        <v>53294</v>
      </c>
      <c r="W2069" s="225">
        <f>_xll.qlCalendarAdvance(Calendar,V2069,NDays&amp;"D")</f>
        <v>53296</v>
      </c>
      <c r="X2069" s="200">
        <v>2.3483805533762763E-2</v>
      </c>
      <c r="Y2069" s="209">
        <v>2.3310827845293147E-2</v>
      </c>
    </row>
    <row r="2070" spans="21:25" x14ac:dyDescent="0.2">
      <c r="U2070" s="213" t="str">
        <f t="shared" si="36"/>
        <v>1w</v>
      </c>
      <c r="V2070" s="201">
        <f>_xll.qlCalendarAdvance(Calendar,V2069,U2070,"f",FALSE)</f>
        <v>53301</v>
      </c>
      <c r="W2070" s="225">
        <f>_xll.qlCalendarAdvance(Calendar,V2070,NDays&amp;"D")</f>
        <v>53303</v>
      </c>
      <c r="X2070" s="200">
        <v>2.3486601274504092E-2</v>
      </c>
      <c r="Y2070" s="209">
        <v>2.331352847829038E-2</v>
      </c>
    </row>
    <row r="2071" spans="21:25" x14ac:dyDescent="0.2">
      <c r="U2071" s="213" t="str">
        <f t="shared" si="36"/>
        <v>1w</v>
      </c>
      <c r="V2071" s="201">
        <f>_xll.qlCalendarAdvance(Calendar,V2070,U2071,"f",FALSE)</f>
        <v>53308</v>
      </c>
      <c r="W2071" s="225">
        <f>_xll.qlCalendarAdvance(Calendar,V2071,NDays&amp;"D")</f>
        <v>53310</v>
      </c>
      <c r="X2071" s="200">
        <v>2.3489401909098657E-2</v>
      </c>
      <c r="Y2071" s="209">
        <v>2.3316233944141729E-2</v>
      </c>
    </row>
    <row r="2072" spans="21:25" x14ac:dyDescent="0.2">
      <c r="U2072" s="213" t="str">
        <f t="shared" si="36"/>
        <v>1w</v>
      </c>
      <c r="V2072" s="201">
        <f>_xll.qlCalendarAdvance(Calendar,V2071,U2072,"f",FALSE)</f>
        <v>53315</v>
      </c>
      <c r="W2072" s="225">
        <f>_xll.qlCalendarAdvance(Calendar,V2072,NDays&amp;"D")</f>
        <v>53317</v>
      </c>
      <c r="X2072" s="200">
        <v>2.3492207437566661E-2</v>
      </c>
      <c r="Y2072" s="209">
        <v>2.3318944242847195E-2</v>
      </c>
    </row>
    <row r="2073" spans="21:25" x14ac:dyDescent="0.2">
      <c r="U2073" s="213" t="str">
        <f t="shared" si="36"/>
        <v>1w</v>
      </c>
      <c r="V2073" s="201">
        <f>_xll.qlCalendarAdvance(Calendar,V2072,U2073,"f",FALSE)</f>
        <v>53323</v>
      </c>
      <c r="W2073" s="225">
        <f>_xll.qlCalendarAdvance(Calendar,V2073,NDays&amp;"D")</f>
        <v>53325</v>
      </c>
      <c r="X2073" s="200">
        <v>2.3495419748340525E-2</v>
      </c>
      <c r="Y2073" s="209">
        <v>2.3324896832987996E-2</v>
      </c>
    </row>
    <row r="2074" spans="21:25" x14ac:dyDescent="0.2">
      <c r="U2074" s="213" t="str">
        <f t="shared" si="36"/>
        <v>1w</v>
      </c>
      <c r="V2074" s="201">
        <f>_xll.qlCalendarAdvance(Calendar,V2073,U2074,"f",FALSE)</f>
        <v>53330</v>
      </c>
      <c r="W2074" s="225">
        <f>_xll.qlCalendarAdvance(Calendar,V2074,NDays&amp;"D")</f>
        <v>53332</v>
      </c>
      <c r="X2074" s="200">
        <v>2.3497269097982814E-2</v>
      </c>
      <c r="Y2074" s="209">
        <v>2.3326668710978993E-2</v>
      </c>
    </row>
    <row r="2075" spans="21:25" x14ac:dyDescent="0.2">
      <c r="U2075" s="213" t="str">
        <f t="shared" si="36"/>
        <v>1w</v>
      </c>
      <c r="V2075" s="201">
        <f>_xll.qlCalendarAdvance(Calendar,V2074,U2075,"f",FALSE)</f>
        <v>53337</v>
      </c>
      <c r="W2075" s="225">
        <f>_xll.qlCalendarAdvance(Calendar,V2075,NDays&amp;"D")</f>
        <v>53339</v>
      </c>
      <c r="X2075" s="200">
        <v>2.3500089474737498E-2</v>
      </c>
      <c r="Y2075" s="209">
        <v>2.3329395242539519E-2</v>
      </c>
    </row>
    <row r="2076" spans="21:25" x14ac:dyDescent="0.2">
      <c r="U2076" s="213" t="str">
        <f t="shared" si="36"/>
        <v>1w</v>
      </c>
      <c r="V2076" s="201">
        <f>_xll.qlCalendarAdvance(Calendar,V2075,U2076,"f",FALSE)</f>
        <v>53344</v>
      </c>
      <c r="W2076" s="225">
        <f>_xll.qlCalendarAdvance(Calendar,V2076,NDays&amp;"D")</f>
        <v>53346</v>
      </c>
      <c r="X2076" s="200">
        <v>2.3502914745110067E-2</v>
      </c>
      <c r="Y2076" s="209">
        <v>2.3332126607673587E-2</v>
      </c>
    </row>
    <row r="2077" spans="21:25" x14ac:dyDescent="0.2">
      <c r="U2077" s="213" t="str">
        <f t="shared" si="36"/>
        <v>1w</v>
      </c>
      <c r="V2077" s="201">
        <f>_xll.qlCalendarAdvance(Calendar,V2076,U2077,"f",FALSE)</f>
        <v>53351</v>
      </c>
      <c r="W2077" s="225">
        <f>_xll.qlCalendarAdvance(Calendar,V2077,NDays&amp;"D")</f>
        <v>53353</v>
      </c>
      <c r="X2077" s="200">
        <v>2.350574490912128E-2</v>
      </c>
      <c r="Y2077" s="209">
        <v>2.3334862806327905E-2</v>
      </c>
    </row>
    <row r="2078" spans="21:25" x14ac:dyDescent="0.2">
      <c r="U2078" s="213" t="str">
        <f t="shared" si="36"/>
        <v>1w</v>
      </c>
      <c r="V2078" s="201">
        <f>_xll.qlCalendarAdvance(Calendar,V2077,U2078,"f",FALSE)</f>
        <v>53358</v>
      </c>
      <c r="W2078" s="225">
        <f>_xll.qlCalendarAdvance(Calendar,V2078,NDays&amp;"D")</f>
        <v>53360</v>
      </c>
      <c r="X2078" s="200">
        <v>2.3508579966792776E-2</v>
      </c>
      <c r="Y2078" s="209">
        <v>2.333760383858241E-2</v>
      </c>
    </row>
    <row r="2079" spans="21:25" x14ac:dyDescent="0.2">
      <c r="U2079" s="213" t="str">
        <f t="shared" si="36"/>
        <v>1w</v>
      </c>
      <c r="V2079" s="201">
        <f>_xll.qlCalendarAdvance(Calendar,V2078,U2079,"f",FALSE)</f>
        <v>53365</v>
      </c>
      <c r="W2079" s="225">
        <f>_xll.qlCalendarAdvance(Calendar,V2079,NDays&amp;"D")</f>
        <v>53367</v>
      </c>
      <c r="X2079" s="200">
        <v>2.3511419918144431E-2</v>
      </c>
      <c r="Y2079" s="209">
        <v>2.3340349704383812E-2</v>
      </c>
    </row>
    <row r="2080" spans="21:25" x14ac:dyDescent="0.2">
      <c r="U2080" s="213" t="str">
        <f t="shared" si="36"/>
        <v>1w</v>
      </c>
      <c r="V2080" s="201">
        <f>_xll.qlCalendarAdvance(Calendar,V2079,U2080,"f",FALSE)</f>
        <v>53372</v>
      </c>
      <c r="W2080" s="225">
        <f>_xll.qlCalendarAdvance(Calendar,V2080,NDays&amp;"D")</f>
        <v>53374</v>
      </c>
      <c r="X2080" s="200">
        <v>2.3514264763196558E-2</v>
      </c>
      <c r="Y2080" s="209">
        <v>2.3343100403758754E-2</v>
      </c>
    </row>
    <row r="2081" spans="21:25" x14ac:dyDescent="0.2">
      <c r="U2081" s="213" t="str">
        <f t="shared" si="36"/>
        <v>1w</v>
      </c>
      <c r="V2081" s="201">
        <f>_xll.qlCalendarAdvance(Calendar,V2080,U2081,"f",FALSE)</f>
        <v>53379</v>
      </c>
      <c r="W2081" s="225">
        <f>_xll.qlCalendarAdvance(Calendar,V2081,NDays&amp;"D")</f>
        <v>53381</v>
      </c>
      <c r="X2081" s="200">
        <v>2.3517114501970797E-2</v>
      </c>
      <c r="Y2081" s="209">
        <v>2.3345855936680593E-2</v>
      </c>
    </row>
    <row r="2082" spans="21:25" x14ac:dyDescent="0.2">
      <c r="U2082" s="213" t="str">
        <f t="shared" si="36"/>
        <v>1w</v>
      </c>
      <c r="V2082" s="201">
        <f>_xll.qlCalendarAdvance(Calendar,V2081,U2082,"f",FALSE)</f>
        <v>53386</v>
      </c>
      <c r="W2082" s="225">
        <f>_xll.qlCalendarAdvance(Calendar,V2082,NDays&amp;"D")</f>
        <v>53388</v>
      </c>
      <c r="X2082" s="200">
        <v>2.3523853437858365E-2</v>
      </c>
      <c r="Y2082" s="209">
        <v>2.3348616303202618E-2</v>
      </c>
    </row>
    <row r="2083" spans="21:25" x14ac:dyDescent="0.2">
      <c r="U2083" s="213" t="str">
        <f t="shared" si="36"/>
        <v>1w</v>
      </c>
      <c r="V2083" s="201">
        <f>_xll.qlCalendarAdvance(Calendar,V2082,U2083,"f",FALSE)</f>
        <v>53393</v>
      </c>
      <c r="W2083" s="225">
        <f>_xll.qlCalendarAdvance(Calendar,V2083,NDays&amp;"D")</f>
        <v>53395</v>
      </c>
      <c r="X2083" s="200">
        <v>2.3526715105803567E-2</v>
      </c>
      <c r="Y2083" s="209">
        <v>2.3351381503244895E-2</v>
      </c>
    </row>
    <row r="2084" spans="21:25" x14ac:dyDescent="0.2">
      <c r="U2084" s="213" t="str">
        <f t="shared" si="36"/>
        <v>1w</v>
      </c>
      <c r="V2084" s="201">
        <f>_xll.qlCalendarAdvance(Calendar,V2083,U2084,"f",FALSE)</f>
        <v>53400</v>
      </c>
      <c r="W2084" s="225">
        <f>_xll.qlCalendarAdvance(Calendar,V2084,NDays&amp;"D")</f>
        <v>53402</v>
      </c>
      <c r="X2084" s="200">
        <v>2.3529581668901595E-2</v>
      </c>
      <c r="Y2084" s="209">
        <v>2.3354151536887358E-2</v>
      </c>
    </row>
    <row r="2085" spans="21:25" x14ac:dyDescent="0.2">
      <c r="U2085" s="213" t="str">
        <f t="shared" si="36"/>
        <v>1w</v>
      </c>
      <c r="V2085" s="201">
        <f>_xll.qlCalendarAdvance(Calendar,V2084,U2085,"f",FALSE)</f>
        <v>53407</v>
      </c>
      <c r="W2085" s="225">
        <f>_xll.qlCalendarAdvance(Calendar,V2085,NDays&amp;"D")</f>
        <v>53413</v>
      </c>
      <c r="X2085" s="200">
        <v>2.353312302859227E-2</v>
      </c>
      <c r="Y2085" s="209">
        <v>2.3356601683452993E-2</v>
      </c>
    </row>
    <row r="2086" spans="21:25" x14ac:dyDescent="0.2">
      <c r="U2086" s="213" t="str">
        <f t="shared" si="36"/>
        <v>1w</v>
      </c>
      <c r="V2086" s="201">
        <f>_xll.qlCalendarAdvance(Calendar,V2085,U2086,"f",FALSE)</f>
        <v>53414</v>
      </c>
      <c r="W2086" s="225">
        <f>_xll.qlCalendarAdvance(Calendar,V2086,NDays&amp;"D")</f>
        <v>53416</v>
      </c>
      <c r="X2086" s="200">
        <v>2.3532409681823782E-2</v>
      </c>
      <c r="Y2086" s="209">
        <v>2.3359706104839617E-2</v>
      </c>
    </row>
    <row r="2087" spans="21:25" x14ac:dyDescent="0.2">
      <c r="U2087" s="213" t="str">
        <f t="shared" si="36"/>
        <v>1w</v>
      </c>
      <c r="V2087" s="201">
        <f>_xll.qlCalendarAdvance(Calendar,V2086,U2087,"f",FALSE)</f>
        <v>53421</v>
      </c>
      <c r="W2087" s="225">
        <f>_xll.qlCalendarAdvance(Calendar,V2087,NDays&amp;"D")</f>
        <v>53423</v>
      </c>
      <c r="X2087" s="200">
        <v>2.3538210729320018E-2</v>
      </c>
      <c r="Y2087" s="209">
        <v>2.3362490639149414E-2</v>
      </c>
    </row>
    <row r="2088" spans="21:25" x14ac:dyDescent="0.2">
      <c r="U2088" s="213" t="str">
        <f t="shared" si="36"/>
        <v>1w</v>
      </c>
      <c r="V2088" s="201">
        <f>_xll.qlCalendarAdvance(Calendar,V2087,U2088,"f",FALSE)</f>
        <v>53428</v>
      </c>
      <c r="W2088" s="225">
        <f>_xll.qlCalendarAdvance(Calendar,V2088,NDays&amp;"D")</f>
        <v>53430</v>
      </c>
      <c r="X2088" s="200">
        <v>2.35410968732402E-2</v>
      </c>
      <c r="Y2088" s="209">
        <v>2.3365280007059397E-2</v>
      </c>
    </row>
    <row r="2089" spans="21:25" x14ac:dyDescent="0.2">
      <c r="U2089" s="213" t="str">
        <f t="shared" si="36"/>
        <v>1w</v>
      </c>
      <c r="V2089" s="201">
        <f>_xll.qlCalendarAdvance(Calendar,V2088,U2089,"f",FALSE)</f>
        <v>53435</v>
      </c>
      <c r="W2089" s="225">
        <f>_xll.qlCalendarAdvance(Calendar,V2089,NDays&amp;"D")</f>
        <v>53437</v>
      </c>
      <c r="X2089" s="200">
        <v>2.3543987912418633E-2</v>
      </c>
      <c r="Y2089" s="209">
        <v>2.3368074208516276E-2</v>
      </c>
    </row>
    <row r="2090" spans="21:25" x14ac:dyDescent="0.2">
      <c r="U2090" s="213" t="str">
        <f t="shared" si="36"/>
        <v>1w</v>
      </c>
      <c r="V2090" s="201">
        <f>_xll.qlCalendarAdvance(Calendar,V2089,U2090,"f",FALSE)</f>
        <v>53442</v>
      </c>
      <c r="W2090" s="225">
        <f>_xll.qlCalendarAdvance(Calendar,V2090,NDays&amp;"D")</f>
        <v>53444</v>
      </c>
      <c r="X2090" s="200">
        <v>2.3546883846877354E-2</v>
      </c>
      <c r="Y2090" s="209">
        <v>2.3370873243520052E-2</v>
      </c>
    </row>
    <row r="2091" spans="21:25" x14ac:dyDescent="0.2">
      <c r="U2091" s="213" t="str">
        <f t="shared" si="36"/>
        <v>1w</v>
      </c>
      <c r="V2091" s="201">
        <f>_xll.qlCalendarAdvance(Calendar,V2090,U2091,"f",FALSE)</f>
        <v>53449</v>
      </c>
      <c r="W2091" s="225">
        <f>_xll.qlCalendarAdvance(Calendar,V2091,NDays&amp;"D")</f>
        <v>53451</v>
      </c>
      <c r="X2091" s="200">
        <v>2.3549784676639266E-2</v>
      </c>
      <c r="Y2091" s="209">
        <v>2.3373677112124014E-2</v>
      </c>
    </row>
    <row r="2092" spans="21:25" x14ac:dyDescent="0.2">
      <c r="U2092" s="213" t="str">
        <f t="shared" si="36"/>
        <v>1w</v>
      </c>
      <c r="V2092" s="201">
        <f>_xll.qlCalendarAdvance(Calendar,V2091,U2092,"f",FALSE)</f>
        <v>53456</v>
      </c>
      <c r="W2092" s="225">
        <f>_xll.qlCalendarAdvance(Calendar,V2092,NDays&amp;"D")</f>
        <v>53458</v>
      </c>
      <c r="X2092" s="200">
        <v>2.3552690401724675E-2</v>
      </c>
      <c r="Y2092" s="209">
        <v>2.3376485814274872E-2</v>
      </c>
    </row>
    <row r="2093" spans="21:25" x14ac:dyDescent="0.2">
      <c r="U2093" s="213" t="str">
        <f t="shared" si="36"/>
        <v>1w</v>
      </c>
      <c r="V2093" s="201">
        <f>_xll.qlCalendarAdvance(Calendar,V2092,U2093,"f",FALSE)</f>
        <v>53463</v>
      </c>
      <c r="W2093" s="225">
        <f>_xll.qlCalendarAdvance(Calendar,V2093,NDays&amp;"D")</f>
        <v>53465</v>
      </c>
      <c r="X2093" s="200">
        <v>2.355560102215562E-2</v>
      </c>
      <c r="Y2093" s="209">
        <v>2.3379299349999272E-2</v>
      </c>
    </row>
    <row r="2094" spans="21:25" x14ac:dyDescent="0.2">
      <c r="U2094" s="213" t="str">
        <f t="shared" si="36"/>
        <v>1w</v>
      </c>
      <c r="V2094" s="201">
        <f>_xll.qlCalendarAdvance(Calendar,V2093,U2094,"f",FALSE)</f>
        <v>53470</v>
      </c>
      <c r="W2094" s="225">
        <f>_xll.qlCalendarAdvance(Calendar,V2094,NDays&amp;"D")</f>
        <v>53472</v>
      </c>
      <c r="X2094" s="200">
        <v>2.3558516537953701E-2</v>
      </c>
      <c r="Y2094" s="209">
        <v>2.3382117719323858E-2</v>
      </c>
    </row>
    <row r="2095" spans="21:25" x14ac:dyDescent="0.2">
      <c r="U2095" s="213" t="str">
        <f t="shared" si="36"/>
        <v>1w</v>
      </c>
      <c r="V2095" s="201">
        <f>_xll.qlCalendarAdvance(Calendar,V2094,U2095,"f",FALSE)</f>
        <v>53477</v>
      </c>
      <c r="W2095" s="225">
        <f>_xll.qlCalendarAdvance(Calendar,V2095,NDays&amp;"D")</f>
        <v>53479</v>
      </c>
      <c r="X2095" s="200">
        <v>2.3561436949140958E-2</v>
      </c>
      <c r="Y2095" s="209">
        <v>2.338494092214205E-2</v>
      </c>
    </row>
    <row r="2096" spans="21:25" x14ac:dyDescent="0.2">
      <c r="U2096" s="213" t="str">
        <f t="shared" si="36"/>
        <v>1w</v>
      </c>
      <c r="V2096" s="201">
        <f>_xll.qlCalendarAdvance(Calendar,V2095,U2096,"f",FALSE)</f>
        <v>53484</v>
      </c>
      <c r="W2096" s="225">
        <f>_xll.qlCalendarAdvance(Calendar,V2096,NDays&amp;"D")</f>
        <v>53486</v>
      </c>
      <c r="X2096" s="200">
        <v>2.3564362255738564E-2</v>
      </c>
      <c r="Y2096" s="209">
        <v>2.3387768958587074E-2</v>
      </c>
    </row>
    <row r="2097" spans="21:25" x14ac:dyDescent="0.2">
      <c r="U2097" s="213" t="str">
        <f t="shared" si="36"/>
        <v>1w</v>
      </c>
      <c r="V2097" s="201">
        <f>_xll.qlCalendarAdvance(Calendar,V2096,U2097,"f",FALSE)</f>
        <v>53491</v>
      </c>
      <c r="W2097" s="225">
        <f>_xll.qlCalendarAdvance(Calendar,V2097,NDays&amp;"D")</f>
        <v>53493</v>
      </c>
      <c r="X2097" s="200">
        <v>2.3567292457768986E-2</v>
      </c>
      <c r="Y2097" s="209">
        <v>2.3390601828605639E-2</v>
      </c>
    </row>
    <row r="2098" spans="21:25" x14ac:dyDescent="0.2">
      <c r="U2098" s="213" t="str">
        <f t="shared" si="36"/>
        <v>1w</v>
      </c>
      <c r="V2098" s="201">
        <f>_xll.qlCalendarAdvance(Calendar,V2097,U2098,"f",FALSE)</f>
        <v>53498</v>
      </c>
      <c r="W2098" s="225">
        <f>_xll.qlCalendarAdvance(Calendar,V2098,NDays&amp;"D")</f>
        <v>53500</v>
      </c>
      <c r="X2098" s="200">
        <v>2.3570227555254258E-2</v>
      </c>
      <c r="Y2098" s="209">
        <v>2.3393439532197746E-2</v>
      </c>
    </row>
    <row r="2099" spans="21:25" x14ac:dyDescent="0.2">
      <c r="U2099" s="213" t="str">
        <f t="shared" si="36"/>
        <v>1w</v>
      </c>
      <c r="V2099" s="201">
        <f>_xll.qlCalendarAdvance(Calendar,V2098,U2099,"f",FALSE)</f>
        <v>53505</v>
      </c>
      <c r="W2099" s="225">
        <f>_xll.qlCalendarAdvance(Calendar,V2099,NDays&amp;"D")</f>
        <v>53507</v>
      </c>
      <c r="X2099" s="200">
        <v>2.3573167548215125E-2</v>
      </c>
      <c r="Y2099" s="209">
        <v>2.3396282069310104E-2</v>
      </c>
    </row>
    <row r="2100" spans="21:25" x14ac:dyDescent="0.2">
      <c r="U2100" s="213" t="str">
        <f t="shared" si="36"/>
        <v>1w</v>
      </c>
      <c r="V2100" s="201">
        <f>_xll.qlCalendarAdvance(Calendar,V2099,U2100,"f",FALSE)</f>
        <v>53512</v>
      </c>
      <c r="W2100" s="225">
        <f>_xll.qlCalendarAdvance(Calendar,V2100,NDays&amp;"D")</f>
        <v>53514</v>
      </c>
      <c r="X2100" s="200">
        <v>2.3576112436674051E-2</v>
      </c>
      <c r="Y2100" s="209">
        <v>2.3399129440022648E-2</v>
      </c>
    </row>
    <row r="2101" spans="21:25" x14ac:dyDescent="0.2">
      <c r="U2101" s="213" t="str">
        <f t="shared" si="36"/>
        <v>1w</v>
      </c>
      <c r="V2101" s="201">
        <f>_xll.qlCalendarAdvance(Calendar,V2100,U2101,"f",FALSE)</f>
        <v>53519</v>
      </c>
      <c r="W2101" s="225">
        <f>_xll.qlCalendarAdvance(Calendar,V2101,NDays&amp;"D")</f>
        <v>53521</v>
      </c>
      <c r="X2101" s="200">
        <v>2.3579062220652643E-2</v>
      </c>
      <c r="Y2101" s="209">
        <v>2.3401981644308734E-2</v>
      </c>
    </row>
    <row r="2102" spans="21:25" x14ac:dyDescent="0.2">
      <c r="U2102" s="213" t="str">
        <f t="shared" si="36"/>
        <v>1w</v>
      </c>
      <c r="V2102" s="201">
        <f>_xll.qlCalendarAdvance(Calendar,V2101,U2102,"f",FALSE)</f>
        <v>53526</v>
      </c>
      <c r="W2102" s="225">
        <f>_xll.qlCalendarAdvance(Calendar,V2102,NDays&amp;"D")</f>
        <v>53528</v>
      </c>
      <c r="X2102" s="200">
        <v>2.3582016900174235E-2</v>
      </c>
      <c r="Y2102" s="209">
        <v>2.3404838682141715E-2</v>
      </c>
    </row>
    <row r="2103" spans="21:25" x14ac:dyDescent="0.2">
      <c r="U2103" s="213" t="str">
        <f t="shared" si="36"/>
        <v>1w</v>
      </c>
      <c r="V2103" s="201">
        <f>_xll.qlCalendarAdvance(Calendar,V2102,U2103,"f",FALSE)</f>
        <v>53533</v>
      </c>
      <c r="W2103" s="225">
        <f>_xll.qlCalendarAdvance(Calendar,V2103,NDays&amp;"D")</f>
        <v>53535</v>
      </c>
      <c r="X2103" s="200">
        <v>2.3584976475259561E-2</v>
      </c>
      <c r="Y2103" s="209">
        <v>2.3407700553574884E-2</v>
      </c>
    </row>
    <row r="2104" spans="21:25" x14ac:dyDescent="0.2">
      <c r="U2104" s="213" t="str">
        <f t="shared" si="36"/>
        <v>1w</v>
      </c>
      <c r="V2104" s="201">
        <f>_xll.qlCalendarAdvance(Calendar,V2103,U2104,"f",FALSE)</f>
        <v>53540</v>
      </c>
      <c r="W2104" s="225">
        <f>_xll.qlCalendarAdvance(Calendar,V2104,NDays&amp;"D")</f>
        <v>53542</v>
      </c>
      <c r="X2104" s="200">
        <v>2.3587940945931096E-2</v>
      </c>
      <c r="Y2104" s="209">
        <v>2.3410567258581594E-2</v>
      </c>
    </row>
    <row r="2105" spans="21:25" x14ac:dyDescent="0.2">
      <c r="U2105" s="213" t="str">
        <f t="shared" si="36"/>
        <v>1w</v>
      </c>
      <c r="V2105" s="201">
        <f>_xll.qlCalendarAdvance(Calendar,V2104,U2105,"f",FALSE)</f>
        <v>53547</v>
      </c>
      <c r="W2105" s="225">
        <f>_xll.qlCalendarAdvance(Calendar,V2105,NDays&amp;"D")</f>
        <v>53549</v>
      </c>
      <c r="X2105" s="200">
        <v>2.3590910312210011E-2</v>
      </c>
      <c r="Y2105" s="209">
        <v>2.34134387971352E-2</v>
      </c>
    </row>
    <row r="2106" spans="21:25" x14ac:dyDescent="0.2">
      <c r="U2106" s="213" t="str">
        <f t="shared" si="36"/>
        <v>1w</v>
      </c>
      <c r="V2106" s="201">
        <f>_xll.qlCalendarAdvance(Calendar,V2105,U2106,"f",FALSE)</f>
        <v>53554</v>
      </c>
      <c r="W2106" s="225">
        <f>_xll.qlCalendarAdvance(Calendar,V2106,NDays&amp;"D")</f>
        <v>53556</v>
      </c>
      <c r="X2106" s="200">
        <v>2.35938845741205E-2</v>
      </c>
      <c r="Y2106" s="209">
        <v>2.3416315169288993E-2</v>
      </c>
    </row>
    <row r="2107" spans="21:25" x14ac:dyDescent="0.2">
      <c r="U2107" s="213" t="str">
        <f t="shared" si="36"/>
        <v>1w</v>
      </c>
      <c r="V2107" s="201">
        <f>_xll.qlCalendarAdvance(Calendar,V2106,U2107,"f",FALSE)</f>
        <v>53561</v>
      </c>
      <c r="W2107" s="225">
        <f>_xll.qlCalendarAdvance(Calendar,V2107,NDays&amp;"D")</f>
        <v>53563</v>
      </c>
      <c r="X2107" s="200">
        <v>2.3596863731683307E-2</v>
      </c>
      <c r="Y2107" s="209">
        <v>2.3419196375016327E-2</v>
      </c>
    </row>
    <row r="2108" spans="21:25" x14ac:dyDescent="0.2">
      <c r="U2108" s="213" t="str">
        <f t="shared" si="36"/>
        <v>1w</v>
      </c>
      <c r="V2108" s="201">
        <f>_xll.qlCalendarAdvance(Calendar,V2107,U2108,"f",FALSE)</f>
        <v>53568</v>
      </c>
      <c r="W2108" s="225">
        <f>_xll.qlCalendarAdvance(Calendar,V2108,NDays&amp;"D")</f>
        <v>53570</v>
      </c>
      <c r="X2108" s="200">
        <v>2.3595907352448351E-2</v>
      </c>
      <c r="Y2108" s="209">
        <v>2.3422082414290557E-2</v>
      </c>
    </row>
    <row r="2109" spans="21:25" x14ac:dyDescent="0.2">
      <c r="U2109" s="213" t="str">
        <f t="shared" si="36"/>
        <v>1w</v>
      </c>
      <c r="V2109" s="201">
        <f>_xll.qlCalendarAdvance(Calendar,V2108,U2109,"f",FALSE)</f>
        <v>53575</v>
      </c>
      <c r="W2109" s="225">
        <f>_xll.qlCalendarAdvance(Calendar,V2109,NDays&amp;"D")</f>
        <v>53577</v>
      </c>
      <c r="X2109" s="200">
        <v>2.3598894123996229E-2</v>
      </c>
      <c r="Y2109" s="209">
        <v>2.3424973287138329E-2</v>
      </c>
    </row>
    <row r="2110" spans="21:25" x14ac:dyDescent="0.2">
      <c r="U2110" s="213" t="str">
        <f t="shared" si="36"/>
        <v>1w</v>
      </c>
      <c r="V2110" s="201">
        <f>_xll.qlCalendarAdvance(Calendar,V2109,U2110,"f",FALSE)</f>
        <v>53582</v>
      </c>
      <c r="W2110" s="225">
        <f>_xll.qlCalendarAdvance(Calendar,V2110,NDays&amp;"D")</f>
        <v>53584</v>
      </c>
      <c r="X2110" s="200">
        <v>2.3601885789882739E-2</v>
      </c>
      <c r="Y2110" s="209">
        <v>2.3427868993559642E-2</v>
      </c>
    </row>
    <row r="2111" spans="21:25" x14ac:dyDescent="0.2">
      <c r="U2111" s="213" t="str">
        <f t="shared" si="36"/>
        <v>1w</v>
      </c>
      <c r="V2111" s="201">
        <f>_xll.qlCalendarAdvance(Calendar,V2110,U2111,"f",FALSE)</f>
        <v>53589</v>
      </c>
      <c r="W2111" s="225">
        <f>_xll.qlCalendarAdvance(Calendar,V2111,NDays&amp;"D")</f>
        <v>53591</v>
      </c>
      <c r="X2111" s="200">
        <v>2.3604882350130852E-2</v>
      </c>
      <c r="Y2111" s="209">
        <v>2.3430769533581142E-2</v>
      </c>
    </row>
    <row r="2112" spans="21:25" x14ac:dyDescent="0.2">
      <c r="U2112" s="213" t="str">
        <f t="shared" si="36"/>
        <v>1w</v>
      </c>
      <c r="V2112" s="201">
        <f>_xll.qlCalendarAdvance(Calendar,V2111,U2112,"f",FALSE)</f>
        <v>53596</v>
      </c>
      <c r="W2112" s="225">
        <f>_xll.qlCalendarAdvance(Calendar,V2112,NDays&amp;"D")</f>
        <v>53598</v>
      </c>
      <c r="X2112" s="200">
        <v>2.3608870949804628E-2</v>
      </c>
      <c r="Y2112" s="209">
        <v>2.3433674907149538E-2</v>
      </c>
    </row>
    <row r="2113" spans="21:25" x14ac:dyDescent="0.2">
      <c r="U2113" s="213" t="str">
        <f t="shared" si="36"/>
        <v>1w</v>
      </c>
      <c r="V2113" s="201">
        <f>_xll.qlCalendarAdvance(Calendar,V2112,U2113,"f",FALSE)</f>
        <v>53603</v>
      </c>
      <c r="W2113" s="225">
        <f>_xll.qlCalendarAdvance(Calendar,V2113,NDays&amp;"D")</f>
        <v>53605</v>
      </c>
      <c r="X2113" s="200">
        <v>2.3611877844473269E-2</v>
      </c>
      <c r="Y2113" s="209">
        <v>2.3436585114291475E-2</v>
      </c>
    </row>
    <row r="2114" spans="21:25" x14ac:dyDescent="0.2">
      <c r="U2114" s="213" t="str">
        <f t="shared" si="36"/>
        <v>1w</v>
      </c>
      <c r="V2114" s="201">
        <f>_xll.qlCalendarAdvance(Calendar,V2113,U2114,"f",FALSE)</f>
        <v>53610</v>
      </c>
      <c r="W2114" s="225">
        <f>_xll.qlCalendarAdvance(Calendar,V2114,NDays&amp;"D")</f>
        <v>53612</v>
      </c>
      <c r="X2114" s="200">
        <v>2.3618843532038285E-2</v>
      </c>
      <c r="Y2114" s="209">
        <v>2.3439500155033599E-2</v>
      </c>
    </row>
    <row r="2115" spans="21:25" x14ac:dyDescent="0.2">
      <c r="U2115" s="213" t="str">
        <f t="shared" si="36"/>
        <v>1w</v>
      </c>
      <c r="V2115" s="201">
        <f>_xll.qlCalendarAdvance(Calendar,V2114,U2115,"f",FALSE)</f>
        <v>53617</v>
      </c>
      <c r="W2115" s="225">
        <f>_xll.qlCalendarAdvance(Calendar,V2115,NDays&amp;"D")</f>
        <v>53619</v>
      </c>
      <c r="X2115" s="200">
        <v>2.3617906318148689E-2</v>
      </c>
      <c r="Y2115" s="209">
        <v>2.3442420029349265E-2</v>
      </c>
    </row>
    <row r="2116" spans="21:25" x14ac:dyDescent="0.2">
      <c r="U2116" s="213" t="str">
        <f t="shared" si="36"/>
        <v>1w</v>
      </c>
      <c r="V2116" s="201">
        <f>_xll.qlCalendarAdvance(Calendar,V2115,U2116,"f",FALSE)</f>
        <v>53624</v>
      </c>
      <c r="W2116" s="225">
        <f>_xll.qlCalendarAdvance(Calendar,V2116,NDays&amp;"D")</f>
        <v>53626</v>
      </c>
      <c r="X2116" s="200">
        <v>2.362092789719895E-2</v>
      </c>
      <c r="Y2116" s="209">
        <v>2.3445344737211826E-2</v>
      </c>
    </row>
    <row r="2117" spans="21:25" x14ac:dyDescent="0.2">
      <c r="U2117" s="213" t="str">
        <f t="shared" si="36"/>
        <v>1w</v>
      </c>
      <c r="V2117" s="201">
        <f>_xll.qlCalendarAdvance(Calendar,V2116,U2117,"f",FALSE)</f>
        <v>53631</v>
      </c>
      <c r="W2117" s="225">
        <f>_xll.qlCalendarAdvance(Calendar,V2117,NDays&amp;"D")</f>
        <v>53633</v>
      </c>
      <c r="X2117" s="200">
        <v>2.362296449441352E-2</v>
      </c>
      <c r="Y2117" s="209">
        <v>2.344827427870122E-2</v>
      </c>
    </row>
    <row r="2118" spans="21:25" x14ac:dyDescent="0.2">
      <c r="U2118" s="213" t="str">
        <f t="shared" si="36"/>
        <v>1w</v>
      </c>
      <c r="V2118" s="201">
        <f>_xll.qlCalendarAdvance(Calendar,V2117,U2118,"f",FALSE)</f>
        <v>53638</v>
      </c>
      <c r="W2118" s="225">
        <f>_xll.qlCalendarAdvance(Calendar,V2118,NDays&amp;"D")</f>
        <v>53640</v>
      </c>
      <c r="X2118" s="200">
        <v>2.3625995315799207E-2</v>
      </c>
      <c r="Y2118" s="209">
        <v>2.345120865373751E-2</v>
      </c>
    </row>
    <row r="2119" spans="21:25" x14ac:dyDescent="0.2">
      <c r="U2119" s="213" t="str">
        <f t="shared" si="36"/>
        <v>1w</v>
      </c>
      <c r="V2119" s="201">
        <f>_xll.qlCalendarAdvance(Calendar,V2118,U2119,"f",FALSE)</f>
        <v>53645</v>
      </c>
      <c r="W2119" s="225">
        <f>_xll.qlCalendarAdvance(Calendar,V2119,NDays&amp;"D")</f>
        <v>53647</v>
      </c>
      <c r="X2119" s="200">
        <v>2.362903103172094E-2</v>
      </c>
      <c r="Y2119" s="209">
        <v>2.3454147862347341E-2</v>
      </c>
    </row>
    <row r="2120" spans="21:25" x14ac:dyDescent="0.2">
      <c r="U2120" s="213" t="str">
        <f t="shared" si="36"/>
        <v>1w</v>
      </c>
      <c r="V2120" s="201">
        <f>_xll.qlCalendarAdvance(Calendar,V2119,U2120,"f",FALSE)</f>
        <v>53652</v>
      </c>
      <c r="W2120" s="225">
        <f>_xll.qlCalendarAdvance(Calendar,V2120,NDays&amp;"D")</f>
        <v>53654</v>
      </c>
      <c r="X2120" s="200">
        <v>2.363207164220036E-2</v>
      </c>
      <c r="Y2120" s="209">
        <v>2.3457091904504068E-2</v>
      </c>
    </row>
    <row r="2121" spans="21:25" x14ac:dyDescent="0.2">
      <c r="U2121" s="213" t="str">
        <f t="shared" si="36"/>
        <v>1w</v>
      </c>
      <c r="V2121" s="201">
        <f>_xll.qlCalendarAdvance(Calendar,V2120,U2121,"f",FALSE)</f>
        <v>53659</v>
      </c>
      <c r="W2121" s="225">
        <f>_xll.qlCalendarAdvance(Calendar,V2121,NDays&amp;"D")</f>
        <v>53661</v>
      </c>
      <c r="X2121" s="200">
        <v>2.3636109215467823E-2</v>
      </c>
      <c r="Y2121" s="209">
        <v>2.3460040780314273E-2</v>
      </c>
    </row>
    <row r="2122" spans="21:25" x14ac:dyDescent="0.2">
      <c r="U2122" s="213" t="str">
        <f t="shared" si="36"/>
        <v>1w</v>
      </c>
      <c r="V2122" s="201">
        <f>_xll.qlCalendarAdvance(Calendar,V2121,U2122,"f",FALSE)</f>
        <v>53666</v>
      </c>
      <c r="W2122" s="225">
        <f>_xll.qlCalendarAdvance(Calendar,V2122,NDays&amp;"D")</f>
        <v>53668</v>
      </c>
      <c r="X2122" s="200">
        <v>2.3639160163880853E-2</v>
      </c>
      <c r="Y2122" s="209">
        <v>2.3462994489644728E-2</v>
      </c>
    </row>
    <row r="2123" spans="21:25" x14ac:dyDescent="0.2">
      <c r="U2123" s="213" t="str">
        <f t="shared" si="36"/>
        <v>1w</v>
      </c>
      <c r="V2123" s="201">
        <f>_xll.qlCalendarAdvance(Calendar,V2122,U2123,"f",FALSE)</f>
        <v>53673</v>
      </c>
      <c r="W2123" s="225">
        <f>_xll.qlCalendarAdvance(Calendar,V2123,NDays&amp;"D")</f>
        <v>53675</v>
      </c>
      <c r="X2123" s="200">
        <v>2.3642216007265342E-2</v>
      </c>
      <c r="Y2123" s="209">
        <v>2.3465953032548725E-2</v>
      </c>
    </row>
    <row r="2124" spans="21:25" x14ac:dyDescent="0.2">
      <c r="U2124" s="213" t="str">
        <f t="shared" si="36"/>
        <v>1w</v>
      </c>
      <c r="V2124" s="201">
        <f>_xll.qlCalendarAdvance(Calendar,V2123,U2124,"f",FALSE)</f>
        <v>53680</v>
      </c>
      <c r="W2124" s="225">
        <f>_xll.qlCalendarAdvance(Calendar,V2124,NDays&amp;"D")</f>
        <v>53682</v>
      </c>
      <c r="X2124" s="200">
        <v>2.3645276745644133E-2</v>
      </c>
      <c r="Y2124" s="209">
        <v>2.3468916409052909E-2</v>
      </c>
    </row>
    <row r="2125" spans="21:25" x14ac:dyDescent="0.2">
      <c r="U2125" s="213" t="str">
        <f t="shared" si="36"/>
        <v>1w</v>
      </c>
      <c r="V2125" s="201">
        <f>_xll.qlCalendarAdvance(Calendar,V2124,U2125,"f",FALSE)</f>
        <v>53688</v>
      </c>
      <c r="W2125" s="225">
        <f>_xll.qlCalendarAdvance(Calendar,V2125,NDays&amp;"D")</f>
        <v>53692</v>
      </c>
      <c r="X2125" s="200">
        <v>2.3646674504867189E-2</v>
      </c>
      <c r="Y2125" s="209">
        <v>2.3472180662640341E-2</v>
      </c>
    </row>
    <row r="2126" spans="21:25" x14ac:dyDescent="0.2">
      <c r="U2126" s="213" t="str">
        <f t="shared" si="36"/>
        <v>1w</v>
      </c>
      <c r="V2126" s="201">
        <f>_xll.qlCalendarAdvance(Calendar,V2125,U2126,"f",FALSE)</f>
        <v>53695</v>
      </c>
      <c r="W2126" s="225">
        <f>_xll.qlCalendarAdvance(Calendar,V2126,NDays&amp;"D")</f>
        <v>53699</v>
      </c>
      <c r="X2126" s="200">
        <v>2.3652730346718942E-2</v>
      </c>
      <c r="Y2126" s="209">
        <v>2.3474177267202023E-2</v>
      </c>
    </row>
    <row r="2127" spans="21:25" x14ac:dyDescent="0.2">
      <c r="U2127" s="213" t="str">
        <f t="shared" si="36"/>
        <v>1w</v>
      </c>
      <c r="V2127" s="201">
        <f>_xll.qlCalendarAdvance(Calendar,V2126,U2127,"f",FALSE)</f>
        <v>53702</v>
      </c>
      <c r="W2127" s="225">
        <f>_xll.qlCalendarAdvance(Calendar,V2127,NDays&amp;"D")</f>
        <v>53706</v>
      </c>
      <c r="X2127" s="200">
        <v>2.3655807868106119E-2</v>
      </c>
      <c r="Y2127" s="209">
        <v>2.3477156136992861E-2</v>
      </c>
    </row>
    <row r="2128" spans="21:25" x14ac:dyDescent="0.2">
      <c r="U2128" s="213" t="str">
        <f t="shared" si="36"/>
        <v>1w</v>
      </c>
      <c r="V2128" s="201">
        <f>_xll.qlCalendarAdvance(Calendar,V2127,U2128,"f",FALSE)</f>
        <v>53709</v>
      </c>
      <c r="W2128" s="225">
        <f>_xll.qlCalendarAdvance(Calendar,V2128,NDays&amp;"D")</f>
        <v>53713</v>
      </c>
      <c r="X2128" s="200">
        <v>2.3658890284586422E-2</v>
      </c>
      <c r="Y2128" s="209">
        <v>2.3480139839477943E-2</v>
      </c>
    </row>
    <row r="2129" spans="21:25" x14ac:dyDescent="0.2">
      <c r="U2129" s="213" t="str">
        <f t="shared" si="36"/>
        <v>1w</v>
      </c>
      <c r="V2129" s="201">
        <f>_xll.qlCalendarAdvance(Calendar,V2128,U2129,"f",FALSE)</f>
        <v>53716</v>
      </c>
      <c r="W2129" s="225">
        <f>_xll.qlCalendarAdvance(Calendar,V2129,NDays&amp;"D")</f>
        <v>53720</v>
      </c>
      <c r="X2129" s="200">
        <v>2.3661977596183565E-2</v>
      </c>
      <c r="Y2129" s="209">
        <v>2.3483128375136886E-2</v>
      </c>
    </row>
    <row r="2130" spans="21:25" x14ac:dyDescent="0.2">
      <c r="U2130" s="213" t="str">
        <f t="shared" si="36"/>
        <v>1w</v>
      </c>
      <c r="V2130" s="201">
        <f>_xll.qlCalendarAdvance(Calendar,V2129,U2130,"f",FALSE)</f>
        <v>53723</v>
      </c>
      <c r="W2130" s="225">
        <f>_xll.qlCalendarAdvance(Calendar,V2130,NDays&amp;"D")</f>
        <v>53727</v>
      </c>
      <c r="X2130" s="200">
        <v>2.3665069802919506E-2</v>
      </c>
      <c r="Y2130" s="209">
        <v>2.3486121743490074E-2</v>
      </c>
    </row>
    <row r="2131" spans="21:25" x14ac:dyDescent="0.2">
      <c r="U2131" s="213" t="str">
        <f t="shared" si="36"/>
        <v>1w</v>
      </c>
      <c r="V2131" s="201">
        <f>_xll.qlCalendarAdvance(Calendar,V2130,U2131,"f",FALSE)</f>
        <v>53730</v>
      </c>
      <c r="W2131" s="225">
        <f>_xll.qlCalendarAdvance(Calendar,V2131,NDays&amp;"D")</f>
        <v>53734</v>
      </c>
      <c r="X2131" s="200">
        <v>2.3668166904818402E-2</v>
      </c>
      <c r="Y2131" s="209">
        <v>2.3489119944937187E-2</v>
      </c>
    </row>
    <row r="2132" spans="21:25" x14ac:dyDescent="0.2">
      <c r="U2132" s="213" t="str">
        <f t="shared" si="36"/>
        <v>1w</v>
      </c>
      <c r="V2132" s="201">
        <f>_xll.qlCalendarAdvance(Calendar,V2131,U2132,"f",FALSE)</f>
        <v>53737</v>
      </c>
      <c r="W2132" s="225">
        <f>_xll.qlCalendarAdvance(Calendar,V2132,NDays&amp;"D")</f>
        <v>53741</v>
      </c>
      <c r="X2132" s="200">
        <v>2.3671268901900019E-2</v>
      </c>
      <c r="Y2132" s="209">
        <v>2.3492122979078545E-2</v>
      </c>
    </row>
    <row r="2133" spans="21:25" x14ac:dyDescent="0.2">
      <c r="U2133" s="213" t="str">
        <f t="shared" ref="U2133:U2196" si="37">U2132</f>
        <v>1w</v>
      </c>
      <c r="V2133" s="201">
        <f>_xll.qlCalendarAdvance(Calendar,V2132,U2133,"f",FALSE)</f>
        <v>53744</v>
      </c>
      <c r="W2133" s="225">
        <f>_xll.qlCalendarAdvance(Calendar,V2133,NDays&amp;"D")</f>
        <v>53748</v>
      </c>
      <c r="X2133" s="200">
        <v>2.3674375794189833E-2</v>
      </c>
      <c r="Y2133" s="209">
        <v>2.3495130846313828E-2</v>
      </c>
    </row>
    <row r="2134" spans="21:25" x14ac:dyDescent="0.2">
      <c r="U2134" s="213" t="str">
        <f t="shared" si="37"/>
        <v>1w</v>
      </c>
      <c r="V2134" s="201">
        <f>_xll.qlCalendarAdvance(Calendar,V2133,U2134,"f",FALSE)</f>
        <v>53751</v>
      </c>
      <c r="W2134" s="225">
        <f>_xll.qlCalendarAdvance(Calendar,V2134,NDays&amp;"D")</f>
        <v>53755</v>
      </c>
      <c r="X2134" s="200">
        <v>2.3679486803159452E-2</v>
      </c>
      <c r="Y2134" s="209">
        <v>2.3498143546323291E-2</v>
      </c>
    </row>
    <row r="2135" spans="21:25" x14ac:dyDescent="0.2">
      <c r="U2135" s="213" t="str">
        <f t="shared" si="37"/>
        <v>1w</v>
      </c>
      <c r="V2135" s="201">
        <f>_xll.qlCalendarAdvance(Calendar,V2134,U2135,"f",FALSE)</f>
        <v>53758</v>
      </c>
      <c r="W2135" s="225">
        <f>_xll.qlCalendarAdvance(Calendar,V2135,NDays&amp;"D")</f>
        <v>53762</v>
      </c>
      <c r="X2135" s="200">
        <v>2.3682604592951878E-2</v>
      </c>
      <c r="Y2135" s="209">
        <v>2.3501161079266808E-2</v>
      </c>
    </row>
    <row r="2136" spans="21:25" x14ac:dyDescent="0.2">
      <c r="U2136" s="213" t="str">
        <f t="shared" si="37"/>
        <v>1w</v>
      </c>
      <c r="V2136" s="201">
        <f>_xll.qlCalendarAdvance(Calendar,V2135,U2136,"f",FALSE)</f>
        <v>53765</v>
      </c>
      <c r="W2136" s="225">
        <f>_xll.qlCalendarAdvance(Calendar,V2136,NDays&amp;"D")</f>
        <v>53769</v>
      </c>
      <c r="X2136" s="200">
        <v>2.3685727278717063E-2</v>
      </c>
      <c r="Y2136" s="209">
        <v>2.3504183445144378E-2</v>
      </c>
    </row>
    <row r="2137" spans="21:25" x14ac:dyDescent="0.2">
      <c r="U2137" s="213" t="str">
        <f t="shared" si="37"/>
        <v>1w</v>
      </c>
      <c r="V2137" s="201">
        <f>_xll.qlCalendarAdvance(Calendar,V2136,U2137,"f",FALSE)</f>
        <v>53772</v>
      </c>
      <c r="W2137" s="225">
        <f>_xll.qlCalendarAdvance(Calendar,V2137,NDays&amp;"D")</f>
        <v>53776</v>
      </c>
      <c r="X2137" s="200">
        <v>2.3688854860478028E-2</v>
      </c>
      <c r="Y2137" s="209">
        <v>2.3507210643956E-2</v>
      </c>
    </row>
    <row r="2138" spans="21:25" x14ac:dyDescent="0.2">
      <c r="U2138" s="213" t="str">
        <f t="shared" si="37"/>
        <v>1w</v>
      </c>
      <c r="V2138" s="201">
        <f>_xll.qlCalendarAdvance(Calendar,V2137,U2138,"f",FALSE)</f>
        <v>53779</v>
      </c>
      <c r="W2138" s="225">
        <f>_xll.qlCalendarAdvance(Calendar,V2138,NDays&amp;"D")</f>
        <v>53783</v>
      </c>
      <c r="X2138" s="200">
        <v>2.3690985463061864E-2</v>
      </c>
      <c r="Y2138" s="209">
        <v>2.3510242675541804E-2</v>
      </c>
    </row>
    <row r="2139" spans="21:25" x14ac:dyDescent="0.2">
      <c r="U2139" s="213" t="str">
        <f t="shared" si="37"/>
        <v>1w</v>
      </c>
      <c r="V2139" s="201">
        <f>_xll.qlCalendarAdvance(Calendar,V2138,U2139,"f",FALSE)</f>
        <v>53786</v>
      </c>
      <c r="W2139" s="225">
        <f>_xll.qlCalendarAdvance(Calendar,V2139,NDays&amp;"D")</f>
        <v>53790</v>
      </c>
      <c r="X2139" s="200">
        <v>2.369412228194738E-2</v>
      </c>
      <c r="Y2139" s="209">
        <v>2.351327954006166E-2</v>
      </c>
    </row>
    <row r="2140" spans="21:25" x14ac:dyDescent="0.2">
      <c r="U2140" s="213" t="str">
        <f t="shared" si="37"/>
        <v>1w</v>
      </c>
      <c r="V2140" s="201">
        <f>_xll.qlCalendarAdvance(Calendar,V2139,U2140,"f",FALSE)</f>
        <v>53793</v>
      </c>
      <c r="W2140" s="225">
        <f>_xll.qlCalendarAdvance(Calendar,V2140,NDays&amp;"D")</f>
        <v>53799</v>
      </c>
      <c r="X2140" s="200">
        <v>2.3698162528509606E-2</v>
      </c>
      <c r="Y2140" s="209">
        <v>2.3517191181632313E-2</v>
      </c>
    </row>
    <row r="2141" spans="21:25" x14ac:dyDescent="0.2">
      <c r="U2141" s="213" t="str">
        <f t="shared" si="37"/>
        <v>1w</v>
      </c>
      <c r="V2141" s="201">
        <f>_xll.qlCalendarAdvance(Calendar,V2140,U2141,"f",FALSE)</f>
        <v>53800</v>
      </c>
      <c r="W2141" s="225">
        <f>_xll.qlCalendarAdvance(Calendar,V2141,NDays&amp;"D")</f>
        <v>53804</v>
      </c>
      <c r="X2141" s="200">
        <v>2.370041060689098E-2</v>
      </c>
      <c r="Y2141" s="209">
        <v>2.3519367767903532E-2</v>
      </c>
    </row>
    <row r="2142" spans="21:25" x14ac:dyDescent="0.2">
      <c r="U2142" s="213" t="str">
        <f t="shared" si="37"/>
        <v>1w</v>
      </c>
      <c r="V2142" s="201">
        <f>_xll.qlCalendarAdvance(Calendar,V2141,U2142,"f",FALSE)</f>
        <v>53807</v>
      </c>
      <c r="W2142" s="225">
        <f>_xll.qlCalendarAdvance(Calendar,V2142,NDays&amp;"D")</f>
        <v>53811</v>
      </c>
      <c r="X2142" s="200">
        <v>2.3703562112995367E-2</v>
      </c>
      <c r="Y2142" s="209">
        <v>2.3522419131145611E-2</v>
      </c>
    </row>
    <row r="2143" spans="21:25" x14ac:dyDescent="0.2">
      <c r="U2143" s="213" t="str">
        <f t="shared" si="37"/>
        <v>1w</v>
      </c>
      <c r="V2143" s="201">
        <f>_xll.qlCalendarAdvance(Calendar,V2142,U2143,"f",FALSE)</f>
        <v>53814</v>
      </c>
      <c r="W2143" s="225">
        <f>_xll.qlCalendarAdvance(Calendar,V2143,NDays&amp;"D")</f>
        <v>53818</v>
      </c>
      <c r="X2143" s="200">
        <v>2.3707723168255097E-2</v>
      </c>
      <c r="Y2143" s="209">
        <v>2.3525475327321743E-2</v>
      </c>
    </row>
    <row r="2144" spans="21:25" x14ac:dyDescent="0.2">
      <c r="U2144" s="213" t="str">
        <f t="shared" si="37"/>
        <v>1w</v>
      </c>
      <c r="V2144" s="201">
        <f>_xll.qlCalendarAdvance(Calendar,V2143,U2144,"f",FALSE)</f>
        <v>53821</v>
      </c>
      <c r="W2144" s="225">
        <f>_xll.qlCalendarAdvance(Calendar,V2144,NDays&amp;"D")</f>
        <v>53825</v>
      </c>
      <c r="X2144" s="200">
        <v>2.3710885022637761E-2</v>
      </c>
      <c r="Y2144" s="209">
        <v>2.3528536356431928E-2</v>
      </c>
    </row>
    <row r="2145" spans="21:25" x14ac:dyDescent="0.2">
      <c r="U2145" s="213" t="str">
        <f t="shared" si="37"/>
        <v>1w</v>
      </c>
      <c r="V2145" s="201">
        <f>_xll.qlCalendarAdvance(Calendar,V2144,U2145,"f",FALSE)</f>
        <v>53828</v>
      </c>
      <c r="W2145" s="225">
        <f>_xll.qlCalendarAdvance(Calendar,V2145,NDays&amp;"D")</f>
        <v>53832</v>
      </c>
      <c r="X2145" s="200">
        <v>2.3714051773202582E-2</v>
      </c>
      <c r="Y2145" s="209">
        <v>2.353160221839623E-2</v>
      </c>
    </row>
    <row r="2146" spans="21:25" x14ac:dyDescent="0.2">
      <c r="U2146" s="213" t="str">
        <f t="shared" si="37"/>
        <v>1w</v>
      </c>
      <c r="V2146" s="201">
        <f>_xll.qlCalendarAdvance(Calendar,V2145,U2146,"f",FALSE)</f>
        <v>53835</v>
      </c>
      <c r="W2146" s="225">
        <f>_xll.qlCalendarAdvance(Calendar,V2146,NDays&amp;"D")</f>
        <v>53839</v>
      </c>
      <c r="X2146" s="200">
        <v>2.3717223419973014E-2</v>
      </c>
      <c r="Y2146" s="209">
        <v>2.3534672913214649E-2</v>
      </c>
    </row>
    <row r="2147" spans="21:25" x14ac:dyDescent="0.2">
      <c r="U2147" s="213" t="str">
        <f t="shared" si="37"/>
        <v>1w</v>
      </c>
      <c r="V2147" s="201">
        <f>_xll.qlCalendarAdvance(Calendar,V2146,U2147,"f",FALSE)</f>
        <v>53842</v>
      </c>
      <c r="W2147" s="225">
        <f>_xll.qlCalendarAdvance(Calendar,V2147,NDays&amp;"D")</f>
        <v>53846</v>
      </c>
      <c r="X2147" s="200">
        <v>2.3719393080774021E-2</v>
      </c>
      <c r="Y2147" s="209">
        <v>2.3537748440967121E-2</v>
      </c>
    </row>
    <row r="2148" spans="21:25" x14ac:dyDescent="0.2">
      <c r="U2148" s="213" t="str">
        <f t="shared" si="37"/>
        <v>1w</v>
      </c>
      <c r="V2148" s="201">
        <f>_xll.qlCalendarAdvance(Calendar,V2147,U2148,"f",FALSE)</f>
        <v>53849</v>
      </c>
      <c r="W2148" s="225">
        <f>_xll.qlCalendarAdvance(Calendar,V2148,NDays&amp;"D")</f>
        <v>53853</v>
      </c>
      <c r="X2148" s="200">
        <v>2.3722573961944722E-2</v>
      </c>
      <c r="Y2148" s="209">
        <v>2.3540828801733582E-2</v>
      </c>
    </row>
    <row r="2149" spans="21:25" x14ac:dyDescent="0.2">
      <c r="U2149" s="213" t="str">
        <f t="shared" si="37"/>
        <v>1w</v>
      </c>
      <c r="V2149" s="201">
        <f>_xll.qlCalendarAdvance(Calendar,V2148,U2149,"f",FALSE)</f>
        <v>53856</v>
      </c>
      <c r="W2149" s="225">
        <f>_xll.qlCalendarAdvance(Calendar,V2149,NDays&amp;"D")</f>
        <v>53860</v>
      </c>
      <c r="X2149" s="200">
        <v>2.3725759739040838E-2</v>
      </c>
      <c r="Y2149" s="209">
        <v>2.3543913995274224E-2</v>
      </c>
    </row>
    <row r="2150" spans="21:25" x14ac:dyDescent="0.2">
      <c r="U2150" s="213" t="str">
        <f t="shared" si="37"/>
        <v>1w</v>
      </c>
      <c r="V2150" s="201">
        <f>_xll.qlCalendarAdvance(Calendar,V2149,U2150,"f",FALSE)</f>
        <v>53863</v>
      </c>
      <c r="W2150" s="225">
        <f>_xll.qlCalendarAdvance(Calendar,V2150,NDays&amp;"D")</f>
        <v>53867</v>
      </c>
      <c r="X2150" s="200">
        <v>2.3728950412086829E-2</v>
      </c>
      <c r="Y2150" s="209">
        <v>2.3547004021748918E-2</v>
      </c>
    </row>
    <row r="2151" spans="21:25" x14ac:dyDescent="0.2">
      <c r="U2151" s="213" t="str">
        <f t="shared" si="37"/>
        <v>1w</v>
      </c>
      <c r="V2151" s="201">
        <f>_xll.qlCalendarAdvance(Calendar,V2150,U2151,"f",FALSE)</f>
        <v>53870</v>
      </c>
      <c r="W2151" s="225">
        <f>_xll.qlCalendarAdvance(Calendar,V2151,NDays&amp;"D")</f>
        <v>53874</v>
      </c>
      <c r="X2151" s="200">
        <v>2.3734164311880211E-2</v>
      </c>
      <c r="Y2151" s="209">
        <v>2.3550098881237602E-2</v>
      </c>
    </row>
    <row r="2152" spans="21:25" x14ac:dyDescent="0.2">
      <c r="U2152" s="213" t="str">
        <f t="shared" si="37"/>
        <v>1w</v>
      </c>
      <c r="V2152" s="201">
        <f>_xll.qlCalendarAdvance(Calendar,V2151,U2152,"f",FALSE)</f>
        <v>53877</v>
      </c>
      <c r="W2152" s="225">
        <f>_xll.qlCalendarAdvance(Calendar,V2152,NDays&amp;"D")</f>
        <v>53881</v>
      </c>
      <c r="X2152" s="200">
        <v>2.3736356122235083E-2</v>
      </c>
      <c r="Y2152" s="209">
        <v>2.3553198573420531E-2</v>
      </c>
    </row>
    <row r="2153" spans="21:25" x14ac:dyDescent="0.2">
      <c r="U2153" s="213" t="str">
        <f t="shared" si="37"/>
        <v>1w</v>
      </c>
      <c r="V2153" s="201">
        <f>_xll.qlCalendarAdvance(Calendar,V2152,U2153,"f",FALSE)</f>
        <v>53884</v>
      </c>
      <c r="W2153" s="225">
        <f>_xll.qlCalendarAdvance(Calendar,V2153,NDays&amp;"D")</f>
        <v>53888</v>
      </c>
      <c r="X2153" s="200">
        <v>2.3739562043105598E-2</v>
      </c>
      <c r="Y2153" s="209">
        <v>2.3556303098617448E-2</v>
      </c>
    </row>
    <row r="2154" spans="21:25" x14ac:dyDescent="0.2">
      <c r="U2154" s="213" t="str">
        <f t="shared" si="37"/>
        <v>1w</v>
      </c>
      <c r="V2154" s="201">
        <f>_xll.qlCalendarAdvance(Calendar,V2153,U2154,"f",FALSE)</f>
        <v>53891</v>
      </c>
      <c r="W2154" s="225">
        <f>_xll.qlCalendarAdvance(Calendar,V2154,NDays&amp;"D")</f>
        <v>53895</v>
      </c>
      <c r="X2154" s="200">
        <v>2.3742772860371141E-2</v>
      </c>
      <c r="Y2154" s="209">
        <v>2.3559412456668483E-2</v>
      </c>
    </row>
    <row r="2155" spans="21:25" x14ac:dyDescent="0.2">
      <c r="U2155" s="213" t="str">
        <f t="shared" si="37"/>
        <v>1w</v>
      </c>
      <c r="V2155" s="201">
        <f>_xll.qlCalendarAdvance(Calendar,V2154,U2155,"f",FALSE)</f>
        <v>53898</v>
      </c>
      <c r="W2155" s="225">
        <f>_xll.qlCalendarAdvance(Calendar,V2155,NDays&amp;"D")</f>
        <v>53902</v>
      </c>
      <c r="X2155" s="200">
        <v>2.3745988574056038E-2</v>
      </c>
      <c r="Y2155" s="209">
        <v>2.3562526647733506E-2</v>
      </c>
    </row>
    <row r="2156" spans="21:25" x14ac:dyDescent="0.2">
      <c r="U2156" s="213" t="str">
        <f t="shared" si="37"/>
        <v>1w</v>
      </c>
      <c r="V2156" s="201">
        <f>_xll.qlCalendarAdvance(Calendar,V2155,U2156,"f",FALSE)</f>
        <v>53905</v>
      </c>
      <c r="W2156" s="225">
        <f>_xll.qlCalendarAdvance(Calendar,V2156,NDays&amp;"D")</f>
        <v>53909</v>
      </c>
      <c r="X2156" s="200">
        <v>2.3749209184182888E-2</v>
      </c>
      <c r="Y2156" s="209">
        <v>2.3565645671652646E-2</v>
      </c>
    </row>
    <row r="2157" spans="21:25" x14ac:dyDescent="0.2">
      <c r="U2157" s="213" t="str">
        <f t="shared" si="37"/>
        <v>1w</v>
      </c>
      <c r="V2157" s="201">
        <f>_xll.qlCalendarAdvance(Calendar,V2156,U2157,"f",FALSE)</f>
        <v>53912</v>
      </c>
      <c r="W2157" s="225">
        <f>_xll.qlCalendarAdvance(Calendar,V2157,NDays&amp;"D")</f>
        <v>53916</v>
      </c>
      <c r="X2157" s="200">
        <v>2.3752434690775575E-2</v>
      </c>
      <c r="Y2157" s="209">
        <v>2.3568769528425904E-2</v>
      </c>
    </row>
    <row r="2158" spans="21:25" x14ac:dyDescent="0.2">
      <c r="U2158" s="213" t="str">
        <f t="shared" si="37"/>
        <v>1w</v>
      </c>
      <c r="V2158" s="201">
        <f>_xll.qlCalendarAdvance(Calendar,V2157,U2158,"f",FALSE)</f>
        <v>53919</v>
      </c>
      <c r="W2158" s="225">
        <f>_xll.qlCalendarAdvance(Calendar,V2158,NDays&amp;"D")</f>
        <v>53923</v>
      </c>
      <c r="X2158" s="200">
        <v>2.3755665093859301E-2</v>
      </c>
      <c r="Y2158" s="209">
        <v>2.357189821821315E-2</v>
      </c>
    </row>
    <row r="2159" spans="21:25" x14ac:dyDescent="0.2">
      <c r="U2159" s="213" t="str">
        <f t="shared" si="37"/>
        <v>1w</v>
      </c>
      <c r="V2159" s="201">
        <f>_xll.qlCalendarAdvance(Calendar,V2158,U2159,"f",FALSE)</f>
        <v>53926</v>
      </c>
      <c r="W2159" s="225">
        <f>_xll.qlCalendarAdvance(Calendar,V2159,NDays&amp;"D")</f>
        <v>53930</v>
      </c>
      <c r="X2159" s="200">
        <v>2.3758900393457093E-2</v>
      </c>
      <c r="Y2159" s="209">
        <v>2.3575031740854513E-2</v>
      </c>
    </row>
    <row r="2160" spans="21:25" x14ac:dyDescent="0.2">
      <c r="U2160" s="213" t="str">
        <f t="shared" si="37"/>
        <v>1w</v>
      </c>
      <c r="V2160" s="201">
        <f>_xll.qlCalendarAdvance(Calendar,V2159,U2160,"f",FALSE)</f>
        <v>53933</v>
      </c>
      <c r="W2160" s="225">
        <f>_xll.qlCalendarAdvance(Calendar,V2160,NDays&amp;"D")</f>
        <v>53937</v>
      </c>
      <c r="X2160" s="200">
        <v>2.3760112358429199E-2</v>
      </c>
      <c r="Y2160" s="209">
        <v>2.3578170096270057E-2</v>
      </c>
    </row>
    <row r="2161" spans="21:25" x14ac:dyDescent="0.2">
      <c r="U2161" s="213" t="str">
        <f t="shared" si="37"/>
        <v>1w</v>
      </c>
      <c r="V2161" s="201">
        <f>_xll.qlCalendarAdvance(Calendar,V2160,U2161,"f",FALSE)</f>
        <v>53940</v>
      </c>
      <c r="W2161" s="225">
        <f>_xll.qlCalendarAdvance(Calendar,V2161,NDays&amp;"D")</f>
        <v>53944</v>
      </c>
      <c r="X2161" s="200">
        <v>2.3763356325900549E-2</v>
      </c>
      <c r="Y2161" s="209">
        <v>2.358131328469959E-2</v>
      </c>
    </row>
    <row r="2162" spans="21:25" x14ac:dyDescent="0.2">
      <c r="U2162" s="213" t="str">
        <f t="shared" si="37"/>
        <v>1w</v>
      </c>
      <c r="V2162" s="201">
        <f>_xll.qlCalendarAdvance(Calendar,V2161,U2162,"f",FALSE)</f>
        <v>53947</v>
      </c>
      <c r="W2162" s="225">
        <f>_xll.qlCalendarAdvance(Calendar,V2162,NDays&amp;"D")</f>
        <v>53951</v>
      </c>
      <c r="X2162" s="200">
        <v>2.3766605189254275E-2</v>
      </c>
      <c r="Y2162" s="209">
        <v>2.3584461306143112E-2</v>
      </c>
    </row>
    <row r="2163" spans="21:25" x14ac:dyDescent="0.2">
      <c r="U2163" s="213" t="str">
        <f t="shared" si="37"/>
        <v>1w</v>
      </c>
      <c r="V2163" s="201">
        <f>_xll.qlCalendarAdvance(Calendar,V2162,U2163,"f",FALSE)</f>
        <v>53954</v>
      </c>
      <c r="W2163" s="225">
        <f>_xll.qlCalendarAdvance(Calendar,V2163,NDays&amp;"D")</f>
        <v>53958</v>
      </c>
      <c r="X2163" s="200">
        <v>2.3769858948514543E-2</v>
      </c>
      <c r="Y2163" s="209">
        <v>2.3587614160280879E-2</v>
      </c>
    </row>
    <row r="2164" spans="21:25" x14ac:dyDescent="0.2">
      <c r="U2164" s="213" t="str">
        <f t="shared" si="37"/>
        <v>1w</v>
      </c>
      <c r="V2164" s="201">
        <f>_xll.qlCalendarAdvance(Calendar,V2163,U2164,"f",FALSE)</f>
        <v>53961</v>
      </c>
      <c r="W2164" s="225">
        <f>_xll.qlCalendarAdvance(Calendar,V2164,NDays&amp;"D")</f>
        <v>53965</v>
      </c>
      <c r="X2164" s="200">
        <v>2.3774133922682794E-2</v>
      </c>
      <c r="Y2164" s="209">
        <v>2.3590771847432634E-2</v>
      </c>
    </row>
    <row r="2165" spans="21:25" x14ac:dyDescent="0.2">
      <c r="U2165" s="213" t="str">
        <f t="shared" si="37"/>
        <v>1w</v>
      </c>
      <c r="V2165" s="201">
        <f>_xll.qlCalendarAdvance(Calendar,V2164,U2165,"f",FALSE)</f>
        <v>53968</v>
      </c>
      <c r="W2165" s="225">
        <f>_xll.qlCalendarAdvance(Calendar,V2165,NDays&amp;"D")</f>
        <v>53972</v>
      </c>
      <c r="X2165" s="200">
        <v>2.3777398037816606E-2</v>
      </c>
      <c r="Y2165" s="209">
        <v>2.3593934367518443E-2</v>
      </c>
    </row>
    <row r="2166" spans="21:25" x14ac:dyDescent="0.2">
      <c r="U2166" s="213" t="str">
        <f t="shared" si="37"/>
        <v>1w</v>
      </c>
      <c r="V2166" s="201">
        <f>_xll.qlCalendarAdvance(Calendar,V2165,U2166,"f",FALSE)</f>
        <v>53975</v>
      </c>
      <c r="W2166" s="225">
        <f>_xll.qlCalendarAdvance(Calendar,V2166,NDays&amp;"D")</f>
        <v>53979</v>
      </c>
      <c r="X2166" s="200">
        <v>2.3780667049280751E-2</v>
      </c>
      <c r="Y2166" s="209">
        <v>2.3597101720458369E-2</v>
      </c>
    </row>
    <row r="2167" spans="21:25" x14ac:dyDescent="0.2">
      <c r="U2167" s="213" t="str">
        <f t="shared" si="37"/>
        <v>1w</v>
      </c>
      <c r="V2167" s="201">
        <f>_xll.qlCalendarAdvance(Calendar,V2166,U2167,"f",FALSE)</f>
        <v>53982</v>
      </c>
      <c r="W2167" s="225">
        <f>_xll.qlCalendarAdvance(Calendar,V2167,NDays&amp;"D")</f>
        <v>53986</v>
      </c>
      <c r="X2167" s="200">
        <v>2.3783940957099261E-2</v>
      </c>
      <c r="Y2167" s="209">
        <v>2.3600273906332347E-2</v>
      </c>
    </row>
    <row r="2168" spans="21:25" x14ac:dyDescent="0.2">
      <c r="U2168" s="213" t="str">
        <f t="shared" si="37"/>
        <v>1w</v>
      </c>
      <c r="V2168" s="201">
        <f>_xll.qlCalendarAdvance(Calendar,V2167,U2168,"f",FALSE)</f>
        <v>53989</v>
      </c>
      <c r="W2168" s="225">
        <f>_xll.qlCalendarAdvance(Calendar,V2168,NDays&amp;"D")</f>
        <v>53993</v>
      </c>
      <c r="X2168" s="200">
        <v>2.3787219761296153E-2</v>
      </c>
      <c r="Y2168" s="209">
        <v>2.3603450924980507E-2</v>
      </c>
    </row>
    <row r="2169" spans="21:25" x14ac:dyDescent="0.2">
      <c r="U2169" s="213" t="str">
        <f t="shared" si="37"/>
        <v>1w</v>
      </c>
      <c r="V2169" s="201">
        <f>_xll.qlCalendarAdvance(Calendar,V2168,U2169,"f",FALSE)</f>
        <v>53996</v>
      </c>
      <c r="W2169" s="225">
        <f>_xll.qlCalendarAdvance(Calendar,V2169,NDays&amp;"D")</f>
        <v>54000</v>
      </c>
      <c r="X2169" s="200">
        <v>2.378948431944335E-2</v>
      </c>
      <c r="Y2169" s="209">
        <v>2.3606632776722591E-2</v>
      </c>
    </row>
    <row r="2170" spans="21:25" x14ac:dyDescent="0.2">
      <c r="U2170" s="213" t="str">
        <f t="shared" si="37"/>
        <v>1w</v>
      </c>
      <c r="V2170" s="201">
        <f>_xll.qlCalendarAdvance(Calendar,V2169,U2170,"f",FALSE)</f>
        <v>54003</v>
      </c>
      <c r="W2170" s="225">
        <f>_xll.qlCalendarAdvance(Calendar,V2170,NDays&amp;"D")</f>
        <v>54007</v>
      </c>
      <c r="X2170" s="200">
        <v>2.3792772350716973E-2</v>
      </c>
      <c r="Y2170" s="209">
        <v>2.3609819461318793E-2</v>
      </c>
    </row>
    <row r="2171" spans="21:25" x14ac:dyDescent="0.2">
      <c r="U2171" s="213" t="str">
        <f t="shared" si="37"/>
        <v>1w</v>
      </c>
      <c r="V2171" s="201">
        <f>_xll.qlCalendarAdvance(Calendar,V2170,U2171,"f",FALSE)</f>
        <v>54010</v>
      </c>
      <c r="W2171" s="225">
        <f>_xll.qlCalendarAdvance(Calendar,V2171,NDays&amp;"D")</f>
        <v>54014</v>
      </c>
      <c r="X2171" s="200">
        <v>2.3796065278089071E-2</v>
      </c>
      <c r="Y2171" s="209">
        <v>2.3613010978689175E-2</v>
      </c>
    </row>
    <row r="2172" spans="21:25" x14ac:dyDescent="0.2">
      <c r="U2172" s="213" t="str">
        <f t="shared" si="37"/>
        <v>1w</v>
      </c>
      <c r="V2172" s="201">
        <f>_xll.qlCalendarAdvance(Calendar,V2171,U2172,"f",FALSE)</f>
        <v>54017</v>
      </c>
      <c r="W2172" s="225">
        <f>_xll.qlCalendarAdvance(Calendar,V2172,NDays&amp;"D")</f>
        <v>54021</v>
      </c>
      <c r="X2172" s="200">
        <v>2.3799363101582479E-2</v>
      </c>
      <c r="Y2172" s="209">
        <v>2.3616207329153482E-2</v>
      </c>
    </row>
    <row r="2173" spans="21:25" x14ac:dyDescent="0.2">
      <c r="U2173" s="213" t="str">
        <f t="shared" si="37"/>
        <v>1w</v>
      </c>
      <c r="V2173" s="201">
        <f>_xll.qlCalendarAdvance(Calendar,V2172,U2173,"f",FALSE)</f>
        <v>54024</v>
      </c>
      <c r="W2173" s="225">
        <f>_xll.qlCalendarAdvance(Calendar,V2173,NDays&amp;"D")</f>
        <v>54028</v>
      </c>
      <c r="X2173" s="200">
        <v>2.3803687228807286E-2</v>
      </c>
      <c r="Y2173" s="209">
        <v>2.3619408512471907E-2</v>
      </c>
    </row>
    <row r="2174" spans="21:25" x14ac:dyDescent="0.2">
      <c r="U2174" s="213" t="str">
        <f t="shared" si="37"/>
        <v>1w</v>
      </c>
      <c r="V2174" s="201">
        <f>_xll.qlCalendarAdvance(Calendar,V2173,U2174,"f",FALSE)</f>
        <v>54031</v>
      </c>
      <c r="W2174" s="225">
        <f>_xll.qlCalendarAdvance(Calendar,V2174,NDays&amp;"D")</f>
        <v>54035</v>
      </c>
      <c r="X2174" s="200">
        <v>2.380699541178468E-2</v>
      </c>
      <c r="Y2174" s="209">
        <v>2.3622614528644448E-2</v>
      </c>
    </row>
    <row r="2175" spans="21:25" x14ac:dyDescent="0.2">
      <c r="U2175" s="213" t="str">
        <f t="shared" si="37"/>
        <v>1w</v>
      </c>
      <c r="V2175" s="201">
        <f>_xll.qlCalendarAdvance(Calendar,V2174,U2175,"f",FALSE)</f>
        <v>54038</v>
      </c>
      <c r="W2175" s="225">
        <f>_xll.qlCalendarAdvance(Calendar,V2175,NDays&amp;"D")</f>
        <v>54042</v>
      </c>
      <c r="X2175" s="200">
        <v>2.3810308491309939E-2</v>
      </c>
      <c r="Y2175" s="209">
        <v>2.3625825377671106E-2</v>
      </c>
    </row>
    <row r="2176" spans="21:25" x14ac:dyDescent="0.2">
      <c r="U2176" s="213" t="str">
        <f t="shared" si="37"/>
        <v>1w</v>
      </c>
      <c r="V2176" s="201">
        <f>_xll.qlCalendarAdvance(Calendar,V2175,U2176,"f",FALSE)</f>
        <v>54045</v>
      </c>
      <c r="W2176" s="225">
        <f>_xll.qlCalendarAdvance(Calendar,V2176,NDays&amp;"D")</f>
        <v>54049</v>
      </c>
      <c r="X2176" s="200">
        <v>2.3813626467409713E-2</v>
      </c>
      <c r="Y2176" s="209">
        <v>2.3629041059791689E-2</v>
      </c>
    </row>
    <row r="2177" spans="21:25" x14ac:dyDescent="0.2">
      <c r="U2177" s="213" t="str">
        <f t="shared" si="37"/>
        <v>1w</v>
      </c>
      <c r="V2177" s="201">
        <f>_xll.qlCalendarAdvance(Calendar,V2176,U2177,"f",FALSE)</f>
        <v>54053</v>
      </c>
      <c r="W2177" s="225">
        <f>_xll.qlCalendarAdvance(Calendar,V2177,NDays&amp;"D")</f>
        <v>54057</v>
      </c>
      <c r="X2177" s="200">
        <v>2.3816400676351948E-2</v>
      </c>
      <c r="Y2177" s="209">
        <v>2.3633728043352953E-2</v>
      </c>
    </row>
    <row r="2178" spans="21:25" x14ac:dyDescent="0.2">
      <c r="U2178" s="213" t="str">
        <f t="shared" si="37"/>
        <v>1w</v>
      </c>
      <c r="V2178" s="201">
        <f>_xll.qlCalendarAdvance(Calendar,V2177,U2178,"f",FALSE)</f>
        <v>54060</v>
      </c>
      <c r="W2178" s="225">
        <f>_xll.qlCalendarAdvance(Calendar,V2178,NDays&amp;"D")</f>
        <v>54064</v>
      </c>
      <c r="X2178" s="200">
        <v>2.3819728576556586E-2</v>
      </c>
      <c r="Y2178" s="209">
        <v>2.363594808098668E-2</v>
      </c>
    </row>
    <row r="2179" spans="21:25" x14ac:dyDescent="0.2">
      <c r="U2179" s="213" t="str">
        <f t="shared" si="37"/>
        <v>1w</v>
      </c>
      <c r="V2179" s="201">
        <f>_xll.qlCalendarAdvance(Calendar,V2178,U2179,"f",FALSE)</f>
        <v>54067</v>
      </c>
      <c r="W2179" s="225">
        <f>_xll.qlCalendarAdvance(Calendar,V2179,NDays&amp;"D")</f>
        <v>54071</v>
      </c>
      <c r="X2179" s="200">
        <v>2.3823061373058219E-2</v>
      </c>
      <c r="Y2179" s="209">
        <v>2.363917895215728E-2</v>
      </c>
    </row>
    <row r="2180" spans="21:25" x14ac:dyDescent="0.2">
      <c r="U2180" s="213" t="str">
        <f t="shared" si="37"/>
        <v>1w</v>
      </c>
      <c r="V2180" s="201">
        <f>_xll.qlCalendarAdvance(Calendar,V2179,U2180,"f",FALSE)</f>
        <v>54074</v>
      </c>
      <c r="W2180" s="225">
        <f>_xll.qlCalendarAdvance(Calendar,V2180,NDays&amp;"D")</f>
        <v>54078</v>
      </c>
      <c r="X2180" s="200">
        <v>2.3826399065878367E-2</v>
      </c>
      <c r="Y2180" s="209">
        <v>2.3642414656102062E-2</v>
      </c>
    </row>
    <row r="2181" spans="21:25" x14ac:dyDescent="0.2">
      <c r="U2181" s="213" t="str">
        <f t="shared" si="37"/>
        <v>1w</v>
      </c>
      <c r="V2181" s="201">
        <f>_xll.qlCalendarAdvance(Calendar,V2180,U2181,"f",FALSE)</f>
        <v>54081</v>
      </c>
      <c r="W2181" s="225">
        <f>_xll.qlCalendarAdvance(Calendar,V2181,NDays&amp;"D")</f>
        <v>54085</v>
      </c>
      <c r="X2181" s="200">
        <v>2.3829741655043823E-2</v>
      </c>
      <c r="Y2181" s="209">
        <v>2.3645655193140769E-2</v>
      </c>
    </row>
    <row r="2182" spans="21:25" x14ac:dyDescent="0.2">
      <c r="U2182" s="213" t="str">
        <f t="shared" si="37"/>
        <v>1w</v>
      </c>
      <c r="V2182" s="201">
        <f>_xll.qlCalendarAdvance(Calendar,V2181,U2182,"f",FALSE)</f>
        <v>54088</v>
      </c>
      <c r="W2182" s="225">
        <f>_xll.qlCalendarAdvance(Calendar,V2182,NDays&amp;"D")</f>
        <v>54092</v>
      </c>
      <c r="X2182" s="200">
        <v>2.3833089140579182E-2</v>
      </c>
      <c r="Y2182" s="209">
        <v>2.3648900563033592E-2</v>
      </c>
    </row>
    <row r="2183" spans="21:25" x14ac:dyDescent="0.2">
      <c r="U2183" s="213" t="str">
        <f t="shared" si="37"/>
        <v>1w</v>
      </c>
      <c r="V2183" s="201">
        <f>_xll.qlCalendarAdvance(Calendar,V2182,U2183,"f",FALSE)</f>
        <v>54095</v>
      </c>
      <c r="W2183" s="225">
        <f>_xll.qlCalendarAdvance(Calendar,V2183,NDays&amp;"D")</f>
        <v>54099</v>
      </c>
      <c r="X2183" s="200">
        <v>2.3836441522507724E-2</v>
      </c>
      <c r="Y2183" s="209">
        <v>2.3652150765780533E-2</v>
      </c>
    </row>
    <row r="2184" spans="21:25" x14ac:dyDescent="0.2">
      <c r="U2184" s="213" t="str">
        <f t="shared" si="37"/>
        <v>1w</v>
      </c>
      <c r="V2184" s="201">
        <f>_xll.qlCalendarAdvance(Calendar,V2183,U2184,"f",FALSE)</f>
        <v>54102</v>
      </c>
      <c r="W2184" s="225">
        <f>_xll.qlCalendarAdvance(Calendar,V2184,NDays&amp;"D")</f>
        <v>54106</v>
      </c>
      <c r="X2184" s="200">
        <v>2.3839798800854038E-2</v>
      </c>
      <c r="Y2184" s="209">
        <v>2.365540580138159E-2</v>
      </c>
    </row>
    <row r="2185" spans="21:25" x14ac:dyDescent="0.2">
      <c r="U2185" s="213" t="str">
        <f t="shared" si="37"/>
        <v>1w</v>
      </c>
      <c r="V2185" s="201">
        <f>_xll.qlCalendarAdvance(Calendar,V2184,U2185,"f",FALSE)</f>
        <v>54109</v>
      </c>
      <c r="W2185" s="225">
        <f>_xll.qlCalendarAdvance(Calendar,V2185,NDays&amp;"D")</f>
        <v>54113</v>
      </c>
      <c r="X2185" s="200">
        <v>2.3843160975643606E-2</v>
      </c>
      <c r="Y2185" s="209">
        <v>2.3658665670076573E-2</v>
      </c>
    </row>
    <row r="2186" spans="21:25" x14ac:dyDescent="0.2">
      <c r="U2186" s="213" t="str">
        <f t="shared" si="37"/>
        <v>1w</v>
      </c>
      <c r="V2186" s="201">
        <f>_xll.qlCalendarAdvance(Calendar,V2185,U2186,"f",FALSE)</f>
        <v>54116</v>
      </c>
      <c r="W2186" s="225">
        <f>_xll.qlCalendarAdvance(Calendar,V2186,NDays&amp;"D")</f>
        <v>54120</v>
      </c>
      <c r="X2186" s="200">
        <v>2.3848585926742234E-2</v>
      </c>
      <c r="Y2186" s="209">
        <v>2.3661930371545736E-2</v>
      </c>
    </row>
    <row r="2187" spans="21:25" x14ac:dyDescent="0.2">
      <c r="U2187" s="213" t="str">
        <f t="shared" si="37"/>
        <v>1w</v>
      </c>
      <c r="V2187" s="201">
        <f>_xll.qlCalendarAdvance(Calendar,V2186,U2187,"f",FALSE)</f>
        <v>54123</v>
      </c>
      <c r="W2187" s="225">
        <f>_xll.qlCalendarAdvance(Calendar,V2187,NDays&amp;"D")</f>
        <v>54127</v>
      </c>
      <c r="X2187" s="200">
        <v>2.3851959038208463E-2</v>
      </c>
      <c r="Y2187" s="209">
        <v>2.3665199905869017E-2</v>
      </c>
    </row>
    <row r="2188" spans="21:25" x14ac:dyDescent="0.2">
      <c r="U2188" s="213" t="str">
        <f t="shared" si="37"/>
        <v>1w</v>
      </c>
      <c r="V2188" s="201">
        <f>_xll.qlCalendarAdvance(Calendar,V2187,U2188,"f",FALSE)</f>
        <v>54130</v>
      </c>
      <c r="W2188" s="225">
        <f>_xll.qlCalendarAdvance(Calendar,V2188,NDays&amp;"D")</f>
        <v>54134</v>
      </c>
      <c r="X2188" s="200">
        <v>2.3855337046902531E-2</v>
      </c>
      <c r="Y2188" s="209">
        <v>2.3668474273286222E-2</v>
      </c>
    </row>
    <row r="2189" spans="21:25" x14ac:dyDescent="0.2">
      <c r="U2189" s="213" t="str">
        <f t="shared" si="37"/>
        <v>1w</v>
      </c>
      <c r="V2189" s="201">
        <f>_xll.qlCalendarAdvance(Calendar,V2188,U2189,"f",FALSE)</f>
        <v>54137</v>
      </c>
      <c r="W2189" s="225">
        <f>_xll.qlCalendarAdvance(Calendar,V2189,NDays&amp;"D")</f>
        <v>54141</v>
      </c>
      <c r="X2189" s="200">
        <v>2.3858719952850074E-2</v>
      </c>
      <c r="Y2189" s="209">
        <v>2.3671753473477608E-2</v>
      </c>
    </row>
    <row r="2190" spans="21:25" x14ac:dyDescent="0.2">
      <c r="U2190" s="213" t="str">
        <f t="shared" si="37"/>
        <v>1w</v>
      </c>
      <c r="V2190" s="201">
        <f>_xll.qlCalendarAdvance(Calendar,V2189,U2190,"f",FALSE)</f>
        <v>54144</v>
      </c>
      <c r="W2190" s="225">
        <f>_xll.qlCalendarAdvance(Calendar,V2190,NDays&amp;"D")</f>
        <v>54148</v>
      </c>
      <c r="X2190" s="200">
        <v>2.3861076476570462E-2</v>
      </c>
      <c r="Y2190" s="209">
        <v>2.3675037506603047E-2</v>
      </c>
    </row>
    <row r="2191" spans="21:25" x14ac:dyDescent="0.2">
      <c r="U2191" s="213" t="str">
        <f t="shared" si="37"/>
        <v>1w</v>
      </c>
      <c r="V2191" s="201">
        <f>_xll.qlCalendarAdvance(Calendar,V2190,U2191,"f",FALSE)</f>
        <v>54155</v>
      </c>
      <c r="W2191" s="225">
        <f>_xll.qlCalendarAdvance(Calendar,V2191,NDays&amp;"D")</f>
        <v>54157</v>
      </c>
      <c r="X2191" s="200">
        <v>2.3865438682432131E-2</v>
      </c>
      <c r="Y2191" s="209">
        <v>2.3679266936369459E-2</v>
      </c>
    </row>
    <row r="2192" spans="21:25" x14ac:dyDescent="0.2">
      <c r="U2192" s="213" t="str">
        <f t="shared" si="37"/>
        <v>1w</v>
      </c>
      <c r="V2192" s="201">
        <f>_xll.qlCalendarAdvance(Calendar,V2191,U2192,"f",FALSE)</f>
        <v>54162</v>
      </c>
      <c r="W2192" s="225">
        <f>_xll.qlCalendarAdvance(Calendar,V2192,NDays&amp;"D")</f>
        <v>54164</v>
      </c>
      <c r="X2192" s="200">
        <v>2.3868837105758049E-2</v>
      </c>
      <c r="Y2192" s="209">
        <v>2.368256201609853E-2</v>
      </c>
    </row>
    <row r="2193" spans="21:25" x14ac:dyDescent="0.2">
      <c r="U2193" s="213" t="str">
        <f t="shared" si="37"/>
        <v>1w</v>
      </c>
      <c r="V2193" s="201">
        <f>_xll.qlCalendarAdvance(Calendar,V2192,U2193,"f",FALSE)</f>
        <v>54169</v>
      </c>
      <c r="W2193" s="225">
        <f>_xll.qlCalendarAdvance(Calendar,V2193,NDays&amp;"D")</f>
        <v>54171</v>
      </c>
      <c r="X2193" s="200">
        <v>2.387224042608874E-2</v>
      </c>
      <c r="Y2193" s="209">
        <v>2.3685861928761653E-2</v>
      </c>
    </row>
    <row r="2194" spans="21:25" x14ac:dyDescent="0.2">
      <c r="U2194" s="213" t="str">
        <f t="shared" si="37"/>
        <v>1w</v>
      </c>
      <c r="V2194" s="201">
        <f>_xll.qlCalendarAdvance(Calendar,V2193,U2194,"f",FALSE)</f>
        <v>54176</v>
      </c>
      <c r="W2194" s="225">
        <f>_xll.qlCalendarAdvance(Calendar,V2194,NDays&amp;"D")</f>
        <v>54178</v>
      </c>
      <c r="X2194" s="200">
        <v>2.3875648643449095E-2</v>
      </c>
      <c r="Y2194" s="209">
        <v>2.3692214002948297E-2</v>
      </c>
    </row>
    <row r="2195" spans="21:25" x14ac:dyDescent="0.2">
      <c r="U2195" s="213" t="str">
        <f t="shared" si="37"/>
        <v>1w</v>
      </c>
      <c r="V2195" s="201">
        <f>_xll.qlCalendarAdvance(Calendar,V2194,U2195,"f",FALSE)</f>
        <v>54183</v>
      </c>
      <c r="W2195" s="225">
        <f>_xll.qlCalendarAdvance(Calendar,V2195,NDays&amp;"D")</f>
        <v>54185</v>
      </c>
      <c r="X2195" s="200">
        <v>2.3882165000795763E-2</v>
      </c>
      <c r="Y2195" s="209">
        <v>2.369247625289006E-2</v>
      </c>
    </row>
    <row r="2196" spans="21:25" x14ac:dyDescent="0.2">
      <c r="U2196" s="213" t="str">
        <f t="shared" si="37"/>
        <v>1w</v>
      </c>
      <c r="V2196" s="201">
        <f>_xll.qlCalendarAdvance(Calendar,V2195,U2196,"f",FALSE)</f>
        <v>54190</v>
      </c>
      <c r="W2196" s="225">
        <f>_xll.qlCalendarAdvance(Calendar,V2196,NDays&amp;"D")</f>
        <v>54192</v>
      </c>
      <c r="X2196" s="200">
        <v>2.3885584738082229E-2</v>
      </c>
      <c r="Y2196" s="209">
        <v>2.3695790664275407E-2</v>
      </c>
    </row>
    <row r="2197" spans="21:25" x14ac:dyDescent="0.2">
      <c r="U2197" s="213" t="str">
        <f t="shared" ref="U2197:U2260" si="38">U2196</f>
        <v>1w</v>
      </c>
      <c r="V2197" s="201">
        <f>_xll.qlCalendarAdvance(Calendar,V2196,U2197,"f",FALSE)</f>
        <v>54197</v>
      </c>
      <c r="W2197" s="225">
        <f>_xll.qlCalendarAdvance(Calendar,V2197,NDays&amp;"D")</f>
        <v>54199</v>
      </c>
      <c r="X2197" s="200">
        <v>2.3889009373543893E-2</v>
      </c>
      <c r="Y2197" s="209">
        <v>2.369910990851487E-2</v>
      </c>
    </row>
    <row r="2198" spans="21:25" x14ac:dyDescent="0.2">
      <c r="U2198" s="213" t="str">
        <f t="shared" si="38"/>
        <v>1w</v>
      </c>
      <c r="V2198" s="201">
        <f>_xll.qlCalendarAdvance(Calendar,V2197,U2198,"f",FALSE)</f>
        <v>54204</v>
      </c>
      <c r="W2198" s="225">
        <f>_xll.qlCalendarAdvance(Calendar,V2198,NDays&amp;"D")</f>
        <v>54206</v>
      </c>
      <c r="X2198" s="200">
        <v>2.3892438907207405E-2</v>
      </c>
      <c r="Y2198" s="209">
        <v>2.3702433985768323E-2</v>
      </c>
    </row>
    <row r="2199" spans="21:25" x14ac:dyDescent="0.2">
      <c r="U2199" s="213" t="str">
        <f t="shared" si="38"/>
        <v>1w</v>
      </c>
      <c r="V2199" s="201">
        <f>_xll.qlCalendarAdvance(Calendar,V2198,U2199,"f",FALSE)</f>
        <v>54211</v>
      </c>
      <c r="W2199" s="225">
        <f>_xll.qlCalendarAdvance(Calendar,V2199,NDays&amp;"D")</f>
        <v>54213</v>
      </c>
      <c r="X2199" s="200">
        <v>2.3892763186574743E-2</v>
      </c>
      <c r="Y2199" s="209">
        <v>2.3705762895955829E-2</v>
      </c>
    </row>
    <row r="2200" spans="21:25" x14ac:dyDescent="0.2">
      <c r="U2200" s="213" t="str">
        <f t="shared" si="38"/>
        <v>1w</v>
      </c>
      <c r="V2200" s="201">
        <f>_xll.qlCalendarAdvance(Calendar,V2199,U2200,"f",FALSE)</f>
        <v>54218</v>
      </c>
      <c r="W2200" s="225">
        <f>_xll.qlCalendarAdvance(Calendar,V2200,NDays&amp;"D")</f>
        <v>54220</v>
      </c>
      <c r="X2200" s="200">
        <v>2.3896200786641203E-2</v>
      </c>
      <c r="Y2200" s="209">
        <v>2.3709096638997451E-2</v>
      </c>
    </row>
    <row r="2201" spans="21:25" x14ac:dyDescent="0.2">
      <c r="U2201" s="213" t="str">
        <f t="shared" si="38"/>
        <v>1w</v>
      </c>
      <c r="V2201" s="201">
        <f>_xll.qlCalendarAdvance(Calendar,V2200,U2201,"f",FALSE)</f>
        <v>54225</v>
      </c>
      <c r="W2201" s="225">
        <f>_xll.qlCalendarAdvance(Calendar,V2201,NDays&amp;"D")</f>
        <v>54227</v>
      </c>
      <c r="X2201" s="200">
        <v>2.38996432839138E-2</v>
      </c>
      <c r="Y2201" s="209">
        <v>2.3712435214893191E-2</v>
      </c>
    </row>
    <row r="2202" spans="21:25" x14ac:dyDescent="0.2">
      <c r="U2202" s="213" t="str">
        <f t="shared" si="38"/>
        <v>1w</v>
      </c>
      <c r="V2202" s="201">
        <f>_xll.qlCalendarAdvance(Calendar,V2201,U2202,"f",FALSE)</f>
        <v>54232</v>
      </c>
      <c r="W2202" s="225">
        <f>_xll.qlCalendarAdvance(Calendar,V2202,NDays&amp;"D")</f>
        <v>54234</v>
      </c>
      <c r="X2202" s="200">
        <v>2.390620602439001E-2</v>
      </c>
      <c r="Y2202" s="209">
        <v>2.3715778623882855E-2</v>
      </c>
    </row>
    <row r="2203" spans="21:25" x14ac:dyDescent="0.2">
      <c r="U2203" s="213" t="str">
        <f t="shared" si="38"/>
        <v>1w</v>
      </c>
      <c r="V2203" s="201">
        <f>_xll.qlCalendarAdvance(Calendar,V2202,U2203,"f",FALSE)</f>
        <v>54239</v>
      </c>
      <c r="W2203" s="225">
        <f>_xll.qlCalendarAdvance(Calendar,V2203,NDays&amp;"D")</f>
        <v>54241</v>
      </c>
      <c r="X2203" s="200">
        <v>2.3909660049446516E-2</v>
      </c>
      <c r="Y2203" s="209">
        <v>2.37191268656467E-2</v>
      </c>
    </row>
    <row r="2204" spans="21:25" x14ac:dyDescent="0.2">
      <c r="U2204" s="213" t="str">
        <f t="shared" si="38"/>
        <v>1w</v>
      </c>
      <c r="V2204" s="201">
        <f>_xll.qlCalendarAdvance(Calendar,V2203,U2204,"f",FALSE)</f>
        <v>54246</v>
      </c>
      <c r="W2204" s="225">
        <f>_xll.qlCalendarAdvance(Calendar,V2204,NDays&amp;"D")</f>
        <v>54248</v>
      </c>
      <c r="X2204" s="200">
        <v>2.3913118972859155E-2</v>
      </c>
      <c r="Y2204" s="209">
        <v>2.3722479940264662E-2</v>
      </c>
    </row>
    <row r="2205" spans="21:25" x14ac:dyDescent="0.2">
      <c r="U2205" s="213" t="str">
        <f t="shared" si="38"/>
        <v>1w</v>
      </c>
      <c r="V2205" s="201">
        <f>_xll.qlCalendarAdvance(Calendar,V2204,U2205,"f",FALSE)</f>
        <v>54253</v>
      </c>
      <c r="W2205" s="225">
        <f>_xll.qlCalendarAdvance(Calendar,V2205,NDays&amp;"D")</f>
        <v>54255</v>
      </c>
      <c r="X2205" s="200">
        <v>2.3916582794654136E-2</v>
      </c>
      <c r="Y2205" s="209">
        <v>2.3725837847816678E-2</v>
      </c>
    </row>
    <row r="2206" spans="21:25" x14ac:dyDescent="0.2">
      <c r="U2206" s="213" t="str">
        <f t="shared" si="38"/>
        <v>1w</v>
      </c>
      <c r="V2206" s="201">
        <f>_xll.qlCalendarAdvance(Calendar,V2205,U2206,"f",FALSE)</f>
        <v>54260</v>
      </c>
      <c r="W2206" s="225">
        <f>_xll.qlCalendarAdvance(Calendar,V2206,NDays&amp;"D")</f>
        <v>54262</v>
      </c>
      <c r="X2206" s="200">
        <v>2.3920051514857252E-2</v>
      </c>
      <c r="Y2206" s="209">
        <v>2.3729200588462618E-2</v>
      </c>
    </row>
    <row r="2207" spans="21:25" x14ac:dyDescent="0.2">
      <c r="U2207" s="213" t="str">
        <f t="shared" si="38"/>
        <v>1w</v>
      </c>
      <c r="V2207" s="201">
        <f>_xll.qlCalendarAdvance(Calendar,V2206,U2207,"f",FALSE)</f>
        <v>54267</v>
      </c>
      <c r="W2207" s="225">
        <f>_xll.qlCalendarAdvance(Calendar,V2207,NDays&amp;"D")</f>
        <v>54269</v>
      </c>
      <c r="X2207" s="200">
        <v>2.3920401110305342E-2</v>
      </c>
      <c r="Y2207" s="209">
        <v>2.3732568161882739E-2</v>
      </c>
    </row>
    <row r="2208" spans="21:25" x14ac:dyDescent="0.2">
      <c r="U2208" s="213" t="str">
        <f t="shared" si="38"/>
        <v>1w</v>
      </c>
      <c r="V2208" s="201">
        <f>_xll.qlCalendarAdvance(Calendar,V2207,U2208,"f",FALSE)</f>
        <v>54274</v>
      </c>
      <c r="W2208" s="225">
        <f>_xll.qlCalendarAdvance(Calendar,V2208,NDays&amp;"D")</f>
        <v>54276</v>
      </c>
      <c r="X2208" s="200">
        <v>2.3927003650591014E-2</v>
      </c>
      <c r="Y2208" s="209">
        <v>2.3735940568077041E-2</v>
      </c>
    </row>
    <row r="2209" spans="21:25" x14ac:dyDescent="0.2">
      <c r="U2209" s="213" t="str">
        <f t="shared" si="38"/>
        <v>1w</v>
      </c>
      <c r="V2209" s="201">
        <f>_xll.qlCalendarAdvance(Calendar,V2208,U2209,"f",FALSE)</f>
        <v>54281</v>
      </c>
      <c r="W2209" s="225">
        <f>_xll.qlCalendarAdvance(Calendar,V2209,NDays&amp;"D")</f>
        <v>54283</v>
      </c>
      <c r="X2209" s="200">
        <v>2.3930487066174521E-2</v>
      </c>
      <c r="Y2209" s="209">
        <v>2.3739317807365268E-2</v>
      </c>
    </row>
    <row r="2210" spans="21:25" x14ac:dyDescent="0.2">
      <c r="U2210" s="213" t="str">
        <f t="shared" si="38"/>
        <v>1w</v>
      </c>
      <c r="V2210" s="201">
        <f>_xll.qlCalendarAdvance(Calendar,V2209,U2210,"f",FALSE)</f>
        <v>54288</v>
      </c>
      <c r="W2210" s="225">
        <f>_xll.qlCalendarAdvance(Calendar,V2210,NDays&amp;"D")</f>
        <v>54290</v>
      </c>
      <c r="X2210" s="200">
        <v>2.3933975380270166E-2</v>
      </c>
      <c r="Y2210" s="209">
        <v>2.3742699879587548E-2</v>
      </c>
    </row>
    <row r="2211" spans="21:25" x14ac:dyDescent="0.2">
      <c r="U2211" s="213" t="str">
        <f t="shared" si="38"/>
        <v>1w</v>
      </c>
      <c r="V2211" s="201">
        <f>_xll.qlCalendarAdvance(Calendar,V2210,U2211,"f",FALSE)</f>
        <v>54295</v>
      </c>
      <c r="W2211" s="225">
        <f>_xll.qlCalendarAdvance(Calendar,V2211,NDays&amp;"D")</f>
        <v>54297</v>
      </c>
      <c r="X2211" s="200">
        <v>2.3934337608585123E-2</v>
      </c>
      <c r="Y2211" s="209">
        <v>2.3746086784663945E-2</v>
      </c>
    </row>
    <row r="2212" spans="21:25" x14ac:dyDescent="0.2">
      <c r="U2212" s="213" t="str">
        <f t="shared" si="38"/>
        <v>1w</v>
      </c>
      <c r="V2212" s="201">
        <f>_xll.qlCalendarAdvance(Calendar,V2211,U2212,"f",FALSE)</f>
        <v>54302</v>
      </c>
      <c r="W2212" s="225">
        <f>_xll.qlCalendarAdvance(Calendar,V2212,NDays&amp;"D")</f>
        <v>54304</v>
      </c>
      <c r="X2212" s="200">
        <v>2.3935745999485513E-2</v>
      </c>
      <c r="Y2212" s="209">
        <v>2.3749478522514522E-2</v>
      </c>
    </row>
    <row r="2213" spans="21:25" x14ac:dyDescent="0.2">
      <c r="U2213" s="213" t="str">
        <f t="shared" si="38"/>
        <v>1w</v>
      </c>
      <c r="V2213" s="201">
        <f>_xll.qlCalendarAdvance(Calendar,V2212,U2213,"f",FALSE)</f>
        <v>54309</v>
      </c>
      <c r="W2213" s="225">
        <f>_xll.qlCalendarAdvance(Calendar,V2213,NDays&amp;"D")</f>
        <v>54311</v>
      </c>
      <c r="X2213" s="200">
        <v>2.3939246102854639E-2</v>
      </c>
      <c r="Y2213" s="209">
        <v>2.3752875093459025E-2</v>
      </c>
    </row>
    <row r="2214" spans="21:25" x14ac:dyDescent="0.2">
      <c r="U2214" s="213" t="str">
        <f t="shared" si="38"/>
        <v>1w</v>
      </c>
      <c r="V2214" s="201">
        <f>_xll.qlCalendarAdvance(Calendar,V2213,U2214,"f",FALSE)</f>
        <v>54316</v>
      </c>
      <c r="W2214" s="225">
        <f>_xll.qlCalendarAdvance(Calendar,V2214,NDays&amp;"D")</f>
        <v>54318</v>
      </c>
      <c r="X2214" s="200">
        <v>2.394275110304395E-2</v>
      </c>
      <c r="Y2214" s="209">
        <v>2.3756276497257645E-2</v>
      </c>
    </row>
    <row r="2215" spans="21:25" x14ac:dyDescent="0.2">
      <c r="U2215" s="213" t="str">
        <f t="shared" si="38"/>
        <v>1w</v>
      </c>
      <c r="V2215" s="201">
        <f>_xll.qlCalendarAdvance(Calendar,V2214,U2215,"f",FALSE)</f>
        <v>54323</v>
      </c>
      <c r="W2215" s="225">
        <f>_xll.qlCalendarAdvance(Calendar,V2215,NDays&amp;"D")</f>
        <v>54325</v>
      </c>
      <c r="X2215" s="200">
        <v>2.3946261000079062E-2</v>
      </c>
      <c r="Y2215" s="209">
        <v>2.3759682733910381E-2</v>
      </c>
    </row>
    <row r="2216" spans="21:25" x14ac:dyDescent="0.2">
      <c r="U2216" s="213" t="str">
        <f t="shared" si="38"/>
        <v>1w</v>
      </c>
      <c r="V2216" s="201">
        <f>_xll.qlCalendarAdvance(Calendar,V2215,U2216,"f",FALSE)</f>
        <v>54330</v>
      </c>
      <c r="W2216" s="225">
        <f>_xll.qlCalendarAdvance(Calendar,V2216,NDays&amp;"D")</f>
        <v>54332</v>
      </c>
      <c r="X2216" s="200">
        <v>2.3950822058662787E-2</v>
      </c>
      <c r="Y2216" s="209">
        <v>2.3763093803577107E-2</v>
      </c>
    </row>
    <row r="2217" spans="21:25" x14ac:dyDescent="0.2">
      <c r="U2217" s="213" t="str">
        <f t="shared" si="38"/>
        <v>1w</v>
      </c>
      <c r="V2217" s="201">
        <f>_xll.qlCalendarAdvance(Calendar,V2216,U2217,"f",FALSE)</f>
        <v>54337</v>
      </c>
      <c r="W2217" s="225">
        <f>_xll.qlCalendarAdvance(Calendar,V2217,NDays&amp;"D")</f>
        <v>54339</v>
      </c>
      <c r="X2217" s="200">
        <v>2.3954342332055574E-2</v>
      </c>
      <c r="Y2217" s="209">
        <v>2.3766509706177885E-2</v>
      </c>
    </row>
    <row r="2218" spans="21:25" x14ac:dyDescent="0.2">
      <c r="U2218" s="213" t="str">
        <f t="shared" si="38"/>
        <v>1w</v>
      </c>
      <c r="V2218" s="201">
        <f>_xll.qlCalendarAdvance(Calendar,V2217,U2218,"f",FALSE)</f>
        <v>54344</v>
      </c>
      <c r="W2218" s="225">
        <f>_xll.qlCalendarAdvance(Calendar,V2218,NDays&amp;"D")</f>
        <v>54346</v>
      </c>
      <c r="X2218" s="200">
        <v>2.3957867502731819E-2</v>
      </c>
      <c r="Y2218" s="209">
        <v>2.3769930441552845E-2</v>
      </c>
    </row>
    <row r="2219" spans="21:25" x14ac:dyDescent="0.2">
      <c r="U2219" s="213" t="str">
        <f t="shared" si="38"/>
        <v>1w</v>
      </c>
      <c r="V2219" s="201">
        <f>_xll.qlCalendarAdvance(Calendar,V2218,U2219,"f",FALSE)</f>
        <v>54351</v>
      </c>
      <c r="W2219" s="225">
        <f>_xll.qlCalendarAdvance(Calendar,V2219,NDays&amp;"D")</f>
        <v>54353</v>
      </c>
      <c r="X2219" s="200">
        <v>2.3961397570715678E-2</v>
      </c>
      <c r="Y2219" s="209">
        <v>2.3773356009861857E-2</v>
      </c>
    </row>
    <row r="2220" spans="21:25" x14ac:dyDescent="0.2">
      <c r="U2220" s="213" t="str">
        <f t="shared" si="38"/>
        <v>1w</v>
      </c>
      <c r="V2220" s="201">
        <f>_xll.qlCalendarAdvance(Calendar,V2219,U2220,"f",FALSE)</f>
        <v>54358</v>
      </c>
      <c r="W2220" s="225">
        <f>_xll.qlCalendarAdvance(Calendar,V2220,NDays&amp;"D")</f>
        <v>54360</v>
      </c>
      <c r="X2220" s="200">
        <v>2.3964932536034822E-2</v>
      </c>
      <c r="Y2220" s="209">
        <v>2.3776786411264794E-2</v>
      </c>
    </row>
    <row r="2221" spans="21:25" x14ac:dyDescent="0.2">
      <c r="U2221" s="213" t="str">
        <f t="shared" si="38"/>
        <v>1w</v>
      </c>
      <c r="V2221" s="201">
        <f>_xll.qlCalendarAdvance(Calendar,V2220,U2221,"f",FALSE)</f>
        <v>54365</v>
      </c>
      <c r="W2221" s="225">
        <f>_xll.qlCalendarAdvance(Calendar,V2221,NDays&amp;"D")</f>
        <v>54367</v>
      </c>
      <c r="X2221" s="200">
        <v>2.396742321749485E-2</v>
      </c>
      <c r="Y2221" s="209">
        <v>2.3780221645361976E-2</v>
      </c>
    </row>
    <row r="2222" spans="21:25" x14ac:dyDescent="0.2">
      <c r="U2222" s="213" t="str">
        <f t="shared" si="38"/>
        <v>1w</v>
      </c>
      <c r="V2222" s="201">
        <f>_xll.qlCalendarAdvance(Calendar,V2221,U2222,"f",FALSE)</f>
        <v>54372</v>
      </c>
      <c r="W2222" s="225">
        <f>_xll.qlCalendarAdvance(Calendar,V2222,NDays&amp;"D")</f>
        <v>54374</v>
      </c>
      <c r="X2222" s="200">
        <v>2.3970967393171765E-2</v>
      </c>
      <c r="Y2222" s="209">
        <v>2.3783661712553084E-2</v>
      </c>
    </row>
    <row r="2223" spans="21:25" x14ac:dyDescent="0.2">
      <c r="U2223" s="213" t="str">
        <f t="shared" si="38"/>
        <v>1w</v>
      </c>
      <c r="V2223" s="201">
        <f>_xll.qlCalendarAdvance(Calendar,V2222,U2223,"f",FALSE)</f>
        <v>54379</v>
      </c>
      <c r="W2223" s="225">
        <f>_xll.qlCalendarAdvance(Calendar,V2223,NDays&amp;"D")</f>
        <v>54381</v>
      </c>
      <c r="X2223" s="200">
        <v>2.3974516465899404E-2</v>
      </c>
      <c r="Y2223" s="209">
        <v>2.3787106612438436E-2</v>
      </c>
    </row>
    <row r="2224" spans="21:25" x14ac:dyDescent="0.2">
      <c r="U2224" s="213" t="str">
        <f t="shared" si="38"/>
        <v>1w</v>
      </c>
      <c r="V2224" s="201">
        <f>_xll.qlCalendarAdvance(Calendar,V2223,U2224,"f",FALSE)</f>
        <v>54386</v>
      </c>
      <c r="W2224" s="225">
        <f>_xll.qlCalendarAdvance(Calendar,V2224,NDays&amp;"D")</f>
        <v>54388</v>
      </c>
      <c r="X2224" s="200">
        <v>2.3978070435705587E-2</v>
      </c>
      <c r="Y2224" s="209">
        <v>2.3790556345417713E-2</v>
      </c>
    </row>
    <row r="2225" spans="21:25" x14ac:dyDescent="0.2">
      <c r="U2225" s="213" t="str">
        <f t="shared" si="38"/>
        <v>1w</v>
      </c>
      <c r="V2225" s="201">
        <f>_xll.qlCalendarAdvance(Calendar,V2224,U2225,"f",FALSE)</f>
        <v>54393</v>
      </c>
      <c r="W2225" s="225">
        <f>_xll.qlCalendarAdvance(Calendar,V2225,NDays&amp;"D")</f>
        <v>54395</v>
      </c>
      <c r="X2225" s="200">
        <v>2.3982680823554921E-2</v>
      </c>
      <c r="Y2225" s="209">
        <v>2.3794010911251107E-2</v>
      </c>
    </row>
    <row r="2226" spans="21:25" x14ac:dyDescent="0.2">
      <c r="U2226" s="213" t="str">
        <f t="shared" si="38"/>
        <v>1w</v>
      </c>
      <c r="V2226" s="201">
        <f>_xll.qlCalendarAdvance(Calendar,V2225,U2226,"f",FALSE)</f>
        <v>54400</v>
      </c>
      <c r="W2226" s="225">
        <f>_xll.qlCalendarAdvance(Calendar,V2226,NDays&amp;"D")</f>
        <v>54402</v>
      </c>
      <c r="X2226" s="200">
        <v>2.3986244887112169E-2</v>
      </c>
      <c r="Y2226" s="209">
        <v>2.3797470309858682E-2</v>
      </c>
    </row>
    <row r="2227" spans="21:25" x14ac:dyDescent="0.2">
      <c r="U2227" s="213" t="str">
        <f t="shared" si="38"/>
        <v>1w</v>
      </c>
      <c r="V2227" s="201">
        <f>_xll.qlCalendarAdvance(Calendar,V2226,U2227,"f",FALSE)</f>
        <v>54407</v>
      </c>
      <c r="W2227" s="225">
        <f>_xll.qlCalendarAdvance(Calendar,V2227,NDays&amp;"D")</f>
        <v>54409</v>
      </c>
      <c r="X2227" s="200">
        <v>2.3989812130298285E-2</v>
      </c>
      <c r="Y2227" s="209">
        <v>2.3800934541560181E-2</v>
      </c>
    </row>
    <row r="2228" spans="21:25" x14ac:dyDescent="0.2">
      <c r="U2228" s="213" t="str">
        <f t="shared" si="38"/>
        <v>1w</v>
      </c>
      <c r="V2228" s="201">
        <f>_xll.qlCalendarAdvance(Calendar,V2227,U2228,"f",FALSE)</f>
        <v>54414</v>
      </c>
      <c r="W2228" s="225">
        <f>_xll.qlCalendarAdvance(Calendar,V2228,NDays&amp;"D")</f>
        <v>54416</v>
      </c>
      <c r="X2228" s="200">
        <v>2.3993380835239955E-2</v>
      </c>
      <c r="Y2228" s="209">
        <v>2.380750895943029E-2</v>
      </c>
    </row>
    <row r="2229" spans="21:25" x14ac:dyDescent="0.2">
      <c r="U2229" s="213" t="str">
        <f t="shared" si="38"/>
        <v>1w</v>
      </c>
      <c r="V2229" s="201">
        <f>_xll.qlCalendarAdvance(Calendar,V2228,U2229,"f",FALSE)</f>
        <v>54421</v>
      </c>
      <c r="W2229" s="225">
        <f>_xll.qlCalendarAdvance(Calendar,V2229,NDays&amp;"D")</f>
        <v>54423</v>
      </c>
      <c r="X2229" s="200">
        <v>2.399589722196226E-2</v>
      </c>
      <c r="Y2229" s="209">
        <v>2.3810984581980055E-2</v>
      </c>
    </row>
    <row r="2230" spans="21:25" x14ac:dyDescent="0.2">
      <c r="U2230" s="213" t="str">
        <f t="shared" si="38"/>
        <v>1w</v>
      </c>
      <c r="V2230" s="201">
        <f>_xll.qlCalendarAdvance(Calendar,V2229,U2230,"f",FALSE)</f>
        <v>54428</v>
      </c>
      <c r="W2230" s="225">
        <f>_xll.qlCalendarAdvance(Calendar,V2230,NDays&amp;"D")</f>
        <v>54430</v>
      </c>
      <c r="X2230" s="200">
        <v>2.3999464106909663E-2</v>
      </c>
      <c r="Y2230" s="209">
        <v>2.3811356234109127E-2</v>
      </c>
    </row>
    <row r="2231" spans="21:25" x14ac:dyDescent="0.2">
      <c r="U2231" s="213" t="str">
        <f t="shared" si="38"/>
        <v>1w</v>
      </c>
      <c r="V2231" s="201">
        <f>_xll.qlCalendarAdvance(Calendar,V2230,U2231,"f",FALSE)</f>
        <v>54435</v>
      </c>
      <c r="W2231" s="225">
        <f>_xll.qlCalendarAdvance(Calendar,V2231,NDays&amp;"D")</f>
        <v>54437</v>
      </c>
      <c r="X2231" s="200">
        <v>2.4003027499433477E-2</v>
      </c>
      <c r="Y2231" s="209">
        <v>2.3814839797466902E-2</v>
      </c>
    </row>
    <row r="2232" spans="21:25" x14ac:dyDescent="0.2">
      <c r="U2232" s="213" t="str">
        <f t="shared" si="38"/>
        <v>1w</v>
      </c>
      <c r="V2232" s="201">
        <f>_xll.qlCalendarAdvance(Calendar,V2231,U2232,"f",FALSE)</f>
        <v>54442</v>
      </c>
      <c r="W2232" s="225">
        <f>_xll.qlCalendarAdvance(Calendar,V2232,NDays&amp;"D")</f>
        <v>54444</v>
      </c>
      <c r="X2232" s="200">
        <v>2.4006585672236062E-2</v>
      </c>
      <c r="Y2232" s="209">
        <v>2.3818328193678795E-2</v>
      </c>
    </row>
    <row r="2233" spans="21:25" x14ac:dyDescent="0.2">
      <c r="U2233" s="213" t="str">
        <f t="shared" si="38"/>
        <v>1w</v>
      </c>
      <c r="V2233" s="201">
        <f>_xll.qlCalendarAdvance(Calendar,V2232,U2233,"f",FALSE)</f>
        <v>54449</v>
      </c>
      <c r="W2233" s="225">
        <f>_xll.qlCalendarAdvance(Calendar,V2233,NDays&amp;"D")</f>
        <v>54451</v>
      </c>
      <c r="X2233" s="200">
        <v>2.4010136898008294E-2</v>
      </c>
      <c r="Y2233" s="209">
        <v>2.3821821422744804E-2</v>
      </c>
    </row>
    <row r="2234" spans="21:25" x14ac:dyDescent="0.2">
      <c r="U2234" s="213" t="str">
        <f t="shared" si="38"/>
        <v>1w</v>
      </c>
      <c r="V2234" s="201">
        <f>_xll.qlCalendarAdvance(Calendar,V2233,U2234,"f",FALSE)</f>
        <v>54456</v>
      </c>
      <c r="W2234" s="225">
        <f>_xll.qlCalendarAdvance(Calendar,V2234,NDays&amp;"D")</f>
        <v>54458</v>
      </c>
      <c r="X2234" s="200">
        <v>2.4013679449428681E-2</v>
      </c>
      <c r="Y2234" s="209">
        <v>2.3825319484744867E-2</v>
      </c>
    </row>
    <row r="2235" spans="21:25" x14ac:dyDescent="0.2">
      <c r="U2235" s="213" t="str">
        <f t="shared" si="38"/>
        <v>1w</v>
      </c>
      <c r="V2235" s="201">
        <f>_xll.qlCalendarAdvance(Calendar,V2234,U2235,"f",FALSE)</f>
        <v>54463</v>
      </c>
      <c r="W2235" s="225">
        <f>_xll.qlCalendarAdvance(Calendar,V2235,NDays&amp;"D")</f>
        <v>54465</v>
      </c>
      <c r="X2235" s="200">
        <v>2.4017211599163809E-2</v>
      </c>
      <c r="Y2235" s="209">
        <v>2.3828822379838854E-2</v>
      </c>
    </row>
    <row r="2236" spans="21:25" x14ac:dyDescent="0.2">
      <c r="U2236" s="213" t="str">
        <f t="shared" si="38"/>
        <v>1w</v>
      </c>
      <c r="V2236" s="201">
        <f>_xll.qlCalendarAdvance(Calendar,V2235,U2236,"f",FALSE)</f>
        <v>54470</v>
      </c>
      <c r="W2236" s="225">
        <f>_xll.qlCalendarAdvance(Calendar,V2236,NDays&amp;"D")</f>
        <v>54472</v>
      </c>
      <c r="X2236" s="200">
        <v>2.4020731619867015E-2</v>
      </c>
      <c r="Y2236" s="209">
        <v>2.3832330107707023E-2</v>
      </c>
    </row>
    <row r="2237" spans="21:25" x14ac:dyDescent="0.2">
      <c r="U2237" s="213" t="str">
        <f t="shared" si="38"/>
        <v>1w</v>
      </c>
      <c r="V2237" s="201">
        <f>_xll.qlCalendarAdvance(Calendar,V2236,U2237,"f",FALSE)</f>
        <v>54477</v>
      </c>
      <c r="W2237" s="225">
        <f>_xll.qlCalendarAdvance(Calendar,V2237,NDays&amp;"D")</f>
        <v>54479</v>
      </c>
      <c r="X2237" s="200">
        <v>2.4024237784180592E-2</v>
      </c>
      <c r="Y2237" s="209">
        <v>2.3835842668429308E-2</v>
      </c>
    </row>
    <row r="2238" spans="21:25" x14ac:dyDescent="0.2">
      <c r="U2238" s="213" t="str">
        <f t="shared" si="38"/>
        <v>1w</v>
      </c>
      <c r="V2238" s="201">
        <f>_xll.qlCalendarAdvance(Calendar,V2237,U2238,"f",FALSE)</f>
        <v>54484</v>
      </c>
      <c r="W2238" s="225">
        <f>_xll.qlCalendarAdvance(Calendar,V2238,NDays&amp;"D")</f>
        <v>54486</v>
      </c>
      <c r="X2238" s="200">
        <v>2.4032936587174546E-2</v>
      </c>
      <c r="Y2238" s="209">
        <v>2.3839360062245518E-2</v>
      </c>
    </row>
    <row r="2239" spans="21:25" x14ac:dyDescent="0.2">
      <c r="U2239" s="213" t="str">
        <f t="shared" si="38"/>
        <v>1w</v>
      </c>
      <c r="V2239" s="201">
        <f>_xll.qlCalendarAdvance(Calendar,V2238,U2239,"f",FALSE)</f>
        <v>54491</v>
      </c>
      <c r="W2239" s="225">
        <f>_xll.qlCalendarAdvance(Calendar,V2239,NDays&amp;"D")</f>
        <v>54493</v>
      </c>
      <c r="X2239" s="200">
        <v>2.4036400432830445E-2</v>
      </c>
      <c r="Y2239" s="209">
        <v>2.3842882288915845E-2</v>
      </c>
    </row>
    <row r="2240" spans="21:25" x14ac:dyDescent="0.2">
      <c r="U2240" s="213" t="str">
        <f t="shared" si="38"/>
        <v>1w</v>
      </c>
      <c r="V2240" s="201">
        <f>_xll.qlCalendarAdvance(Calendar,V2239,U2240,"f",FALSE)</f>
        <v>54498</v>
      </c>
      <c r="W2240" s="225">
        <f>_xll.qlCalendarAdvance(Calendar,V2240,NDays&amp;"D")</f>
        <v>54500</v>
      </c>
      <c r="X2240" s="200">
        <v>2.4039844676372858E-2</v>
      </c>
      <c r="Y2240" s="209">
        <v>2.3846409348440289E-2</v>
      </c>
    </row>
    <row r="2241" spans="21:25" x14ac:dyDescent="0.2">
      <c r="U2241" s="213" t="str">
        <f t="shared" si="38"/>
        <v>1w</v>
      </c>
      <c r="V2241" s="201">
        <f>_xll.qlCalendarAdvance(Calendar,V2240,U2241,"f",FALSE)</f>
        <v>54505</v>
      </c>
      <c r="W2241" s="225">
        <f>_xll.qlCalendarAdvance(Calendar,V2241,NDays&amp;"D")</f>
        <v>54507</v>
      </c>
      <c r="X2241" s="200">
        <v>2.4043267636266883E-2</v>
      </c>
      <c r="Y2241" s="209">
        <v>2.384994124081885E-2</v>
      </c>
    </row>
    <row r="2242" spans="21:25" x14ac:dyDescent="0.2">
      <c r="U2242" s="213" t="str">
        <f t="shared" si="38"/>
        <v>1w</v>
      </c>
      <c r="V2242" s="201">
        <f>_xll.qlCalendarAdvance(Calendar,V2241,U2242,"f",FALSE)</f>
        <v>54512</v>
      </c>
      <c r="W2242" s="225">
        <f>_xll.qlCalendarAdvance(Calendar,V2242,NDays&amp;"D")</f>
        <v>54514</v>
      </c>
      <c r="X2242" s="200">
        <v>2.4043567808651248E-2</v>
      </c>
      <c r="Y2242" s="209">
        <v>2.38534779662114E-2</v>
      </c>
    </row>
    <row r="2243" spans="21:25" x14ac:dyDescent="0.2">
      <c r="U2243" s="213" t="str">
        <f t="shared" si="38"/>
        <v>1w</v>
      </c>
      <c r="V2243" s="201">
        <f>_xll.qlCalendarAdvance(Calendar,V2242,U2243,"f",FALSE)</f>
        <v>54519</v>
      </c>
      <c r="W2243" s="225">
        <f>_xll.qlCalendarAdvance(Calendar,V2243,NDays&amp;"D")</f>
        <v>54521</v>
      </c>
      <c r="X2243" s="200">
        <v>2.4046950010280836E-2</v>
      </c>
      <c r="Y2243" s="209">
        <v>2.3857019524538003E-2</v>
      </c>
    </row>
    <row r="2244" spans="21:25" x14ac:dyDescent="0.2">
      <c r="U2244" s="213" t="str">
        <f t="shared" si="38"/>
        <v>1w</v>
      </c>
      <c r="V2244" s="201">
        <f>_xll.qlCalendarAdvance(Calendar,V2243,U2244,"f",FALSE)</f>
        <v>54526</v>
      </c>
      <c r="W2244" s="225">
        <f>_xll.qlCalendarAdvance(Calendar,V2244,NDays&amp;"D")</f>
        <v>54528</v>
      </c>
      <c r="X2244" s="200">
        <v>2.4050306109247657E-2</v>
      </c>
      <c r="Y2244" s="209">
        <v>2.3864743560812585E-2</v>
      </c>
    </row>
    <row r="2245" spans="21:25" x14ac:dyDescent="0.2">
      <c r="U2245" s="213" t="str">
        <f t="shared" si="38"/>
        <v>1w</v>
      </c>
      <c r="V2245" s="201">
        <f>_xll.qlCalendarAdvance(Calendar,V2244,U2245,"f",FALSE)</f>
        <v>54533</v>
      </c>
      <c r="W2245" s="225">
        <f>_xll.qlCalendarAdvance(Calendar,V2245,NDays&amp;"D")</f>
        <v>54535</v>
      </c>
      <c r="X2245" s="200">
        <v>2.4053634396754675E-2</v>
      </c>
      <c r="Y2245" s="209">
        <v>2.3864117139833496E-2</v>
      </c>
    </row>
    <row r="2246" spans="21:25" x14ac:dyDescent="0.2">
      <c r="U2246" s="213" t="str">
        <f t="shared" si="38"/>
        <v>1w</v>
      </c>
      <c r="V2246" s="201">
        <f>_xll.qlCalendarAdvance(Calendar,V2245,U2246,"f",FALSE)</f>
        <v>54540</v>
      </c>
      <c r="W2246" s="225">
        <f>_xll.qlCalendarAdvance(Calendar,V2246,NDays&amp;"D")</f>
        <v>54542</v>
      </c>
      <c r="X2246" s="200">
        <v>2.405693316399175E-2</v>
      </c>
      <c r="Y2246" s="209">
        <v>2.3867673196882322E-2</v>
      </c>
    </row>
    <row r="2247" spans="21:25" x14ac:dyDescent="0.2">
      <c r="U2247" s="213" t="str">
        <f t="shared" si="38"/>
        <v>1w</v>
      </c>
      <c r="V2247" s="201">
        <f>_xll.qlCalendarAdvance(Calendar,V2246,U2247,"f",FALSE)</f>
        <v>54547</v>
      </c>
      <c r="W2247" s="225">
        <f>_xll.qlCalendarAdvance(Calendar,V2247,NDays&amp;"D")</f>
        <v>54549</v>
      </c>
      <c r="X2247" s="200">
        <v>2.4063264271674625E-2</v>
      </c>
      <c r="Y2247" s="209">
        <v>2.3871234086865201E-2</v>
      </c>
    </row>
    <row r="2248" spans="21:25" x14ac:dyDescent="0.2">
      <c r="U2248" s="213" t="str">
        <f t="shared" si="38"/>
        <v>1w</v>
      </c>
      <c r="V2248" s="201">
        <f>_xll.qlCalendarAdvance(Calendar,V2247,U2248,"f",FALSE)</f>
        <v>54554</v>
      </c>
      <c r="W2248" s="225">
        <f>_xll.qlCalendarAdvance(Calendar,V2248,NDays&amp;"D")</f>
        <v>54556</v>
      </c>
      <c r="X2248" s="200">
        <v>2.4066491162139565E-2</v>
      </c>
      <c r="Y2248" s="209">
        <v>2.387479980962226E-2</v>
      </c>
    </row>
    <row r="2249" spans="21:25" x14ac:dyDescent="0.2">
      <c r="U2249" s="213" t="str">
        <f t="shared" si="38"/>
        <v>1w</v>
      </c>
      <c r="V2249" s="201">
        <f>_xll.qlCalendarAdvance(Calendar,V2248,U2249,"f",FALSE)</f>
        <v>54561</v>
      </c>
      <c r="W2249" s="225">
        <f>_xll.qlCalendarAdvance(Calendar,V2249,NDays&amp;"D")</f>
        <v>54563</v>
      </c>
      <c r="X2249" s="200">
        <v>2.4069683316294336E-2</v>
      </c>
      <c r="Y2249" s="209">
        <v>2.3878370365473245E-2</v>
      </c>
    </row>
    <row r="2250" spans="21:25" x14ac:dyDescent="0.2">
      <c r="U2250" s="213" t="str">
        <f t="shared" si="38"/>
        <v>1w</v>
      </c>
      <c r="V2250" s="201">
        <f>_xll.qlCalendarAdvance(Calendar,V2249,U2250,"f",FALSE)</f>
        <v>54568</v>
      </c>
      <c r="W2250" s="225">
        <f>_xll.qlCalendarAdvance(Calendar,V2250,NDays&amp;"D")</f>
        <v>54570</v>
      </c>
      <c r="X2250" s="200">
        <v>2.4072839052510765E-2</v>
      </c>
      <c r="Y2250" s="209">
        <v>2.3881945754258282E-2</v>
      </c>
    </row>
    <row r="2251" spans="21:25" x14ac:dyDescent="0.2">
      <c r="U2251" s="213" t="str">
        <f t="shared" si="38"/>
        <v>1w</v>
      </c>
      <c r="V2251" s="201">
        <f>_xll.qlCalendarAdvance(Calendar,V2250,U2251,"f",FALSE)</f>
        <v>54575</v>
      </c>
      <c r="W2251" s="225">
        <f>_xll.qlCalendarAdvance(Calendar,V2251,NDays&amp;"D")</f>
        <v>54577</v>
      </c>
      <c r="X2251" s="200">
        <v>2.4072924387119065E-2</v>
      </c>
      <c r="Y2251" s="209">
        <v>2.388552582577752E-2</v>
      </c>
    </row>
    <row r="2252" spans="21:25" x14ac:dyDescent="0.2">
      <c r="U2252" s="213" t="str">
        <f t="shared" si="38"/>
        <v>1w</v>
      </c>
      <c r="V2252" s="201">
        <f>_xll.qlCalendarAdvance(Calendar,V2251,U2252,"f",FALSE)</f>
        <v>54582</v>
      </c>
      <c r="W2252" s="225">
        <f>_xll.qlCalendarAdvance(Calendar,V2252,NDays&amp;"D")</f>
        <v>54584</v>
      </c>
      <c r="X2252" s="200">
        <v>2.4076010431980908E-2</v>
      </c>
      <c r="Y2252" s="209">
        <v>2.3889085661483733E-2</v>
      </c>
    </row>
    <row r="2253" spans="21:25" x14ac:dyDescent="0.2">
      <c r="U2253" s="213" t="str">
        <f t="shared" si="38"/>
        <v>1w</v>
      </c>
      <c r="V2253" s="201">
        <f>_xll.qlCalendarAdvance(Calendar,V2252,U2253,"f",FALSE)</f>
        <v>54589</v>
      </c>
      <c r="W2253" s="225">
        <f>_xll.qlCalendarAdvance(Calendar,V2253,NDays&amp;"D")</f>
        <v>54591</v>
      </c>
      <c r="X2253" s="200">
        <v>2.4079056703332359E-2</v>
      </c>
      <c r="Y2253" s="209">
        <v>2.3892606197506439E-2</v>
      </c>
    </row>
    <row r="2254" spans="21:25" x14ac:dyDescent="0.2">
      <c r="U2254" s="213" t="str">
        <f t="shared" si="38"/>
        <v>1w</v>
      </c>
      <c r="V2254" s="201">
        <f>_xll.qlCalendarAdvance(Calendar,V2253,U2254,"f",FALSE)</f>
        <v>54596</v>
      </c>
      <c r="W2254" s="225">
        <f>_xll.qlCalendarAdvance(Calendar,V2254,NDays&amp;"D")</f>
        <v>54598</v>
      </c>
      <c r="X2254" s="200">
        <v>2.4082063200990843E-2</v>
      </c>
      <c r="Y2254" s="209">
        <v>2.3896087433605828E-2</v>
      </c>
    </row>
    <row r="2255" spans="21:25" x14ac:dyDescent="0.2">
      <c r="U2255" s="213" t="str">
        <f t="shared" si="38"/>
        <v>1w</v>
      </c>
      <c r="V2255" s="201">
        <f>_xll.qlCalendarAdvance(Calendar,V2254,U2255,"f",FALSE)</f>
        <v>54603</v>
      </c>
      <c r="W2255" s="225">
        <f>_xll.qlCalendarAdvance(Calendar,V2255,NDays&amp;"D")</f>
        <v>54605</v>
      </c>
      <c r="X2255" s="200">
        <v>2.4088030542660472E-2</v>
      </c>
      <c r="Y2255" s="209">
        <v>2.3899529369701966E-2</v>
      </c>
    </row>
    <row r="2256" spans="21:25" x14ac:dyDescent="0.2">
      <c r="U2256" s="213" t="str">
        <f t="shared" si="38"/>
        <v>1w</v>
      </c>
      <c r="V2256" s="201">
        <f>_xll.qlCalendarAdvance(Calendar,V2255,U2256,"f",FALSE)</f>
        <v>54610</v>
      </c>
      <c r="W2256" s="225">
        <f>_xll.qlCalendarAdvance(Calendar,V2256,NDays&amp;"D")</f>
        <v>54612</v>
      </c>
      <c r="X2256" s="200">
        <v>2.4090949551609436E-2</v>
      </c>
      <c r="Y2256" s="209">
        <v>2.3902932006034661E-2</v>
      </c>
    </row>
    <row r="2257" spans="21:25" x14ac:dyDescent="0.2">
      <c r="U2257" s="213" t="str">
        <f t="shared" si="38"/>
        <v>1w</v>
      </c>
      <c r="V2257" s="201">
        <f>_xll.qlCalendarAdvance(Calendar,V2256,U2257,"f",FALSE)</f>
        <v>54617</v>
      </c>
      <c r="W2257" s="225">
        <f>_xll.qlCalendarAdvance(Calendar,V2257,NDays&amp;"D")</f>
        <v>54619</v>
      </c>
      <c r="X2257" s="200">
        <v>2.4093828778428118E-2</v>
      </c>
      <c r="Y2257" s="209">
        <v>2.3906295342683848E-2</v>
      </c>
    </row>
    <row r="2258" spans="21:25" x14ac:dyDescent="0.2">
      <c r="U2258" s="213" t="str">
        <f t="shared" si="38"/>
        <v>1w</v>
      </c>
      <c r="V2258" s="201">
        <f>_xll.qlCalendarAdvance(Calendar,V2257,U2258,"f",FALSE)</f>
        <v>54624</v>
      </c>
      <c r="W2258" s="225">
        <f>_xll.qlCalendarAdvance(Calendar,V2258,NDays&amp;"D")</f>
        <v>54626</v>
      </c>
      <c r="X2258" s="200">
        <v>2.4096668222940321E-2</v>
      </c>
      <c r="Y2258" s="209">
        <v>2.3909619379329783E-2</v>
      </c>
    </row>
    <row r="2259" spans="21:25" x14ac:dyDescent="0.2">
      <c r="U2259" s="213" t="str">
        <f t="shared" si="38"/>
        <v>1w</v>
      </c>
      <c r="V2259" s="201">
        <f>_xll.qlCalendarAdvance(Calendar,V2258,U2259,"f",FALSE)</f>
        <v>54631</v>
      </c>
      <c r="W2259" s="225">
        <f>_xll.qlCalendarAdvance(Calendar,V2259,NDays&amp;"D")</f>
        <v>54633</v>
      </c>
      <c r="X2259" s="200">
        <v>2.4099467884974569E-2</v>
      </c>
      <c r="Y2259" s="209">
        <v>2.3912904115972466E-2</v>
      </c>
    </row>
    <row r="2260" spans="21:25" x14ac:dyDescent="0.2">
      <c r="U2260" s="213" t="str">
        <f t="shared" si="38"/>
        <v>1w</v>
      </c>
      <c r="V2260" s="201">
        <f>_xll.qlCalendarAdvance(Calendar,V2259,U2260,"f",FALSE)</f>
        <v>54638</v>
      </c>
      <c r="W2260" s="225">
        <f>_xll.qlCalendarAdvance(Calendar,V2260,NDays&amp;"D")</f>
        <v>54640</v>
      </c>
      <c r="X2260" s="200">
        <v>2.4102227764359812E-2</v>
      </c>
      <c r="Y2260" s="209">
        <v>2.3916149552931643E-2</v>
      </c>
    </row>
    <row r="2261" spans="21:25" x14ac:dyDescent="0.2">
      <c r="U2261" s="213" t="str">
        <f t="shared" ref="U2261:U2324" si="39">U2260</f>
        <v>1w</v>
      </c>
      <c r="V2261" s="201">
        <f>_xll.qlCalendarAdvance(Calendar,V2260,U2261,"f",FALSE)</f>
        <v>54645</v>
      </c>
      <c r="W2261" s="225">
        <f>_xll.qlCalendarAdvance(Calendar,V2261,NDays&amp;"D")</f>
        <v>54647</v>
      </c>
      <c r="X2261" s="200">
        <v>2.4104947860927584E-2</v>
      </c>
      <c r="Y2261" s="209">
        <v>2.3919355690047439E-2</v>
      </c>
    </row>
    <row r="2262" spans="21:25" x14ac:dyDescent="0.2">
      <c r="U2262" s="213" t="str">
        <f t="shared" si="39"/>
        <v>1w</v>
      </c>
      <c r="V2262" s="201">
        <f>_xll.qlCalendarAdvance(Calendar,V2261,U2262,"f",FALSE)</f>
        <v>54652</v>
      </c>
      <c r="W2262" s="225">
        <f>_xll.qlCalendarAdvance(Calendar,V2262,NDays&amp;"D")</f>
        <v>54654</v>
      </c>
      <c r="X2262" s="200">
        <v>2.4107628174511998E-2</v>
      </c>
      <c r="Y2262" s="209">
        <v>2.3922522527080048E-2</v>
      </c>
    </row>
    <row r="2263" spans="21:25" x14ac:dyDescent="0.2">
      <c r="U2263" s="213" t="str">
        <f t="shared" si="39"/>
        <v>1w</v>
      </c>
      <c r="V2263" s="201">
        <f>_xll.qlCalendarAdvance(Calendar,V2262,U2263,"f",FALSE)</f>
        <v>54659</v>
      </c>
      <c r="W2263" s="225">
        <f>_xll.qlCalendarAdvance(Calendar,V2263,NDays&amp;"D")</f>
        <v>54661</v>
      </c>
      <c r="X2263" s="200">
        <v>2.4110268704950172E-2</v>
      </c>
      <c r="Y2263" s="209">
        <v>2.3925650064429149E-2</v>
      </c>
    </row>
    <row r="2264" spans="21:25" x14ac:dyDescent="0.2">
      <c r="U2264" s="213" t="str">
        <f t="shared" si="39"/>
        <v>1w</v>
      </c>
      <c r="V2264" s="201">
        <f>_xll.qlCalendarAdvance(Calendar,V2263,U2264,"f",FALSE)</f>
        <v>54666</v>
      </c>
      <c r="W2264" s="225">
        <f>_xll.qlCalendarAdvance(Calendar,V2264,NDays&amp;"D")</f>
        <v>54668</v>
      </c>
      <c r="X2264" s="200">
        <v>2.4107986949005372E-2</v>
      </c>
      <c r="Y2264" s="209">
        <v>2.3928738301854935E-2</v>
      </c>
    </row>
    <row r="2265" spans="21:25" x14ac:dyDescent="0.2">
      <c r="U2265" s="213" t="str">
        <f t="shared" si="39"/>
        <v>1w</v>
      </c>
      <c r="V2265" s="201">
        <f>_xll.qlCalendarAdvance(Calendar,V2264,U2265,"f",FALSE)</f>
        <v>54673</v>
      </c>
      <c r="W2265" s="225">
        <f>_xll.qlCalendarAdvance(Calendar,V2265,NDays&amp;"D")</f>
        <v>54675</v>
      </c>
      <c r="X2265" s="200">
        <v>2.4110561264179663E-2</v>
      </c>
      <c r="Y2265" s="209">
        <v>2.3931787239437341E-2</v>
      </c>
    </row>
    <row r="2266" spans="21:25" x14ac:dyDescent="0.2">
      <c r="U2266" s="213" t="str">
        <f t="shared" si="39"/>
        <v>1w</v>
      </c>
      <c r="V2266" s="201">
        <f>_xll.qlCalendarAdvance(Calendar,V2265,U2266,"f",FALSE)</f>
        <v>54680</v>
      </c>
      <c r="W2266" s="225">
        <f>_xll.qlCalendarAdvance(Calendar,V2266,NDays&amp;"D")</f>
        <v>54682</v>
      </c>
      <c r="X2266" s="200">
        <v>2.4113095808936277E-2</v>
      </c>
      <c r="Y2266" s="209">
        <v>2.3934796877016495E-2</v>
      </c>
    </row>
    <row r="2267" spans="21:25" x14ac:dyDescent="0.2">
      <c r="U2267" s="213" t="str">
        <f t="shared" si="39"/>
        <v>1w</v>
      </c>
      <c r="V2267" s="201">
        <f>_xll.qlCalendarAdvance(Calendar,V2266,U2267,"f",FALSE)</f>
        <v>54687</v>
      </c>
      <c r="W2267" s="225">
        <f>_xll.qlCalendarAdvance(Calendar,V2267,NDays&amp;"D")</f>
        <v>54689</v>
      </c>
      <c r="X2267" s="200">
        <v>2.411559058312638E-2</v>
      </c>
      <c r="Y2267" s="209">
        <v>2.3937767214912142E-2</v>
      </c>
    </row>
    <row r="2268" spans="21:25" x14ac:dyDescent="0.2">
      <c r="U2268" s="213" t="str">
        <f t="shared" si="39"/>
        <v>1w</v>
      </c>
      <c r="V2268" s="201">
        <f>_xll.qlCalendarAdvance(Calendar,V2267,U2268,"f",FALSE)</f>
        <v>54694</v>
      </c>
      <c r="W2268" s="225">
        <f>_xll.qlCalendarAdvance(Calendar,V2268,NDays&amp;"D")</f>
        <v>54696</v>
      </c>
      <c r="X2268" s="200">
        <v>2.411901181689111E-2</v>
      </c>
      <c r="Y2268" s="209">
        <v>2.3940698252804538E-2</v>
      </c>
    </row>
    <row r="2269" spans="21:25" x14ac:dyDescent="0.2">
      <c r="U2269" s="213" t="str">
        <f t="shared" si="39"/>
        <v>1w</v>
      </c>
      <c r="V2269" s="201">
        <f>_xll.qlCalendarAdvance(Calendar,V2268,U2269,"f",FALSE)</f>
        <v>54701</v>
      </c>
      <c r="W2269" s="225">
        <f>_xll.qlCalendarAdvance(Calendar,V2269,NDays&amp;"D")</f>
        <v>54703</v>
      </c>
      <c r="X2269" s="200">
        <v>2.412142436936934E-2</v>
      </c>
      <c r="Y2269" s="209">
        <v>2.3943589990853553E-2</v>
      </c>
    </row>
    <row r="2270" spans="21:25" x14ac:dyDescent="0.2">
      <c r="U2270" s="213" t="str">
        <f t="shared" si="39"/>
        <v>1w</v>
      </c>
      <c r="V2270" s="201">
        <f>_xll.qlCalendarAdvance(Calendar,V2269,U2270,"f",FALSE)</f>
        <v>54708</v>
      </c>
      <c r="W2270" s="225">
        <f>_xll.qlCalendarAdvance(Calendar,V2270,NDays&amp;"D")</f>
        <v>54710</v>
      </c>
      <c r="X2270" s="200">
        <v>2.412379714820034E-2</v>
      </c>
      <c r="Y2270" s="209">
        <v>2.3946442428979253E-2</v>
      </c>
    </row>
    <row r="2271" spans="21:25" x14ac:dyDescent="0.2">
      <c r="U2271" s="213" t="str">
        <f t="shared" si="39"/>
        <v>1w</v>
      </c>
      <c r="V2271" s="201">
        <f>_xll.qlCalendarAdvance(Calendar,V2270,U2271,"f",FALSE)</f>
        <v>54715</v>
      </c>
      <c r="W2271" s="225">
        <f>_xll.qlCalendarAdvance(Calendar,V2271,NDays&amp;"D")</f>
        <v>54717</v>
      </c>
      <c r="X2271" s="200">
        <v>2.4126130153243559E-2</v>
      </c>
      <c r="Y2271" s="209">
        <v>2.3949255567261574E-2</v>
      </c>
    </row>
    <row r="2272" spans="21:25" x14ac:dyDescent="0.2">
      <c r="U2272" s="213" t="str">
        <f t="shared" si="39"/>
        <v>1w</v>
      </c>
      <c r="V2272" s="201">
        <f>_xll.qlCalendarAdvance(Calendar,V2271,U2272,"f",FALSE)</f>
        <v>54722</v>
      </c>
      <c r="W2272" s="225">
        <f>_xll.qlCalendarAdvance(Calendar,V2272,NDays&amp;"D")</f>
        <v>54724</v>
      </c>
      <c r="X2272" s="200">
        <v>2.412842338436065E-2</v>
      </c>
      <c r="Y2272" s="209">
        <v>2.3952029405780451E-2</v>
      </c>
    </row>
    <row r="2273" spans="21:25" x14ac:dyDescent="0.2">
      <c r="U2273" s="213" t="str">
        <f t="shared" si="39"/>
        <v>1w</v>
      </c>
      <c r="V2273" s="201">
        <f>_xll.qlCalendarAdvance(Calendar,V2272,U2273,"f",FALSE)</f>
        <v>54729</v>
      </c>
      <c r="W2273" s="225">
        <f>_xll.qlCalendarAdvance(Calendar,V2273,NDays&amp;"D")</f>
        <v>54731</v>
      </c>
      <c r="X2273" s="200">
        <v>2.4129724038240697E-2</v>
      </c>
      <c r="Y2273" s="209">
        <v>2.395476394421614E-2</v>
      </c>
    </row>
    <row r="2274" spans="21:25" x14ac:dyDescent="0.2">
      <c r="U2274" s="213" t="str">
        <f t="shared" si="39"/>
        <v>1w</v>
      </c>
      <c r="V2274" s="201">
        <f>_xll.qlCalendarAdvance(Calendar,V2273,U2274,"f",FALSE)</f>
        <v>54736</v>
      </c>
      <c r="W2274" s="225">
        <f>_xll.qlCalendarAdvance(Calendar,V2274,NDays&amp;"D")</f>
        <v>54738</v>
      </c>
      <c r="X2274" s="200">
        <v>2.413194041445298E-2</v>
      </c>
      <c r="Y2274" s="209">
        <v>2.3957459182888385E-2</v>
      </c>
    </row>
    <row r="2275" spans="21:25" x14ac:dyDescent="0.2">
      <c r="U2275" s="213" t="str">
        <f t="shared" si="39"/>
        <v>1w</v>
      </c>
      <c r="V2275" s="201">
        <f>_xll.qlCalendarAdvance(Calendar,V2274,U2275,"f",FALSE)</f>
        <v>54743</v>
      </c>
      <c r="W2275" s="225">
        <f>_xll.qlCalendarAdvance(Calendar,V2275,NDays&amp;"D")</f>
        <v>54745</v>
      </c>
      <c r="X2275" s="200">
        <v>2.4134117018980536E-2</v>
      </c>
      <c r="Y2275" s="209">
        <v>2.3960115121637315E-2</v>
      </c>
    </row>
    <row r="2276" spans="21:25" x14ac:dyDescent="0.2">
      <c r="U2276" s="213" t="str">
        <f t="shared" si="39"/>
        <v>1w</v>
      </c>
      <c r="V2276" s="201">
        <f>_xll.qlCalendarAdvance(Calendar,V2275,U2276,"f",FALSE)</f>
        <v>54750</v>
      </c>
      <c r="W2276" s="225">
        <f>_xll.qlCalendarAdvance(Calendar,V2276,NDays&amp;"D")</f>
        <v>54752</v>
      </c>
      <c r="X2276" s="200">
        <v>2.4136253851695728E-2</v>
      </c>
      <c r="Y2276" s="209">
        <v>2.3962731760542866E-2</v>
      </c>
    </row>
    <row r="2277" spans="21:25" x14ac:dyDescent="0.2">
      <c r="U2277" s="213" t="str">
        <f t="shared" si="39"/>
        <v>1w</v>
      </c>
      <c r="V2277" s="201">
        <f>_xll.qlCalendarAdvance(Calendar,V2276,U2277,"f",FALSE)</f>
        <v>54757</v>
      </c>
      <c r="W2277" s="225">
        <f>_xll.qlCalendarAdvance(Calendar,V2277,NDays&amp;"D")</f>
        <v>54759</v>
      </c>
      <c r="X2277" s="200">
        <v>2.4139292926334831E-2</v>
      </c>
      <c r="Y2277" s="209">
        <v>2.3965309099525101E-2</v>
      </c>
    </row>
    <row r="2278" spans="21:25" x14ac:dyDescent="0.2">
      <c r="U2278" s="213" t="str">
        <f t="shared" si="39"/>
        <v>1w</v>
      </c>
      <c r="V2278" s="201">
        <f>_xll.qlCalendarAdvance(Calendar,V2277,U2278,"f",FALSE)</f>
        <v>54764</v>
      </c>
      <c r="W2278" s="225">
        <f>_xll.qlCalendarAdvance(Calendar,V2278,NDays&amp;"D")</f>
        <v>54766</v>
      </c>
      <c r="X2278" s="200">
        <v>2.4141347511101766E-2</v>
      </c>
      <c r="Y2278" s="209">
        <v>2.3967847138663956E-2</v>
      </c>
    </row>
    <row r="2279" spans="21:25" x14ac:dyDescent="0.2">
      <c r="U2279" s="213" t="str">
        <f t="shared" si="39"/>
        <v>1w</v>
      </c>
      <c r="V2279" s="201">
        <f>_xll.qlCalendarAdvance(Calendar,V2278,U2279,"f",FALSE)</f>
        <v>54771</v>
      </c>
      <c r="W2279" s="225">
        <f>_xll.qlCalendarAdvance(Calendar,V2279,NDays&amp;"D")</f>
        <v>54773</v>
      </c>
      <c r="X2279" s="200">
        <v>2.4143362321034288E-2</v>
      </c>
      <c r="Y2279" s="209">
        <v>2.3970345877959431E-2</v>
      </c>
    </row>
    <row r="2280" spans="21:25" x14ac:dyDescent="0.2">
      <c r="U2280" s="213" t="str">
        <f t="shared" si="39"/>
        <v>1w</v>
      </c>
      <c r="V2280" s="201">
        <f>_xll.qlCalendarAdvance(Calendar,V2279,U2280,"f",FALSE)</f>
        <v>54778</v>
      </c>
      <c r="W2280" s="225">
        <f>_xll.qlCalendarAdvance(Calendar,V2280,NDays&amp;"D")</f>
        <v>54780</v>
      </c>
      <c r="X2280" s="200">
        <v>2.4145337356012927E-2</v>
      </c>
      <c r="Y2280" s="209">
        <v>2.3972805317251655E-2</v>
      </c>
    </row>
    <row r="2281" spans="21:25" x14ac:dyDescent="0.2">
      <c r="U2281" s="213" t="str">
        <f t="shared" si="39"/>
        <v>1w</v>
      </c>
      <c r="V2281" s="201">
        <f>_xll.qlCalendarAdvance(Calendar,V2280,U2281,"f",FALSE)</f>
        <v>54785</v>
      </c>
      <c r="W2281" s="225">
        <f>_xll.qlCalendarAdvance(Calendar,V2281,NDays&amp;"D")</f>
        <v>54787</v>
      </c>
      <c r="X2281" s="200">
        <v>2.4147272615919979E-2</v>
      </c>
      <c r="Y2281" s="209">
        <v>2.39752254567005E-2</v>
      </c>
    </row>
    <row r="2282" spans="21:25" x14ac:dyDescent="0.2">
      <c r="U2282" s="213" t="str">
        <f t="shared" si="39"/>
        <v>1w</v>
      </c>
      <c r="V2282" s="201">
        <f>_xll.qlCalendarAdvance(Calendar,V2281,U2282,"f",FALSE)</f>
        <v>54792</v>
      </c>
      <c r="W2282" s="225">
        <f>_xll.qlCalendarAdvance(Calendar,V2282,NDays&amp;"D")</f>
        <v>54794</v>
      </c>
      <c r="X2282" s="200">
        <v>2.4148239632982096E-2</v>
      </c>
      <c r="Y2282" s="209">
        <v>2.3977606296305964E-2</v>
      </c>
    </row>
    <row r="2283" spans="21:25" x14ac:dyDescent="0.2">
      <c r="U2283" s="213" t="str">
        <f t="shared" si="39"/>
        <v>1w</v>
      </c>
      <c r="V2283" s="201">
        <f>_xll.qlCalendarAdvance(Calendar,V2282,U2283,"f",FALSE)</f>
        <v>54799</v>
      </c>
      <c r="W2283" s="225">
        <f>_xll.qlCalendarAdvance(Calendar,V2283,NDays&amp;"D")</f>
        <v>54801</v>
      </c>
      <c r="X2283" s="200">
        <v>2.4150098059590279E-2</v>
      </c>
      <c r="Y2283" s="209">
        <v>2.3979947835908177E-2</v>
      </c>
    </row>
    <row r="2284" spans="21:25" x14ac:dyDescent="0.2">
      <c r="U2284" s="213" t="str">
        <f t="shared" si="39"/>
        <v>1w</v>
      </c>
      <c r="V2284" s="201">
        <f>_xll.qlCalendarAdvance(Calendar,V2283,U2284,"f",FALSE)</f>
        <v>54806</v>
      </c>
      <c r="W2284" s="225">
        <f>_xll.qlCalendarAdvance(Calendar,V2284,NDays&amp;"D")</f>
        <v>54808</v>
      </c>
      <c r="X2284" s="200">
        <v>2.415191671343879E-2</v>
      </c>
      <c r="Y2284" s="209">
        <v>2.3982250075746947E-2</v>
      </c>
    </row>
    <row r="2285" spans="21:25" x14ac:dyDescent="0.2">
      <c r="U2285" s="213" t="str">
        <f t="shared" si="39"/>
        <v>1w</v>
      </c>
      <c r="V2285" s="201">
        <f>_xll.qlCalendarAdvance(Calendar,V2284,U2285,"f",FALSE)</f>
        <v>54813</v>
      </c>
      <c r="W2285" s="225">
        <f>_xll.qlCalendarAdvance(Calendar,V2285,NDays&amp;"D")</f>
        <v>54815</v>
      </c>
      <c r="X2285" s="200">
        <v>2.415369559441943E-2</v>
      </c>
      <c r="Y2285" s="209">
        <v>2.3984513015662401E-2</v>
      </c>
    </row>
    <row r="2286" spans="21:25" x14ac:dyDescent="0.2">
      <c r="U2286" s="213" t="str">
        <f t="shared" si="39"/>
        <v>1w</v>
      </c>
      <c r="V2286" s="201">
        <f>_xll.qlCalendarAdvance(Calendar,V2285,U2286,"f",FALSE)</f>
        <v>54820</v>
      </c>
      <c r="W2286" s="225">
        <f>_xll.qlCalendarAdvance(Calendar,V2286,NDays&amp;"D")</f>
        <v>54822</v>
      </c>
      <c r="X2286" s="200">
        <v>2.4155434702426648E-2</v>
      </c>
      <c r="Y2286" s="209">
        <v>2.3986736655734475E-2</v>
      </c>
    </row>
    <row r="2287" spans="21:25" x14ac:dyDescent="0.2">
      <c r="U2287" s="213" t="str">
        <f t="shared" si="39"/>
        <v>1w</v>
      </c>
      <c r="V2287" s="201">
        <f>_xll.qlCalendarAdvance(Calendar,V2286,U2287,"f",FALSE)</f>
        <v>54827</v>
      </c>
      <c r="W2287" s="225">
        <f>_xll.qlCalendarAdvance(Calendar,V2287,NDays&amp;"D")</f>
        <v>54829</v>
      </c>
      <c r="X2287" s="200">
        <v>2.4157134037357097E-2</v>
      </c>
      <c r="Y2287" s="209">
        <v>2.3988920995883234E-2</v>
      </c>
    </row>
    <row r="2288" spans="21:25" x14ac:dyDescent="0.2">
      <c r="U2288" s="213" t="str">
        <f t="shared" si="39"/>
        <v>1w</v>
      </c>
      <c r="V2288" s="201">
        <f>_xll.qlCalendarAdvance(Calendar,V2287,U2288,"f",FALSE)</f>
        <v>54834</v>
      </c>
      <c r="W2288" s="225">
        <f>_xll.qlCalendarAdvance(Calendar,V2288,NDays&amp;"D")</f>
        <v>54836</v>
      </c>
      <c r="X2288" s="200">
        <v>2.4158793599109649E-2</v>
      </c>
      <c r="Y2288" s="209">
        <v>2.3991066035948805E-2</v>
      </c>
    </row>
    <row r="2289" spans="21:25" x14ac:dyDescent="0.2">
      <c r="U2289" s="213" t="str">
        <f t="shared" si="39"/>
        <v>1w</v>
      </c>
      <c r="V2289" s="201">
        <f>_xll.qlCalendarAdvance(Calendar,V2288,U2289,"f",FALSE)</f>
        <v>54841</v>
      </c>
      <c r="W2289" s="225">
        <f>_xll.qlCalendarAdvance(Calendar,V2289,NDays&amp;"D")</f>
        <v>54843</v>
      </c>
      <c r="X2289" s="200">
        <v>2.4160413387586697E-2</v>
      </c>
      <c r="Y2289" s="209">
        <v>2.3993171776330868E-2</v>
      </c>
    </row>
    <row r="2290" spans="21:25" x14ac:dyDescent="0.2">
      <c r="U2290" s="213" t="str">
        <f t="shared" si="39"/>
        <v>1w</v>
      </c>
      <c r="V2290" s="201">
        <f>_xll.qlCalendarAdvance(Calendar,V2289,U2290,"f",FALSE)</f>
        <v>54848</v>
      </c>
      <c r="W2290" s="225">
        <f>_xll.qlCalendarAdvance(Calendar,V2290,NDays&amp;"D")</f>
        <v>54850</v>
      </c>
      <c r="X2290" s="200">
        <v>2.4166524467376209E-2</v>
      </c>
      <c r="Y2290" s="209">
        <v>2.3995238216789616E-2</v>
      </c>
    </row>
    <row r="2291" spans="21:25" x14ac:dyDescent="0.2">
      <c r="U2291" s="213" t="str">
        <f t="shared" si="39"/>
        <v>1w</v>
      </c>
      <c r="V2291" s="201">
        <f>_xll.qlCalendarAdvance(Calendar,V2290,U2291,"f",FALSE)</f>
        <v>54855</v>
      </c>
      <c r="W2291" s="225">
        <f>_xll.qlCalendarAdvance(Calendar,V2291,NDays&amp;"D")</f>
        <v>54857</v>
      </c>
      <c r="X2291" s="200">
        <v>2.4168051013275359E-2</v>
      </c>
      <c r="Y2291" s="209">
        <v>2.3997265357245112E-2</v>
      </c>
    </row>
    <row r="2292" spans="21:25" x14ac:dyDescent="0.2">
      <c r="U2292" s="213" t="str">
        <f t="shared" si="39"/>
        <v>1w</v>
      </c>
      <c r="V2292" s="201">
        <f>_xll.qlCalendarAdvance(Calendar,V2291,U2292,"f",FALSE)</f>
        <v>54862</v>
      </c>
      <c r="W2292" s="225">
        <f>_xll.qlCalendarAdvance(Calendar,V2292,NDays&amp;"D")</f>
        <v>54864</v>
      </c>
      <c r="X2292" s="200">
        <v>2.4169537772348634E-2</v>
      </c>
      <c r="Y2292" s="209">
        <v>2.3999253197937165E-2</v>
      </c>
    </row>
    <row r="2293" spans="21:25" x14ac:dyDescent="0.2">
      <c r="U2293" s="213" t="str">
        <f t="shared" si="39"/>
        <v>1w</v>
      </c>
      <c r="V2293" s="201">
        <f>_xll.qlCalendarAdvance(Calendar,V2292,U2293,"f",FALSE)</f>
        <v>54869</v>
      </c>
      <c r="W2293" s="225">
        <f>_xll.qlCalendarAdvance(Calendar,V2293,NDays&amp;"D")</f>
        <v>54871</v>
      </c>
      <c r="X2293" s="200">
        <v>2.4170984744504923E-2</v>
      </c>
      <c r="Y2293" s="209">
        <v>2.4001201738705902E-2</v>
      </c>
    </row>
    <row r="2294" spans="21:25" x14ac:dyDescent="0.2">
      <c r="U2294" s="213" t="str">
        <f t="shared" si="39"/>
        <v>1w</v>
      </c>
      <c r="V2294" s="201">
        <f>_xll.qlCalendarAdvance(Calendar,V2293,U2294,"f",FALSE)</f>
        <v>54876</v>
      </c>
      <c r="W2294" s="225">
        <f>_xll.qlCalendarAdvance(Calendar,V2294,NDays&amp;"D")</f>
        <v>54878</v>
      </c>
      <c r="X2294" s="200">
        <v>2.4169706877373218E-2</v>
      </c>
      <c r="Y2294" s="209">
        <v>2.4003110979631259E-2</v>
      </c>
    </row>
    <row r="2295" spans="21:25" x14ac:dyDescent="0.2">
      <c r="U2295" s="213" t="str">
        <f t="shared" si="39"/>
        <v>1w</v>
      </c>
      <c r="V2295" s="201">
        <f>_xll.qlCalendarAdvance(Calendar,V2294,U2295,"f",FALSE)</f>
        <v>54883</v>
      </c>
      <c r="W2295" s="225">
        <f>_xll.qlCalendarAdvance(Calendar,V2295,NDays&amp;"D")</f>
        <v>54885</v>
      </c>
      <c r="X2295" s="200">
        <v>2.4171082525849225E-2</v>
      </c>
      <c r="Y2295" s="209">
        <v>2.4008708851221527E-2</v>
      </c>
    </row>
    <row r="2296" spans="21:25" x14ac:dyDescent="0.2">
      <c r="U2296" s="213" t="str">
        <f t="shared" si="39"/>
        <v>1w</v>
      </c>
      <c r="V2296" s="201">
        <f>_xll.qlCalendarAdvance(Calendar,V2295,U2296,"f",FALSE)</f>
        <v>54890</v>
      </c>
      <c r="W2296" s="225">
        <f>_xll.qlCalendarAdvance(Calendar,V2296,NDays&amp;"D")</f>
        <v>54892</v>
      </c>
      <c r="X2296" s="200">
        <v>2.4172418395117544E-2</v>
      </c>
      <c r="Y2296" s="209">
        <v>2.4006811561632091E-2</v>
      </c>
    </row>
    <row r="2297" spans="21:25" x14ac:dyDescent="0.2">
      <c r="U2297" s="213" t="str">
        <f t="shared" si="39"/>
        <v>1w</v>
      </c>
      <c r="V2297" s="201">
        <f>_xll.qlCalendarAdvance(Calendar,V2296,U2297,"f",FALSE)</f>
        <v>54897</v>
      </c>
      <c r="W2297" s="225">
        <f>_xll.qlCalendarAdvance(Calendar,V2297,NDays&amp;"D")</f>
        <v>54899</v>
      </c>
      <c r="X2297" s="200">
        <v>2.4173714485097801E-2</v>
      </c>
      <c r="Y2297" s="209">
        <v>2.4008602902787501E-2</v>
      </c>
    </row>
    <row r="2298" spans="21:25" x14ac:dyDescent="0.2">
      <c r="U2298" s="213" t="str">
        <f t="shared" si="39"/>
        <v>1w</v>
      </c>
      <c r="V2298" s="201">
        <f>_xll.qlCalendarAdvance(Calendar,V2297,U2298,"f",FALSE)</f>
        <v>54904</v>
      </c>
      <c r="W2298" s="225">
        <f>_xll.qlCalendarAdvance(Calendar,V2298,NDays&amp;"D")</f>
        <v>54906</v>
      </c>
      <c r="X2298" s="200">
        <v>2.4174970795711809E-2</v>
      </c>
      <c r="Y2298" s="209">
        <v>2.4010354944019596E-2</v>
      </c>
    </row>
    <row r="2299" spans="21:25" x14ac:dyDescent="0.2">
      <c r="U2299" s="213" t="str">
        <f t="shared" si="39"/>
        <v>1w</v>
      </c>
      <c r="V2299" s="201">
        <f>_xll.qlCalendarAdvance(Calendar,V2298,U2299,"f",FALSE)</f>
        <v>54911</v>
      </c>
      <c r="W2299" s="225">
        <f>_xll.qlCalendarAdvance(Calendar,V2299,NDays&amp;"D")</f>
        <v>54913</v>
      </c>
      <c r="X2299" s="200">
        <v>2.4178831047415115E-2</v>
      </c>
      <c r="Y2299" s="209">
        <v>2.4012067685408311E-2</v>
      </c>
    </row>
    <row r="2300" spans="21:25" x14ac:dyDescent="0.2">
      <c r="U2300" s="213" t="str">
        <f t="shared" si="39"/>
        <v>1w</v>
      </c>
      <c r="V2300" s="201">
        <f>_xll.qlCalendarAdvance(Calendar,V2299,U2300,"f",FALSE)</f>
        <v>54918</v>
      </c>
      <c r="W2300" s="225">
        <f>_xll.qlCalendarAdvance(Calendar,V2300,NDays&amp;"D")</f>
        <v>54920</v>
      </c>
      <c r="X2300" s="200">
        <v>2.4179999508819307E-2</v>
      </c>
      <c r="Y2300" s="209">
        <v>2.4013741126873711E-2</v>
      </c>
    </row>
    <row r="2301" spans="21:25" x14ac:dyDescent="0.2">
      <c r="U2301" s="213" t="str">
        <f t="shared" si="39"/>
        <v>1w</v>
      </c>
      <c r="V2301" s="201">
        <f>_xll.qlCalendarAdvance(Calendar,V2300,U2301,"f",FALSE)</f>
        <v>54925</v>
      </c>
      <c r="W2301" s="225">
        <f>_xll.qlCalendarAdvance(Calendar,V2301,NDays&amp;"D")</f>
        <v>54927</v>
      </c>
      <c r="X2301" s="200">
        <v>2.4181128182668744E-2</v>
      </c>
      <c r="Y2301" s="209">
        <v>2.4015375268495731E-2</v>
      </c>
    </row>
    <row r="2302" spans="21:25" x14ac:dyDescent="0.2">
      <c r="U2302" s="213" t="str">
        <f t="shared" si="39"/>
        <v>1w</v>
      </c>
      <c r="V2302" s="201">
        <f>_xll.qlCalendarAdvance(Calendar,V2301,U2302,"f",FALSE)</f>
        <v>54932</v>
      </c>
      <c r="W2302" s="225">
        <f>_xll.qlCalendarAdvance(Calendar,V2302,NDays&amp;"D")</f>
        <v>54934</v>
      </c>
      <c r="X2302" s="200">
        <v>2.418221706889509E-2</v>
      </c>
      <c r="Y2302" s="209">
        <v>2.4016970110114499E-2</v>
      </c>
    </row>
    <row r="2303" spans="21:25" x14ac:dyDescent="0.2">
      <c r="U2303" s="213" t="str">
        <f t="shared" si="39"/>
        <v>1w</v>
      </c>
      <c r="V2303" s="201">
        <f>_xll.qlCalendarAdvance(Calendar,V2302,U2303,"f",FALSE)</f>
        <v>54939</v>
      </c>
      <c r="W2303" s="225">
        <f>_xll.qlCalendarAdvance(Calendar,V2303,NDays&amp;"D")</f>
        <v>54941</v>
      </c>
      <c r="X2303" s="200">
        <v>2.4180655655746331E-2</v>
      </c>
      <c r="Y2303" s="209">
        <v>2.4018525651809952E-2</v>
      </c>
    </row>
    <row r="2304" spans="21:25" x14ac:dyDescent="0.2">
      <c r="U2304" s="213" t="str">
        <f t="shared" si="39"/>
        <v>1w</v>
      </c>
      <c r="V2304" s="201">
        <f>_xll.qlCalendarAdvance(Calendar,V2303,U2304,"f",FALSE)</f>
        <v>54946</v>
      </c>
      <c r="W2304" s="225">
        <f>_xll.qlCalendarAdvance(Calendar,V2304,NDays&amp;"D")</f>
        <v>54948</v>
      </c>
      <c r="X2304" s="200">
        <v>2.418167328866852E-2</v>
      </c>
      <c r="Y2304" s="209">
        <v>2.4020041893662025E-2</v>
      </c>
    </row>
    <row r="2305" spans="21:25" x14ac:dyDescent="0.2">
      <c r="U2305" s="213" t="str">
        <f t="shared" si="39"/>
        <v>1w</v>
      </c>
      <c r="V2305" s="201">
        <f>_xll.qlCalendarAdvance(Calendar,V2304,U2305,"f",FALSE)</f>
        <v>54953</v>
      </c>
      <c r="W2305" s="225">
        <f>_xll.qlCalendarAdvance(Calendar,V2305,NDays&amp;"D")</f>
        <v>54955</v>
      </c>
      <c r="X2305" s="200">
        <v>2.4182651141748779E-2</v>
      </c>
      <c r="Y2305" s="209">
        <v>2.4021518835750655E-2</v>
      </c>
    </row>
    <row r="2306" spans="21:25" x14ac:dyDescent="0.2">
      <c r="U2306" s="213" t="str">
        <f t="shared" si="39"/>
        <v>1w</v>
      </c>
      <c r="V2306" s="201">
        <f>_xll.qlCalendarAdvance(Calendar,V2305,U2306,"f",FALSE)</f>
        <v>54960</v>
      </c>
      <c r="W2306" s="225">
        <f>_xll.qlCalendarAdvance(Calendar,V2306,NDays&amp;"D")</f>
        <v>54962</v>
      </c>
      <c r="X2306" s="200">
        <v>2.4183589214926821E-2</v>
      </c>
      <c r="Y2306" s="209">
        <v>2.4022956477676161E-2</v>
      </c>
    </row>
    <row r="2307" spans="21:25" x14ac:dyDescent="0.2">
      <c r="U2307" s="213" t="str">
        <f t="shared" si="39"/>
        <v>1w</v>
      </c>
      <c r="V2307" s="201">
        <f>_xll.qlCalendarAdvance(Calendar,V2306,U2307,"f",FALSE)</f>
        <v>54967</v>
      </c>
      <c r="W2307" s="225">
        <f>_xll.qlCalendarAdvance(Calendar,V2307,NDays&amp;"D")</f>
        <v>54969</v>
      </c>
      <c r="X2307" s="200">
        <v>2.4184487508147612E-2</v>
      </c>
      <c r="Y2307" s="209">
        <v>2.4024354819918159E-2</v>
      </c>
    </row>
    <row r="2308" spans="21:25" x14ac:dyDescent="0.2">
      <c r="U2308" s="213" t="str">
        <f t="shared" si="39"/>
        <v>1w</v>
      </c>
      <c r="V2308" s="201">
        <f>_xll.qlCalendarAdvance(Calendar,V2307,U2308,"f",FALSE)</f>
        <v>54974</v>
      </c>
      <c r="W2308" s="225">
        <f>_xll.qlCalendarAdvance(Calendar,V2308,NDays&amp;"D")</f>
        <v>54976</v>
      </c>
      <c r="X2308" s="200">
        <v>2.4187914842624909E-2</v>
      </c>
      <c r="Y2308" s="209">
        <v>2.4025713862156906E-2</v>
      </c>
    </row>
    <row r="2309" spans="21:25" x14ac:dyDescent="0.2">
      <c r="U2309" s="213" t="str">
        <f t="shared" si="39"/>
        <v>1w</v>
      </c>
      <c r="V2309" s="201">
        <f>_xll.qlCalendarAdvance(Calendar,V2308,U2309,"f",FALSE)</f>
        <v>54981</v>
      </c>
      <c r="W2309" s="225">
        <f>_xll.qlCalendarAdvance(Calendar,V2309,NDays&amp;"D")</f>
        <v>54983</v>
      </c>
      <c r="X2309" s="200">
        <v>2.4188725213768001E-2</v>
      </c>
      <c r="Y2309" s="209">
        <v>2.4027033604472336E-2</v>
      </c>
    </row>
    <row r="2310" spans="21:25" x14ac:dyDescent="0.2">
      <c r="U2310" s="213" t="str">
        <f t="shared" si="39"/>
        <v>1w</v>
      </c>
      <c r="V2310" s="201">
        <f>_xll.qlCalendarAdvance(Calendar,V2309,U2310,"f",FALSE)</f>
        <v>54988</v>
      </c>
      <c r="W2310" s="225">
        <f>_xll.qlCalendarAdvance(Calendar,V2310,NDays&amp;"D")</f>
        <v>54990</v>
      </c>
      <c r="X2310" s="200">
        <v>2.418949579682558E-2</v>
      </c>
      <c r="Y2310" s="209">
        <v>2.4028314046944388E-2</v>
      </c>
    </row>
    <row r="2311" spans="21:25" x14ac:dyDescent="0.2">
      <c r="U2311" s="213" t="str">
        <f t="shared" si="39"/>
        <v>1w</v>
      </c>
      <c r="V2311" s="201">
        <f>_xll.qlCalendarAdvance(Calendar,V2310,U2311,"f",FALSE)</f>
        <v>54995</v>
      </c>
      <c r="W2311" s="225">
        <f>_xll.qlCalendarAdvance(Calendar,V2311,NDays&amp;"D")</f>
        <v>54997</v>
      </c>
      <c r="X2311" s="200">
        <v>2.419022659175037E-2</v>
      </c>
      <c r="Y2311" s="209">
        <v>2.4029555189493124E-2</v>
      </c>
    </row>
    <row r="2312" spans="21:25" x14ac:dyDescent="0.2">
      <c r="U2312" s="213" t="str">
        <f t="shared" si="39"/>
        <v>1w</v>
      </c>
      <c r="V2312" s="201">
        <f>_xll.qlCalendarAdvance(Calendar,V2311,U2312,"f",FALSE)</f>
        <v>55002</v>
      </c>
      <c r="W2312" s="225">
        <f>_xll.qlCalendarAdvance(Calendar,V2312,NDays&amp;"D")</f>
        <v>55004</v>
      </c>
      <c r="X2312" s="200">
        <v>2.4190917598498105E-2</v>
      </c>
      <c r="Y2312" s="209">
        <v>2.4030757032118544E-2</v>
      </c>
    </row>
    <row r="2313" spans="21:25" x14ac:dyDescent="0.2">
      <c r="U2313" s="213" t="str">
        <f t="shared" si="39"/>
        <v>1w</v>
      </c>
      <c r="V2313" s="201">
        <f>_xll.qlCalendarAdvance(Calendar,V2312,U2313,"f",FALSE)</f>
        <v>55009</v>
      </c>
      <c r="W2313" s="225">
        <f>_xll.qlCalendarAdvance(Calendar,V2313,NDays&amp;"D")</f>
        <v>55011</v>
      </c>
      <c r="X2313" s="200">
        <v>2.4191568817025812E-2</v>
      </c>
      <c r="Y2313" s="209">
        <v>2.4031919574820648E-2</v>
      </c>
    </row>
    <row r="2314" spans="21:25" x14ac:dyDescent="0.2">
      <c r="U2314" s="213" t="str">
        <f t="shared" si="39"/>
        <v>1w</v>
      </c>
      <c r="V2314" s="201">
        <f>_xll.qlCalendarAdvance(Calendar,V2313,U2314,"f",FALSE)</f>
        <v>55016</v>
      </c>
      <c r="W2314" s="225">
        <f>_xll.qlCalendarAdvance(Calendar,V2314,NDays&amp;"D")</f>
        <v>55018</v>
      </c>
      <c r="X2314" s="200">
        <v>2.4192180247295237E-2</v>
      </c>
      <c r="Y2314" s="209">
        <v>2.4033042817679373E-2</v>
      </c>
    </row>
    <row r="2315" spans="21:25" x14ac:dyDescent="0.2">
      <c r="U2315" s="213" t="str">
        <f t="shared" si="39"/>
        <v>1w</v>
      </c>
      <c r="V2315" s="201">
        <f>_xll.qlCalendarAdvance(Calendar,V2314,U2315,"f",FALSE)</f>
        <v>55023</v>
      </c>
      <c r="W2315" s="225">
        <f>_xll.qlCalendarAdvance(Calendar,V2315,NDays&amp;"D")</f>
        <v>55025</v>
      </c>
      <c r="X2315" s="200">
        <v>2.4192751889268133E-2</v>
      </c>
      <c r="Y2315" s="209">
        <v>2.4034126760614782E-2</v>
      </c>
    </row>
    <row r="2316" spans="21:25" x14ac:dyDescent="0.2">
      <c r="U2316" s="213" t="str">
        <f t="shared" si="39"/>
        <v>1w</v>
      </c>
      <c r="V2316" s="201">
        <f>_xll.qlCalendarAdvance(Calendar,V2315,U2316,"f",FALSE)</f>
        <v>55030</v>
      </c>
      <c r="W2316" s="225">
        <f>_xll.qlCalendarAdvance(Calendar,V2316,NDays&amp;"D")</f>
        <v>55032</v>
      </c>
      <c r="X2316" s="200">
        <v>2.4189113083427763E-2</v>
      </c>
      <c r="Y2316" s="209">
        <v>2.4035171403626876E-2</v>
      </c>
    </row>
    <row r="2317" spans="21:25" x14ac:dyDescent="0.2">
      <c r="U2317" s="213" t="str">
        <f t="shared" si="39"/>
        <v>1w</v>
      </c>
      <c r="V2317" s="201">
        <f>_xll.qlCalendarAdvance(Calendar,V2316,U2317,"f",FALSE)</f>
        <v>55037</v>
      </c>
      <c r="W2317" s="225">
        <f>_xll.qlCalendarAdvance(Calendar,V2317,NDays&amp;"D")</f>
        <v>55039</v>
      </c>
      <c r="X2317" s="200">
        <v>2.4189619189819035E-2</v>
      </c>
      <c r="Y2317" s="209">
        <v>2.4036176746635718E-2</v>
      </c>
    </row>
    <row r="2318" spans="21:25" x14ac:dyDescent="0.2">
      <c r="U2318" s="213" t="str">
        <f t="shared" si="39"/>
        <v>1w</v>
      </c>
      <c r="V2318" s="201">
        <f>_xll.qlCalendarAdvance(Calendar,V2317,U2318,"f",FALSE)</f>
        <v>55044</v>
      </c>
      <c r="W2318" s="225">
        <f>_xll.qlCalendarAdvance(Calendar,V2318,NDays&amp;"D")</f>
        <v>55046</v>
      </c>
      <c r="X2318" s="200">
        <v>2.4190085521108198E-2</v>
      </c>
      <c r="Y2318" s="209">
        <v>2.4037142789881116E-2</v>
      </c>
    </row>
    <row r="2319" spans="21:25" x14ac:dyDescent="0.2">
      <c r="U2319" s="213" t="str">
        <f t="shared" si="39"/>
        <v>1w</v>
      </c>
      <c r="V2319" s="201">
        <f>_xll.qlCalendarAdvance(Calendar,V2318,U2319,"f",FALSE)</f>
        <v>55051</v>
      </c>
      <c r="W2319" s="225">
        <f>_xll.qlCalendarAdvance(Calendar,V2319,NDays&amp;"D")</f>
        <v>55053</v>
      </c>
      <c r="X2319" s="200">
        <v>2.4190512077266552E-2</v>
      </c>
      <c r="Y2319" s="209">
        <v>2.4038069533123263E-2</v>
      </c>
    </row>
    <row r="2320" spans="21:25" x14ac:dyDescent="0.2">
      <c r="U2320" s="213" t="str">
        <f t="shared" si="39"/>
        <v>1w</v>
      </c>
      <c r="V2320" s="201">
        <f>_xll.qlCalendarAdvance(Calendar,V2319,U2320,"f",FALSE)</f>
        <v>55058</v>
      </c>
      <c r="W2320" s="225">
        <f>_xll.qlCalendarAdvance(Calendar,V2320,NDays&amp;"D")</f>
        <v>55060</v>
      </c>
      <c r="X2320" s="200">
        <v>2.4190898858268913E-2</v>
      </c>
      <c r="Y2320" s="209">
        <v>2.4038956976442094E-2</v>
      </c>
    </row>
    <row r="2321" spans="21:25" x14ac:dyDescent="0.2">
      <c r="U2321" s="213" t="str">
        <f t="shared" si="39"/>
        <v>1w</v>
      </c>
      <c r="V2321" s="201">
        <f>_xll.qlCalendarAdvance(Calendar,V2320,U2321,"f",FALSE)</f>
        <v>55065</v>
      </c>
      <c r="W2321" s="225">
        <f>_xll.qlCalendarAdvance(Calendar,V2321,NDays&amp;"D")</f>
        <v>55067</v>
      </c>
      <c r="X2321" s="200">
        <v>2.4192066394525872E-2</v>
      </c>
      <c r="Y2321" s="209">
        <v>2.4039805119917546E-2</v>
      </c>
    </row>
    <row r="2322" spans="21:25" x14ac:dyDescent="0.2">
      <c r="U2322" s="213" t="str">
        <f t="shared" si="39"/>
        <v>1w</v>
      </c>
      <c r="V2322" s="201">
        <f>_xll.qlCalendarAdvance(Calendar,V2321,U2322,"f",FALSE)</f>
        <v>55072</v>
      </c>
      <c r="W2322" s="225">
        <f>_xll.qlCalendarAdvance(Calendar,V2322,NDays&amp;"D")</f>
        <v>55074</v>
      </c>
      <c r="X2322" s="200">
        <v>2.4192370804393733E-2</v>
      </c>
      <c r="Y2322" s="209">
        <v>2.4040613963549617E-2</v>
      </c>
    </row>
    <row r="2323" spans="21:25" x14ac:dyDescent="0.2">
      <c r="U2323" s="213" t="str">
        <f t="shared" si="39"/>
        <v>1w</v>
      </c>
      <c r="V2323" s="201">
        <f>_xll.qlCalendarAdvance(Calendar,V2322,U2323,"f",FALSE)</f>
        <v>55079</v>
      </c>
      <c r="W2323" s="225">
        <f>_xll.qlCalendarAdvance(Calendar,V2323,NDays&amp;"D")</f>
        <v>55081</v>
      </c>
      <c r="X2323" s="200">
        <v>2.4192635436387416E-2</v>
      </c>
      <c r="Y2323" s="209">
        <v>2.4041383507178438E-2</v>
      </c>
    </row>
    <row r="2324" spans="21:25" x14ac:dyDescent="0.2">
      <c r="U2324" s="213" t="str">
        <f t="shared" si="39"/>
        <v>1w</v>
      </c>
      <c r="V2324" s="201">
        <f>_xll.qlCalendarAdvance(Calendar,V2323,U2324,"f",FALSE)</f>
        <v>55086</v>
      </c>
      <c r="W2324" s="225">
        <f>_xll.qlCalendarAdvance(Calendar,V2324,NDays&amp;"D")</f>
        <v>55088</v>
      </c>
      <c r="X2324" s="200">
        <v>2.4192860290489348E-2</v>
      </c>
      <c r="Y2324" s="209">
        <v>2.4042113750883942E-2</v>
      </c>
    </row>
    <row r="2325" spans="21:25" x14ac:dyDescent="0.2">
      <c r="U2325" s="213" t="str">
        <f t="shared" ref="U2325:U2388" si="40">U2324</f>
        <v>1w</v>
      </c>
      <c r="V2325" s="201">
        <f>_xll.qlCalendarAdvance(Calendar,V2324,U2325,"f",FALSE)</f>
        <v>55093</v>
      </c>
      <c r="W2325" s="225">
        <f>_xll.qlCalendarAdvance(Calendar,V2325,NDays&amp;"D")</f>
        <v>55095</v>
      </c>
      <c r="X2325" s="200">
        <v>2.419223613522593E-2</v>
      </c>
      <c r="Y2325" s="209">
        <v>2.4042804694746067E-2</v>
      </c>
    </row>
    <row r="2326" spans="21:25" x14ac:dyDescent="0.2">
      <c r="U2326" s="213" t="str">
        <f t="shared" si="40"/>
        <v>1w</v>
      </c>
      <c r="V2326" s="201">
        <f>_xll.qlCalendarAdvance(Calendar,V2325,U2326,"f",FALSE)</f>
        <v>55100</v>
      </c>
      <c r="W2326" s="225">
        <f>_xll.qlCalendarAdvance(Calendar,V2326,NDays&amp;"D")</f>
        <v>55102</v>
      </c>
      <c r="X2326" s="200">
        <v>2.4192384264895343E-2</v>
      </c>
      <c r="Y2326" s="209">
        <v>2.4043456338684877E-2</v>
      </c>
    </row>
    <row r="2327" spans="21:25" x14ac:dyDescent="0.2">
      <c r="U2327" s="213" t="str">
        <f t="shared" si="40"/>
        <v>1w</v>
      </c>
      <c r="V2327" s="201">
        <f>_xll.qlCalendarAdvance(Calendar,V2326,U2327,"f",FALSE)</f>
        <v>55107</v>
      </c>
      <c r="W2327" s="225">
        <f>_xll.qlCalendarAdvance(Calendar,V2327,NDays&amp;"D")</f>
        <v>55109</v>
      </c>
      <c r="X2327" s="200">
        <v>2.4192492619297037E-2</v>
      </c>
      <c r="Y2327" s="209">
        <v>2.4044068682540498E-2</v>
      </c>
    </row>
    <row r="2328" spans="21:25" x14ac:dyDescent="0.2">
      <c r="U2328" s="213" t="str">
        <f t="shared" si="40"/>
        <v>1w</v>
      </c>
      <c r="V2328" s="201">
        <f>_xll.qlCalendarAdvance(Calendar,V2327,U2328,"f",FALSE)</f>
        <v>55114</v>
      </c>
      <c r="W2328" s="225">
        <f>_xll.qlCalendarAdvance(Calendar,V2328,NDays&amp;"D")</f>
        <v>55116</v>
      </c>
      <c r="X2328" s="200">
        <v>2.4192561198426596E-2</v>
      </c>
      <c r="Y2328" s="209">
        <v>2.4044641726712612E-2</v>
      </c>
    </row>
    <row r="2329" spans="21:25" x14ac:dyDescent="0.2">
      <c r="U2329" s="213" t="str">
        <f t="shared" si="40"/>
        <v>1w</v>
      </c>
      <c r="V2329" s="201">
        <f>_xll.qlCalendarAdvance(Calendar,V2328,U2329,"f",FALSE)</f>
        <v>55121</v>
      </c>
      <c r="W2329" s="225">
        <f>_xll.qlCalendarAdvance(Calendar,V2329,NDays&amp;"D")</f>
        <v>55123</v>
      </c>
      <c r="X2329" s="200">
        <v>2.4193387892253383E-2</v>
      </c>
      <c r="Y2329" s="209">
        <v>2.4045175470961411E-2</v>
      </c>
    </row>
    <row r="2330" spans="21:25" x14ac:dyDescent="0.2">
      <c r="U2330" s="213" t="str">
        <f t="shared" si="40"/>
        <v>1w</v>
      </c>
      <c r="V2330" s="201">
        <f>_xll.qlCalendarAdvance(Calendar,V2329,U2330,"f",FALSE)</f>
        <v>55128</v>
      </c>
      <c r="W2330" s="225">
        <f>_xll.qlCalendarAdvance(Calendar,V2330,NDays&amp;"D")</f>
        <v>55130</v>
      </c>
      <c r="X2330" s="200">
        <v>2.419337407881288E-2</v>
      </c>
      <c r="Y2330" s="209">
        <v>2.4045669915206958E-2</v>
      </c>
    </row>
    <row r="2331" spans="21:25" x14ac:dyDescent="0.2">
      <c r="U2331" s="213" t="str">
        <f t="shared" si="40"/>
        <v>1w</v>
      </c>
      <c r="V2331" s="201">
        <f>_xll.qlCalendarAdvance(Calendar,V2330,U2331,"f",FALSE)</f>
        <v>55135</v>
      </c>
      <c r="W2331" s="225">
        <f>_xll.qlCalendarAdvance(Calendar,V2331,NDays&amp;"D")</f>
        <v>55137</v>
      </c>
      <c r="X2331" s="200">
        <v>2.4193320487437147E-2</v>
      </c>
      <c r="Y2331" s="209">
        <v>2.4046125059529189E-2</v>
      </c>
    </row>
    <row r="2332" spans="21:25" x14ac:dyDescent="0.2">
      <c r="U2332" s="213" t="str">
        <f t="shared" si="40"/>
        <v>1w</v>
      </c>
      <c r="V2332" s="201">
        <f>_xll.qlCalendarAdvance(Calendar,V2331,U2332,"f",FALSE)</f>
        <v>55142</v>
      </c>
      <c r="W2332" s="225">
        <f>_xll.qlCalendarAdvance(Calendar,V2332,NDays&amp;"D")</f>
        <v>55144</v>
      </c>
      <c r="X2332" s="200">
        <v>2.4193227118129698E-2</v>
      </c>
      <c r="Y2332" s="209">
        <v>2.404654090400804E-2</v>
      </c>
    </row>
    <row r="2333" spans="21:25" x14ac:dyDescent="0.2">
      <c r="U2333" s="213" t="str">
        <f t="shared" si="40"/>
        <v>1w</v>
      </c>
      <c r="V2333" s="201">
        <f>_xll.qlCalendarAdvance(Calendar,V2332,U2333,"f",FALSE)</f>
        <v>55149</v>
      </c>
      <c r="W2333" s="225">
        <f>_xll.qlCalendarAdvance(Calendar,V2333,NDays&amp;"D")</f>
        <v>55151</v>
      </c>
      <c r="X2333" s="200">
        <v>2.4193093970896241E-2</v>
      </c>
      <c r="Y2333" s="209">
        <v>2.4046917448563576E-2</v>
      </c>
    </row>
    <row r="2334" spans="21:25" x14ac:dyDescent="0.2">
      <c r="U2334" s="213" t="str">
        <f t="shared" si="40"/>
        <v>1w</v>
      </c>
      <c r="V2334" s="201">
        <f>_xll.qlCalendarAdvance(Calendar,V2333,U2334,"f",FALSE)</f>
        <v>55156</v>
      </c>
      <c r="W2334" s="225">
        <f>_xll.qlCalendarAdvance(Calendar,V2334,NDays&amp;"D")</f>
        <v>55158</v>
      </c>
      <c r="X2334" s="200">
        <v>2.4192137392403393E-2</v>
      </c>
      <c r="Y2334" s="209">
        <v>2.4047254693195796E-2</v>
      </c>
    </row>
    <row r="2335" spans="21:25" x14ac:dyDescent="0.2">
      <c r="U2335" s="213" t="str">
        <f t="shared" si="40"/>
        <v>1w</v>
      </c>
      <c r="V2335" s="201">
        <f>_xll.qlCalendarAdvance(Calendar,V2334,U2335,"f",FALSE)</f>
        <v>55163</v>
      </c>
      <c r="W2335" s="225">
        <f>_xll.qlCalendarAdvance(Calendar,V2335,NDays&amp;"D")</f>
        <v>55165</v>
      </c>
      <c r="X2335" s="200">
        <v>2.4191927544638149E-2</v>
      </c>
      <c r="Y2335" s="209">
        <v>2.4047552637824765E-2</v>
      </c>
    </row>
    <row r="2336" spans="21:25" x14ac:dyDescent="0.2">
      <c r="U2336" s="213" t="str">
        <f t="shared" si="40"/>
        <v>1w</v>
      </c>
      <c r="V2336" s="201">
        <f>_xll.qlCalendarAdvance(Calendar,V2335,U2336,"f",FALSE)</f>
        <v>55170</v>
      </c>
      <c r="W2336" s="225">
        <f>_xll.qlCalendarAdvance(Calendar,V2336,NDays&amp;"D")</f>
        <v>55172</v>
      </c>
      <c r="X2336" s="200">
        <v>2.4191677921634337E-2</v>
      </c>
      <c r="Y2336" s="209">
        <v>2.404781128269029E-2</v>
      </c>
    </row>
    <row r="2337" spans="21:25" x14ac:dyDescent="0.2">
      <c r="U2337" s="213" t="str">
        <f t="shared" si="40"/>
        <v>1w</v>
      </c>
      <c r="V2337" s="201">
        <f>_xll.qlCalendarAdvance(Calendar,V2336,U2337,"f",FALSE)</f>
        <v>55177</v>
      </c>
      <c r="W2337" s="225">
        <f>_xll.qlCalendarAdvance(Calendar,V2337,NDays&amp;"D")</f>
        <v>55179</v>
      </c>
      <c r="X2337" s="200">
        <v>2.4191388523404755E-2</v>
      </c>
      <c r="Y2337" s="209">
        <v>2.4048030627552563E-2</v>
      </c>
    </row>
    <row r="2338" spans="21:25" x14ac:dyDescent="0.2">
      <c r="U2338" s="213" t="str">
        <f t="shared" si="40"/>
        <v>1w</v>
      </c>
      <c r="V2338" s="201">
        <f>_xll.qlCalendarAdvance(Calendar,V2337,U2338,"f",FALSE)</f>
        <v>55184</v>
      </c>
      <c r="W2338" s="225">
        <f>_xll.qlCalendarAdvance(Calendar,V2338,NDays&amp;"D")</f>
        <v>55186</v>
      </c>
      <c r="X2338" s="200">
        <v>2.4191059349967518E-2</v>
      </c>
      <c r="Y2338" s="209">
        <v>2.4048210672491521E-2</v>
      </c>
    </row>
    <row r="2339" spans="21:25" x14ac:dyDescent="0.2">
      <c r="U2339" s="213" t="str">
        <f t="shared" si="40"/>
        <v>1w</v>
      </c>
      <c r="V2339" s="201">
        <f>_xll.qlCalendarAdvance(Calendar,V2338,U2339,"f",FALSE)</f>
        <v>55191</v>
      </c>
      <c r="W2339" s="225">
        <f>_xll.qlCalendarAdvance(Calendar,V2339,NDays&amp;"D")</f>
        <v>55193</v>
      </c>
      <c r="X2339" s="200">
        <v>2.4190690401342498E-2</v>
      </c>
      <c r="Y2339" s="209">
        <v>2.4048351417587099E-2</v>
      </c>
    </row>
    <row r="2340" spans="21:25" x14ac:dyDescent="0.2">
      <c r="U2340" s="213" t="str">
        <f t="shared" si="40"/>
        <v>1w</v>
      </c>
      <c r="V2340" s="201">
        <f>_xll.qlCalendarAdvance(Calendar,V2339,U2340,"f",FALSE)</f>
        <v>55198</v>
      </c>
      <c r="W2340" s="225">
        <f>_xll.qlCalendarAdvance(Calendar,V2340,NDays&amp;"D")</f>
        <v>55200</v>
      </c>
      <c r="X2340" s="200">
        <v>2.4190281677551332E-2</v>
      </c>
      <c r="Y2340" s="209">
        <v>2.4048452862839298E-2</v>
      </c>
    </row>
    <row r="2341" spans="21:25" x14ac:dyDescent="0.2">
      <c r="U2341" s="213" t="str">
        <f t="shared" si="40"/>
        <v>1w</v>
      </c>
      <c r="V2341" s="201">
        <f>_xll.qlCalendarAdvance(Calendar,V2340,U2341,"f",FALSE)</f>
        <v>55205</v>
      </c>
      <c r="W2341" s="225">
        <f>_xll.qlCalendarAdvance(Calendar,V2341,NDays&amp;"D")</f>
        <v>55207</v>
      </c>
      <c r="X2341" s="200">
        <v>2.4189833178617871E-2</v>
      </c>
      <c r="Y2341" s="209">
        <v>2.4048515008088245E-2</v>
      </c>
    </row>
    <row r="2342" spans="21:25" x14ac:dyDescent="0.2">
      <c r="U2342" s="213" t="str">
        <f t="shared" si="40"/>
        <v>1w</v>
      </c>
      <c r="V2342" s="201">
        <f>_xll.qlCalendarAdvance(Calendar,V2341,U2342,"f",FALSE)</f>
        <v>55212</v>
      </c>
      <c r="W2342" s="225">
        <f>_xll.qlCalendarAdvance(Calendar,V2342,NDays&amp;"D")</f>
        <v>55214</v>
      </c>
      <c r="X2342" s="200">
        <v>2.4193146176862534E-2</v>
      </c>
      <c r="Y2342" s="209">
        <v>2.404853785333394E-2</v>
      </c>
    </row>
    <row r="2343" spans="21:25" x14ac:dyDescent="0.2">
      <c r="U2343" s="213" t="str">
        <f t="shared" si="40"/>
        <v>1w</v>
      </c>
      <c r="V2343" s="201">
        <f>_xll.qlCalendarAdvance(Calendar,V2342,U2343,"f",FALSE)</f>
        <v>55219</v>
      </c>
      <c r="W2343" s="225">
        <f>_xll.qlCalendarAdvance(Calendar,V2343,NDays&amp;"D")</f>
        <v>55221</v>
      </c>
      <c r="X2343" s="200">
        <v>2.4192603741258575E-2</v>
      </c>
      <c r="Y2343" s="209">
        <v>2.4048521398816192E-2</v>
      </c>
    </row>
    <row r="2344" spans="21:25" x14ac:dyDescent="0.2">
      <c r="U2344" s="213" t="str">
        <f t="shared" si="40"/>
        <v>1w</v>
      </c>
      <c r="V2344" s="201">
        <f>_xll.qlCalendarAdvance(Calendar,V2343,U2344,"f",FALSE)</f>
        <v>55226</v>
      </c>
      <c r="W2344" s="225">
        <f>_xll.qlCalendarAdvance(Calendar,V2344,NDays&amp;"D")</f>
        <v>55228</v>
      </c>
      <c r="X2344" s="200">
        <v>2.4192021517331869E-2</v>
      </c>
      <c r="Y2344" s="209">
        <v>2.4048465644295192E-2</v>
      </c>
    </row>
    <row r="2345" spans="21:25" x14ac:dyDescent="0.2">
      <c r="U2345" s="213" t="str">
        <f t="shared" si="40"/>
        <v>1w</v>
      </c>
      <c r="V2345" s="201">
        <f>_xll.qlCalendarAdvance(Calendar,V2344,U2345,"f",FALSE)</f>
        <v>55233</v>
      </c>
      <c r="W2345" s="225">
        <f>_xll.qlCalendarAdvance(Calendar,V2345,NDays&amp;"D")</f>
        <v>55235</v>
      </c>
      <c r="X2345" s="200">
        <v>2.4191399505118092E-2</v>
      </c>
      <c r="Y2345" s="209">
        <v>2.4048370589850876E-2</v>
      </c>
    </row>
    <row r="2346" spans="21:25" x14ac:dyDescent="0.2">
      <c r="U2346" s="213" t="str">
        <f t="shared" si="40"/>
        <v>1w</v>
      </c>
      <c r="V2346" s="201">
        <f>_xll.qlCalendarAdvance(Calendar,V2345,U2346,"f",FALSE)</f>
        <v>55240</v>
      </c>
      <c r="W2346" s="225">
        <f>_xll.qlCalendarAdvance(Calendar,V2346,NDays&amp;"D")</f>
        <v>55242</v>
      </c>
      <c r="X2346" s="200">
        <v>2.4188492244476834E-2</v>
      </c>
      <c r="Y2346" s="209">
        <v>2.4051402906408725E-2</v>
      </c>
    </row>
    <row r="2347" spans="21:25" x14ac:dyDescent="0.2">
      <c r="U2347" s="213" t="str">
        <f t="shared" si="40"/>
        <v>1w</v>
      </c>
      <c r="V2347" s="201">
        <f>_xll.qlCalendarAdvance(Calendar,V2346,U2347,"f",FALSE)</f>
        <v>55247</v>
      </c>
      <c r="W2347" s="225">
        <f>_xll.qlCalendarAdvance(Calendar,V2347,NDays&amp;"D")</f>
        <v>55249</v>
      </c>
      <c r="X2347" s="200">
        <v>2.4187799320668012E-2</v>
      </c>
      <c r="Y2347" s="209">
        <v>2.4048062581432106E-2</v>
      </c>
    </row>
    <row r="2348" spans="21:25" x14ac:dyDescent="0.2">
      <c r="U2348" s="213" t="str">
        <f t="shared" si="40"/>
        <v>1w</v>
      </c>
      <c r="V2348" s="201">
        <f>_xll.qlCalendarAdvance(Calendar,V2347,U2348,"f",FALSE)</f>
        <v>55254</v>
      </c>
      <c r="W2348" s="225">
        <f>_xll.qlCalendarAdvance(Calendar,V2348,NDays&amp;"D")</f>
        <v>55256</v>
      </c>
      <c r="X2348" s="200">
        <v>2.4187066616649024E-2</v>
      </c>
      <c r="Y2348" s="209">
        <v>2.4047849627297779E-2</v>
      </c>
    </row>
    <row r="2349" spans="21:25" x14ac:dyDescent="0.2">
      <c r="U2349" s="213" t="str">
        <f t="shared" si="40"/>
        <v>1w</v>
      </c>
      <c r="V2349" s="201">
        <f>_xll.qlCalendarAdvance(Calendar,V2348,U2349,"f",FALSE)</f>
        <v>55261</v>
      </c>
      <c r="W2349" s="225">
        <f>_xll.qlCalendarAdvance(Calendar,V2349,NDays&amp;"D")</f>
        <v>55263</v>
      </c>
      <c r="X2349" s="200">
        <v>2.4186294132463992E-2</v>
      </c>
      <c r="Y2349" s="209">
        <v>2.4047597373160201E-2</v>
      </c>
    </row>
    <row r="2350" spans="21:25" x14ac:dyDescent="0.2">
      <c r="U2350" s="213" t="str">
        <f t="shared" si="40"/>
        <v>1w</v>
      </c>
      <c r="V2350" s="201">
        <f>_xll.qlCalendarAdvance(Calendar,V2349,U2350,"f",FALSE)</f>
        <v>55268</v>
      </c>
      <c r="W2350" s="225">
        <f>_xll.qlCalendarAdvance(Calendar,V2350,NDays&amp;"D")</f>
        <v>55270</v>
      </c>
      <c r="X2350" s="200">
        <v>2.4185481868159647E-2</v>
      </c>
      <c r="Y2350" s="209">
        <v>2.4047305819259179E-2</v>
      </c>
    </row>
    <row r="2351" spans="21:25" x14ac:dyDescent="0.2">
      <c r="U2351" s="213" t="str">
        <f t="shared" si="40"/>
        <v>1w</v>
      </c>
      <c r="V2351" s="201">
        <f>_xll.qlCalendarAdvance(Calendar,V2350,U2351,"f",FALSE)</f>
        <v>55275</v>
      </c>
      <c r="W2351" s="225">
        <f>_xll.qlCalendarAdvance(Calendar,V2351,NDays&amp;"D")</f>
        <v>55277</v>
      </c>
      <c r="X2351" s="200">
        <v>2.4186831880110834E-2</v>
      </c>
      <c r="Y2351" s="209">
        <v>2.4046974965354906E-2</v>
      </c>
    </row>
    <row r="2352" spans="21:25" x14ac:dyDescent="0.2">
      <c r="U2352" s="213" t="str">
        <f t="shared" si="40"/>
        <v>1w</v>
      </c>
      <c r="V2352" s="201">
        <f>_xll.qlCalendarAdvance(Calendar,V2351,U2352,"f",FALSE)</f>
        <v>55282</v>
      </c>
      <c r="W2352" s="225">
        <f>_xll.qlCalendarAdvance(Calendar,V2352,NDays&amp;"D")</f>
        <v>55284</v>
      </c>
      <c r="X2352" s="200">
        <v>2.4185931351087441E-2</v>
      </c>
      <c r="Y2352" s="209">
        <v>2.4046604811607253E-2</v>
      </c>
    </row>
    <row r="2353" spans="21:25" x14ac:dyDescent="0.2">
      <c r="U2353" s="213" t="str">
        <f t="shared" si="40"/>
        <v>1w</v>
      </c>
      <c r="V2353" s="201">
        <f>_xll.qlCalendarAdvance(Calendar,V2352,U2353,"f",FALSE)</f>
        <v>55289</v>
      </c>
      <c r="W2353" s="225">
        <f>_xll.qlCalendarAdvance(Calendar,V2353,NDays&amp;"D")</f>
        <v>55291</v>
      </c>
      <c r="X2353" s="200">
        <v>2.4184991034148718E-2</v>
      </c>
      <c r="Y2353" s="209">
        <v>2.4046195357856348E-2</v>
      </c>
    </row>
    <row r="2354" spans="21:25" x14ac:dyDescent="0.2">
      <c r="U2354" s="213" t="str">
        <f t="shared" si="40"/>
        <v>1w</v>
      </c>
      <c r="V2354" s="201">
        <f>_xll.qlCalendarAdvance(Calendar,V2353,U2354,"f",FALSE)</f>
        <v>55296</v>
      </c>
      <c r="W2354" s="225">
        <f>_xll.qlCalendarAdvance(Calendar,V2354,NDays&amp;"D")</f>
        <v>55298</v>
      </c>
      <c r="X2354" s="200">
        <v>2.4184010929351827E-2</v>
      </c>
      <c r="Y2354" s="209">
        <v>2.4045746604262064E-2</v>
      </c>
    </row>
    <row r="2355" spans="21:25" x14ac:dyDescent="0.2">
      <c r="U2355" s="213" t="str">
        <f t="shared" si="40"/>
        <v>1w</v>
      </c>
      <c r="V2355" s="201">
        <f>_xll.qlCalendarAdvance(Calendar,V2354,U2355,"f",FALSE)</f>
        <v>55303</v>
      </c>
      <c r="W2355" s="225">
        <f>_xll.qlCalendarAdvance(Calendar,V2355,NDays&amp;"D")</f>
        <v>55305</v>
      </c>
      <c r="X2355" s="200">
        <v>2.4180823846630065E-2</v>
      </c>
      <c r="Y2355" s="209">
        <v>2.4045258550744464E-2</v>
      </c>
    </row>
    <row r="2356" spans="21:25" x14ac:dyDescent="0.2">
      <c r="U2356" s="213" t="str">
        <f t="shared" si="40"/>
        <v>1w</v>
      </c>
      <c r="V2356" s="201">
        <f>_xll.qlCalendarAdvance(Calendar,V2355,U2356,"f",FALSE)</f>
        <v>55310</v>
      </c>
      <c r="W2356" s="225">
        <f>_xll.qlCalendarAdvance(Calendar,V2356,NDays&amp;"D")</f>
        <v>55312</v>
      </c>
      <c r="X2356" s="200">
        <v>2.4179772902713254E-2</v>
      </c>
      <c r="Y2356" s="209">
        <v>2.4044731197303548E-2</v>
      </c>
    </row>
    <row r="2357" spans="21:25" x14ac:dyDescent="0.2">
      <c r="U2357" s="213" t="str">
        <f t="shared" si="40"/>
        <v>1w</v>
      </c>
      <c r="V2357" s="201">
        <f>_xll.qlCalendarAdvance(Calendar,V2356,U2357,"f",FALSE)</f>
        <v>55317</v>
      </c>
      <c r="W2357" s="225">
        <f>_xll.qlCalendarAdvance(Calendar,V2357,NDays&amp;"D")</f>
        <v>55319</v>
      </c>
      <c r="X2357" s="200">
        <v>2.4178682179068517E-2</v>
      </c>
      <c r="Y2357" s="209">
        <v>2.4044164543939317E-2</v>
      </c>
    </row>
    <row r="2358" spans="21:25" x14ac:dyDescent="0.2">
      <c r="U2358" s="213" t="str">
        <f t="shared" si="40"/>
        <v>1w</v>
      </c>
      <c r="V2358" s="201">
        <f>_xll.qlCalendarAdvance(Calendar,V2357,U2358,"f",FALSE)</f>
        <v>55324</v>
      </c>
      <c r="W2358" s="225">
        <f>_xll.qlCalendarAdvance(Calendar,V2358,NDays&amp;"D")</f>
        <v>55326</v>
      </c>
      <c r="X2358" s="200">
        <v>2.4177551675760064E-2</v>
      </c>
      <c r="Y2358" s="209">
        <v>2.4043558590811642E-2</v>
      </c>
    </row>
    <row r="2359" spans="21:25" x14ac:dyDescent="0.2">
      <c r="U2359" s="213" t="str">
        <f t="shared" si="40"/>
        <v>1w</v>
      </c>
      <c r="V2359" s="201">
        <f>_xll.qlCalendarAdvance(Calendar,V2358,U2359,"f",FALSE)</f>
        <v>55331</v>
      </c>
      <c r="W2359" s="225">
        <f>_xll.qlCalendarAdvance(Calendar,V2359,NDays&amp;"D")</f>
        <v>55333</v>
      </c>
      <c r="X2359" s="200">
        <v>2.4176381392855602E-2</v>
      </c>
      <c r="Y2359" s="209">
        <v>2.404291333760078E-2</v>
      </c>
    </row>
    <row r="2360" spans="21:25" x14ac:dyDescent="0.2">
      <c r="U2360" s="213" t="str">
        <f t="shared" si="40"/>
        <v>1w</v>
      </c>
      <c r="V2360" s="201">
        <f>_xll.qlCalendarAdvance(Calendar,V2359,U2360,"f",FALSE)</f>
        <v>55338</v>
      </c>
      <c r="W2360" s="225">
        <f>_xll.qlCalendarAdvance(Calendar,V2360,NDays&amp;"D")</f>
        <v>55340</v>
      </c>
      <c r="X2360" s="200">
        <v>2.4177294759054502E-2</v>
      </c>
      <c r="Y2360" s="209">
        <v>2.4042228784466602E-2</v>
      </c>
    </row>
    <row r="2361" spans="21:25" x14ac:dyDescent="0.2">
      <c r="U2361" s="213" t="str">
        <f t="shared" si="40"/>
        <v>1w</v>
      </c>
      <c r="V2361" s="201">
        <f>_xll.qlCalendarAdvance(Calendar,V2360,U2361,"f",FALSE)</f>
        <v>55345</v>
      </c>
      <c r="W2361" s="225">
        <f>_xll.qlCalendarAdvance(Calendar,V2361,NDays&amp;"D")</f>
        <v>55347</v>
      </c>
      <c r="X2361" s="200">
        <v>2.4176036141056293E-2</v>
      </c>
      <c r="Y2361" s="209">
        <v>2.404150493156898E-2</v>
      </c>
    </row>
    <row r="2362" spans="21:25" x14ac:dyDescent="0.2">
      <c r="U2362" s="213" t="str">
        <f t="shared" si="40"/>
        <v>1w</v>
      </c>
      <c r="V2362" s="201">
        <f>_xll.qlCalendarAdvance(Calendar,V2361,U2362,"f",FALSE)</f>
        <v>55352</v>
      </c>
      <c r="W2362" s="225">
        <f>_xll.qlCalendarAdvance(Calendar,V2362,NDays&amp;"D")</f>
        <v>55354</v>
      </c>
      <c r="X2362" s="200">
        <v>2.4174737735744422E-2</v>
      </c>
      <c r="Y2362" s="209">
        <v>2.4040741778668107E-2</v>
      </c>
    </row>
    <row r="2363" spans="21:25" x14ac:dyDescent="0.2">
      <c r="U2363" s="213" t="str">
        <f t="shared" si="40"/>
        <v>1w</v>
      </c>
      <c r="V2363" s="201">
        <f>_xll.qlCalendarAdvance(Calendar,V2362,U2363,"f",FALSE)</f>
        <v>55359</v>
      </c>
      <c r="W2363" s="225">
        <f>_xll.qlCalendarAdvance(Calendar,V2363,NDays&amp;"D")</f>
        <v>55361</v>
      </c>
      <c r="X2363" s="200">
        <v>2.4173399543198831E-2</v>
      </c>
      <c r="Y2363" s="209">
        <v>2.4039939325923854E-2</v>
      </c>
    </row>
    <row r="2364" spans="21:25" x14ac:dyDescent="0.2">
      <c r="U2364" s="213" t="str">
        <f t="shared" si="40"/>
        <v>1w</v>
      </c>
      <c r="V2364" s="201">
        <f>_xll.qlCalendarAdvance(Calendar,V2363,U2364,"f",FALSE)</f>
        <v>55366</v>
      </c>
      <c r="W2364" s="225">
        <f>_xll.qlCalendarAdvance(Calendar,V2364,NDays&amp;"D")</f>
        <v>55368</v>
      </c>
      <c r="X2364" s="200">
        <v>2.4172021563500314E-2</v>
      </c>
      <c r="Y2364" s="209">
        <v>2.4039097573096413E-2</v>
      </c>
    </row>
    <row r="2365" spans="21:25" x14ac:dyDescent="0.2">
      <c r="U2365" s="213" t="str">
        <f t="shared" si="40"/>
        <v>1w</v>
      </c>
      <c r="V2365" s="201">
        <f>_xll.qlCalendarAdvance(Calendar,V2364,U2365,"f",FALSE)</f>
        <v>55373</v>
      </c>
      <c r="W2365" s="225">
        <f>_xll.qlCalendarAdvance(Calendar,V2365,NDays&amp;"D")</f>
        <v>55375</v>
      </c>
      <c r="X2365" s="200">
        <v>2.4170603796734819E-2</v>
      </c>
      <c r="Y2365" s="209">
        <v>2.4038216520585465E-2</v>
      </c>
    </row>
    <row r="2366" spans="21:25" x14ac:dyDescent="0.2">
      <c r="U2366" s="213" t="str">
        <f t="shared" si="40"/>
        <v>1w</v>
      </c>
      <c r="V2366" s="201">
        <f>_xll.qlCalendarAdvance(Calendar,V2365,U2366,"f",FALSE)</f>
        <v>55380</v>
      </c>
      <c r="W2366" s="225">
        <f>_xll.qlCalendarAdvance(Calendar,V2366,NDays&amp;"D")</f>
        <v>55382</v>
      </c>
      <c r="X2366" s="200">
        <v>2.4169146242986154E-2</v>
      </c>
      <c r="Y2366" s="209">
        <v>2.4037296168071265E-2</v>
      </c>
    </row>
    <row r="2367" spans="21:25" x14ac:dyDescent="0.2">
      <c r="U2367" s="213" t="str">
        <f t="shared" si="40"/>
        <v>1w</v>
      </c>
      <c r="V2367" s="201">
        <f>_xll.qlCalendarAdvance(Calendar,V2366,U2367,"f",FALSE)</f>
        <v>55387</v>
      </c>
      <c r="W2367" s="225">
        <f>_xll.qlCalendarAdvance(Calendar,V2367,NDays&amp;"D")</f>
        <v>55389</v>
      </c>
      <c r="X2367" s="200">
        <v>2.416764890234414E-2</v>
      </c>
      <c r="Y2367" s="209">
        <v>2.4036336515553813E-2</v>
      </c>
    </row>
    <row r="2368" spans="21:25" x14ac:dyDescent="0.2">
      <c r="U2368" s="213" t="str">
        <f t="shared" si="40"/>
        <v>1w</v>
      </c>
      <c r="V2368" s="201">
        <f>_xll.qlCalendarAdvance(Calendar,V2367,U2368,"f",FALSE)</f>
        <v>55394</v>
      </c>
      <c r="W2368" s="225">
        <f>_xll.qlCalendarAdvance(Calendar,V2368,NDays&amp;"D")</f>
        <v>55396</v>
      </c>
      <c r="X2368" s="200">
        <v>2.4163373942548014E-2</v>
      </c>
      <c r="Y2368" s="209">
        <v>2.4035337563272918E-2</v>
      </c>
    </row>
    <row r="2369" spans="21:25" x14ac:dyDescent="0.2">
      <c r="U2369" s="213" t="str">
        <f t="shared" si="40"/>
        <v>1w</v>
      </c>
      <c r="V2369" s="201">
        <f>_xll.qlCalendarAdvance(Calendar,V2368,U2369,"f",FALSE)</f>
        <v>55401</v>
      </c>
      <c r="W2369" s="225">
        <f>_xll.qlCalendarAdvance(Calendar,V2369,NDays&amp;"D")</f>
        <v>55403</v>
      </c>
      <c r="X2369" s="200">
        <v>2.4161808813682382E-2</v>
      </c>
      <c r="Y2369" s="209">
        <v>2.4034299311068708E-2</v>
      </c>
    </row>
    <row r="2370" spans="21:25" x14ac:dyDescent="0.2">
      <c r="U2370" s="213" t="str">
        <f t="shared" si="40"/>
        <v>1w</v>
      </c>
      <c r="V2370" s="201">
        <f>_xll.qlCalendarAdvance(Calendar,V2369,U2370,"f",FALSE)</f>
        <v>55408</v>
      </c>
      <c r="W2370" s="225">
        <f>_xll.qlCalendarAdvance(Calendar,V2370,NDays&amp;"D")</f>
        <v>55410</v>
      </c>
      <c r="X2370" s="200">
        <v>2.4160203908763531E-2</v>
      </c>
      <c r="Y2370" s="209">
        <v>2.4033221758861245E-2</v>
      </c>
    </row>
    <row r="2371" spans="21:25" x14ac:dyDescent="0.2">
      <c r="U2371" s="213" t="str">
        <f t="shared" si="40"/>
        <v>1w</v>
      </c>
      <c r="V2371" s="201">
        <f>_xll.qlCalendarAdvance(Calendar,V2370,U2371,"f",FALSE)</f>
        <v>55415</v>
      </c>
      <c r="W2371" s="225">
        <f>_xll.qlCalendarAdvance(Calendar,V2371,NDays&amp;"D")</f>
        <v>55417</v>
      </c>
      <c r="X2371" s="200">
        <v>2.4158559227886327E-2</v>
      </c>
      <c r="Y2371" s="209">
        <v>2.4032104906730467E-2</v>
      </c>
    </row>
    <row r="2372" spans="21:25" x14ac:dyDescent="0.2">
      <c r="U2372" s="213" t="str">
        <f t="shared" si="40"/>
        <v>1w</v>
      </c>
      <c r="V2372" s="201">
        <f>_xll.qlCalendarAdvance(Calendar,V2371,U2372,"f",FALSE)</f>
        <v>55422</v>
      </c>
      <c r="W2372" s="225">
        <f>_xll.qlCalendarAdvance(Calendar,V2372,NDays&amp;"D")</f>
        <v>55424</v>
      </c>
      <c r="X2372" s="200">
        <v>2.4156874771149597E-2</v>
      </c>
      <c r="Y2372" s="209">
        <v>2.4030948754836245E-2</v>
      </c>
    </row>
    <row r="2373" spans="21:25" x14ac:dyDescent="0.2">
      <c r="U2373" s="213" t="str">
        <f t="shared" si="40"/>
        <v>1w</v>
      </c>
      <c r="V2373" s="201">
        <f>_xll.qlCalendarAdvance(Calendar,V2372,U2373,"f",FALSE)</f>
        <v>55429</v>
      </c>
      <c r="W2373" s="225">
        <f>_xll.qlCalendarAdvance(Calendar,V2373,NDays&amp;"D")</f>
        <v>55431</v>
      </c>
      <c r="X2373" s="200">
        <v>2.4155820618261454E-2</v>
      </c>
      <c r="Y2373" s="209">
        <v>2.4029753302938772E-2</v>
      </c>
    </row>
    <row r="2374" spans="21:25" x14ac:dyDescent="0.2">
      <c r="U2374" s="213" t="str">
        <f t="shared" si="40"/>
        <v>1w</v>
      </c>
      <c r="V2374" s="201">
        <f>_xll.qlCalendarAdvance(Calendar,V2373,U2374,"f",FALSE)</f>
        <v>55436</v>
      </c>
      <c r="W2374" s="225">
        <f>_xll.qlCalendarAdvance(Calendar,V2374,NDays&amp;"D")</f>
        <v>55438</v>
      </c>
      <c r="X2374" s="200">
        <v>2.4154053651172087E-2</v>
      </c>
      <c r="Y2374" s="209">
        <v>2.4028518551117983E-2</v>
      </c>
    </row>
    <row r="2375" spans="21:25" x14ac:dyDescent="0.2">
      <c r="U2375" s="213" t="str">
        <f t="shared" si="40"/>
        <v>1w</v>
      </c>
      <c r="V2375" s="201">
        <f>_xll.qlCalendarAdvance(Calendar,V2374,U2375,"f",FALSE)</f>
        <v>55443</v>
      </c>
      <c r="W2375" s="225">
        <f>_xll.qlCalendarAdvance(Calendar,V2375,NDays&amp;"D")</f>
        <v>55445</v>
      </c>
      <c r="X2375" s="200">
        <v>2.4154901004298807E-2</v>
      </c>
      <c r="Y2375" s="209">
        <v>2.4027244499453815E-2</v>
      </c>
    </row>
    <row r="2376" spans="21:25" x14ac:dyDescent="0.2">
      <c r="U2376" s="213" t="str">
        <f t="shared" si="40"/>
        <v>1w</v>
      </c>
      <c r="V2376" s="201">
        <f>_xll.qlCalendarAdvance(Calendar,V2375,U2376,"f",FALSE)</f>
        <v>55450</v>
      </c>
      <c r="W2376" s="225">
        <f>_xll.qlCalendarAdvance(Calendar,V2376,NDays&amp;"D")</f>
        <v>55452</v>
      </c>
      <c r="X2376" s="200">
        <v>2.4150400382541088E-2</v>
      </c>
      <c r="Y2376" s="209">
        <v>2.4025931147946267E-2</v>
      </c>
    </row>
    <row r="2377" spans="21:25" x14ac:dyDescent="0.2">
      <c r="U2377" s="213" t="str">
        <f t="shared" si="40"/>
        <v>1w</v>
      </c>
      <c r="V2377" s="201">
        <f>_xll.qlCalendarAdvance(Calendar,V2376,U2377,"f",FALSE)</f>
        <v>55457</v>
      </c>
      <c r="W2377" s="225">
        <f>_xll.qlCalendarAdvance(Calendar,V2377,NDays&amp;"D")</f>
        <v>55459</v>
      </c>
      <c r="X2377" s="200">
        <v>2.4147855853165728E-2</v>
      </c>
      <c r="Y2377" s="209">
        <v>2.4024578496435467E-2</v>
      </c>
    </row>
    <row r="2378" spans="21:25" x14ac:dyDescent="0.2">
      <c r="U2378" s="213" t="str">
        <f t="shared" si="40"/>
        <v>1w</v>
      </c>
      <c r="V2378" s="201">
        <f>_xll.qlCalendarAdvance(Calendar,V2377,U2378,"f",FALSE)</f>
        <v>55464</v>
      </c>
      <c r="W2378" s="225">
        <f>_xll.qlCalendarAdvance(Calendar,V2378,NDays&amp;"D")</f>
        <v>55466</v>
      </c>
      <c r="X2378" s="200">
        <v>2.414593274346084E-2</v>
      </c>
      <c r="Y2378" s="209">
        <v>2.4023186545001352E-2</v>
      </c>
    </row>
    <row r="2379" spans="21:25" x14ac:dyDescent="0.2">
      <c r="U2379" s="213" t="str">
        <f t="shared" si="40"/>
        <v>1w</v>
      </c>
      <c r="V2379" s="201">
        <f>_xll.qlCalendarAdvance(Calendar,V2378,U2379,"f",FALSE)</f>
        <v>55471</v>
      </c>
      <c r="W2379" s="225">
        <f>_xll.qlCalendarAdvance(Calendar,V2379,NDays&amp;"D")</f>
        <v>55473</v>
      </c>
      <c r="X2379" s="200">
        <v>2.4143969858649226E-2</v>
      </c>
      <c r="Y2379" s="209">
        <v>2.4021755293723857E-2</v>
      </c>
    </row>
    <row r="2380" spans="21:25" x14ac:dyDescent="0.2">
      <c r="U2380" s="213" t="str">
        <f t="shared" si="40"/>
        <v>1w</v>
      </c>
      <c r="V2380" s="201">
        <f>_xll.qlCalendarAdvance(Calendar,V2379,U2380,"f",FALSE)</f>
        <v>55478</v>
      </c>
      <c r="W2380" s="225">
        <f>_xll.qlCalendarAdvance(Calendar,V2380,NDays&amp;"D")</f>
        <v>55480</v>
      </c>
      <c r="X2380" s="200">
        <v>2.4141967198846839E-2</v>
      </c>
      <c r="Y2380" s="209">
        <v>2.4020284742523046E-2</v>
      </c>
    </row>
    <row r="2381" spans="21:25" x14ac:dyDescent="0.2">
      <c r="U2381" s="213" t="str">
        <f t="shared" si="40"/>
        <v>1w</v>
      </c>
      <c r="V2381" s="201">
        <f>_xll.qlCalendarAdvance(Calendar,V2380,U2381,"f",FALSE)</f>
        <v>55485</v>
      </c>
      <c r="W2381" s="225">
        <f>_xll.qlCalendarAdvance(Calendar,V2381,NDays&amp;"D")</f>
        <v>55487</v>
      </c>
      <c r="X2381" s="200">
        <v>2.4140571098532727E-2</v>
      </c>
      <c r="Y2381" s="209">
        <v>2.401877489139892E-2</v>
      </c>
    </row>
    <row r="2382" spans="21:25" x14ac:dyDescent="0.2">
      <c r="U2382" s="213" t="str">
        <f t="shared" si="40"/>
        <v>1w</v>
      </c>
      <c r="V2382" s="201">
        <f>_xll.qlCalendarAdvance(Calendar,V2381,U2382,"f",FALSE)</f>
        <v>55492</v>
      </c>
      <c r="W2382" s="225">
        <f>_xll.qlCalendarAdvance(Calendar,V2382,NDays&amp;"D")</f>
        <v>55494</v>
      </c>
      <c r="X2382" s="200">
        <v>2.4138485909109195E-2</v>
      </c>
      <c r="Y2382" s="209">
        <v>2.4017225740351478E-2</v>
      </c>
    </row>
    <row r="2383" spans="21:25" x14ac:dyDescent="0.2">
      <c r="U2383" s="213" t="str">
        <f t="shared" si="40"/>
        <v>1w</v>
      </c>
      <c r="V2383" s="201">
        <f>_xll.qlCalendarAdvance(Calendar,V2382,U2383,"f",FALSE)</f>
        <v>55499</v>
      </c>
      <c r="W2383" s="225">
        <f>_xll.qlCalendarAdvance(Calendar,V2383,NDays&amp;"D")</f>
        <v>55501</v>
      </c>
      <c r="X2383" s="200">
        <v>2.4136360942430948E-2</v>
      </c>
      <c r="Y2383" s="209">
        <v>2.4015637289540592E-2</v>
      </c>
    </row>
    <row r="2384" spans="21:25" x14ac:dyDescent="0.2">
      <c r="U2384" s="213" t="str">
        <f t="shared" si="40"/>
        <v>1w</v>
      </c>
      <c r="V2384" s="201">
        <f>_xll.qlCalendarAdvance(Calendar,V2383,U2384,"f",FALSE)</f>
        <v>55506</v>
      </c>
      <c r="W2384" s="225">
        <f>_xll.qlCalendarAdvance(Calendar,V2384,NDays&amp;"D")</f>
        <v>55508</v>
      </c>
      <c r="X2384" s="200">
        <v>2.413419619862597E-2</v>
      </c>
      <c r="Y2384" s="209">
        <v>2.4014009538726455E-2</v>
      </c>
    </row>
    <row r="2385" spans="21:25" x14ac:dyDescent="0.2">
      <c r="U2385" s="213" t="str">
        <f t="shared" si="40"/>
        <v>1w</v>
      </c>
      <c r="V2385" s="201">
        <f>_xll.qlCalendarAdvance(Calendar,V2384,U2385,"f",FALSE)</f>
        <v>55514</v>
      </c>
      <c r="W2385" s="225">
        <f>_xll.qlCalendarAdvance(Calendar,V2385,NDays&amp;"D")</f>
        <v>55516</v>
      </c>
      <c r="X2385" s="200">
        <v>2.4131039527660447E-2</v>
      </c>
      <c r="Y2385" s="209">
        <v>2.4014139542054558E-2</v>
      </c>
    </row>
    <row r="2386" spans="21:25" x14ac:dyDescent="0.2">
      <c r="U2386" s="213" t="str">
        <f t="shared" si="40"/>
        <v>1w</v>
      </c>
      <c r="V2386" s="201">
        <f>_xll.qlCalendarAdvance(Calendar,V2385,U2386,"f",FALSE)</f>
        <v>55521</v>
      </c>
      <c r="W2386" s="225">
        <f>_xll.qlCalendarAdvance(Calendar,V2386,NDays&amp;"D")</f>
        <v>55523</v>
      </c>
      <c r="X2386" s="200">
        <v>2.4128792538482866E-2</v>
      </c>
      <c r="Y2386" s="209">
        <v>2.4011742510960943E-2</v>
      </c>
    </row>
    <row r="2387" spans="21:25" x14ac:dyDescent="0.2">
      <c r="U2387" s="213" t="str">
        <f t="shared" si="40"/>
        <v>1w</v>
      </c>
      <c r="V2387" s="201">
        <f>_xll.qlCalendarAdvance(Calendar,V2386,U2387,"f",FALSE)</f>
        <v>55528</v>
      </c>
      <c r="W2387" s="225">
        <f>_xll.qlCalendarAdvance(Calendar,V2387,NDays&amp;"D")</f>
        <v>55530</v>
      </c>
      <c r="X2387" s="200">
        <v>2.4126505775219281E-2</v>
      </c>
      <c r="Y2387" s="209">
        <v>2.4009985397546174E-2</v>
      </c>
    </row>
    <row r="2388" spans="21:25" x14ac:dyDescent="0.2">
      <c r="U2388" s="213" t="str">
        <f t="shared" si="40"/>
        <v>1w</v>
      </c>
      <c r="V2388" s="201">
        <f>_xll.qlCalendarAdvance(Calendar,V2387,U2388,"f",FALSE)</f>
        <v>55535</v>
      </c>
      <c r="W2388" s="225">
        <f>_xll.qlCalendarAdvance(Calendar,V2388,NDays&amp;"D")</f>
        <v>55537</v>
      </c>
      <c r="X2388" s="200">
        <v>2.412417923800585E-2</v>
      </c>
      <c r="Y2388" s="209">
        <v>2.4008188979012246E-2</v>
      </c>
    </row>
    <row r="2389" spans="21:25" x14ac:dyDescent="0.2">
      <c r="U2389" s="213" t="str">
        <f t="shared" ref="U2389:U2452" si="41">U2388</f>
        <v>1w</v>
      </c>
      <c r="V2389" s="201">
        <f>_xll.qlCalendarAdvance(Calendar,V2388,U2389,"f",FALSE)</f>
        <v>55542</v>
      </c>
      <c r="W2389" s="225">
        <f>_xll.qlCalendarAdvance(Calendar,V2389,NDays&amp;"D")</f>
        <v>55544</v>
      </c>
      <c r="X2389" s="200">
        <v>2.4121812926982678E-2</v>
      </c>
      <c r="Y2389" s="209">
        <v>2.4006353255359159E-2</v>
      </c>
    </row>
    <row r="2390" spans="21:25" x14ac:dyDescent="0.2">
      <c r="U2390" s="213" t="str">
        <f t="shared" si="41"/>
        <v>1w</v>
      </c>
      <c r="V2390" s="201">
        <f>_xll.qlCalendarAdvance(Calendar,V2389,U2390,"f",FALSE)</f>
        <v>55549</v>
      </c>
      <c r="W2390" s="225">
        <f>_xll.qlCalendarAdvance(Calendar,V2390,NDays&amp;"D")</f>
        <v>55551</v>
      </c>
      <c r="X2390" s="200">
        <v>2.4119406842288995E-2</v>
      </c>
      <c r="Y2390" s="209">
        <v>2.4004478226586912E-2</v>
      </c>
    </row>
    <row r="2391" spans="21:25" x14ac:dyDescent="0.2">
      <c r="U2391" s="213" t="str">
        <f t="shared" si="41"/>
        <v>1w</v>
      </c>
      <c r="V2391" s="201">
        <f>_xll.qlCalendarAdvance(Calendar,V2390,U2391,"f",FALSE)</f>
        <v>55556</v>
      </c>
      <c r="W2391" s="225">
        <f>_xll.qlCalendarAdvance(Calendar,V2391,NDays&amp;"D")</f>
        <v>55558</v>
      </c>
      <c r="X2391" s="200">
        <v>2.4116960984069302E-2</v>
      </c>
      <c r="Y2391" s="209">
        <v>2.4002563892722151E-2</v>
      </c>
    </row>
    <row r="2392" spans="21:25" x14ac:dyDescent="0.2">
      <c r="U2392" s="213" t="str">
        <f t="shared" si="41"/>
        <v>1w</v>
      </c>
      <c r="V2392" s="201">
        <f>_xll.qlCalendarAdvance(Calendar,V2391,U2392,"f",FALSE)</f>
        <v>55563</v>
      </c>
      <c r="W2392" s="225">
        <f>_xll.qlCalendarAdvance(Calendar,V2392,NDays&amp;"D")</f>
        <v>55565</v>
      </c>
      <c r="X2392" s="200">
        <v>2.4114475352468977E-2</v>
      </c>
      <c r="Y2392" s="209">
        <v>2.4000610253711585E-2</v>
      </c>
    </row>
    <row r="2393" spans="21:25" x14ac:dyDescent="0.2">
      <c r="U2393" s="213" t="str">
        <f t="shared" si="41"/>
        <v>1w</v>
      </c>
      <c r="V2393" s="201">
        <f>_xll.qlCalendarAdvance(Calendar,V2392,U2393,"f",FALSE)</f>
        <v>55570</v>
      </c>
      <c r="W2393" s="225">
        <f>_xll.qlCalendarAdvance(Calendar,V2393,NDays&amp;"D")</f>
        <v>55572</v>
      </c>
      <c r="X2393" s="200">
        <v>2.411194994763647E-2</v>
      </c>
      <c r="Y2393" s="209">
        <v>2.3998617309608505E-2</v>
      </c>
    </row>
    <row r="2394" spans="21:25" x14ac:dyDescent="0.2">
      <c r="U2394" s="213" t="str">
        <f t="shared" si="41"/>
        <v>1w</v>
      </c>
      <c r="V2394" s="201">
        <f>_xll.qlCalendarAdvance(Calendar,V2393,U2394,"f",FALSE)</f>
        <v>55577</v>
      </c>
      <c r="W2394" s="225">
        <f>_xll.qlCalendarAdvance(Calendar,V2394,NDays&amp;"D")</f>
        <v>55579</v>
      </c>
      <c r="X2394" s="200">
        <v>2.411120486352519E-2</v>
      </c>
      <c r="Y2394" s="209">
        <v>2.3996585060386266E-2</v>
      </c>
    </row>
    <row r="2395" spans="21:25" x14ac:dyDescent="0.2">
      <c r="U2395" s="213" t="str">
        <f t="shared" si="41"/>
        <v>1w</v>
      </c>
      <c r="V2395" s="201">
        <f>_xll.qlCalendarAdvance(Calendar,V2394,U2395,"f",FALSE)</f>
        <v>55584</v>
      </c>
      <c r="W2395" s="225">
        <f>_xll.qlCalendarAdvance(Calendar,V2395,NDays&amp;"D")</f>
        <v>55586</v>
      </c>
      <c r="X2395" s="200">
        <v>2.410859086806532E-2</v>
      </c>
      <c r="Y2395" s="209">
        <v>2.3994513506044868E-2</v>
      </c>
    </row>
    <row r="2396" spans="21:25" x14ac:dyDescent="0.2">
      <c r="U2396" s="213" t="str">
        <f t="shared" si="41"/>
        <v>1w</v>
      </c>
      <c r="V2396" s="201">
        <f>_xll.qlCalendarAdvance(Calendar,V2395,U2396,"f",FALSE)</f>
        <v>55591</v>
      </c>
      <c r="W2396" s="225">
        <f>_xll.qlCalendarAdvance(Calendar,V2396,NDays&amp;"D")</f>
        <v>55593</v>
      </c>
      <c r="X2396" s="200">
        <v>2.4105937091980816E-2</v>
      </c>
      <c r="Y2396" s="209">
        <v>2.399240264658431E-2</v>
      </c>
    </row>
    <row r="2397" spans="21:25" x14ac:dyDescent="0.2">
      <c r="U2397" s="213" t="str">
        <f t="shared" si="41"/>
        <v>1w</v>
      </c>
      <c r="V2397" s="201">
        <f>_xll.qlCalendarAdvance(Calendar,V2396,U2397,"f",FALSE)</f>
        <v>55598</v>
      </c>
      <c r="W2397" s="225">
        <f>_xll.qlCalendarAdvance(Calendar,V2397,NDays&amp;"D")</f>
        <v>55600</v>
      </c>
      <c r="X2397" s="200">
        <v>2.4103243535433277E-2</v>
      </c>
      <c r="Y2397" s="209">
        <v>2.3990252482031238E-2</v>
      </c>
    </row>
    <row r="2398" spans="21:25" x14ac:dyDescent="0.2">
      <c r="U2398" s="213" t="str">
        <f t="shared" si="41"/>
        <v>1w</v>
      </c>
      <c r="V2398" s="201">
        <f>_xll.qlCalendarAdvance(Calendar,V2397,U2398,"f",FALSE)</f>
        <v>55605</v>
      </c>
      <c r="W2398" s="225">
        <f>_xll.qlCalendarAdvance(Calendar,V2398,NDays&amp;"D")</f>
        <v>55607</v>
      </c>
      <c r="X2398" s="200">
        <v>2.4100510198584311E-2</v>
      </c>
      <c r="Y2398" s="209">
        <v>2.3988063012385652E-2</v>
      </c>
    </row>
    <row r="2399" spans="21:25" x14ac:dyDescent="0.2">
      <c r="U2399" s="213" t="str">
        <f t="shared" si="41"/>
        <v>1w</v>
      </c>
      <c r="V2399" s="201">
        <f>_xll.qlCalendarAdvance(Calendar,V2398,U2399,"f",FALSE)</f>
        <v>55612</v>
      </c>
      <c r="W2399" s="225">
        <f>_xll.qlCalendarAdvance(Calendar,V2399,NDays&amp;"D")</f>
        <v>55614</v>
      </c>
      <c r="X2399" s="200">
        <v>2.4097737081600266E-2</v>
      </c>
      <c r="Y2399" s="209">
        <v>2.3985834237647552E-2</v>
      </c>
    </row>
    <row r="2400" spans="21:25" x14ac:dyDescent="0.2">
      <c r="U2400" s="213" t="str">
        <f t="shared" si="41"/>
        <v>1w</v>
      </c>
      <c r="V2400" s="201">
        <f>_xll.qlCalendarAdvance(Calendar,V2399,U2400,"f",FALSE)</f>
        <v>55619</v>
      </c>
      <c r="W2400" s="225">
        <f>_xll.qlCalendarAdvance(Calendar,V2400,NDays&amp;"D")</f>
        <v>55621</v>
      </c>
      <c r="X2400" s="200">
        <v>2.4094924184649657E-2</v>
      </c>
      <c r="Y2400" s="209">
        <v>2.3983566157790293E-2</v>
      </c>
    </row>
    <row r="2401" spans="21:25" x14ac:dyDescent="0.2">
      <c r="U2401" s="213" t="str">
        <f t="shared" si="41"/>
        <v>1w</v>
      </c>
      <c r="V2401" s="201">
        <f>_xll.qlCalendarAdvance(Calendar,V2400,U2401,"f",FALSE)</f>
        <v>55626</v>
      </c>
      <c r="W2401" s="225">
        <f>_xll.qlCalendarAdvance(Calendar,V2401,NDays&amp;"D")</f>
        <v>55632</v>
      </c>
      <c r="X2401" s="200">
        <v>2.408925619873363E-2</v>
      </c>
      <c r="Y2401" s="209">
        <v>2.3978660937320484E-2</v>
      </c>
    </row>
    <row r="2402" spans="21:25" x14ac:dyDescent="0.2">
      <c r="U2402" s="213" t="str">
        <f t="shared" si="41"/>
        <v>1w</v>
      </c>
      <c r="V2402" s="201">
        <f>_xll.qlCalendarAdvance(Calendar,V2401,U2402,"f",FALSE)</f>
        <v>55633</v>
      </c>
      <c r="W2402" s="225">
        <f>_xll.qlCalendarAdvance(Calendar,V2402,NDays&amp;"D")</f>
        <v>55635</v>
      </c>
      <c r="X2402" s="200">
        <v>2.4089179051530147E-2</v>
      </c>
      <c r="Y2402" s="209">
        <v>2.3978912082771586E-2</v>
      </c>
    </row>
    <row r="2403" spans="21:25" x14ac:dyDescent="0.2">
      <c r="U2403" s="213" t="str">
        <f t="shared" si="41"/>
        <v>1w</v>
      </c>
      <c r="V2403" s="201">
        <f>_xll.qlCalendarAdvance(Calendar,V2402,U2403,"f",FALSE)</f>
        <v>55641</v>
      </c>
      <c r="W2403" s="225">
        <f>_xll.qlCalendarAdvance(Calendar,V2403,NDays&amp;"D")</f>
        <v>55645</v>
      </c>
      <c r="X2403" s="200">
        <v>2.4084400062558797E-2</v>
      </c>
      <c r="Y2403" s="209">
        <v>2.3974240820088255E-2</v>
      </c>
    </row>
    <row r="2404" spans="21:25" x14ac:dyDescent="0.2">
      <c r="U2404" s="213" t="str">
        <f t="shared" si="41"/>
        <v>1w</v>
      </c>
      <c r="V2404" s="201">
        <f>_xll.qlCalendarAdvance(Calendar,V2403,U2404,"f",FALSE)</f>
        <v>55648</v>
      </c>
      <c r="W2404" s="225">
        <f>_xll.qlCalendarAdvance(Calendar,V2404,NDays&amp;"D")</f>
        <v>55652</v>
      </c>
      <c r="X2404" s="200">
        <v>2.4081414039153301E-2</v>
      </c>
      <c r="Y2404" s="209">
        <v>2.3971804614371095E-2</v>
      </c>
    </row>
    <row r="2405" spans="21:25" x14ac:dyDescent="0.2">
      <c r="U2405" s="213" t="str">
        <f t="shared" si="41"/>
        <v>1w</v>
      </c>
      <c r="V2405" s="201">
        <f>_xll.qlCalendarAdvance(Calendar,V2404,U2405,"f",FALSE)</f>
        <v>55655</v>
      </c>
      <c r="W2405" s="225">
        <f>_xll.qlCalendarAdvance(Calendar,V2405,NDays&amp;"D")</f>
        <v>55659</v>
      </c>
      <c r="X2405" s="200">
        <v>2.4078388239340855E-2</v>
      </c>
      <c r="Y2405" s="209">
        <v>2.3969329108650683E-2</v>
      </c>
    </row>
    <row r="2406" spans="21:25" x14ac:dyDescent="0.2">
      <c r="U2406" s="213" t="str">
        <f t="shared" si="41"/>
        <v>1w</v>
      </c>
      <c r="V2406" s="201">
        <f>_xll.qlCalendarAdvance(Calendar,V2405,U2406,"f",FALSE)</f>
        <v>55662</v>
      </c>
      <c r="W2406" s="225">
        <f>_xll.qlCalendarAdvance(Calendar,V2406,NDays&amp;"D")</f>
        <v>55666</v>
      </c>
      <c r="X2406" s="200">
        <v>2.4075322663303925E-2</v>
      </c>
      <c r="Y2406" s="209">
        <v>2.3966814303006956E-2</v>
      </c>
    </row>
    <row r="2407" spans="21:25" x14ac:dyDescent="0.2">
      <c r="U2407" s="213" t="str">
        <f t="shared" si="41"/>
        <v>1w</v>
      </c>
      <c r="V2407" s="201">
        <f>_xll.qlCalendarAdvance(Calendar,V2406,U2407,"f",FALSE)</f>
        <v>55669</v>
      </c>
      <c r="W2407" s="225">
        <f>_xll.qlCalendarAdvance(Calendar,V2407,NDays&amp;"D")</f>
        <v>55673</v>
      </c>
      <c r="X2407" s="200">
        <v>2.4071651316735089E-2</v>
      </c>
      <c r="Y2407" s="209">
        <v>2.3964260197679721E-2</v>
      </c>
    </row>
    <row r="2408" spans="21:25" x14ac:dyDescent="0.2">
      <c r="U2408" s="213" t="str">
        <f t="shared" si="41"/>
        <v>1w</v>
      </c>
      <c r="V2408" s="201">
        <f>_xll.qlCalendarAdvance(Calendar,V2407,U2408,"f",FALSE)</f>
        <v>55676</v>
      </c>
      <c r="W2408" s="225">
        <f>_xll.qlCalendarAdvance(Calendar,V2408,NDays&amp;"D")</f>
        <v>55680</v>
      </c>
      <c r="X2408" s="200">
        <v>2.4068509238728785E-2</v>
      </c>
      <c r="Y2408" s="209">
        <v>2.3961666792349234E-2</v>
      </c>
    </row>
    <row r="2409" spans="21:25" x14ac:dyDescent="0.2">
      <c r="U2409" s="213" t="str">
        <f t="shared" si="41"/>
        <v>1w</v>
      </c>
      <c r="V2409" s="201">
        <f>_xll.qlCalendarAdvance(Calendar,V2408,U2409,"f",FALSE)</f>
        <v>55683</v>
      </c>
      <c r="W2409" s="225">
        <f>_xll.qlCalendarAdvance(Calendar,V2409,NDays&amp;"D")</f>
        <v>55687</v>
      </c>
      <c r="X2409" s="200">
        <v>2.4065327387661133E-2</v>
      </c>
      <c r="Y2409" s="209">
        <v>2.3959034087095432E-2</v>
      </c>
    </row>
    <row r="2410" spans="21:25" x14ac:dyDescent="0.2">
      <c r="U2410" s="213" t="str">
        <f t="shared" si="41"/>
        <v>1w</v>
      </c>
      <c r="V2410" s="201">
        <f>_xll.qlCalendarAdvance(Calendar,V2409,U2410,"f",FALSE)</f>
        <v>55690</v>
      </c>
      <c r="W2410" s="225">
        <f>_xll.qlCalendarAdvance(Calendar,V2410,NDays&amp;"D")</f>
        <v>55694</v>
      </c>
      <c r="X2410" s="200">
        <v>2.406210576372346E-2</v>
      </c>
      <c r="Y2410" s="209">
        <v>2.3956362082078186E-2</v>
      </c>
    </row>
    <row r="2411" spans="21:25" x14ac:dyDescent="0.2">
      <c r="U2411" s="213" t="str">
        <f t="shared" si="41"/>
        <v>1w</v>
      </c>
      <c r="V2411" s="201">
        <f>_xll.qlCalendarAdvance(Calendar,V2410,U2411,"f",FALSE)</f>
        <v>55697</v>
      </c>
      <c r="W2411" s="225">
        <f>_xll.qlCalendarAdvance(Calendar,V2411,NDays&amp;"D")</f>
        <v>55701</v>
      </c>
      <c r="X2411" s="200">
        <v>2.4059951657595887E-2</v>
      </c>
      <c r="Y2411" s="209">
        <v>2.3953650777137625E-2</v>
      </c>
    </row>
    <row r="2412" spans="21:25" x14ac:dyDescent="0.2">
      <c r="U2412" s="213" t="str">
        <f t="shared" si="41"/>
        <v>1w</v>
      </c>
      <c r="V2412" s="201">
        <f>_xll.qlCalendarAdvance(Calendar,V2411,U2412,"f",FALSE)</f>
        <v>55704</v>
      </c>
      <c r="W2412" s="225">
        <f>_xll.qlCalendarAdvance(Calendar,V2412,NDays&amp;"D")</f>
        <v>55708</v>
      </c>
      <c r="X2412" s="200">
        <v>2.4056093916888791E-2</v>
      </c>
      <c r="Y2412" s="209">
        <v>2.3950900172193812E-2</v>
      </c>
    </row>
    <row r="2413" spans="21:25" x14ac:dyDescent="0.2">
      <c r="U2413" s="213" t="str">
        <f t="shared" si="41"/>
        <v>1w</v>
      </c>
      <c r="V2413" s="201">
        <f>_xll.qlCalendarAdvance(Calendar,V2412,U2413,"f",FALSE)</f>
        <v>55711</v>
      </c>
      <c r="W2413" s="225">
        <f>_xll.qlCalendarAdvance(Calendar,V2413,NDays&amp;"D")</f>
        <v>55715</v>
      </c>
      <c r="X2413" s="200">
        <v>2.4052749912588801E-2</v>
      </c>
      <c r="Y2413" s="209">
        <v>2.3948110267406619E-2</v>
      </c>
    </row>
    <row r="2414" spans="21:25" x14ac:dyDescent="0.2">
      <c r="U2414" s="213" t="str">
        <f t="shared" si="41"/>
        <v>1w</v>
      </c>
      <c r="V2414" s="201">
        <f>_xll.qlCalendarAdvance(Calendar,V2413,U2414,"f",FALSE)</f>
        <v>55718</v>
      </c>
      <c r="W2414" s="225">
        <f>_xll.qlCalendarAdvance(Calendar,V2414,NDays&amp;"D")</f>
        <v>55722</v>
      </c>
      <c r="X2414" s="200">
        <v>2.4049366133609612E-2</v>
      </c>
      <c r="Y2414" s="209">
        <v>2.3945281062855983E-2</v>
      </c>
    </row>
    <row r="2415" spans="21:25" x14ac:dyDescent="0.2">
      <c r="U2415" s="213" t="str">
        <f t="shared" si="41"/>
        <v>1w</v>
      </c>
      <c r="V2415" s="201">
        <f>_xll.qlCalendarAdvance(Calendar,V2414,U2415,"f",FALSE)</f>
        <v>55725</v>
      </c>
      <c r="W2415" s="225">
        <f>_xll.qlCalendarAdvance(Calendar,V2415,NDays&amp;"D")</f>
        <v>55729</v>
      </c>
      <c r="X2415" s="200">
        <v>2.4045942580155404E-2</v>
      </c>
      <c r="Y2415" s="209">
        <v>2.3942412558382031E-2</v>
      </c>
    </row>
    <row r="2416" spans="21:25" x14ac:dyDescent="0.2">
      <c r="U2416" s="213" t="str">
        <f t="shared" si="41"/>
        <v>1w</v>
      </c>
      <c r="V2416" s="201">
        <f>_xll.qlCalendarAdvance(Calendar,V2415,U2416,"f",FALSE)</f>
        <v>55732</v>
      </c>
      <c r="W2416" s="225">
        <f>_xll.qlCalendarAdvance(Calendar,V2416,NDays&amp;"D")</f>
        <v>55736</v>
      </c>
      <c r="X2416" s="200">
        <v>2.4042479252431668E-2</v>
      </c>
      <c r="Y2416" s="209">
        <v>2.3939504753984764E-2</v>
      </c>
    </row>
    <row r="2417" spans="21:25" x14ac:dyDescent="0.2">
      <c r="U2417" s="213" t="str">
        <f t="shared" si="41"/>
        <v>1w</v>
      </c>
      <c r="V2417" s="201">
        <f>_xll.qlCalendarAdvance(Calendar,V2416,U2417,"f",FALSE)</f>
        <v>55739</v>
      </c>
      <c r="W2417" s="225">
        <f>_xll.qlCalendarAdvance(Calendar,V2417,NDays&amp;"D")</f>
        <v>55743</v>
      </c>
      <c r="X2417" s="200">
        <v>2.4038976150646929E-2</v>
      </c>
      <c r="Y2417" s="209">
        <v>2.3936557649744117E-2</v>
      </c>
    </row>
    <row r="2418" spans="21:25" x14ac:dyDescent="0.2">
      <c r="U2418" s="213" t="str">
        <f t="shared" si="41"/>
        <v>1w</v>
      </c>
      <c r="V2418" s="201">
        <f>_xll.qlCalendarAdvance(Calendar,V2417,U2418,"f",FALSE)</f>
        <v>55746</v>
      </c>
      <c r="W2418" s="225">
        <f>_xll.qlCalendarAdvance(Calendar,V2418,NDays&amp;"D")</f>
        <v>55750</v>
      </c>
      <c r="X2418" s="200">
        <v>2.4035433275013191E-2</v>
      </c>
      <c r="Y2418" s="209">
        <v>2.393357124566009E-2</v>
      </c>
    </row>
    <row r="2419" spans="21:25" x14ac:dyDescent="0.2">
      <c r="U2419" s="213" t="str">
        <f t="shared" si="41"/>
        <v>1w</v>
      </c>
      <c r="V2419" s="201">
        <f>_xll.qlCalendarAdvance(Calendar,V2418,U2419,"f",FALSE)</f>
        <v>55753</v>
      </c>
      <c r="W2419" s="225">
        <f>_xll.qlCalendarAdvance(Calendar,V2419,NDays&amp;"D")</f>
        <v>55757</v>
      </c>
      <c r="X2419" s="200">
        <v>2.4031850625743333E-2</v>
      </c>
      <c r="Y2419" s="209">
        <v>2.3930545541652748E-2</v>
      </c>
    </row>
    <row r="2420" spans="21:25" x14ac:dyDescent="0.2">
      <c r="U2420" s="213" t="str">
        <f t="shared" si="41"/>
        <v>1w</v>
      </c>
      <c r="V2420" s="201">
        <f>_xll.qlCalendarAdvance(Calendar,V2419,U2420,"f",FALSE)</f>
        <v>55760</v>
      </c>
      <c r="W2420" s="225">
        <f>_xll.qlCalendarAdvance(Calendar,V2420,NDays&amp;"D")</f>
        <v>55764</v>
      </c>
      <c r="X2420" s="200">
        <v>2.4027175645858462E-2</v>
      </c>
      <c r="Y2420" s="209">
        <v>2.392748053772209E-2</v>
      </c>
    </row>
    <row r="2421" spans="21:25" x14ac:dyDescent="0.2">
      <c r="U2421" s="213" t="str">
        <f t="shared" si="41"/>
        <v>1w</v>
      </c>
      <c r="V2421" s="201">
        <f>_xll.qlCalendarAdvance(Calendar,V2420,U2421,"f",FALSE)</f>
        <v>55767</v>
      </c>
      <c r="W2421" s="225">
        <f>_xll.qlCalendarAdvance(Calendar,V2421,NDays&amp;"D")</f>
        <v>55771</v>
      </c>
      <c r="X2421" s="200">
        <v>2.4023519616870777E-2</v>
      </c>
      <c r="Y2421" s="209">
        <v>2.3924376234107925E-2</v>
      </c>
    </row>
    <row r="2422" spans="21:25" x14ac:dyDescent="0.2">
      <c r="U2422" s="213" t="str">
        <f t="shared" si="41"/>
        <v>1w</v>
      </c>
      <c r="V2422" s="201">
        <f>_xll.qlCalendarAdvance(Calendar,V2421,U2422,"f",FALSE)</f>
        <v>55774</v>
      </c>
      <c r="W2422" s="225">
        <f>_xll.qlCalendarAdvance(Calendar,V2422,NDays&amp;"D")</f>
        <v>55778</v>
      </c>
      <c r="X2422" s="200">
        <v>2.4019823820072072E-2</v>
      </c>
      <c r="Y2422" s="209">
        <v>2.3921232630410572E-2</v>
      </c>
    </row>
    <row r="2423" spans="21:25" x14ac:dyDescent="0.2">
      <c r="U2423" s="213" t="str">
        <f t="shared" si="41"/>
        <v>1w</v>
      </c>
      <c r="V2423" s="201">
        <f>_xll.qlCalendarAdvance(Calendar,V2422,U2423,"f",FALSE)</f>
        <v>55781</v>
      </c>
      <c r="W2423" s="225">
        <f>_xll.qlCalendarAdvance(Calendar,V2423,NDays&amp;"D")</f>
        <v>55785</v>
      </c>
      <c r="X2423" s="200">
        <v>2.4016088255681509E-2</v>
      </c>
      <c r="Y2423" s="209">
        <v>2.3918049726949775E-2</v>
      </c>
    </row>
    <row r="2424" spans="21:25" x14ac:dyDescent="0.2">
      <c r="U2424" s="213" t="str">
        <f t="shared" si="41"/>
        <v>1w</v>
      </c>
      <c r="V2424" s="201">
        <f>_xll.qlCalendarAdvance(Calendar,V2423,U2424,"f",FALSE)</f>
        <v>55788</v>
      </c>
      <c r="W2424" s="225">
        <f>_xll.qlCalendarAdvance(Calendar,V2424,NDays&amp;"D")</f>
        <v>55792</v>
      </c>
      <c r="X2424" s="200">
        <v>2.4012312923922204E-2</v>
      </c>
      <c r="Y2424" s="209">
        <v>2.3914827523565663E-2</v>
      </c>
    </row>
    <row r="2425" spans="21:25" x14ac:dyDescent="0.2">
      <c r="U2425" s="213" t="str">
        <f t="shared" si="41"/>
        <v>1w</v>
      </c>
      <c r="V2425" s="201">
        <f>_xll.qlCalendarAdvance(Calendar,V2424,U2425,"f",FALSE)</f>
        <v>55795</v>
      </c>
      <c r="W2425" s="225">
        <f>_xll.qlCalendarAdvance(Calendar,V2425,NDays&amp;"D")</f>
        <v>55799</v>
      </c>
      <c r="X2425" s="200">
        <v>2.4009008797153491E-2</v>
      </c>
      <c r="Y2425" s="209">
        <v>2.3911566020418107E-2</v>
      </c>
    </row>
    <row r="2426" spans="21:25" x14ac:dyDescent="0.2">
      <c r="U2426" s="213" t="str">
        <f t="shared" si="41"/>
        <v>1w</v>
      </c>
      <c r="V2426" s="201">
        <f>_xll.qlCalendarAdvance(Calendar,V2425,U2426,"f",FALSE)</f>
        <v>55802</v>
      </c>
      <c r="W2426" s="225">
        <f>_xll.qlCalendarAdvance(Calendar,V2426,NDays&amp;"D")</f>
        <v>55806</v>
      </c>
      <c r="X2426" s="200">
        <v>2.4004642959200396E-2</v>
      </c>
      <c r="Y2426" s="209">
        <v>2.3908265217347235E-2</v>
      </c>
    </row>
    <row r="2427" spans="21:25" x14ac:dyDescent="0.2">
      <c r="U2427" s="213" t="str">
        <f t="shared" si="41"/>
        <v>1w</v>
      </c>
      <c r="V2427" s="201">
        <f>_xll.qlCalendarAdvance(Calendar,V2426,U2427,"f",FALSE)</f>
        <v>55809</v>
      </c>
      <c r="W2427" s="225">
        <f>_xll.qlCalendarAdvance(Calendar,V2427,NDays&amp;"D")</f>
        <v>55813</v>
      </c>
      <c r="X2427" s="200">
        <v>2.400074832669467E-2</v>
      </c>
      <c r="Y2427" s="209">
        <v>2.3904925114273112E-2</v>
      </c>
    </row>
    <row r="2428" spans="21:25" x14ac:dyDescent="0.2">
      <c r="U2428" s="213" t="str">
        <f t="shared" si="41"/>
        <v>1w</v>
      </c>
      <c r="V2428" s="201">
        <f>_xll.qlCalendarAdvance(Calendar,V2427,U2428,"f",FALSE)</f>
        <v>55816</v>
      </c>
      <c r="W2428" s="225">
        <f>_xll.qlCalendarAdvance(Calendar,V2428,NDays&amp;"D")</f>
        <v>55820</v>
      </c>
      <c r="X2428" s="200">
        <v>2.3996813927734197E-2</v>
      </c>
      <c r="Y2428" s="209">
        <v>2.3901545711515482E-2</v>
      </c>
    </row>
    <row r="2429" spans="21:25" x14ac:dyDescent="0.2">
      <c r="U2429" s="213" t="str">
        <f t="shared" si="41"/>
        <v>1w</v>
      </c>
      <c r="V2429" s="201">
        <f>_xll.qlCalendarAdvance(Calendar,V2428,U2429,"f",FALSE)</f>
        <v>55823</v>
      </c>
      <c r="W2429" s="225">
        <f>_xll.qlCalendarAdvance(Calendar,V2429,NDays&amp;"D")</f>
        <v>55827</v>
      </c>
      <c r="X2429" s="200">
        <v>2.3992839762553959E-2</v>
      </c>
      <c r="Y2429" s="209">
        <v>2.3898127008914472E-2</v>
      </c>
    </row>
    <row r="2430" spans="21:25" x14ac:dyDescent="0.2">
      <c r="U2430" s="213" t="str">
        <f t="shared" si="41"/>
        <v>1w</v>
      </c>
      <c r="V2430" s="201">
        <f>_xll.qlCalendarAdvance(Calendar,V2429,U2430,"f",FALSE)</f>
        <v>55830</v>
      </c>
      <c r="W2430" s="225">
        <f>_xll.qlCalendarAdvance(Calendar,V2430,NDays&amp;"D")</f>
        <v>55834</v>
      </c>
      <c r="X2430" s="200">
        <v>2.3988825831390247E-2</v>
      </c>
      <c r="Y2430" s="209">
        <v>2.389466900631021E-2</v>
      </c>
    </row>
    <row r="2431" spans="21:25" x14ac:dyDescent="0.2">
      <c r="U2431" s="213" t="str">
        <f t="shared" si="41"/>
        <v>1w</v>
      </c>
      <c r="V2431" s="201">
        <f>_xll.qlCalendarAdvance(Calendar,V2430,U2431,"f",FALSE)</f>
        <v>55837</v>
      </c>
      <c r="W2431" s="225">
        <f>_xll.qlCalendarAdvance(Calendar,V2431,NDays&amp;"D")</f>
        <v>55841</v>
      </c>
      <c r="X2431" s="200">
        <v>2.3984772134482867E-2</v>
      </c>
      <c r="Y2431" s="209">
        <v>2.3891171703862568E-2</v>
      </c>
    </row>
    <row r="2432" spans="21:25" x14ac:dyDescent="0.2">
      <c r="U2432" s="213" t="str">
        <f t="shared" si="41"/>
        <v>1w</v>
      </c>
      <c r="V2432" s="201">
        <f>_xll.qlCalendarAdvance(Calendar,V2431,U2432,"f",FALSE)</f>
        <v>55844</v>
      </c>
      <c r="W2432" s="225">
        <f>_xll.qlCalendarAdvance(Calendar,V2432,NDays&amp;"D")</f>
        <v>55848</v>
      </c>
      <c r="X2432" s="200">
        <v>2.3980678672072511E-2</v>
      </c>
      <c r="Y2432" s="209">
        <v>2.3887635101651483E-2</v>
      </c>
    </row>
    <row r="2433" spans="21:25" x14ac:dyDescent="0.2">
      <c r="U2433" s="213" t="str">
        <f t="shared" si="41"/>
        <v>1w</v>
      </c>
      <c r="V2433" s="201">
        <f>_xll.qlCalendarAdvance(Calendar,V2432,U2433,"f",FALSE)</f>
        <v>55851</v>
      </c>
      <c r="W2433" s="225">
        <f>_xll.qlCalendarAdvance(Calendar,V2433,NDays&amp;"D")</f>
        <v>55855</v>
      </c>
      <c r="X2433" s="200">
        <v>2.3976545444403818E-2</v>
      </c>
      <c r="Y2433" s="209">
        <v>2.3884059199517083E-2</v>
      </c>
    </row>
    <row r="2434" spans="21:25" x14ac:dyDescent="0.2">
      <c r="U2434" s="213" t="str">
        <f t="shared" si="41"/>
        <v>1w</v>
      </c>
      <c r="V2434" s="201">
        <f>_xll.qlCalendarAdvance(Calendar,V2433,U2434,"f",FALSE)</f>
        <v>55858</v>
      </c>
      <c r="W2434" s="225">
        <f>_xll.qlCalendarAdvance(Calendar,V2434,NDays&amp;"D")</f>
        <v>55862</v>
      </c>
      <c r="X2434" s="200">
        <v>2.3972372451723619E-2</v>
      </c>
      <c r="Y2434" s="209">
        <v>2.3880443997459366E-2</v>
      </c>
    </row>
    <row r="2435" spans="21:25" x14ac:dyDescent="0.2">
      <c r="U2435" s="213" t="str">
        <f t="shared" si="41"/>
        <v>1w</v>
      </c>
      <c r="V2435" s="201">
        <f>_xll.qlCalendarAdvance(Calendar,V2434,U2435,"f",FALSE)</f>
        <v>55865</v>
      </c>
      <c r="W2435" s="225">
        <f>_xll.qlCalendarAdvance(Calendar,V2435,NDays&amp;"D")</f>
        <v>55869</v>
      </c>
      <c r="X2435" s="200">
        <v>2.3968159694279192E-2</v>
      </c>
      <c r="Y2435" s="209">
        <v>2.3876789495718143E-2</v>
      </c>
    </row>
    <row r="2436" spans="21:25" x14ac:dyDescent="0.2">
      <c r="U2436" s="213" t="str">
        <f t="shared" si="41"/>
        <v>1w</v>
      </c>
      <c r="V2436" s="201">
        <f>_xll.qlCalendarAdvance(Calendar,V2435,U2436,"f",FALSE)</f>
        <v>55872</v>
      </c>
      <c r="W2436" s="225">
        <f>_xll.qlCalendarAdvance(Calendar,V2436,NDays&amp;"D")</f>
        <v>55876</v>
      </c>
      <c r="X2436" s="200">
        <v>2.3963907172323082E-2</v>
      </c>
      <c r="Y2436" s="209">
        <v>2.3873095694053603E-2</v>
      </c>
    </row>
    <row r="2437" spans="21:25" x14ac:dyDescent="0.2">
      <c r="U2437" s="213" t="str">
        <f t="shared" si="41"/>
        <v>1w</v>
      </c>
      <c r="V2437" s="201">
        <f>_xll.qlCalendarAdvance(Calendar,V2436,U2437,"f",FALSE)</f>
        <v>55880</v>
      </c>
      <c r="W2437" s="225">
        <f>_xll.qlCalendarAdvance(Calendar,V2437,NDays&amp;"D")</f>
        <v>55884</v>
      </c>
      <c r="X2437" s="200">
        <v>2.3958524976676197E-2</v>
      </c>
      <c r="Y2437" s="209">
        <v>2.3869348690066516E-2</v>
      </c>
    </row>
    <row r="2438" spans="21:25" x14ac:dyDescent="0.2">
      <c r="U2438" s="213" t="str">
        <f t="shared" si="41"/>
        <v>1w</v>
      </c>
      <c r="V2438" s="201">
        <f>_xll.qlCalendarAdvance(Calendar,V2437,U2438,"f",FALSE)</f>
        <v>55887</v>
      </c>
      <c r="W2438" s="225">
        <f>_xll.qlCalendarAdvance(Calendar,V2438,NDays&amp;"D")</f>
        <v>55891</v>
      </c>
      <c r="X2438" s="200">
        <v>2.3954190372889574E-2</v>
      </c>
      <c r="Y2438" s="209">
        <v>2.3865048068527628E-2</v>
      </c>
    </row>
    <row r="2439" spans="21:25" x14ac:dyDescent="0.2">
      <c r="U2439" s="213" t="str">
        <f t="shared" si="41"/>
        <v>1w</v>
      </c>
      <c r="V2439" s="201">
        <f>_xll.qlCalendarAdvance(Calendar,V2438,U2439,"f",FALSE)</f>
        <v>55894</v>
      </c>
      <c r="W2439" s="225">
        <f>_xll.qlCalendarAdvance(Calendar,V2439,NDays&amp;"D")</f>
        <v>55898</v>
      </c>
      <c r="X2439" s="200">
        <v>2.3949816007953883E-2</v>
      </c>
      <c r="Y2439" s="209">
        <v>2.386123075286406E-2</v>
      </c>
    </row>
    <row r="2440" spans="21:25" x14ac:dyDescent="0.2">
      <c r="U2440" s="213" t="str">
        <f t="shared" si="41"/>
        <v>1w</v>
      </c>
      <c r="V2440" s="201">
        <f>_xll.qlCalendarAdvance(Calendar,V2439,U2440,"f",FALSE)</f>
        <v>55901</v>
      </c>
      <c r="W2440" s="225">
        <f>_xll.qlCalendarAdvance(Calendar,V2440,NDays&amp;"D")</f>
        <v>55905</v>
      </c>
      <c r="X2440" s="200">
        <v>2.3945401882128802E-2</v>
      </c>
      <c r="Y2440" s="209">
        <v>2.3857374137516985E-2</v>
      </c>
    </row>
    <row r="2441" spans="21:25" x14ac:dyDescent="0.2">
      <c r="U2441" s="213" t="str">
        <f t="shared" si="41"/>
        <v>1w</v>
      </c>
      <c r="V2441" s="201">
        <f>_xll.qlCalendarAdvance(Calendar,V2440,U2441,"f",FALSE)</f>
        <v>55908</v>
      </c>
      <c r="W2441" s="225">
        <f>_xll.qlCalendarAdvance(Calendar,V2441,NDays&amp;"D")</f>
        <v>55912</v>
      </c>
      <c r="X2441" s="200">
        <v>2.3940947995676226E-2</v>
      </c>
      <c r="Y2441" s="209">
        <v>2.385347822232653E-2</v>
      </c>
    </row>
    <row r="2442" spans="21:25" x14ac:dyDescent="0.2">
      <c r="U2442" s="213" t="str">
        <f t="shared" si="41"/>
        <v>1w</v>
      </c>
      <c r="V2442" s="201">
        <f>_xll.qlCalendarAdvance(Calendar,V2441,U2442,"f",FALSE)</f>
        <v>55915</v>
      </c>
      <c r="W2442" s="225">
        <f>_xll.qlCalendarAdvance(Calendar,V2442,NDays&amp;"D")</f>
        <v>55919</v>
      </c>
      <c r="X2442" s="200">
        <v>2.3936454348859805E-2</v>
      </c>
      <c r="Y2442" s="209">
        <v>2.3849543007372631E-2</v>
      </c>
    </row>
    <row r="2443" spans="21:25" x14ac:dyDescent="0.2">
      <c r="U2443" s="213" t="str">
        <f t="shared" si="41"/>
        <v>1w</v>
      </c>
      <c r="V2443" s="201">
        <f>_xll.qlCalendarAdvance(Calendar,V2442,U2443,"f",FALSE)</f>
        <v>55922</v>
      </c>
      <c r="W2443" s="225">
        <f>_xll.qlCalendarAdvance(Calendar,V2443,NDays&amp;"D")</f>
        <v>55926</v>
      </c>
      <c r="X2443" s="200">
        <v>2.3931920941945413E-2</v>
      </c>
      <c r="Y2443" s="209">
        <v>2.3845568492335545E-2</v>
      </c>
    </row>
    <row r="2444" spans="21:25" x14ac:dyDescent="0.2">
      <c r="U2444" s="213" t="str">
        <f t="shared" si="41"/>
        <v>1w</v>
      </c>
      <c r="V2444" s="201">
        <f>_xll.qlCalendarAdvance(Calendar,V2443,U2444,"f",FALSE)</f>
        <v>55929</v>
      </c>
      <c r="W2444" s="225">
        <f>_xll.qlCalendarAdvance(Calendar,V2444,NDays&amp;"D")</f>
        <v>55933</v>
      </c>
      <c r="X2444" s="200">
        <v>2.3927347775202439E-2</v>
      </c>
      <c r="Y2444" s="209">
        <v>2.3841554677614951E-2</v>
      </c>
    </row>
    <row r="2445" spans="21:25" x14ac:dyDescent="0.2">
      <c r="U2445" s="213" t="str">
        <f t="shared" si="41"/>
        <v>1w</v>
      </c>
      <c r="V2445" s="201">
        <f>_xll.qlCalendarAdvance(Calendar,V2444,U2445,"f",FALSE)</f>
        <v>55936</v>
      </c>
      <c r="W2445" s="225">
        <f>_xll.qlCalendarAdvance(Calendar,V2445,NDays&amp;"D")</f>
        <v>55940</v>
      </c>
      <c r="X2445" s="200">
        <v>2.392273484890205E-2</v>
      </c>
      <c r="Y2445" s="209">
        <v>2.3837501563050978E-2</v>
      </c>
    </row>
    <row r="2446" spans="21:25" x14ac:dyDescent="0.2">
      <c r="U2446" s="213" t="str">
        <f t="shared" si="41"/>
        <v>1w</v>
      </c>
      <c r="V2446" s="201">
        <f>_xll.qlCalendarAdvance(Calendar,V2445,U2446,"f",FALSE)</f>
        <v>55943</v>
      </c>
      <c r="W2446" s="225">
        <f>_xll.qlCalendarAdvance(Calendar,V2446,NDays&amp;"D")</f>
        <v>55947</v>
      </c>
      <c r="X2446" s="200">
        <v>2.3919417053594294E-2</v>
      </c>
      <c r="Y2446" s="209">
        <v>2.3833409148483753E-2</v>
      </c>
    </row>
    <row r="2447" spans="21:25" x14ac:dyDescent="0.2">
      <c r="U2447" s="213" t="str">
        <f t="shared" si="41"/>
        <v>1w</v>
      </c>
      <c r="V2447" s="201">
        <f>_xll.qlCalendarAdvance(Calendar,V2446,U2447,"f",FALSE)</f>
        <v>55950</v>
      </c>
      <c r="W2447" s="225">
        <f>_xll.qlCalendarAdvance(Calendar,V2447,NDays&amp;"D")</f>
        <v>55954</v>
      </c>
      <c r="X2447" s="200">
        <v>2.3914715157980132E-2</v>
      </c>
      <c r="Y2447" s="209">
        <v>2.382927743423302E-2</v>
      </c>
    </row>
    <row r="2448" spans="21:25" x14ac:dyDescent="0.2">
      <c r="U2448" s="213" t="str">
        <f t="shared" si="41"/>
        <v>1w</v>
      </c>
      <c r="V2448" s="201">
        <f>_xll.qlCalendarAdvance(Calendar,V2447,U2448,"f",FALSE)</f>
        <v>55957</v>
      </c>
      <c r="W2448" s="225">
        <f>_xll.qlCalendarAdvance(Calendar,V2448,NDays&amp;"D")</f>
        <v>55961</v>
      </c>
      <c r="X2448" s="200">
        <v>2.3909973496002726E-2</v>
      </c>
      <c r="Y2448" s="209">
        <v>2.3825106420138908E-2</v>
      </c>
    </row>
    <row r="2449" spans="21:25" x14ac:dyDescent="0.2">
      <c r="U2449" s="213" t="str">
        <f t="shared" si="41"/>
        <v>1w</v>
      </c>
      <c r="V2449" s="201">
        <f>_xll.qlCalendarAdvance(Calendar,V2448,U2449,"f",FALSE)</f>
        <v>55964</v>
      </c>
      <c r="W2449" s="225">
        <f>_xll.qlCalendarAdvance(Calendar,V2449,NDays&amp;"D")</f>
        <v>55968</v>
      </c>
      <c r="X2449" s="200">
        <v>2.3905192067949235E-2</v>
      </c>
      <c r="Y2449" s="209">
        <v>2.3820896106201417E-2</v>
      </c>
    </row>
    <row r="2450" spans="21:25" x14ac:dyDescent="0.2">
      <c r="U2450" s="213" t="str">
        <f t="shared" si="41"/>
        <v>1w</v>
      </c>
      <c r="V2450" s="201">
        <f>_xll.qlCalendarAdvance(Calendar,V2449,U2450,"f",FALSE)</f>
        <v>55971</v>
      </c>
      <c r="W2450" s="225">
        <f>_xll.qlCalendarAdvance(Calendar,V2450,NDays&amp;"D")</f>
        <v>55975</v>
      </c>
      <c r="X2450" s="200">
        <v>2.3899938810235905E-2</v>
      </c>
      <c r="Y2450" s="209">
        <v>2.381664649234061E-2</v>
      </c>
    </row>
    <row r="2451" spans="21:25" x14ac:dyDescent="0.2">
      <c r="U2451" s="213" t="str">
        <f t="shared" si="41"/>
        <v>1w</v>
      </c>
      <c r="V2451" s="201">
        <f>_xll.qlCalendarAdvance(Calendar,V2450,U2451,"f",FALSE)</f>
        <v>55982</v>
      </c>
      <c r="W2451" s="225">
        <f>_xll.qlCalendarAdvance(Calendar,V2451,NDays&amp;"D")</f>
        <v>55984</v>
      </c>
      <c r="X2451" s="200">
        <v>2.3893685766011415E-2</v>
      </c>
      <c r="Y2451" s="209">
        <v>2.3811124956552021E-2</v>
      </c>
    </row>
    <row r="2452" spans="21:25" x14ac:dyDescent="0.2">
      <c r="U2452" s="213" t="str">
        <f t="shared" si="41"/>
        <v>1w</v>
      </c>
      <c r="V2452" s="201">
        <f>_xll.qlCalendarAdvance(Calendar,V2451,U2452,"f",FALSE)</f>
        <v>55989</v>
      </c>
      <c r="W2452" s="225">
        <f>_xll.qlCalendarAdvance(Calendar,V2452,NDays&amp;"D")</f>
        <v>55991</v>
      </c>
      <c r="X2452" s="200">
        <v>2.3888776844183696E-2</v>
      </c>
      <c r="Y2452" s="209">
        <v>2.3806785514546291E-2</v>
      </c>
    </row>
    <row r="2453" spans="21:25" x14ac:dyDescent="0.2">
      <c r="U2453" s="213" t="str">
        <f t="shared" ref="U2453:U2516" si="42">U2452</f>
        <v>1w</v>
      </c>
      <c r="V2453" s="201">
        <f>_xll.qlCalendarAdvance(Calendar,V2452,U2453,"f",FALSE)</f>
        <v>55996</v>
      </c>
      <c r="W2453" s="225">
        <f>_xll.qlCalendarAdvance(Calendar,V2453,NDays&amp;"D")</f>
        <v>55998</v>
      </c>
      <c r="X2453" s="200">
        <v>2.3883828160064159E-2</v>
      </c>
      <c r="Y2453" s="209">
        <v>2.3802406772697182E-2</v>
      </c>
    </row>
    <row r="2454" spans="21:25" x14ac:dyDescent="0.2">
      <c r="U2454" s="213" t="str">
        <f t="shared" si="42"/>
        <v>1w</v>
      </c>
      <c r="V2454" s="201">
        <f>_xll.qlCalendarAdvance(Calendar,V2453,U2454,"f",FALSE)</f>
        <v>56003</v>
      </c>
      <c r="W2454" s="225">
        <f>_xll.qlCalendarAdvance(Calendar,V2454,NDays&amp;"D")</f>
        <v>56006</v>
      </c>
      <c r="X2454" s="200">
        <v>2.387895964100108E-2</v>
      </c>
      <c r="Y2454" s="209">
        <v>2.3798291993060161E-2</v>
      </c>
    </row>
    <row r="2455" spans="21:25" x14ac:dyDescent="0.2">
      <c r="U2455" s="213" t="str">
        <f t="shared" si="42"/>
        <v>1w</v>
      </c>
      <c r="V2455" s="201">
        <f>_xll.qlCalendarAdvance(Calendar,V2454,U2455,"f",FALSE)</f>
        <v>56010</v>
      </c>
      <c r="W2455" s="225">
        <f>_xll.qlCalendarAdvance(Calendar,V2455,NDays&amp;"D")</f>
        <v>56012</v>
      </c>
      <c r="X2455" s="200">
        <v>2.3875056633735632E-2</v>
      </c>
      <c r="Y2455" s="209">
        <v>2.3793531389628697E-2</v>
      </c>
    </row>
    <row r="2456" spans="21:25" x14ac:dyDescent="0.2">
      <c r="U2456" s="213" t="str">
        <f t="shared" si="42"/>
        <v>1w</v>
      </c>
      <c r="V2456" s="201">
        <f>_xll.qlCalendarAdvance(Calendar,V2455,U2456,"f",FALSE)</f>
        <v>56017</v>
      </c>
      <c r="W2456" s="225">
        <f>_xll.qlCalendarAdvance(Calendar,V2456,NDays&amp;"D")</f>
        <v>56019</v>
      </c>
      <c r="X2456" s="200">
        <v>2.3869979140541994E-2</v>
      </c>
      <c r="Y2456" s="209">
        <v>2.3789034748169513E-2</v>
      </c>
    </row>
    <row r="2457" spans="21:25" x14ac:dyDescent="0.2">
      <c r="U2457" s="213" t="str">
        <f t="shared" si="42"/>
        <v>1w</v>
      </c>
      <c r="V2457" s="201">
        <f>_xll.qlCalendarAdvance(Calendar,V2456,U2457,"f",FALSE)</f>
        <v>56024</v>
      </c>
      <c r="W2457" s="225">
        <f>_xll.qlCalendarAdvance(Calendar,V2457,NDays&amp;"D")</f>
        <v>56026</v>
      </c>
      <c r="X2457" s="200">
        <v>2.386486187867742E-2</v>
      </c>
      <c r="Y2457" s="209">
        <v>2.3784498807106758E-2</v>
      </c>
    </row>
    <row r="2458" spans="21:25" x14ac:dyDescent="0.2">
      <c r="U2458" s="213" t="str">
        <f t="shared" si="42"/>
        <v>1w</v>
      </c>
      <c r="V2458" s="201">
        <f>_xll.qlCalendarAdvance(Calendar,V2457,U2458,"f",FALSE)</f>
        <v>56031</v>
      </c>
      <c r="W2458" s="225">
        <f>_xll.qlCalendarAdvance(Calendar,V2458,NDays&amp;"D")</f>
        <v>56033</v>
      </c>
      <c r="X2458" s="200">
        <v>2.3858488315570411E-2</v>
      </c>
      <c r="Y2458" s="209">
        <v>2.3779923566120686E-2</v>
      </c>
    </row>
    <row r="2459" spans="21:25" x14ac:dyDescent="0.2">
      <c r="U2459" s="213" t="str">
        <f t="shared" si="42"/>
        <v>1w</v>
      </c>
      <c r="V2459" s="201">
        <f>_xll.qlCalendarAdvance(Calendar,V2458,U2459,"f",FALSE)</f>
        <v>56038</v>
      </c>
      <c r="W2459" s="225">
        <f>_xll.qlCalendarAdvance(Calendar,V2459,NDays&amp;"D")</f>
        <v>56040</v>
      </c>
      <c r="X2459" s="200">
        <v>2.3853301064017524E-2</v>
      </c>
      <c r="Y2459" s="209">
        <v>2.3775309025371172E-2</v>
      </c>
    </row>
    <row r="2460" spans="21:25" x14ac:dyDescent="0.2">
      <c r="U2460" s="213" t="str">
        <f t="shared" si="42"/>
        <v>1w</v>
      </c>
      <c r="V2460" s="201">
        <f>_xll.qlCalendarAdvance(Calendar,V2459,U2460,"f",FALSE)</f>
        <v>56045</v>
      </c>
      <c r="W2460" s="225">
        <f>_xll.qlCalendarAdvance(Calendar,V2460,NDays&amp;"D")</f>
        <v>56047</v>
      </c>
      <c r="X2460" s="200">
        <v>2.3848074052299204E-2</v>
      </c>
      <c r="Y2460" s="209">
        <v>2.3770655184698342E-2</v>
      </c>
    </row>
    <row r="2461" spans="21:25" x14ac:dyDescent="0.2">
      <c r="U2461" s="213" t="str">
        <f t="shared" si="42"/>
        <v>1w</v>
      </c>
      <c r="V2461" s="201">
        <f>_xll.qlCalendarAdvance(Calendar,V2460,U2461,"f",FALSE)</f>
        <v>56052</v>
      </c>
      <c r="W2461" s="225">
        <f>_xll.qlCalendarAdvance(Calendar,V2461,NDays&amp;"D")</f>
        <v>56054</v>
      </c>
      <c r="X2461" s="200">
        <v>2.3842807280729517E-2</v>
      </c>
      <c r="Y2461" s="209">
        <v>2.3765962044262068E-2</v>
      </c>
    </row>
    <row r="2462" spans="21:25" x14ac:dyDescent="0.2">
      <c r="U2462" s="213" t="str">
        <f t="shared" si="42"/>
        <v>1w</v>
      </c>
      <c r="V2462" s="201">
        <f>_xll.qlCalendarAdvance(Calendar,V2461,U2462,"f",FALSE)</f>
        <v>56059</v>
      </c>
      <c r="W2462" s="225">
        <f>_xll.qlCalendarAdvance(Calendar,V2462,NDays&amp;"D")</f>
        <v>56061</v>
      </c>
      <c r="X2462" s="200">
        <v>2.3838679050267955E-2</v>
      </c>
      <c r="Y2462" s="209">
        <v>2.3761229604062351E-2</v>
      </c>
    </row>
    <row r="2463" spans="21:25" x14ac:dyDescent="0.2">
      <c r="U2463" s="213" t="str">
        <f t="shared" si="42"/>
        <v>1w</v>
      </c>
      <c r="V2463" s="201">
        <f>_xll.qlCalendarAdvance(Calendar,V2462,U2463,"f",FALSE)</f>
        <v>56066</v>
      </c>
      <c r="W2463" s="225">
        <f>_xll.qlCalendarAdvance(Calendar,V2463,NDays&amp;"D")</f>
        <v>56068</v>
      </c>
      <c r="X2463" s="200">
        <v>2.3833323183001277E-2</v>
      </c>
      <c r="Y2463" s="209">
        <v>2.3756457863939318E-2</v>
      </c>
    </row>
    <row r="2464" spans="21:25" x14ac:dyDescent="0.2">
      <c r="U2464" s="213" t="str">
        <f t="shared" si="42"/>
        <v>1w</v>
      </c>
      <c r="V2464" s="201">
        <f>_xll.qlCalendarAdvance(Calendar,V2463,U2464,"f",FALSE)</f>
        <v>56073</v>
      </c>
      <c r="W2464" s="225">
        <f>_xll.qlCalendarAdvance(Calendar,V2464,NDays&amp;"D")</f>
        <v>56075</v>
      </c>
      <c r="X2464" s="200">
        <v>2.3827927549294997E-2</v>
      </c>
      <c r="Y2464" s="209">
        <v>2.3751646824052841E-2</v>
      </c>
    </row>
    <row r="2465" spans="21:25" x14ac:dyDescent="0.2">
      <c r="U2465" s="213" t="str">
        <f t="shared" si="42"/>
        <v>1w</v>
      </c>
      <c r="V2465" s="201">
        <f>_xll.qlCalendarAdvance(Calendar,V2464,U2465,"f",FALSE)</f>
        <v>56080</v>
      </c>
      <c r="W2465" s="225">
        <f>_xll.qlCalendarAdvance(Calendar,V2465,NDays&amp;"D")</f>
        <v>56082</v>
      </c>
      <c r="X2465" s="200">
        <v>2.3822492149478739E-2</v>
      </c>
      <c r="Y2465" s="209">
        <v>2.3746796484322985E-2</v>
      </c>
    </row>
    <row r="2466" spans="21:25" x14ac:dyDescent="0.2">
      <c r="U2466" s="213" t="str">
        <f t="shared" si="42"/>
        <v>1w</v>
      </c>
      <c r="V2466" s="201">
        <f>_xll.qlCalendarAdvance(Calendar,V2465,U2466,"f",FALSE)</f>
        <v>56087</v>
      </c>
      <c r="W2466" s="225">
        <f>_xll.qlCalendarAdvance(Calendar,V2466,NDays&amp;"D")</f>
        <v>56089</v>
      </c>
      <c r="X2466" s="200">
        <v>2.3817016983882139E-2</v>
      </c>
      <c r="Y2466" s="209">
        <v>2.3741906844909622E-2</v>
      </c>
    </row>
    <row r="2467" spans="21:25" x14ac:dyDescent="0.2">
      <c r="U2467" s="213" t="str">
        <f t="shared" si="42"/>
        <v>1w</v>
      </c>
      <c r="V2467" s="201">
        <f>_xll.qlCalendarAdvance(Calendar,V2466,U2467,"f",FALSE)</f>
        <v>56094</v>
      </c>
      <c r="W2467" s="225">
        <f>_xll.qlCalendarAdvance(Calendar,V2467,NDays&amp;"D")</f>
        <v>56096</v>
      </c>
      <c r="X2467" s="200">
        <v>2.3810371712261039E-2</v>
      </c>
      <c r="Y2467" s="209">
        <v>2.3736977905493006E-2</v>
      </c>
    </row>
    <row r="2468" spans="21:25" x14ac:dyDescent="0.2">
      <c r="U2468" s="213" t="str">
        <f t="shared" si="42"/>
        <v>1w</v>
      </c>
      <c r="V2468" s="201">
        <f>_xll.qlCalendarAdvance(Calendar,V2467,U2468,"f",FALSE)</f>
        <v>56101</v>
      </c>
      <c r="W2468" s="225">
        <f>_xll.qlCalendarAdvance(Calendar,V2468,NDays&amp;"D")</f>
        <v>56103</v>
      </c>
      <c r="X2468" s="200">
        <v>2.3805947356685755E-2</v>
      </c>
      <c r="Y2468" s="209">
        <v>2.3732009666312948E-2</v>
      </c>
    </row>
    <row r="2469" spans="21:25" x14ac:dyDescent="0.2">
      <c r="U2469" s="213" t="str">
        <f t="shared" si="42"/>
        <v>1w</v>
      </c>
      <c r="V2469" s="201">
        <f>_xll.qlCalendarAdvance(Calendar,V2468,U2469,"f",FALSE)</f>
        <v>56108</v>
      </c>
      <c r="W2469" s="225">
        <f>_xll.qlCalendarAdvance(Calendar,V2469,NDays&amp;"D")</f>
        <v>56110</v>
      </c>
      <c r="X2469" s="200">
        <v>2.3800352895761129E-2</v>
      </c>
      <c r="Y2469" s="209">
        <v>2.3727002127449381E-2</v>
      </c>
    </row>
    <row r="2470" spans="21:25" x14ac:dyDescent="0.2">
      <c r="U2470" s="213" t="str">
        <f t="shared" si="42"/>
        <v>1w</v>
      </c>
      <c r="V2470" s="201">
        <f>_xll.qlCalendarAdvance(Calendar,V2469,U2470,"f",FALSE)</f>
        <v>56115</v>
      </c>
      <c r="W2470" s="225">
        <f>_xll.qlCalendarAdvance(Calendar,V2470,NDays&amp;"D")</f>
        <v>56117</v>
      </c>
      <c r="X2470" s="200">
        <v>2.3794718670404325E-2</v>
      </c>
      <c r="Y2470" s="209">
        <v>2.37219552886625E-2</v>
      </c>
    </row>
    <row r="2471" spans="21:25" x14ac:dyDescent="0.2">
      <c r="U2471" s="213" t="str">
        <f t="shared" si="42"/>
        <v>1w</v>
      </c>
      <c r="V2471" s="201">
        <f>_xll.qlCalendarAdvance(Calendar,V2470,U2471,"f",FALSE)</f>
        <v>56122</v>
      </c>
      <c r="W2471" s="225">
        <f>_xll.qlCalendarAdvance(Calendar,V2471,NDays&amp;"D")</f>
        <v>56124</v>
      </c>
      <c r="X2471" s="200">
        <v>2.3787952843788786E-2</v>
      </c>
      <c r="Y2471" s="209">
        <v>2.3716869150112174E-2</v>
      </c>
    </row>
    <row r="2472" spans="21:25" x14ac:dyDescent="0.2">
      <c r="U2472" s="213" t="str">
        <f t="shared" si="42"/>
        <v>1w</v>
      </c>
      <c r="V2472" s="201">
        <f>_xll.qlCalendarAdvance(Calendar,V2471,U2472,"f",FALSE)</f>
        <v>56129</v>
      </c>
      <c r="W2472" s="225">
        <f>_xll.qlCalendarAdvance(Calendar,V2472,NDays&amp;"D")</f>
        <v>56131</v>
      </c>
      <c r="X2472" s="200">
        <v>2.3781525815862632E-2</v>
      </c>
      <c r="Y2472" s="209">
        <v>2.3711743711798405E-2</v>
      </c>
    </row>
    <row r="2473" spans="21:25" x14ac:dyDescent="0.2">
      <c r="U2473" s="213" t="str">
        <f t="shared" si="42"/>
        <v>1w</v>
      </c>
      <c r="V2473" s="201">
        <f>_xll.qlCalendarAdvance(Calendar,V2472,U2473,"f",FALSE)</f>
        <v>56136</v>
      </c>
      <c r="W2473" s="225">
        <f>_xll.qlCalendarAdvance(Calendar,V2473,NDays&amp;"D")</f>
        <v>56138</v>
      </c>
      <c r="X2473" s="200">
        <v>2.3775788384181939E-2</v>
      </c>
      <c r="Y2473" s="209">
        <v>2.3706578973561321E-2</v>
      </c>
    </row>
    <row r="2474" spans="21:25" x14ac:dyDescent="0.2">
      <c r="U2474" s="213" t="str">
        <f t="shared" si="42"/>
        <v>1w</v>
      </c>
      <c r="V2474" s="201">
        <f>_xll.qlCalendarAdvance(Calendar,V2473,U2474,"f",FALSE)</f>
        <v>56143</v>
      </c>
      <c r="W2474" s="225">
        <f>_xll.qlCalendarAdvance(Calendar,V2474,NDays&amp;"D")</f>
        <v>56145</v>
      </c>
      <c r="X2474" s="200">
        <v>2.377001120192582E-2</v>
      </c>
      <c r="Y2474" s="209">
        <v>2.3701374935720665E-2</v>
      </c>
    </row>
    <row r="2475" spans="21:25" x14ac:dyDescent="0.2">
      <c r="U2475" s="213" t="str">
        <f t="shared" si="42"/>
        <v>1w</v>
      </c>
      <c r="V2475" s="201">
        <f>_xll.qlCalendarAdvance(Calendar,V2474,U2475,"f",FALSE)</f>
        <v>56150</v>
      </c>
      <c r="W2475" s="225">
        <f>_xll.qlCalendarAdvance(Calendar,V2475,NDays&amp;"D")</f>
        <v>56152</v>
      </c>
      <c r="X2475" s="200">
        <v>2.3764194269436097E-2</v>
      </c>
      <c r="Y2475" s="209">
        <v>2.3696131597796821E-2</v>
      </c>
    </row>
    <row r="2476" spans="21:25" x14ac:dyDescent="0.2">
      <c r="U2476" s="213" t="str">
        <f t="shared" si="42"/>
        <v>1w</v>
      </c>
      <c r="V2476" s="201">
        <f>_xll.qlCalendarAdvance(Calendar,V2475,U2476,"f",FALSE)</f>
        <v>56157</v>
      </c>
      <c r="W2476" s="225">
        <f>_xll.qlCalendarAdvance(Calendar,V2476,NDays&amp;"D")</f>
        <v>56159</v>
      </c>
      <c r="X2476" s="200">
        <v>2.3758686312636099E-2</v>
      </c>
      <c r="Y2476" s="209">
        <v>2.3690848960349342E-2</v>
      </c>
    </row>
    <row r="2477" spans="21:25" x14ac:dyDescent="0.2">
      <c r="U2477" s="213" t="str">
        <f t="shared" si="42"/>
        <v>1w</v>
      </c>
      <c r="V2477" s="201">
        <f>_xll.qlCalendarAdvance(Calendar,V2476,U2477,"f",FALSE)</f>
        <v>56164</v>
      </c>
      <c r="W2477" s="225">
        <f>_xll.qlCalendarAdvance(Calendar,V2477,NDays&amp;"D")</f>
        <v>56166</v>
      </c>
      <c r="X2477" s="200">
        <v>2.3752786654538664E-2</v>
      </c>
      <c r="Y2477" s="209">
        <v>2.3685527023058484E-2</v>
      </c>
    </row>
    <row r="2478" spans="21:25" x14ac:dyDescent="0.2">
      <c r="U2478" s="213" t="str">
        <f t="shared" si="42"/>
        <v>1w</v>
      </c>
      <c r="V2478" s="201">
        <f>_xll.qlCalendarAdvance(Calendar,V2477,U2478,"f",FALSE)</f>
        <v>56171</v>
      </c>
      <c r="W2478" s="225">
        <f>_xll.qlCalendarAdvance(Calendar,V2478,NDays&amp;"D")</f>
        <v>56173</v>
      </c>
      <c r="X2478" s="200">
        <v>2.3746847244762795E-2</v>
      </c>
      <c r="Y2478" s="209">
        <v>2.3680165785844309E-2</v>
      </c>
    </row>
    <row r="2479" spans="21:25" x14ac:dyDescent="0.2">
      <c r="U2479" s="213" t="str">
        <f t="shared" si="42"/>
        <v>1w</v>
      </c>
      <c r="V2479" s="201">
        <f>_xll.qlCalendarAdvance(Calendar,V2478,U2479,"f",FALSE)</f>
        <v>56178</v>
      </c>
      <c r="W2479" s="225">
        <f>_xll.qlCalendarAdvance(Calendar,V2479,NDays&amp;"D")</f>
        <v>56180</v>
      </c>
      <c r="X2479" s="200">
        <v>2.3740868083664251E-2</v>
      </c>
      <c r="Y2479" s="209">
        <v>2.3674765248786755E-2</v>
      </c>
    </row>
    <row r="2480" spans="21:25" x14ac:dyDescent="0.2">
      <c r="U2480" s="213" t="str">
        <f t="shared" si="42"/>
        <v>1w</v>
      </c>
      <c r="V2480" s="201">
        <f>_xll.qlCalendarAdvance(Calendar,V2479,U2480,"f",FALSE)</f>
        <v>56185</v>
      </c>
      <c r="W2480" s="225">
        <f>_xll.qlCalendarAdvance(Calendar,V2480,NDays&amp;"D")</f>
        <v>56187</v>
      </c>
      <c r="X2480" s="200">
        <v>2.3734849171598356E-2</v>
      </c>
      <c r="Y2480" s="209">
        <v>2.366932541212563E-2</v>
      </c>
    </row>
    <row r="2481" spans="21:25" x14ac:dyDescent="0.2">
      <c r="U2481" s="213" t="str">
        <f t="shared" si="42"/>
        <v>1w</v>
      </c>
      <c r="V2481" s="201">
        <f>_xll.qlCalendarAdvance(Calendar,V2480,U2481,"f",FALSE)</f>
        <v>56192</v>
      </c>
      <c r="W2481" s="225">
        <f>_xll.qlCalendarAdvance(Calendar,V2481,NDays&amp;"D")</f>
        <v>56194</v>
      </c>
      <c r="X2481" s="200">
        <v>2.3728457939078861E-2</v>
      </c>
      <c r="Y2481" s="209">
        <v>2.3663846275621125E-2</v>
      </c>
    </row>
    <row r="2482" spans="21:25" x14ac:dyDescent="0.2">
      <c r="U2482" s="213" t="str">
        <f t="shared" si="42"/>
        <v>1w</v>
      </c>
      <c r="V2482" s="201">
        <f>_xll.qlCalendarAdvance(Calendar,V2481,U2482,"f",FALSE)</f>
        <v>56199</v>
      </c>
      <c r="W2482" s="225">
        <f>_xll.qlCalendarAdvance(Calendar,V2482,NDays&amp;"D")</f>
        <v>56201</v>
      </c>
      <c r="X2482" s="200">
        <v>2.3722362764743224E-2</v>
      </c>
      <c r="Y2482" s="209">
        <v>2.3658327839353177E-2</v>
      </c>
    </row>
    <row r="2483" spans="21:25" x14ac:dyDescent="0.2">
      <c r="U2483" s="213" t="str">
        <f t="shared" si="42"/>
        <v>1w</v>
      </c>
      <c r="V2483" s="201">
        <f>_xll.qlCalendarAdvance(Calendar,V2482,U2483,"f",FALSE)</f>
        <v>56206</v>
      </c>
      <c r="W2483" s="225">
        <f>_xll.qlCalendarAdvance(Calendar,V2483,NDays&amp;"D")</f>
        <v>56208</v>
      </c>
      <c r="X2483" s="200">
        <v>2.3716227842998684E-2</v>
      </c>
      <c r="Y2483" s="209">
        <v>2.3652770103321785E-2</v>
      </c>
    </row>
    <row r="2484" spans="21:25" x14ac:dyDescent="0.2">
      <c r="U2484" s="213" t="str">
        <f t="shared" si="42"/>
        <v>1w</v>
      </c>
      <c r="V2484" s="201">
        <f>_xll.qlCalendarAdvance(Calendar,V2483,U2484,"f",FALSE)</f>
        <v>56213</v>
      </c>
      <c r="W2484" s="225">
        <f>_xll.qlCalendarAdvance(Calendar,V2484,NDays&amp;"D")</f>
        <v>56215</v>
      </c>
      <c r="X2484" s="200">
        <v>2.3710053174208268E-2</v>
      </c>
      <c r="Y2484" s="209">
        <v>2.3647173067367078E-2</v>
      </c>
    </row>
    <row r="2485" spans="21:25" x14ac:dyDescent="0.2">
      <c r="U2485" s="213" t="str">
        <f t="shared" si="42"/>
        <v>1w</v>
      </c>
      <c r="V2485" s="201">
        <f>_xll.qlCalendarAdvance(Calendar,V2484,U2485,"f",FALSE)</f>
        <v>56220</v>
      </c>
      <c r="W2485" s="225">
        <f>_xll.qlCalendarAdvance(Calendar,V2485,NDays&amp;"D")</f>
        <v>56222</v>
      </c>
      <c r="X2485" s="200">
        <v>2.370415836058928E-2</v>
      </c>
      <c r="Y2485" s="209">
        <v>2.3641536731728863E-2</v>
      </c>
    </row>
    <row r="2486" spans="21:25" x14ac:dyDescent="0.2">
      <c r="U2486" s="213" t="str">
        <f t="shared" si="42"/>
        <v>1w</v>
      </c>
      <c r="V2486" s="201">
        <f>_xll.qlCalendarAdvance(Calendar,V2485,U2486,"f",FALSE)</f>
        <v>56227</v>
      </c>
      <c r="W2486" s="225">
        <f>_xll.qlCalendarAdvance(Calendar,V2486,NDays&amp;"D")</f>
        <v>56229</v>
      </c>
      <c r="X2486" s="200">
        <v>2.3697901558034976E-2</v>
      </c>
      <c r="Y2486" s="209">
        <v>2.3635861096247268E-2</v>
      </c>
    </row>
    <row r="2487" spans="21:25" x14ac:dyDescent="0.2">
      <c r="U2487" s="213" t="str">
        <f t="shared" si="42"/>
        <v>1w</v>
      </c>
      <c r="V2487" s="201">
        <f>_xll.qlCalendarAdvance(Calendar,V2486,U2487,"f",FALSE)</f>
        <v>56234</v>
      </c>
      <c r="W2487" s="225">
        <f>_xll.qlCalendarAdvance(Calendar,V2487,NDays&amp;"D")</f>
        <v>56236</v>
      </c>
      <c r="X2487" s="200">
        <v>2.3691607804141104E-2</v>
      </c>
      <c r="Y2487" s="209">
        <v>2.3630146161162102E-2</v>
      </c>
    </row>
    <row r="2488" spans="21:25" x14ac:dyDescent="0.2">
      <c r="U2488" s="213" t="str">
        <f t="shared" si="42"/>
        <v>1w</v>
      </c>
      <c r="V2488" s="201">
        <f>_xll.qlCalendarAdvance(Calendar,V2487,U2488,"f",FALSE)</f>
        <v>56241</v>
      </c>
      <c r="W2488" s="225">
        <f>_xll.qlCalendarAdvance(Calendar,V2488,NDays&amp;"D")</f>
        <v>56247</v>
      </c>
      <c r="X2488" s="200">
        <v>2.3681648850167089E-2</v>
      </c>
      <c r="Y2488" s="209">
        <v>2.3621086146983217E-2</v>
      </c>
    </row>
    <row r="2489" spans="21:25" x14ac:dyDescent="0.2">
      <c r="U2489" s="213" t="str">
        <f t="shared" si="42"/>
        <v>1w</v>
      </c>
      <c r="V2489" s="201">
        <f>_xll.qlCalendarAdvance(Calendar,V2488,U2489,"f",FALSE)</f>
        <v>56248</v>
      </c>
      <c r="W2489" s="225">
        <f>_xll.qlCalendarAdvance(Calendar,V2489,NDays&amp;"D")</f>
        <v>56251</v>
      </c>
      <c r="X2489" s="200">
        <v>2.3677699069781961E-2</v>
      </c>
      <c r="Y2489" s="209">
        <v>2.3618484976291043E-2</v>
      </c>
    </row>
    <row r="2490" spans="21:25" x14ac:dyDescent="0.2">
      <c r="U2490" s="213" t="str">
        <f t="shared" si="42"/>
        <v>1w</v>
      </c>
      <c r="V2490" s="201">
        <f>_xll.qlCalendarAdvance(Calendar,V2489,U2490,"f",FALSE)</f>
        <v>56255</v>
      </c>
      <c r="W2490" s="225">
        <f>_xll.qlCalendarAdvance(Calendar,V2490,NDays&amp;"D")</f>
        <v>56257</v>
      </c>
      <c r="X2490" s="200">
        <v>2.3672221760318517E-2</v>
      </c>
      <c r="Y2490" s="209">
        <v>2.3612765556926263E-2</v>
      </c>
    </row>
    <row r="2491" spans="21:25" x14ac:dyDescent="0.2">
      <c r="U2491" s="213" t="str">
        <f t="shared" si="42"/>
        <v>1w</v>
      </c>
      <c r="V2491" s="201">
        <f>_xll.qlCalendarAdvance(Calendar,V2490,U2491,"f",FALSE)</f>
        <v>56262</v>
      </c>
      <c r="W2491" s="225">
        <f>_xll.qlCalendarAdvance(Calendar,V2491,NDays&amp;"D")</f>
        <v>56264</v>
      </c>
      <c r="X2491" s="200">
        <v>2.3665806194062149E-2</v>
      </c>
      <c r="Y2491" s="209">
        <v>2.3606893422547515E-2</v>
      </c>
    </row>
    <row r="2492" spans="21:25" x14ac:dyDescent="0.2">
      <c r="U2492" s="213" t="str">
        <f t="shared" si="42"/>
        <v>1w</v>
      </c>
      <c r="V2492" s="201">
        <f>_xll.qlCalendarAdvance(Calendar,V2491,U2492,"f",FALSE)</f>
        <v>56269</v>
      </c>
      <c r="W2492" s="225">
        <f>_xll.qlCalendarAdvance(Calendar,V2492,NDays&amp;"D")</f>
        <v>56271</v>
      </c>
      <c r="X2492" s="200">
        <v>2.3659365648069933E-2</v>
      </c>
      <c r="Y2492" s="209">
        <v>2.3600981988565195E-2</v>
      </c>
    </row>
    <row r="2493" spans="21:25" x14ac:dyDescent="0.2">
      <c r="U2493" s="213" t="str">
        <f t="shared" si="42"/>
        <v>1w</v>
      </c>
      <c r="V2493" s="201">
        <f>_xll.qlCalendarAdvance(Calendar,V2492,U2493,"f",FALSE)</f>
        <v>56276</v>
      </c>
      <c r="W2493" s="225">
        <f>_xll.qlCalendarAdvance(Calendar,V2493,NDays&amp;"D")</f>
        <v>56278</v>
      </c>
      <c r="X2493" s="200">
        <v>2.3652902583332837E-2</v>
      </c>
      <c r="Y2493" s="209">
        <v>2.359503125465956E-2</v>
      </c>
    </row>
    <row r="2494" spans="21:25" x14ac:dyDescent="0.2">
      <c r="U2494" s="213" t="str">
        <f t="shared" si="42"/>
        <v>1w</v>
      </c>
      <c r="V2494" s="201">
        <f>_xll.qlCalendarAdvance(Calendar,V2493,U2494,"f",FALSE)</f>
        <v>56283</v>
      </c>
      <c r="W2494" s="225">
        <f>_xll.qlCalendarAdvance(Calendar,V2494,NDays&amp;"D")</f>
        <v>56285</v>
      </c>
      <c r="X2494" s="200">
        <v>2.3646419460812682E-2</v>
      </c>
      <c r="Y2494" s="209">
        <v>2.3589041221070417E-2</v>
      </c>
    </row>
    <row r="2495" spans="21:25" x14ac:dyDescent="0.2">
      <c r="U2495" s="213" t="str">
        <f t="shared" si="42"/>
        <v>1w</v>
      </c>
      <c r="V2495" s="201">
        <f>_xll.qlCalendarAdvance(Calendar,V2494,U2495,"f",FALSE)</f>
        <v>56290</v>
      </c>
      <c r="W2495" s="225">
        <f>_xll.qlCalendarAdvance(Calendar,V2495,NDays&amp;"D")</f>
        <v>56292</v>
      </c>
      <c r="X2495" s="200">
        <v>2.3639918741439048E-2</v>
      </c>
      <c r="Y2495" s="209">
        <v>2.3583011887797767E-2</v>
      </c>
    </row>
    <row r="2496" spans="21:25" x14ac:dyDescent="0.2">
      <c r="U2496" s="213" t="str">
        <f t="shared" si="42"/>
        <v>1w</v>
      </c>
      <c r="V2496" s="201">
        <f>_xll.qlCalendarAdvance(Calendar,V2495,U2496,"f",FALSE)</f>
        <v>56297</v>
      </c>
      <c r="W2496" s="225">
        <f>_xll.qlCalendarAdvance(Calendar,V2496,NDays&amp;"D")</f>
        <v>56299</v>
      </c>
      <c r="X2496" s="200">
        <v>2.3633402886109281E-2</v>
      </c>
      <c r="Y2496" s="209">
        <v>2.3576943254601801E-2</v>
      </c>
    </row>
    <row r="2497" spans="21:25" x14ac:dyDescent="0.2">
      <c r="U2497" s="213" t="str">
        <f t="shared" si="42"/>
        <v>1w</v>
      </c>
      <c r="V2497" s="201">
        <f>_xll.qlCalendarAdvance(Calendar,V2496,U2497,"f",FALSE)</f>
        <v>56304</v>
      </c>
      <c r="W2497" s="225">
        <f>_xll.qlCalendarAdvance(Calendar,V2497,NDays&amp;"D")</f>
        <v>56306</v>
      </c>
      <c r="X2497" s="200">
        <v>2.3626874355691573E-2</v>
      </c>
      <c r="Y2497" s="209">
        <v>2.3570835321722328E-2</v>
      </c>
    </row>
    <row r="2498" spans="21:25" x14ac:dyDescent="0.2">
      <c r="U2498" s="213" t="str">
        <f t="shared" si="42"/>
        <v>1w</v>
      </c>
      <c r="V2498" s="201">
        <f>_xll.qlCalendarAdvance(Calendar,V2497,U2498,"f",FALSE)</f>
        <v>56311</v>
      </c>
      <c r="W2498" s="225">
        <f>_xll.qlCalendarAdvance(Calendar,V2498,NDays&amp;"D")</f>
        <v>56313</v>
      </c>
      <c r="X2498" s="200">
        <v>2.3621847220041552E-2</v>
      </c>
      <c r="Y2498" s="209">
        <v>2.3564688089239283E-2</v>
      </c>
    </row>
    <row r="2499" spans="21:25" x14ac:dyDescent="0.2">
      <c r="U2499" s="213" t="str">
        <f t="shared" si="42"/>
        <v>1w</v>
      </c>
      <c r="V2499" s="201">
        <f>_xll.qlCalendarAdvance(Calendar,V2498,U2499,"f",FALSE)</f>
        <v>56318</v>
      </c>
      <c r="W2499" s="225">
        <f>_xll.qlCalendarAdvance(Calendar,V2499,NDays&amp;"D")</f>
        <v>56320</v>
      </c>
      <c r="X2499" s="200">
        <v>2.3615302065204947E-2</v>
      </c>
      <c r="Y2499" s="209">
        <v>2.3558501556832923E-2</v>
      </c>
    </row>
    <row r="2500" spans="21:25" x14ac:dyDescent="0.2">
      <c r="U2500" s="213" t="str">
        <f t="shared" si="42"/>
        <v>1w</v>
      </c>
      <c r="V2500" s="201">
        <f>_xll.qlCalendarAdvance(Calendar,V2499,U2500,"f",FALSE)</f>
        <v>56325</v>
      </c>
      <c r="W2500" s="225">
        <f>_xll.qlCalendarAdvance(Calendar,V2500,NDays&amp;"D")</f>
        <v>56327</v>
      </c>
      <c r="X2500" s="200">
        <v>2.3608752401114722E-2</v>
      </c>
      <c r="Y2500" s="209">
        <v>2.3552275724663119E-2</v>
      </c>
    </row>
    <row r="2501" spans="21:25" x14ac:dyDescent="0.2">
      <c r="U2501" s="213" t="str">
        <f t="shared" si="42"/>
        <v>1w</v>
      </c>
      <c r="V2501" s="201">
        <f>_xll.qlCalendarAdvance(Calendar,V2500,U2501,"f",FALSE)</f>
        <v>56332</v>
      </c>
      <c r="W2501" s="225">
        <f>_xll.qlCalendarAdvance(Calendar,V2501,NDays&amp;"D")</f>
        <v>56334</v>
      </c>
      <c r="X2501" s="200">
        <v>2.3602200623134364E-2</v>
      </c>
      <c r="Y2501" s="209">
        <v>2.3547292346984605E-2</v>
      </c>
    </row>
    <row r="2502" spans="21:25" x14ac:dyDescent="0.2">
      <c r="U2502" s="213" t="str">
        <f t="shared" si="42"/>
        <v>1w</v>
      </c>
      <c r="V2502" s="201">
        <f>_xll.qlCalendarAdvance(Calendar,V2501,U2502,"f",FALSE)</f>
        <v>56339</v>
      </c>
      <c r="W2502" s="225">
        <f>_xll.qlCalendarAdvance(Calendar,V2502,NDays&amp;"D")</f>
        <v>56341</v>
      </c>
      <c r="X2502" s="200">
        <v>2.3594735918382598E-2</v>
      </c>
      <c r="Y2502" s="209">
        <v>2.3539706161193052E-2</v>
      </c>
    </row>
    <row r="2503" spans="21:25" x14ac:dyDescent="0.2">
      <c r="U2503" s="213" t="str">
        <f t="shared" si="42"/>
        <v>1w</v>
      </c>
      <c r="V2503" s="201">
        <f>_xll.qlCalendarAdvance(Calendar,V2502,U2503,"f",FALSE)</f>
        <v>56346</v>
      </c>
      <c r="W2503" s="225">
        <f>_xll.qlCalendarAdvance(Calendar,V2503,NDays&amp;"D")</f>
        <v>56348</v>
      </c>
      <c r="X2503" s="200">
        <v>2.358818463213206E-2</v>
      </c>
      <c r="Y2503" s="209">
        <v>2.3533362429812854E-2</v>
      </c>
    </row>
    <row r="2504" spans="21:25" x14ac:dyDescent="0.2">
      <c r="U2504" s="213" t="str">
        <f t="shared" si="42"/>
        <v>1w</v>
      </c>
      <c r="V2504" s="201">
        <f>_xll.qlCalendarAdvance(Calendar,V2503,U2504,"f",FALSE)</f>
        <v>56353</v>
      </c>
      <c r="W2504" s="225">
        <f>_xll.qlCalendarAdvance(Calendar,V2504,NDays&amp;"D")</f>
        <v>56355</v>
      </c>
      <c r="X2504" s="200">
        <v>2.3581638108106234E-2</v>
      </c>
      <c r="Y2504" s="209">
        <v>2.3526979398669212E-2</v>
      </c>
    </row>
    <row r="2505" spans="21:25" x14ac:dyDescent="0.2">
      <c r="U2505" s="213" t="str">
        <f t="shared" si="42"/>
        <v>1w</v>
      </c>
      <c r="V2505" s="201">
        <f>_xll.qlCalendarAdvance(Calendar,V2504,U2505,"f",FALSE)</f>
        <v>56360</v>
      </c>
      <c r="W2505" s="225">
        <f>_xll.qlCalendarAdvance(Calendar,V2505,NDays&amp;"D")</f>
        <v>56362</v>
      </c>
      <c r="X2505" s="200">
        <v>2.3575098780336239E-2</v>
      </c>
      <c r="Y2505" s="209">
        <v>2.3520557067842063E-2</v>
      </c>
    </row>
    <row r="2506" spans="21:25" x14ac:dyDescent="0.2">
      <c r="U2506" s="213" t="str">
        <f t="shared" si="42"/>
        <v>1w</v>
      </c>
      <c r="V2506" s="201">
        <f>_xll.qlCalendarAdvance(Calendar,V2505,U2506,"f",FALSE)</f>
        <v>56367</v>
      </c>
      <c r="W2506" s="225">
        <f>_xll.qlCalendarAdvance(Calendar,V2506,NDays&amp;"D")</f>
        <v>56369</v>
      </c>
      <c r="X2506" s="200">
        <v>2.3568569082823492E-2</v>
      </c>
      <c r="Y2506" s="209">
        <v>2.3515008818641991E-2</v>
      </c>
    </row>
    <row r="2507" spans="21:25" x14ac:dyDescent="0.2">
      <c r="U2507" s="213" t="str">
        <f t="shared" si="42"/>
        <v>1w</v>
      </c>
      <c r="V2507" s="201">
        <f>_xll.qlCalendarAdvance(Calendar,V2506,U2507,"f",FALSE)</f>
        <v>56374</v>
      </c>
      <c r="W2507" s="225">
        <f>_xll.qlCalendarAdvance(Calendar,V2507,NDays&amp;"D")</f>
        <v>56376</v>
      </c>
      <c r="X2507" s="200">
        <v>2.3562979699852334E-2</v>
      </c>
      <c r="Y2507" s="209">
        <v>2.3507594506897433E-2</v>
      </c>
    </row>
    <row r="2508" spans="21:25" x14ac:dyDescent="0.2">
      <c r="U2508" s="213" t="str">
        <f t="shared" si="42"/>
        <v>1w</v>
      </c>
      <c r="V2508" s="201">
        <f>_xll.qlCalendarAdvance(Calendar,V2507,U2508,"f",FALSE)</f>
        <v>56381</v>
      </c>
      <c r="W2508" s="225">
        <f>_xll.qlCalendarAdvance(Calendar,V2508,NDays&amp;"D")</f>
        <v>56383</v>
      </c>
      <c r="X2508" s="200">
        <v>2.355648019211946E-2</v>
      </c>
      <c r="Y2508" s="209">
        <v>2.3501054276939826E-2</v>
      </c>
    </row>
    <row r="2509" spans="21:25" x14ac:dyDescent="0.2">
      <c r="U2509" s="213" t="str">
        <f t="shared" si="42"/>
        <v>1w</v>
      </c>
      <c r="V2509" s="201">
        <f>_xll.qlCalendarAdvance(Calendar,V2508,U2509,"f",FALSE)</f>
        <v>56388</v>
      </c>
      <c r="W2509" s="225">
        <f>_xll.qlCalendarAdvance(Calendar,V2509,NDays&amp;"D")</f>
        <v>56390</v>
      </c>
      <c r="X2509" s="200">
        <v>2.3549997732251207E-2</v>
      </c>
      <c r="Y2509" s="209">
        <v>2.3494474747138838E-2</v>
      </c>
    </row>
    <row r="2510" spans="21:25" x14ac:dyDescent="0.2">
      <c r="U2510" s="213" t="str">
        <f t="shared" si="42"/>
        <v>1w</v>
      </c>
      <c r="V2510" s="201">
        <f>_xll.qlCalendarAdvance(Calendar,V2509,U2510,"f",FALSE)</f>
        <v>56395</v>
      </c>
      <c r="W2510" s="225">
        <f>_xll.qlCalendarAdvance(Calendar,V2510,NDays&amp;"D")</f>
        <v>56397</v>
      </c>
      <c r="X2510" s="200">
        <v>2.3543534715324409E-2</v>
      </c>
      <c r="Y2510" s="209">
        <v>2.3487855917574407E-2</v>
      </c>
    </row>
    <row r="2511" spans="21:25" x14ac:dyDescent="0.2">
      <c r="U2511" s="213" t="str">
        <f t="shared" si="42"/>
        <v>1w</v>
      </c>
      <c r="V2511" s="201">
        <f>_xll.qlCalendarAdvance(Calendar,V2510,U2511,"f",FALSE)</f>
        <v>56402</v>
      </c>
      <c r="W2511" s="225">
        <f>_xll.qlCalendarAdvance(Calendar,V2511,NDays&amp;"D")</f>
        <v>56404</v>
      </c>
      <c r="X2511" s="200">
        <v>2.3536150235720289E-2</v>
      </c>
      <c r="Y2511" s="209">
        <v>2.3481199285528831E-2</v>
      </c>
    </row>
    <row r="2512" spans="21:25" x14ac:dyDescent="0.2">
      <c r="U2512" s="213" t="str">
        <f t="shared" si="42"/>
        <v>1w</v>
      </c>
      <c r="V2512" s="201">
        <f>_xll.qlCalendarAdvance(Calendar,V2511,U2512,"f",FALSE)</f>
        <v>56409</v>
      </c>
      <c r="W2512" s="225">
        <f>_xll.qlCalendarAdvance(Calendar,V2512,NDays&amp;"D")</f>
        <v>56411</v>
      </c>
      <c r="X2512" s="200">
        <v>2.3529728827618644E-2</v>
      </c>
      <c r="Y2512" s="209">
        <v>2.3474546773947225E-2</v>
      </c>
    </row>
    <row r="2513" spans="21:25" x14ac:dyDescent="0.2">
      <c r="U2513" s="213" t="str">
        <f t="shared" si="42"/>
        <v>1w</v>
      </c>
      <c r="V2513" s="201">
        <f>_xll.qlCalendarAdvance(Calendar,V2512,U2513,"f",FALSE)</f>
        <v>56416</v>
      </c>
      <c r="W2513" s="225">
        <f>_xll.qlCalendarAdvance(Calendar,V2513,NDays&amp;"D")</f>
        <v>56418</v>
      </c>
      <c r="X2513" s="200">
        <v>2.3523331305165866E-2</v>
      </c>
      <c r="Y2513" s="209">
        <v>2.3467917847019848E-2</v>
      </c>
    </row>
    <row r="2514" spans="21:25" x14ac:dyDescent="0.2">
      <c r="U2514" s="213" t="str">
        <f t="shared" si="42"/>
        <v>1w</v>
      </c>
      <c r="V2514" s="201">
        <f>_xll.qlCalendarAdvance(Calendar,V2513,U2514,"f",FALSE)</f>
        <v>56423</v>
      </c>
      <c r="W2514" s="225">
        <f>_xll.qlCalendarAdvance(Calendar,V2514,NDays&amp;"D")</f>
        <v>56425</v>
      </c>
      <c r="X2514" s="200">
        <v>2.3517912584760083E-2</v>
      </c>
      <c r="Y2514" s="209">
        <v>2.3461312504506893E-2</v>
      </c>
    </row>
    <row r="2515" spans="21:25" x14ac:dyDescent="0.2">
      <c r="U2515" s="213" t="str">
        <f t="shared" si="42"/>
        <v>1w</v>
      </c>
      <c r="V2515" s="201">
        <f>_xll.qlCalendarAdvance(Calendar,V2514,U2515,"f",FALSE)</f>
        <v>56430</v>
      </c>
      <c r="W2515" s="225">
        <f>_xll.qlCalendarAdvance(Calendar,V2515,NDays&amp;"D")</f>
        <v>56432</v>
      </c>
      <c r="X2515" s="200">
        <v>2.3511566715171996E-2</v>
      </c>
      <c r="Y2515" s="209">
        <v>2.3454730746728103E-2</v>
      </c>
    </row>
    <row r="2516" spans="21:25" x14ac:dyDescent="0.2">
      <c r="U2516" s="213" t="str">
        <f t="shared" si="42"/>
        <v>1w</v>
      </c>
      <c r="V2516" s="201">
        <f>_xll.qlCalendarAdvance(Calendar,V2515,U2516,"f",FALSE)</f>
        <v>56437</v>
      </c>
      <c r="W2516" s="225">
        <f>_xll.qlCalendarAdvance(Calendar,V2516,NDays&amp;"D")</f>
        <v>56439</v>
      </c>
      <c r="X2516" s="200">
        <v>2.3505244735479987E-2</v>
      </c>
      <c r="Y2516" s="209">
        <v>2.3448172573603543E-2</v>
      </c>
    </row>
    <row r="2517" spans="21:25" x14ac:dyDescent="0.2">
      <c r="U2517" s="213" t="str">
        <f t="shared" ref="U2517:U2580" si="43">U2516</f>
        <v>1w</v>
      </c>
      <c r="V2517" s="201">
        <f>_xll.qlCalendarAdvance(Calendar,V2516,U2517,"f",FALSE)</f>
        <v>56444</v>
      </c>
      <c r="W2517" s="225">
        <f>_xll.qlCalendarAdvance(Calendar,V2517,NDays&amp;"D")</f>
        <v>56446</v>
      </c>
      <c r="X2517" s="200">
        <v>2.3498946645451563E-2</v>
      </c>
      <c r="Y2517" s="209">
        <v>2.3441637984893404E-2</v>
      </c>
    </row>
    <row r="2518" spans="21:25" x14ac:dyDescent="0.2">
      <c r="U2518" s="213" t="str">
        <f t="shared" si="43"/>
        <v>1w</v>
      </c>
      <c r="V2518" s="201">
        <f>_xll.qlCalendarAdvance(Calendar,V2517,U2518,"f",FALSE)</f>
        <v>56451</v>
      </c>
      <c r="W2518" s="225">
        <f>_xll.qlCalendarAdvance(Calendar,V2518,NDays&amp;"D")</f>
        <v>56453</v>
      </c>
      <c r="X2518" s="200">
        <v>2.3492672444856796E-2</v>
      </c>
      <c r="Y2518" s="209">
        <v>2.3435126980837495E-2</v>
      </c>
    </row>
    <row r="2519" spans="21:25" x14ac:dyDescent="0.2">
      <c r="U2519" s="213" t="str">
        <f t="shared" si="43"/>
        <v>1w</v>
      </c>
      <c r="V2519" s="201">
        <f>_xll.qlCalendarAdvance(Calendar,V2518,U2519,"f",FALSE)</f>
        <v>56458</v>
      </c>
      <c r="W2519" s="225">
        <f>_xll.qlCalendarAdvance(Calendar,V2519,NDays&amp;"D")</f>
        <v>56460</v>
      </c>
      <c r="X2519" s="200">
        <v>2.348544775626208E-2</v>
      </c>
      <c r="Y2519" s="209">
        <v>2.342863956135588E-2</v>
      </c>
    </row>
    <row r="2520" spans="21:25" x14ac:dyDescent="0.2">
      <c r="U2520" s="213" t="str">
        <f t="shared" si="43"/>
        <v>1w</v>
      </c>
      <c r="V2520" s="201">
        <f>_xll.qlCalendarAdvance(Calendar,V2519,U2520,"f",FALSE)</f>
        <v>56465</v>
      </c>
      <c r="W2520" s="225">
        <f>_xll.qlCalendarAdvance(Calendar,V2520,NDays&amp;"D")</f>
        <v>56467</v>
      </c>
      <c r="X2520" s="200">
        <v>2.3480195711053264E-2</v>
      </c>
      <c r="Y2520" s="209">
        <v>2.342217572660843E-2</v>
      </c>
    </row>
    <row r="2521" spans="21:25" x14ac:dyDescent="0.2">
      <c r="U2521" s="213" t="str">
        <f t="shared" si="43"/>
        <v>1w</v>
      </c>
      <c r="V2521" s="201">
        <f>_xll.qlCalendarAdvance(Calendar,V2520,U2521,"f",FALSE)</f>
        <v>56472</v>
      </c>
      <c r="W2521" s="225">
        <f>_xll.qlCalendarAdvance(Calendar,V2521,NDays&amp;"D")</f>
        <v>56474</v>
      </c>
      <c r="X2521" s="200">
        <v>2.3473993177388089E-2</v>
      </c>
      <c r="Y2521" s="209">
        <v>2.3415735476355337E-2</v>
      </c>
    </row>
    <row r="2522" spans="21:25" x14ac:dyDescent="0.2">
      <c r="U2522" s="213" t="str">
        <f t="shared" si="43"/>
        <v>1w</v>
      </c>
      <c r="V2522" s="201">
        <f>_xll.qlCalendarAdvance(Calendar,V2521,U2522,"f",FALSE)</f>
        <v>56479</v>
      </c>
      <c r="W2522" s="225">
        <f>_xll.qlCalendarAdvance(Calendar,V2522,NDays&amp;"D")</f>
        <v>56481</v>
      </c>
      <c r="X2522" s="200">
        <v>2.3467814532243756E-2</v>
      </c>
      <c r="Y2522" s="209">
        <v>2.3409318810596602E-2</v>
      </c>
    </row>
    <row r="2523" spans="21:25" x14ac:dyDescent="0.2">
      <c r="U2523" s="213" t="str">
        <f t="shared" si="43"/>
        <v>1w</v>
      </c>
      <c r="V2523" s="201">
        <f>_xll.qlCalendarAdvance(Calendar,V2522,U2523,"f",FALSE)</f>
        <v>56486</v>
      </c>
      <c r="W2523" s="225">
        <f>_xll.qlCalendarAdvance(Calendar,V2523,NDays&amp;"D")</f>
        <v>56488</v>
      </c>
      <c r="X2523" s="200">
        <v>2.3460669741157028E-2</v>
      </c>
      <c r="Y2523" s="209">
        <v>2.3402925729572033E-2</v>
      </c>
    </row>
    <row r="2524" spans="21:25" x14ac:dyDescent="0.2">
      <c r="U2524" s="213" t="str">
        <f t="shared" si="43"/>
        <v>1w</v>
      </c>
      <c r="V2524" s="201">
        <f>_xll.qlCalendarAdvance(Calendar,V2523,U2524,"f",FALSE)</f>
        <v>56493</v>
      </c>
      <c r="W2524" s="225">
        <f>_xll.qlCalendarAdvance(Calendar,V2524,NDays&amp;"D")</f>
        <v>56495</v>
      </c>
      <c r="X2524" s="200">
        <v>2.3453873003568951E-2</v>
      </c>
      <c r="Y2524" s="209">
        <v>2.3396556233121757E-2</v>
      </c>
    </row>
    <row r="2525" spans="21:25" x14ac:dyDescent="0.2">
      <c r="U2525" s="213" t="str">
        <f t="shared" si="43"/>
        <v>1w</v>
      </c>
      <c r="V2525" s="201">
        <f>_xll.qlCalendarAdvance(Calendar,V2524,U2525,"f",FALSE)</f>
        <v>56500</v>
      </c>
      <c r="W2525" s="225">
        <f>_xll.qlCalendarAdvance(Calendar,V2525,NDays&amp;"D")</f>
        <v>56502</v>
      </c>
      <c r="X2525" s="200">
        <v>2.3447759471291407E-2</v>
      </c>
      <c r="Y2525" s="209">
        <v>2.3390210321085902E-2</v>
      </c>
    </row>
    <row r="2526" spans="21:25" x14ac:dyDescent="0.2">
      <c r="U2526" s="213" t="str">
        <f t="shared" si="43"/>
        <v>1w</v>
      </c>
      <c r="V2526" s="201">
        <f>_xll.qlCalendarAdvance(Calendar,V2525,U2526,"f",FALSE)</f>
        <v>56507</v>
      </c>
      <c r="W2526" s="225">
        <f>_xll.qlCalendarAdvance(Calendar,V2526,NDays&amp;"D")</f>
        <v>56509</v>
      </c>
      <c r="X2526" s="200">
        <v>2.3441669818473596E-2</v>
      </c>
      <c r="Y2526" s="209">
        <v>2.3383887993784214E-2</v>
      </c>
    </row>
    <row r="2527" spans="21:25" x14ac:dyDescent="0.2">
      <c r="U2527" s="213" t="str">
        <f t="shared" si="43"/>
        <v>1w</v>
      </c>
      <c r="V2527" s="201">
        <f>_xll.qlCalendarAdvance(Calendar,V2526,U2527,"f",FALSE)</f>
        <v>56514</v>
      </c>
      <c r="W2527" s="225">
        <f>_xll.qlCalendarAdvance(Calendar,V2527,NDays&amp;"D")</f>
        <v>56516</v>
      </c>
      <c r="X2527" s="200">
        <v>2.3435604044897796E-2</v>
      </c>
      <c r="Y2527" s="209">
        <v>2.3377589251056818E-2</v>
      </c>
    </row>
    <row r="2528" spans="21:25" x14ac:dyDescent="0.2">
      <c r="U2528" s="213" t="str">
        <f t="shared" si="43"/>
        <v>1w</v>
      </c>
      <c r="V2528" s="201">
        <f>_xll.qlCalendarAdvance(Calendar,V2527,U2528,"f",FALSE)</f>
        <v>56521</v>
      </c>
      <c r="W2528" s="225">
        <f>_xll.qlCalendarAdvance(Calendar,V2528,NDays&amp;"D")</f>
        <v>56523</v>
      </c>
      <c r="X2528" s="200">
        <v>2.3429898300886071E-2</v>
      </c>
      <c r="Y2528" s="209">
        <v>2.3371314092903717E-2</v>
      </c>
    </row>
    <row r="2529" spans="21:25" x14ac:dyDescent="0.2">
      <c r="U2529" s="213" t="str">
        <f t="shared" si="43"/>
        <v>1w</v>
      </c>
      <c r="V2529" s="201">
        <f>_xll.qlCalendarAdvance(Calendar,V2528,U2529,"f",FALSE)</f>
        <v>56528</v>
      </c>
      <c r="W2529" s="225">
        <f>_xll.qlCalendarAdvance(Calendar,V2529,NDays&amp;"D")</f>
        <v>56530</v>
      </c>
      <c r="X2529" s="200">
        <v>2.342388160152448E-2</v>
      </c>
      <c r="Y2529" s="209">
        <v>2.3365062519244972E-2</v>
      </c>
    </row>
    <row r="2530" spans="21:25" x14ac:dyDescent="0.2">
      <c r="U2530" s="213" t="str">
        <f t="shared" si="43"/>
        <v>1w</v>
      </c>
      <c r="V2530" s="201">
        <f>_xll.qlCalendarAdvance(Calendar,V2529,U2530,"f",FALSE)</f>
        <v>56535</v>
      </c>
      <c r="W2530" s="225">
        <f>_xll.qlCalendarAdvance(Calendar,V2530,NDays&amp;"D")</f>
        <v>56537</v>
      </c>
      <c r="X2530" s="200">
        <v>2.34178887823886E-2</v>
      </c>
      <c r="Y2530" s="209">
        <v>2.3358834530320394E-2</v>
      </c>
    </row>
    <row r="2531" spans="21:25" x14ac:dyDescent="0.2">
      <c r="U2531" s="213" t="str">
        <f t="shared" si="43"/>
        <v>1w</v>
      </c>
      <c r="V2531" s="201">
        <f>_xll.qlCalendarAdvance(Calendar,V2530,U2531,"f",FALSE)</f>
        <v>56542</v>
      </c>
      <c r="W2531" s="225">
        <f>_xll.qlCalendarAdvance(Calendar,V2531,NDays&amp;"D")</f>
        <v>56544</v>
      </c>
      <c r="X2531" s="200">
        <v>2.3411919843263653E-2</v>
      </c>
      <c r="Y2531" s="209">
        <v>2.3352630125890173E-2</v>
      </c>
    </row>
    <row r="2532" spans="21:25" x14ac:dyDescent="0.2">
      <c r="U2532" s="213" t="str">
        <f t="shared" si="43"/>
        <v>1w</v>
      </c>
      <c r="V2532" s="201">
        <f>_xll.qlCalendarAdvance(Calendar,V2531,U2532,"f",FALSE)</f>
        <v>56549</v>
      </c>
      <c r="W2532" s="225">
        <f>_xll.qlCalendarAdvance(Calendar,V2532,NDays&amp;"D")</f>
        <v>56551</v>
      </c>
      <c r="X2532" s="200">
        <v>2.3405974783936627E-2</v>
      </c>
      <c r="Y2532" s="209">
        <v>2.3346449306034245E-2</v>
      </c>
    </row>
    <row r="2533" spans="21:25" x14ac:dyDescent="0.2">
      <c r="U2533" s="213" t="str">
        <f t="shared" si="43"/>
        <v>1w</v>
      </c>
      <c r="V2533" s="201">
        <f>_xll.qlCalendarAdvance(Calendar,V2532,U2533,"f",FALSE)</f>
        <v>56556</v>
      </c>
      <c r="W2533" s="225">
        <f>_xll.qlCalendarAdvance(Calendar,V2533,NDays&amp;"D")</f>
        <v>56558</v>
      </c>
      <c r="X2533" s="200">
        <v>2.3399710855497236E-2</v>
      </c>
      <c r="Y2533" s="209">
        <v>2.3340292070752611E-2</v>
      </c>
    </row>
    <row r="2534" spans="21:25" x14ac:dyDescent="0.2">
      <c r="U2534" s="213" t="str">
        <f t="shared" si="43"/>
        <v>1w</v>
      </c>
      <c r="V2534" s="201">
        <f>_xll.qlCalendarAdvance(Calendar,V2533,U2534,"f",FALSE)</f>
        <v>56563</v>
      </c>
      <c r="W2534" s="225">
        <f>_xll.qlCalendarAdvance(Calendar,V2534,NDays&amp;"D")</f>
        <v>56565</v>
      </c>
      <c r="X2534" s="200">
        <v>2.3393812230620294E-2</v>
      </c>
      <c r="Y2534" s="209">
        <v>2.3334158420125206E-2</v>
      </c>
    </row>
    <row r="2535" spans="21:25" x14ac:dyDescent="0.2">
      <c r="U2535" s="213" t="str">
        <f t="shared" si="43"/>
        <v>1w</v>
      </c>
      <c r="V2535" s="201">
        <f>_xll.qlCalendarAdvance(Calendar,V2534,U2535,"f",FALSE)</f>
        <v>56570</v>
      </c>
      <c r="W2535" s="225">
        <f>_xll.qlCalendarAdvance(Calendar,V2535,NDays&amp;"D")</f>
        <v>56572</v>
      </c>
      <c r="X2535" s="200">
        <v>2.3387937483282415E-2</v>
      </c>
      <c r="Y2535" s="209">
        <v>2.3328048353912223E-2</v>
      </c>
    </row>
    <row r="2536" spans="21:25" x14ac:dyDescent="0.2">
      <c r="U2536" s="213" t="str">
        <f t="shared" si="43"/>
        <v>1w</v>
      </c>
      <c r="V2536" s="201">
        <f>_xll.qlCalendarAdvance(Calendar,V2535,U2536,"f",FALSE)</f>
        <v>56577</v>
      </c>
      <c r="W2536" s="225">
        <f>_xll.qlCalendarAdvance(Calendar,V2536,NDays&amp;"D")</f>
        <v>56579</v>
      </c>
      <c r="X2536" s="200">
        <v>2.3382086613274261E-2</v>
      </c>
      <c r="Y2536" s="209">
        <v>2.3321961872273533E-2</v>
      </c>
    </row>
    <row r="2537" spans="21:25" x14ac:dyDescent="0.2">
      <c r="U2537" s="213" t="str">
        <f t="shared" si="43"/>
        <v>1w</v>
      </c>
      <c r="V2537" s="201">
        <f>_xll.qlCalendarAdvance(Calendar,V2536,U2537,"f",FALSE)</f>
        <v>56584</v>
      </c>
      <c r="W2537" s="225">
        <f>_xll.qlCalendarAdvance(Calendar,V2537,NDays&amp;"D")</f>
        <v>56586</v>
      </c>
      <c r="X2537" s="200">
        <v>2.3376607676851607E-2</v>
      </c>
      <c r="Y2537" s="209">
        <v>2.3315898975369009E-2</v>
      </c>
    </row>
    <row r="2538" spans="21:25" x14ac:dyDescent="0.2">
      <c r="U2538" s="213" t="str">
        <f t="shared" si="43"/>
        <v>1w</v>
      </c>
      <c r="V2538" s="201">
        <f>_xll.qlCalendarAdvance(Calendar,V2537,U2538,"f",FALSE)</f>
        <v>56591</v>
      </c>
      <c r="W2538" s="225">
        <f>_xll.qlCalendarAdvance(Calendar,V2538,NDays&amp;"D")</f>
        <v>56593</v>
      </c>
      <c r="X2538" s="200">
        <v>2.3370805891873889E-2</v>
      </c>
      <c r="Y2538" s="209">
        <v>2.3309859662958843E-2</v>
      </c>
    </row>
    <row r="2539" spans="21:25" x14ac:dyDescent="0.2">
      <c r="U2539" s="213" t="str">
        <f t="shared" si="43"/>
        <v>1w</v>
      </c>
      <c r="V2539" s="201">
        <f>_xll.qlCalendarAdvance(Calendar,V2538,U2539,"f",FALSE)</f>
        <v>56598</v>
      </c>
      <c r="W2539" s="225">
        <f>_xll.qlCalendarAdvance(Calendar,V2539,NDays&amp;"D")</f>
        <v>56600</v>
      </c>
      <c r="X2539" s="200">
        <v>2.3365027985222737E-2</v>
      </c>
      <c r="Y2539" s="209">
        <v>2.330384393512297E-2</v>
      </c>
    </row>
    <row r="2540" spans="21:25" x14ac:dyDescent="0.2">
      <c r="U2540" s="213" t="str">
        <f t="shared" si="43"/>
        <v>1w</v>
      </c>
      <c r="V2540" s="201">
        <f>_xll.qlCalendarAdvance(Calendar,V2539,U2540,"f",FALSE)</f>
        <v>56605</v>
      </c>
      <c r="W2540" s="225">
        <f>_xll.qlCalendarAdvance(Calendar,V2540,NDays&amp;"D")</f>
        <v>56607</v>
      </c>
      <c r="X2540" s="200">
        <v>2.3359273956690851E-2</v>
      </c>
      <c r="Y2540" s="209">
        <v>2.3298832603753095E-2</v>
      </c>
    </row>
    <row r="2541" spans="21:25" x14ac:dyDescent="0.2">
      <c r="U2541" s="213" t="str">
        <f t="shared" si="43"/>
        <v>1w</v>
      </c>
      <c r="V2541" s="201">
        <f>_xll.qlCalendarAdvance(Calendar,V2540,U2541,"f",FALSE)</f>
        <v>56612</v>
      </c>
      <c r="W2541" s="225">
        <f>_xll.qlCalendarAdvance(Calendar,V2541,NDays&amp;"D")</f>
        <v>56614</v>
      </c>
      <c r="X2541" s="200">
        <v>2.3353190415933926E-2</v>
      </c>
      <c r="Y2541" s="209">
        <v>2.3292867941189233E-2</v>
      </c>
    </row>
    <row r="2542" spans="21:25" x14ac:dyDescent="0.2">
      <c r="U2542" s="213" t="str">
        <f t="shared" si="43"/>
        <v>1w</v>
      </c>
      <c r="V2542" s="201">
        <f>_xll.qlCalendarAdvance(Calendar,V2541,U2542,"f",FALSE)</f>
        <v>56619</v>
      </c>
      <c r="W2542" s="225">
        <f>_xll.qlCalendarAdvance(Calendar,V2542,NDays&amp;"D")</f>
        <v>56621</v>
      </c>
      <c r="X2542" s="200">
        <v>2.3347482805565947E-2</v>
      </c>
      <c r="Y2542" s="209">
        <v>2.3285938258821304E-2</v>
      </c>
    </row>
    <row r="2543" spans="21:25" x14ac:dyDescent="0.2">
      <c r="U2543" s="213" t="str">
        <f t="shared" si="43"/>
        <v>1w</v>
      </c>
      <c r="V2543" s="201">
        <f>_xll.qlCalendarAdvance(Calendar,V2542,U2543,"f",FALSE)</f>
        <v>56626</v>
      </c>
      <c r="W2543" s="225">
        <f>_xll.qlCalendarAdvance(Calendar,V2543,NDays&amp;"D")</f>
        <v>56628</v>
      </c>
      <c r="X2543" s="200">
        <v>2.3341799071088402E-2</v>
      </c>
      <c r="Y2543" s="209">
        <v>2.3280016869202669E-2</v>
      </c>
    </row>
    <row r="2544" spans="21:25" x14ac:dyDescent="0.2">
      <c r="U2544" s="213" t="str">
        <f t="shared" si="43"/>
        <v>1w</v>
      </c>
      <c r="V2544" s="201">
        <f>_xll.qlCalendarAdvance(Calendar,V2543,U2544,"f",FALSE)</f>
        <v>56633</v>
      </c>
      <c r="W2544" s="225">
        <f>_xll.qlCalendarAdvance(Calendar,V2544,NDays&amp;"D")</f>
        <v>56635</v>
      </c>
      <c r="X2544" s="200">
        <v>2.333613921230035E-2</v>
      </c>
      <c r="Y2544" s="209">
        <v>2.3274119064238263E-2</v>
      </c>
    </row>
    <row r="2545" spans="21:25" x14ac:dyDescent="0.2">
      <c r="U2545" s="213" t="str">
        <f t="shared" si="43"/>
        <v>1w</v>
      </c>
      <c r="V2545" s="201">
        <f>_xll.qlCalendarAdvance(Calendar,V2544,U2545,"f",FALSE)</f>
        <v>56640</v>
      </c>
      <c r="W2545" s="225">
        <f>_xll.qlCalendarAdvance(Calendar,V2545,NDays&amp;"D")</f>
        <v>56642</v>
      </c>
      <c r="X2545" s="200">
        <v>2.3330503228999523E-2</v>
      </c>
      <c r="Y2545" s="209">
        <v>2.3268244843688279E-2</v>
      </c>
    </row>
    <row r="2546" spans="21:25" x14ac:dyDescent="0.2">
      <c r="U2546" s="213" t="str">
        <f t="shared" si="43"/>
        <v>1w</v>
      </c>
      <c r="V2546" s="201">
        <f>_xll.qlCalendarAdvance(Calendar,V2545,U2546,"f",FALSE)</f>
        <v>56647</v>
      </c>
      <c r="W2546" s="225">
        <f>_xll.qlCalendarAdvance(Calendar,V2546,NDays&amp;"D")</f>
        <v>56649</v>
      </c>
      <c r="X2546" s="200">
        <v>2.3324891120984972E-2</v>
      </c>
      <c r="Y2546" s="209">
        <v>2.3262394207792525E-2</v>
      </c>
    </row>
    <row r="2547" spans="21:25" x14ac:dyDescent="0.2">
      <c r="U2547" s="213" t="str">
        <f t="shared" si="43"/>
        <v>1w</v>
      </c>
      <c r="V2547" s="201">
        <f>_xll.qlCalendarAdvance(Calendar,V2546,U2547,"f",FALSE)</f>
        <v>56654</v>
      </c>
      <c r="W2547" s="225">
        <f>_xll.qlCalendarAdvance(Calendar,V2547,NDays&amp;"D")</f>
        <v>56656</v>
      </c>
      <c r="X2547" s="200">
        <v>2.3319302888057964E-2</v>
      </c>
      <c r="Y2547" s="209">
        <v>2.3256567156391128E-2</v>
      </c>
    </row>
    <row r="2548" spans="21:25" x14ac:dyDescent="0.2">
      <c r="U2548" s="213" t="str">
        <f t="shared" si="43"/>
        <v>1w</v>
      </c>
      <c r="V2548" s="201">
        <f>_xll.qlCalendarAdvance(Calendar,V2547,U2548,"f",FALSE)</f>
        <v>56661</v>
      </c>
      <c r="W2548" s="225">
        <f>_xll.qlCalendarAdvance(Calendar,V2548,NDays&amp;"D")</f>
        <v>56663</v>
      </c>
      <c r="X2548" s="200">
        <v>2.3313738530018877E-2</v>
      </c>
      <c r="Y2548" s="209">
        <v>2.3250763689564025E-2</v>
      </c>
    </row>
    <row r="2549" spans="21:25" x14ac:dyDescent="0.2">
      <c r="U2549" s="213" t="str">
        <f t="shared" si="43"/>
        <v>1w</v>
      </c>
      <c r="V2549" s="201">
        <f>_xll.qlCalendarAdvance(Calendar,V2548,U2549,"f",FALSE)</f>
        <v>56668</v>
      </c>
      <c r="W2549" s="225">
        <f>_xll.qlCalendarAdvance(Calendar,V2549,NDays&amp;"D")</f>
        <v>56670</v>
      </c>
      <c r="X2549" s="200">
        <v>2.3308198046671186E-2</v>
      </c>
      <c r="Y2549" s="209">
        <v>2.3244983807391151E-2</v>
      </c>
    </row>
    <row r="2550" spans="21:25" x14ac:dyDescent="0.2">
      <c r="U2550" s="213" t="str">
        <f t="shared" si="43"/>
        <v>1w</v>
      </c>
      <c r="V2550" s="201">
        <f>_xll.qlCalendarAdvance(Calendar,V2549,U2550,"f",FALSE)</f>
        <v>56675</v>
      </c>
      <c r="W2550" s="225">
        <f>_xll.qlCalendarAdvance(Calendar,V2550,NDays&amp;"D")</f>
        <v>56677</v>
      </c>
      <c r="X2550" s="200">
        <v>2.3304510314716195E-2</v>
      </c>
      <c r="Y2550" s="209">
        <v>2.3239227509552762E-2</v>
      </c>
    </row>
    <row r="2551" spans="21:25" x14ac:dyDescent="0.2">
      <c r="U2551" s="213" t="str">
        <f t="shared" si="43"/>
        <v>1w</v>
      </c>
      <c r="V2551" s="201">
        <f>_xll.qlCalendarAdvance(Calendar,V2550,U2551,"f",FALSE)</f>
        <v>56682</v>
      </c>
      <c r="W2551" s="225">
        <f>_xll.qlCalendarAdvance(Calendar,V2551,NDays&amp;"D")</f>
        <v>56684</v>
      </c>
      <c r="X2551" s="200">
        <v>2.3299024341973878E-2</v>
      </c>
      <c r="Y2551" s="209">
        <v>2.3233494796448539E-2</v>
      </c>
    </row>
    <row r="2552" spans="21:25" x14ac:dyDescent="0.2">
      <c r="U2552" s="213" t="str">
        <f t="shared" si="43"/>
        <v>1w</v>
      </c>
      <c r="V2552" s="201">
        <f>_xll.qlCalendarAdvance(Calendar,V2551,U2552,"f",FALSE)</f>
        <v>56689</v>
      </c>
      <c r="W2552" s="225">
        <f>_xll.qlCalendarAdvance(Calendar,V2552,NDays&amp;"D")</f>
        <v>56691</v>
      </c>
      <c r="X2552" s="200">
        <v>2.3293562251355794E-2</v>
      </c>
      <c r="Y2552" s="209">
        <v>2.3227785667838674E-2</v>
      </c>
    </row>
    <row r="2553" spans="21:25" x14ac:dyDescent="0.2">
      <c r="U2553" s="213" t="str">
        <f t="shared" si="43"/>
        <v>1w</v>
      </c>
      <c r="V2553" s="201">
        <f>_xll.qlCalendarAdvance(Calendar,V2552,U2553,"f",FALSE)</f>
        <v>56696</v>
      </c>
      <c r="W2553" s="225">
        <f>_xll.qlCalendarAdvance(Calendar,V2553,NDays&amp;"D")</f>
        <v>56698</v>
      </c>
      <c r="X2553" s="200">
        <v>2.3288124042662107E-2</v>
      </c>
      <c r="Y2553" s="209">
        <v>2.3222100123803102E-2</v>
      </c>
    </row>
    <row r="2554" spans="21:25" x14ac:dyDescent="0.2">
      <c r="U2554" s="213" t="str">
        <f t="shared" si="43"/>
        <v>1w</v>
      </c>
      <c r="V2554" s="201">
        <f>_xll.qlCalendarAdvance(Calendar,V2553,U2554,"f",FALSE)</f>
        <v>56703</v>
      </c>
      <c r="W2554" s="225">
        <f>_xll.qlCalendarAdvance(Calendar,V2554,NDays&amp;"D")</f>
        <v>56705</v>
      </c>
      <c r="X2554" s="200">
        <v>2.3281595694687008E-2</v>
      </c>
      <c r="Y2554" s="209">
        <v>2.3216438164261888E-2</v>
      </c>
    </row>
    <row r="2555" spans="21:25" x14ac:dyDescent="0.2">
      <c r="U2555" s="213" t="str">
        <f t="shared" si="43"/>
        <v>1w</v>
      </c>
      <c r="V2555" s="201">
        <f>_xll.qlCalendarAdvance(Calendar,V2554,U2555,"f",FALSE)</f>
        <v>56710</v>
      </c>
      <c r="W2555" s="225">
        <f>_xll.qlCalendarAdvance(Calendar,V2555,NDays&amp;"D")</f>
        <v>56712</v>
      </c>
      <c r="X2555" s="200">
        <v>2.3276201172300184E-2</v>
      </c>
      <c r="Y2555" s="209">
        <v>2.3210799789374903E-2</v>
      </c>
    </row>
    <row r="2556" spans="21:25" x14ac:dyDescent="0.2">
      <c r="U2556" s="213" t="str">
        <f t="shared" si="43"/>
        <v>1w</v>
      </c>
      <c r="V2556" s="201">
        <f>_xll.qlCalendarAdvance(Calendar,V2555,U2556,"f",FALSE)</f>
        <v>56717</v>
      </c>
      <c r="W2556" s="225">
        <f>_xll.qlCalendarAdvance(Calendar,V2556,NDays&amp;"D")</f>
        <v>56719</v>
      </c>
      <c r="X2556" s="200">
        <v>2.3270830526442528E-2</v>
      </c>
      <c r="Y2556" s="209">
        <v>2.3206576925684175E-2</v>
      </c>
    </row>
    <row r="2557" spans="21:25" x14ac:dyDescent="0.2">
      <c r="U2557" s="213" t="str">
        <f t="shared" si="43"/>
        <v>1w</v>
      </c>
      <c r="V2557" s="201">
        <f>_xll.qlCalendarAdvance(Calendar,V2556,U2557,"f",FALSE)</f>
        <v>56724</v>
      </c>
      <c r="W2557" s="225">
        <f>_xll.qlCalendarAdvance(Calendar,V2557,NDays&amp;"D")</f>
        <v>56726</v>
      </c>
      <c r="X2557" s="200">
        <v>2.3265483756921407E-2</v>
      </c>
      <c r="Y2557" s="209">
        <v>2.3199593793163942E-2</v>
      </c>
    </row>
    <row r="2558" spans="21:25" x14ac:dyDescent="0.2">
      <c r="U2558" s="213" t="str">
        <f t="shared" si="43"/>
        <v>1w</v>
      </c>
      <c r="V2558" s="201">
        <f>_xll.qlCalendarAdvance(Calendar,V2557,U2558,"f",FALSE)</f>
        <v>56731</v>
      </c>
      <c r="W2558" s="225">
        <f>_xll.qlCalendarAdvance(Calendar,V2558,NDays&amp;"D")</f>
        <v>56733</v>
      </c>
      <c r="X2558" s="200">
        <v>2.3260160863543319E-2</v>
      </c>
      <c r="Y2558" s="209">
        <v>2.3194026171760029E-2</v>
      </c>
    </row>
    <row r="2559" spans="21:25" x14ac:dyDescent="0.2">
      <c r="U2559" s="213" t="str">
        <f t="shared" si="43"/>
        <v>1w</v>
      </c>
      <c r="V2559" s="201">
        <f>_xll.qlCalendarAdvance(Calendar,V2558,U2559,"f",FALSE)</f>
        <v>56738</v>
      </c>
      <c r="W2559" s="225">
        <f>_xll.qlCalendarAdvance(Calendar,V2559,NDays&amp;"D")</f>
        <v>56740</v>
      </c>
      <c r="X2559" s="200">
        <v>2.3255996299843287E-2</v>
      </c>
      <c r="Y2559" s="209">
        <v>2.3188482135010346E-2</v>
      </c>
    </row>
    <row r="2560" spans="21:25" x14ac:dyDescent="0.2">
      <c r="U2560" s="213" t="str">
        <f t="shared" si="43"/>
        <v>1w</v>
      </c>
      <c r="V2560" s="201">
        <f>_xll.qlCalendarAdvance(Calendar,V2559,U2560,"f",FALSE)</f>
        <v>56745</v>
      </c>
      <c r="W2560" s="225">
        <f>_xll.qlCalendarAdvance(Calendar,V2560,NDays&amp;"D")</f>
        <v>56747</v>
      </c>
      <c r="X2560" s="200">
        <v>2.3250725259103058E-2</v>
      </c>
      <c r="Y2560" s="209">
        <v>2.3182961682755021E-2</v>
      </c>
    </row>
    <row r="2561" spans="21:25" x14ac:dyDescent="0.2">
      <c r="U2561" s="213" t="str">
        <f t="shared" si="43"/>
        <v>1w</v>
      </c>
      <c r="V2561" s="201">
        <f>_xll.qlCalendarAdvance(Calendar,V2560,U2561,"f",FALSE)</f>
        <v>56752</v>
      </c>
      <c r="W2561" s="225">
        <f>_xll.qlCalendarAdvance(Calendar,V2561,NDays&amp;"D")</f>
        <v>56754</v>
      </c>
      <c r="X2561" s="200">
        <v>2.3245478098721597E-2</v>
      </c>
      <c r="Y2561" s="209">
        <v>2.3177464815073989E-2</v>
      </c>
    </row>
    <row r="2562" spans="21:25" x14ac:dyDescent="0.2">
      <c r="U2562" s="213" t="str">
        <f t="shared" si="43"/>
        <v>1w</v>
      </c>
      <c r="V2562" s="201">
        <f>_xll.qlCalendarAdvance(Calendar,V2561,U2562,"f",FALSE)</f>
        <v>56759</v>
      </c>
      <c r="W2562" s="225">
        <f>_xll.qlCalendarAdvance(Calendar,V2562,NDays&amp;"D")</f>
        <v>56761</v>
      </c>
      <c r="X2562" s="200">
        <v>2.3240254818506792E-2</v>
      </c>
      <c r="Y2562" s="209">
        <v>2.3171991531967251E-2</v>
      </c>
    </row>
    <row r="2563" spans="21:25" x14ac:dyDescent="0.2">
      <c r="U2563" s="213" t="str">
        <f t="shared" si="43"/>
        <v>1w</v>
      </c>
      <c r="V2563" s="201">
        <f>_xll.qlCalendarAdvance(Calendar,V2562,U2563,"f",FALSE)</f>
        <v>56766</v>
      </c>
      <c r="W2563" s="225">
        <f>_xll.qlCalendarAdvance(Calendar,V2563,NDays&amp;"D")</f>
        <v>56768</v>
      </c>
      <c r="X2563" s="200">
        <v>2.3233904532142222E-2</v>
      </c>
      <c r="Y2563" s="209">
        <v>2.316654183335487E-2</v>
      </c>
    </row>
    <row r="2564" spans="21:25" x14ac:dyDescent="0.2">
      <c r="U2564" s="213" t="str">
        <f t="shared" si="43"/>
        <v>1w</v>
      </c>
      <c r="V2564" s="201">
        <f>_xll.qlCalendarAdvance(Calendar,V2563,U2564,"f",FALSE)</f>
        <v>56773</v>
      </c>
      <c r="W2564" s="225">
        <f>_xll.qlCalendarAdvance(Calendar,V2564,NDays&amp;"D")</f>
        <v>56775</v>
      </c>
      <c r="X2564" s="200">
        <v>2.3228724891637301E-2</v>
      </c>
      <c r="Y2564" s="209">
        <v>2.3161115719316783E-2</v>
      </c>
    </row>
    <row r="2565" spans="21:25" x14ac:dyDescent="0.2">
      <c r="U2565" s="213" t="str">
        <f t="shared" si="43"/>
        <v>1w</v>
      </c>
      <c r="V2565" s="201">
        <f>_xll.qlCalendarAdvance(Calendar,V2564,U2565,"f",FALSE)</f>
        <v>56780</v>
      </c>
      <c r="W2565" s="225">
        <f>_xll.qlCalendarAdvance(Calendar,V2565,NDays&amp;"D")</f>
        <v>56782</v>
      </c>
      <c r="X2565" s="200">
        <v>2.3223569125953629E-2</v>
      </c>
      <c r="Y2565" s="209">
        <v>2.3155713189693117E-2</v>
      </c>
    </row>
    <row r="2566" spans="21:25" x14ac:dyDescent="0.2">
      <c r="U2566" s="213" t="str">
        <f t="shared" si="43"/>
        <v>1w</v>
      </c>
      <c r="V2566" s="201">
        <f>_xll.qlCalendarAdvance(Calendar,V2565,U2566,"f",FALSE)</f>
        <v>56787</v>
      </c>
      <c r="W2566" s="225">
        <f>_xll.qlCalendarAdvance(Calendar,V2566,NDays&amp;"D")</f>
        <v>56789</v>
      </c>
      <c r="X2566" s="200">
        <v>2.3218437234906429E-2</v>
      </c>
      <c r="Y2566" s="209">
        <v>2.3150334244803616E-2</v>
      </c>
    </row>
    <row r="2567" spans="21:25" x14ac:dyDescent="0.2">
      <c r="U2567" s="213" t="str">
        <f t="shared" si="43"/>
        <v>1w</v>
      </c>
      <c r="V2567" s="201">
        <f>_xll.qlCalendarAdvance(Calendar,V2566,U2567,"f",FALSE)</f>
        <v>56794</v>
      </c>
      <c r="W2567" s="225">
        <f>_xll.qlCalendarAdvance(Calendar,V2567,NDays&amp;"D")</f>
        <v>56796</v>
      </c>
      <c r="X2567" s="200">
        <v>2.3214496613278672E-2</v>
      </c>
      <c r="Y2567" s="209">
        <v>2.3144978884328538E-2</v>
      </c>
    </row>
    <row r="2568" spans="21:25" x14ac:dyDescent="0.2">
      <c r="U2568" s="213" t="str">
        <f t="shared" si="43"/>
        <v>1w</v>
      </c>
      <c r="V2568" s="201">
        <f>_xll.qlCalendarAdvance(Calendar,V2567,U2568,"f",FALSE)</f>
        <v>56801</v>
      </c>
      <c r="W2568" s="225">
        <f>_xll.qlCalendarAdvance(Calendar,V2568,NDays&amp;"D")</f>
        <v>56803</v>
      </c>
      <c r="X2568" s="200">
        <v>2.3209416610083366E-2</v>
      </c>
      <c r="Y2568" s="209">
        <v>2.3139647108427752E-2</v>
      </c>
    </row>
    <row r="2569" spans="21:25" x14ac:dyDescent="0.2">
      <c r="U2569" s="213" t="str">
        <f t="shared" si="43"/>
        <v>1w</v>
      </c>
      <c r="V2569" s="201">
        <f>_xll.qlCalendarAdvance(Calendar,V2568,U2569,"f",FALSE)</f>
        <v>56808</v>
      </c>
      <c r="W2569" s="225">
        <f>_xll.qlCalendarAdvance(Calendar,V2569,NDays&amp;"D")</f>
        <v>56810</v>
      </c>
      <c r="X2569" s="200">
        <v>2.3204360485736639E-2</v>
      </c>
      <c r="Y2569" s="209">
        <v>2.3134338917021324E-2</v>
      </c>
    </row>
    <row r="2570" spans="21:25" x14ac:dyDescent="0.2">
      <c r="U2570" s="213" t="str">
        <f t="shared" si="43"/>
        <v>1w</v>
      </c>
      <c r="V2570" s="201">
        <f>_xll.qlCalendarAdvance(Calendar,V2569,U2570,"f",FALSE)</f>
        <v>56815</v>
      </c>
      <c r="W2570" s="225">
        <f>_xll.qlCalendarAdvance(Calendar,V2570,NDays&amp;"D")</f>
        <v>56817</v>
      </c>
      <c r="X2570" s="200">
        <v>2.3199328240052827E-2</v>
      </c>
      <c r="Y2570" s="209">
        <v>2.312905431018919E-2</v>
      </c>
    </row>
    <row r="2571" spans="21:25" x14ac:dyDescent="0.2">
      <c r="U2571" s="213" t="str">
        <f t="shared" si="43"/>
        <v>1w</v>
      </c>
      <c r="V2571" s="201">
        <f>_xll.qlCalendarAdvance(Calendar,V2570,U2571,"f",FALSE)</f>
        <v>56822</v>
      </c>
      <c r="W2571" s="225">
        <f>_xll.qlCalendarAdvance(Calendar,V2571,NDays&amp;"D")</f>
        <v>56824</v>
      </c>
      <c r="X2571" s="200">
        <v>2.3194319872848423E-2</v>
      </c>
      <c r="Y2571" s="209">
        <v>2.3123793287851413E-2</v>
      </c>
    </row>
    <row r="2572" spans="21:25" x14ac:dyDescent="0.2">
      <c r="U2572" s="213" t="str">
        <f t="shared" si="43"/>
        <v>1w</v>
      </c>
      <c r="V2572" s="201">
        <f>_xll.qlCalendarAdvance(Calendar,V2571,U2572,"f",FALSE)</f>
        <v>56829</v>
      </c>
      <c r="W2572" s="225">
        <f>_xll.qlCalendarAdvance(Calendar,V2572,NDays&amp;"D")</f>
        <v>56831</v>
      </c>
      <c r="X2572" s="200">
        <v>2.318933538394035E-2</v>
      </c>
      <c r="Y2572" s="209">
        <v>2.3118555850007994E-2</v>
      </c>
    </row>
    <row r="2573" spans="21:25" x14ac:dyDescent="0.2">
      <c r="U2573" s="213" t="str">
        <f t="shared" si="43"/>
        <v>1w</v>
      </c>
      <c r="V2573" s="201">
        <f>_xll.qlCalendarAdvance(Calendar,V2572,U2573,"f",FALSE)</f>
        <v>56836</v>
      </c>
      <c r="W2573" s="225">
        <f>_xll.qlCalendarAdvance(Calendar,V2573,NDays&amp;"D")</f>
        <v>56838</v>
      </c>
      <c r="X2573" s="200">
        <v>2.3184374773146815E-2</v>
      </c>
      <c r="Y2573" s="209">
        <v>2.3113341996738868E-2</v>
      </c>
    </row>
    <row r="2574" spans="21:25" x14ac:dyDescent="0.2">
      <c r="U2574" s="213" t="str">
        <f t="shared" si="43"/>
        <v>1w</v>
      </c>
      <c r="V2574" s="201">
        <f>_xll.qlCalendarAdvance(Calendar,V2573,U2574,"f",FALSE)</f>
        <v>56843</v>
      </c>
      <c r="W2574" s="225">
        <f>_xll.qlCalendarAdvance(Calendar,V2574,NDays&amp;"D")</f>
        <v>56845</v>
      </c>
      <c r="X2574" s="200">
        <v>2.3179438040284741E-2</v>
      </c>
      <c r="Y2574" s="209">
        <v>2.3108151728044035E-2</v>
      </c>
    </row>
    <row r="2575" spans="21:25" x14ac:dyDescent="0.2">
      <c r="U2575" s="213" t="str">
        <f t="shared" si="43"/>
        <v>1w</v>
      </c>
      <c r="V2575" s="201">
        <f>_xll.qlCalendarAdvance(Calendar,V2574,U2575,"f",FALSE)</f>
        <v>56850</v>
      </c>
      <c r="W2575" s="225">
        <f>_xll.qlCalendarAdvance(Calendar,V2575,NDays&amp;"D")</f>
        <v>56852</v>
      </c>
      <c r="X2575" s="200">
        <v>2.3174525185175775E-2</v>
      </c>
      <c r="Y2575" s="209">
        <v>2.310298504384356E-2</v>
      </c>
    </row>
    <row r="2576" spans="21:25" x14ac:dyDescent="0.2">
      <c r="U2576" s="213" t="str">
        <f t="shared" si="43"/>
        <v>1w</v>
      </c>
      <c r="V2576" s="201">
        <f>_xll.qlCalendarAdvance(Calendar,V2575,U2576,"f",FALSE)</f>
        <v>56857</v>
      </c>
      <c r="W2576" s="225">
        <f>_xll.qlCalendarAdvance(Calendar,V2576,NDays&amp;"D")</f>
        <v>56859</v>
      </c>
      <c r="X2576" s="200">
        <v>2.316803008397695E-2</v>
      </c>
      <c r="Y2576" s="209">
        <v>2.3097841944137443E-2</v>
      </c>
    </row>
    <row r="2577" spans="21:25" x14ac:dyDescent="0.2">
      <c r="U2577" s="213" t="str">
        <f t="shared" si="43"/>
        <v>1w</v>
      </c>
      <c r="V2577" s="201">
        <f>_xll.qlCalendarAdvance(Calendar,V2576,U2577,"f",FALSE)</f>
        <v>56864</v>
      </c>
      <c r="W2577" s="225">
        <f>_xll.qlCalendarAdvance(Calendar,V2577,NDays&amp;"D")</f>
        <v>56866</v>
      </c>
      <c r="X2577" s="200">
        <v>2.3163159408379159E-2</v>
      </c>
      <c r="Y2577" s="209">
        <v>2.3092722429005619E-2</v>
      </c>
    </row>
    <row r="2578" spans="21:25" x14ac:dyDescent="0.2">
      <c r="U2578" s="213" t="str">
        <f t="shared" si="43"/>
        <v>1w</v>
      </c>
      <c r="V2578" s="201">
        <f>_xll.qlCalendarAdvance(Calendar,V2577,U2578,"f",FALSE)</f>
        <v>56871</v>
      </c>
      <c r="W2578" s="225">
        <f>_xll.qlCalendarAdvance(Calendar,V2578,NDays&amp;"D")</f>
        <v>56873</v>
      </c>
      <c r="X2578" s="200">
        <v>2.3158312603679156E-2</v>
      </c>
      <c r="Y2578" s="209">
        <v>2.3087626498448088E-2</v>
      </c>
    </row>
    <row r="2579" spans="21:25" x14ac:dyDescent="0.2">
      <c r="U2579" s="213" t="str">
        <f t="shared" si="43"/>
        <v>1w</v>
      </c>
      <c r="V2579" s="201">
        <f>_xll.qlCalendarAdvance(Calendar,V2578,U2579,"f",FALSE)</f>
        <v>56878</v>
      </c>
      <c r="W2579" s="225">
        <f>_xll.qlCalendarAdvance(Calendar,V2579,NDays&amp;"D")</f>
        <v>56880</v>
      </c>
      <c r="X2579" s="200">
        <v>2.3153489669704326E-2</v>
      </c>
      <c r="Y2579" s="209">
        <v>2.3082554152225043E-2</v>
      </c>
    </row>
    <row r="2580" spans="21:25" x14ac:dyDescent="0.2">
      <c r="U2580" s="213" t="str">
        <f t="shared" si="43"/>
        <v>1w</v>
      </c>
      <c r="V2580" s="201">
        <f>_xll.qlCalendarAdvance(Calendar,V2579,U2580,"f",FALSE)</f>
        <v>56885</v>
      </c>
      <c r="W2580" s="225">
        <f>_xll.qlCalendarAdvance(Calendar,V2580,NDays&amp;"D")</f>
        <v>56887</v>
      </c>
      <c r="X2580" s="200">
        <v>2.3148690606281629E-2</v>
      </c>
      <c r="Y2580" s="209">
        <v>2.3077505390736164E-2</v>
      </c>
    </row>
    <row r="2581" spans="21:25" x14ac:dyDescent="0.2">
      <c r="U2581" s="213" t="str">
        <f t="shared" ref="U2581:U2644" si="44">U2580</f>
        <v>1w</v>
      </c>
      <c r="V2581" s="201">
        <f>_xll.qlCalendarAdvance(Calendar,V2580,U2581,"f",FALSE)</f>
        <v>56892</v>
      </c>
      <c r="W2581" s="225">
        <f>_xll.qlCalendarAdvance(Calendar,V2581,NDays&amp;"D")</f>
        <v>56894</v>
      </c>
      <c r="X2581" s="200">
        <v>2.3144323702055949E-2</v>
      </c>
      <c r="Y2581" s="209">
        <v>2.3072480213661706E-2</v>
      </c>
    </row>
    <row r="2582" spans="21:25" x14ac:dyDescent="0.2">
      <c r="U2582" s="213" t="str">
        <f t="shared" si="44"/>
        <v>1w</v>
      </c>
      <c r="V2582" s="201">
        <f>_xll.qlCalendarAdvance(Calendar,V2581,U2582,"f",FALSE)</f>
        <v>56899</v>
      </c>
      <c r="W2582" s="225">
        <f>_xll.qlCalendarAdvance(Calendar,V2582,NDays&amp;"D")</f>
        <v>56901</v>
      </c>
      <c r="X2582" s="200">
        <v>2.313957378066684E-2</v>
      </c>
      <c r="Y2582" s="209">
        <v>2.3067478621161541E-2</v>
      </c>
    </row>
    <row r="2583" spans="21:25" x14ac:dyDescent="0.2">
      <c r="U2583" s="213" t="str">
        <f t="shared" si="44"/>
        <v>1w</v>
      </c>
      <c r="V2583" s="201">
        <f>_xll.qlCalendarAdvance(Calendar,V2582,U2583,"f",FALSE)</f>
        <v>56906</v>
      </c>
      <c r="W2583" s="225">
        <f>_xll.qlCalendarAdvance(Calendar,V2583,NDays&amp;"D")</f>
        <v>56908</v>
      </c>
      <c r="X2583" s="200">
        <v>2.313484773089149E-2</v>
      </c>
      <c r="Y2583" s="209">
        <v>2.3062500613075798E-2</v>
      </c>
    </row>
    <row r="2584" spans="21:25" x14ac:dyDescent="0.2">
      <c r="U2584" s="213" t="str">
        <f t="shared" si="44"/>
        <v>1w</v>
      </c>
      <c r="V2584" s="201">
        <f>_xll.qlCalendarAdvance(Calendar,V2583,U2584,"f",FALSE)</f>
        <v>56913</v>
      </c>
      <c r="W2584" s="225">
        <f>_xll.qlCalendarAdvance(Calendar,V2584,NDays&amp;"D")</f>
        <v>56915</v>
      </c>
      <c r="X2584" s="200">
        <v>2.313014555256172E-2</v>
      </c>
      <c r="Y2584" s="209">
        <v>2.3057546189564349E-2</v>
      </c>
    </row>
    <row r="2585" spans="21:25" x14ac:dyDescent="0.2">
      <c r="U2585" s="213" t="str">
        <f t="shared" si="44"/>
        <v>1w</v>
      </c>
      <c r="V2585" s="201">
        <f>_xll.qlCalendarAdvance(Calendar,V2584,U2585,"f",FALSE)</f>
        <v>56920</v>
      </c>
      <c r="W2585" s="225">
        <f>_xll.qlCalendarAdvance(Calendar,V2585,NDays&amp;"D")</f>
        <v>56922</v>
      </c>
      <c r="X2585" s="200">
        <v>2.3125053341474616E-2</v>
      </c>
      <c r="Y2585" s="209">
        <v>2.3052615350627192E-2</v>
      </c>
    </row>
    <row r="2586" spans="21:25" x14ac:dyDescent="0.2">
      <c r="U2586" s="213" t="str">
        <f t="shared" si="44"/>
        <v>1w</v>
      </c>
      <c r="V2586" s="201">
        <f>_xll.qlCalendarAdvance(Calendar,V2585,U2586,"f",FALSE)</f>
        <v>56927</v>
      </c>
      <c r="W2586" s="225">
        <f>_xll.qlCalendarAdvance(Calendar,V2586,NDays&amp;"D")</f>
        <v>56929</v>
      </c>
      <c r="X2586" s="200">
        <v>2.3120397497790841E-2</v>
      </c>
      <c r="Y2586" s="209">
        <v>2.3047708096104458E-2</v>
      </c>
    </row>
    <row r="2587" spans="21:25" x14ac:dyDescent="0.2">
      <c r="U2587" s="213" t="str">
        <f t="shared" si="44"/>
        <v>1w</v>
      </c>
      <c r="V2587" s="201">
        <f>_xll.qlCalendarAdvance(Calendar,V2586,U2587,"f",FALSE)</f>
        <v>56934</v>
      </c>
      <c r="W2587" s="225">
        <f>_xll.qlCalendarAdvance(Calendar,V2587,NDays&amp;"D")</f>
        <v>56936</v>
      </c>
      <c r="X2587" s="200">
        <v>2.3115765523475086E-2</v>
      </c>
      <c r="Y2587" s="209">
        <v>2.3042824426156017E-2</v>
      </c>
    </row>
    <row r="2588" spans="21:25" x14ac:dyDescent="0.2">
      <c r="U2588" s="213" t="str">
        <f t="shared" si="44"/>
        <v>1w</v>
      </c>
      <c r="V2588" s="201">
        <f>_xll.qlCalendarAdvance(Calendar,V2587,U2588,"f",FALSE)</f>
        <v>56941</v>
      </c>
      <c r="W2588" s="225">
        <f>_xll.qlCalendarAdvance(Calendar,V2588,NDays&amp;"D")</f>
        <v>56943</v>
      </c>
      <c r="X2588" s="200">
        <v>2.311115741836265E-2</v>
      </c>
      <c r="Y2588" s="209">
        <v>2.3037964340781869E-2</v>
      </c>
    </row>
    <row r="2589" spans="21:25" x14ac:dyDescent="0.2">
      <c r="U2589" s="213" t="str">
        <f t="shared" si="44"/>
        <v>1w</v>
      </c>
      <c r="V2589" s="201">
        <f>_xll.qlCalendarAdvance(Calendar,V2588,U2589,"f",FALSE)</f>
        <v>56948</v>
      </c>
      <c r="W2589" s="225">
        <f>_xll.qlCalendarAdvance(Calendar,V2589,NDays&amp;"D")</f>
        <v>56950</v>
      </c>
      <c r="X2589" s="200">
        <v>2.310699272669537E-2</v>
      </c>
      <c r="Y2589" s="209">
        <v>2.3033127839742207E-2</v>
      </c>
    </row>
    <row r="2590" spans="21:25" x14ac:dyDescent="0.2">
      <c r="U2590" s="213" t="str">
        <f t="shared" si="44"/>
        <v>1w</v>
      </c>
      <c r="V2590" s="201">
        <f>_xll.qlCalendarAdvance(Calendar,V2589,U2590,"f",FALSE)</f>
        <v>56955</v>
      </c>
      <c r="W2590" s="225">
        <f>_xll.qlCalendarAdvance(Calendar,V2590,NDays&amp;"D")</f>
        <v>56957</v>
      </c>
      <c r="X2590" s="200">
        <v>2.3102433773512319E-2</v>
      </c>
      <c r="Y2590" s="209">
        <v>2.3028314923356774E-2</v>
      </c>
    </row>
    <row r="2591" spans="21:25" x14ac:dyDescent="0.2">
      <c r="U2591" s="213" t="str">
        <f t="shared" si="44"/>
        <v>1w</v>
      </c>
      <c r="V2591" s="201">
        <f>_xll.qlCalendarAdvance(Calendar,V2590,U2591,"f",FALSE)</f>
        <v>56962</v>
      </c>
      <c r="W2591" s="225">
        <f>_xll.qlCalendarAdvance(Calendar,V2591,NDays&amp;"D")</f>
        <v>56964</v>
      </c>
      <c r="X2591" s="200">
        <v>2.309789869060901E-2</v>
      </c>
      <c r="Y2591" s="209">
        <v>2.3023525591385763E-2</v>
      </c>
    </row>
    <row r="2592" spans="21:25" x14ac:dyDescent="0.2">
      <c r="U2592" s="213" t="str">
        <f t="shared" si="44"/>
        <v>1w</v>
      </c>
      <c r="V2592" s="201">
        <f>_xll.qlCalendarAdvance(Calendar,V2591,U2592,"f",FALSE)</f>
        <v>56969</v>
      </c>
      <c r="W2592" s="225">
        <f>_xll.qlCalendarAdvance(Calendar,V2592,NDays&amp;"D")</f>
        <v>56971</v>
      </c>
      <c r="X2592" s="200">
        <v>2.3093387477821199E-2</v>
      </c>
      <c r="Y2592" s="209">
        <v>2.3018759844068981E-2</v>
      </c>
    </row>
    <row r="2593" spans="21:25" x14ac:dyDescent="0.2">
      <c r="U2593" s="213" t="str">
        <f t="shared" si="44"/>
        <v>1w</v>
      </c>
      <c r="V2593" s="201">
        <f>_xll.qlCalendarAdvance(Calendar,V2592,U2593,"f",FALSE)</f>
        <v>56976</v>
      </c>
      <c r="W2593" s="225">
        <f>_xll.qlCalendarAdvance(Calendar,V2593,NDays&amp;"D")</f>
        <v>56978</v>
      </c>
      <c r="X2593" s="200">
        <v>2.3088900134986837E-2</v>
      </c>
      <c r="Y2593" s="209">
        <v>2.3014017681246557E-2</v>
      </c>
    </row>
    <row r="2594" spans="21:25" x14ac:dyDescent="0.2">
      <c r="U2594" s="213" t="str">
        <f t="shared" si="44"/>
        <v>1w</v>
      </c>
      <c r="V2594" s="201">
        <f>_xll.qlCalendarAdvance(Calendar,V2593,U2594,"f",FALSE)</f>
        <v>56983</v>
      </c>
      <c r="W2594" s="225">
        <f>_xll.qlCalendarAdvance(Calendar,V2594,NDays&amp;"D")</f>
        <v>56985</v>
      </c>
      <c r="X2594" s="200">
        <v>2.3084010031774706E-2</v>
      </c>
      <c r="Y2594" s="209">
        <v>2.3009299102758618E-2</v>
      </c>
    </row>
    <row r="2595" spans="21:25" x14ac:dyDescent="0.2">
      <c r="U2595" s="213" t="str">
        <f t="shared" si="44"/>
        <v>1w</v>
      </c>
      <c r="V2595" s="201">
        <f>_xll.qlCalendarAdvance(Calendar,V2594,U2595,"f",FALSE)</f>
        <v>56990</v>
      </c>
      <c r="W2595" s="225">
        <f>_xll.qlCalendarAdvance(Calendar,V2595,NDays&amp;"D")</f>
        <v>56992</v>
      </c>
      <c r="X2595" s="200">
        <v>2.3079569006513763E-2</v>
      </c>
      <c r="Y2595" s="209">
        <v>2.3004604108924909E-2</v>
      </c>
    </row>
    <row r="2596" spans="21:25" x14ac:dyDescent="0.2">
      <c r="U2596" s="213" t="str">
        <f t="shared" si="44"/>
        <v>1w</v>
      </c>
      <c r="V2596" s="201">
        <f>_xll.qlCalendarAdvance(Calendar,V2595,U2596,"f",FALSE)</f>
        <v>56997</v>
      </c>
      <c r="W2596" s="225">
        <f>_xll.qlCalendarAdvance(Calendar,V2596,NDays&amp;"D")</f>
        <v>56999</v>
      </c>
      <c r="X2596" s="200">
        <v>2.307515184916091E-2</v>
      </c>
      <c r="Y2596" s="209">
        <v>2.2999932699585557E-2</v>
      </c>
    </row>
    <row r="2597" spans="21:25" x14ac:dyDescent="0.2">
      <c r="U2597" s="213" t="str">
        <f t="shared" si="44"/>
        <v>1w</v>
      </c>
      <c r="V2597" s="201">
        <f>_xll.qlCalendarAdvance(Calendar,V2596,U2597,"f",FALSE)</f>
        <v>57004</v>
      </c>
      <c r="W2597" s="225">
        <f>_xll.qlCalendarAdvance(Calendar,V2597,NDays&amp;"D")</f>
        <v>57006</v>
      </c>
      <c r="X2597" s="200">
        <v>2.3070758559558029E-2</v>
      </c>
      <c r="Y2597" s="209">
        <v>2.2995284874660626E-2</v>
      </c>
    </row>
    <row r="2598" spans="21:25" x14ac:dyDescent="0.2">
      <c r="U2598" s="213" t="str">
        <f t="shared" si="44"/>
        <v>1w</v>
      </c>
      <c r="V2598" s="201">
        <f>_xll.qlCalendarAdvance(Calendar,V2597,U2598,"f",FALSE)</f>
        <v>57011</v>
      </c>
      <c r="W2598" s="225">
        <f>_xll.qlCalendarAdvance(Calendar,V2598,NDays&amp;"D")</f>
        <v>57013</v>
      </c>
      <c r="X2598" s="200">
        <v>2.3066389137548327E-2</v>
      </c>
      <c r="Y2598" s="209">
        <v>2.2990660634389926E-2</v>
      </c>
    </row>
    <row r="2599" spans="21:25" x14ac:dyDescent="0.2">
      <c r="U2599" s="213" t="str">
        <f t="shared" si="44"/>
        <v>1w</v>
      </c>
      <c r="V2599" s="201">
        <f>_xll.qlCalendarAdvance(Calendar,V2598,U2599,"f",FALSE)</f>
        <v>57018</v>
      </c>
      <c r="W2599" s="225">
        <f>_xll.qlCalendarAdvance(Calendar,V2599,NDays&amp;"D")</f>
        <v>57020</v>
      </c>
      <c r="X2599" s="200">
        <v>2.3062043582974562E-2</v>
      </c>
      <c r="Y2599" s="209">
        <v>2.2986059978533646E-2</v>
      </c>
    </row>
    <row r="2600" spans="21:25" x14ac:dyDescent="0.2">
      <c r="U2600" s="213" t="str">
        <f t="shared" si="44"/>
        <v>1w</v>
      </c>
      <c r="V2600" s="201">
        <f>_xll.qlCalendarAdvance(Calendar,V2599,U2600,"f",FALSE)</f>
        <v>57025</v>
      </c>
      <c r="W2600" s="225">
        <f>_xll.qlCalendarAdvance(Calendar,V2600,NDays&amp;"D")</f>
        <v>57027</v>
      </c>
      <c r="X2600" s="200">
        <v>2.3057721895682576E-2</v>
      </c>
      <c r="Y2600" s="209">
        <v>2.298148290725166E-2</v>
      </c>
    </row>
    <row r="2601" spans="21:25" x14ac:dyDescent="0.2">
      <c r="U2601" s="213" t="str">
        <f t="shared" si="44"/>
        <v>1w</v>
      </c>
      <c r="V2601" s="201">
        <f>_xll.qlCalendarAdvance(Calendar,V2600,U2601,"f",FALSE)</f>
        <v>57032</v>
      </c>
      <c r="W2601" s="225">
        <f>_xll.qlCalendarAdvance(Calendar,V2601,NDays&amp;"D")</f>
        <v>57034</v>
      </c>
      <c r="X2601" s="200">
        <v>2.305342407551601E-2</v>
      </c>
      <c r="Y2601" s="209">
        <v>2.297692942030416E-2</v>
      </c>
    </row>
    <row r="2602" spans="21:25" x14ac:dyDescent="0.2">
      <c r="U2602" s="213" t="str">
        <f t="shared" si="44"/>
        <v>1w</v>
      </c>
      <c r="V2602" s="201">
        <f>_xll.qlCalendarAdvance(Calendar,V2601,U2602,"f",FALSE)</f>
        <v>57039</v>
      </c>
      <c r="W2602" s="225">
        <f>_xll.qlCalendarAdvance(Calendar,V2602,NDays&amp;"D")</f>
        <v>57041</v>
      </c>
      <c r="X2602" s="200">
        <v>2.3050903251965207E-2</v>
      </c>
      <c r="Y2602" s="209">
        <v>2.2972399518090825E-2</v>
      </c>
    </row>
    <row r="2603" spans="21:25" x14ac:dyDescent="0.2">
      <c r="U2603" s="213" t="str">
        <f t="shared" si="44"/>
        <v>1w</v>
      </c>
      <c r="V2603" s="201">
        <f>_xll.qlCalendarAdvance(Calendar,V2602,U2603,"f",FALSE)</f>
        <v>57046</v>
      </c>
      <c r="W2603" s="225">
        <f>_xll.qlCalendarAdvance(Calendar,V2603,NDays&amp;"D")</f>
        <v>57048</v>
      </c>
      <c r="X2603" s="200">
        <v>2.3046658904183157E-2</v>
      </c>
      <c r="Y2603" s="209">
        <v>2.2967893200211975E-2</v>
      </c>
    </row>
    <row r="2604" spans="21:25" x14ac:dyDescent="0.2">
      <c r="U2604" s="213" t="str">
        <f t="shared" si="44"/>
        <v>1w</v>
      </c>
      <c r="V2604" s="201">
        <f>_xll.qlCalendarAdvance(Calendar,V2603,U2604,"f",FALSE)</f>
        <v>57053</v>
      </c>
      <c r="W2604" s="225">
        <f>_xll.qlCalendarAdvance(Calendar,V2604,NDays&amp;"D")</f>
        <v>57055</v>
      </c>
      <c r="X2604" s="200">
        <v>2.3042438429299601E-2</v>
      </c>
      <c r="Y2604" s="209">
        <v>2.2963410466907419E-2</v>
      </c>
    </row>
    <row r="2605" spans="21:25" x14ac:dyDescent="0.2">
      <c r="U2605" s="213" t="str">
        <f t="shared" si="44"/>
        <v>1w</v>
      </c>
      <c r="V2605" s="201">
        <f>_xll.qlCalendarAdvance(Calendar,V2604,U2605,"f",FALSE)</f>
        <v>57060</v>
      </c>
      <c r="W2605" s="225">
        <f>_xll.qlCalendarAdvance(Calendar,V2605,NDays&amp;"D")</f>
        <v>57062</v>
      </c>
      <c r="X2605" s="200">
        <v>2.3038241827158967E-2</v>
      </c>
      <c r="Y2605" s="209">
        <v>2.2958951318017284E-2</v>
      </c>
    </row>
    <row r="2606" spans="21:25" x14ac:dyDescent="0.2">
      <c r="U2606" s="213" t="str">
        <f t="shared" si="44"/>
        <v>1w</v>
      </c>
      <c r="V2606" s="201">
        <f>_xll.qlCalendarAdvance(Calendar,V2605,U2606,"f",FALSE)</f>
        <v>57067</v>
      </c>
      <c r="W2606" s="225">
        <f>_xll.qlCalendarAdvance(Calendar,V2606,NDays&amp;"D")</f>
        <v>57069</v>
      </c>
      <c r="X2606" s="200">
        <v>2.3032736771647581E-2</v>
      </c>
      <c r="Y2606" s="209">
        <v>2.2956180403991056E-2</v>
      </c>
    </row>
    <row r="2607" spans="21:25" x14ac:dyDescent="0.2">
      <c r="U2607" s="213" t="str">
        <f t="shared" si="44"/>
        <v>1w</v>
      </c>
      <c r="V2607" s="201">
        <f>_xll.qlCalendarAdvance(Calendar,V2606,U2607,"f",FALSE)</f>
        <v>57074</v>
      </c>
      <c r="W2607" s="225">
        <f>_xll.qlCalendarAdvance(Calendar,V2607,NDays&amp;"D")</f>
        <v>57076</v>
      </c>
      <c r="X2607" s="200">
        <v>2.3028583591605954E-2</v>
      </c>
      <c r="Y2607" s="209">
        <v>2.2950103773800024E-2</v>
      </c>
    </row>
    <row r="2608" spans="21:25" x14ac:dyDescent="0.2">
      <c r="U2608" s="213" t="str">
        <f t="shared" si="44"/>
        <v>1w</v>
      </c>
      <c r="V2608" s="201">
        <f>_xll.qlCalendarAdvance(Calendar,V2607,U2608,"f",FALSE)</f>
        <v>57081</v>
      </c>
      <c r="W2608" s="225">
        <f>_xll.qlCalendarAdvance(Calendar,V2608,NDays&amp;"D")</f>
        <v>57083</v>
      </c>
      <c r="X2608" s="200">
        <v>2.3024454279186961E-2</v>
      </c>
      <c r="Y2608" s="209">
        <v>2.2945715378472897E-2</v>
      </c>
    </row>
    <row r="2609" spans="21:25" x14ac:dyDescent="0.2">
      <c r="U2609" s="213" t="str">
        <f t="shared" si="44"/>
        <v>1w</v>
      </c>
      <c r="V2609" s="201">
        <f>_xll.qlCalendarAdvance(Calendar,V2608,U2609,"f",FALSE)</f>
        <v>57088</v>
      </c>
      <c r="W2609" s="225">
        <f>_xll.qlCalendarAdvance(Calendar,V2609,NDays&amp;"D")</f>
        <v>57090</v>
      </c>
      <c r="X2609" s="200">
        <v>2.3020348834242959E-2</v>
      </c>
      <c r="Y2609" s="209">
        <v>2.2941350567560193E-2</v>
      </c>
    </row>
    <row r="2610" spans="21:25" x14ac:dyDescent="0.2">
      <c r="U2610" s="213" t="str">
        <f t="shared" si="44"/>
        <v>1w</v>
      </c>
      <c r="V2610" s="201">
        <f>_xll.qlCalendarAdvance(Calendar,V2609,U2610,"f",FALSE)</f>
        <v>57095</v>
      </c>
      <c r="W2610" s="225">
        <f>_xll.qlCalendarAdvance(Calendar,V2610,NDays&amp;"D")</f>
        <v>57097</v>
      </c>
      <c r="X2610" s="200">
        <v>2.3016267256624558E-2</v>
      </c>
      <c r="Y2610" s="209">
        <v>2.2937009341221781E-2</v>
      </c>
    </row>
    <row r="2611" spans="21:25" x14ac:dyDescent="0.2">
      <c r="U2611" s="213" t="str">
        <f t="shared" si="44"/>
        <v>1w</v>
      </c>
      <c r="V2611" s="201">
        <f>_xll.qlCalendarAdvance(Calendar,V2610,U2611,"f",FALSE)</f>
        <v>57102</v>
      </c>
      <c r="W2611" s="225">
        <f>_xll.qlCalendarAdvance(Calendar,V2611,NDays&amp;"D")</f>
        <v>57104</v>
      </c>
      <c r="X2611" s="200">
        <v>2.3013563533401633E-2</v>
      </c>
      <c r="Y2611" s="209">
        <v>2.2932691699457664E-2</v>
      </c>
    </row>
    <row r="2612" spans="21:25" x14ac:dyDescent="0.2">
      <c r="U2612" s="213" t="str">
        <f t="shared" si="44"/>
        <v>1w</v>
      </c>
      <c r="V2612" s="201">
        <f>_xll.qlCalendarAdvance(Calendar,V2611,U2612,"f",FALSE)</f>
        <v>57109</v>
      </c>
      <c r="W2612" s="225">
        <f>_xll.qlCalendarAdvance(Calendar,V2612,NDays&amp;"D")</f>
        <v>57111</v>
      </c>
      <c r="X2612" s="200">
        <v>2.3009534036218828E-2</v>
      </c>
      <c r="Y2612" s="209">
        <v>2.2928397641948095E-2</v>
      </c>
    </row>
    <row r="2613" spans="21:25" x14ac:dyDescent="0.2">
      <c r="U2613" s="213" t="str">
        <f t="shared" si="44"/>
        <v>1w</v>
      </c>
      <c r="V2613" s="201">
        <f>_xll.qlCalendarAdvance(Calendar,V2612,U2613,"f",FALSE)</f>
        <v>57116</v>
      </c>
      <c r="W2613" s="225">
        <f>_xll.qlCalendarAdvance(Calendar,V2613,NDays&amp;"D")</f>
        <v>57118</v>
      </c>
      <c r="X2613" s="200">
        <v>2.3005528410577757E-2</v>
      </c>
      <c r="Y2613" s="209">
        <v>2.2924127169172692E-2</v>
      </c>
    </row>
    <row r="2614" spans="21:25" x14ac:dyDescent="0.2">
      <c r="U2614" s="213" t="str">
        <f t="shared" si="44"/>
        <v>1w</v>
      </c>
      <c r="V2614" s="201">
        <f>_xll.qlCalendarAdvance(Calendar,V2613,U2614,"f",FALSE)</f>
        <v>57123</v>
      </c>
      <c r="W2614" s="225">
        <f>_xll.qlCalendarAdvance(Calendar,V2614,NDays&amp;"D")</f>
        <v>57125</v>
      </c>
      <c r="X2614" s="200">
        <v>2.3001546656329721E-2</v>
      </c>
      <c r="Y2614" s="209">
        <v>2.2919880280811711E-2</v>
      </c>
    </row>
    <row r="2615" spans="21:25" x14ac:dyDescent="0.2">
      <c r="U2615" s="213" t="str">
        <f t="shared" si="44"/>
        <v>1w</v>
      </c>
      <c r="V2615" s="201">
        <f>_xll.qlCalendarAdvance(Calendar,V2614,U2615,"f",FALSE)</f>
        <v>57130</v>
      </c>
      <c r="W2615" s="225">
        <f>_xll.qlCalendarAdvance(Calendar,V2615,NDays&amp;"D")</f>
        <v>57132</v>
      </c>
      <c r="X2615" s="200">
        <v>2.2996217373322959E-2</v>
      </c>
      <c r="Y2615" s="209">
        <v>2.2915656976865151E-2</v>
      </c>
    </row>
    <row r="2616" spans="21:25" x14ac:dyDescent="0.2">
      <c r="U2616" s="213" t="str">
        <f t="shared" si="44"/>
        <v>1w</v>
      </c>
      <c r="V2616" s="201">
        <f>_xll.qlCalendarAdvance(Calendar,V2615,U2616,"f",FALSE)</f>
        <v>57137</v>
      </c>
      <c r="W2616" s="225">
        <f>_xll.qlCalendarAdvance(Calendar,V2616,NDays&amp;"D")</f>
        <v>57139</v>
      </c>
      <c r="X2616" s="200">
        <v>2.2992278996610556E-2</v>
      </c>
      <c r="Y2616" s="209">
        <v>2.2911457257412948E-2</v>
      </c>
    </row>
    <row r="2617" spans="21:25" x14ac:dyDescent="0.2">
      <c r="U2617" s="213" t="str">
        <f t="shared" si="44"/>
        <v>1w</v>
      </c>
      <c r="V2617" s="201">
        <f>_xll.qlCalendarAdvance(Calendar,V2616,U2617,"f",FALSE)</f>
        <v>57144</v>
      </c>
      <c r="W2617" s="225">
        <f>_xll.qlCalendarAdvance(Calendar,V2617,NDays&amp;"D")</f>
        <v>57146</v>
      </c>
      <c r="X2617" s="200">
        <v>2.2988364486214725E-2</v>
      </c>
      <c r="Y2617" s="209">
        <v>2.2907281122535039E-2</v>
      </c>
    </row>
    <row r="2618" spans="21:25" x14ac:dyDescent="0.2">
      <c r="U2618" s="213" t="str">
        <f t="shared" si="44"/>
        <v>1w</v>
      </c>
      <c r="V2618" s="201">
        <f>_xll.qlCalendarAdvance(Calendar,V2617,U2618,"f",FALSE)</f>
        <v>57151</v>
      </c>
      <c r="W2618" s="225">
        <f>_xll.qlCalendarAdvance(Calendar,V2618,NDays&amp;"D")</f>
        <v>57153</v>
      </c>
      <c r="X2618" s="200">
        <v>2.2984473841995253E-2</v>
      </c>
      <c r="Y2618" s="209">
        <v>2.2903128572151488E-2</v>
      </c>
    </row>
    <row r="2619" spans="21:25" x14ac:dyDescent="0.2">
      <c r="U2619" s="213" t="str">
        <f t="shared" si="44"/>
        <v>1w</v>
      </c>
      <c r="V2619" s="201">
        <f>_xll.qlCalendarAdvance(Calendar,V2618,U2619,"f",FALSE)</f>
        <v>57158</v>
      </c>
      <c r="W2619" s="225">
        <f>_xll.qlCalendarAdvance(Calendar,V2619,NDays&amp;"D")</f>
        <v>57160</v>
      </c>
      <c r="X2619" s="200">
        <v>2.2980607063811921E-2</v>
      </c>
      <c r="Y2619" s="209">
        <v>2.2898999606102421E-2</v>
      </c>
    </row>
    <row r="2620" spans="21:25" x14ac:dyDescent="0.2">
      <c r="U2620" s="213" t="str">
        <f t="shared" si="44"/>
        <v>1w</v>
      </c>
      <c r="V2620" s="201">
        <f>_xll.qlCalendarAdvance(Calendar,V2619,U2620,"f",FALSE)</f>
        <v>57165</v>
      </c>
      <c r="W2620" s="225">
        <f>_xll.qlCalendarAdvance(Calendar,V2620,NDays&amp;"D")</f>
        <v>57167</v>
      </c>
      <c r="X2620" s="200">
        <v>2.2978157422033279E-2</v>
      </c>
      <c r="Y2620" s="209">
        <v>2.2894894224627649E-2</v>
      </c>
    </row>
    <row r="2621" spans="21:25" x14ac:dyDescent="0.2">
      <c r="U2621" s="213" t="str">
        <f t="shared" si="44"/>
        <v>1w</v>
      </c>
      <c r="V2621" s="201">
        <f>_xll.qlCalendarAdvance(Calendar,V2620,U2621,"f",FALSE)</f>
        <v>57172</v>
      </c>
      <c r="W2621" s="225">
        <f>_xll.qlCalendarAdvance(Calendar,V2621,NDays&amp;"D")</f>
        <v>57174</v>
      </c>
      <c r="X2621" s="200">
        <v>2.2974342763518618E-2</v>
      </c>
      <c r="Y2621" s="209">
        <v>2.289081242772717E-2</v>
      </c>
    </row>
    <row r="2622" spans="21:25" x14ac:dyDescent="0.2">
      <c r="U2622" s="213" t="str">
        <f t="shared" si="44"/>
        <v>1w</v>
      </c>
      <c r="V2622" s="201">
        <f>_xll.qlCalendarAdvance(Calendar,V2621,U2622,"f",FALSE)</f>
        <v>57179</v>
      </c>
      <c r="W2622" s="225">
        <f>_xll.qlCalendarAdvance(Calendar,V2622,NDays&amp;"D")</f>
        <v>57181</v>
      </c>
      <c r="X2622" s="200">
        <v>2.2970551975258123E-2</v>
      </c>
      <c r="Y2622" s="209">
        <v>2.2886754215241112E-2</v>
      </c>
    </row>
    <row r="2623" spans="21:25" x14ac:dyDescent="0.2">
      <c r="U2623" s="213" t="str">
        <f t="shared" si="44"/>
        <v>1w</v>
      </c>
      <c r="V2623" s="201">
        <f>_xll.qlCalendarAdvance(Calendar,V2622,U2623,"f",FALSE)</f>
        <v>57186</v>
      </c>
      <c r="W2623" s="225">
        <f>_xll.qlCalendarAdvance(Calendar,V2623,NDays&amp;"D")</f>
        <v>57188</v>
      </c>
      <c r="X2623" s="200">
        <v>2.296678505711254E-2</v>
      </c>
      <c r="Y2623" s="209">
        <v>2.2882719587249412E-2</v>
      </c>
    </row>
    <row r="2624" spans="21:25" x14ac:dyDescent="0.2">
      <c r="U2624" s="213" t="str">
        <f t="shared" si="44"/>
        <v>1w</v>
      </c>
      <c r="V2624" s="201">
        <f>_xll.qlCalendarAdvance(Calendar,V2623,U2624,"f",FALSE)</f>
        <v>57193</v>
      </c>
      <c r="W2624" s="225">
        <f>_xll.qlCalendarAdvance(Calendar,V2624,NDays&amp;"D")</f>
        <v>57195</v>
      </c>
      <c r="X2624" s="200">
        <v>2.2963042008945642E-2</v>
      </c>
      <c r="Y2624" s="209">
        <v>2.2878708543752069E-2</v>
      </c>
    </row>
    <row r="2625" spans="21:25" x14ac:dyDescent="0.2">
      <c r="U2625" s="213" t="str">
        <f t="shared" si="44"/>
        <v>1w</v>
      </c>
      <c r="V2625" s="201">
        <f>_xll.qlCalendarAdvance(Calendar,V2624,U2625,"f",FALSE)</f>
        <v>57200</v>
      </c>
      <c r="W2625" s="225">
        <f>_xll.qlCalendarAdvance(Calendar,V2625,NDays&amp;"D")</f>
        <v>57202</v>
      </c>
      <c r="X2625" s="200">
        <v>2.295932283061947E-2</v>
      </c>
      <c r="Y2625" s="209">
        <v>2.2874721084749083E-2</v>
      </c>
    </row>
    <row r="2626" spans="21:25" x14ac:dyDescent="0.2">
      <c r="U2626" s="213" t="str">
        <f t="shared" si="44"/>
        <v>1w</v>
      </c>
      <c r="V2626" s="201">
        <f>_xll.qlCalendarAdvance(Calendar,V2625,U2626,"f",FALSE)</f>
        <v>57207</v>
      </c>
      <c r="W2626" s="225">
        <f>_xll.qlCalendarAdvance(Calendar,V2626,NDays&amp;"D")</f>
        <v>57209</v>
      </c>
      <c r="X2626" s="200">
        <v>2.2955627521997791E-2</v>
      </c>
      <c r="Y2626" s="209">
        <v>2.2870757210000647E-2</v>
      </c>
    </row>
    <row r="2627" spans="21:25" x14ac:dyDescent="0.2">
      <c r="U2627" s="213" t="str">
        <f t="shared" si="44"/>
        <v>1w</v>
      </c>
      <c r="V2627" s="201">
        <f>_xll.qlCalendarAdvance(Calendar,V2626,U2627,"f",FALSE)</f>
        <v>57214</v>
      </c>
      <c r="W2627" s="225">
        <f>_xll.qlCalendarAdvance(Calendar,V2627,NDays&amp;"D")</f>
        <v>57216</v>
      </c>
      <c r="X2627" s="200">
        <v>2.2951956082946517E-2</v>
      </c>
      <c r="Y2627" s="209">
        <v>2.2866816919986377E-2</v>
      </c>
    </row>
    <row r="2628" spans="21:25" x14ac:dyDescent="0.2">
      <c r="U2628" s="213" t="str">
        <f t="shared" si="44"/>
        <v>1w</v>
      </c>
      <c r="V2628" s="201">
        <f>_xll.qlCalendarAdvance(Calendar,V2627,U2628,"f",FALSE)</f>
        <v>57221</v>
      </c>
      <c r="W2628" s="225">
        <f>_xll.qlCalendarAdvance(Calendar,V2628,NDays&amp;"D")</f>
        <v>57223</v>
      </c>
      <c r="X2628" s="200">
        <v>2.2945928478663651E-2</v>
      </c>
      <c r="Y2628" s="209">
        <v>2.2862900214466464E-2</v>
      </c>
    </row>
    <row r="2629" spans="21:25" x14ac:dyDescent="0.2">
      <c r="U2629" s="213" t="str">
        <f t="shared" si="44"/>
        <v>1w</v>
      </c>
      <c r="V2629" s="201">
        <f>_xll.qlCalendarAdvance(Calendar,V2628,U2629,"f",FALSE)</f>
        <v>57228</v>
      </c>
      <c r="W2629" s="225">
        <f>_xll.qlCalendarAdvance(Calendar,V2629,NDays&amp;"D")</f>
        <v>57230</v>
      </c>
      <c r="X2629" s="200">
        <v>2.2942297404351705E-2</v>
      </c>
      <c r="Y2629" s="209">
        <v>2.2859007093440908E-2</v>
      </c>
    </row>
    <row r="2630" spans="21:25" x14ac:dyDescent="0.2">
      <c r="U2630" s="213" t="str">
        <f t="shared" si="44"/>
        <v>1w</v>
      </c>
      <c r="V2630" s="201">
        <f>_xll.qlCalendarAdvance(Calendar,V2629,U2630,"f",FALSE)</f>
        <v>57235</v>
      </c>
      <c r="W2630" s="225">
        <f>_xll.qlCalendarAdvance(Calendar,V2630,NDays&amp;"D")</f>
        <v>57237</v>
      </c>
      <c r="X2630" s="200">
        <v>2.2938690191514323E-2</v>
      </c>
      <c r="Y2630" s="209">
        <v>2.2855137556669902E-2</v>
      </c>
    </row>
    <row r="2631" spans="21:25" x14ac:dyDescent="0.2">
      <c r="U2631" s="213" t="str">
        <f t="shared" si="44"/>
        <v>1w</v>
      </c>
      <c r="V2631" s="201">
        <f>_xll.qlCalendarAdvance(Calendar,V2630,U2631,"f",FALSE)</f>
        <v>57242</v>
      </c>
      <c r="W2631" s="225">
        <f>_xll.qlCalendarAdvance(Calendar,V2631,NDays&amp;"D")</f>
        <v>57244</v>
      </c>
      <c r="X2631" s="200">
        <v>2.2935106840025199E-2</v>
      </c>
      <c r="Y2631" s="209">
        <v>2.2851291604553126E-2</v>
      </c>
    </row>
    <row r="2632" spans="21:25" x14ac:dyDescent="0.2">
      <c r="U2632" s="213" t="str">
        <f t="shared" si="44"/>
        <v>1w</v>
      </c>
      <c r="V2632" s="201">
        <f>_xll.qlCalendarAdvance(Calendar,V2631,U2632,"f",FALSE)</f>
        <v>57249</v>
      </c>
      <c r="W2632" s="225">
        <f>_xll.qlCalendarAdvance(Calendar,V2632,NDays&amp;"D")</f>
        <v>57251</v>
      </c>
      <c r="X2632" s="200">
        <v>2.2931547349756255E-2</v>
      </c>
      <c r="Y2632" s="209">
        <v>2.2847469236770834E-2</v>
      </c>
    </row>
    <row r="2633" spans="21:25" x14ac:dyDescent="0.2">
      <c r="U2633" s="213" t="str">
        <f t="shared" si="44"/>
        <v>1w</v>
      </c>
      <c r="V2633" s="201">
        <f>_xll.qlCalendarAdvance(Calendar,V2632,U2633,"f",FALSE)</f>
        <v>57256</v>
      </c>
      <c r="W2633" s="225">
        <f>_xll.qlCalendarAdvance(Calendar,V2633,NDays&amp;"D")</f>
        <v>57258</v>
      </c>
      <c r="X2633" s="200">
        <v>2.2928494792585082E-2</v>
      </c>
      <c r="Y2633" s="209">
        <v>2.2843670453642773E-2</v>
      </c>
    </row>
    <row r="2634" spans="21:25" x14ac:dyDescent="0.2">
      <c r="U2634" s="213" t="str">
        <f t="shared" si="44"/>
        <v>1w</v>
      </c>
      <c r="V2634" s="201">
        <f>_xll.qlCalendarAdvance(Calendar,V2633,U2634,"f",FALSE)</f>
        <v>57263</v>
      </c>
      <c r="W2634" s="225">
        <f>_xll.qlCalendarAdvance(Calendar,V2634,NDays&amp;"D")</f>
        <v>57265</v>
      </c>
      <c r="X2634" s="200">
        <v>2.2924984506452105E-2</v>
      </c>
      <c r="Y2634" s="209">
        <v>2.283989525476926E-2</v>
      </c>
    </row>
    <row r="2635" spans="21:25" x14ac:dyDescent="0.2">
      <c r="U2635" s="213" t="str">
        <f t="shared" si="44"/>
        <v>1w</v>
      </c>
      <c r="V2635" s="201">
        <f>_xll.qlCalendarAdvance(Calendar,V2634,U2635,"f",FALSE)</f>
        <v>57270</v>
      </c>
      <c r="W2635" s="225">
        <f>_xll.qlCalendarAdvance(Calendar,V2635,NDays&amp;"D")</f>
        <v>57272</v>
      </c>
      <c r="X2635" s="200">
        <v>2.2921498082698454E-2</v>
      </c>
      <c r="Y2635" s="209">
        <v>2.2836143640629913E-2</v>
      </c>
    </row>
    <row r="2636" spans="21:25" x14ac:dyDescent="0.2">
      <c r="U2636" s="213" t="str">
        <f t="shared" si="44"/>
        <v>1w</v>
      </c>
      <c r="V2636" s="201">
        <f>_xll.qlCalendarAdvance(Calendar,V2635,U2636,"f",FALSE)</f>
        <v>57277</v>
      </c>
      <c r="W2636" s="225">
        <f>_xll.qlCalendarAdvance(Calendar,V2636,NDays&amp;"D")</f>
        <v>57279</v>
      </c>
      <c r="X2636" s="200">
        <v>2.2918035521198511E-2</v>
      </c>
      <c r="Y2636" s="209">
        <v>2.2832415610825052E-2</v>
      </c>
    </row>
    <row r="2637" spans="21:25" x14ac:dyDescent="0.2">
      <c r="U2637" s="213" t="str">
        <f t="shared" si="44"/>
        <v>1w</v>
      </c>
      <c r="V2637" s="201">
        <f>_xll.qlCalendarAdvance(Calendar,V2636,U2637,"f",FALSE)</f>
        <v>57284</v>
      </c>
      <c r="W2637" s="225">
        <f>_xll.qlCalendarAdvance(Calendar,V2637,NDays&amp;"D")</f>
        <v>57286</v>
      </c>
      <c r="X2637" s="200">
        <v>2.2914107812307634E-2</v>
      </c>
      <c r="Y2637" s="209">
        <v>2.2828711165434612E-2</v>
      </c>
    </row>
    <row r="2638" spans="21:25" x14ac:dyDescent="0.2">
      <c r="U2638" s="213" t="str">
        <f t="shared" si="44"/>
        <v>1w</v>
      </c>
      <c r="V2638" s="201">
        <f>_xll.qlCalendarAdvance(Calendar,V2637,U2638,"f",FALSE)</f>
        <v>57291</v>
      </c>
      <c r="W2638" s="225">
        <f>_xll.qlCalendarAdvance(Calendar,V2638,NDays&amp;"D")</f>
        <v>57293</v>
      </c>
      <c r="X2638" s="200">
        <v>2.291069148672896E-2</v>
      </c>
      <c r="Y2638" s="209">
        <v>2.2825030304618465E-2</v>
      </c>
    </row>
    <row r="2639" spans="21:25" x14ac:dyDescent="0.2">
      <c r="U2639" s="213" t="str">
        <f t="shared" si="44"/>
        <v>1w</v>
      </c>
      <c r="V2639" s="201">
        <f>_xll.qlCalendarAdvance(Calendar,V2638,U2639,"f",FALSE)</f>
        <v>57298</v>
      </c>
      <c r="W2639" s="225">
        <f>_xll.qlCalendarAdvance(Calendar,V2639,NDays&amp;"D")</f>
        <v>57300</v>
      </c>
      <c r="X2639" s="200">
        <v>2.2907299021503093E-2</v>
      </c>
      <c r="Y2639" s="209">
        <v>2.2821373028376613E-2</v>
      </c>
    </row>
    <row r="2640" spans="21:25" x14ac:dyDescent="0.2">
      <c r="U2640" s="213" t="str">
        <f t="shared" si="44"/>
        <v>1w</v>
      </c>
      <c r="V2640" s="201">
        <f>_xll.qlCalendarAdvance(Calendar,V2639,U2640,"f",FALSE)</f>
        <v>57305</v>
      </c>
      <c r="W2640" s="225">
        <f>_xll.qlCalendarAdvance(Calendar,V2640,NDays&amp;"D")</f>
        <v>57307</v>
      </c>
      <c r="X2640" s="200">
        <v>2.2903930416506381E-2</v>
      </c>
      <c r="Y2640" s="209">
        <v>2.2817739336549181E-2</v>
      </c>
    </row>
    <row r="2641" spans="21:25" x14ac:dyDescent="0.2">
      <c r="U2641" s="213" t="str">
        <f t="shared" si="44"/>
        <v>1w</v>
      </c>
      <c r="V2641" s="201">
        <f>_xll.qlCalendarAdvance(Calendar,V2640,U2641,"f",FALSE)</f>
        <v>57312</v>
      </c>
      <c r="W2641" s="225">
        <f>_xll.qlCalendarAdvance(Calendar,V2641,NDays&amp;"D")</f>
        <v>57314</v>
      </c>
      <c r="X2641" s="200">
        <v>2.2901080643194082E-2</v>
      </c>
      <c r="Y2641" s="209">
        <v>2.2814129228976299E-2</v>
      </c>
    </row>
    <row r="2642" spans="21:25" x14ac:dyDescent="0.2">
      <c r="U2642" s="213" t="str">
        <f t="shared" si="44"/>
        <v>1w</v>
      </c>
      <c r="V2642" s="201">
        <f>_xll.qlCalendarAdvance(Calendar,V2641,U2642,"f",FALSE)</f>
        <v>57319</v>
      </c>
      <c r="W2642" s="225">
        <f>_xll.qlCalendarAdvance(Calendar,V2642,NDays&amp;"D")</f>
        <v>57321</v>
      </c>
      <c r="X2642" s="200">
        <v>2.2897761252643523E-2</v>
      </c>
      <c r="Y2642" s="209">
        <v>2.2810542706137582E-2</v>
      </c>
    </row>
    <row r="2643" spans="21:25" x14ac:dyDescent="0.2">
      <c r="U2643" s="213" t="str">
        <f t="shared" si="44"/>
        <v>1w</v>
      </c>
      <c r="V2643" s="201">
        <f>_xll.qlCalendarAdvance(Calendar,V2642,U2643,"f",FALSE)</f>
        <v>57326</v>
      </c>
      <c r="W2643" s="225">
        <f>_xll.qlCalendarAdvance(Calendar,V2643,NDays&amp;"D")</f>
        <v>57328</v>
      </c>
      <c r="X2643" s="200">
        <v>2.2894465723498125E-2</v>
      </c>
      <c r="Y2643" s="209">
        <v>2.2806979767553415E-2</v>
      </c>
    </row>
    <row r="2644" spans="21:25" x14ac:dyDescent="0.2">
      <c r="U2644" s="213" t="str">
        <f t="shared" si="44"/>
        <v>1w</v>
      </c>
      <c r="V2644" s="201">
        <f>_xll.qlCalendarAdvance(Calendar,V2643,U2644,"f",FALSE)</f>
        <v>57333</v>
      </c>
      <c r="W2644" s="225">
        <f>_xll.qlCalendarAdvance(Calendar,V2644,NDays&amp;"D")</f>
        <v>57335</v>
      </c>
      <c r="X2644" s="200">
        <v>2.2891194055638862E-2</v>
      </c>
      <c r="Y2644" s="209">
        <v>2.2803440413543541E-2</v>
      </c>
    </row>
    <row r="2645" spans="21:25" x14ac:dyDescent="0.2">
      <c r="U2645" s="213" t="str">
        <f t="shared" ref="U2645:U2708" si="45">U2644</f>
        <v>1w</v>
      </c>
      <c r="V2645" s="201">
        <f>_xll.qlCalendarAdvance(Calendar,V2644,U2645,"f",FALSE)</f>
        <v>57341</v>
      </c>
      <c r="W2645" s="225">
        <f>_xll.qlCalendarAdvance(Calendar,V2645,NDays&amp;"D")</f>
        <v>57343</v>
      </c>
      <c r="X2645" s="200">
        <v>2.2887484224409393E-2</v>
      </c>
      <c r="Y2645" s="209">
        <v>2.2800840868164585E-2</v>
      </c>
    </row>
    <row r="2646" spans="21:25" x14ac:dyDescent="0.2">
      <c r="U2646" s="213" t="str">
        <f t="shared" si="45"/>
        <v>1w</v>
      </c>
      <c r="V2646" s="201">
        <f>_xll.qlCalendarAdvance(Calendar,V2645,U2646,"f",FALSE)</f>
        <v>57348</v>
      </c>
      <c r="W2646" s="225">
        <f>_xll.qlCalendarAdvance(Calendar,V2646,NDays&amp;"D")</f>
        <v>57350</v>
      </c>
      <c r="X2646" s="200">
        <v>2.2883761014418885E-2</v>
      </c>
      <c r="Y2646" s="209">
        <v>2.2796882636848537E-2</v>
      </c>
    </row>
    <row r="2647" spans="21:25" x14ac:dyDescent="0.2">
      <c r="U2647" s="213" t="str">
        <f t="shared" si="45"/>
        <v>1w</v>
      </c>
      <c r="V2647" s="201">
        <f>_xll.qlCalendarAdvance(Calendar,V2646,U2647,"f",FALSE)</f>
        <v>57355</v>
      </c>
      <c r="W2647" s="225">
        <f>_xll.qlCalendarAdvance(Calendar,V2647,NDays&amp;"D")</f>
        <v>57357</v>
      </c>
      <c r="X2647" s="200">
        <v>2.2880562836208228E-2</v>
      </c>
      <c r="Y2647" s="209">
        <v>2.2793420336215675E-2</v>
      </c>
    </row>
    <row r="2648" spans="21:25" x14ac:dyDescent="0.2">
      <c r="U2648" s="213" t="str">
        <f t="shared" si="45"/>
        <v>1w</v>
      </c>
      <c r="V2648" s="201">
        <f>_xll.qlCalendarAdvance(Calendar,V2647,U2648,"f",FALSE)</f>
        <v>57362</v>
      </c>
      <c r="W2648" s="225">
        <f>_xll.qlCalendarAdvance(Calendar,V2648,NDays&amp;"D")</f>
        <v>57364</v>
      </c>
      <c r="X2648" s="200">
        <v>2.2877388517276762E-2</v>
      </c>
      <c r="Y2648" s="209">
        <v>2.2789981623141387E-2</v>
      </c>
    </row>
    <row r="2649" spans="21:25" x14ac:dyDescent="0.2">
      <c r="U2649" s="213" t="str">
        <f t="shared" si="45"/>
        <v>1w</v>
      </c>
      <c r="V2649" s="201">
        <f>_xll.qlCalendarAdvance(Calendar,V2648,U2649,"f",FALSE)</f>
        <v>57369</v>
      </c>
      <c r="W2649" s="225">
        <f>_xll.qlCalendarAdvance(Calendar,V2649,NDays&amp;"D")</f>
        <v>57371</v>
      </c>
      <c r="X2649" s="200">
        <v>2.2874238057512753E-2</v>
      </c>
      <c r="Y2649" s="209">
        <v>2.278656649757238E-2</v>
      </c>
    </row>
    <row r="2650" spans="21:25" x14ac:dyDescent="0.2">
      <c r="U2650" s="213" t="str">
        <f t="shared" si="45"/>
        <v>1w</v>
      </c>
      <c r="V2650" s="201">
        <f>_xll.qlCalendarAdvance(Calendar,V2649,U2650,"f",FALSE)</f>
        <v>57376</v>
      </c>
      <c r="W2650" s="225">
        <f>_xll.qlCalendarAdvance(Calendar,V2650,NDays&amp;"D")</f>
        <v>57378</v>
      </c>
      <c r="X2650" s="200">
        <v>2.2871111456802266E-2</v>
      </c>
      <c r="Y2650" s="209">
        <v>2.2783174959535302E-2</v>
      </c>
    </row>
    <row r="2651" spans="21:25" x14ac:dyDescent="0.2">
      <c r="U2651" s="213" t="str">
        <f t="shared" si="45"/>
        <v>1w</v>
      </c>
      <c r="V2651" s="201">
        <f>_xll.qlCalendarAdvance(Calendar,V2650,U2651,"f",FALSE)</f>
        <v>57383</v>
      </c>
      <c r="W2651" s="225">
        <f>_xll.qlCalendarAdvance(Calendar,V2651,NDays&amp;"D")</f>
        <v>57385</v>
      </c>
      <c r="X2651" s="200">
        <v>2.286800871503665E-2</v>
      </c>
      <c r="Y2651" s="209">
        <v>2.2779807009003505E-2</v>
      </c>
    </row>
    <row r="2652" spans="21:25" x14ac:dyDescent="0.2">
      <c r="U2652" s="213" t="str">
        <f t="shared" si="45"/>
        <v>1w</v>
      </c>
      <c r="V2652" s="201">
        <f>_xll.qlCalendarAdvance(Calendar,V2651,U2652,"f",FALSE)</f>
        <v>57390</v>
      </c>
      <c r="W2652" s="225">
        <f>_xll.qlCalendarAdvance(Calendar,V2652,NDays&amp;"D")</f>
        <v>57392</v>
      </c>
      <c r="X2652" s="200">
        <v>2.2864929832103295E-2</v>
      </c>
      <c r="Y2652" s="209">
        <v>2.2776462646003637E-2</v>
      </c>
    </row>
    <row r="2653" spans="21:25" x14ac:dyDescent="0.2">
      <c r="U2653" s="213" t="str">
        <f t="shared" si="45"/>
        <v>1w</v>
      </c>
      <c r="V2653" s="201">
        <f>_xll.qlCalendarAdvance(Calendar,V2652,U2653,"f",FALSE)</f>
        <v>57397</v>
      </c>
      <c r="W2653" s="225">
        <f>_xll.qlCalendarAdvance(Calendar,V2653,NDays&amp;"D")</f>
        <v>57399</v>
      </c>
      <c r="X2653" s="200">
        <v>2.2861874807893551E-2</v>
      </c>
      <c r="Y2653" s="209">
        <v>2.2773141870429114E-2</v>
      </c>
    </row>
    <row r="2654" spans="21:25" x14ac:dyDescent="0.2">
      <c r="U2654" s="213" t="str">
        <f t="shared" si="45"/>
        <v>1w</v>
      </c>
      <c r="V2654" s="201">
        <f>_xll.qlCalendarAdvance(Calendar,V2653,U2654,"f",FALSE)</f>
        <v>57404</v>
      </c>
      <c r="W2654" s="225">
        <f>_xll.qlCalendarAdvance(Calendar,V2654,NDays&amp;"D")</f>
        <v>57406</v>
      </c>
      <c r="X2654" s="200">
        <v>2.2860903575205187E-2</v>
      </c>
      <c r="Y2654" s="209">
        <v>2.276984468243981E-2</v>
      </c>
    </row>
    <row r="2655" spans="21:25" x14ac:dyDescent="0.2">
      <c r="U2655" s="213" t="str">
        <f t="shared" si="45"/>
        <v>1w</v>
      </c>
      <c r="V2655" s="201">
        <f>_xll.qlCalendarAdvance(Calendar,V2654,U2655,"f",FALSE)</f>
        <v>57411</v>
      </c>
      <c r="W2655" s="225">
        <f>_xll.qlCalendarAdvance(Calendar,V2655,NDays&amp;"D")</f>
        <v>57413</v>
      </c>
      <c r="X2655" s="200">
        <v>2.2857902327010789E-2</v>
      </c>
      <c r="Y2655" s="209">
        <v>2.2766571081929143E-2</v>
      </c>
    </row>
    <row r="2656" spans="21:25" x14ac:dyDescent="0.2">
      <c r="U2656" s="213" t="str">
        <f t="shared" si="45"/>
        <v>1w</v>
      </c>
      <c r="V2656" s="201">
        <f>_xll.qlCalendarAdvance(Calendar,V2655,U2656,"f",FALSE)</f>
        <v>57418</v>
      </c>
      <c r="W2656" s="225">
        <f>_xll.qlCalendarAdvance(Calendar,V2656,NDays&amp;"D")</f>
        <v>57420</v>
      </c>
      <c r="X2656" s="200">
        <v>2.2854924943309905E-2</v>
      </c>
      <c r="Y2656" s="209">
        <v>2.2763321068923759E-2</v>
      </c>
    </row>
    <row r="2657" spans="21:25" x14ac:dyDescent="0.2">
      <c r="U2657" s="213" t="str">
        <f t="shared" si="45"/>
        <v>1w</v>
      </c>
      <c r="V2657" s="201">
        <f>_xll.qlCalendarAdvance(Calendar,V2656,U2657,"f",FALSE)</f>
        <v>57425</v>
      </c>
      <c r="W2657" s="225">
        <f>_xll.qlCalendarAdvance(Calendar,V2657,NDays&amp;"D")</f>
        <v>57427</v>
      </c>
      <c r="X2657" s="200">
        <v>2.2851971423993651E-2</v>
      </c>
      <c r="Y2657" s="209">
        <v>2.2760094643423656E-2</v>
      </c>
    </row>
    <row r="2658" spans="21:25" x14ac:dyDescent="0.2">
      <c r="U2658" s="213" t="str">
        <f t="shared" si="45"/>
        <v>1w</v>
      </c>
      <c r="V2658" s="201">
        <f>_xll.qlCalendarAdvance(Calendar,V2657,U2658,"f",FALSE)</f>
        <v>57432</v>
      </c>
      <c r="W2658" s="225">
        <f>_xll.qlCalendarAdvance(Calendar,V2658,NDays&amp;"D")</f>
        <v>57434</v>
      </c>
      <c r="X2658" s="200">
        <v>2.284747836419888E-2</v>
      </c>
      <c r="Y2658" s="209">
        <v>2.2756891805375545E-2</v>
      </c>
    </row>
    <row r="2659" spans="21:25" x14ac:dyDescent="0.2">
      <c r="U2659" s="213" t="str">
        <f t="shared" si="45"/>
        <v>1w</v>
      </c>
      <c r="V2659" s="201">
        <f>_xll.qlCalendarAdvance(Calendar,V2658,U2659,"f",FALSE)</f>
        <v>57439</v>
      </c>
      <c r="W2659" s="225">
        <f>_xll.qlCalendarAdvance(Calendar,V2659,NDays&amp;"D")</f>
        <v>57441</v>
      </c>
      <c r="X2659" s="200">
        <v>2.2846135978086841E-2</v>
      </c>
      <c r="Y2659" s="209">
        <v>2.2753712554859362E-2</v>
      </c>
    </row>
    <row r="2660" spans="21:25" x14ac:dyDescent="0.2">
      <c r="U2660" s="213" t="str">
        <f t="shared" si="45"/>
        <v>1w</v>
      </c>
      <c r="V2660" s="201">
        <f>_xll.qlCalendarAdvance(Calendar,V2659,U2660,"f",FALSE)</f>
        <v>57446</v>
      </c>
      <c r="W2660" s="225">
        <f>_xll.qlCalendarAdvance(Calendar,V2660,NDays&amp;"D")</f>
        <v>57448</v>
      </c>
      <c r="X2660" s="200">
        <v>2.2843254051284127E-2</v>
      </c>
      <c r="Y2660" s="209">
        <v>2.2750556891821816E-2</v>
      </c>
    </row>
    <row r="2661" spans="21:25" x14ac:dyDescent="0.2">
      <c r="U2661" s="213" t="str">
        <f t="shared" si="45"/>
        <v>1w</v>
      </c>
      <c r="V2661" s="201">
        <f>_xll.qlCalendarAdvance(Calendar,V2660,U2661,"f",FALSE)</f>
        <v>57453</v>
      </c>
      <c r="W2661" s="225">
        <f>_xll.qlCalendarAdvance(Calendar,V2661,NDays&amp;"D")</f>
        <v>57459</v>
      </c>
      <c r="X2661" s="200">
        <v>2.28377202084959E-2</v>
      </c>
      <c r="Y2661" s="209">
        <v>2.274465253034208E-2</v>
      </c>
    </row>
    <row r="2662" spans="21:25" x14ac:dyDescent="0.2">
      <c r="U2662" s="213" t="str">
        <f t="shared" si="45"/>
        <v>1w</v>
      </c>
      <c r="V2662" s="201">
        <f>_xll.qlCalendarAdvance(Calendar,V2661,U2662,"f",FALSE)</f>
        <v>57460</v>
      </c>
      <c r="W2662" s="225">
        <f>_xll.qlCalendarAdvance(Calendar,V2662,NDays&amp;"D")</f>
        <v>57462</v>
      </c>
      <c r="X2662" s="200">
        <v>2.2837561789456826E-2</v>
      </c>
      <c r="Y2662" s="209">
        <v>2.2744316328315861E-2</v>
      </c>
    </row>
    <row r="2663" spans="21:25" x14ac:dyDescent="0.2">
      <c r="U2663" s="213" t="str">
        <f t="shared" si="45"/>
        <v>1w</v>
      </c>
      <c r="V2663" s="201">
        <f>_xll.qlCalendarAdvance(Calendar,V2662,U2663,"f",FALSE)</f>
        <v>57467</v>
      </c>
      <c r="W2663" s="225">
        <f>_xll.qlCalendarAdvance(Calendar,V2663,NDays&amp;"D")</f>
        <v>57469</v>
      </c>
      <c r="X2663" s="200">
        <v>2.2834751454224839E-2</v>
      </c>
      <c r="Y2663" s="209">
        <v>2.2741231427767516E-2</v>
      </c>
    </row>
    <row r="2664" spans="21:25" x14ac:dyDescent="0.2">
      <c r="U2664" s="213" t="str">
        <f t="shared" si="45"/>
        <v>1w</v>
      </c>
      <c r="V2664" s="201">
        <f>_xll.qlCalendarAdvance(Calendar,V2663,U2664,"f",FALSE)</f>
        <v>57474</v>
      </c>
      <c r="W2664" s="225">
        <f>_xll.qlCalendarAdvance(Calendar,V2664,NDays&amp;"D")</f>
        <v>57476</v>
      </c>
      <c r="X2664" s="200">
        <v>2.2831964982643366E-2</v>
      </c>
      <c r="Y2664" s="209">
        <v>2.2738170114671163E-2</v>
      </c>
    </row>
    <row r="2665" spans="21:25" x14ac:dyDescent="0.2">
      <c r="U2665" s="213" t="str">
        <f t="shared" si="45"/>
        <v>1w</v>
      </c>
      <c r="V2665" s="201">
        <f>_xll.qlCalendarAdvance(Calendar,V2664,U2665,"f",FALSE)</f>
        <v>57481</v>
      </c>
      <c r="W2665" s="225">
        <f>_xll.qlCalendarAdvance(Calendar,V2665,NDays&amp;"D")</f>
        <v>57483</v>
      </c>
      <c r="X2665" s="200">
        <v>2.2829202374612594E-2</v>
      </c>
      <c r="Y2665" s="209">
        <v>2.2735132389133383E-2</v>
      </c>
    </row>
    <row r="2666" spans="21:25" x14ac:dyDescent="0.2">
      <c r="U2666" s="213" t="str">
        <f t="shared" si="45"/>
        <v>1w</v>
      </c>
      <c r="V2666" s="201">
        <f>_xll.qlCalendarAdvance(Calendar,V2665,U2666,"f",FALSE)</f>
        <v>57488</v>
      </c>
      <c r="W2666" s="225">
        <f>_xll.qlCalendarAdvance(Calendar,V2666,NDays&amp;"D")</f>
        <v>57490</v>
      </c>
      <c r="X2666" s="200">
        <v>2.2826463630031851E-2</v>
      </c>
      <c r="Y2666" s="209">
        <v>2.2732118250994304E-2</v>
      </c>
    </row>
    <row r="2667" spans="21:25" x14ac:dyDescent="0.2">
      <c r="U2667" s="213" t="str">
        <f t="shared" si="45"/>
        <v>1w</v>
      </c>
      <c r="V2667" s="201">
        <f>_xll.qlCalendarAdvance(Calendar,V2666,U2667,"f",FALSE)</f>
        <v>57495</v>
      </c>
      <c r="W2667" s="225">
        <f>_xll.qlCalendarAdvance(Calendar,V2667,NDays&amp;"D")</f>
        <v>57497</v>
      </c>
      <c r="X2667" s="200">
        <v>2.282374874880046E-2</v>
      </c>
      <c r="Y2667" s="209">
        <v>2.2729127700387153E-2</v>
      </c>
    </row>
    <row r="2668" spans="21:25" x14ac:dyDescent="0.2">
      <c r="U2668" s="213" t="str">
        <f t="shared" si="45"/>
        <v>1w</v>
      </c>
      <c r="V2668" s="201">
        <f>_xll.qlCalendarAdvance(Calendar,V2667,U2668,"f",FALSE)</f>
        <v>57502</v>
      </c>
      <c r="W2668" s="225">
        <f>_xll.qlCalendarAdvance(Calendar,V2668,NDays&amp;"D")</f>
        <v>57504</v>
      </c>
      <c r="X2668" s="200">
        <v>2.2821057730820767E-2</v>
      </c>
      <c r="Y2668" s="209">
        <v>2.2726160737285284E-2</v>
      </c>
    </row>
    <row r="2669" spans="21:25" x14ac:dyDescent="0.2">
      <c r="U2669" s="213" t="str">
        <f t="shared" si="45"/>
        <v>1w</v>
      </c>
      <c r="V2669" s="201">
        <f>_xll.qlCalendarAdvance(Calendar,V2668,U2669,"f",FALSE)</f>
        <v>57509</v>
      </c>
      <c r="W2669" s="225">
        <f>_xll.qlCalendarAdvance(Calendar,V2669,NDays&amp;"D")</f>
        <v>57511</v>
      </c>
      <c r="X2669" s="200">
        <v>2.2818390575993823E-2</v>
      </c>
      <c r="Y2669" s="209">
        <v>2.2723217361635406E-2</v>
      </c>
    </row>
    <row r="2670" spans="21:25" x14ac:dyDescent="0.2">
      <c r="U2670" s="213" t="str">
        <f t="shared" si="45"/>
        <v>1w</v>
      </c>
      <c r="V2670" s="201">
        <f>_xll.qlCalendarAdvance(Calendar,V2669,U2670,"f",FALSE)</f>
        <v>57516</v>
      </c>
      <c r="W2670" s="225">
        <f>_xll.qlCalendarAdvance(Calendar,V2670,NDays&amp;"D")</f>
        <v>57518</v>
      </c>
      <c r="X2670" s="200">
        <v>2.2815747284223711E-2</v>
      </c>
      <c r="Y2670" s="209">
        <v>2.2720297573464165E-2</v>
      </c>
    </row>
    <row r="2671" spans="21:25" x14ac:dyDescent="0.2">
      <c r="U2671" s="213" t="str">
        <f t="shared" si="45"/>
        <v>1w</v>
      </c>
      <c r="V2671" s="201">
        <f>_xll.qlCalendarAdvance(Calendar,V2670,U2671,"f",FALSE)</f>
        <v>57523</v>
      </c>
      <c r="W2671" s="225">
        <f>_xll.qlCalendarAdvance(Calendar,V2671,NDays&amp;"D")</f>
        <v>57525</v>
      </c>
      <c r="X2671" s="200">
        <v>2.2813127855414068E-2</v>
      </c>
      <c r="Y2671" s="209">
        <v>2.2717401372691626E-2</v>
      </c>
    </row>
    <row r="2672" spans="21:25" x14ac:dyDescent="0.2">
      <c r="U2672" s="213" t="str">
        <f t="shared" si="45"/>
        <v>1w</v>
      </c>
      <c r="V2672" s="201">
        <f>_xll.qlCalendarAdvance(Calendar,V2671,U2672,"f",FALSE)</f>
        <v>57530</v>
      </c>
      <c r="W2672" s="225">
        <f>_xll.qlCalendarAdvance(Calendar,V2672,NDays&amp;"D")</f>
        <v>57532</v>
      </c>
      <c r="X2672" s="200">
        <v>2.2810532289469838E-2</v>
      </c>
      <c r="Y2672" s="209">
        <v>2.2714528759477659E-2</v>
      </c>
    </row>
    <row r="2673" spans="21:25" x14ac:dyDescent="0.2">
      <c r="U2673" s="213" t="str">
        <f t="shared" si="45"/>
        <v>1w</v>
      </c>
      <c r="V2673" s="201">
        <f>_xll.qlCalendarAdvance(Calendar,V2672,U2673,"f",FALSE)</f>
        <v>57537</v>
      </c>
      <c r="W2673" s="225">
        <f>_xll.qlCalendarAdvance(Calendar,V2673,NDays&amp;"D")</f>
        <v>57539</v>
      </c>
      <c r="X2673" s="200">
        <v>2.2807960586295532E-2</v>
      </c>
      <c r="Y2673" s="209">
        <v>2.2711679733715684E-2</v>
      </c>
    </row>
    <row r="2674" spans="21:25" x14ac:dyDescent="0.2">
      <c r="U2674" s="213" t="str">
        <f t="shared" si="45"/>
        <v>1w</v>
      </c>
      <c r="V2674" s="201">
        <f>_xll.qlCalendarAdvance(Calendar,V2673,U2674,"f",FALSE)</f>
        <v>57544</v>
      </c>
      <c r="W2674" s="225">
        <f>_xll.qlCalendarAdvance(Calendar,V2674,NDays&amp;"D")</f>
        <v>57546</v>
      </c>
      <c r="X2674" s="200">
        <v>2.2805412745799114E-2</v>
      </c>
      <c r="Y2674" s="209">
        <v>2.2708854295458991E-2</v>
      </c>
    </row>
    <row r="2675" spans="21:25" x14ac:dyDescent="0.2">
      <c r="U2675" s="213" t="str">
        <f t="shared" si="45"/>
        <v>1w</v>
      </c>
      <c r="V2675" s="201">
        <f>_xll.qlCalendarAdvance(Calendar,V2674,U2675,"f",FALSE)</f>
        <v>57551</v>
      </c>
      <c r="W2675" s="225">
        <f>_xll.qlCalendarAdvance(Calendar,V2675,NDays&amp;"D")</f>
        <v>57553</v>
      </c>
      <c r="X2675" s="200">
        <v>2.280288876788682E-2</v>
      </c>
      <c r="Y2675" s="209">
        <v>2.2706052444627645E-2</v>
      </c>
    </row>
    <row r="2676" spans="21:25" x14ac:dyDescent="0.2">
      <c r="U2676" s="213" t="str">
        <f t="shared" si="45"/>
        <v>1w</v>
      </c>
      <c r="V2676" s="201">
        <f>_xll.qlCalendarAdvance(Calendar,V2675,U2676,"f",FALSE)</f>
        <v>57558</v>
      </c>
      <c r="W2676" s="225">
        <f>_xll.qlCalendarAdvance(Calendar,V2676,NDays&amp;"D")</f>
        <v>57560</v>
      </c>
      <c r="X2676" s="200">
        <v>2.2800388652467914E-2</v>
      </c>
      <c r="Y2676" s="209">
        <v>2.270327418124829E-2</v>
      </c>
    </row>
    <row r="2677" spans="21:25" x14ac:dyDescent="0.2">
      <c r="U2677" s="213" t="str">
        <f t="shared" si="45"/>
        <v>1w</v>
      </c>
      <c r="V2677" s="201">
        <f>_xll.qlCalendarAdvance(Calendar,V2676,U2677,"f",FALSE)</f>
        <v>57565</v>
      </c>
      <c r="W2677" s="225">
        <f>_xll.qlCalendarAdvance(Calendar,V2677,NDays&amp;"D")</f>
        <v>57567</v>
      </c>
      <c r="X2677" s="200">
        <v>2.2797912399450358E-2</v>
      </c>
      <c r="Y2677" s="209">
        <v>2.2700519505347572E-2</v>
      </c>
    </row>
    <row r="2678" spans="21:25" x14ac:dyDescent="0.2">
      <c r="U2678" s="213" t="str">
        <f t="shared" si="45"/>
        <v>1w</v>
      </c>
      <c r="V2678" s="201">
        <f>_xll.qlCalendarAdvance(Calendar,V2677,U2678,"f",FALSE)</f>
        <v>57572</v>
      </c>
      <c r="W2678" s="225">
        <f>_xll.qlCalendarAdvance(Calendar,V2678,NDays&amp;"D")</f>
        <v>57574</v>
      </c>
      <c r="X2678" s="200">
        <v>2.2795460008745147E-2</v>
      </c>
      <c r="Y2678" s="209">
        <v>2.2697788416952136E-2</v>
      </c>
    </row>
    <row r="2679" spans="21:25" x14ac:dyDescent="0.2">
      <c r="U2679" s="213" t="str">
        <f t="shared" si="45"/>
        <v>1w</v>
      </c>
      <c r="V2679" s="201">
        <f>_xll.qlCalendarAdvance(Calendar,V2678,U2679,"f",FALSE)</f>
        <v>57579</v>
      </c>
      <c r="W2679" s="225">
        <f>_xll.qlCalendarAdvance(Calendar,V2679,NDays&amp;"D")</f>
        <v>57581</v>
      </c>
      <c r="X2679" s="200">
        <v>2.2793031480263265E-2</v>
      </c>
      <c r="Y2679" s="209">
        <v>2.2695080916008692E-2</v>
      </c>
    </row>
    <row r="2680" spans="21:25" x14ac:dyDescent="0.2">
      <c r="U2680" s="213" t="str">
        <f t="shared" si="45"/>
        <v>1w</v>
      </c>
      <c r="V2680" s="201">
        <f>_xll.qlCalendarAdvance(Calendar,V2679,U2680,"f",FALSE)</f>
        <v>57586</v>
      </c>
      <c r="W2680" s="225">
        <f>_xll.qlCalendarAdvance(Calendar,V2680,NDays&amp;"D")</f>
        <v>57588</v>
      </c>
      <c r="X2680" s="200">
        <v>2.2788407374793797E-2</v>
      </c>
      <c r="Y2680" s="209">
        <v>2.2692397002490594E-2</v>
      </c>
    </row>
    <row r="2681" spans="21:25" x14ac:dyDescent="0.2">
      <c r="U2681" s="213" t="str">
        <f t="shared" si="45"/>
        <v>1w</v>
      </c>
      <c r="V2681" s="201">
        <f>_xll.qlCalendarAdvance(Calendar,V2680,U2681,"f",FALSE)</f>
        <v>57593</v>
      </c>
      <c r="W2681" s="225">
        <f>_xll.qlCalendarAdvance(Calendar,V2681,NDays&amp;"D")</f>
        <v>57595</v>
      </c>
      <c r="X2681" s="200">
        <v>2.2786020353822635E-2</v>
      </c>
      <c r="Y2681" s="209">
        <v>2.2689736676451133E-2</v>
      </c>
    </row>
    <row r="2682" spans="21:25" x14ac:dyDescent="0.2">
      <c r="U2682" s="213" t="str">
        <f t="shared" si="45"/>
        <v>1w</v>
      </c>
      <c r="V2682" s="201">
        <f>_xll.qlCalendarAdvance(Calendar,V2681,U2682,"f",FALSE)</f>
        <v>57600</v>
      </c>
      <c r="W2682" s="225">
        <f>_xll.qlCalendarAdvance(Calendar,V2682,NDays&amp;"D")</f>
        <v>57602</v>
      </c>
      <c r="X2682" s="200">
        <v>2.2783657188767171E-2</v>
      </c>
      <c r="Y2682" s="209">
        <v>2.2687099937810373E-2</v>
      </c>
    </row>
    <row r="2683" spans="21:25" x14ac:dyDescent="0.2">
      <c r="U2683" s="213" t="str">
        <f t="shared" si="45"/>
        <v>1w</v>
      </c>
      <c r="V2683" s="201">
        <f>_xll.qlCalendarAdvance(Calendar,V2682,U2683,"f",FALSE)</f>
        <v>57607</v>
      </c>
      <c r="W2683" s="225">
        <f>_xll.qlCalendarAdvance(Calendar,V2683,NDays&amp;"D")</f>
        <v>57609</v>
      </c>
      <c r="X2683" s="200">
        <v>2.2781317879545258E-2</v>
      </c>
      <c r="Y2683" s="209">
        <v>2.2684486786701541E-2</v>
      </c>
    </row>
    <row r="2684" spans="21:25" x14ac:dyDescent="0.2">
      <c r="U2684" s="213" t="str">
        <f t="shared" si="45"/>
        <v>1w</v>
      </c>
      <c r="V2684" s="201">
        <f>_xll.qlCalendarAdvance(Calendar,V2683,U2684,"f",FALSE)</f>
        <v>57614</v>
      </c>
      <c r="W2684" s="225">
        <f>_xll.qlCalendarAdvance(Calendar,V2684,NDays&amp;"D")</f>
        <v>57616</v>
      </c>
      <c r="X2684" s="200">
        <v>2.2779563252551854E-2</v>
      </c>
      <c r="Y2684" s="209">
        <v>2.2681897223018055E-2</v>
      </c>
    </row>
    <row r="2685" spans="21:25" x14ac:dyDescent="0.2">
      <c r="U2685" s="213" t="str">
        <f t="shared" si="45"/>
        <v>1w</v>
      </c>
      <c r="V2685" s="201">
        <f>_xll.qlCalendarAdvance(Calendar,V2684,U2685,"f",FALSE)</f>
        <v>57621</v>
      </c>
      <c r="W2685" s="225">
        <f>_xll.qlCalendarAdvance(Calendar,V2685,NDays&amp;"D")</f>
        <v>57623</v>
      </c>
      <c r="X2685" s="200">
        <v>2.2777273214644855E-2</v>
      </c>
      <c r="Y2685" s="209">
        <v>2.267933124678656E-2</v>
      </c>
    </row>
    <row r="2686" spans="21:25" x14ac:dyDescent="0.2">
      <c r="U2686" s="213" t="str">
        <f t="shared" si="45"/>
        <v>1w</v>
      </c>
      <c r="V2686" s="201">
        <f>_xll.qlCalendarAdvance(Calendar,V2685,U2686,"f",FALSE)</f>
        <v>57628</v>
      </c>
      <c r="W2686" s="225">
        <f>_xll.qlCalendarAdvance(Calendar,V2686,NDays&amp;"D")</f>
        <v>57630</v>
      </c>
      <c r="X2686" s="200">
        <v>2.2777264556116571E-2</v>
      </c>
      <c r="Y2686" s="209">
        <v>2.2676788858033703E-2</v>
      </c>
    </row>
    <row r="2687" spans="21:25" x14ac:dyDescent="0.2">
      <c r="U2687" s="213" t="str">
        <f t="shared" si="45"/>
        <v>1w</v>
      </c>
      <c r="V2687" s="201">
        <f>_xll.qlCalendarAdvance(Calendar,V2686,U2687,"f",FALSE)</f>
        <v>57635</v>
      </c>
      <c r="W2687" s="225">
        <f>_xll.qlCalendarAdvance(Calendar,V2687,NDays&amp;"D")</f>
        <v>57637</v>
      </c>
      <c r="X2687" s="200">
        <v>2.2772764710032575E-2</v>
      </c>
      <c r="Y2687" s="209">
        <v>2.2674270056652901E-2</v>
      </c>
    </row>
    <row r="2688" spans="21:25" x14ac:dyDescent="0.2">
      <c r="U2688" s="213" t="str">
        <f t="shared" si="45"/>
        <v>1w</v>
      </c>
      <c r="V2688" s="201">
        <f>_xll.qlCalendarAdvance(Calendar,V2687,U2688,"f",FALSE)</f>
        <v>57642</v>
      </c>
      <c r="W2688" s="225">
        <f>_xll.qlCalendarAdvance(Calendar,V2688,NDays&amp;"D")</f>
        <v>57644</v>
      </c>
      <c r="X2688" s="200">
        <v>2.2770546243166979E-2</v>
      </c>
      <c r="Y2688" s="209">
        <v>2.2671774842777381E-2</v>
      </c>
    </row>
    <row r="2689" spans="21:25" x14ac:dyDescent="0.2">
      <c r="U2689" s="213" t="str">
        <f t="shared" si="45"/>
        <v>1w</v>
      </c>
      <c r="V2689" s="201">
        <f>_xll.qlCalendarAdvance(Calendar,V2688,U2689,"f",FALSE)</f>
        <v>57649</v>
      </c>
      <c r="W2689" s="225">
        <f>_xll.qlCalendarAdvance(Calendar,V2689,NDays&amp;"D")</f>
        <v>57651</v>
      </c>
      <c r="X2689" s="200">
        <v>2.2767782992092232E-2</v>
      </c>
      <c r="Y2689" s="209">
        <v>2.2669303216327208E-2</v>
      </c>
    </row>
    <row r="2690" spans="21:25" x14ac:dyDescent="0.2">
      <c r="U2690" s="213" t="str">
        <f t="shared" si="45"/>
        <v>1w</v>
      </c>
      <c r="V2690" s="201">
        <f>_xll.qlCalendarAdvance(Calendar,V2689,U2690,"f",FALSE)</f>
        <v>57656</v>
      </c>
      <c r="W2690" s="225">
        <f>_xll.qlCalendarAdvance(Calendar,V2690,NDays&amp;"D")</f>
        <v>57658</v>
      </c>
      <c r="X2690" s="200">
        <v>2.276561067141486E-2</v>
      </c>
      <c r="Y2690" s="209">
        <v>2.2666855177355671E-2</v>
      </c>
    </row>
    <row r="2691" spans="21:25" x14ac:dyDescent="0.2">
      <c r="U2691" s="213" t="str">
        <f t="shared" si="45"/>
        <v>1w</v>
      </c>
      <c r="V2691" s="201">
        <f>_xll.qlCalendarAdvance(Calendar,V2690,U2691,"f",FALSE)</f>
        <v>57663</v>
      </c>
      <c r="W2691" s="225">
        <f>_xll.qlCalendarAdvance(Calendar,V2691,NDays&amp;"D")</f>
        <v>57665</v>
      </c>
      <c r="X2691" s="200">
        <v>2.2763462205927575E-2</v>
      </c>
      <c r="Y2691" s="209">
        <v>2.2664430725756191E-2</v>
      </c>
    </row>
    <row r="2692" spans="21:25" x14ac:dyDescent="0.2">
      <c r="U2692" s="213" t="str">
        <f t="shared" si="45"/>
        <v>1w</v>
      </c>
      <c r="V2692" s="201">
        <f>_xll.qlCalendarAdvance(Calendar,V2691,U2692,"f",FALSE)</f>
        <v>57670</v>
      </c>
      <c r="W2692" s="225">
        <f>_xll.qlCalendarAdvance(Calendar,V2692,NDays&amp;"D")</f>
        <v>57672</v>
      </c>
      <c r="X2692" s="200">
        <v>2.2761337595554858E-2</v>
      </c>
      <c r="Y2692" s="209">
        <v>2.2662029861688637E-2</v>
      </c>
    </row>
    <row r="2693" spans="21:25" x14ac:dyDescent="0.2">
      <c r="U2693" s="213" t="str">
        <f t="shared" si="45"/>
        <v>1w</v>
      </c>
      <c r="V2693" s="201">
        <f>_xll.qlCalendarAdvance(Calendar,V2692,U2693,"f",FALSE)</f>
        <v>57677</v>
      </c>
      <c r="W2693" s="225">
        <f>_xll.qlCalendarAdvance(Calendar,V2693,NDays&amp;"D")</f>
        <v>57679</v>
      </c>
      <c r="X2693" s="200">
        <v>2.2759811760092244E-2</v>
      </c>
      <c r="Y2693" s="209">
        <v>2.2659652585019785E-2</v>
      </c>
    </row>
    <row r="2694" spans="21:25" x14ac:dyDescent="0.2">
      <c r="U2694" s="213" t="str">
        <f t="shared" si="45"/>
        <v>1w</v>
      </c>
      <c r="V2694" s="201">
        <f>_xll.qlCalendarAdvance(Calendar,V2693,U2694,"f",FALSE)</f>
        <v>57684</v>
      </c>
      <c r="W2694" s="225">
        <f>_xll.qlCalendarAdvance(Calendar,V2694,NDays&amp;"D")</f>
        <v>57686</v>
      </c>
      <c r="X2694" s="200">
        <v>2.2757736433190706E-2</v>
      </c>
      <c r="Y2694" s="209">
        <v>2.2657298895802924E-2</v>
      </c>
    </row>
    <row r="2695" spans="21:25" x14ac:dyDescent="0.2">
      <c r="U2695" s="213" t="str">
        <f t="shared" si="45"/>
        <v>1w</v>
      </c>
      <c r="V2695" s="201">
        <f>_xll.qlCalendarAdvance(Calendar,V2694,U2695,"f",FALSE)</f>
        <v>57691</v>
      </c>
      <c r="W2695" s="225">
        <f>_xll.qlCalendarAdvance(Calendar,V2695,NDays&amp;"D")</f>
        <v>57693</v>
      </c>
      <c r="X2695" s="200">
        <v>2.2755684962684271E-2</v>
      </c>
      <c r="Y2695" s="209">
        <v>2.2654968793958119E-2</v>
      </c>
    </row>
    <row r="2696" spans="21:25" x14ac:dyDescent="0.2">
      <c r="U2696" s="213" t="str">
        <f t="shared" si="45"/>
        <v>1w</v>
      </c>
      <c r="V2696" s="201">
        <f>_xll.qlCalendarAdvance(Calendar,V2695,U2696,"f",FALSE)</f>
        <v>57698</v>
      </c>
      <c r="W2696" s="225">
        <f>_xll.qlCalendarAdvance(Calendar,V2696,NDays&amp;"D")</f>
        <v>57700</v>
      </c>
      <c r="X2696" s="200">
        <v>2.2753657348501783E-2</v>
      </c>
      <c r="Y2696" s="209">
        <v>2.2652662279591951E-2</v>
      </c>
    </row>
    <row r="2697" spans="21:25" x14ac:dyDescent="0.2">
      <c r="U2697" s="213" t="str">
        <f t="shared" si="45"/>
        <v>1w</v>
      </c>
      <c r="V2697" s="201">
        <f>_xll.qlCalendarAdvance(Calendar,V2696,U2697,"f",FALSE)</f>
        <v>57706</v>
      </c>
      <c r="W2697" s="225">
        <f>_xll.qlCalendarAdvance(Calendar,V2697,NDays&amp;"D")</f>
        <v>57710</v>
      </c>
      <c r="X2697" s="200">
        <v>2.274905696774503E-2</v>
      </c>
      <c r="Y2697" s="209">
        <v>2.2648857193279248E-2</v>
      </c>
    </row>
    <row r="2698" spans="21:25" x14ac:dyDescent="0.2">
      <c r="U2698" s="213" t="str">
        <f t="shared" si="45"/>
        <v>1w</v>
      </c>
      <c r="V2698" s="201">
        <f>_xll.qlCalendarAdvance(Calendar,V2697,U2698,"f",FALSE)</f>
        <v>57713</v>
      </c>
      <c r="W2698" s="225">
        <f>_xll.qlCalendarAdvance(Calendar,V2698,NDays&amp;"D")</f>
        <v>57717</v>
      </c>
      <c r="X2698" s="200">
        <v>2.2748832462383451E-2</v>
      </c>
      <c r="Y2698" s="209">
        <v>2.2646054063670817E-2</v>
      </c>
    </row>
    <row r="2699" spans="21:25" x14ac:dyDescent="0.2">
      <c r="U2699" s="213" t="str">
        <f t="shared" si="45"/>
        <v>1w</v>
      </c>
      <c r="V2699" s="201">
        <f>_xll.qlCalendarAdvance(Calendar,V2698,U2699,"f",FALSE)</f>
        <v>57720</v>
      </c>
      <c r="W2699" s="225">
        <f>_xll.qlCalendarAdvance(Calendar,V2699,NDays&amp;"D")</f>
        <v>57724</v>
      </c>
      <c r="X2699" s="200">
        <v>2.2746886640760942E-2</v>
      </c>
      <c r="Y2699" s="209">
        <v>2.2643825331272183E-2</v>
      </c>
    </row>
    <row r="2700" spans="21:25" x14ac:dyDescent="0.2">
      <c r="U2700" s="213" t="str">
        <f t="shared" si="45"/>
        <v>1w</v>
      </c>
      <c r="V2700" s="201">
        <f>_xll.qlCalendarAdvance(Calendar,V2699,U2700,"f",FALSE)</f>
        <v>57727</v>
      </c>
      <c r="W2700" s="225">
        <f>_xll.qlCalendarAdvance(Calendar,V2700,NDays&amp;"D")</f>
        <v>57731</v>
      </c>
      <c r="X2700" s="200">
        <v>2.274496467514615E-2</v>
      </c>
      <c r="Y2700" s="209">
        <v>2.2641620183367905E-2</v>
      </c>
    </row>
    <row r="2701" spans="21:25" x14ac:dyDescent="0.2">
      <c r="U2701" s="213" t="str">
        <f t="shared" si="45"/>
        <v>1w</v>
      </c>
      <c r="V2701" s="201">
        <f>_xll.qlCalendarAdvance(Calendar,V2700,U2701,"f",FALSE)</f>
        <v>57734</v>
      </c>
      <c r="W2701" s="225">
        <f>_xll.qlCalendarAdvance(Calendar,V2701,NDays&amp;"D")</f>
        <v>57738</v>
      </c>
      <c r="X2701" s="200">
        <v>2.2743066565469684E-2</v>
      </c>
      <c r="Y2701" s="209">
        <v>2.2639438619798113E-2</v>
      </c>
    </row>
    <row r="2702" spans="21:25" x14ac:dyDescent="0.2">
      <c r="U2702" s="213" t="str">
        <f t="shared" si="45"/>
        <v>1w</v>
      </c>
      <c r="V2702" s="201">
        <f>_xll.qlCalendarAdvance(Calendar,V2701,U2702,"f",FALSE)</f>
        <v>57741</v>
      </c>
      <c r="W2702" s="225">
        <f>_xll.qlCalendarAdvance(Calendar,V2702,NDays&amp;"D")</f>
        <v>57745</v>
      </c>
      <c r="X2702" s="200">
        <v>2.2741192311664341E-2</v>
      </c>
      <c r="Y2702" s="209">
        <v>2.2637280640722679E-2</v>
      </c>
    </row>
    <row r="2703" spans="21:25" x14ac:dyDescent="0.2">
      <c r="U2703" s="213" t="str">
        <f t="shared" si="45"/>
        <v>1w</v>
      </c>
      <c r="V2703" s="201">
        <f>_xll.qlCalendarAdvance(Calendar,V2702,U2703,"f",FALSE)</f>
        <v>57748</v>
      </c>
      <c r="W2703" s="225">
        <f>_xll.qlCalendarAdvance(Calendar,V2703,NDays&amp;"D")</f>
        <v>57752</v>
      </c>
      <c r="X2703" s="200">
        <v>2.2739341913664241E-2</v>
      </c>
      <c r="Y2703" s="209">
        <v>2.2635146246061666E-2</v>
      </c>
    </row>
    <row r="2704" spans="21:25" x14ac:dyDescent="0.2">
      <c r="U2704" s="213" t="str">
        <f t="shared" si="45"/>
        <v>1w</v>
      </c>
      <c r="V2704" s="201">
        <f>_xll.qlCalendarAdvance(Calendar,V2703,U2704,"f",FALSE)</f>
        <v>57755</v>
      </c>
      <c r="W2704" s="225">
        <f>_xll.qlCalendarAdvance(Calendar,V2704,NDays&amp;"D")</f>
        <v>57759</v>
      </c>
      <c r="X2704" s="200">
        <v>2.2737515371401746E-2</v>
      </c>
      <c r="Y2704" s="209">
        <v>2.263303543589501E-2</v>
      </c>
    </row>
    <row r="2705" spans="21:25" x14ac:dyDescent="0.2">
      <c r="U2705" s="213" t="str">
        <f t="shared" si="45"/>
        <v>1w</v>
      </c>
      <c r="V2705" s="201">
        <f>_xll.qlCalendarAdvance(Calendar,V2704,U2705,"f",FALSE)</f>
        <v>57762</v>
      </c>
      <c r="W2705" s="225">
        <f>_xll.qlCalendarAdvance(Calendar,V2705,NDays&amp;"D")</f>
        <v>57766</v>
      </c>
      <c r="X2705" s="200">
        <v>2.2735712684810536E-2</v>
      </c>
      <c r="Y2705" s="209">
        <v>2.2630948209982904E-2</v>
      </c>
    </row>
    <row r="2706" spans="21:25" x14ac:dyDescent="0.2">
      <c r="U2706" s="213" t="str">
        <f t="shared" si="45"/>
        <v>1w</v>
      </c>
      <c r="V2706" s="201">
        <f>_xll.qlCalendarAdvance(Calendar,V2705,U2706,"f",FALSE)</f>
        <v>57769</v>
      </c>
      <c r="W2706" s="225">
        <f>_xll.qlCalendarAdvance(Calendar,V2706,NDays&amp;"D")</f>
        <v>57773</v>
      </c>
      <c r="X2706" s="200">
        <v>2.2735126735575185E-2</v>
      </c>
      <c r="Y2706" s="209">
        <v>2.2628884568804963E-2</v>
      </c>
    </row>
    <row r="2707" spans="21:25" x14ac:dyDescent="0.2">
      <c r="U2707" s="213" t="str">
        <f t="shared" si="45"/>
        <v>1w</v>
      </c>
      <c r="V2707" s="201">
        <f>_xll.qlCalendarAdvance(Calendar,V2706,U2707,"f",FALSE)</f>
        <v>57776</v>
      </c>
      <c r="W2707" s="225">
        <f>_xll.qlCalendarAdvance(Calendar,V2707,NDays&amp;"D")</f>
        <v>57780</v>
      </c>
      <c r="X2707" s="200">
        <v>2.2733374948090981E-2</v>
      </c>
      <c r="Y2707" s="209">
        <v>2.2626844511881572E-2</v>
      </c>
    </row>
    <row r="2708" spans="21:25" x14ac:dyDescent="0.2">
      <c r="U2708" s="213" t="str">
        <f t="shared" si="45"/>
        <v>1w</v>
      </c>
      <c r="V2708" s="201">
        <f>_xll.qlCalendarAdvance(Calendar,V2707,U2708,"f",FALSE)</f>
        <v>57783</v>
      </c>
      <c r="W2708" s="225">
        <f>_xll.qlCalendarAdvance(Calendar,V2708,NDays&amp;"D")</f>
        <v>57787</v>
      </c>
      <c r="X2708" s="200">
        <v>2.2731647019090664E-2</v>
      </c>
      <c r="Y2708" s="209">
        <v>2.2624828039292666E-2</v>
      </c>
    </row>
    <row r="2709" spans="21:25" x14ac:dyDescent="0.2">
      <c r="U2709" s="213" t="str">
        <f t="shared" ref="U2709:U2772" si="46">U2708</f>
        <v>1w</v>
      </c>
      <c r="V2709" s="201">
        <f>_xll.qlCalendarAdvance(Calendar,V2708,U2709,"f",FALSE)</f>
        <v>57790</v>
      </c>
      <c r="W2709" s="225">
        <f>_xll.qlCalendarAdvance(Calendar,V2709,NDays&amp;"D")</f>
        <v>57794</v>
      </c>
      <c r="X2709" s="200">
        <v>2.2729942948514711E-2</v>
      </c>
      <c r="Y2709" s="209">
        <v>2.2622835151278053E-2</v>
      </c>
    </row>
    <row r="2710" spans="21:25" x14ac:dyDescent="0.2">
      <c r="U2710" s="213" t="str">
        <f t="shared" si="46"/>
        <v>1w</v>
      </c>
      <c r="V2710" s="201">
        <f>_xll.qlCalendarAdvance(Calendar,V2709,U2710,"f",FALSE)</f>
        <v>57797</v>
      </c>
      <c r="W2710" s="225">
        <f>_xll.qlCalendarAdvance(Calendar,V2710,NDays&amp;"D")</f>
        <v>57801</v>
      </c>
      <c r="X2710" s="200">
        <v>2.2727659821419926E-2</v>
      </c>
      <c r="Y2710" s="209">
        <v>2.2620865847597926E-2</v>
      </c>
    </row>
    <row r="2711" spans="21:25" x14ac:dyDescent="0.2">
      <c r="U2711" s="213" t="str">
        <f t="shared" si="46"/>
        <v>1w</v>
      </c>
      <c r="V2711" s="201">
        <f>_xll.qlCalendarAdvance(Calendar,V2710,U2711,"f",FALSE)</f>
        <v>57804</v>
      </c>
      <c r="W2711" s="225">
        <f>_xll.qlCalendarAdvance(Calendar,V2711,NDays&amp;"D")</f>
        <v>57808</v>
      </c>
      <c r="X2711" s="200">
        <v>2.2726001867418952E-2</v>
      </c>
      <c r="Y2711" s="209">
        <v>2.2618920128412157E-2</v>
      </c>
    </row>
    <row r="2712" spans="21:25" x14ac:dyDescent="0.2">
      <c r="U2712" s="213" t="str">
        <f t="shared" si="46"/>
        <v>1w</v>
      </c>
      <c r="V2712" s="201">
        <f>_xll.qlCalendarAdvance(Calendar,V2711,U2712,"f",FALSE)</f>
        <v>57811</v>
      </c>
      <c r="W2712" s="225">
        <f>_xll.qlCalendarAdvance(Calendar,V2712,NDays&amp;"D")</f>
        <v>57817</v>
      </c>
      <c r="X2712" s="200">
        <v>2.2723905267068571E-2</v>
      </c>
      <c r="Y2712" s="209">
        <v>2.2616453144115312E-2</v>
      </c>
    </row>
    <row r="2713" spans="21:25" x14ac:dyDescent="0.2">
      <c r="U2713" s="213" t="str">
        <f t="shared" si="46"/>
        <v>1w</v>
      </c>
      <c r="V2713" s="201">
        <f>_xll.qlCalendarAdvance(Calendar,V2712,U2713,"f",FALSE)</f>
        <v>57818</v>
      </c>
      <c r="W2713" s="225">
        <f>_xll.qlCalendarAdvance(Calendar,V2713,NDays&amp;"D")</f>
        <v>57822</v>
      </c>
      <c r="X2713" s="200">
        <v>2.2722757529579259E-2</v>
      </c>
      <c r="Y2713" s="209">
        <v>2.2615099443443754E-2</v>
      </c>
    </row>
    <row r="2714" spans="21:25" x14ac:dyDescent="0.2">
      <c r="U2714" s="213" t="str">
        <f t="shared" si="46"/>
        <v>1w</v>
      </c>
      <c r="V2714" s="201">
        <f>_xll.qlCalendarAdvance(Calendar,V2713,U2714,"f",FALSE)</f>
        <v>57825</v>
      </c>
      <c r="W2714" s="225">
        <f>_xll.qlCalendarAdvance(Calendar,V2714,NDays&amp;"D")</f>
        <v>57829</v>
      </c>
      <c r="X2714" s="200">
        <v>2.2721171145621728E-2</v>
      </c>
      <c r="Y2714" s="209">
        <v>2.2613224477421312E-2</v>
      </c>
    </row>
    <row r="2715" spans="21:25" x14ac:dyDescent="0.2">
      <c r="U2715" s="213" t="str">
        <f t="shared" si="46"/>
        <v>1w</v>
      </c>
      <c r="V2715" s="201">
        <f>_xll.qlCalendarAdvance(Calendar,V2714,U2715,"f",FALSE)</f>
        <v>57832</v>
      </c>
      <c r="W2715" s="225">
        <f>_xll.qlCalendarAdvance(Calendar,V2715,NDays&amp;"D")</f>
        <v>57836</v>
      </c>
      <c r="X2715" s="200">
        <v>2.2720219548545178E-2</v>
      </c>
      <c r="Y2715" s="209">
        <v>2.2611373095893228E-2</v>
      </c>
    </row>
    <row r="2716" spans="21:25" x14ac:dyDescent="0.2">
      <c r="U2716" s="213" t="str">
        <f t="shared" si="46"/>
        <v>1w</v>
      </c>
      <c r="V2716" s="201">
        <f>_xll.qlCalendarAdvance(Calendar,V2715,U2716,"f",FALSE)</f>
        <v>57839</v>
      </c>
      <c r="W2716" s="225">
        <f>_xll.qlCalendarAdvance(Calendar,V2716,NDays&amp;"D")</f>
        <v>57843</v>
      </c>
      <c r="X2716" s="200">
        <v>2.2718682485251142E-2</v>
      </c>
      <c r="Y2716" s="209">
        <v>2.2609545298939437E-2</v>
      </c>
    </row>
    <row r="2717" spans="21:25" x14ac:dyDescent="0.2">
      <c r="U2717" s="213" t="str">
        <f t="shared" si="46"/>
        <v>1w</v>
      </c>
      <c r="V2717" s="201">
        <f>_xll.qlCalendarAdvance(Calendar,V2716,U2717,"f",FALSE)</f>
        <v>57846</v>
      </c>
      <c r="W2717" s="225">
        <f>_xll.qlCalendarAdvance(Calendar,V2717,NDays&amp;"D")</f>
        <v>57850</v>
      </c>
      <c r="X2717" s="200">
        <v>2.2717169279912283E-2</v>
      </c>
      <c r="Y2717" s="209">
        <v>2.2607741086320132E-2</v>
      </c>
    </row>
    <row r="2718" spans="21:25" x14ac:dyDescent="0.2">
      <c r="U2718" s="213" t="str">
        <f t="shared" si="46"/>
        <v>1w</v>
      </c>
      <c r="V2718" s="201">
        <f>_xll.qlCalendarAdvance(Calendar,V2717,U2718,"f",FALSE)</f>
        <v>57853</v>
      </c>
      <c r="W2718" s="225">
        <f>_xll.qlCalendarAdvance(Calendar,V2718,NDays&amp;"D")</f>
        <v>57857</v>
      </c>
      <c r="X2718" s="200">
        <v>2.2715679932472126E-2</v>
      </c>
      <c r="Y2718" s="209">
        <v>2.2605960458275121E-2</v>
      </c>
    </row>
    <row r="2719" spans="21:25" x14ac:dyDescent="0.2">
      <c r="U2719" s="213" t="str">
        <f t="shared" si="46"/>
        <v>1w</v>
      </c>
      <c r="V2719" s="201">
        <f>_xll.qlCalendarAdvance(Calendar,V2718,U2719,"f",FALSE)</f>
        <v>57860</v>
      </c>
      <c r="W2719" s="225">
        <f>_xll.qlCalendarAdvance(Calendar,V2719,NDays&amp;"D")</f>
        <v>57864</v>
      </c>
      <c r="X2719" s="200">
        <v>2.2713597073218589E-2</v>
      </c>
      <c r="Y2719" s="209">
        <v>2.2604203414324786E-2</v>
      </c>
    </row>
    <row r="2720" spans="21:25" x14ac:dyDescent="0.2">
      <c r="U2720" s="213" t="str">
        <f t="shared" si="46"/>
        <v>1w</v>
      </c>
      <c r="V2720" s="201">
        <f>_xll.qlCalendarAdvance(Calendar,V2719,U2720,"f",FALSE)</f>
        <v>57867</v>
      </c>
      <c r="W2720" s="225">
        <f>_xll.qlCalendarAdvance(Calendar,V2720,NDays&amp;"D")</f>
        <v>57871</v>
      </c>
      <c r="X2720" s="200">
        <v>2.2712153827833093E-2</v>
      </c>
      <c r="Y2720" s="209">
        <v>2.2602469955028681E-2</v>
      </c>
    </row>
    <row r="2721" spans="21:25" x14ac:dyDescent="0.2">
      <c r="U2721" s="213" t="str">
        <f t="shared" si="46"/>
        <v>1w</v>
      </c>
      <c r="V2721" s="201">
        <f>_xll.qlCalendarAdvance(Calendar,V2720,U2721,"f",FALSE)</f>
        <v>57874</v>
      </c>
      <c r="W2721" s="225">
        <f>_xll.qlCalendarAdvance(Calendar,V2721,NDays&amp;"D")</f>
        <v>57878</v>
      </c>
      <c r="X2721" s="200">
        <v>2.2710734438688731E-2</v>
      </c>
      <c r="Y2721" s="209">
        <v>2.2600760080146998E-2</v>
      </c>
    </row>
    <row r="2722" spans="21:25" x14ac:dyDescent="0.2">
      <c r="U2722" s="213" t="str">
        <f t="shared" si="46"/>
        <v>1w</v>
      </c>
      <c r="V2722" s="201">
        <f>_xll.qlCalendarAdvance(Calendar,V2721,U2722,"f",FALSE)</f>
        <v>57881</v>
      </c>
      <c r="W2722" s="225">
        <f>_xll.qlCalendarAdvance(Calendar,V2722,NDays&amp;"D")</f>
        <v>57885</v>
      </c>
      <c r="X2722" s="200">
        <v>2.2709338905735271E-2</v>
      </c>
      <c r="Y2722" s="209">
        <v>2.2599073789759672E-2</v>
      </c>
    </row>
    <row r="2723" spans="21:25" x14ac:dyDescent="0.2">
      <c r="U2723" s="213" t="str">
        <f t="shared" si="46"/>
        <v>1w</v>
      </c>
      <c r="V2723" s="201">
        <f>_xll.qlCalendarAdvance(Calendar,V2722,U2723,"f",FALSE)</f>
        <v>57888</v>
      </c>
      <c r="W2723" s="225">
        <f>_xll.qlCalendarAdvance(Calendar,V2723,NDays&amp;"D")</f>
        <v>57892</v>
      </c>
      <c r="X2723" s="200">
        <v>2.270921507580758E-2</v>
      </c>
      <c r="Y2723" s="209">
        <v>2.2597411083546959E-2</v>
      </c>
    </row>
    <row r="2724" spans="21:25" x14ac:dyDescent="0.2">
      <c r="U2724" s="213" t="str">
        <f t="shared" si="46"/>
        <v>1w</v>
      </c>
      <c r="V2724" s="201">
        <f>_xll.qlCalendarAdvance(Calendar,V2723,U2724,"f",FALSE)</f>
        <v>57895</v>
      </c>
      <c r="W2724" s="225">
        <f>_xll.qlCalendarAdvance(Calendar,V2724,NDays&amp;"D")</f>
        <v>57899</v>
      </c>
      <c r="X2724" s="200">
        <v>2.2707244860759278E-2</v>
      </c>
      <c r="Y2724" s="209">
        <v>2.2595771962068412E-2</v>
      </c>
    </row>
    <row r="2725" spans="21:25" x14ac:dyDescent="0.2">
      <c r="U2725" s="213" t="str">
        <f t="shared" si="46"/>
        <v>1w</v>
      </c>
      <c r="V2725" s="201">
        <f>_xll.qlCalendarAdvance(Calendar,V2724,U2725,"f",FALSE)</f>
        <v>57902</v>
      </c>
      <c r="W2725" s="225">
        <f>_xll.qlCalendarAdvance(Calendar,V2725,NDays&amp;"D")</f>
        <v>57906</v>
      </c>
      <c r="X2725" s="200">
        <v>2.2705922517154229E-2</v>
      </c>
      <c r="Y2725" s="209">
        <v>2.2594156424844414E-2</v>
      </c>
    </row>
    <row r="2726" spans="21:25" x14ac:dyDescent="0.2">
      <c r="U2726" s="213" t="str">
        <f t="shared" si="46"/>
        <v>1w</v>
      </c>
      <c r="V2726" s="201">
        <f>_xll.qlCalendarAdvance(Calendar,V2725,U2726,"f",FALSE)</f>
        <v>57909</v>
      </c>
      <c r="W2726" s="225">
        <f>_xll.qlCalendarAdvance(Calendar,V2726,NDays&amp;"D")</f>
        <v>57913</v>
      </c>
      <c r="X2726" s="200">
        <v>2.2704624031041683E-2</v>
      </c>
      <c r="Y2726" s="209">
        <v>2.2592564472034837E-2</v>
      </c>
    </row>
    <row r="2727" spans="21:25" x14ac:dyDescent="0.2">
      <c r="U2727" s="213" t="str">
        <f t="shared" si="46"/>
        <v>1w</v>
      </c>
      <c r="V2727" s="201">
        <f>_xll.qlCalendarAdvance(Calendar,V2726,U2727,"f",FALSE)</f>
        <v>57916</v>
      </c>
      <c r="W2727" s="225">
        <f>_xll.qlCalendarAdvance(Calendar,V2727,NDays&amp;"D")</f>
        <v>57920</v>
      </c>
      <c r="X2727" s="200">
        <v>2.2703349402375155E-2</v>
      </c>
      <c r="Y2727" s="209">
        <v>2.2590996103719618E-2</v>
      </c>
    </row>
    <row r="2728" spans="21:25" x14ac:dyDescent="0.2">
      <c r="U2728" s="213" t="str">
        <f t="shared" si="46"/>
        <v>1w</v>
      </c>
      <c r="V2728" s="201">
        <f>_xll.qlCalendarAdvance(Calendar,V2727,U2728,"f",FALSE)</f>
        <v>57923</v>
      </c>
      <c r="W2728" s="225">
        <f>_xll.qlCalendarAdvance(Calendar,V2728,NDays&amp;"D")</f>
        <v>57927</v>
      </c>
      <c r="X2728" s="200">
        <v>2.2702098631108596E-2</v>
      </c>
      <c r="Y2728" s="209">
        <v>2.2589451319898757E-2</v>
      </c>
    </row>
    <row r="2729" spans="21:25" x14ac:dyDescent="0.2">
      <c r="U2729" s="213" t="str">
        <f t="shared" si="46"/>
        <v>1w</v>
      </c>
      <c r="V2729" s="201">
        <f>_xll.qlCalendarAdvance(Calendar,V2728,U2729,"f",FALSE)</f>
        <v>57930</v>
      </c>
      <c r="W2729" s="225">
        <f>_xll.qlCalendarAdvance(Calendar,V2729,NDays&amp;"D")</f>
        <v>57934</v>
      </c>
      <c r="X2729" s="200">
        <v>2.2700871717195523E-2</v>
      </c>
      <c r="Y2729" s="209">
        <v>2.2587930120412381E-2</v>
      </c>
    </row>
    <row r="2730" spans="21:25" x14ac:dyDescent="0.2">
      <c r="U2730" s="213" t="str">
        <f t="shared" si="46"/>
        <v>1w</v>
      </c>
      <c r="V2730" s="201">
        <f>_xll.qlCalendarAdvance(Calendar,V2729,U2730,"f",FALSE)</f>
        <v>57937</v>
      </c>
      <c r="W2730" s="225">
        <f>_xll.qlCalendarAdvance(Calendar,V2730,NDays&amp;"D")</f>
        <v>57941</v>
      </c>
      <c r="X2730" s="200">
        <v>2.2699668660592053E-2</v>
      </c>
      <c r="Y2730" s="209">
        <v>2.2586432505180554E-2</v>
      </c>
    </row>
    <row r="2731" spans="21:25" x14ac:dyDescent="0.2">
      <c r="U2731" s="213" t="str">
        <f t="shared" si="46"/>
        <v>1w</v>
      </c>
      <c r="V2731" s="201">
        <f>_xll.qlCalendarAdvance(Calendar,V2730,U2731,"f",FALSE)</f>
        <v>57944</v>
      </c>
      <c r="W2731" s="225">
        <f>_xll.qlCalendarAdvance(Calendar,V2731,NDays&amp;"D")</f>
        <v>57948</v>
      </c>
      <c r="X2731" s="200">
        <v>2.2698489461256483E-2</v>
      </c>
      <c r="Y2731" s="209">
        <v>2.2584958474762828E-2</v>
      </c>
    </row>
    <row r="2732" spans="21:25" x14ac:dyDescent="0.2">
      <c r="U2732" s="213" t="str">
        <f t="shared" si="46"/>
        <v>1w</v>
      </c>
      <c r="V2732" s="201">
        <f>_xll.qlCalendarAdvance(Calendar,V2731,U2732,"f",FALSE)</f>
        <v>57951</v>
      </c>
      <c r="W2732" s="225">
        <f>_xll.qlCalendarAdvance(Calendar,V2732,NDays&amp;"D")</f>
        <v>57955</v>
      </c>
      <c r="X2732" s="200">
        <v>2.2696057375782831E-2</v>
      </c>
      <c r="Y2732" s="209">
        <v>2.2583508028519717E-2</v>
      </c>
    </row>
    <row r="2733" spans="21:25" x14ac:dyDescent="0.2">
      <c r="U2733" s="213" t="str">
        <f t="shared" si="46"/>
        <v>1w</v>
      </c>
      <c r="V2733" s="201">
        <f>_xll.qlCalendarAdvance(Calendar,V2732,U2733,"f",FALSE)</f>
        <v>57958</v>
      </c>
      <c r="W2733" s="225">
        <f>_xll.qlCalendarAdvance(Calendar,V2733,NDays&amp;"D")</f>
        <v>57962</v>
      </c>
      <c r="X2733" s="200">
        <v>2.2694922624964683E-2</v>
      </c>
      <c r="Y2733" s="209">
        <v>2.2582081166691026E-2</v>
      </c>
    </row>
    <row r="2734" spans="21:25" x14ac:dyDescent="0.2">
      <c r="U2734" s="213" t="str">
        <f t="shared" si="46"/>
        <v>1w</v>
      </c>
      <c r="V2734" s="201">
        <f>_xll.qlCalendarAdvance(Calendar,V2733,U2734,"f",FALSE)</f>
        <v>57965</v>
      </c>
      <c r="W2734" s="225">
        <f>_xll.qlCalendarAdvance(Calendar,V2734,NDays&amp;"D")</f>
        <v>57969</v>
      </c>
      <c r="X2734" s="200">
        <v>2.2693811728295963E-2</v>
      </c>
      <c r="Y2734" s="209">
        <v>2.2580677889276757E-2</v>
      </c>
    </row>
    <row r="2735" spans="21:25" x14ac:dyDescent="0.2">
      <c r="U2735" s="213" t="str">
        <f t="shared" si="46"/>
        <v>1w</v>
      </c>
      <c r="V2735" s="201">
        <f>_xll.qlCalendarAdvance(Calendar,V2734,U2735,"f",FALSE)</f>
        <v>57972</v>
      </c>
      <c r="W2735" s="225">
        <f>_xll.qlCalendarAdvance(Calendar,V2735,NDays&amp;"D")</f>
        <v>57976</v>
      </c>
      <c r="X2735" s="200">
        <v>2.2692724685737138E-2</v>
      </c>
      <c r="Y2735" s="209">
        <v>2.2579298196356845E-2</v>
      </c>
    </row>
    <row r="2736" spans="21:25" x14ac:dyDescent="0.2">
      <c r="U2736" s="213" t="str">
        <f t="shared" si="46"/>
        <v>1w</v>
      </c>
      <c r="V2736" s="201">
        <f>_xll.qlCalendarAdvance(Calendar,V2735,U2736,"f",FALSE)</f>
        <v>57979</v>
      </c>
      <c r="W2736" s="225">
        <f>_xll.qlCalendarAdvance(Calendar,V2736,NDays&amp;"D")</f>
        <v>57983</v>
      </c>
      <c r="X2736" s="200">
        <v>2.2689084050231251E-2</v>
      </c>
      <c r="Y2736" s="209">
        <v>2.2577942087851355E-2</v>
      </c>
    </row>
    <row r="2737" spans="21:25" x14ac:dyDescent="0.2">
      <c r="U2737" s="213" t="str">
        <f t="shared" si="46"/>
        <v>1w</v>
      </c>
      <c r="V2737" s="201">
        <f>_xll.qlCalendarAdvance(Calendar,V2736,U2737,"f",FALSE)</f>
        <v>57986</v>
      </c>
      <c r="W2737" s="225">
        <f>_xll.qlCalendarAdvance(Calendar,V2737,NDays&amp;"D")</f>
        <v>57990</v>
      </c>
      <c r="X2737" s="200">
        <v>2.2690622162791944E-2</v>
      </c>
      <c r="Y2737" s="209">
        <v>2.2576609563760286E-2</v>
      </c>
    </row>
    <row r="2738" spans="21:25" x14ac:dyDescent="0.2">
      <c r="U2738" s="213" t="str">
        <f t="shared" si="46"/>
        <v>1w</v>
      </c>
      <c r="V2738" s="201">
        <f>_xll.qlCalendarAdvance(Calendar,V2737,U2738,"f",FALSE)</f>
        <v>57993</v>
      </c>
      <c r="W2738" s="225">
        <f>_xll.qlCalendarAdvance(Calendar,V2738,NDays&amp;"D")</f>
        <v>57997</v>
      </c>
      <c r="X2738" s="200">
        <v>2.2689606682331342E-2</v>
      </c>
      <c r="Y2738" s="209">
        <v>2.2575300624163575E-2</v>
      </c>
    </row>
    <row r="2739" spans="21:25" x14ac:dyDescent="0.2">
      <c r="U2739" s="213" t="str">
        <f t="shared" si="46"/>
        <v>1w</v>
      </c>
      <c r="V2739" s="201">
        <f>_xll.qlCalendarAdvance(Calendar,V2738,U2739,"f",FALSE)</f>
        <v>58000</v>
      </c>
      <c r="W2739" s="225">
        <f>_xll.qlCalendarAdvance(Calendar,V2739,NDays&amp;"D")</f>
        <v>58004</v>
      </c>
      <c r="X2739" s="200">
        <v>2.2688615055829552E-2</v>
      </c>
      <c r="Y2739" s="209">
        <v>2.2574015268901348E-2</v>
      </c>
    </row>
    <row r="2740" spans="21:25" x14ac:dyDescent="0.2">
      <c r="U2740" s="213" t="str">
        <f t="shared" si="46"/>
        <v>1w</v>
      </c>
      <c r="V2740" s="201">
        <f>_xll.qlCalendarAdvance(Calendar,V2739,U2740,"f",FALSE)</f>
        <v>58007</v>
      </c>
      <c r="W2740" s="225">
        <f>_xll.qlCalendarAdvance(Calendar,V2740,NDays&amp;"D")</f>
        <v>58011</v>
      </c>
      <c r="X2740" s="200">
        <v>2.2687647283251434E-2</v>
      </c>
      <c r="Y2740" s="209">
        <v>2.2572753498053544E-2</v>
      </c>
    </row>
    <row r="2741" spans="21:25" x14ac:dyDescent="0.2">
      <c r="U2741" s="213" t="str">
        <f t="shared" si="46"/>
        <v>1w</v>
      </c>
      <c r="V2741" s="201">
        <f>_xll.qlCalendarAdvance(Calendar,V2740,U2741,"f",FALSE)</f>
        <v>58014</v>
      </c>
      <c r="W2741" s="225">
        <f>_xll.qlCalendarAdvance(Calendar,V2741,NDays&amp;"D")</f>
        <v>58018</v>
      </c>
      <c r="X2741" s="200">
        <v>2.2686703364562289E-2</v>
      </c>
      <c r="Y2741" s="209">
        <v>2.2571515311540225E-2</v>
      </c>
    </row>
    <row r="2742" spans="21:25" x14ac:dyDescent="0.2">
      <c r="U2742" s="213" t="str">
        <f t="shared" si="46"/>
        <v>1w</v>
      </c>
      <c r="V2742" s="201">
        <f>_xll.qlCalendarAdvance(Calendar,V2741,U2742,"f",FALSE)</f>
        <v>58021</v>
      </c>
      <c r="W2742" s="225">
        <f>_xll.qlCalendarAdvance(Calendar,V2742,NDays&amp;"D")</f>
        <v>58025</v>
      </c>
      <c r="X2742" s="200">
        <v>2.2685783299728299E-2</v>
      </c>
      <c r="Y2742" s="209">
        <v>2.2570300709681135E-2</v>
      </c>
    </row>
    <row r="2743" spans="21:25" x14ac:dyDescent="0.2">
      <c r="U2743" s="213" t="str">
        <f t="shared" si="46"/>
        <v>1w</v>
      </c>
      <c r="V2743" s="201">
        <f>_xll.qlCalendarAdvance(Calendar,V2742,U2743,"f",FALSE)</f>
        <v>58028</v>
      </c>
      <c r="W2743" s="225">
        <f>_xll.qlCalendarAdvance(Calendar,V2743,NDays&amp;"D")</f>
        <v>58032</v>
      </c>
      <c r="X2743" s="200">
        <v>2.2684887088716521E-2</v>
      </c>
      <c r="Y2743" s="209">
        <v>2.2569109692076594E-2</v>
      </c>
    </row>
    <row r="2744" spans="21:25" x14ac:dyDescent="0.2">
      <c r="U2744" s="213" t="str">
        <f t="shared" si="46"/>
        <v>1w</v>
      </c>
      <c r="V2744" s="201">
        <f>_xll.qlCalendarAdvance(Calendar,V2743,U2744,"f",FALSE)</f>
        <v>58035</v>
      </c>
      <c r="W2744" s="225">
        <f>_xll.qlCalendarAdvance(Calendar,V2744,NDays&amp;"D")</f>
        <v>58039</v>
      </c>
      <c r="X2744" s="200">
        <v>2.2684014731494458E-2</v>
      </c>
      <c r="Y2744" s="209">
        <v>2.2567942258966411E-2</v>
      </c>
    </row>
    <row r="2745" spans="21:25" x14ac:dyDescent="0.2">
      <c r="U2745" s="213" t="str">
        <f t="shared" si="46"/>
        <v>1w</v>
      </c>
      <c r="V2745" s="201">
        <f>_xll.qlCalendarAdvance(Calendar,V2744,U2745,"f",FALSE)</f>
        <v>58042</v>
      </c>
      <c r="W2745" s="225">
        <f>_xll.qlCalendarAdvance(Calendar,V2745,NDays&amp;"D")</f>
        <v>58046</v>
      </c>
      <c r="X2745" s="200">
        <v>2.2683166228031799E-2</v>
      </c>
      <c r="Y2745" s="209">
        <v>2.256679841027065E-2</v>
      </c>
    </row>
    <row r="2746" spans="21:25" x14ac:dyDescent="0.2">
      <c r="U2746" s="213" t="str">
        <f t="shared" si="46"/>
        <v>1w</v>
      </c>
      <c r="V2746" s="201">
        <f>_xll.qlCalendarAdvance(Calendar,V2745,U2746,"f",FALSE)</f>
        <v>58049</v>
      </c>
      <c r="W2746" s="225">
        <f>_xll.qlCalendarAdvance(Calendar,V2746,NDays&amp;"D")</f>
        <v>58053</v>
      </c>
      <c r="X2746" s="200">
        <v>2.2682341578298685E-2</v>
      </c>
      <c r="Y2746" s="209">
        <v>2.2565678146069246E-2</v>
      </c>
    </row>
    <row r="2747" spans="21:25" x14ac:dyDescent="0.2">
      <c r="U2747" s="213" t="str">
        <f t="shared" si="46"/>
        <v>1w</v>
      </c>
      <c r="V2747" s="201">
        <f>_xll.qlCalendarAdvance(Calendar,V2746,U2747,"f",FALSE)</f>
        <v>58056</v>
      </c>
      <c r="W2747" s="225">
        <f>_xll.qlCalendarAdvance(Calendar,V2747,NDays&amp;"D")</f>
        <v>58060</v>
      </c>
      <c r="X2747" s="200">
        <v>2.2681540782263487E-2</v>
      </c>
      <c r="Y2747" s="209">
        <v>2.2564581466042455E-2</v>
      </c>
    </row>
    <row r="2748" spans="21:25" x14ac:dyDescent="0.2">
      <c r="U2748" s="213" t="str">
        <f t="shared" si="46"/>
        <v>1w</v>
      </c>
      <c r="V2748" s="201">
        <f>_xll.qlCalendarAdvance(Calendar,V2747,U2748,"f",FALSE)</f>
        <v>58063</v>
      </c>
      <c r="W2748" s="225">
        <f>_xll.qlCalendarAdvance(Calendar,V2748,NDays&amp;"D")</f>
        <v>58067</v>
      </c>
      <c r="X2748" s="200">
        <v>2.2680763839898976E-2</v>
      </c>
      <c r="Y2748" s="209">
        <v>2.2563508370669894E-2</v>
      </c>
    </row>
    <row r="2749" spans="21:25" x14ac:dyDescent="0.2">
      <c r="U2749" s="213" t="str">
        <f t="shared" si="46"/>
        <v>1w</v>
      </c>
      <c r="V2749" s="201">
        <f>_xll.qlCalendarAdvance(Calendar,V2748,U2749,"f",FALSE)</f>
        <v>58071</v>
      </c>
      <c r="W2749" s="225">
        <f>_xll.qlCalendarAdvance(Calendar,V2749,NDays&amp;"D")</f>
        <v>58075</v>
      </c>
      <c r="X2749" s="200">
        <v>2.267923882193941E-2</v>
      </c>
      <c r="Y2749" s="209">
        <v>2.256294411306925E-2</v>
      </c>
    </row>
    <row r="2750" spans="21:25" x14ac:dyDescent="0.2">
      <c r="U2750" s="213" t="str">
        <f t="shared" si="46"/>
        <v>1w</v>
      </c>
      <c r="V2750" s="201">
        <f>_xll.qlCalendarAdvance(Calendar,V2749,U2750,"f",FALSE)</f>
        <v>58078</v>
      </c>
      <c r="W2750" s="225">
        <f>_xll.qlCalendarAdvance(Calendar,V2750,NDays&amp;"D")</f>
        <v>58082</v>
      </c>
      <c r="X2750" s="200">
        <v>2.2678511336235909E-2</v>
      </c>
      <c r="Y2750" s="209">
        <v>2.2561288297264781E-2</v>
      </c>
    </row>
    <row r="2751" spans="21:25" x14ac:dyDescent="0.2">
      <c r="U2751" s="213" t="str">
        <f t="shared" si="46"/>
        <v>1w</v>
      </c>
      <c r="V2751" s="201">
        <f>_xll.qlCalendarAdvance(Calendar,V2750,U2751,"f",FALSE)</f>
        <v>58085</v>
      </c>
      <c r="W2751" s="225">
        <f>_xll.qlCalendarAdvance(Calendar,V2751,NDays&amp;"D")</f>
        <v>58089</v>
      </c>
      <c r="X2751" s="200">
        <v>2.2677807702625747E-2</v>
      </c>
      <c r="Y2751" s="209">
        <v>2.2560289324280447E-2</v>
      </c>
    </row>
    <row r="2752" spans="21:25" x14ac:dyDescent="0.2">
      <c r="U2752" s="213" t="str">
        <f t="shared" si="46"/>
        <v>1w</v>
      </c>
      <c r="V2752" s="201">
        <f>_xll.qlCalendarAdvance(Calendar,V2751,U2752,"f",FALSE)</f>
        <v>58092</v>
      </c>
      <c r="W2752" s="225">
        <f>_xll.qlCalendarAdvance(Calendar,V2752,NDays&amp;"D")</f>
        <v>58096</v>
      </c>
      <c r="X2752" s="200">
        <v>2.2677127921082868E-2</v>
      </c>
      <c r="Y2752" s="209">
        <v>2.255931393579047E-2</v>
      </c>
    </row>
    <row r="2753" spans="21:25" x14ac:dyDescent="0.2">
      <c r="U2753" s="213" t="str">
        <f t="shared" si="46"/>
        <v>1w</v>
      </c>
      <c r="V2753" s="201">
        <f>_xll.qlCalendarAdvance(Calendar,V2752,U2753,"f",FALSE)</f>
        <v>58099</v>
      </c>
      <c r="W2753" s="225">
        <f>_xll.qlCalendarAdvance(Calendar,V2753,NDays&amp;"D")</f>
        <v>58103</v>
      </c>
      <c r="X2753" s="200">
        <v>2.2676471991581217E-2</v>
      </c>
      <c r="Y2753" s="209">
        <v>2.2558362131555043E-2</v>
      </c>
    </row>
    <row r="2754" spans="21:25" x14ac:dyDescent="0.2">
      <c r="U2754" s="213" t="str">
        <f t="shared" si="46"/>
        <v>1w</v>
      </c>
      <c r="V2754" s="201">
        <f>_xll.qlCalendarAdvance(Calendar,V2753,U2754,"f",FALSE)</f>
        <v>58106</v>
      </c>
      <c r="W2754" s="225">
        <f>_xll.qlCalendarAdvance(Calendar,V2754,NDays&amp;"D")</f>
        <v>58110</v>
      </c>
      <c r="X2754" s="200">
        <v>2.2675839914100916E-2</v>
      </c>
      <c r="Y2754" s="209">
        <v>2.2557433911813973E-2</v>
      </c>
    </row>
    <row r="2755" spans="21:25" x14ac:dyDescent="0.2">
      <c r="U2755" s="213" t="str">
        <f t="shared" si="46"/>
        <v>1w</v>
      </c>
      <c r="V2755" s="201">
        <f>_xll.qlCalendarAdvance(Calendar,V2754,U2755,"f",FALSE)</f>
        <v>58113</v>
      </c>
      <c r="W2755" s="225">
        <f>_xll.qlCalendarAdvance(Calendar,V2755,NDays&amp;"D")</f>
        <v>58117</v>
      </c>
      <c r="X2755" s="200">
        <v>2.2675231688617677E-2</v>
      </c>
      <c r="Y2755" s="209">
        <v>2.2556529276487325E-2</v>
      </c>
    </row>
    <row r="2756" spans="21:25" x14ac:dyDescent="0.2">
      <c r="U2756" s="213" t="str">
        <f t="shared" si="46"/>
        <v>1w</v>
      </c>
      <c r="V2756" s="201">
        <f>_xll.qlCalendarAdvance(Calendar,V2755,U2756,"f",FALSE)</f>
        <v>58120</v>
      </c>
      <c r="W2756" s="225">
        <f>_xll.qlCalendarAdvance(Calendar,V2756,NDays&amp;"D")</f>
        <v>58124</v>
      </c>
      <c r="X2756" s="200">
        <v>2.267464731510898E-2</v>
      </c>
      <c r="Y2756" s="209">
        <v>2.2555648225495162E-2</v>
      </c>
    </row>
    <row r="2757" spans="21:25" x14ac:dyDescent="0.2">
      <c r="U2757" s="213" t="str">
        <f t="shared" si="46"/>
        <v>1w</v>
      </c>
      <c r="V2757" s="201">
        <f>_xll.qlCalendarAdvance(Calendar,V2756,U2757,"f",FALSE)</f>
        <v>58127</v>
      </c>
      <c r="W2757" s="225">
        <f>_xll.qlCalendarAdvance(Calendar,V2757,NDays&amp;"D")</f>
        <v>58131</v>
      </c>
      <c r="X2757" s="200">
        <v>2.2674086793556713E-2</v>
      </c>
      <c r="Y2757" s="209">
        <v>2.2554790759157228E-2</v>
      </c>
    </row>
    <row r="2758" spans="21:25" x14ac:dyDescent="0.2">
      <c r="U2758" s="213" t="str">
        <f t="shared" si="46"/>
        <v>1w</v>
      </c>
      <c r="V2758" s="201">
        <f>_xll.qlCalendarAdvance(Calendar,V2757,U2758,"f",FALSE)</f>
        <v>58134</v>
      </c>
      <c r="W2758" s="225">
        <f>_xll.qlCalendarAdvance(Calendar,V2758,NDays&amp;"D")</f>
        <v>58138</v>
      </c>
      <c r="X2758" s="200">
        <v>2.2675594499978784E-2</v>
      </c>
      <c r="Y2758" s="209">
        <v>2.2553956877073844E-2</v>
      </c>
    </row>
    <row r="2759" spans="21:25" x14ac:dyDescent="0.2">
      <c r="U2759" s="213" t="str">
        <f t="shared" si="46"/>
        <v>1w</v>
      </c>
      <c r="V2759" s="201">
        <f>_xll.qlCalendarAdvance(Calendar,V2758,U2759,"f",FALSE)</f>
        <v>58141</v>
      </c>
      <c r="W2759" s="225">
        <f>_xll.qlCalendarAdvance(Calendar,V2759,NDays&amp;"D")</f>
        <v>58145</v>
      </c>
      <c r="X2759" s="200">
        <v>2.2675086697999624E-2</v>
      </c>
      <c r="Y2759" s="209">
        <v>2.2553146579404881E-2</v>
      </c>
    </row>
    <row r="2760" spans="21:25" x14ac:dyDescent="0.2">
      <c r="U2760" s="213" t="str">
        <f t="shared" si="46"/>
        <v>1w</v>
      </c>
      <c r="V2760" s="201">
        <f>_xll.qlCalendarAdvance(Calendar,V2759,U2760,"f",FALSE)</f>
        <v>58148</v>
      </c>
      <c r="W2760" s="225">
        <f>_xll.qlCalendarAdvance(Calendar,V2760,NDays&amp;"D")</f>
        <v>58152</v>
      </c>
      <c r="X2760" s="200">
        <v>2.26746027523969E-2</v>
      </c>
      <c r="Y2760" s="209">
        <v>2.2552359866230276E-2</v>
      </c>
    </row>
    <row r="2761" spans="21:25" x14ac:dyDescent="0.2">
      <c r="U2761" s="213" t="str">
        <f t="shared" si="46"/>
        <v>1w</v>
      </c>
      <c r="V2761" s="201">
        <f>_xll.qlCalendarAdvance(Calendar,V2760,U2761,"f",FALSE)</f>
        <v>58155</v>
      </c>
      <c r="W2761" s="225">
        <f>_xll.qlCalendarAdvance(Calendar,V2761,NDays&amp;"D")</f>
        <v>58159</v>
      </c>
      <c r="X2761" s="200">
        <v>2.2674142663154977E-2</v>
      </c>
      <c r="Y2761" s="209">
        <v>2.2551596737470092E-2</v>
      </c>
    </row>
    <row r="2762" spans="21:25" x14ac:dyDescent="0.2">
      <c r="U2762" s="213" t="str">
        <f t="shared" si="46"/>
        <v>1w</v>
      </c>
      <c r="V2762" s="201">
        <f>_xll.qlCalendarAdvance(Calendar,V2761,U2762,"f",FALSE)</f>
        <v>58166</v>
      </c>
      <c r="W2762" s="225">
        <f>_xll.qlCalendarAdvance(Calendar,V2762,NDays&amp;"D")</f>
        <v>58168</v>
      </c>
      <c r="X2762" s="200">
        <v>2.2672897350379879E-2</v>
      </c>
      <c r="Y2762" s="209">
        <v>2.2550650226520474E-2</v>
      </c>
    </row>
    <row r="2763" spans="21:25" x14ac:dyDescent="0.2">
      <c r="U2763" s="213" t="str">
        <f t="shared" si="46"/>
        <v>1w</v>
      </c>
      <c r="V2763" s="201">
        <f>_xll.qlCalendarAdvance(Calendar,V2762,U2763,"f",FALSE)</f>
        <v>58173</v>
      </c>
      <c r="W2763" s="225">
        <f>_xll.qlCalendarAdvance(Calendar,V2763,NDays&amp;"D")</f>
        <v>58175</v>
      </c>
      <c r="X2763" s="200">
        <v>2.2672490111381075E-2</v>
      </c>
      <c r="Y2763" s="209">
        <v>2.2549941005038932E-2</v>
      </c>
    </row>
    <row r="2764" spans="21:25" x14ac:dyDescent="0.2">
      <c r="U2764" s="213" t="str">
        <f t="shared" si="46"/>
        <v>1w</v>
      </c>
      <c r="V2764" s="201">
        <f>_xll.qlCalendarAdvance(Calendar,V2763,U2764,"f",FALSE)</f>
        <v>58180</v>
      </c>
      <c r="W2764" s="225">
        <f>_xll.qlCalendarAdvance(Calendar,V2764,NDays&amp;"D")</f>
        <v>58182</v>
      </c>
      <c r="X2764" s="200">
        <v>2.2672106727196783E-2</v>
      </c>
      <c r="Y2764" s="209">
        <v>2.2549255367811938E-2</v>
      </c>
    </row>
    <row r="2765" spans="21:25" x14ac:dyDescent="0.2">
      <c r="U2765" s="213" t="str">
        <f t="shared" si="46"/>
        <v>1w</v>
      </c>
      <c r="V2765" s="201">
        <f>_xll.qlCalendarAdvance(Calendar,V2764,U2765,"f",FALSE)</f>
        <v>58187</v>
      </c>
      <c r="W2765" s="225">
        <f>_xll.qlCalendarAdvance(Calendar,V2765,NDays&amp;"D")</f>
        <v>58189</v>
      </c>
      <c r="X2765" s="200">
        <v>2.2671747197814344E-2</v>
      </c>
      <c r="Y2765" s="209">
        <v>2.2548593315079302E-2</v>
      </c>
    </row>
    <row r="2766" spans="21:25" x14ac:dyDescent="0.2">
      <c r="U2766" s="213" t="str">
        <f t="shared" si="46"/>
        <v>1w</v>
      </c>
      <c r="V2766" s="201">
        <f>_xll.qlCalendarAdvance(Calendar,V2765,U2766,"f",FALSE)</f>
        <v>58194</v>
      </c>
      <c r="W2766" s="225">
        <f>_xll.qlCalendarAdvance(Calendar,V2766,NDays&amp;"D")</f>
        <v>58197</v>
      </c>
      <c r="X2766" s="200">
        <v>2.2672757281656606E-2</v>
      </c>
      <c r="Y2766" s="209">
        <v>2.2549189177452078E-2</v>
      </c>
    </row>
    <row r="2767" spans="21:25" x14ac:dyDescent="0.2">
      <c r="U2767" s="213" t="str">
        <f t="shared" si="46"/>
        <v>1w</v>
      </c>
      <c r="V2767" s="201">
        <f>_xll.qlCalendarAdvance(Calendar,V2766,U2767,"f",FALSE)</f>
        <v>58201</v>
      </c>
      <c r="W2767" s="225">
        <f>_xll.qlCalendarAdvance(Calendar,V2767,NDays&amp;"D")</f>
        <v>58203</v>
      </c>
      <c r="X2767" s="200">
        <v>2.2673191967868631E-2</v>
      </c>
      <c r="Y2767" s="209">
        <v>2.2547339962777357E-2</v>
      </c>
    </row>
    <row r="2768" spans="21:25" x14ac:dyDescent="0.2">
      <c r="U2768" s="213" t="str">
        <f t="shared" si="46"/>
        <v>1w</v>
      </c>
      <c r="V2768" s="201">
        <f>_xll.qlCalendarAdvance(Calendar,V2767,U2768,"f",FALSE)</f>
        <v>58208</v>
      </c>
      <c r="W2768" s="225">
        <f>_xll.qlCalendarAdvance(Calendar,V2768,NDays&amp;"D")</f>
        <v>58210</v>
      </c>
      <c r="X2768" s="200">
        <v>2.2672909061410802E-2</v>
      </c>
      <c r="Y2768" s="209">
        <v>2.2546748663367921E-2</v>
      </c>
    </row>
    <row r="2769" spans="21:25" x14ac:dyDescent="0.2">
      <c r="U2769" s="213" t="str">
        <f t="shared" si="46"/>
        <v>1w</v>
      </c>
      <c r="V2769" s="201">
        <f>_xll.qlCalendarAdvance(Calendar,V2768,U2769,"f",FALSE)</f>
        <v>58215</v>
      </c>
      <c r="W2769" s="225">
        <f>_xll.qlCalendarAdvance(Calendar,V2769,NDays&amp;"D")</f>
        <v>58217</v>
      </c>
      <c r="X2769" s="200">
        <v>2.267265001418713E-2</v>
      </c>
      <c r="Y2769" s="209">
        <v>2.2546180948452843E-2</v>
      </c>
    </row>
    <row r="2770" spans="21:25" x14ac:dyDescent="0.2">
      <c r="U2770" s="213" t="str">
        <f t="shared" si="46"/>
        <v>1w</v>
      </c>
      <c r="V2770" s="201">
        <f>_xll.qlCalendarAdvance(Calendar,V2769,U2770,"f",FALSE)</f>
        <v>58222</v>
      </c>
      <c r="W2770" s="225">
        <f>_xll.qlCalendarAdvance(Calendar,V2770,NDays&amp;"D")</f>
        <v>58224</v>
      </c>
      <c r="X2770" s="200">
        <v>2.267030737250094E-2</v>
      </c>
      <c r="Y2770" s="209">
        <v>2.2545636817632442E-2</v>
      </c>
    </row>
    <row r="2771" spans="21:25" x14ac:dyDescent="0.2">
      <c r="U2771" s="213" t="str">
        <f t="shared" si="46"/>
        <v>1w</v>
      </c>
      <c r="V2771" s="201">
        <f>_xll.qlCalendarAdvance(Calendar,V2770,U2771,"f",FALSE)</f>
        <v>58229</v>
      </c>
      <c r="W2771" s="225">
        <f>_xll.qlCalendarAdvance(Calendar,V2771,NDays&amp;"D")</f>
        <v>58231</v>
      </c>
      <c r="X2771" s="200">
        <v>2.2670090971686731E-2</v>
      </c>
      <c r="Y2771" s="209">
        <v>2.254511627146627E-2</v>
      </c>
    </row>
    <row r="2772" spans="21:25" x14ac:dyDescent="0.2">
      <c r="U2772" s="213" t="str">
        <f t="shared" si="46"/>
        <v>1w</v>
      </c>
      <c r="V2772" s="201">
        <f>_xll.qlCalendarAdvance(Calendar,V2771,U2772,"f",FALSE)</f>
        <v>58236</v>
      </c>
      <c r="W2772" s="225">
        <f>_xll.qlCalendarAdvance(Calendar,V2772,NDays&amp;"D")</f>
        <v>58238</v>
      </c>
      <c r="X2772" s="200">
        <v>2.2669898425600989E-2</v>
      </c>
      <c r="Y2772" s="209">
        <v>2.254461930971452E-2</v>
      </c>
    </row>
    <row r="2773" spans="21:25" x14ac:dyDescent="0.2">
      <c r="U2773" s="213" t="str">
        <f t="shared" ref="U2773:U2836" si="47">U2772</f>
        <v>1w</v>
      </c>
      <c r="V2773" s="201">
        <f>_xll.qlCalendarAdvance(Calendar,V2772,U2773,"f",FALSE)</f>
        <v>58243</v>
      </c>
      <c r="W2773" s="225">
        <f>_xll.qlCalendarAdvance(Calendar,V2773,NDays&amp;"D")</f>
        <v>58245</v>
      </c>
      <c r="X2773" s="200">
        <v>2.2669729734237597E-2</v>
      </c>
      <c r="Y2773" s="209">
        <v>2.2544145932297255E-2</v>
      </c>
    </row>
    <row r="2774" spans="21:25" x14ac:dyDescent="0.2">
      <c r="U2774" s="213" t="str">
        <f t="shared" si="47"/>
        <v>1w</v>
      </c>
      <c r="V2774" s="201">
        <f>_xll.qlCalendarAdvance(Calendar,V2773,U2774,"f",FALSE)</f>
        <v>58250</v>
      </c>
      <c r="W2774" s="225">
        <f>_xll.qlCalendarAdvance(Calendar,V2774,NDays&amp;"D")</f>
        <v>58252</v>
      </c>
      <c r="X2774" s="200">
        <v>2.2671712666294492E-2</v>
      </c>
      <c r="Y2774" s="209">
        <v>2.2543696139294411E-2</v>
      </c>
    </row>
    <row r="2775" spans="21:25" x14ac:dyDescent="0.2">
      <c r="U2775" s="213" t="str">
        <f t="shared" si="47"/>
        <v>1w</v>
      </c>
      <c r="V2775" s="201">
        <f>_xll.qlCalendarAdvance(Calendar,V2774,U2775,"f",FALSE)</f>
        <v>58257</v>
      </c>
      <c r="W2775" s="225">
        <f>_xll.qlCalendarAdvance(Calendar,V2775,NDays&amp;"D")</f>
        <v>58259</v>
      </c>
      <c r="X2775" s="200">
        <v>2.2671596774314608E-2</v>
      </c>
      <c r="Y2775" s="209">
        <v>2.2543269930705989E-2</v>
      </c>
    </row>
    <row r="2776" spans="21:25" x14ac:dyDescent="0.2">
      <c r="U2776" s="213" t="str">
        <f t="shared" si="47"/>
        <v>1w</v>
      </c>
      <c r="V2776" s="201">
        <f>_xll.qlCalendarAdvance(Calendar,V2775,U2776,"f",FALSE)</f>
        <v>58264</v>
      </c>
      <c r="W2776" s="225">
        <f>_xll.qlCalendarAdvance(Calendar,V2776,NDays&amp;"D")</f>
        <v>58266</v>
      </c>
      <c r="X2776" s="200">
        <v>2.2671504741519889E-2</v>
      </c>
      <c r="Y2776" s="209">
        <v>2.2542867306611925E-2</v>
      </c>
    </row>
    <row r="2777" spans="21:25" x14ac:dyDescent="0.2">
      <c r="U2777" s="213" t="str">
        <f t="shared" si="47"/>
        <v>1w</v>
      </c>
      <c r="V2777" s="201">
        <f>_xll.qlCalendarAdvance(Calendar,V2776,U2777,"f",FALSE)</f>
        <v>58271</v>
      </c>
      <c r="W2777" s="225">
        <f>_xll.qlCalendarAdvance(Calendar,V2777,NDays&amp;"D")</f>
        <v>58273</v>
      </c>
      <c r="X2777" s="200">
        <v>2.2671436567909476E-2</v>
      </c>
      <c r="Y2777" s="209">
        <v>2.2542488266772409E-2</v>
      </c>
    </row>
    <row r="2778" spans="21:25" x14ac:dyDescent="0.2">
      <c r="U2778" s="213" t="str">
        <f t="shared" si="47"/>
        <v>1w</v>
      </c>
      <c r="V2778" s="201">
        <f>_xll.qlCalendarAdvance(Calendar,V2777,U2778,"f",FALSE)</f>
        <v>58278</v>
      </c>
      <c r="W2778" s="225">
        <f>_xll.qlCalendarAdvance(Calendar,V2778,NDays&amp;"D")</f>
        <v>58280</v>
      </c>
      <c r="X2778" s="200">
        <v>2.267139225348036E-2</v>
      </c>
      <c r="Y2778" s="209">
        <v>2.2542132811427251E-2</v>
      </c>
    </row>
    <row r="2779" spans="21:25" x14ac:dyDescent="0.2">
      <c r="U2779" s="213" t="str">
        <f t="shared" si="47"/>
        <v>1w</v>
      </c>
      <c r="V2779" s="201">
        <f>_xll.qlCalendarAdvance(Calendar,V2778,U2779,"f",FALSE)</f>
        <v>58285</v>
      </c>
      <c r="W2779" s="225">
        <f>_xll.qlCalendarAdvance(Calendar,V2779,NDays&amp;"D")</f>
        <v>58287</v>
      </c>
      <c r="X2779" s="200">
        <v>2.2669218534940496E-2</v>
      </c>
      <c r="Y2779" s="209">
        <v>2.2541800940656387E-2</v>
      </c>
    </row>
    <row r="2780" spans="21:25" x14ac:dyDescent="0.2">
      <c r="U2780" s="213" t="str">
        <f t="shared" si="47"/>
        <v>1w</v>
      </c>
      <c r="V2780" s="201">
        <f>_xll.qlCalendarAdvance(Calendar,V2779,U2780,"f",FALSE)</f>
        <v>58292</v>
      </c>
      <c r="W2780" s="225">
        <f>_xll.qlCalendarAdvance(Calendar,V2780,NDays&amp;"D")</f>
        <v>58294</v>
      </c>
      <c r="X2780" s="200">
        <v>2.2671375202160865E-2</v>
      </c>
      <c r="Y2780" s="209">
        <v>2.2541492654140072E-2</v>
      </c>
    </row>
    <row r="2781" spans="21:25" x14ac:dyDescent="0.2">
      <c r="U2781" s="213" t="str">
        <f t="shared" si="47"/>
        <v>1w</v>
      </c>
      <c r="V2781" s="201">
        <f>_xll.qlCalendarAdvance(Calendar,V2780,U2781,"f",FALSE)</f>
        <v>58299</v>
      </c>
      <c r="W2781" s="225">
        <f>_xll.qlCalendarAdvance(Calendar,V2781,NDays&amp;"D")</f>
        <v>58301</v>
      </c>
      <c r="X2781" s="200">
        <v>2.2671402465269195E-2</v>
      </c>
      <c r="Y2781" s="209">
        <v>2.2541207952118114E-2</v>
      </c>
    </row>
    <row r="2782" spans="21:25" x14ac:dyDescent="0.2">
      <c r="U2782" s="213" t="str">
        <f t="shared" si="47"/>
        <v>1w</v>
      </c>
      <c r="V2782" s="201">
        <f>_xll.qlCalendarAdvance(Calendar,V2781,U2782,"f",FALSE)</f>
        <v>58306</v>
      </c>
      <c r="W2782" s="225">
        <f>_xll.qlCalendarAdvance(Calendar,V2782,NDays&amp;"D")</f>
        <v>58308</v>
      </c>
      <c r="X2782" s="200">
        <v>2.2671453587558822E-2</v>
      </c>
      <c r="Y2782" s="209">
        <v>2.2540946834510578E-2</v>
      </c>
    </row>
    <row r="2783" spans="21:25" x14ac:dyDescent="0.2">
      <c r="U2783" s="213" t="str">
        <f t="shared" si="47"/>
        <v>1w</v>
      </c>
      <c r="V2783" s="201">
        <f>_xll.qlCalendarAdvance(Calendar,V2782,U2783,"f",FALSE)</f>
        <v>58313</v>
      </c>
      <c r="W2783" s="225">
        <f>_xll.qlCalendarAdvance(Calendar,V2783,NDays&amp;"D")</f>
        <v>58315</v>
      </c>
      <c r="X2783" s="200">
        <v>2.2669354829406921E-2</v>
      </c>
      <c r="Y2783" s="209">
        <v>2.2540709301237527E-2</v>
      </c>
    </row>
    <row r="2784" spans="21:25" x14ac:dyDescent="0.2">
      <c r="U2784" s="213" t="str">
        <f t="shared" si="47"/>
        <v>1w</v>
      </c>
      <c r="V2784" s="201">
        <f>_xll.qlCalendarAdvance(Calendar,V2783,U2784,"f",FALSE)</f>
        <v>58320</v>
      </c>
      <c r="W2784" s="225">
        <f>_xll.qlCalendarAdvance(Calendar,V2784,NDays&amp;"D")</f>
        <v>58322</v>
      </c>
      <c r="X2784" s="200">
        <v>2.2668722637565294E-2</v>
      </c>
      <c r="Y2784" s="209">
        <v>2.2540495352458834E-2</v>
      </c>
    </row>
    <row r="2785" spans="21:25" x14ac:dyDescent="0.2">
      <c r="U2785" s="213" t="str">
        <f t="shared" si="47"/>
        <v>1w</v>
      </c>
      <c r="V2785" s="201">
        <f>_xll.qlCalendarAdvance(Calendar,V2784,U2785,"f",FALSE)</f>
        <v>58327</v>
      </c>
      <c r="W2785" s="225">
        <f>_xll.qlCalendarAdvance(Calendar,V2785,NDays&amp;"D")</f>
        <v>58329</v>
      </c>
      <c r="X2785" s="200">
        <v>2.2668838491476811E-2</v>
      </c>
      <c r="Y2785" s="209">
        <v>2.2540304988014626E-2</v>
      </c>
    </row>
    <row r="2786" spans="21:25" x14ac:dyDescent="0.2">
      <c r="U2786" s="213" t="str">
        <f t="shared" si="47"/>
        <v>1w</v>
      </c>
      <c r="V2786" s="201">
        <f>_xll.qlCalendarAdvance(Calendar,V2785,U2786,"f",FALSE)</f>
        <v>58334</v>
      </c>
      <c r="W2786" s="225">
        <f>_xll.qlCalendarAdvance(Calendar,V2786,NDays&amp;"D")</f>
        <v>58336</v>
      </c>
      <c r="X2786" s="200">
        <v>2.2668978198604875E-2</v>
      </c>
      <c r="Y2786" s="209">
        <v>2.2540138208064775E-2</v>
      </c>
    </row>
    <row r="2787" spans="21:25" x14ac:dyDescent="0.2">
      <c r="U2787" s="213" t="str">
        <f t="shared" si="47"/>
        <v>1w</v>
      </c>
      <c r="V2787" s="201">
        <f>_xll.qlCalendarAdvance(Calendar,V2786,U2787,"f",FALSE)</f>
        <v>58341</v>
      </c>
      <c r="W2787" s="225">
        <f>_xll.qlCalendarAdvance(Calendar,V2787,NDays&amp;"D")</f>
        <v>58343</v>
      </c>
      <c r="X2787" s="200">
        <v>2.2669141758954316E-2</v>
      </c>
      <c r="Y2787" s="209">
        <v>2.253999501244941E-2</v>
      </c>
    </row>
    <row r="2788" spans="21:25" x14ac:dyDescent="0.2">
      <c r="U2788" s="213" t="str">
        <f t="shared" si="47"/>
        <v>1w</v>
      </c>
      <c r="V2788" s="201">
        <f>_xll.qlCalendarAdvance(Calendar,V2787,U2788,"f",FALSE)</f>
        <v>58348</v>
      </c>
      <c r="W2788" s="225">
        <f>_xll.qlCalendarAdvance(Calendar,V2788,NDays&amp;"D")</f>
        <v>58350</v>
      </c>
      <c r="X2788" s="200">
        <v>2.2670061928352438E-2</v>
      </c>
      <c r="Y2788" s="209">
        <v>2.2539875401248466E-2</v>
      </c>
    </row>
    <row r="2789" spans="21:25" x14ac:dyDescent="0.2">
      <c r="U2789" s="213" t="str">
        <f t="shared" si="47"/>
        <v>1w</v>
      </c>
      <c r="V2789" s="201">
        <f>_xll.qlCalendarAdvance(Calendar,V2788,U2789,"f",FALSE)</f>
        <v>58355</v>
      </c>
      <c r="W2789" s="225">
        <f>_xll.qlCalendarAdvance(Calendar,V2789,NDays&amp;"D")</f>
        <v>58357</v>
      </c>
      <c r="X2789" s="200">
        <v>2.2670274912300729E-2</v>
      </c>
      <c r="Y2789" s="209">
        <v>2.2539779374621816E-2</v>
      </c>
    </row>
    <row r="2790" spans="21:25" x14ac:dyDescent="0.2">
      <c r="U2790" s="213" t="str">
        <f t="shared" si="47"/>
        <v>1w</v>
      </c>
      <c r="V2790" s="201">
        <f>_xll.qlCalendarAdvance(Calendar,V2789,U2790,"f",FALSE)</f>
        <v>58362</v>
      </c>
      <c r="W2790" s="225">
        <f>_xll.qlCalendarAdvance(Calendar,V2790,NDays&amp;"D")</f>
        <v>58364</v>
      </c>
      <c r="X2790" s="200">
        <v>2.2673458469115188E-2</v>
      </c>
      <c r="Y2790" s="209">
        <v>2.2539706932249715E-2</v>
      </c>
    </row>
    <row r="2791" spans="21:25" x14ac:dyDescent="0.2">
      <c r="U2791" s="213" t="str">
        <f t="shared" si="47"/>
        <v>1w</v>
      </c>
      <c r="V2791" s="201">
        <f>_xll.qlCalendarAdvance(Calendar,V2790,U2791,"f",FALSE)</f>
        <v>58369</v>
      </c>
      <c r="W2791" s="225">
        <f>_xll.qlCalendarAdvance(Calendar,V2791,NDays&amp;"D")</f>
        <v>58371</v>
      </c>
      <c r="X2791" s="200">
        <v>2.267077244441416E-2</v>
      </c>
      <c r="Y2791" s="209">
        <v>2.2539658074451907E-2</v>
      </c>
    </row>
    <row r="2792" spans="21:25" x14ac:dyDescent="0.2">
      <c r="U2792" s="213" t="str">
        <f t="shared" si="47"/>
        <v>1w</v>
      </c>
      <c r="V2792" s="201">
        <f>_xll.qlCalendarAdvance(Calendar,V2791,U2792,"f",FALSE)</f>
        <v>58376</v>
      </c>
      <c r="W2792" s="225">
        <f>_xll.qlCalendarAdvance(Calendar,V2792,NDays&amp;"D")</f>
        <v>58378</v>
      </c>
      <c r="X2792" s="200">
        <v>2.26710569925959E-2</v>
      </c>
      <c r="Y2792" s="209">
        <v>2.2539632800828713E-2</v>
      </c>
    </row>
    <row r="2793" spans="21:25" x14ac:dyDescent="0.2">
      <c r="U2793" s="213" t="str">
        <f t="shared" si="47"/>
        <v>1w</v>
      </c>
      <c r="V2793" s="201">
        <f>_xll.qlCalendarAdvance(Calendar,V2792,U2793,"f",FALSE)</f>
        <v>58383</v>
      </c>
      <c r="W2793" s="225">
        <f>_xll.qlCalendarAdvance(Calendar,V2793,NDays&amp;"D")</f>
        <v>58385</v>
      </c>
      <c r="X2793" s="200">
        <v>2.2670624039081089E-2</v>
      </c>
      <c r="Y2793" s="209">
        <v>2.2539631111779812E-2</v>
      </c>
    </row>
    <row r="2794" spans="21:25" x14ac:dyDescent="0.2">
      <c r="U2794" s="213" t="str">
        <f t="shared" si="47"/>
        <v>1w</v>
      </c>
      <c r="V2794" s="201">
        <f>_xll.qlCalendarAdvance(Calendar,V2793,U2794,"f",FALSE)</f>
        <v>58390</v>
      </c>
      <c r="W2794" s="225">
        <f>_xll.qlCalendarAdvance(Calendar,V2794,NDays&amp;"D")</f>
        <v>58392</v>
      </c>
      <c r="X2794" s="200">
        <v>2.2670954572190542E-2</v>
      </c>
      <c r="Y2794" s="209">
        <v>2.2539653007145333E-2</v>
      </c>
    </row>
    <row r="2795" spans="21:25" x14ac:dyDescent="0.2">
      <c r="U2795" s="213" t="str">
        <f t="shared" si="47"/>
        <v>1w</v>
      </c>
      <c r="V2795" s="201">
        <f>_xll.qlCalendarAdvance(Calendar,V2794,U2795,"f",FALSE)</f>
        <v>58397</v>
      </c>
      <c r="W2795" s="225">
        <f>_xll.qlCalendarAdvance(Calendar,V2795,NDays&amp;"D")</f>
        <v>58399</v>
      </c>
      <c r="X2795" s="200">
        <v>2.2671308958591208E-2</v>
      </c>
      <c r="Y2795" s="209">
        <v>2.2539698486845339E-2</v>
      </c>
    </row>
    <row r="2796" spans="21:25" x14ac:dyDescent="0.2">
      <c r="U2796" s="213" t="str">
        <f t="shared" si="47"/>
        <v>1w</v>
      </c>
      <c r="V2796" s="201">
        <f>_xll.qlCalendarAdvance(Calendar,V2795,U2796,"f",FALSE)</f>
        <v>58404</v>
      </c>
      <c r="W2796" s="225">
        <f>_xll.qlCalendarAdvance(Calendar,V2796,NDays&amp;"D")</f>
        <v>58406</v>
      </c>
      <c r="X2796" s="200">
        <v>2.2671687198297139E-2</v>
      </c>
      <c r="Y2796" s="209">
        <v>2.2539767551039702E-2</v>
      </c>
    </row>
    <row r="2797" spans="21:25" x14ac:dyDescent="0.2">
      <c r="U2797" s="213" t="str">
        <f t="shared" si="47"/>
        <v>1w</v>
      </c>
      <c r="V2797" s="201">
        <f>_xll.qlCalendarAdvance(Calendar,V2796,U2797,"f",FALSE)</f>
        <v>58411</v>
      </c>
      <c r="W2797" s="225">
        <f>_xll.qlCalendarAdvance(Calendar,V2797,NDays&amp;"D")</f>
        <v>58413</v>
      </c>
      <c r="X2797" s="200">
        <v>2.2672837555195995E-2</v>
      </c>
      <c r="Y2797" s="209">
        <v>2.2539860199648487E-2</v>
      </c>
    </row>
    <row r="2798" spans="21:25" x14ac:dyDescent="0.2">
      <c r="U2798" s="213" t="str">
        <f t="shared" si="47"/>
        <v>1w</v>
      </c>
      <c r="V2798" s="201">
        <f>_xll.qlCalendarAdvance(Calendar,V2797,U2798,"f",FALSE)</f>
        <v>58418</v>
      </c>
      <c r="W2798" s="225">
        <f>_xll.qlCalendarAdvance(Calendar,V2798,NDays&amp;"D")</f>
        <v>58420</v>
      </c>
      <c r="X2798" s="200">
        <v>2.2673265232144711E-2</v>
      </c>
      <c r="Y2798" s="209">
        <v>2.2539976432591757E-2</v>
      </c>
    </row>
    <row r="2799" spans="21:25" x14ac:dyDescent="0.2">
      <c r="U2799" s="213" t="str">
        <f t="shared" si="47"/>
        <v>1w</v>
      </c>
      <c r="V2799" s="201">
        <f>_xll.qlCalendarAdvance(Calendar,V2798,U2799,"f",FALSE)</f>
        <v>58425</v>
      </c>
      <c r="W2799" s="225">
        <f>_xll.qlCalendarAdvance(Calendar,V2799,NDays&amp;"D")</f>
        <v>58427</v>
      </c>
      <c r="X2799" s="200">
        <v>2.2673716763935467E-2</v>
      </c>
      <c r="Y2799" s="209">
        <v>2.2540116250109321E-2</v>
      </c>
    </row>
    <row r="2800" spans="21:25" x14ac:dyDescent="0.2">
      <c r="U2800" s="213" t="str">
        <f t="shared" si="47"/>
        <v>1w</v>
      </c>
      <c r="V2800" s="201">
        <f>_xll.qlCalendarAdvance(Calendar,V2799,U2800,"f",FALSE)</f>
        <v>58432</v>
      </c>
      <c r="W2800" s="225">
        <f>_xll.qlCalendarAdvance(Calendar,V2800,NDays&amp;"D")</f>
        <v>58438</v>
      </c>
      <c r="X2800" s="200">
        <v>2.2674474510453676E-2</v>
      </c>
      <c r="Y2800" s="209">
        <v>2.2540383613360859E-2</v>
      </c>
    </row>
    <row r="2801" spans="21:25" x14ac:dyDescent="0.2">
      <c r="U2801" s="213" t="str">
        <f t="shared" si="47"/>
        <v>1w</v>
      </c>
      <c r="V2801" s="201">
        <f>_xll.qlCalendarAdvance(Calendar,V2800,U2801,"f",FALSE)</f>
        <v>58439</v>
      </c>
      <c r="W2801" s="225">
        <f>_xll.qlCalendarAdvance(Calendar,V2801,NDays&amp;"D")</f>
        <v>58442</v>
      </c>
      <c r="X2801" s="200">
        <v>2.2674009216461257E-2</v>
      </c>
      <c r="Y2801" s="209">
        <v>2.2541935904696331E-2</v>
      </c>
    </row>
    <row r="2802" spans="21:25" x14ac:dyDescent="0.2">
      <c r="U2802" s="213" t="str">
        <f t="shared" si="47"/>
        <v>1w</v>
      </c>
      <c r="V2802" s="201">
        <f>_xll.qlCalendarAdvance(Calendar,V2801,U2802,"f",FALSE)</f>
        <v>58446</v>
      </c>
      <c r="W2802" s="225">
        <f>_xll.qlCalendarAdvance(Calendar,V2802,NDays&amp;"D")</f>
        <v>58448</v>
      </c>
      <c r="X2802" s="200">
        <v>2.2674457556742203E-2</v>
      </c>
      <c r="Y2802" s="209">
        <v>2.2540677208828797E-2</v>
      </c>
    </row>
    <row r="2803" spans="21:25" x14ac:dyDescent="0.2">
      <c r="U2803" s="213" t="str">
        <f t="shared" si="47"/>
        <v>1w</v>
      </c>
      <c r="V2803" s="201">
        <f>_xll.qlCalendarAdvance(Calendar,V2802,U2803,"f",FALSE)</f>
        <v>58453</v>
      </c>
      <c r="W2803" s="225">
        <f>_xll.qlCalendarAdvance(Calendar,V2803,NDays&amp;"D")</f>
        <v>58455</v>
      </c>
      <c r="X2803" s="200">
        <v>2.267500277000575E-2</v>
      </c>
      <c r="Y2803" s="209">
        <v>2.2540911363844174E-2</v>
      </c>
    </row>
    <row r="2804" spans="21:25" x14ac:dyDescent="0.2">
      <c r="U2804" s="213" t="str">
        <f t="shared" si="47"/>
        <v>1w</v>
      </c>
      <c r="V2804" s="201">
        <f>_xll.qlCalendarAdvance(Calendar,V2803,U2804,"f",FALSE)</f>
        <v>58460</v>
      </c>
      <c r="W2804" s="225">
        <f>_xll.qlCalendarAdvance(Calendar,V2804,NDays&amp;"D")</f>
        <v>58462</v>
      </c>
      <c r="X2804" s="200">
        <v>2.2675571836706765E-2</v>
      </c>
      <c r="Y2804" s="209">
        <v>2.2541169103433845E-2</v>
      </c>
    </row>
    <row r="2805" spans="21:25" x14ac:dyDescent="0.2">
      <c r="U2805" s="213" t="str">
        <f t="shared" si="47"/>
        <v>1w</v>
      </c>
      <c r="V2805" s="201">
        <f>_xll.qlCalendarAdvance(Calendar,V2804,U2805,"f",FALSE)</f>
        <v>58467</v>
      </c>
      <c r="W2805" s="225">
        <f>_xll.qlCalendarAdvance(Calendar,V2805,NDays&amp;"D")</f>
        <v>58469</v>
      </c>
      <c r="X2805" s="200">
        <v>2.267616475686457E-2</v>
      </c>
      <c r="Y2805" s="209">
        <v>2.2541450427358001E-2</v>
      </c>
    </row>
    <row r="2806" spans="21:25" x14ac:dyDescent="0.2">
      <c r="U2806" s="213" t="str">
        <f t="shared" si="47"/>
        <v>1w</v>
      </c>
      <c r="V2806" s="201">
        <f>_xll.qlCalendarAdvance(Calendar,V2805,U2806,"f",FALSE)</f>
        <v>58474</v>
      </c>
      <c r="W2806" s="225">
        <f>_xll.qlCalendarAdvance(Calendar,V2806,NDays&amp;"D")</f>
        <v>58476</v>
      </c>
      <c r="X2806" s="200">
        <v>2.2676781530500251E-2</v>
      </c>
      <c r="Y2806" s="209">
        <v>2.2541755335696578E-2</v>
      </c>
    </row>
    <row r="2807" spans="21:25" x14ac:dyDescent="0.2">
      <c r="U2807" s="213" t="str">
        <f t="shared" si="47"/>
        <v>1w</v>
      </c>
      <c r="V2807" s="201">
        <f>_xll.qlCalendarAdvance(Calendar,V2806,U2807,"f",FALSE)</f>
        <v>58481</v>
      </c>
      <c r="W2807" s="225">
        <f>_xll.qlCalendarAdvance(Calendar,V2807,NDays&amp;"D")</f>
        <v>58483</v>
      </c>
      <c r="X2807" s="200">
        <v>2.2677422157635768E-2</v>
      </c>
      <c r="Y2807" s="209">
        <v>2.2542083828369641E-2</v>
      </c>
    </row>
    <row r="2808" spans="21:25" x14ac:dyDescent="0.2">
      <c r="U2808" s="213" t="str">
        <f t="shared" si="47"/>
        <v>1w</v>
      </c>
      <c r="V2808" s="201">
        <f>_xll.qlCalendarAdvance(Calendar,V2807,U2808,"f",FALSE)</f>
        <v>58488</v>
      </c>
      <c r="W2808" s="225">
        <f>_xll.qlCalendarAdvance(Calendar,V2808,NDays&amp;"D")</f>
        <v>58490</v>
      </c>
      <c r="X2808" s="200">
        <v>2.2678086638295274E-2</v>
      </c>
      <c r="Y2808" s="209">
        <v>2.2542435905616998E-2</v>
      </c>
    </row>
    <row r="2809" spans="21:25" x14ac:dyDescent="0.2">
      <c r="U2809" s="213" t="str">
        <f t="shared" si="47"/>
        <v>1w</v>
      </c>
      <c r="V2809" s="201">
        <f>_xll.qlCalendarAdvance(Calendar,V2808,U2809,"f",FALSE)</f>
        <v>58495</v>
      </c>
      <c r="W2809" s="225">
        <f>_xll.qlCalendarAdvance(Calendar,V2809,NDays&amp;"D")</f>
        <v>58497</v>
      </c>
      <c r="X2809" s="200">
        <v>2.2678774972501613E-2</v>
      </c>
      <c r="Y2809" s="209">
        <v>2.2542811567198839E-2</v>
      </c>
    </row>
    <row r="2810" spans="21:25" x14ac:dyDescent="0.2">
      <c r="U2810" s="213" t="str">
        <f t="shared" si="47"/>
        <v>1w</v>
      </c>
      <c r="V2810" s="201">
        <f>_xll.qlCalendarAdvance(Calendar,V2809,U2810,"f",FALSE)</f>
        <v>58502</v>
      </c>
      <c r="W2810" s="225">
        <f>_xll.qlCalendarAdvance(Calendar,V2810,NDays&amp;"D")</f>
        <v>58504</v>
      </c>
      <c r="X2810" s="200">
        <v>2.2682571870217234E-2</v>
      </c>
      <c r="Y2810" s="209">
        <v>2.2543210813115167E-2</v>
      </c>
    </row>
    <row r="2811" spans="21:25" x14ac:dyDescent="0.2">
      <c r="U2811" s="213" t="str">
        <f t="shared" si="47"/>
        <v>1w</v>
      </c>
      <c r="V2811" s="201">
        <f>_xll.qlCalendarAdvance(Calendar,V2810,U2811,"f",FALSE)</f>
        <v>58509</v>
      </c>
      <c r="W2811" s="225">
        <f>_xll.qlCalendarAdvance(Calendar,V2811,NDays&amp;"D")</f>
        <v>58511</v>
      </c>
      <c r="X2811" s="200">
        <v>2.26833149130806E-2</v>
      </c>
      <c r="Y2811" s="209">
        <v>2.2543633643525851E-2</v>
      </c>
    </row>
    <row r="2812" spans="21:25" x14ac:dyDescent="0.2">
      <c r="U2812" s="213" t="str">
        <f t="shared" si="47"/>
        <v>1w</v>
      </c>
      <c r="V2812" s="201">
        <f>_xll.qlCalendarAdvance(Calendar,V2811,U2812,"f",FALSE)</f>
        <v>58516</v>
      </c>
      <c r="W2812" s="225">
        <f>_xll.qlCalendarAdvance(Calendar,V2812,NDays&amp;"D")</f>
        <v>58518</v>
      </c>
      <c r="X2812" s="200">
        <v>2.2684081815558466E-2</v>
      </c>
      <c r="Y2812" s="209">
        <v>2.2544080058350957E-2</v>
      </c>
    </row>
    <row r="2813" spans="21:25" x14ac:dyDescent="0.2">
      <c r="U2813" s="213" t="str">
        <f t="shared" si="47"/>
        <v>1w</v>
      </c>
      <c r="V2813" s="201">
        <f>_xll.qlCalendarAdvance(Calendar,V2812,U2813,"f",FALSE)</f>
        <v>58523</v>
      </c>
      <c r="W2813" s="225">
        <f>_xll.qlCalendarAdvance(Calendar,V2813,NDays&amp;"D")</f>
        <v>58525</v>
      </c>
      <c r="X2813" s="200">
        <v>2.2684872577680915E-2</v>
      </c>
      <c r="Y2813" s="209">
        <v>2.2544550057510548E-2</v>
      </c>
    </row>
    <row r="2814" spans="21:25" x14ac:dyDescent="0.2">
      <c r="U2814" s="213" t="str">
        <f t="shared" si="47"/>
        <v>1w</v>
      </c>
      <c r="V2814" s="201">
        <f>_xll.qlCalendarAdvance(Calendar,V2813,U2814,"f",FALSE)</f>
        <v>58530</v>
      </c>
      <c r="W2814" s="225">
        <f>_xll.qlCalendarAdvance(Calendar,V2814,NDays&amp;"D")</f>
        <v>58532</v>
      </c>
      <c r="X2814" s="200">
        <v>2.2683352335073823E-2</v>
      </c>
      <c r="Y2814" s="209">
        <v>2.2545043641244433E-2</v>
      </c>
    </row>
    <row r="2815" spans="21:25" x14ac:dyDescent="0.2">
      <c r="U2815" s="213" t="str">
        <f t="shared" si="47"/>
        <v>1w</v>
      </c>
      <c r="V2815" s="201">
        <f>_xll.qlCalendarAdvance(Calendar,V2814,U2815,"f",FALSE)</f>
        <v>58537</v>
      </c>
      <c r="W2815" s="225">
        <f>_xll.qlCalendarAdvance(Calendar,V2815,NDays&amp;"D")</f>
        <v>58539</v>
      </c>
      <c r="X2815" s="200">
        <v>2.2684185547148895E-2</v>
      </c>
      <c r="Y2815" s="209">
        <v>2.254556080939274E-2</v>
      </c>
    </row>
    <row r="2816" spans="21:25" x14ac:dyDescent="0.2">
      <c r="U2816" s="213" t="str">
        <f t="shared" si="47"/>
        <v>1w</v>
      </c>
      <c r="V2816" s="201">
        <f>_xll.qlCalendarAdvance(Calendar,V2815,U2816,"f",FALSE)</f>
        <v>58544</v>
      </c>
      <c r="W2816" s="225">
        <f>_xll.qlCalendarAdvance(Calendar,V2816,NDays&amp;"D")</f>
        <v>58546</v>
      </c>
      <c r="X2816" s="200">
        <v>2.2685042614459132E-2</v>
      </c>
      <c r="Y2816" s="209">
        <v>2.254908512970033E-2</v>
      </c>
    </row>
    <row r="2817" spans="21:25" x14ac:dyDescent="0.2">
      <c r="U2817" s="213" t="str">
        <f t="shared" si="47"/>
        <v>1w</v>
      </c>
      <c r="V2817" s="201">
        <f>_xll.qlCalendarAdvance(Calendar,V2816,U2817,"f",FALSE)</f>
        <v>58551</v>
      </c>
      <c r="W2817" s="225">
        <f>_xll.qlCalendarAdvance(Calendar,V2817,NDays&amp;"D")</f>
        <v>58553</v>
      </c>
      <c r="X2817" s="200">
        <v>2.2685923537035985E-2</v>
      </c>
      <c r="Y2817" s="209">
        <v>2.2546665898772744E-2</v>
      </c>
    </row>
    <row r="2818" spans="21:25" x14ac:dyDescent="0.2">
      <c r="U2818" s="213" t="str">
        <f t="shared" si="47"/>
        <v>1w</v>
      </c>
      <c r="V2818" s="201">
        <f>_xll.qlCalendarAdvance(Calendar,V2817,U2818,"f",FALSE)</f>
        <v>58558</v>
      </c>
      <c r="W2818" s="225">
        <f>_xll.qlCalendarAdvance(Calendar,V2818,NDays&amp;"D")</f>
        <v>58560</v>
      </c>
      <c r="X2818" s="200">
        <v>2.2686828314911339E-2</v>
      </c>
      <c r="Y2818" s="209">
        <v>2.2547253820164315E-2</v>
      </c>
    </row>
    <row r="2819" spans="21:25" x14ac:dyDescent="0.2">
      <c r="U2819" s="213" t="str">
        <f t="shared" si="47"/>
        <v>1w</v>
      </c>
      <c r="V2819" s="201">
        <f>_xll.qlCalendarAdvance(Calendar,V2818,U2819,"f",FALSE)</f>
        <v>58565</v>
      </c>
      <c r="W2819" s="225">
        <f>_xll.qlCalendarAdvance(Calendar,V2819,NDays&amp;"D")</f>
        <v>58567</v>
      </c>
      <c r="X2819" s="200">
        <v>2.2690118204606865E-2</v>
      </c>
      <c r="Y2819" s="209">
        <v>2.2547865325890371E-2</v>
      </c>
    </row>
    <row r="2820" spans="21:25" x14ac:dyDescent="0.2">
      <c r="U2820" s="213" t="str">
        <f t="shared" si="47"/>
        <v>1w</v>
      </c>
      <c r="V2820" s="201">
        <f>_xll.qlCalendarAdvance(Calendar,V2819,U2820,"f",FALSE)</f>
        <v>58572</v>
      </c>
      <c r="W2820" s="225">
        <f>_xll.qlCalendarAdvance(Calendar,V2820,NDays&amp;"D")</f>
        <v>58574</v>
      </c>
      <c r="X2820" s="200">
        <v>2.2691075985091465E-2</v>
      </c>
      <c r="Y2820" s="209">
        <v>2.2548500416030848E-2</v>
      </c>
    </row>
    <row r="2821" spans="21:25" x14ac:dyDescent="0.2">
      <c r="U2821" s="213" t="str">
        <f t="shared" si="47"/>
        <v>1w</v>
      </c>
      <c r="V2821" s="201">
        <f>_xll.qlCalendarAdvance(Calendar,V2820,U2821,"f",FALSE)</f>
        <v>58579</v>
      </c>
      <c r="W2821" s="225">
        <f>_xll.qlCalendarAdvance(Calendar,V2821,NDays&amp;"D")</f>
        <v>58581</v>
      </c>
      <c r="X2821" s="200">
        <v>2.2692057625475069E-2</v>
      </c>
      <c r="Y2821" s="209">
        <v>2.2549159090585746E-2</v>
      </c>
    </row>
    <row r="2822" spans="21:25" x14ac:dyDescent="0.2">
      <c r="U2822" s="213" t="str">
        <f t="shared" si="47"/>
        <v>1w</v>
      </c>
      <c r="V2822" s="201">
        <f>_xll.qlCalendarAdvance(Calendar,V2821,U2822,"f",FALSE)</f>
        <v>58586</v>
      </c>
      <c r="W2822" s="225">
        <f>_xll.qlCalendarAdvance(Calendar,V2822,NDays&amp;"D")</f>
        <v>58588</v>
      </c>
      <c r="X2822" s="200">
        <v>2.2693063125794204E-2</v>
      </c>
      <c r="Y2822" s="209">
        <v>2.2549841349555066E-2</v>
      </c>
    </row>
    <row r="2823" spans="21:25" x14ac:dyDescent="0.2">
      <c r="U2823" s="213" t="str">
        <f t="shared" si="47"/>
        <v>1w</v>
      </c>
      <c r="V2823" s="201">
        <f>_xll.qlCalendarAdvance(Calendar,V2822,U2823,"f",FALSE)</f>
        <v>58593</v>
      </c>
      <c r="W2823" s="225">
        <f>_xll.qlCalendarAdvance(Calendar,V2823,NDays&amp;"D")</f>
        <v>58595</v>
      </c>
      <c r="X2823" s="200">
        <v>2.2691710034935406E-2</v>
      </c>
      <c r="Y2823" s="209">
        <v>2.2550547193018744E-2</v>
      </c>
    </row>
    <row r="2824" spans="21:25" x14ac:dyDescent="0.2">
      <c r="U2824" s="213" t="str">
        <f t="shared" si="47"/>
        <v>1w</v>
      </c>
      <c r="V2824" s="201">
        <f>_xll.qlCalendarAdvance(Calendar,V2823,U2824,"f",FALSE)</f>
        <v>58600</v>
      </c>
      <c r="W2824" s="225">
        <f>_xll.qlCalendarAdvance(Calendar,V2824,NDays&amp;"D")</f>
        <v>58602</v>
      </c>
      <c r="X2824" s="200">
        <v>2.269275794531464E-2</v>
      </c>
      <c r="Y2824" s="209">
        <v>2.2551276620816907E-2</v>
      </c>
    </row>
    <row r="2825" spans="21:25" x14ac:dyDescent="0.2">
      <c r="U2825" s="213" t="str">
        <f t="shared" si="47"/>
        <v>1w</v>
      </c>
      <c r="V2825" s="201">
        <f>_xll.qlCalendarAdvance(Calendar,V2824,U2825,"f",FALSE)</f>
        <v>58607</v>
      </c>
      <c r="W2825" s="225">
        <f>_xll.qlCalendarAdvance(Calendar,V2825,NDays&amp;"D")</f>
        <v>58609</v>
      </c>
      <c r="X2825" s="200">
        <v>2.2693829711238737E-2</v>
      </c>
      <c r="Y2825" s="209">
        <v>2.2552029633029491E-2</v>
      </c>
    </row>
    <row r="2826" spans="21:25" x14ac:dyDescent="0.2">
      <c r="U2826" s="213" t="str">
        <f t="shared" si="47"/>
        <v>1w</v>
      </c>
      <c r="V2826" s="201">
        <f>_xll.qlCalendarAdvance(Calendar,V2825,U2826,"f",FALSE)</f>
        <v>58614</v>
      </c>
      <c r="W2826" s="225">
        <f>_xll.qlCalendarAdvance(Calendar,V2826,NDays&amp;"D")</f>
        <v>58616</v>
      </c>
      <c r="X2826" s="200">
        <v>2.2694925332744826E-2</v>
      </c>
      <c r="Y2826" s="209">
        <v>2.2552806229736433E-2</v>
      </c>
    </row>
    <row r="2827" spans="21:25" x14ac:dyDescent="0.2">
      <c r="U2827" s="213" t="str">
        <f t="shared" si="47"/>
        <v>1w</v>
      </c>
      <c r="V2827" s="201">
        <f>_xll.qlCalendarAdvance(Calendar,V2826,U2827,"f",FALSE)</f>
        <v>58621</v>
      </c>
      <c r="W2827" s="225">
        <f>_xll.qlCalendarAdvance(Calendar,V2827,NDays&amp;"D")</f>
        <v>58623</v>
      </c>
      <c r="X2827" s="200">
        <v>2.2698448527732364E-2</v>
      </c>
      <c r="Y2827" s="209">
        <v>2.2553606410857796E-2</v>
      </c>
    </row>
    <row r="2828" spans="21:25" x14ac:dyDescent="0.2">
      <c r="U2828" s="213" t="str">
        <f t="shared" si="47"/>
        <v>1w</v>
      </c>
      <c r="V2828" s="201">
        <f>_xll.qlCalendarAdvance(Calendar,V2827,U2828,"f",FALSE)</f>
        <v>58628</v>
      </c>
      <c r="W2828" s="225">
        <f>_xll.qlCalendarAdvance(Calendar,V2828,NDays&amp;"D")</f>
        <v>58630</v>
      </c>
      <c r="X2828" s="200">
        <v>2.2699597188463629E-2</v>
      </c>
      <c r="Y2828" s="209">
        <v>2.2554430176313645E-2</v>
      </c>
    </row>
    <row r="2829" spans="21:25" x14ac:dyDescent="0.2">
      <c r="U2829" s="213" t="str">
        <f t="shared" si="47"/>
        <v>1w</v>
      </c>
      <c r="V2829" s="201">
        <f>_xll.qlCalendarAdvance(Calendar,V2828,U2829,"f",FALSE)</f>
        <v>58635</v>
      </c>
      <c r="W2829" s="225">
        <f>_xll.qlCalendarAdvance(Calendar,V2829,NDays&amp;"D")</f>
        <v>58637</v>
      </c>
      <c r="X2829" s="200">
        <v>2.2700769709406331E-2</v>
      </c>
      <c r="Y2829" s="209">
        <v>2.2555277526263851E-2</v>
      </c>
    </row>
    <row r="2830" spans="21:25" x14ac:dyDescent="0.2">
      <c r="U2830" s="213" t="str">
        <f t="shared" si="47"/>
        <v>1w</v>
      </c>
      <c r="V2830" s="201">
        <f>_xll.qlCalendarAdvance(Calendar,V2829,U2830,"f",FALSE)</f>
        <v>58642</v>
      </c>
      <c r="W2830" s="225">
        <f>_xll.qlCalendarAdvance(Calendar,V2830,NDays&amp;"D")</f>
        <v>58644</v>
      </c>
      <c r="X2830" s="200">
        <v>2.2701966090602592E-2</v>
      </c>
      <c r="Y2830" s="209">
        <v>2.2556148460708414E-2</v>
      </c>
    </row>
    <row r="2831" spans="21:25" x14ac:dyDescent="0.2">
      <c r="U2831" s="213" t="str">
        <f t="shared" si="47"/>
        <v>1w</v>
      </c>
      <c r="V2831" s="201">
        <f>_xll.qlCalendarAdvance(Calendar,V2830,U2831,"f",FALSE)</f>
        <v>58649</v>
      </c>
      <c r="W2831" s="225">
        <f>_xll.qlCalendarAdvance(Calendar,V2831,NDays&amp;"D")</f>
        <v>58651</v>
      </c>
      <c r="X2831" s="200">
        <v>2.2703186332094959E-2</v>
      </c>
      <c r="Y2831" s="209">
        <v>2.2557042979407527E-2</v>
      </c>
    </row>
    <row r="2832" spans="21:25" x14ac:dyDescent="0.2">
      <c r="U2832" s="213" t="str">
        <f t="shared" si="47"/>
        <v>1w</v>
      </c>
      <c r="V2832" s="201">
        <f>_xll.qlCalendarAdvance(Calendar,V2831,U2832,"f",FALSE)</f>
        <v>58656</v>
      </c>
      <c r="W2832" s="225">
        <f>_xll.qlCalendarAdvance(Calendar,V2832,NDays&amp;"D")</f>
        <v>58658</v>
      </c>
      <c r="X2832" s="200">
        <v>2.2704430433929414E-2</v>
      </c>
      <c r="Y2832" s="209">
        <v>2.2557961082600997E-2</v>
      </c>
    </row>
    <row r="2833" spans="21:25" x14ac:dyDescent="0.2">
      <c r="U2833" s="213" t="str">
        <f t="shared" si="47"/>
        <v>1w</v>
      </c>
      <c r="V2833" s="201">
        <f>_xll.qlCalendarAdvance(Calendar,V2832,U2833,"f",FALSE)</f>
        <v>58663</v>
      </c>
      <c r="W2833" s="225">
        <f>_xll.qlCalendarAdvance(Calendar,V2833,NDays&amp;"D")</f>
        <v>58665</v>
      </c>
      <c r="X2833" s="200">
        <v>2.2705698396152375E-2</v>
      </c>
      <c r="Y2833" s="209">
        <v>2.2558902770208888E-2</v>
      </c>
    </row>
    <row r="2834" spans="21:25" x14ac:dyDescent="0.2">
      <c r="U2834" s="213" t="str">
        <f t="shared" si="47"/>
        <v>1w</v>
      </c>
      <c r="V2834" s="201">
        <f>_xll.qlCalendarAdvance(Calendar,V2833,U2834,"f",FALSE)</f>
        <v>58670</v>
      </c>
      <c r="W2834" s="225">
        <f>_xll.qlCalendarAdvance(Calendar,V2834,NDays&amp;"D")</f>
        <v>58672</v>
      </c>
      <c r="X2834" s="200">
        <v>2.2706990218808103E-2</v>
      </c>
      <c r="Y2834" s="209">
        <v>2.2559868042151265E-2</v>
      </c>
    </row>
    <row r="2835" spans="21:25" x14ac:dyDescent="0.2">
      <c r="U2835" s="213" t="str">
        <f t="shared" si="47"/>
        <v>1w</v>
      </c>
      <c r="V2835" s="201">
        <f>_xll.qlCalendarAdvance(Calendar,V2834,U2835,"f",FALSE)</f>
        <v>58677</v>
      </c>
      <c r="W2835" s="225">
        <f>_xll.qlCalendarAdvance(Calendar,V2835,NDays&amp;"D")</f>
        <v>58679</v>
      </c>
      <c r="X2835" s="200">
        <v>2.2708305901944732E-2</v>
      </c>
      <c r="Y2835" s="209">
        <v>2.2560856898588E-2</v>
      </c>
    </row>
    <row r="2836" spans="21:25" x14ac:dyDescent="0.2">
      <c r="U2836" s="213" t="str">
        <f t="shared" si="47"/>
        <v>1w</v>
      </c>
      <c r="V2836" s="201">
        <f>_xll.qlCalendarAdvance(Calendar,V2835,U2836,"f",FALSE)</f>
        <v>58684</v>
      </c>
      <c r="W2836" s="225">
        <f>_xll.qlCalendarAdvance(Calendar,V2836,NDays&amp;"D")</f>
        <v>58686</v>
      </c>
      <c r="X2836" s="200">
        <v>2.2705560085238292E-2</v>
      </c>
      <c r="Y2836" s="209">
        <v>2.2561869339519092E-2</v>
      </c>
    </row>
    <row r="2837" spans="21:25" x14ac:dyDescent="0.2">
      <c r="U2837" s="213" t="str">
        <f t="shared" ref="U2837:U2900" si="48">U2836</f>
        <v>1w</v>
      </c>
      <c r="V2837" s="201">
        <f>_xll.qlCalendarAdvance(Calendar,V2836,U2837,"f",FALSE)</f>
        <v>58691</v>
      </c>
      <c r="W2837" s="225">
        <f>_xll.qlCalendarAdvance(Calendar,V2837,NDays&amp;"D")</f>
        <v>58693</v>
      </c>
      <c r="X2837" s="200">
        <v>2.2706914543020908E-2</v>
      </c>
      <c r="Y2837" s="209">
        <v>2.2562905364704733E-2</v>
      </c>
    </row>
    <row r="2838" spans="21:25" x14ac:dyDescent="0.2">
      <c r="U2838" s="213" t="str">
        <f t="shared" si="48"/>
        <v>1w</v>
      </c>
      <c r="V2838" s="201">
        <f>_xll.qlCalendarAdvance(Calendar,V2837,U2838,"f",FALSE)</f>
        <v>58698</v>
      </c>
      <c r="W2838" s="225">
        <f>_xll.qlCalendarAdvance(Calendar,V2838,NDays&amp;"D")</f>
        <v>58700</v>
      </c>
      <c r="X2838" s="200">
        <v>2.2708292853905999E-2</v>
      </c>
      <c r="Y2838" s="209">
        <v>2.2563964974464668E-2</v>
      </c>
    </row>
    <row r="2839" spans="21:25" x14ac:dyDescent="0.2">
      <c r="U2839" s="213" t="str">
        <f t="shared" si="48"/>
        <v>1w</v>
      </c>
      <c r="V2839" s="201">
        <f>_xll.qlCalendarAdvance(Calendar,V2838,U2839,"f",FALSE)</f>
        <v>58705</v>
      </c>
      <c r="W2839" s="225">
        <f>_xll.qlCalendarAdvance(Calendar,V2839,NDays&amp;"D")</f>
        <v>58707</v>
      </c>
      <c r="X2839" s="200">
        <v>2.2709695017943034E-2</v>
      </c>
      <c r="Y2839" s="209">
        <v>2.2565048168559088E-2</v>
      </c>
    </row>
    <row r="2840" spans="21:25" x14ac:dyDescent="0.2">
      <c r="U2840" s="213" t="str">
        <f t="shared" si="48"/>
        <v>1w</v>
      </c>
      <c r="V2840" s="201">
        <f>_xll.qlCalendarAdvance(Calendar,V2839,U2840,"f",FALSE)</f>
        <v>58712</v>
      </c>
      <c r="W2840" s="225">
        <f>_xll.qlCalendarAdvance(Calendar,V2840,NDays&amp;"D")</f>
        <v>58714</v>
      </c>
      <c r="X2840" s="200">
        <v>2.2711944861430338E-2</v>
      </c>
      <c r="Y2840" s="209">
        <v>2.2566154947147865E-2</v>
      </c>
    </row>
    <row r="2841" spans="21:25" x14ac:dyDescent="0.2">
      <c r="U2841" s="213" t="str">
        <f t="shared" si="48"/>
        <v>1w</v>
      </c>
      <c r="V2841" s="201">
        <f>_xll.qlCalendarAdvance(Calendar,V2840,U2841,"f",FALSE)</f>
        <v>58719</v>
      </c>
      <c r="W2841" s="225">
        <f>_xll.qlCalendarAdvance(Calendar,V2841,NDays&amp;"D")</f>
        <v>58721</v>
      </c>
      <c r="X2841" s="200">
        <v>2.271339652679364E-2</v>
      </c>
      <c r="Y2841" s="209">
        <v>2.2567285310071128E-2</v>
      </c>
    </row>
    <row r="2842" spans="21:25" x14ac:dyDescent="0.2">
      <c r="U2842" s="213" t="str">
        <f t="shared" si="48"/>
        <v>1w</v>
      </c>
      <c r="V2842" s="201">
        <f>_xll.qlCalendarAdvance(Calendar,V2841,U2842,"f",FALSE)</f>
        <v>58726</v>
      </c>
      <c r="W2842" s="225">
        <f>_xll.qlCalendarAdvance(Calendar,V2842,NDays&amp;"D")</f>
        <v>58728</v>
      </c>
      <c r="X2842" s="200">
        <v>2.2714872046966938E-2</v>
      </c>
      <c r="Y2842" s="209">
        <v>2.2568439257408812E-2</v>
      </c>
    </row>
    <row r="2843" spans="21:25" x14ac:dyDescent="0.2">
      <c r="U2843" s="213" t="str">
        <f t="shared" si="48"/>
        <v>1w</v>
      </c>
      <c r="V2843" s="201">
        <f>_xll.qlCalendarAdvance(Calendar,V2842,U2843,"f",FALSE)</f>
        <v>58733</v>
      </c>
      <c r="W2843" s="225">
        <f>_xll.qlCalendarAdvance(Calendar,V2843,NDays&amp;"D")</f>
        <v>58735</v>
      </c>
      <c r="X2843" s="200">
        <v>2.2716371422003376E-2</v>
      </c>
      <c r="Y2843" s="209">
        <v>2.2569616789240854E-2</v>
      </c>
    </row>
    <row r="2844" spans="21:25" x14ac:dyDescent="0.2">
      <c r="U2844" s="213" t="str">
        <f t="shared" si="48"/>
        <v>1w</v>
      </c>
      <c r="V2844" s="201">
        <f>_xll.qlCalendarAdvance(Calendar,V2843,U2844,"f",FALSE)</f>
        <v>58740</v>
      </c>
      <c r="W2844" s="225">
        <f>_xll.qlCalendarAdvance(Calendar,V2844,NDays&amp;"D")</f>
        <v>58742</v>
      </c>
      <c r="X2844" s="200">
        <v>2.2717894651956096E-2</v>
      </c>
      <c r="Y2844" s="209">
        <v>2.2570817905487317E-2</v>
      </c>
    </row>
    <row r="2845" spans="21:25" x14ac:dyDescent="0.2">
      <c r="U2845" s="213" t="str">
        <f t="shared" si="48"/>
        <v>1w</v>
      </c>
      <c r="V2845" s="201">
        <f>_xll.qlCalendarAdvance(Calendar,V2844,U2845,"f",FALSE)</f>
        <v>58747</v>
      </c>
      <c r="W2845" s="225">
        <f>_xll.qlCalendarAdvance(Calendar,V2845,NDays&amp;"D")</f>
        <v>58749</v>
      </c>
      <c r="X2845" s="200">
        <v>2.2718608921201429E-2</v>
      </c>
      <c r="Y2845" s="209">
        <v>2.2572042606228138E-2</v>
      </c>
    </row>
    <row r="2846" spans="21:25" x14ac:dyDescent="0.2">
      <c r="U2846" s="213" t="str">
        <f t="shared" si="48"/>
        <v>1w</v>
      </c>
      <c r="V2846" s="201">
        <f>_xll.qlCalendarAdvance(Calendar,V2845,U2846,"f",FALSE)</f>
        <v>58754</v>
      </c>
      <c r="W2846" s="225">
        <f>_xll.qlCalendarAdvance(Calendar,V2846,NDays&amp;"D")</f>
        <v>58756</v>
      </c>
      <c r="X2846" s="200">
        <v>2.2720178058743542E-2</v>
      </c>
      <c r="Y2846" s="209">
        <v>2.2573290891143571E-2</v>
      </c>
    </row>
    <row r="2847" spans="21:25" x14ac:dyDescent="0.2">
      <c r="U2847" s="213" t="str">
        <f t="shared" si="48"/>
        <v>1w</v>
      </c>
      <c r="V2847" s="201">
        <f>_xll.qlCalendarAdvance(Calendar,V2846,U2847,"f",FALSE)</f>
        <v>58761</v>
      </c>
      <c r="W2847" s="225">
        <f>_xll.qlCalendarAdvance(Calendar,V2847,NDays&amp;"D")</f>
        <v>58763</v>
      </c>
      <c r="X2847" s="200">
        <v>2.272177104986068E-2</v>
      </c>
      <c r="Y2847" s="209">
        <v>2.2574562760633299E-2</v>
      </c>
    </row>
    <row r="2848" spans="21:25" x14ac:dyDescent="0.2">
      <c r="U2848" s="213" t="str">
        <f t="shared" si="48"/>
        <v>1w</v>
      </c>
      <c r="V2848" s="201">
        <f>_xll.qlCalendarAdvance(Calendar,V2847,U2848,"f",FALSE)</f>
        <v>58768</v>
      </c>
      <c r="W2848" s="225">
        <f>_xll.qlCalendarAdvance(Calendar,V2848,NDays&amp;"D")</f>
        <v>58770</v>
      </c>
      <c r="X2848" s="200">
        <v>2.2723387894608049E-2</v>
      </c>
      <c r="Y2848" s="209">
        <v>2.2575858214537448E-2</v>
      </c>
    </row>
    <row r="2849" spans="21:25" x14ac:dyDescent="0.2">
      <c r="U2849" s="213" t="str">
        <f t="shared" si="48"/>
        <v>1w</v>
      </c>
      <c r="V2849" s="201">
        <f>_xll.qlCalendarAdvance(Calendar,V2848,U2849,"f",FALSE)</f>
        <v>58775</v>
      </c>
      <c r="W2849" s="225">
        <f>_xll.qlCalendarAdvance(Calendar,V2849,NDays&amp;"D")</f>
        <v>58777</v>
      </c>
      <c r="X2849" s="200">
        <v>2.2725868627400433E-2</v>
      </c>
      <c r="Y2849" s="209">
        <v>2.2577177252856018E-2</v>
      </c>
    </row>
    <row r="2850" spans="21:25" x14ac:dyDescent="0.2">
      <c r="U2850" s="213" t="str">
        <f t="shared" si="48"/>
        <v>1w</v>
      </c>
      <c r="V2850" s="201">
        <f>_xll.qlCalendarAdvance(Calendar,V2849,U2850,"f",FALSE)</f>
        <v>58782</v>
      </c>
      <c r="W2850" s="225">
        <f>_xll.qlCalendarAdvance(Calendar,V2850,NDays&amp;"D")</f>
        <v>58784</v>
      </c>
      <c r="X2850" s="200">
        <v>2.2727534988025301E-2</v>
      </c>
      <c r="Y2850" s="209">
        <v>2.2578519875668945E-2</v>
      </c>
    </row>
    <row r="2851" spans="21:25" x14ac:dyDescent="0.2">
      <c r="U2851" s="213" t="str">
        <f t="shared" si="48"/>
        <v>1w</v>
      </c>
      <c r="V2851" s="201">
        <f>_xll.qlCalendarAdvance(Calendar,V2850,U2851,"f",FALSE)</f>
        <v>58789</v>
      </c>
      <c r="W2851" s="225">
        <f>_xll.qlCalendarAdvance(Calendar,V2851,NDays&amp;"D")</f>
        <v>58791</v>
      </c>
      <c r="X2851" s="200">
        <v>2.2729225203965697E-2</v>
      </c>
      <c r="Y2851" s="209">
        <v>2.2579886082896294E-2</v>
      </c>
    </row>
    <row r="2852" spans="21:25" x14ac:dyDescent="0.2">
      <c r="U2852" s="213" t="str">
        <f t="shared" si="48"/>
        <v>1w</v>
      </c>
      <c r="V2852" s="201">
        <f>_xll.qlCalendarAdvance(Calendar,V2851,U2852,"f",FALSE)</f>
        <v>58796</v>
      </c>
      <c r="W2852" s="225">
        <f>_xll.qlCalendarAdvance(Calendar,V2852,NDays&amp;"D")</f>
        <v>58798</v>
      </c>
      <c r="X2852" s="200">
        <v>2.273093927528223E-2</v>
      </c>
      <c r="Y2852" s="209">
        <v>2.2581275874378193E-2</v>
      </c>
    </row>
    <row r="2853" spans="21:25" x14ac:dyDescent="0.2">
      <c r="U2853" s="213" t="str">
        <f t="shared" si="48"/>
        <v>1w</v>
      </c>
      <c r="V2853" s="201">
        <f>_xll.qlCalendarAdvance(Calendar,V2852,U2853,"f",FALSE)</f>
        <v>58803</v>
      </c>
      <c r="W2853" s="225">
        <f>_xll.qlCalendarAdvance(Calendar,V2853,NDays&amp;"D")</f>
        <v>58805</v>
      </c>
      <c r="X2853" s="200">
        <v>2.273267720203551E-2</v>
      </c>
      <c r="Y2853" s="209">
        <v>2.2582689250434385E-2</v>
      </c>
    </row>
    <row r="2854" spans="21:25" x14ac:dyDescent="0.2">
      <c r="U2854" s="213" t="str">
        <f t="shared" si="48"/>
        <v>1w</v>
      </c>
      <c r="V2854" s="201">
        <f>_xll.qlCalendarAdvance(Calendar,V2853,U2854,"f",FALSE)</f>
        <v>58810</v>
      </c>
      <c r="W2854" s="225">
        <f>_xll.qlCalendarAdvance(Calendar,V2854,NDays&amp;"D")</f>
        <v>58812</v>
      </c>
      <c r="X2854" s="200">
        <v>2.2733589892626582E-2</v>
      </c>
      <c r="Y2854" s="209">
        <v>2.2584126210825062E-2</v>
      </c>
    </row>
    <row r="2855" spans="21:25" x14ac:dyDescent="0.2">
      <c r="U2855" s="213" t="str">
        <f t="shared" si="48"/>
        <v>1w</v>
      </c>
      <c r="V2855" s="201">
        <f>_xll.qlCalendarAdvance(Calendar,V2854,U2855,"f",FALSE)</f>
        <v>58817</v>
      </c>
      <c r="W2855" s="225">
        <f>_xll.qlCalendarAdvance(Calendar,V2855,NDays&amp;"D")</f>
        <v>58819</v>
      </c>
      <c r="X2855" s="200">
        <v>2.2735373714450537E-2</v>
      </c>
      <c r="Y2855" s="209">
        <v>2.2585586755869969E-2</v>
      </c>
    </row>
    <row r="2856" spans="21:25" x14ac:dyDescent="0.2">
      <c r="U2856" s="213" t="str">
        <f t="shared" si="48"/>
        <v>1w</v>
      </c>
      <c r="V2856" s="201">
        <f>_xll.qlCalendarAdvance(Calendar,V2855,U2856,"f",FALSE)</f>
        <v>58824</v>
      </c>
      <c r="W2856" s="225">
        <f>_xll.qlCalendarAdvance(Calendar,V2856,NDays&amp;"D")</f>
        <v>58826</v>
      </c>
      <c r="X2856" s="200">
        <v>2.2737181390388311E-2</v>
      </c>
      <c r="Y2856" s="209">
        <v>2.2587070885009553E-2</v>
      </c>
    </row>
    <row r="2857" spans="21:25" x14ac:dyDescent="0.2">
      <c r="U2857" s="213" t="str">
        <f t="shared" si="48"/>
        <v>1w</v>
      </c>
      <c r="V2857" s="201">
        <f>_xll.qlCalendarAdvance(Calendar,V2856,U2857,"f",FALSE)</f>
        <v>58831</v>
      </c>
      <c r="W2857" s="225">
        <f>_xll.qlCalendarAdvance(Calendar,V2857,NDays&amp;"D")</f>
        <v>58833</v>
      </c>
      <c r="X2857" s="200">
        <v>2.2739012920505272E-2</v>
      </c>
      <c r="Y2857" s="209">
        <v>2.2588578598803366E-2</v>
      </c>
    </row>
    <row r="2858" spans="21:25" x14ac:dyDescent="0.2">
      <c r="U2858" s="213" t="str">
        <f t="shared" si="48"/>
        <v>1w</v>
      </c>
      <c r="V2858" s="201">
        <f>_xll.qlCalendarAdvance(Calendar,V2857,U2858,"f",FALSE)</f>
        <v>58838</v>
      </c>
      <c r="W2858" s="225">
        <f>_xll.qlCalendarAdvance(Calendar,V2858,NDays&amp;"D")</f>
        <v>58840</v>
      </c>
      <c r="X2858" s="200">
        <v>2.2740868304866782E-2</v>
      </c>
      <c r="Y2858" s="209">
        <v>2.2590109896851729E-2</v>
      </c>
    </row>
    <row r="2859" spans="21:25" x14ac:dyDescent="0.2">
      <c r="U2859" s="213" t="str">
        <f t="shared" si="48"/>
        <v>1w</v>
      </c>
      <c r="V2859" s="201">
        <f>_xll.qlCalendarAdvance(Calendar,V2858,U2859,"f",FALSE)</f>
        <v>58845</v>
      </c>
      <c r="W2859" s="225">
        <f>_xll.qlCalendarAdvance(Calendar,V2859,NDays&amp;"D")</f>
        <v>58847</v>
      </c>
      <c r="X2859" s="200">
        <v>2.2742747543539082E-2</v>
      </c>
      <c r="Y2859" s="209">
        <v>2.2591664779474385E-2</v>
      </c>
    </row>
    <row r="2860" spans="21:25" x14ac:dyDescent="0.2">
      <c r="U2860" s="213" t="str">
        <f t="shared" si="48"/>
        <v>1w</v>
      </c>
      <c r="V2860" s="201">
        <f>_xll.qlCalendarAdvance(Calendar,V2859,U2860,"f",FALSE)</f>
        <v>58852</v>
      </c>
      <c r="W2860" s="225">
        <f>_xll.qlCalendarAdvance(Calendar,V2860,NDays&amp;"D")</f>
        <v>58854</v>
      </c>
      <c r="X2860" s="200">
        <v>2.2744650636588419E-2</v>
      </c>
      <c r="Y2860" s="209">
        <v>2.2593243246511463E-2</v>
      </c>
    </row>
    <row r="2861" spans="21:25" x14ac:dyDescent="0.2">
      <c r="U2861" s="213" t="str">
        <f t="shared" si="48"/>
        <v>1w</v>
      </c>
      <c r="V2861" s="201">
        <f>_xll.qlCalendarAdvance(Calendar,V2860,U2861,"f",FALSE)</f>
        <v>58859</v>
      </c>
      <c r="W2861" s="225">
        <f>_xll.qlCalendarAdvance(Calendar,V2861,NDays&amp;"D")</f>
        <v>58861</v>
      </c>
      <c r="X2861" s="200">
        <v>2.2746577584081922E-2</v>
      </c>
      <c r="Y2861" s="209">
        <v>2.2594845297962962E-2</v>
      </c>
    </row>
    <row r="2862" spans="21:25" x14ac:dyDescent="0.2">
      <c r="U2862" s="213" t="str">
        <f t="shared" si="48"/>
        <v>1w</v>
      </c>
      <c r="V2862" s="201">
        <f>_xll.qlCalendarAdvance(Calendar,V2861,U2862,"f",FALSE)</f>
        <v>58866</v>
      </c>
      <c r="W2862" s="225">
        <f>_xll.qlCalendarAdvance(Calendar,V2862,NDays&amp;"D")</f>
        <v>58868</v>
      </c>
      <c r="X2862" s="200">
        <v>2.275284880486482E-2</v>
      </c>
      <c r="Y2862" s="209">
        <v>2.2596470933748947E-2</v>
      </c>
    </row>
    <row r="2863" spans="21:25" x14ac:dyDescent="0.2">
      <c r="U2863" s="213" t="str">
        <f t="shared" si="48"/>
        <v>1w</v>
      </c>
      <c r="V2863" s="201">
        <f>_xll.qlCalendarAdvance(Calendar,V2862,U2863,"f",FALSE)</f>
        <v>58873</v>
      </c>
      <c r="W2863" s="225">
        <f>_xll.qlCalendarAdvance(Calendar,V2863,NDays&amp;"D")</f>
        <v>58875</v>
      </c>
      <c r="X2863" s="200">
        <v>2.2754832604180177E-2</v>
      </c>
      <c r="Y2863" s="209">
        <v>2.2598120154189161E-2</v>
      </c>
    </row>
    <row r="2864" spans="21:25" x14ac:dyDescent="0.2">
      <c r="U2864" s="213" t="str">
        <f t="shared" si="48"/>
        <v>1w</v>
      </c>
      <c r="V2864" s="201">
        <f>_xll.qlCalendarAdvance(Calendar,V2863,U2864,"f",FALSE)</f>
        <v>58880</v>
      </c>
      <c r="W2864" s="225">
        <f>_xll.qlCalendarAdvance(Calendar,V2864,NDays&amp;"D")</f>
        <v>58882</v>
      </c>
      <c r="X2864" s="200">
        <v>2.2756840265725147E-2</v>
      </c>
      <c r="Y2864" s="209">
        <v>2.2599792958803988E-2</v>
      </c>
    </row>
    <row r="2865" spans="21:25" x14ac:dyDescent="0.2">
      <c r="U2865" s="213" t="str">
        <f t="shared" si="48"/>
        <v>1w</v>
      </c>
      <c r="V2865" s="201">
        <f>_xll.qlCalendarAdvance(Calendar,V2864,U2865,"f",FALSE)</f>
        <v>58887</v>
      </c>
      <c r="W2865" s="225">
        <f>_xll.qlCalendarAdvance(Calendar,V2865,NDays&amp;"D")</f>
        <v>58889</v>
      </c>
      <c r="X2865" s="200">
        <v>2.2758871789572786E-2</v>
      </c>
      <c r="Y2865" s="209">
        <v>2.2601489347913173E-2</v>
      </c>
    </row>
    <row r="2866" spans="21:25" x14ac:dyDescent="0.2">
      <c r="U2866" s="213" t="str">
        <f t="shared" si="48"/>
        <v>1w</v>
      </c>
      <c r="V2866" s="201">
        <f>_xll.qlCalendarAdvance(Calendar,V2865,U2866,"f",FALSE)</f>
        <v>58894</v>
      </c>
      <c r="W2866" s="225">
        <f>_xll.qlCalendarAdvance(Calendar,V2866,NDays&amp;"D")</f>
        <v>58896</v>
      </c>
      <c r="X2866" s="200">
        <v>2.275831231927921E-2</v>
      </c>
      <c r="Y2866" s="209">
        <v>2.2603209321516715E-2</v>
      </c>
    </row>
    <row r="2867" spans="21:25" x14ac:dyDescent="0.2">
      <c r="U2867" s="213" t="str">
        <f t="shared" si="48"/>
        <v>1w</v>
      </c>
      <c r="V2867" s="201">
        <f>_xll.qlCalendarAdvance(Calendar,V2866,U2867,"f",FALSE)</f>
        <v>58901</v>
      </c>
      <c r="W2867" s="225">
        <f>_xll.qlCalendarAdvance(Calendar,V2867,NDays&amp;"D")</f>
        <v>58903</v>
      </c>
      <c r="X2867" s="200">
        <v>2.2760386063456244E-2</v>
      </c>
      <c r="Y2867" s="209">
        <v>2.2608294956086183E-2</v>
      </c>
    </row>
    <row r="2868" spans="21:25" x14ac:dyDescent="0.2">
      <c r="U2868" s="213" t="str">
        <f t="shared" si="48"/>
        <v>1w</v>
      </c>
      <c r="V2868" s="201">
        <f>_xll.qlCalendarAdvance(Calendar,V2867,U2868,"f",FALSE)</f>
        <v>58908</v>
      </c>
      <c r="W2868" s="225">
        <f>_xll.qlCalendarAdvance(Calendar,V2868,NDays&amp;"D")</f>
        <v>58910</v>
      </c>
      <c r="X2868" s="200">
        <v>2.2762483665609418E-2</v>
      </c>
      <c r="Y2868" s="209">
        <v>2.2606720021887128E-2</v>
      </c>
    </row>
    <row r="2869" spans="21:25" x14ac:dyDescent="0.2">
      <c r="U2869" s="213" t="str">
        <f t="shared" si="48"/>
        <v>1w</v>
      </c>
      <c r="V2869" s="201">
        <f>_xll.qlCalendarAdvance(Calendar,V2868,U2869,"f",FALSE)</f>
        <v>58915</v>
      </c>
      <c r="W2869" s="225">
        <f>_xll.qlCalendarAdvance(Calendar,V2869,NDays&amp;"D")</f>
        <v>58917</v>
      </c>
      <c r="X2869" s="200">
        <v>2.2764605125814741E-2</v>
      </c>
      <c r="Y2869" s="209">
        <v>2.260851074881387E-2</v>
      </c>
    </row>
    <row r="2870" spans="21:25" x14ac:dyDescent="0.2">
      <c r="U2870" s="213" t="str">
        <f t="shared" si="48"/>
        <v>1w</v>
      </c>
      <c r="V2870" s="201">
        <f>_xll.qlCalendarAdvance(Calendar,V2869,U2870,"f",FALSE)</f>
        <v>58922</v>
      </c>
      <c r="W2870" s="225">
        <f>_xll.qlCalendarAdvance(Calendar,V2870,NDays&amp;"D")</f>
        <v>58924</v>
      </c>
      <c r="X2870" s="200">
        <v>2.2766750444147773E-2</v>
      </c>
      <c r="Y2870" s="209">
        <v>2.2610325060075098E-2</v>
      </c>
    </row>
    <row r="2871" spans="21:25" x14ac:dyDescent="0.2">
      <c r="U2871" s="213" t="str">
        <f t="shared" si="48"/>
        <v>1w</v>
      </c>
      <c r="V2871" s="201">
        <f>_xll.qlCalendarAdvance(Calendar,V2870,U2871,"f",FALSE)</f>
        <v>58929</v>
      </c>
      <c r="W2871" s="225">
        <f>_xll.qlCalendarAdvance(Calendar,V2871,NDays&amp;"D")</f>
        <v>58931</v>
      </c>
      <c r="X2871" s="200">
        <v>2.2771562045244463E-2</v>
      </c>
      <c r="Y2871" s="209">
        <v>2.2612162955750748E-2</v>
      </c>
    </row>
    <row r="2872" spans="21:25" x14ac:dyDescent="0.2">
      <c r="U2872" s="213" t="str">
        <f t="shared" si="48"/>
        <v>1w</v>
      </c>
      <c r="V2872" s="201">
        <f>_xll.qlCalendarAdvance(Calendar,V2871,U2872,"f",FALSE)</f>
        <v>58936</v>
      </c>
      <c r="W2872" s="225">
        <f>_xll.qlCalendarAdvance(Calendar,V2872,NDays&amp;"D")</f>
        <v>58938</v>
      </c>
      <c r="X2872" s="200">
        <v>2.2773760607342861E-2</v>
      </c>
      <c r="Y2872" s="209">
        <v>2.2614024435920754E-2</v>
      </c>
    </row>
    <row r="2873" spans="21:25" x14ac:dyDescent="0.2">
      <c r="U2873" s="213" t="str">
        <f t="shared" si="48"/>
        <v>1w</v>
      </c>
      <c r="V2873" s="201">
        <f>_xll.qlCalendarAdvance(Calendar,V2872,U2873,"f",FALSE)</f>
        <v>58943</v>
      </c>
      <c r="W2873" s="225">
        <f>_xll.qlCalendarAdvance(Calendar,V2873,NDays&amp;"D")</f>
        <v>58945</v>
      </c>
      <c r="X2873" s="200">
        <v>2.2775983032361929E-2</v>
      </c>
      <c r="Y2873" s="209">
        <v>2.2615909500505182E-2</v>
      </c>
    </row>
    <row r="2874" spans="21:25" x14ac:dyDescent="0.2">
      <c r="U2874" s="213" t="str">
        <f t="shared" si="48"/>
        <v>1w</v>
      </c>
      <c r="V2874" s="201">
        <f>_xll.qlCalendarAdvance(Calendar,V2873,U2874,"f",FALSE)</f>
        <v>58950</v>
      </c>
      <c r="W2874" s="225">
        <f>_xll.qlCalendarAdvance(Calendar,V2874,NDays&amp;"D")</f>
        <v>58952</v>
      </c>
      <c r="X2874" s="200">
        <v>2.2778229320384185E-2</v>
      </c>
      <c r="Y2874" s="209">
        <v>2.2617818149424096E-2</v>
      </c>
    </row>
    <row r="2875" spans="21:25" x14ac:dyDescent="0.2">
      <c r="U2875" s="213" t="str">
        <f t="shared" si="48"/>
        <v>1w</v>
      </c>
      <c r="V2875" s="201">
        <f>_xll.qlCalendarAdvance(Calendar,V2874,U2875,"f",FALSE)</f>
        <v>58957</v>
      </c>
      <c r="W2875" s="225">
        <f>_xll.qlCalendarAdvance(Calendar,V2875,NDays&amp;"D")</f>
        <v>58959</v>
      </c>
      <c r="X2875" s="200">
        <v>2.2777834910468323E-2</v>
      </c>
      <c r="Y2875" s="209">
        <v>2.2619750382757431E-2</v>
      </c>
    </row>
    <row r="2876" spans="21:25" x14ac:dyDescent="0.2">
      <c r="U2876" s="213" t="str">
        <f t="shared" si="48"/>
        <v>1w</v>
      </c>
      <c r="V2876" s="201">
        <f>_xll.qlCalendarAdvance(Calendar,V2875,U2876,"f",FALSE)</f>
        <v>58964</v>
      </c>
      <c r="W2876" s="225">
        <f>_xll.qlCalendarAdvance(Calendar,V2876,NDays&amp;"D")</f>
        <v>58966</v>
      </c>
      <c r="X2876" s="200">
        <v>2.2780123379221837E-2</v>
      </c>
      <c r="Y2876" s="209">
        <v>2.2621706200744995E-2</v>
      </c>
    </row>
    <row r="2877" spans="21:25" x14ac:dyDescent="0.2">
      <c r="U2877" s="213" t="str">
        <f t="shared" si="48"/>
        <v>1w</v>
      </c>
      <c r="V2877" s="201">
        <f>_xll.qlCalendarAdvance(Calendar,V2876,U2877,"f",FALSE)</f>
        <v>58971</v>
      </c>
      <c r="W2877" s="225">
        <f>_xll.qlCalendarAdvance(Calendar,V2877,NDays&amp;"D")</f>
        <v>58973</v>
      </c>
      <c r="X2877" s="200">
        <v>2.2782435706660432E-2</v>
      </c>
      <c r="Y2877" s="209">
        <v>2.2623685603067045E-2</v>
      </c>
    </row>
    <row r="2878" spans="21:25" x14ac:dyDescent="0.2">
      <c r="U2878" s="213" t="str">
        <f t="shared" si="48"/>
        <v>1w</v>
      </c>
      <c r="V2878" s="201">
        <f>_xll.qlCalendarAdvance(Calendar,V2877,U2878,"f",FALSE)</f>
        <v>58978</v>
      </c>
      <c r="W2878" s="225">
        <f>_xll.qlCalendarAdvance(Calendar,V2878,NDays&amp;"D")</f>
        <v>58980</v>
      </c>
      <c r="X2878" s="200">
        <v>2.2784771892868851E-2</v>
      </c>
      <c r="Y2878" s="209">
        <v>2.2625688589643644E-2</v>
      </c>
    </row>
    <row r="2879" spans="21:25" x14ac:dyDescent="0.2">
      <c r="U2879" s="213" t="str">
        <f t="shared" si="48"/>
        <v>1w</v>
      </c>
      <c r="V2879" s="201">
        <f>_xll.qlCalendarAdvance(Calendar,V2878,U2879,"f",FALSE)</f>
        <v>58985</v>
      </c>
      <c r="W2879" s="225">
        <f>_xll.qlCalendarAdvance(Calendar,V2879,NDays&amp;"D")</f>
        <v>58987</v>
      </c>
      <c r="X2879" s="200">
        <v>2.2787131937931835E-2</v>
      </c>
      <c r="Y2879" s="209">
        <v>2.2627715160874473E-2</v>
      </c>
    </row>
    <row r="2880" spans="21:25" x14ac:dyDescent="0.2">
      <c r="U2880" s="213" t="str">
        <f t="shared" si="48"/>
        <v>1w</v>
      </c>
      <c r="V2880" s="201">
        <f>_xll.qlCalendarAdvance(Calendar,V2879,U2880,"f",FALSE)</f>
        <v>58992</v>
      </c>
      <c r="W2880" s="225">
        <f>_xll.qlCalendarAdvance(Calendar,V2880,NDays&amp;"D")</f>
        <v>58994</v>
      </c>
      <c r="X2880" s="200">
        <v>2.2792208176238549E-2</v>
      </c>
      <c r="Y2880" s="209">
        <v>2.2629765316519723E-2</v>
      </c>
    </row>
    <row r="2881" spans="21:25" x14ac:dyDescent="0.2">
      <c r="U2881" s="213" t="str">
        <f t="shared" si="48"/>
        <v>1w</v>
      </c>
      <c r="V2881" s="201">
        <f>_xll.qlCalendarAdvance(Calendar,V2880,U2881,"f",FALSE)</f>
        <v>58999</v>
      </c>
      <c r="W2881" s="225">
        <f>_xll.qlCalendarAdvance(Calendar,V2881,NDays&amp;"D")</f>
        <v>59001</v>
      </c>
      <c r="X2881" s="200">
        <v>2.279462150762919E-2</v>
      </c>
      <c r="Y2881" s="209">
        <v>2.2631839056579395E-2</v>
      </c>
    </row>
    <row r="2882" spans="21:25" x14ac:dyDescent="0.2">
      <c r="U2882" s="213" t="str">
        <f t="shared" si="48"/>
        <v>1w</v>
      </c>
      <c r="V2882" s="201">
        <f>_xll.qlCalendarAdvance(Calendar,V2881,U2882,"f",FALSE)</f>
        <v>59006</v>
      </c>
      <c r="W2882" s="225">
        <f>_xll.qlCalendarAdvance(Calendar,V2882,NDays&amp;"D")</f>
        <v>59008</v>
      </c>
      <c r="X2882" s="200">
        <v>2.2797058702703332E-2</v>
      </c>
      <c r="Y2882" s="209">
        <v>2.2633936380973552E-2</v>
      </c>
    </row>
    <row r="2883" spans="21:25" x14ac:dyDescent="0.2">
      <c r="U2883" s="213" t="str">
        <f t="shared" si="48"/>
        <v>1w</v>
      </c>
      <c r="V2883" s="201">
        <f>_xll.qlCalendarAdvance(Calendar,V2882,U2883,"f",FALSE)</f>
        <v>59013</v>
      </c>
      <c r="W2883" s="225">
        <f>_xll.qlCalendarAdvance(Calendar,V2883,NDays&amp;"D")</f>
        <v>59015</v>
      </c>
      <c r="X2883" s="200">
        <v>2.2799519761551659E-2</v>
      </c>
      <c r="Y2883" s="209">
        <v>2.2636057289942002E-2</v>
      </c>
    </row>
    <row r="2884" spans="21:25" x14ac:dyDescent="0.2">
      <c r="U2884" s="213" t="str">
        <f t="shared" si="48"/>
        <v>1w</v>
      </c>
      <c r="V2884" s="201">
        <f>_xll.qlCalendarAdvance(Calendar,V2883,U2884,"f",FALSE)</f>
        <v>59020</v>
      </c>
      <c r="W2884" s="225">
        <f>_xll.qlCalendarAdvance(Calendar,V2884,NDays&amp;"D")</f>
        <v>59022</v>
      </c>
      <c r="X2884" s="200">
        <v>2.280200468426313E-2</v>
      </c>
      <c r="Y2884" s="209">
        <v>2.2638201783244938E-2</v>
      </c>
    </row>
    <row r="2885" spans="21:25" x14ac:dyDescent="0.2">
      <c r="U2885" s="213" t="str">
        <f t="shared" si="48"/>
        <v>1w</v>
      </c>
      <c r="V2885" s="201">
        <f>_xll.qlCalendarAdvance(Calendar,V2884,U2885,"f",FALSE)</f>
        <v>59027</v>
      </c>
      <c r="W2885" s="225">
        <f>_xll.qlCalendarAdvance(Calendar,V2885,NDays&amp;"D")</f>
        <v>59029</v>
      </c>
      <c r="X2885" s="200">
        <v>2.2804513470928423E-2</v>
      </c>
      <c r="Y2885" s="209">
        <v>2.2640369860962295E-2</v>
      </c>
    </row>
    <row r="2886" spans="21:25" x14ac:dyDescent="0.2">
      <c r="U2886" s="213" t="str">
        <f t="shared" si="48"/>
        <v>1w</v>
      </c>
      <c r="V2886" s="201">
        <f>_xll.qlCalendarAdvance(Calendar,V2885,U2886,"f",FALSE)</f>
        <v>59034</v>
      </c>
      <c r="W2886" s="225">
        <f>_xll.qlCalendarAdvance(Calendar,V2886,NDays&amp;"D")</f>
        <v>59036</v>
      </c>
      <c r="X2886" s="200">
        <v>2.2807046121639508E-2</v>
      </c>
      <c r="Y2886" s="209">
        <v>2.264256152317401E-2</v>
      </c>
    </row>
    <row r="2887" spans="21:25" x14ac:dyDescent="0.2">
      <c r="U2887" s="213" t="str">
        <f t="shared" si="48"/>
        <v>1w</v>
      </c>
      <c r="V2887" s="201">
        <f>_xll.qlCalendarAdvance(Calendar,V2886,U2887,"f",FALSE)</f>
        <v>59041</v>
      </c>
      <c r="W2887" s="225">
        <f>_xll.qlCalendarAdvance(Calendar,V2887,NDays&amp;"D")</f>
        <v>59043</v>
      </c>
      <c r="X2887" s="200">
        <v>2.2809602636488787E-2</v>
      </c>
      <c r="Y2887" s="209">
        <v>2.2644776769800146E-2</v>
      </c>
    </row>
    <row r="2888" spans="21:25" x14ac:dyDescent="0.2">
      <c r="U2888" s="213" t="str">
        <f t="shared" si="48"/>
        <v>1w</v>
      </c>
      <c r="V2888" s="201">
        <f>_xll.qlCalendarAdvance(Calendar,V2887,U2888,"f",FALSE)</f>
        <v>59048</v>
      </c>
      <c r="W2888" s="225">
        <f>_xll.qlCalendarAdvance(Calendar,V2888,NDays&amp;"D")</f>
        <v>59050</v>
      </c>
      <c r="X2888" s="200">
        <v>2.2807622417224352E-2</v>
      </c>
      <c r="Y2888" s="209">
        <v>2.2647015600920639E-2</v>
      </c>
    </row>
    <row r="2889" spans="21:25" x14ac:dyDescent="0.2">
      <c r="U2889" s="213" t="str">
        <f t="shared" si="48"/>
        <v>1w</v>
      </c>
      <c r="V2889" s="201">
        <f>_xll.qlCalendarAdvance(Calendar,V2888,U2889,"f",FALSE)</f>
        <v>59055</v>
      </c>
      <c r="W2889" s="225">
        <f>_xll.qlCalendarAdvance(Calendar,V2889,NDays&amp;"D")</f>
        <v>59057</v>
      </c>
      <c r="X2889" s="200">
        <v>2.2810217320105651E-2</v>
      </c>
      <c r="Y2889" s="209">
        <v>2.2649278016295682E-2</v>
      </c>
    </row>
    <row r="2890" spans="21:25" x14ac:dyDescent="0.2">
      <c r="U2890" s="213" t="str">
        <f t="shared" si="48"/>
        <v>1w</v>
      </c>
      <c r="V2890" s="201">
        <f>_xll.qlCalendarAdvance(Calendar,V2889,U2890,"f",FALSE)</f>
        <v>59062</v>
      </c>
      <c r="W2890" s="225">
        <f>_xll.qlCalendarAdvance(Calendar,V2890,NDays&amp;"D")</f>
        <v>59064</v>
      </c>
      <c r="X2890" s="200">
        <v>2.2812836079765163E-2</v>
      </c>
      <c r="Y2890" s="209">
        <v>2.2651564016165082E-2</v>
      </c>
    </row>
    <row r="2891" spans="21:25" x14ac:dyDescent="0.2">
      <c r="U2891" s="213" t="str">
        <f t="shared" si="48"/>
        <v>1w</v>
      </c>
      <c r="V2891" s="201">
        <f>_xll.qlCalendarAdvance(Calendar,V2890,U2891,"f",FALSE)</f>
        <v>59069</v>
      </c>
      <c r="W2891" s="225">
        <f>_xll.qlCalendarAdvance(Calendar,V2891,NDays&amp;"D")</f>
        <v>59071</v>
      </c>
      <c r="X2891" s="200">
        <v>2.2815478696295625E-2</v>
      </c>
      <c r="Y2891" s="209">
        <v>2.2653873600688712E-2</v>
      </c>
    </row>
    <row r="2892" spans="21:25" x14ac:dyDescent="0.2">
      <c r="U2892" s="213" t="str">
        <f t="shared" si="48"/>
        <v>1w</v>
      </c>
      <c r="V2892" s="201">
        <f>_xll.qlCalendarAdvance(Calendar,V2891,U2892,"f",FALSE)</f>
        <v>59076</v>
      </c>
      <c r="W2892" s="225">
        <f>_xll.qlCalendarAdvance(Calendar,V2892,NDays&amp;"D")</f>
        <v>59078</v>
      </c>
      <c r="X2892" s="200">
        <v>2.2818145169789784E-2</v>
      </c>
      <c r="Y2892" s="209">
        <v>2.2656206769466891E-2</v>
      </c>
    </row>
    <row r="2893" spans="21:25" x14ac:dyDescent="0.2">
      <c r="U2893" s="213" t="str">
        <f t="shared" si="48"/>
        <v>1w</v>
      </c>
      <c r="V2893" s="201">
        <f>_xll.qlCalendarAdvance(Calendar,V2892,U2893,"f",FALSE)</f>
        <v>59083</v>
      </c>
      <c r="W2893" s="225">
        <f>_xll.qlCalendarAdvance(Calendar,V2893,NDays&amp;"D")</f>
        <v>59085</v>
      </c>
      <c r="X2893" s="200">
        <v>2.2821756539985017E-2</v>
      </c>
      <c r="Y2893" s="209">
        <v>2.2658563522659492E-2</v>
      </c>
    </row>
    <row r="2894" spans="21:25" x14ac:dyDescent="0.2">
      <c r="U2894" s="213" t="str">
        <f t="shared" si="48"/>
        <v>1w</v>
      </c>
      <c r="V2894" s="201">
        <f>_xll.qlCalendarAdvance(Calendar,V2893,U2894,"f",FALSE)</f>
        <v>59090</v>
      </c>
      <c r="W2894" s="225">
        <f>_xll.qlCalendarAdvance(Calendar,V2894,NDays&amp;"D")</f>
        <v>59092</v>
      </c>
      <c r="X2894" s="200">
        <v>2.2824472602990292E-2</v>
      </c>
      <c r="Y2894" s="209">
        <v>2.2660943860426386E-2</v>
      </c>
    </row>
    <row r="2895" spans="21:25" x14ac:dyDescent="0.2">
      <c r="U2895" s="213" t="str">
        <f t="shared" si="48"/>
        <v>1w</v>
      </c>
      <c r="V2895" s="201">
        <f>_xll.qlCalendarAdvance(Calendar,V2894,U2895,"f",FALSE)</f>
        <v>59097</v>
      </c>
      <c r="W2895" s="225">
        <f>_xll.qlCalendarAdvance(Calendar,V2895,NDays&amp;"D")</f>
        <v>59099</v>
      </c>
      <c r="X2895" s="200">
        <v>2.2827212524778207E-2</v>
      </c>
      <c r="Y2895" s="209">
        <v>2.2663347782527765E-2</v>
      </c>
    </row>
    <row r="2896" spans="21:25" x14ac:dyDescent="0.2">
      <c r="U2896" s="213" t="str">
        <f t="shared" si="48"/>
        <v>1w</v>
      </c>
      <c r="V2896" s="201">
        <f>_xll.qlCalendarAdvance(Calendar,V2895,U2896,"f",FALSE)</f>
        <v>59104</v>
      </c>
      <c r="W2896" s="225">
        <f>_xll.qlCalendarAdvance(Calendar,V2896,NDays&amp;"D")</f>
        <v>59106</v>
      </c>
      <c r="X2896" s="200">
        <v>2.2829976305448023E-2</v>
      </c>
      <c r="Y2896" s="209">
        <v>2.2665775289123502E-2</v>
      </c>
    </row>
    <row r="2897" spans="21:25" x14ac:dyDescent="0.2">
      <c r="U2897" s="213" t="str">
        <f t="shared" si="48"/>
        <v>1w</v>
      </c>
      <c r="V2897" s="201">
        <f>_xll.qlCalendarAdvance(Calendar,V2896,U2897,"f",FALSE)</f>
        <v>59111</v>
      </c>
      <c r="W2897" s="225">
        <f>_xll.qlCalendarAdvance(Calendar,V2897,NDays&amp;"D")</f>
        <v>59113</v>
      </c>
      <c r="X2897" s="200">
        <v>2.2831835395076897E-2</v>
      </c>
      <c r="Y2897" s="209">
        <v>2.2668226380053724E-2</v>
      </c>
    </row>
    <row r="2898" spans="21:25" x14ac:dyDescent="0.2">
      <c r="U2898" s="213" t="str">
        <f t="shared" si="48"/>
        <v>1w</v>
      </c>
      <c r="V2898" s="201">
        <f>_xll.qlCalendarAdvance(Calendar,V2897,U2898,"f",FALSE)</f>
        <v>59118</v>
      </c>
      <c r="W2898" s="225">
        <f>_xll.qlCalendarAdvance(Calendar,V2898,NDays&amp;"D")</f>
        <v>59120</v>
      </c>
      <c r="X2898" s="200">
        <v>2.283464501237991E-2</v>
      </c>
      <c r="Y2898" s="209">
        <v>2.2670701055638176E-2</v>
      </c>
    </row>
    <row r="2899" spans="21:25" x14ac:dyDescent="0.2">
      <c r="U2899" s="213" t="str">
        <f t="shared" si="48"/>
        <v>1w</v>
      </c>
      <c r="V2899" s="201">
        <f>_xll.qlCalendarAdvance(Calendar,V2898,U2899,"f",FALSE)</f>
        <v>59125</v>
      </c>
      <c r="W2899" s="225">
        <f>_xll.qlCalendarAdvance(Calendar,V2899,NDays&amp;"D")</f>
        <v>59127</v>
      </c>
      <c r="X2899" s="200">
        <v>2.2837478487328502E-2</v>
      </c>
      <c r="Y2899" s="209">
        <v>2.2673199315557113E-2</v>
      </c>
    </row>
    <row r="2900" spans="21:25" x14ac:dyDescent="0.2">
      <c r="U2900" s="213" t="str">
        <f t="shared" si="48"/>
        <v>1w</v>
      </c>
      <c r="V2900" s="201">
        <f>_xll.qlCalendarAdvance(Calendar,V2899,U2900,"f",FALSE)</f>
        <v>59132</v>
      </c>
      <c r="W2900" s="225">
        <f>_xll.qlCalendarAdvance(Calendar,V2900,NDays&amp;"D")</f>
        <v>59134</v>
      </c>
      <c r="X2900" s="200">
        <v>2.2840335820024257E-2</v>
      </c>
      <c r="Y2900" s="209">
        <v>2.26757211597306E-2</v>
      </c>
    </row>
    <row r="2901" spans="21:25" x14ac:dyDescent="0.2">
      <c r="U2901" s="213" t="str">
        <f t="shared" ref="U2901:U2964" si="49">U2900</f>
        <v>1w</v>
      </c>
      <c r="V2901" s="201">
        <f>_xll.qlCalendarAdvance(Calendar,V2900,U2901,"f",FALSE)</f>
        <v>59139</v>
      </c>
      <c r="W2901" s="225">
        <f>_xll.qlCalendarAdvance(Calendar,V2901,NDays&amp;"D")</f>
        <v>59141</v>
      </c>
      <c r="X2901" s="200">
        <v>2.2844153095497609E-2</v>
      </c>
      <c r="Y2901" s="209">
        <v>2.2678266588558316E-2</v>
      </c>
    </row>
    <row r="2902" spans="21:25" x14ac:dyDescent="0.2">
      <c r="U2902" s="213" t="str">
        <f t="shared" si="49"/>
        <v>1w</v>
      </c>
      <c r="V2902" s="201">
        <f>_xll.qlCalendarAdvance(Calendar,V2901,U2902,"f",FALSE)</f>
        <v>59146</v>
      </c>
      <c r="W2902" s="225">
        <f>_xll.qlCalendarAdvance(Calendar,V2902,NDays&amp;"D")</f>
        <v>59148</v>
      </c>
      <c r="X2902" s="200">
        <v>2.2847060031558702E-2</v>
      </c>
      <c r="Y2902" s="209">
        <v>2.2680835601880389E-2</v>
      </c>
    </row>
    <row r="2903" spans="21:25" x14ac:dyDescent="0.2">
      <c r="U2903" s="213" t="str">
        <f t="shared" si="49"/>
        <v>1w</v>
      </c>
      <c r="V2903" s="201">
        <f>_xll.qlCalendarAdvance(Calendar,V2902,U2903,"f",FALSE)</f>
        <v>59153</v>
      </c>
      <c r="W2903" s="225">
        <f>_xll.qlCalendarAdvance(Calendar,V2903,NDays&amp;"D")</f>
        <v>59155</v>
      </c>
      <c r="X2903" s="200">
        <v>2.2849990827210585E-2</v>
      </c>
      <c r="Y2903" s="209">
        <v>2.2683428199457012E-2</v>
      </c>
    </row>
    <row r="2904" spans="21:25" x14ac:dyDescent="0.2">
      <c r="U2904" s="213" t="str">
        <f t="shared" si="49"/>
        <v>1w</v>
      </c>
      <c r="V2904" s="201">
        <f>_xll.qlCalendarAdvance(Calendar,V2903,U2904,"f",FALSE)</f>
        <v>59160</v>
      </c>
      <c r="W2904" s="225">
        <f>_xll.qlCalendarAdvance(Calendar,V2904,NDays&amp;"D")</f>
        <v>59162</v>
      </c>
      <c r="X2904" s="200">
        <v>2.2852945482557344E-2</v>
      </c>
      <c r="Y2904" s="209">
        <v>2.2686044381607928E-2</v>
      </c>
    </row>
    <row r="2905" spans="21:25" x14ac:dyDescent="0.2">
      <c r="U2905" s="213" t="str">
        <f t="shared" si="49"/>
        <v>1w</v>
      </c>
      <c r="V2905" s="201">
        <f>_xll.qlCalendarAdvance(Calendar,V2904,U2905,"f",FALSE)</f>
        <v>59167</v>
      </c>
      <c r="W2905" s="225">
        <f>_xll.qlCalendarAdvance(Calendar,V2905,NDays&amp;"D")</f>
        <v>59169</v>
      </c>
      <c r="X2905" s="200">
        <v>2.2855923997706591E-2</v>
      </c>
      <c r="Y2905" s="209">
        <v>2.2688684148173266E-2</v>
      </c>
    </row>
    <row r="2906" spans="21:25" x14ac:dyDescent="0.2">
      <c r="U2906" s="213" t="str">
        <f t="shared" si="49"/>
        <v>1w</v>
      </c>
      <c r="V2906" s="201">
        <f>_xll.qlCalendarAdvance(Calendar,V2905,U2906,"f",FALSE)</f>
        <v>59174</v>
      </c>
      <c r="W2906" s="225">
        <f>_xll.qlCalendarAdvance(Calendar,V2906,NDays&amp;"D")</f>
        <v>59176</v>
      </c>
      <c r="X2906" s="200">
        <v>2.2857980834637887E-2</v>
      </c>
      <c r="Y2906" s="209">
        <v>2.2691347499153025E-2</v>
      </c>
    </row>
    <row r="2907" spans="21:25" x14ac:dyDescent="0.2">
      <c r="U2907" s="213" t="str">
        <f t="shared" si="49"/>
        <v>1w</v>
      </c>
      <c r="V2907" s="201">
        <f>_xll.qlCalendarAdvance(Calendar,V2906,U2907,"f",FALSE)</f>
        <v>59181</v>
      </c>
      <c r="W2907" s="225">
        <f>_xll.qlCalendarAdvance(Calendar,V2907,NDays&amp;"D")</f>
        <v>59183</v>
      </c>
      <c r="X2907" s="200">
        <v>2.2861005174456911E-2</v>
      </c>
      <c r="Y2907" s="209">
        <v>2.2694034434627142E-2</v>
      </c>
    </row>
    <row r="2908" spans="21:25" x14ac:dyDescent="0.2">
      <c r="U2908" s="213" t="str">
        <f t="shared" si="49"/>
        <v>1w</v>
      </c>
      <c r="V2908" s="201">
        <f>_xll.qlCalendarAdvance(Calendar,V2907,U2908,"f",FALSE)</f>
        <v>59188</v>
      </c>
      <c r="W2908" s="225">
        <f>_xll.qlCalendarAdvance(Calendar,V2908,NDays&amp;"D")</f>
        <v>59190</v>
      </c>
      <c r="X2908" s="200">
        <v>2.2864053372859107E-2</v>
      </c>
      <c r="Y2908" s="209">
        <v>2.2696744954435744E-2</v>
      </c>
    </row>
    <row r="2909" spans="21:25" x14ac:dyDescent="0.2">
      <c r="U2909" s="213" t="str">
        <f t="shared" si="49"/>
        <v>1w</v>
      </c>
      <c r="V2909" s="201">
        <f>_xll.qlCalendarAdvance(Calendar,V2908,U2909,"f",FALSE)</f>
        <v>59195</v>
      </c>
      <c r="W2909" s="225">
        <f>_xll.qlCalendarAdvance(Calendar,V2909,NDays&amp;"D")</f>
        <v>59197</v>
      </c>
      <c r="X2909" s="200">
        <v>2.2867125429954446E-2</v>
      </c>
      <c r="Y2909" s="209">
        <v>2.2699479058898575E-2</v>
      </c>
    </row>
    <row r="2910" spans="21:25" x14ac:dyDescent="0.2">
      <c r="U2910" s="213" t="str">
        <f t="shared" si="49"/>
        <v>1w</v>
      </c>
      <c r="V2910" s="201">
        <f>_xll.qlCalendarAdvance(Calendar,V2909,U2910,"f",FALSE)</f>
        <v>59202</v>
      </c>
      <c r="W2910" s="225">
        <f>_xll.qlCalendarAdvance(Calendar,V2910,NDays&amp;"D")</f>
        <v>59204</v>
      </c>
      <c r="X2910" s="200">
        <v>2.2870221345851129E-2</v>
      </c>
      <c r="Y2910" s="209">
        <v>2.2702236747615956E-2</v>
      </c>
    </row>
    <row r="2911" spans="21:25" x14ac:dyDescent="0.2">
      <c r="U2911" s="213" t="str">
        <f t="shared" si="49"/>
        <v>1w</v>
      </c>
      <c r="V2911" s="201">
        <f>_xll.qlCalendarAdvance(Calendar,V2910,U2911,"f",FALSE)</f>
        <v>59209</v>
      </c>
      <c r="W2911" s="225">
        <f>_xll.qlCalendarAdvance(Calendar,V2911,NDays&amp;"D")</f>
        <v>59211</v>
      </c>
      <c r="X2911" s="200">
        <v>2.2873341120658683E-2</v>
      </c>
      <c r="Y2911" s="209">
        <v>2.2705018020827694E-2</v>
      </c>
    </row>
    <row r="2912" spans="21:25" x14ac:dyDescent="0.2">
      <c r="U2912" s="213" t="str">
        <f t="shared" si="49"/>
        <v>1w</v>
      </c>
      <c r="V2912" s="201">
        <f>_xll.qlCalendarAdvance(Calendar,V2911,U2912,"f",FALSE)</f>
        <v>59216</v>
      </c>
      <c r="W2912" s="225">
        <f>_xll.qlCalendarAdvance(Calendar,V2912,NDays&amp;"D")</f>
        <v>59218</v>
      </c>
      <c r="X2912" s="200">
        <v>2.2876484754490604E-2</v>
      </c>
      <c r="Y2912" s="209">
        <v>2.270782287853379E-2</v>
      </c>
    </row>
    <row r="2913" spans="21:25" x14ac:dyDescent="0.2">
      <c r="U2913" s="213" t="str">
        <f t="shared" si="49"/>
        <v>1w</v>
      </c>
      <c r="V2913" s="201">
        <f>_xll.qlCalendarAdvance(Calendar,V2912,U2913,"f",FALSE)</f>
        <v>59223</v>
      </c>
      <c r="W2913" s="225">
        <f>_xll.qlCalendarAdvance(Calendar,V2913,NDays&amp;"D")</f>
        <v>59225</v>
      </c>
      <c r="X2913" s="200">
        <v>2.287965224745598E-2</v>
      </c>
      <c r="Y2913" s="209">
        <v>2.2710651320654307E-2</v>
      </c>
    </row>
    <row r="2914" spans="21:25" x14ac:dyDescent="0.2">
      <c r="U2914" s="213" t="str">
        <f t="shared" si="49"/>
        <v>1w</v>
      </c>
      <c r="V2914" s="201">
        <f>_xll.qlCalendarAdvance(Calendar,V2913,U2914,"f",FALSE)</f>
        <v>59230</v>
      </c>
      <c r="W2914" s="225">
        <f>_xll.qlCalendarAdvance(Calendar,V2914,NDays&amp;"D")</f>
        <v>59232</v>
      </c>
      <c r="X2914" s="200">
        <v>2.2887649543948198E-2</v>
      </c>
      <c r="Y2914" s="209">
        <v>2.2713503347269182E-2</v>
      </c>
    </row>
    <row r="2915" spans="21:25" x14ac:dyDescent="0.2">
      <c r="U2915" s="213" t="str">
        <f t="shared" si="49"/>
        <v>1w</v>
      </c>
      <c r="V2915" s="201">
        <f>_xll.qlCalendarAdvance(Calendar,V2914,U2915,"f",FALSE)</f>
        <v>59237</v>
      </c>
      <c r="W2915" s="225">
        <f>_xll.qlCalendarAdvance(Calendar,V2915,NDays&amp;"D")</f>
        <v>59239</v>
      </c>
      <c r="X2915" s="200">
        <v>2.2890874295803422E-2</v>
      </c>
      <c r="Y2915" s="209">
        <v>2.2716378958218542E-2</v>
      </c>
    </row>
    <row r="2916" spans="21:25" x14ac:dyDescent="0.2">
      <c r="U2916" s="213" t="str">
        <f t="shared" si="49"/>
        <v>1w</v>
      </c>
      <c r="V2916" s="201">
        <f>_xll.qlCalendarAdvance(Calendar,V2915,U2916,"f",FALSE)</f>
        <v>59244</v>
      </c>
      <c r="W2916" s="225">
        <f>_xll.qlCalendarAdvance(Calendar,V2916,NDays&amp;"D")</f>
        <v>59246</v>
      </c>
      <c r="X2916" s="200">
        <v>2.2894122914861481E-2</v>
      </c>
      <c r="Y2916" s="209">
        <v>2.2719278153742195E-2</v>
      </c>
    </row>
    <row r="2917" spans="21:25" x14ac:dyDescent="0.2">
      <c r="U2917" s="213" t="str">
        <f t="shared" si="49"/>
        <v>1w</v>
      </c>
      <c r="V2917" s="201">
        <f>_xll.qlCalendarAdvance(Calendar,V2916,U2917,"f",FALSE)</f>
        <v>59251</v>
      </c>
      <c r="W2917" s="225">
        <f>_xll.qlCalendarAdvance(Calendar,V2917,NDays&amp;"D")</f>
        <v>59253</v>
      </c>
      <c r="X2917" s="200">
        <v>2.2897395401240566E-2</v>
      </c>
      <c r="Y2917" s="209">
        <v>2.272590954442677E-2</v>
      </c>
    </row>
    <row r="2918" spans="21:25" x14ac:dyDescent="0.2">
      <c r="U2918" s="213" t="str">
        <f t="shared" si="49"/>
        <v>1w</v>
      </c>
      <c r="V2918" s="201">
        <f>_xll.qlCalendarAdvance(Calendar,V2917,U2918,"f",FALSE)</f>
        <v>59258</v>
      </c>
      <c r="W2918" s="225">
        <f>_xll.qlCalendarAdvance(Calendar,V2918,NDays&amp;"D")</f>
        <v>59260</v>
      </c>
      <c r="X2918" s="200">
        <v>2.2897784592823801E-2</v>
      </c>
      <c r="Y2918" s="209">
        <v>2.2725147298032766E-2</v>
      </c>
    </row>
    <row r="2919" spans="21:25" x14ac:dyDescent="0.2">
      <c r="U2919" s="213" t="str">
        <f t="shared" si="49"/>
        <v>1w</v>
      </c>
      <c r="V2919" s="201">
        <f>_xll.qlCalendarAdvance(Calendar,V2918,U2919,"f",FALSE)</f>
        <v>59265</v>
      </c>
      <c r="W2919" s="225">
        <f>_xll.qlCalendarAdvance(Calendar,V2919,NDays&amp;"D")</f>
        <v>59267</v>
      </c>
      <c r="X2919" s="200">
        <v>2.2901099070776663E-2</v>
      </c>
      <c r="Y2919" s="209">
        <v>2.2728117246799684E-2</v>
      </c>
    </row>
    <row r="2920" spans="21:25" x14ac:dyDescent="0.2">
      <c r="U2920" s="213" t="str">
        <f t="shared" si="49"/>
        <v>1w</v>
      </c>
      <c r="V2920" s="201">
        <f>_xll.qlCalendarAdvance(Calendar,V2919,U2920,"f",FALSE)</f>
        <v>59272</v>
      </c>
      <c r="W2920" s="225">
        <f>_xll.qlCalendarAdvance(Calendar,V2920,NDays&amp;"D")</f>
        <v>59274</v>
      </c>
      <c r="X2920" s="200">
        <v>2.2904437411766537E-2</v>
      </c>
      <c r="Y2920" s="209">
        <v>2.2731110780220831E-2</v>
      </c>
    </row>
    <row r="2921" spans="21:25" x14ac:dyDescent="0.2">
      <c r="U2921" s="213" t="str">
        <f t="shared" si="49"/>
        <v>1w</v>
      </c>
      <c r="V2921" s="201">
        <f>_xll.qlCalendarAdvance(Calendar,V2920,U2921,"f",FALSE)</f>
        <v>59279</v>
      </c>
      <c r="W2921" s="225">
        <f>_xll.qlCalendarAdvance(Calendar,V2921,NDays&amp;"D")</f>
        <v>59281</v>
      </c>
      <c r="X2921" s="200">
        <v>2.2907799615913983E-2</v>
      </c>
      <c r="Y2921" s="209">
        <v>2.2734127897896528E-2</v>
      </c>
    </row>
    <row r="2922" spans="21:25" x14ac:dyDescent="0.2">
      <c r="U2922" s="213" t="str">
        <f t="shared" si="49"/>
        <v>1w</v>
      </c>
      <c r="V2922" s="201">
        <f>_xll.qlCalendarAdvance(Calendar,V2921,U2922,"f",FALSE)</f>
        <v>59286</v>
      </c>
      <c r="W2922" s="225">
        <f>_xll.qlCalendarAdvance(Calendar,V2922,NDays&amp;"D")</f>
        <v>59288</v>
      </c>
      <c r="X2922" s="200">
        <v>2.2911185683339119E-2</v>
      </c>
      <c r="Y2922" s="209">
        <v>2.2737168599986646E-2</v>
      </c>
    </row>
    <row r="2923" spans="21:25" x14ac:dyDescent="0.2">
      <c r="U2923" s="213" t="str">
        <f t="shared" si="49"/>
        <v>1w</v>
      </c>
      <c r="V2923" s="201">
        <f>_xll.qlCalendarAdvance(Calendar,V2922,U2923,"f",FALSE)</f>
        <v>59293</v>
      </c>
      <c r="W2923" s="225">
        <f>_xll.qlCalendarAdvance(Calendar,V2923,NDays&amp;"D")</f>
        <v>59295</v>
      </c>
      <c r="X2923" s="200">
        <v>2.2917531540031347E-2</v>
      </c>
      <c r="Y2923" s="209">
        <v>2.2740232886810929E-2</v>
      </c>
    </row>
    <row r="2924" spans="21:25" x14ac:dyDescent="0.2">
      <c r="U2924" s="213" t="str">
        <f t="shared" si="49"/>
        <v>1w</v>
      </c>
      <c r="V2924" s="201">
        <f>_xll.qlCalendarAdvance(Calendar,V2923,U2924,"f",FALSE)</f>
        <v>59300</v>
      </c>
      <c r="W2924" s="225">
        <f>_xll.qlCalendarAdvance(Calendar,V2924,NDays&amp;"D")</f>
        <v>59302</v>
      </c>
      <c r="X2924" s="200">
        <v>2.292097110106046E-2</v>
      </c>
      <c r="Y2924" s="209">
        <v>2.2743320757809826E-2</v>
      </c>
    </row>
    <row r="2925" spans="21:25" x14ac:dyDescent="0.2">
      <c r="U2925" s="213" t="str">
        <f t="shared" si="49"/>
        <v>1w</v>
      </c>
      <c r="V2925" s="201">
        <f>_xll.qlCalendarAdvance(Calendar,V2924,U2925,"f",FALSE)</f>
        <v>59307</v>
      </c>
      <c r="W2925" s="225">
        <f>_xll.qlCalendarAdvance(Calendar,V2925,NDays&amp;"D")</f>
        <v>59309</v>
      </c>
      <c r="X2925" s="200">
        <v>2.2924434530391748E-2</v>
      </c>
      <c r="Y2925" s="209">
        <v>2.2746432213303081E-2</v>
      </c>
    </row>
    <row r="2926" spans="21:25" x14ac:dyDescent="0.2">
      <c r="U2926" s="213" t="str">
        <f t="shared" si="49"/>
        <v>1w</v>
      </c>
      <c r="V2926" s="201">
        <f>_xll.qlCalendarAdvance(Calendar,V2925,U2926,"f",FALSE)</f>
        <v>59314</v>
      </c>
      <c r="W2926" s="225">
        <f>_xll.qlCalendarAdvance(Calendar,V2926,NDays&amp;"D")</f>
        <v>59316</v>
      </c>
      <c r="X2926" s="200">
        <v>2.2927921828153706E-2</v>
      </c>
      <c r="Y2926" s="209">
        <v>2.2749567253290692E-2</v>
      </c>
    </row>
    <row r="2927" spans="21:25" x14ac:dyDescent="0.2">
      <c r="U2927" s="213" t="str">
        <f t="shared" si="49"/>
        <v>1w</v>
      </c>
      <c r="V2927" s="201">
        <f>_xll.qlCalendarAdvance(Calendar,V2926,U2927,"f",FALSE)</f>
        <v>59321</v>
      </c>
      <c r="W2927" s="225">
        <f>_xll.qlCalendarAdvance(Calendar,V2927,NDays&amp;"D")</f>
        <v>59323</v>
      </c>
      <c r="X2927" s="200">
        <v>2.2928473973935822E-2</v>
      </c>
      <c r="Y2927" s="209">
        <v>2.2752725877852598E-2</v>
      </c>
    </row>
    <row r="2928" spans="21:25" x14ac:dyDescent="0.2">
      <c r="U2928" s="213" t="str">
        <f t="shared" si="49"/>
        <v>1w</v>
      </c>
      <c r="V2928" s="201">
        <f>_xll.qlCalendarAdvance(Calendar,V2927,U2928,"f",FALSE)</f>
        <v>59328</v>
      </c>
      <c r="W2928" s="225">
        <f>_xll.qlCalendarAdvance(Calendar,V2928,NDays&amp;"D")</f>
        <v>59330</v>
      </c>
      <c r="X2928" s="200">
        <v>2.2932003223618703E-2</v>
      </c>
      <c r="Y2928" s="209">
        <v>2.2755908086828924E-2</v>
      </c>
    </row>
    <row r="2929" spans="21:25" x14ac:dyDescent="0.2">
      <c r="U2929" s="213" t="str">
        <f t="shared" si="49"/>
        <v>1w</v>
      </c>
      <c r="V2929" s="201">
        <f>_xll.qlCalendarAdvance(Calendar,V2928,U2929,"f",FALSE)</f>
        <v>59335</v>
      </c>
      <c r="W2929" s="225">
        <f>_xll.qlCalendarAdvance(Calendar,V2929,NDays&amp;"D")</f>
        <v>59337</v>
      </c>
      <c r="X2929" s="200">
        <v>2.2935556337450709E-2</v>
      </c>
      <c r="Y2929" s="209">
        <v>2.2759113880139736E-2</v>
      </c>
    </row>
    <row r="2930" spans="21:25" x14ac:dyDescent="0.2">
      <c r="U2930" s="213" t="str">
        <f t="shared" si="49"/>
        <v>1w</v>
      </c>
      <c r="V2930" s="201">
        <f>_xll.qlCalendarAdvance(Calendar,V2929,U2930,"f",FALSE)</f>
        <v>59342</v>
      </c>
      <c r="W2930" s="225">
        <f>_xll.qlCalendarAdvance(Calendar,V2930,NDays&amp;"D")</f>
        <v>59344</v>
      </c>
      <c r="X2930" s="200">
        <v>2.2939133315559832E-2</v>
      </c>
      <c r="Y2930" s="209">
        <v>2.2762343258104778E-2</v>
      </c>
    </row>
    <row r="2931" spans="21:25" x14ac:dyDescent="0.2">
      <c r="U2931" s="213" t="str">
        <f t="shared" si="49"/>
        <v>1w</v>
      </c>
      <c r="V2931" s="201">
        <f>_xll.qlCalendarAdvance(Calendar,V2930,U2931,"f",FALSE)</f>
        <v>59349</v>
      </c>
      <c r="W2931" s="225">
        <f>_xll.qlCalendarAdvance(Calendar,V2931,NDays&amp;"D")</f>
        <v>59351</v>
      </c>
      <c r="X2931" s="200">
        <v>2.2942734158073609E-2</v>
      </c>
      <c r="Y2931" s="209">
        <v>2.2765596220404305E-2</v>
      </c>
    </row>
    <row r="2932" spans="21:25" x14ac:dyDescent="0.2">
      <c r="U2932" s="213" t="str">
        <f t="shared" si="49"/>
        <v>1w</v>
      </c>
      <c r="V2932" s="201">
        <f>_xll.qlCalendarAdvance(Calendar,V2931,U2932,"f",FALSE)</f>
        <v>59356</v>
      </c>
      <c r="W2932" s="225">
        <f>_xll.qlCalendarAdvance(Calendar,V2932,NDays&amp;"D")</f>
        <v>59358</v>
      </c>
      <c r="X2932" s="200">
        <v>2.2949346858947506E-2</v>
      </c>
      <c r="Y2932" s="209">
        <v>2.2768872767198189E-2</v>
      </c>
    </row>
    <row r="2933" spans="21:25" x14ac:dyDescent="0.2">
      <c r="U2933" s="213" t="str">
        <f t="shared" si="49"/>
        <v>1w</v>
      </c>
      <c r="V2933" s="201">
        <f>_xll.qlCalendarAdvance(Calendar,V2932,U2933,"f",FALSE)</f>
        <v>59363</v>
      </c>
      <c r="W2933" s="225">
        <f>_xll.qlCalendarAdvance(Calendar,V2933,NDays&amp;"D")</f>
        <v>59365</v>
      </c>
      <c r="X2933" s="200">
        <v>2.2953001239334619E-2</v>
      </c>
      <c r="Y2933" s="209">
        <v>2.2772172898406495E-2</v>
      </c>
    </row>
    <row r="2934" spans="21:25" x14ac:dyDescent="0.2">
      <c r="U2934" s="213" t="str">
        <f t="shared" si="49"/>
        <v>1w</v>
      </c>
      <c r="V2934" s="201">
        <f>_xll.qlCalendarAdvance(Calendar,V2933,U2934,"f",FALSE)</f>
        <v>59370</v>
      </c>
      <c r="W2934" s="225">
        <f>_xll.qlCalendarAdvance(Calendar,V2934,NDays&amp;"D")</f>
        <v>59372</v>
      </c>
      <c r="X2934" s="200">
        <v>2.2956679489195872E-2</v>
      </c>
      <c r="Y2934" s="209">
        <v>2.2775496613949286E-2</v>
      </c>
    </row>
    <row r="2935" spans="21:25" x14ac:dyDescent="0.2">
      <c r="U2935" s="213" t="str">
        <f t="shared" si="49"/>
        <v>1w</v>
      </c>
      <c r="V2935" s="201">
        <f>_xll.qlCalendarAdvance(Calendar,V2934,U2935,"f",FALSE)</f>
        <v>59377</v>
      </c>
      <c r="W2935" s="225">
        <f>_xll.qlCalendarAdvance(Calendar,V2935,NDays&amp;"D")</f>
        <v>59379</v>
      </c>
      <c r="X2935" s="200">
        <v>2.2960381608665783E-2</v>
      </c>
      <c r="Y2935" s="209">
        <v>2.2778843914066371E-2</v>
      </c>
    </row>
    <row r="2936" spans="21:25" x14ac:dyDescent="0.2">
      <c r="U2936" s="213" t="str">
        <f t="shared" si="49"/>
        <v>1w</v>
      </c>
      <c r="V2936" s="201">
        <f>_xll.qlCalendarAdvance(Calendar,V2935,U2936,"f",FALSE)</f>
        <v>59384</v>
      </c>
      <c r="W2936" s="225">
        <f>_xll.qlCalendarAdvance(Calendar,V2936,NDays&amp;"D")</f>
        <v>59386</v>
      </c>
      <c r="X2936" s="200">
        <v>2.2964107597879722E-2</v>
      </c>
      <c r="Y2936" s="209">
        <v>2.2782214798677813E-2</v>
      </c>
    </row>
    <row r="2937" spans="21:25" x14ac:dyDescent="0.2">
      <c r="U2937" s="213" t="str">
        <f t="shared" si="49"/>
        <v>1w</v>
      </c>
      <c r="V2937" s="201">
        <f>_xll.qlCalendarAdvance(Calendar,V2936,U2937,"f",FALSE)</f>
        <v>59391</v>
      </c>
      <c r="W2937" s="225">
        <f>_xll.qlCalendarAdvance(Calendar,V2937,NDays&amp;"D")</f>
        <v>59393</v>
      </c>
      <c r="X2937" s="200">
        <v>2.2967857456973065E-2</v>
      </c>
      <c r="Y2937" s="209">
        <v>2.2785609267783613E-2</v>
      </c>
    </row>
    <row r="2938" spans="21:25" x14ac:dyDescent="0.2">
      <c r="U2938" s="213" t="str">
        <f t="shared" si="49"/>
        <v>1w</v>
      </c>
      <c r="V2938" s="201">
        <f>_xll.qlCalendarAdvance(Calendar,V2937,U2938,"f",FALSE)</f>
        <v>59398</v>
      </c>
      <c r="W2938" s="225">
        <f>_xll.qlCalendarAdvance(Calendar,V2938,NDays&amp;"D")</f>
        <v>59400</v>
      </c>
      <c r="X2938" s="200">
        <v>2.2971631186084633E-2</v>
      </c>
      <c r="Y2938" s="209">
        <v>2.278902732138377E-2</v>
      </c>
    </row>
    <row r="2939" spans="21:25" x14ac:dyDescent="0.2">
      <c r="U2939" s="213" t="str">
        <f t="shared" si="49"/>
        <v>1w</v>
      </c>
      <c r="V2939" s="201">
        <f>_xll.qlCalendarAdvance(Calendar,V2938,U2939,"f",FALSE)</f>
        <v>59405</v>
      </c>
      <c r="W2939" s="225">
        <f>_xll.qlCalendarAdvance(Calendar,V2939,NDays&amp;"D")</f>
        <v>59407</v>
      </c>
      <c r="X2939" s="200">
        <v>2.2975428785350225E-2</v>
      </c>
      <c r="Y2939" s="209">
        <v>2.2792468959398349E-2</v>
      </c>
    </row>
    <row r="2940" spans="21:25" x14ac:dyDescent="0.2">
      <c r="U2940" s="213" t="str">
        <f t="shared" si="49"/>
        <v>1w</v>
      </c>
      <c r="V2940" s="201">
        <f>_xll.qlCalendarAdvance(Calendar,V2939,U2940,"f",FALSE)</f>
        <v>59412</v>
      </c>
      <c r="W2940" s="225">
        <f>_xll.qlCalendarAdvance(Calendar,V2940,NDays&amp;"D")</f>
        <v>59414</v>
      </c>
      <c r="X2940" s="200">
        <v>2.2974193742302241E-2</v>
      </c>
      <c r="Y2940" s="209">
        <v>2.2795934181747413E-2</v>
      </c>
    </row>
    <row r="2941" spans="21:25" x14ac:dyDescent="0.2">
      <c r="U2941" s="213" t="str">
        <f t="shared" si="49"/>
        <v>1w</v>
      </c>
      <c r="V2941" s="201">
        <f>_xll.qlCalendarAdvance(Calendar,V2940,U2941,"f",FALSE)</f>
        <v>59419</v>
      </c>
      <c r="W2941" s="225">
        <f>_xll.qlCalendarAdvance(Calendar,V2941,NDays&amp;"D")</f>
        <v>59421</v>
      </c>
      <c r="X2941" s="200">
        <v>2.2978029339886314E-2</v>
      </c>
      <c r="Y2941" s="209">
        <v>2.2799422988830642E-2</v>
      </c>
    </row>
    <row r="2942" spans="21:25" x14ac:dyDescent="0.2">
      <c r="U2942" s="213" t="str">
        <f t="shared" si="49"/>
        <v>1w</v>
      </c>
      <c r="V2942" s="201">
        <f>_xll.qlCalendarAdvance(Calendar,V2941,U2942,"f",FALSE)</f>
        <v>59426</v>
      </c>
      <c r="W2942" s="225">
        <f>_xll.qlCalendarAdvance(Calendar,V2942,NDays&amp;"D")</f>
        <v>59428</v>
      </c>
      <c r="X2942" s="200">
        <v>2.2981888800218189E-2</v>
      </c>
      <c r="Y2942" s="209">
        <v>2.2802935380168421E-2</v>
      </c>
    </row>
    <row r="2943" spans="21:25" x14ac:dyDescent="0.2">
      <c r="U2943" s="213" t="str">
        <f t="shared" si="49"/>
        <v>1w</v>
      </c>
      <c r="V2943" s="201">
        <f>_xll.qlCalendarAdvance(Calendar,V2942,U2943,"f",FALSE)</f>
        <v>59433</v>
      </c>
      <c r="W2943" s="225">
        <f>_xll.qlCalendarAdvance(Calendar,V2943,NDays&amp;"D")</f>
        <v>59435</v>
      </c>
      <c r="X2943" s="200">
        <v>2.2985772123433008E-2</v>
      </c>
      <c r="Y2943" s="209">
        <v>2.2806471356000557E-2</v>
      </c>
    </row>
    <row r="2944" spans="21:25" x14ac:dyDescent="0.2">
      <c r="U2944" s="213" t="str">
        <f t="shared" si="49"/>
        <v>1w</v>
      </c>
      <c r="V2944" s="201">
        <f>_xll.qlCalendarAdvance(Calendar,V2943,U2944,"f",FALSE)</f>
        <v>59440</v>
      </c>
      <c r="W2944" s="225">
        <f>_xll.qlCalendarAdvance(Calendar,V2944,NDays&amp;"D")</f>
        <v>59442</v>
      </c>
      <c r="X2944" s="200">
        <v>2.2989679309671204E-2</v>
      </c>
      <c r="Y2944" s="209">
        <v>2.2810030916327051E-2</v>
      </c>
    </row>
    <row r="2945" spans="21:25" x14ac:dyDescent="0.2">
      <c r="U2945" s="213" t="str">
        <f t="shared" si="49"/>
        <v>1w</v>
      </c>
      <c r="V2945" s="201">
        <f>_xll.qlCalendarAdvance(Calendar,V2944,U2945,"f",FALSE)</f>
        <v>59447</v>
      </c>
      <c r="W2945" s="225">
        <f>_xll.qlCalendarAdvance(Calendar,V2945,NDays&amp;"D")</f>
        <v>59449</v>
      </c>
      <c r="X2945" s="200">
        <v>2.2994630959462154E-2</v>
      </c>
      <c r="Y2945" s="209">
        <v>2.2813614061227838E-2</v>
      </c>
    </row>
    <row r="2946" spans="21:25" x14ac:dyDescent="0.2">
      <c r="U2946" s="213" t="str">
        <f t="shared" si="49"/>
        <v>1w</v>
      </c>
      <c r="V2946" s="201">
        <f>_xll.qlCalendarAdvance(Calendar,V2945,U2946,"f",FALSE)</f>
        <v>59454</v>
      </c>
      <c r="W2946" s="225">
        <f>_xll.qlCalendarAdvance(Calendar,V2946,NDays&amp;"D")</f>
        <v>59456</v>
      </c>
      <c r="X2946" s="200">
        <v>2.2998587828001352E-2</v>
      </c>
      <c r="Y2946" s="209">
        <v>2.2817220790383175E-2</v>
      </c>
    </row>
    <row r="2947" spans="21:25" x14ac:dyDescent="0.2">
      <c r="U2947" s="213" t="str">
        <f t="shared" si="49"/>
        <v>1w</v>
      </c>
      <c r="V2947" s="201">
        <f>_xll.qlCalendarAdvance(Calendar,V2946,U2947,"f",FALSE)</f>
        <v>59461</v>
      </c>
      <c r="W2947" s="225">
        <f>_xll.qlCalendarAdvance(Calendar,V2947,NDays&amp;"D")</f>
        <v>59463</v>
      </c>
      <c r="X2947" s="200">
        <v>2.3002568561551175E-2</v>
      </c>
      <c r="Y2947" s="209">
        <v>2.2820851104112805E-2</v>
      </c>
    </row>
    <row r="2948" spans="21:25" x14ac:dyDescent="0.2">
      <c r="U2948" s="213" t="str">
        <f t="shared" si="49"/>
        <v>1w</v>
      </c>
      <c r="V2948" s="201">
        <f>_xll.qlCalendarAdvance(Calendar,V2947,U2948,"f",FALSE)</f>
        <v>59468</v>
      </c>
      <c r="W2948" s="225">
        <f>_xll.qlCalendarAdvance(Calendar,V2948,NDays&amp;"D")</f>
        <v>59470</v>
      </c>
      <c r="X2948" s="200">
        <v>2.3006573160253931E-2</v>
      </c>
      <c r="Y2948" s="209">
        <v>2.2824505002336792E-2</v>
      </c>
    </row>
    <row r="2949" spans="21:25" x14ac:dyDescent="0.2">
      <c r="U2949" s="213" t="str">
        <f t="shared" si="49"/>
        <v>1w</v>
      </c>
      <c r="V2949" s="201">
        <f>_xll.qlCalendarAdvance(Calendar,V2948,U2949,"f",FALSE)</f>
        <v>59475</v>
      </c>
      <c r="W2949" s="225">
        <f>_xll.qlCalendarAdvance(Calendar,V2949,NDays&amp;"D")</f>
        <v>59477</v>
      </c>
      <c r="X2949" s="200">
        <v>2.300957319109076E-2</v>
      </c>
      <c r="Y2949" s="209">
        <v>2.2828182485055137E-2</v>
      </c>
    </row>
    <row r="2950" spans="21:25" x14ac:dyDescent="0.2">
      <c r="U2950" s="213" t="str">
        <f t="shared" si="49"/>
        <v>1w</v>
      </c>
      <c r="V2950" s="201">
        <f>_xll.qlCalendarAdvance(Calendar,V2949,U2950,"f",FALSE)</f>
        <v>59482</v>
      </c>
      <c r="W2950" s="225">
        <f>_xll.qlCalendarAdvance(Calendar,V2950,NDays&amp;"D")</f>
        <v>59484</v>
      </c>
      <c r="X2950" s="200">
        <v>2.3013623558411415E-2</v>
      </c>
      <c r="Y2950" s="209">
        <v>2.2831883552187904E-2</v>
      </c>
    </row>
    <row r="2951" spans="21:25" x14ac:dyDescent="0.2">
      <c r="U2951" s="213" t="str">
        <f t="shared" si="49"/>
        <v>1w</v>
      </c>
      <c r="V2951" s="201">
        <f>_xll.qlCalendarAdvance(Calendar,V2950,U2951,"f",FALSE)</f>
        <v>59489</v>
      </c>
      <c r="W2951" s="225">
        <f>_xll.qlCalendarAdvance(Calendar,V2951,NDays&amp;"D")</f>
        <v>59491</v>
      </c>
      <c r="X2951" s="200">
        <v>2.3017697789745158E-2</v>
      </c>
      <c r="Y2951" s="209">
        <v>2.2835608203815028E-2</v>
      </c>
    </row>
    <row r="2952" spans="21:25" x14ac:dyDescent="0.2">
      <c r="U2952" s="213" t="str">
        <f t="shared" si="49"/>
        <v>1w</v>
      </c>
      <c r="V2952" s="201">
        <f>_xll.qlCalendarAdvance(Calendar,V2951,U2952,"f",FALSE)</f>
        <v>59496</v>
      </c>
      <c r="W2952" s="225">
        <f>_xll.qlCalendarAdvance(Calendar,V2952,NDays&amp;"D")</f>
        <v>59498</v>
      </c>
      <c r="X2952" s="200">
        <v>2.3021795885237728E-2</v>
      </c>
      <c r="Y2952" s="209">
        <v>2.2839356440016445E-2</v>
      </c>
    </row>
    <row r="2953" spans="21:25" x14ac:dyDescent="0.2">
      <c r="U2953" s="213" t="str">
        <f t="shared" si="49"/>
        <v>1w</v>
      </c>
      <c r="V2953" s="201">
        <f>_xll.qlCalendarAdvance(Calendar,V2952,U2953,"f",FALSE)</f>
        <v>59503</v>
      </c>
      <c r="W2953" s="225">
        <f>_xll.qlCalendarAdvance(Calendar,V2953,NDays&amp;"D")</f>
        <v>59505</v>
      </c>
      <c r="X2953" s="200">
        <v>2.3026954136115645E-2</v>
      </c>
      <c r="Y2953" s="209">
        <v>2.2843128260632284E-2</v>
      </c>
    </row>
    <row r="2954" spans="21:25" x14ac:dyDescent="0.2">
      <c r="U2954" s="213" t="str">
        <f t="shared" si="49"/>
        <v>1w</v>
      </c>
      <c r="V2954" s="201">
        <f>_xll.qlCalendarAdvance(Calendar,V2953,U2954,"f",FALSE)</f>
        <v>59510</v>
      </c>
      <c r="W2954" s="225">
        <f>_xll.qlCalendarAdvance(Calendar,V2954,NDays&amp;"D")</f>
        <v>59512</v>
      </c>
      <c r="X2954" s="200">
        <v>2.3031101928778386E-2</v>
      </c>
      <c r="Y2954" s="209">
        <v>2.2846923665502672E-2</v>
      </c>
    </row>
    <row r="2955" spans="21:25" x14ac:dyDescent="0.2">
      <c r="U2955" s="213" t="str">
        <f t="shared" si="49"/>
        <v>1w</v>
      </c>
      <c r="V2955" s="201">
        <f>_xll.qlCalendarAdvance(Calendar,V2954,U2955,"f",FALSE)</f>
        <v>59517</v>
      </c>
      <c r="W2955" s="225">
        <f>_xll.qlCalendarAdvance(Calendar,V2955,NDays&amp;"D")</f>
        <v>59519</v>
      </c>
      <c r="X2955" s="200">
        <v>2.3035273587615219E-2</v>
      </c>
      <c r="Y2955" s="209">
        <v>2.2850742655107226E-2</v>
      </c>
    </row>
    <row r="2956" spans="21:25" x14ac:dyDescent="0.2">
      <c r="U2956" s="213" t="str">
        <f t="shared" si="49"/>
        <v>1w</v>
      </c>
      <c r="V2956" s="201">
        <f>_xll.qlCalendarAdvance(Calendar,V2955,U2956,"f",FALSE)</f>
        <v>59524</v>
      </c>
      <c r="W2956" s="225">
        <f>_xll.qlCalendarAdvance(Calendar,V2956,NDays&amp;"D")</f>
        <v>59526</v>
      </c>
      <c r="X2956" s="200">
        <v>2.3039469112774595E-2</v>
      </c>
      <c r="Y2956" s="209">
        <v>2.2854585229126201E-2</v>
      </c>
    </row>
    <row r="2957" spans="21:25" x14ac:dyDescent="0.2">
      <c r="U2957" s="213" t="str">
        <f t="shared" si="49"/>
        <v>1w</v>
      </c>
      <c r="V2957" s="201">
        <f>_xll.qlCalendarAdvance(Calendar,V2956,U2957,"f",FALSE)</f>
        <v>59532</v>
      </c>
      <c r="W2957" s="225">
        <f>_xll.qlCalendarAdvance(Calendar,V2957,NDays&amp;"D")</f>
        <v>59534</v>
      </c>
      <c r="X2957" s="200">
        <v>2.3044293222934286E-2</v>
      </c>
      <c r="Y2957" s="209">
        <v>2.2862015651303746E-2</v>
      </c>
    </row>
    <row r="2958" spans="21:25" x14ac:dyDescent="0.2">
      <c r="U2958" s="213" t="str">
        <f t="shared" si="49"/>
        <v>1w</v>
      </c>
      <c r="V2958" s="201">
        <f>_xll.qlCalendarAdvance(Calendar,V2957,U2958,"f",FALSE)</f>
        <v>59539</v>
      </c>
      <c r="W2958" s="225">
        <f>_xll.qlCalendarAdvance(Calendar,V2958,NDays&amp;"D")</f>
        <v>59541</v>
      </c>
      <c r="X2958" s="200">
        <v>2.3047493459558574E-2</v>
      </c>
      <c r="Y2958" s="209">
        <v>2.2864909057824789E-2</v>
      </c>
    </row>
    <row r="2959" spans="21:25" x14ac:dyDescent="0.2">
      <c r="U2959" s="213" t="str">
        <f t="shared" si="49"/>
        <v>1w</v>
      </c>
      <c r="V2959" s="201">
        <f>_xll.qlCalendarAdvance(Calendar,V2958,U2959,"f",FALSE)</f>
        <v>59546</v>
      </c>
      <c r="W2959" s="225">
        <f>_xll.qlCalendarAdvance(Calendar,V2959,NDays&amp;"D")</f>
        <v>59548</v>
      </c>
      <c r="X2959" s="200">
        <v>2.3051762017614101E-2</v>
      </c>
      <c r="Y2959" s="209">
        <v>2.2868829621645048E-2</v>
      </c>
    </row>
    <row r="2960" spans="21:25" x14ac:dyDescent="0.2">
      <c r="U2960" s="213" t="str">
        <f t="shared" si="49"/>
        <v>1w</v>
      </c>
      <c r="V2960" s="201">
        <f>_xll.qlCalendarAdvance(Calendar,V2959,U2960,"f",FALSE)</f>
        <v>59553</v>
      </c>
      <c r="W2960" s="225">
        <f>_xll.qlCalendarAdvance(Calendar,V2960,NDays&amp;"D")</f>
        <v>59555</v>
      </c>
      <c r="X2960" s="200">
        <v>2.305605444103942E-2</v>
      </c>
      <c r="Y2960" s="209">
        <v>2.2872773773077171E-2</v>
      </c>
    </row>
    <row r="2961" spans="21:25" x14ac:dyDescent="0.2">
      <c r="U2961" s="213" t="str">
        <f t="shared" si="49"/>
        <v>1w</v>
      </c>
      <c r="V2961" s="201">
        <f>_xll.qlCalendarAdvance(Calendar,V2960,U2961,"f",FALSE)</f>
        <v>59560</v>
      </c>
      <c r="W2961" s="225">
        <f>_xll.qlCalendarAdvance(Calendar,V2961,NDays&amp;"D")</f>
        <v>59562</v>
      </c>
      <c r="X2961" s="200">
        <v>2.3060370729987779E-2</v>
      </c>
      <c r="Y2961" s="209">
        <v>2.2876741512041221E-2</v>
      </c>
    </row>
    <row r="2962" spans="21:25" x14ac:dyDescent="0.2">
      <c r="U2962" s="213" t="str">
        <f t="shared" si="49"/>
        <v>1w</v>
      </c>
      <c r="V2962" s="201">
        <f>_xll.qlCalendarAdvance(Calendar,V2961,U2962,"f",FALSE)</f>
        <v>59567</v>
      </c>
      <c r="W2962" s="225">
        <f>_xll.qlCalendarAdvance(Calendar,V2962,NDays&amp;"D")</f>
        <v>59569</v>
      </c>
      <c r="X2962" s="200">
        <v>2.3064710884611098E-2</v>
      </c>
      <c r="Y2962" s="209">
        <v>2.288073283859049E-2</v>
      </c>
    </row>
    <row r="2963" spans="21:25" x14ac:dyDescent="0.2">
      <c r="U2963" s="213" t="str">
        <f t="shared" si="49"/>
        <v>1w</v>
      </c>
      <c r="V2963" s="201">
        <f>_xll.qlCalendarAdvance(Calendar,V2962,U2963,"f",FALSE)</f>
        <v>59574</v>
      </c>
      <c r="W2963" s="225">
        <f>_xll.qlCalendarAdvance(Calendar,V2963,NDays&amp;"D")</f>
        <v>59576</v>
      </c>
      <c r="X2963" s="200">
        <v>2.3069074905066159E-2</v>
      </c>
      <c r="Y2963" s="209">
        <v>2.2884747752698331E-2</v>
      </c>
    </row>
    <row r="2964" spans="21:25" x14ac:dyDescent="0.2">
      <c r="U2964" s="213" t="str">
        <f t="shared" si="49"/>
        <v>1w</v>
      </c>
      <c r="V2964" s="201">
        <f>_xll.qlCalendarAdvance(Calendar,V2963,U2964,"f",FALSE)</f>
        <v>59581</v>
      </c>
      <c r="W2964" s="225">
        <f>_xll.qlCalendarAdvance(Calendar,V2964,NDays&amp;"D")</f>
        <v>59583</v>
      </c>
      <c r="X2964" s="200">
        <v>2.3073462791506207E-2</v>
      </c>
      <c r="Y2964" s="209">
        <v>2.2888786254364746E-2</v>
      </c>
    </row>
    <row r="2965" spans="21:25" x14ac:dyDescent="0.2">
      <c r="U2965" s="213" t="str">
        <f t="shared" ref="U2965:U3028" si="50">U2964</f>
        <v>1w</v>
      </c>
      <c r="V2965" s="201">
        <f>_xll.qlCalendarAdvance(Calendar,V2964,U2965,"f",FALSE)</f>
        <v>59588</v>
      </c>
      <c r="W2965" s="225">
        <f>_xll.qlCalendarAdvance(Calendar,V2965,NDays&amp;"D")</f>
        <v>59590</v>
      </c>
      <c r="X2965" s="200">
        <v>2.3077874544088911E-2</v>
      </c>
      <c r="Y2965" s="209">
        <v>2.2892848343616379E-2</v>
      </c>
    </row>
    <row r="2966" spans="21:25" x14ac:dyDescent="0.2">
      <c r="U2966" s="213" t="str">
        <f t="shared" si="50"/>
        <v>1w</v>
      </c>
      <c r="V2966" s="201">
        <f>_xll.qlCalendarAdvance(Calendar,V2965,U2966,"f",FALSE)</f>
        <v>59595</v>
      </c>
      <c r="W2966" s="225">
        <f>_xll.qlCalendarAdvance(Calendar,V2966,NDays&amp;"D")</f>
        <v>59597</v>
      </c>
      <c r="X2966" s="200">
        <v>2.3086560725086636E-2</v>
      </c>
      <c r="Y2966" s="209">
        <v>2.289693402045323E-2</v>
      </c>
    </row>
    <row r="2967" spans="21:25" x14ac:dyDescent="0.2">
      <c r="U2967" s="213" t="str">
        <f t="shared" si="50"/>
        <v>1w</v>
      </c>
      <c r="V2967" s="201">
        <f>_xll.qlCalendarAdvance(Calendar,V2966,U2967,"f",FALSE)</f>
        <v>59602</v>
      </c>
      <c r="W2967" s="225">
        <f>_xll.qlCalendarAdvance(Calendar,V2967,NDays&amp;"D")</f>
        <v>59604</v>
      </c>
      <c r="X2967" s="200">
        <v>2.3091028168703835E-2</v>
      </c>
      <c r="Y2967" s="209">
        <v>2.2901043284848654E-2</v>
      </c>
    </row>
    <row r="2968" spans="21:25" x14ac:dyDescent="0.2">
      <c r="U2968" s="213" t="str">
        <f t="shared" si="50"/>
        <v>1w</v>
      </c>
      <c r="V2968" s="201">
        <f>_xll.qlCalendarAdvance(Calendar,V2967,U2968,"f",FALSE)</f>
        <v>59609</v>
      </c>
      <c r="W2968" s="225">
        <f>_xll.qlCalendarAdvance(Calendar,V2968,NDays&amp;"D")</f>
        <v>59611</v>
      </c>
      <c r="X2968" s="200">
        <v>2.3095519485291233E-2</v>
      </c>
      <c r="Y2968" s="209">
        <v>2.2905176136855943E-2</v>
      </c>
    </row>
    <row r="2969" spans="21:25" x14ac:dyDescent="0.2">
      <c r="U2969" s="213" t="str">
        <f t="shared" si="50"/>
        <v>1w</v>
      </c>
      <c r="V2969" s="201">
        <f>_xll.qlCalendarAdvance(Calendar,V2968,U2969,"f",FALSE)</f>
        <v>59616</v>
      </c>
      <c r="W2969" s="225">
        <f>_xll.qlCalendarAdvance(Calendar,V2969,NDays&amp;"D")</f>
        <v>59618</v>
      </c>
      <c r="X2969" s="200">
        <v>2.3100034675010858E-2</v>
      </c>
      <c r="Y2969" s="209">
        <v>2.2909332576421804E-2</v>
      </c>
    </row>
    <row r="2970" spans="21:25" x14ac:dyDescent="0.2">
      <c r="U2970" s="213" t="str">
        <f t="shared" si="50"/>
        <v>1w</v>
      </c>
      <c r="V2970" s="201">
        <f>_xll.qlCalendarAdvance(Calendar,V2969,U2970,"f",FALSE)</f>
        <v>59623</v>
      </c>
      <c r="W2970" s="225">
        <f>_xll.qlCalendarAdvance(Calendar,V2970,NDays&amp;"D")</f>
        <v>59625</v>
      </c>
      <c r="X2970" s="200">
        <v>2.3101361558725792E-2</v>
      </c>
      <c r="Y2970" s="209">
        <v>2.2913512603572883E-2</v>
      </c>
    </row>
    <row r="2971" spans="21:25" x14ac:dyDescent="0.2">
      <c r="U2971" s="213" t="str">
        <f t="shared" si="50"/>
        <v>1w</v>
      </c>
      <c r="V2971" s="201">
        <f>_xll.qlCalendarAdvance(Calendar,V2970,U2971,"f",FALSE)</f>
        <v>59630</v>
      </c>
      <c r="W2971" s="225">
        <f>_xll.qlCalendarAdvance(Calendar,V2971,NDays&amp;"D")</f>
        <v>59632</v>
      </c>
      <c r="X2971" s="200">
        <v>2.310913667450875E-2</v>
      </c>
      <c r="Y2971" s="209">
        <v>2.2917716218362472E-2</v>
      </c>
    </row>
    <row r="2972" spans="21:25" x14ac:dyDescent="0.2">
      <c r="U2972" s="213" t="str">
        <f t="shared" si="50"/>
        <v>1w</v>
      </c>
      <c r="V2972" s="201">
        <f>_xll.qlCalendarAdvance(Calendar,V2971,U2972,"f",FALSE)</f>
        <v>59637</v>
      </c>
      <c r="W2972" s="225">
        <f>_xll.qlCalendarAdvance(Calendar,V2972,NDays&amp;"D")</f>
        <v>59643</v>
      </c>
      <c r="X2972" s="200">
        <v>2.3114203276243417E-2</v>
      </c>
      <c r="Y2972" s="209">
        <v>2.292230257477712E-2</v>
      </c>
    </row>
    <row r="2973" spans="21:25" x14ac:dyDescent="0.2">
      <c r="U2973" s="213" t="str">
        <f t="shared" si="50"/>
        <v>1w</v>
      </c>
      <c r="V2973" s="201">
        <f>_xll.qlCalendarAdvance(Calendar,V2972,U2973,"f",FALSE)</f>
        <v>59644</v>
      </c>
      <c r="W2973" s="225">
        <f>_xll.qlCalendarAdvance(Calendar,V2973,NDays&amp;"D")</f>
        <v>59646</v>
      </c>
      <c r="X2973" s="200">
        <v>2.3118334168518832E-2</v>
      </c>
      <c r="Y2973" s="209">
        <v>2.2926194210590722E-2</v>
      </c>
    </row>
    <row r="2974" spans="21:25" x14ac:dyDescent="0.2">
      <c r="U2974" s="213" t="str">
        <f t="shared" si="50"/>
        <v>1w</v>
      </c>
      <c r="V2974" s="201">
        <f>_xll.qlCalendarAdvance(Calendar,V2973,U2974,"f",FALSE)</f>
        <v>59651</v>
      </c>
      <c r="W2974" s="225">
        <f>_xll.qlCalendarAdvance(Calendar,V2974,NDays&amp;"D")</f>
        <v>59653</v>
      </c>
      <c r="X2974" s="200">
        <v>2.3122968726384526E-2</v>
      </c>
      <c r="Y2974" s="209">
        <v>2.2930468588109321E-2</v>
      </c>
    </row>
    <row r="2975" spans="21:25" x14ac:dyDescent="0.2">
      <c r="U2975" s="213" t="str">
        <f t="shared" si="50"/>
        <v>1w</v>
      </c>
      <c r="V2975" s="201">
        <f>_xll.qlCalendarAdvance(Calendar,V2974,U2975,"f",FALSE)</f>
        <v>59658</v>
      </c>
      <c r="W2975" s="225">
        <f>_xll.qlCalendarAdvance(Calendar,V2975,NDays&amp;"D")</f>
        <v>59660</v>
      </c>
      <c r="X2975" s="200">
        <v>2.3127627158381864E-2</v>
      </c>
      <c r="Y2975" s="209">
        <v>2.2934766553266428E-2</v>
      </c>
    </row>
    <row r="2976" spans="21:25" x14ac:dyDescent="0.2">
      <c r="U2976" s="213" t="str">
        <f t="shared" si="50"/>
        <v>1w</v>
      </c>
      <c r="V2976" s="201">
        <f>_xll.qlCalendarAdvance(Calendar,V2975,U2976,"f",FALSE)</f>
        <v>59665</v>
      </c>
      <c r="W2976" s="225">
        <f>_xll.qlCalendarAdvance(Calendar,V2976,NDays&amp;"D")</f>
        <v>59667</v>
      </c>
      <c r="X2976" s="200">
        <v>2.3132309464678067E-2</v>
      </c>
      <c r="Y2976" s="209">
        <v>2.2939088105982108E-2</v>
      </c>
    </row>
    <row r="2977" spans="21:25" x14ac:dyDescent="0.2">
      <c r="U2977" s="213" t="str">
        <f t="shared" si="50"/>
        <v>1w</v>
      </c>
      <c r="V2977" s="201">
        <f>_xll.qlCalendarAdvance(Calendar,V2976,U2977,"f",FALSE)</f>
        <v>59672</v>
      </c>
      <c r="W2977" s="225">
        <f>_xll.qlCalendarAdvance(Calendar,V2977,NDays&amp;"D")</f>
        <v>59674</v>
      </c>
      <c r="X2977" s="200">
        <v>2.3137015645446398E-2</v>
      </c>
      <c r="Y2977" s="209">
        <v>2.2943433246309652E-2</v>
      </c>
    </row>
    <row r="2978" spans="21:25" x14ac:dyDescent="0.2">
      <c r="U2978" s="213" t="str">
        <f t="shared" si="50"/>
        <v>1w</v>
      </c>
      <c r="V2978" s="201">
        <f>_xll.qlCalendarAdvance(Calendar,V2977,U2978,"f",FALSE)</f>
        <v>59679</v>
      </c>
      <c r="W2978" s="225">
        <f>_xll.qlCalendarAdvance(Calendar,V2978,NDays&amp;"D")</f>
        <v>59681</v>
      </c>
      <c r="X2978" s="200">
        <v>2.3141745700856236E-2</v>
      </c>
      <c r="Y2978" s="209">
        <v>2.294780197424906E-2</v>
      </c>
    </row>
    <row r="2979" spans="21:25" x14ac:dyDescent="0.2">
      <c r="U2979" s="213" t="str">
        <f t="shared" si="50"/>
        <v>1w</v>
      </c>
      <c r="V2979" s="201">
        <f>_xll.qlCalendarAdvance(Calendar,V2978,U2979,"f",FALSE)</f>
        <v>59686</v>
      </c>
      <c r="W2979" s="225">
        <f>_xll.qlCalendarAdvance(Calendar,V2979,NDays&amp;"D")</f>
        <v>59688</v>
      </c>
      <c r="X2979" s="200">
        <v>2.3146499631080418E-2</v>
      </c>
      <c r="Y2979" s="209">
        <v>2.2952194289800332E-2</v>
      </c>
    </row>
    <row r="2980" spans="21:25" x14ac:dyDescent="0.2">
      <c r="U2980" s="213" t="str">
        <f t="shared" si="50"/>
        <v>1w</v>
      </c>
      <c r="V2980" s="201">
        <f>_xll.qlCalendarAdvance(Calendar,V2979,U2980,"f",FALSE)</f>
        <v>59693</v>
      </c>
      <c r="W2980" s="225">
        <f>_xll.qlCalendarAdvance(Calendar,V2980,NDays&amp;"D")</f>
        <v>59695</v>
      </c>
      <c r="X2980" s="200">
        <v>2.3151277436290911E-2</v>
      </c>
      <c r="Y2980" s="209">
        <v>2.2956610192963467E-2</v>
      </c>
    </row>
    <row r="2981" spans="21:25" x14ac:dyDescent="0.2">
      <c r="U2981" s="213" t="str">
        <f t="shared" si="50"/>
        <v>1w</v>
      </c>
      <c r="V2981" s="201">
        <f>_xll.qlCalendarAdvance(Calendar,V2980,U2981,"f",FALSE)</f>
        <v>59700</v>
      </c>
      <c r="W2981" s="225">
        <f>_xll.qlCalendarAdvance(Calendar,V2981,NDays&amp;"D")</f>
        <v>59702</v>
      </c>
      <c r="X2981" s="200">
        <v>2.3156079116662277E-2</v>
      </c>
      <c r="Y2981" s="209">
        <v>2.2961049683711821E-2</v>
      </c>
    </row>
    <row r="2982" spans="21:25" x14ac:dyDescent="0.2">
      <c r="U2982" s="213" t="str">
        <f t="shared" si="50"/>
        <v>1w</v>
      </c>
      <c r="V2982" s="201">
        <f>_xll.qlCalendarAdvance(Calendar,V2981,U2982,"f",FALSE)</f>
        <v>59707</v>
      </c>
      <c r="W2982" s="225">
        <f>_xll.qlCalendarAdvance(Calendar,V2982,NDays&amp;"D")</f>
        <v>59709</v>
      </c>
      <c r="X2982" s="200">
        <v>2.316090467236822E-2</v>
      </c>
      <c r="Y2982" s="209">
        <v>2.2965512762125329E-2</v>
      </c>
    </row>
    <row r="2983" spans="21:25" x14ac:dyDescent="0.2">
      <c r="U2983" s="213" t="str">
        <f t="shared" si="50"/>
        <v>1w</v>
      </c>
      <c r="V2983" s="201">
        <f>_xll.qlCalendarAdvance(Calendar,V2982,U2983,"f",FALSE)</f>
        <v>59714</v>
      </c>
      <c r="W2983" s="225">
        <f>_xll.qlCalendarAdvance(Calendar,V2983,NDays&amp;"D")</f>
        <v>59716</v>
      </c>
      <c r="X2983" s="200">
        <v>2.3165754103585026E-2</v>
      </c>
      <c r="Y2983" s="209">
        <v>2.2969999428124055E-2</v>
      </c>
    </row>
    <row r="2984" spans="21:25" x14ac:dyDescent="0.2">
      <c r="U2984" s="213" t="str">
        <f t="shared" si="50"/>
        <v>1w</v>
      </c>
      <c r="V2984" s="201">
        <f>_xll.qlCalendarAdvance(Calendar,V2983,U2984,"f",FALSE)</f>
        <v>59721</v>
      </c>
      <c r="W2984" s="225">
        <f>_xll.qlCalendarAdvance(Calendar,V2984,NDays&amp;"D")</f>
        <v>59723</v>
      </c>
      <c r="X2984" s="200">
        <v>2.3170627410488993E-2</v>
      </c>
      <c r="Y2984" s="209">
        <v>2.2974509681734645E-2</v>
      </c>
    </row>
    <row r="2985" spans="21:25" x14ac:dyDescent="0.2">
      <c r="U2985" s="213" t="str">
        <f t="shared" si="50"/>
        <v>1w</v>
      </c>
      <c r="V2985" s="201">
        <f>_xll.qlCalendarAdvance(Calendar,V2984,U2985,"f",FALSE)</f>
        <v>59728</v>
      </c>
      <c r="W2985" s="225">
        <f>_xll.qlCalendarAdvance(Calendar,V2985,NDays&amp;"D")</f>
        <v>59730</v>
      </c>
      <c r="X2985" s="200">
        <v>2.3175524593256405E-2</v>
      </c>
      <c r="Y2985" s="209">
        <v>2.2979043522983744E-2</v>
      </c>
    </row>
    <row r="2986" spans="21:25" x14ac:dyDescent="0.2">
      <c r="U2986" s="213" t="str">
        <f t="shared" si="50"/>
        <v>1w</v>
      </c>
      <c r="V2986" s="201">
        <f>_xll.qlCalendarAdvance(Calendar,V2985,U2986,"f",FALSE)</f>
        <v>59735</v>
      </c>
      <c r="W2986" s="225">
        <f>_xll.qlCalendarAdvance(Calendar,V2986,NDays&amp;"D")</f>
        <v>59737</v>
      </c>
      <c r="X2986" s="200">
        <v>2.3180445652066582E-2</v>
      </c>
      <c r="Y2986" s="209">
        <v>2.2983600951871352E-2</v>
      </c>
    </row>
    <row r="2987" spans="21:25" x14ac:dyDescent="0.2">
      <c r="U2987" s="213" t="str">
        <f t="shared" si="50"/>
        <v>1w</v>
      </c>
      <c r="V2987" s="201">
        <f>_xll.qlCalendarAdvance(Calendar,V2986,U2987,"f",FALSE)</f>
        <v>59742</v>
      </c>
      <c r="W2987" s="225">
        <f>_xll.qlCalendarAdvance(Calendar,V2987,NDays&amp;"D")</f>
        <v>59744</v>
      </c>
      <c r="X2987" s="200">
        <v>2.3185390587098408E-2</v>
      </c>
      <c r="Y2987" s="209">
        <v>2.298818196839747E-2</v>
      </c>
    </row>
    <row r="2988" spans="21:25" x14ac:dyDescent="0.2">
      <c r="U2988" s="213" t="str">
        <f t="shared" si="50"/>
        <v>1w</v>
      </c>
      <c r="V2988" s="201">
        <f>_xll.qlCalendarAdvance(Calendar,V2987,U2988,"f",FALSE)</f>
        <v>59749</v>
      </c>
      <c r="W2988" s="225">
        <f>_xll.qlCalendarAdvance(Calendar,V2988,NDays&amp;"D")</f>
        <v>59751</v>
      </c>
      <c r="X2988" s="200">
        <v>2.3190359398530334E-2</v>
      </c>
      <c r="Y2988" s="209">
        <v>2.2992786572508805E-2</v>
      </c>
    </row>
    <row r="2989" spans="21:25" x14ac:dyDescent="0.2">
      <c r="U2989" s="213" t="str">
        <f t="shared" si="50"/>
        <v>1w</v>
      </c>
      <c r="V2989" s="201">
        <f>_xll.qlCalendarAdvance(Calendar,V2988,U2989,"f",FALSE)</f>
        <v>59756</v>
      </c>
      <c r="W2989" s="225">
        <f>_xll.qlCalendarAdvance(Calendar,V2989,NDays&amp;"D")</f>
        <v>59758</v>
      </c>
      <c r="X2989" s="200">
        <v>2.3195352086544267E-2</v>
      </c>
      <c r="Y2989" s="209">
        <v>2.2997414764338586E-2</v>
      </c>
    </row>
    <row r="2990" spans="21:25" x14ac:dyDescent="0.2">
      <c r="U2990" s="213" t="str">
        <f t="shared" si="50"/>
        <v>1w</v>
      </c>
      <c r="V2990" s="201">
        <f>_xll.qlCalendarAdvance(Calendar,V2989,U2990,"f",FALSE)</f>
        <v>59763</v>
      </c>
      <c r="W2990" s="225">
        <f>_xll.qlCalendarAdvance(Calendar,V2990,NDays&amp;"D")</f>
        <v>59765</v>
      </c>
      <c r="X2990" s="200">
        <v>2.320036865132169E-2</v>
      </c>
      <c r="Y2990" s="209">
        <v>2.300206654372694E-2</v>
      </c>
    </row>
    <row r="2991" spans="21:25" x14ac:dyDescent="0.2">
      <c r="U2991" s="213" t="str">
        <f t="shared" si="50"/>
        <v>1w</v>
      </c>
      <c r="V2991" s="201">
        <f>_xll.qlCalendarAdvance(Calendar,V2990,U2991,"f",FALSE)</f>
        <v>59770</v>
      </c>
      <c r="W2991" s="225">
        <f>_xll.qlCalendarAdvance(Calendar,V2991,NDays&amp;"D")</f>
        <v>59772</v>
      </c>
      <c r="X2991" s="200">
        <v>2.3205409093044502E-2</v>
      </c>
      <c r="Y2991" s="209">
        <v>2.3006741910807094E-2</v>
      </c>
    </row>
    <row r="2992" spans="21:25" x14ac:dyDescent="0.2">
      <c r="U2992" s="213" t="str">
        <f t="shared" si="50"/>
        <v>1w</v>
      </c>
      <c r="V2992" s="201">
        <f>_xll.qlCalendarAdvance(Calendar,V2991,U2992,"f",FALSE)</f>
        <v>59777</v>
      </c>
      <c r="W2992" s="225">
        <f>_xll.qlCalendarAdvance(Calendar,V2992,NDays&amp;"D")</f>
        <v>59779</v>
      </c>
      <c r="X2992" s="200">
        <v>2.3207128384897767E-2</v>
      </c>
      <c r="Y2992" s="209">
        <v>2.3011440865499111E-2</v>
      </c>
    </row>
    <row r="2993" spans="21:25" x14ac:dyDescent="0.2">
      <c r="U2993" s="213" t="str">
        <f t="shared" si="50"/>
        <v>1w</v>
      </c>
      <c r="V2993" s="201">
        <f>_xll.qlCalendarAdvance(Calendar,V2992,U2993,"f",FALSE)</f>
        <v>59784</v>
      </c>
      <c r="W2993" s="225">
        <f>_xll.qlCalendarAdvance(Calendar,V2993,NDays&amp;"D")</f>
        <v>59786</v>
      </c>
      <c r="X2993" s="200">
        <v>2.3212210487101891E-2</v>
      </c>
      <c r="Y2993" s="209">
        <v>2.3016163407829637E-2</v>
      </c>
    </row>
    <row r="2994" spans="21:25" x14ac:dyDescent="0.2">
      <c r="U2994" s="213" t="str">
        <f t="shared" si="50"/>
        <v>1w</v>
      </c>
      <c r="V2994" s="201">
        <f>_xll.qlCalendarAdvance(Calendar,V2993,U2994,"f",FALSE)</f>
        <v>59791</v>
      </c>
      <c r="W2994" s="225">
        <f>_xll.qlCalendarAdvance(Calendar,V2994,NDays&amp;"D")</f>
        <v>59793</v>
      </c>
      <c r="X2994" s="200">
        <v>2.3217316461957998E-2</v>
      </c>
      <c r="Y2994" s="209">
        <v>2.3020909537851963E-2</v>
      </c>
    </row>
    <row r="2995" spans="21:25" x14ac:dyDescent="0.2">
      <c r="U2995" s="213" t="str">
        <f t="shared" si="50"/>
        <v>1w</v>
      </c>
      <c r="V2995" s="201">
        <f>_xll.qlCalendarAdvance(Calendar,V2994,U2995,"f",FALSE)</f>
        <v>59798</v>
      </c>
      <c r="W2995" s="225">
        <f>_xll.qlCalendarAdvance(Calendar,V2995,NDays&amp;"D")</f>
        <v>59800</v>
      </c>
      <c r="X2995" s="200">
        <v>2.3222446309650126E-2</v>
      </c>
      <c r="Y2995" s="209">
        <v>2.3025679255486153E-2</v>
      </c>
    </row>
    <row r="2996" spans="21:25" x14ac:dyDescent="0.2">
      <c r="U2996" s="213" t="str">
        <f t="shared" si="50"/>
        <v>1w</v>
      </c>
      <c r="V2996" s="201">
        <f>_xll.qlCalendarAdvance(Calendar,V2995,U2996,"f",FALSE)</f>
        <v>59805</v>
      </c>
      <c r="W2996" s="225">
        <f>_xll.qlCalendarAdvance(Calendar,V2996,NDays&amp;"D")</f>
        <v>59807</v>
      </c>
      <c r="X2996" s="200">
        <v>2.3230969462288809E-2</v>
      </c>
      <c r="Y2996" s="209">
        <v>2.3030472560812143E-2</v>
      </c>
    </row>
    <row r="2997" spans="21:25" x14ac:dyDescent="0.2">
      <c r="U2997" s="213" t="str">
        <f t="shared" si="50"/>
        <v>1w</v>
      </c>
      <c r="V2997" s="201">
        <f>_xll.qlCalendarAdvance(Calendar,V2996,U2997,"f",FALSE)</f>
        <v>59812</v>
      </c>
      <c r="W2997" s="225">
        <f>_xll.qlCalendarAdvance(Calendar,V2997,NDays&amp;"D")</f>
        <v>59814</v>
      </c>
      <c r="X2997" s="200">
        <v>2.3237278837246661E-2</v>
      </c>
      <c r="Y2997" s="209">
        <v>2.3035289453776642E-2</v>
      </c>
    </row>
    <row r="2998" spans="21:25" x14ac:dyDescent="0.2">
      <c r="U2998" s="213" t="str">
        <f t="shared" si="50"/>
        <v>1w</v>
      </c>
      <c r="V2998" s="201">
        <f>_xll.qlCalendarAdvance(Calendar,V2997,U2998,"f",FALSE)</f>
        <v>59819</v>
      </c>
      <c r="W2998" s="225">
        <f>_xll.qlCalendarAdvance(Calendar,V2998,NDays&amp;"D")</f>
        <v>59821</v>
      </c>
      <c r="X2998" s="200">
        <v>2.3241360755088442E-2</v>
      </c>
      <c r="Y2998" s="209">
        <v>2.3040129934406295E-2</v>
      </c>
    </row>
    <row r="2999" spans="21:25" x14ac:dyDescent="0.2">
      <c r="U2999" s="213" t="str">
        <f t="shared" si="50"/>
        <v>1w</v>
      </c>
      <c r="V2999" s="201">
        <f>_xll.qlCalendarAdvance(Calendar,V2998,U2999,"f",FALSE)</f>
        <v>59826</v>
      </c>
      <c r="W2999" s="225">
        <f>_xll.qlCalendarAdvance(Calendar,V2999,NDays&amp;"D")</f>
        <v>59828</v>
      </c>
      <c r="X2999" s="200">
        <v>2.3246592219047988E-2</v>
      </c>
      <c r="Y2999" s="209">
        <v>2.3044994002647812E-2</v>
      </c>
    </row>
    <row r="3000" spans="21:25" x14ac:dyDescent="0.2">
      <c r="U3000" s="213" t="str">
        <f t="shared" si="50"/>
        <v>1w</v>
      </c>
      <c r="V3000" s="201">
        <f>_xll.qlCalendarAdvance(Calendar,V2999,U3000,"f",FALSE)</f>
        <v>59833</v>
      </c>
      <c r="W3000" s="225">
        <f>_xll.qlCalendarAdvance(Calendar,V3000,NDays&amp;"D")</f>
        <v>59835</v>
      </c>
      <c r="X3000" s="200">
        <v>2.3251847561633746E-2</v>
      </c>
      <c r="Y3000" s="209">
        <v>2.3049881658607774E-2</v>
      </c>
    </row>
    <row r="3001" spans="21:25" x14ac:dyDescent="0.2">
      <c r="U3001" s="213" t="str">
        <f t="shared" si="50"/>
        <v>1w</v>
      </c>
      <c r="V3001" s="201">
        <f>_xll.qlCalendarAdvance(Calendar,V3000,U3001,"f",FALSE)</f>
        <v>59840</v>
      </c>
      <c r="W3001" s="225">
        <f>_xll.qlCalendarAdvance(Calendar,V3001,NDays&amp;"D")</f>
        <v>59842</v>
      </c>
      <c r="X3001" s="200">
        <v>2.3253726735688089E-2</v>
      </c>
      <c r="Y3001" s="209">
        <v>2.305479290223289E-2</v>
      </c>
    </row>
    <row r="3002" spans="21:25" x14ac:dyDescent="0.2">
      <c r="U3002" s="213" t="str">
        <f t="shared" si="50"/>
        <v>1w</v>
      </c>
      <c r="V3002" s="201">
        <f>_xll.qlCalendarAdvance(Calendar,V3001,U3002,"f",FALSE)</f>
        <v>59847</v>
      </c>
      <c r="W3002" s="225">
        <f>_xll.qlCalendarAdvance(Calendar,V3002,NDays&amp;"D")</f>
        <v>59849</v>
      </c>
      <c r="X3002" s="200">
        <v>2.3259023698416311E-2</v>
      </c>
      <c r="Y3002" s="209">
        <v>2.3059727733496516E-2</v>
      </c>
    </row>
    <row r="3003" spans="21:25" x14ac:dyDescent="0.2">
      <c r="U3003" s="213" t="str">
        <f t="shared" si="50"/>
        <v>1w</v>
      </c>
      <c r="V3003" s="201">
        <f>_xll.qlCalendarAdvance(Calendar,V3002,U3003,"f",FALSE)</f>
        <v>59854</v>
      </c>
      <c r="W3003" s="225">
        <f>_xll.qlCalendarAdvance(Calendar,V3003,NDays&amp;"D")</f>
        <v>59856</v>
      </c>
      <c r="X3003" s="200">
        <v>2.3264344535471222E-2</v>
      </c>
      <c r="Y3003" s="209">
        <v>2.3064686152478586E-2</v>
      </c>
    </row>
    <row r="3004" spans="21:25" x14ac:dyDescent="0.2">
      <c r="U3004" s="213" t="str">
        <f t="shared" si="50"/>
        <v>1w</v>
      </c>
      <c r="V3004" s="201">
        <f>_xll.qlCalendarAdvance(Calendar,V3003,U3004,"f",FALSE)</f>
        <v>59861</v>
      </c>
      <c r="W3004" s="225">
        <f>_xll.qlCalendarAdvance(Calendar,V3004,NDays&amp;"D")</f>
        <v>59863</v>
      </c>
      <c r="X3004" s="200">
        <v>2.32696892470452E-2</v>
      </c>
      <c r="Y3004" s="209">
        <v>2.3069668159152457E-2</v>
      </c>
    </row>
    <row r="3005" spans="21:25" x14ac:dyDescent="0.2">
      <c r="U3005" s="213" t="str">
        <f t="shared" si="50"/>
        <v>1w</v>
      </c>
      <c r="V3005" s="201">
        <f>_xll.qlCalendarAdvance(Calendar,V3004,U3005,"f",FALSE)</f>
        <v>59868</v>
      </c>
      <c r="W3005" s="225">
        <f>_xll.qlCalendarAdvance(Calendar,V3005,NDays&amp;"D")</f>
        <v>59870</v>
      </c>
      <c r="X3005" s="200">
        <v>2.3275057833327541E-2</v>
      </c>
      <c r="Y3005" s="209">
        <v>2.3074673753438191E-2</v>
      </c>
    </row>
    <row r="3006" spans="21:25" x14ac:dyDescent="0.2">
      <c r="U3006" s="213" t="str">
        <f t="shared" si="50"/>
        <v>1w</v>
      </c>
      <c r="V3006" s="201">
        <f>_xll.qlCalendarAdvance(Calendar,V3005,U3006,"f",FALSE)</f>
        <v>59875</v>
      </c>
      <c r="W3006" s="225">
        <f>_xll.qlCalendarAdvance(Calendar,V3006,NDays&amp;"D")</f>
        <v>59877</v>
      </c>
      <c r="X3006" s="200">
        <v>2.32838809408746E-2</v>
      </c>
      <c r="Y3006" s="209">
        <v>2.307970293544237E-2</v>
      </c>
    </row>
    <row r="3007" spans="21:25" x14ac:dyDescent="0.2">
      <c r="U3007" s="213" t="str">
        <f t="shared" si="50"/>
        <v>1w</v>
      </c>
      <c r="V3007" s="201">
        <f>_xll.qlCalendarAdvance(Calendar,V3006,U3007,"f",FALSE)</f>
        <v>59882</v>
      </c>
      <c r="W3007" s="225">
        <f>_xll.qlCalendarAdvance(Calendar,V3007,NDays&amp;"D")</f>
        <v>59884</v>
      </c>
      <c r="X3007" s="200">
        <v>2.3289302171820271E-2</v>
      </c>
      <c r="Y3007" s="209">
        <v>2.308475570519164E-2</v>
      </c>
    </row>
    <row r="3008" spans="21:25" x14ac:dyDescent="0.2">
      <c r="U3008" s="213" t="str">
        <f t="shared" si="50"/>
        <v>1w</v>
      </c>
      <c r="V3008" s="201">
        <f>_xll.qlCalendarAdvance(Calendar,V3007,U3008,"f",FALSE)</f>
        <v>59889</v>
      </c>
      <c r="W3008" s="225">
        <f>_xll.qlCalendarAdvance(Calendar,V3008,NDays&amp;"D")</f>
        <v>59891</v>
      </c>
      <c r="X3008" s="200">
        <v>2.3294744837651378E-2</v>
      </c>
      <c r="Y3008" s="209">
        <v>2.3089832062552773E-2</v>
      </c>
    </row>
    <row r="3009" spans="21:25" x14ac:dyDescent="0.2">
      <c r="U3009" s="213" t="str">
        <f t="shared" si="50"/>
        <v>1w</v>
      </c>
      <c r="V3009" s="201">
        <f>_xll.qlCalendarAdvance(Calendar,V3008,U3009,"f",FALSE)</f>
        <v>59897</v>
      </c>
      <c r="W3009" s="225">
        <f>_xll.qlCalendarAdvance(Calendar,V3009,NDays&amp;"D")</f>
        <v>59901</v>
      </c>
      <c r="X3009" s="200">
        <v>2.3299107191685049E-2</v>
      </c>
      <c r="Y3009" s="209">
        <v>2.3096018178998534E-2</v>
      </c>
    </row>
    <row r="3010" spans="21:25" x14ac:dyDescent="0.2">
      <c r="U3010" s="213" t="str">
        <f t="shared" si="50"/>
        <v>1w</v>
      </c>
      <c r="V3010" s="201">
        <f>_xll.qlCalendarAdvance(Calendar,V3009,U3010,"f",FALSE)</f>
        <v>59904</v>
      </c>
      <c r="W3010" s="225">
        <f>_xll.qlCalendarAdvance(Calendar,V3010,NDays&amp;"D")</f>
        <v>59908</v>
      </c>
      <c r="X3010" s="200">
        <v>2.3304592628965719E-2</v>
      </c>
      <c r="Y3010" s="209">
        <v>2.3100041291801432E-2</v>
      </c>
    </row>
    <row r="3011" spans="21:25" x14ac:dyDescent="0.2">
      <c r="U3011" s="213" t="str">
        <f t="shared" si="50"/>
        <v>1w</v>
      </c>
      <c r="V3011" s="201">
        <f>_xll.qlCalendarAdvance(Calendar,V3010,U3011,"f",FALSE)</f>
        <v>59911</v>
      </c>
      <c r="W3011" s="225">
        <f>_xll.qlCalendarAdvance(Calendar,V3011,NDays&amp;"D")</f>
        <v>59915</v>
      </c>
      <c r="X3011" s="200">
        <v>2.3310095442549861E-2</v>
      </c>
      <c r="Y3011" s="209">
        <v>2.3105194490229408E-2</v>
      </c>
    </row>
    <row r="3012" spans="21:25" x14ac:dyDescent="0.2">
      <c r="U3012" s="213" t="str">
        <f t="shared" si="50"/>
        <v>1w</v>
      </c>
      <c r="V3012" s="201">
        <f>_xll.qlCalendarAdvance(Calendar,V3011,U3012,"f",FALSE)</f>
        <v>59918</v>
      </c>
      <c r="W3012" s="225">
        <f>_xll.qlCalendarAdvance(Calendar,V3012,NDays&amp;"D")</f>
        <v>59922</v>
      </c>
      <c r="X3012" s="200">
        <v>2.3315614294426017E-2</v>
      </c>
      <c r="Y3012" s="209">
        <v>2.3110371273151742E-2</v>
      </c>
    </row>
    <row r="3013" spans="21:25" x14ac:dyDescent="0.2">
      <c r="U3013" s="213" t="str">
        <f t="shared" si="50"/>
        <v>1w</v>
      </c>
      <c r="V3013" s="201">
        <f>_xll.qlCalendarAdvance(Calendar,V3012,U3013,"f",FALSE)</f>
        <v>59925</v>
      </c>
      <c r="W3013" s="225">
        <f>_xll.qlCalendarAdvance(Calendar,V3013,NDays&amp;"D")</f>
        <v>59929</v>
      </c>
      <c r="X3013" s="200">
        <v>2.3321147846570425E-2</v>
      </c>
      <c r="Y3013" s="209">
        <v>2.3115571640568433E-2</v>
      </c>
    </row>
    <row r="3014" spans="21:25" x14ac:dyDescent="0.2">
      <c r="U3014" s="213" t="str">
        <f t="shared" si="50"/>
        <v>1w</v>
      </c>
      <c r="V3014" s="201">
        <f>_xll.qlCalendarAdvance(Calendar,V3013,U3014,"f",FALSE)</f>
        <v>59932</v>
      </c>
      <c r="W3014" s="225">
        <f>_xll.qlCalendarAdvance(Calendar,V3014,NDays&amp;"D")</f>
        <v>59936</v>
      </c>
      <c r="X3014" s="200">
        <v>2.3326694760943522E-2</v>
      </c>
      <c r="Y3014" s="209">
        <v>2.3120795592479482E-2</v>
      </c>
    </row>
    <row r="3015" spans="21:25" x14ac:dyDescent="0.2">
      <c r="U3015" s="213" t="str">
        <f t="shared" si="50"/>
        <v>1w</v>
      </c>
      <c r="V3015" s="201">
        <f>_xll.qlCalendarAdvance(Calendar,V3014,U3015,"f",FALSE)</f>
        <v>59939</v>
      </c>
      <c r="W3015" s="225">
        <f>_xll.qlCalendarAdvance(Calendar,V3015,NDays&amp;"D")</f>
        <v>59943</v>
      </c>
      <c r="X3015" s="200">
        <v>2.3332253699491684E-2</v>
      </c>
      <c r="Y3015" s="209">
        <v>2.312604312904476E-2</v>
      </c>
    </row>
    <row r="3016" spans="21:25" x14ac:dyDescent="0.2">
      <c r="U3016" s="213" t="str">
        <f t="shared" si="50"/>
        <v>1w</v>
      </c>
      <c r="V3016" s="201">
        <f>_xll.qlCalendarAdvance(Calendar,V3015,U3016,"f",FALSE)</f>
        <v>59946</v>
      </c>
      <c r="W3016" s="225">
        <f>_xll.qlCalendarAdvance(Calendar,V3016,NDays&amp;"D")</f>
        <v>59950</v>
      </c>
      <c r="X3016" s="200">
        <v>2.3337823324146346E-2</v>
      </c>
      <c r="Y3016" s="209">
        <v>2.3131314250104396E-2</v>
      </c>
    </row>
    <row r="3017" spans="21:25" x14ac:dyDescent="0.2">
      <c r="U3017" s="213" t="str">
        <f t="shared" si="50"/>
        <v>1w</v>
      </c>
      <c r="V3017" s="201">
        <f>_xll.qlCalendarAdvance(Calendar,V3016,U3017,"f",FALSE)</f>
        <v>59953</v>
      </c>
      <c r="W3017" s="225">
        <f>_xll.qlCalendarAdvance(Calendar,V3017,NDays&amp;"D")</f>
        <v>59957</v>
      </c>
      <c r="X3017" s="200">
        <v>2.3343402296824467E-2</v>
      </c>
      <c r="Y3017" s="209">
        <v>2.3136608955658389E-2</v>
      </c>
    </row>
    <row r="3018" spans="21:25" x14ac:dyDescent="0.2">
      <c r="U3018" s="213" t="str">
        <f t="shared" si="50"/>
        <v>1w</v>
      </c>
      <c r="V3018" s="201">
        <f>_xll.qlCalendarAdvance(Calendar,V3017,U3018,"f",FALSE)</f>
        <v>59960</v>
      </c>
      <c r="W3018" s="225">
        <f>_xll.qlCalendarAdvance(Calendar,V3018,NDays&amp;"D")</f>
        <v>59964</v>
      </c>
      <c r="X3018" s="200">
        <v>2.3351300640321149E-2</v>
      </c>
      <c r="Y3018" s="209">
        <v>2.3141927245786675E-2</v>
      </c>
    </row>
    <row r="3019" spans="21:25" x14ac:dyDescent="0.2">
      <c r="U3019" s="213" t="str">
        <f t="shared" si="50"/>
        <v>1w</v>
      </c>
      <c r="V3019" s="201">
        <f>_xll.qlCalendarAdvance(Calendar,V3018,U3019,"f",FALSE)</f>
        <v>59967</v>
      </c>
      <c r="W3019" s="225">
        <f>_xll.qlCalendarAdvance(Calendar,V3019,NDays&amp;"D")</f>
        <v>59971</v>
      </c>
      <c r="X3019" s="200">
        <v>2.3356894619906352E-2</v>
      </c>
      <c r="Y3019" s="209">
        <v>2.3147269120489256E-2</v>
      </c>
    </row>
    <row r="3020" spans="21:25" x14ac:dyDescent="0.2">
      <c r="U3020" s="213" t="str">
        <f t="shared" si="50"/>
        <v>1w</v>
      </c>
      <c r="V3020" s="201">
        <f>_xll.qlCalendarAdvance(Calendar,V3019,U3020,"f",FALSE)</f>
        <v>59974</v>
      </c>
      <c r="W3020" s="225">
        <f>_xll.qlCalendarAdvance(Calendar,V3020,NDays&amp;"D")</f>
        <v>59978</v>
      </c>
      <c r="X3020" s="200">
        <v>2.336249375739001E-2</v>
      </c>
      <c r="Y3020" s="209">
        <v>2.3152634579606257E-2</v>
      </c>
    </row>
    <row r="3021" spans="21:25" x14ac:dyDescent="0.2">
      <c r="U3021" s="213" t="str">
        <f t="shared" si="50"/>
        <v>1w</v>
      </c>
      <c r="V3021" s="201">
        <f>_xll.qlCalendarAdvance(Calendar,V3020,U3021,"f",FALSE)</f>
        <v>59981</v>
      </c>
      <c r="W3021" s="225">
        <f>_xll.qlCalendarAdvance(Calendar,V3021,NDays&amp;"D")</f>
        <v>59985</v>
      </c>
      <c r="X3021" s="200">
        <v>2.3368096729003637E-2</v>
      </c>
      <c r="Y3021" s="209">
        <v>2.3158023623297552E-2</v>
      </c>
    </row>
    <row r="3022" spans="21:25" x14ac:dyDescent="0.2">
      <c r="U3022" s="213" t="str">
        <f t="shared" si="50"/>
        <v>1w</v>
      </c>
      <c r="V3022" s="201">
        <f>_xll.qlCalendarAdvance(Calendar,V3021,U3022,"f",FALSE)</f>
        <v>59988</v>
      </c>
      <c r="W3022" s="225">
        <f>_xll.qlCalendarAdvance(Calendar,V3022,NDays&amp;"D")</f>
        <v>59992</v>
      </c>
      <c r="X3022" s="200">
        <v>2.3372546368777627E-2</v>
      </c>
      <c r="Y3022" s="209">
        <v>2.3163436251483205E-2</v>
      </c>
    </row>
    <row r="3023" spans="21:25" x14ac:dyDescent="0.2">
      <c r="U3023" s="213" t="str">
        <f t="shared" si="50"/>
        <v>1w</v>
      </c>
      <c r="V3023" s="201">
        <f>_xll.qlCalendarAdvance(Calendar,V3022,U3023,"f",FALSE)</f>
        <v>59995</v>
      </c>
      <c r="W3023" s="225">
        <f>_xll.qlCalendarAdvance(Calendar,V3023,NDays&amp;"D")</f>
        <v>60001</v>
      </c>
      <c r="X3023" s="200">
        <v>2.3379755175844539E-2</v>
      </c>
      <c r="Y3023" s="209">
        <v>2.3170429999863629E-2</v>
      </c>
    </row>
    <row r="3024" spans="21:25" x14ac:dyDescent="0.2">
      <c r="U3024" s="213" t="str">
        <f t="shared" si="50"/>
        <v>1w</v>
      </c>
      <c r="V3024" s="201">
        <f>_xll.qlCalendarAdvance(Calendar,V3023,U3024,"f",FALSE)</f>
        <v>60002</v>
      </c>
      <c r="W3024" s="225">
        <f>_xll.qlCalendarAdvance(Calendar,V3024,NDays&amp;"D")</f>
        <v>60006</v>
      </c>
      <c r="X3024" s="200">
        <v>2.3383759922088451E-2</v>
      </c>
      <c r="Y3024" s="209">
        <v>2.3174332261657327E-2</v>
      </c>
    </row>
    <row r="3025" spans="21:25" x14ac:dyDescent="0.2">
      <c r="U3025" s="213" t="str">
        <f t="shared" si="50"/>
        <v>1w</v>
      </c>
      <c r="V3025" s="201">
        <f>_xll.qlCalendarAdvance(Calendar,V3024,U3025,"f",FALSE)</f>
        <v>60009</v>
      </c>
      <c r="W3025" s="225">
        <f>_xll.qlCalendarAdvance(Calendar,V3025,NDays&amp;"D")</f>
        <v>60013</v>
      </c>
      <c r="X3025" s="200">
        <v>2.3389365250105716E-2</v>
      </c>
      <c r="Y3025" s="209">
        <v>2.3179815643485924E-2</v>
      </c>
    </row>
    <row r="3026" spans="21:25" x14ac:dyDescent="0.2">
      <c r="U3026" s="213" t="str">
        <f t="shared" si="50"/>
        <v>1w</v>
      </c>
      <c r="V3026" s="201">
        <f>_xll.qlCalendarAdvance(Calendar,V3025,U3026,"f",FALSE)</f>
        <v>60016</v>
      </c>
      <c r="W3026" s="225">
        <f>_xll.qlCalendarAdvance(Calendar,V3026,NDays&amp;"D")</f>
        <v>60020</v>
      </c>
      <c r="X3026" s="200">
        <v>2.3394967837713988E-2</v>
      </c>
      <c r="Y3026" s="209">
        <v>2.3185322609888814E-2</v>
      </c>
    </row>
    <row r="3027" spans="21:25" x14ac:dyDescent="0.2">
      <c r="U3027" s="213" t="str">
        <f t="shared" si="50"/>
        <v>1w</v>
      </c>
      <c r="V3027" s="201">
        <f>_xll.qlCalendarAdvance(Calendar,V3026,U3027,"f",FALSE)</f>
        <v>60024</v>
      </c>
      <c r="W3027" s="225">
        <f>_xll.qlCalendarAdvance(Calendar,V3027,NDays&amp;"D")</f>
        <v>60028</v>
      </c>
      <c r="X3027" s="200">
        <v>2.3402520269317533E-2</v>
      </c>
      <c r="Y3027" s="209">
        <v>2.3191645164848396E-2</v>
      </c>
    </row>
    <row r="3028" spans="21:25" x14ac:dyDescent="0.2">
      <c r="U3028" s="213" t="str">
        <f t="shared" si="50"/>
        <v>1w</v>
      </c>
      <c r="V3028" s="201">
        <f>_xll.qlCalendarAdvance(Calendar,V3027,U3028,"f",FALSE)</f>
        <v>60031</v>
      </c>
      <c r="W3028" s="225">
        <f>_xll.qlCalendarAdvance(Calendar,V3028,NDays&amp;"D")</f>
        <v>60035</v>
      </c>
      <c r="X3028" s="200">
        <v>2.340811212887076E-2</v>
      </c>
      <c r="Y3028" s="209">
        <v>2.31972026694649E-2</v>
      </c>
    </row>
    <row r="3029" spans="21:25" x14ac:dyDescent="0.2">
      <c r="U3029" s="213" t="str">
        <f t="shared" ref="U3029:U3092" si="51">U3028</f>
        <v>1w</v>
      </c>
      <c r="V3029" s="201">
        <f>_xll.qlCalendarAdvance(Calendar,V3028,U3029,"f",FALSE)</f>
        <v>60038</v>
      </c>
      <c r="W3029" s="225">
        <f>_xll.qlCalendarAdvance(Calendar,V3029,NDays&amp;"D")</f>
        <v>60042</v>
      </c>
      <c r="X3029" s="200">
        <v>2.3413697042731267E-2</v>
      </c>
      <c r="Y3029" s="209">
        <v>2.3202783758815571E-2</v>
      </c>
    </row>
    <row r="3030" spans="21:25" x14ac:dyDescent="0.2">
      <c r="U3030" s="213" t="str">
        <f t="shared" si="51"/>
        <v>1w</v>
      </c>
      <c r="V3030" s="201">
        <f>_xll.qlCalendarAdvance(Calendar,V3029,U3030,"f",FALSE)</f>
        <v>60045</v>
      </c>
      <c r="W3030" s="225">
        <f>_xll.qlCalendarAdvance(Calendar,V3030,NDays&amp;"D")</f>
        <v>60049</v>
      </c>
      <c r="X3030" s="200">
        <v>2.3419273686992859E-2</v>
      </c>
      <c r="Y3030" s="209">
        <v>2.3208388432500726E-2</v>
      </c>
    </row>
    <row r="3031" spans="21:25" x14ac:dyDescent="0.2">
      <c r="U3031" s="213" t="str">
        <f t="shared" si="51"/>
        <v>1w</v>
      </c>
      <c r="V3031" s="201">
        <f>_xll.qlCalendarAdvance(Calendar,V3030,U3031,"f",FALSE)</f>
        <v>60052</v>
      </c>
      <c r="W3031" s="225">
        <f>_xll.qlCalendarAdvance(Calendar,V3031,NDays&amp;"D")</f>
        <v>60056</v>
      </c>
      <c r="X3031" s="200">
        <v>2.3423687799290577E-2</v>
      </c>
      <c r="Y3031" s="209">
        <v>2.3214016573893659E-2</v>
      </c>
    </row>
    <row r="3032" spans="21:25" x14ac:dyDescent="0.2">
      <c r="U3032" s="213" t="str">
        <f t="shared" si="51"/>
        <v>1w</v>
      </c>
      <c r="V3032" s="201">
        <f>_xll.qlCalendarAdvance(Calendar,V3031,U3032,"f",FALSE)</f>
        <v>60059</v>
      </c>
      <c r="W3032" s="225">
        <f>_xll.qlCalendarAdvance(Calendar,V3032,NDays&amp;"D")</f>
        <v>60063</v>
      </c>
      <c r="X3032" s="200">
        <v>2.342924457357675E-2</v>
      </c>
      <c r="Y3032" s="209">
        <v>2.3219648765966383E-2</v>
      </c>
    </row>
    <row r="3033" spans="21:25" x14ac:dyDescent="0.2">
      <c r="U3033" s="213" t="str">
        <f t="shared" si="51"/>
        <v>1w</v>
      </c>
      <c r="V3033" s="201">
        <f>_xll.qlCalendarAdvance(Calendar,V3032,U3033,"f",FALSE)</f>
        <v>60066</v>
      </c>
      <c r="W3033" s="225">
        <f>_xll.qlCalendarAdvance(Calendar,V3033,NDays&amp;"D")</f>
        <v>60070</v>
      </c>
      <c r="X3033" s="200">
        <v>2.3434790430945717E-2</v>
      </c>
      <c r="Y3033" s="209">
        <v>2.3225270153801603E-2</v>
      </c>
    </row>
    <row r="3034" spans="21:25" x14ac:dyDescent="0.2">
      <c r="U3034" s="213" t="str">
        <f t="shared" si="51"/>
        <v>1w</v>
      </c>
      <c r="V3034" s="201">
        <f>_xll.qlCalendarAdvance(Calendar,V3033,U3034,"f",FALSE)</f>
        <v>60073</v>
      </c>
      <c r="W3034" s="225">
        <f>_xll.qlCalendarAdvance(Calendar,V3034,NDays&amp;"D")</f>
        <v>60077</v>
      </c>
      <c r="X3034" s="200">
        <v>2.3440325371305748E-2</v>
      </c>
      <c r="Y3034" s="209">
        <v>2.3230880737159509E-2</v>
      </c>
    </row>
    <row r="3035" spans="21:25" x14ac:dyDescent="0.2">
      <c r="U3035" s="213" t="str">
        <f t="shared" si="51"/>
        <v>1w</v>
      </c>
      <c r="V3035" s="201">
        <f>_xll.qlCalendarAdvance(Calendar,V3034,U3035,"f",FALSE)</f>
        <v>60080</v>
      </c>
      <c r="W3035" s="225">
        <f>_xll.qlCalendarAdvance(Calendar,V3035,NDays&amp;"D")</f>
        <v>60084</v>
      </c>
      <c r="X3035" s="200">
        <v>2.3448151910214706E-2</v>
      </c>
      <c r="Y3035" s="209">
        <v>2.3236480516359848E-2</v>
      </c>
    </row>
    <row r="3036" spans="21:25" x14ac:dyDescent="0.2">
      <c r="U3036" s="213" t="str">
        <f t="shared" si="51"/>
        <v>1w</v>
      </c>
      <c r="V3036" s="201">
        <f>_xll.qlCalendarAdvance(Calendar,V3035,U3036,"f",FALSE)</f>
        <v>60087</v>
      </c>
      <c r="W3036" s="225">
        <f>_xll.qlCalendarAdvance(Calendar,V3036,NDays&amp;"D")</f>
        <v>60091</v>
      </c>
      <c r="X3036" s="200">
        <v>2.3452513331008368E-2</v>
      </c>
      <c r="Y3036" s="209">
        <v>2.3242069491082873E-2</v>
      </c>
    </row>
    <row r="3037" spans="21:25" x14ac:dyDescent="0.2">
      <c r="U3037" s="213" t="str">
        <f t="shared" si="51"/>
        <v>1w</v>
      </c>
      <c r="V3037" s="201">
        <f>_xll.qlCalendarAdvance(Calendar,V3036,U3037,"f",FALSE)</f>
        <v>60094</v>
      </c>
      <c r="W3037" s="225">
        <f>_xll.qlCalendarAdvance(Calendar,V3037,NDays&amp;"D")</f>
        <v>60098</v>
      </c>
      <c r="X3037" s="200">
        <v>2.3458015096293028E-2</v>
      </c>
      <c r="Y3037" s="209">
        <v>2.3247647661408521E-2</v>
      </c>
    </row>
    <row r="3038" spans="21:25" x14ac:dyDescent="0.2">
      <c r="U3038" s="213" t="str">
        <f t="shared" si="51"/>
        <v>1w</v>
      </c>
      <c r="V3038" s="201">
        <f>_xll.qlCalendarAdvance(Calendar,V3037,U3038,"f",FALSE)</f>
        <v>60101</v>
      </c>
      <c r="W3038" s="225">
        <f>_xll.qlCalendarAdvance(Calendar,V3038,NDays&amp;"D")</f>
        <v>60105</v>
      </c>
      <c r="X3038" s="200">
        <v>2.3463505943572924E-2</v>
      </c>
      <c r="Y3038" s="209">
        <v>2.3253215027416729E-2</v>
      </c>
    </row>
    <row r="3039" spans="21:25" x14ac:dyDescent="0.2">
      <c r="U3039" s="213" t="str">
        <f t="shared" si="51"/>
        <v>1w</v>
      </c>
      <c r="V3039" s="201">
        <f>_xll.qlCalendarAdvance(Calendar,V3038,U3039,"f",FALSE)</f>
        <v>60108</v>
      </c>
      <c r="W3039" s="225">
        <f>_xll.qlCalendarAdvance(Calendar,V3039,NDays&amp;"D")</f>
        <v>60112</v>
      </c>
      <c r="X3039" s="200">
        <v>2.3468985872760306E-2</v>
      </c>
      <c r="Y3039" s="209">
        <v>2.3258771589267369E-2</v>
      </c>
    </row>
    <row r="3040" spans="21:25" x14ac:dyDescent="0.2">
      <c r="U3040" s="213" t="str">
        <f t="shared" si="51"/>
        <v>1w</v>
      </c>
      <c r="V3040" s="201">
        <f>_xll.qlCalendarAdvance(Calendar,V3039,U3040,"f",FALSE)</f>
        <v>60115</v>
      </c>
      <c r="W3040" s="225">
        <f>_xll.qlCalendarAdvance(Calendar,V3040,NDays&amp;"D")</f>
        <v>60119</v>
      </c>
      <c r="X3040" s="200">
        <v>2.3474454883762201E-2</v>
      </c>
      <c r="Y3040" s="209">
        <v>2.3264317346640695E-2</v>
      </c>
    </row>
    <row r="3041" spans="21:25" x14ac:dyDescent="0.2">
      <c r="U3041" s="213" t="str">
        <f t="shared" si="51"/>
        <v>1w</v>
      </c>
      <c r="V3041" s="201">
        <f>_xll.qlCalendarAdvance(Calendar,V3040,U3041,"f",FALSE)</f>
        <v>60122</v>
      </c>
      <c r="W3041" s="225">
        <f>_xll.qlCalendarAdvance(Calendar,V3041,NDays&amp;"D")</f>
        <v>60126</v>
      </c>
      <c r="X3041" s="200">
        <v>2.3479912976488247E-2</v>
      </c>
      <c r="Y3041" s="209">
        <v>2.3269852299616645E-2</v>
      </c>
    </row>
    <row r="3042" spans="21:25" x14ac:dyDescent="0.2">
      <c r="U3042" s="213" t="str">
        <f t="shared" si="51"/>
        <v>1w</v>
      </c>
      <c r="V3042" s="201">
        <f>_xll.qlCalendarAdvance(Calendar,V3041,U3042,"f",FALSE)</f>
        <v>60129</v>
      </c>
      <c r="W3042" s="225">
        <f>_xll.qlCalendarAdvance(Calendar,V3042,NDays&amp;"D")</f>
        <v>60133</v>
      </c>
      <c r="X3042" s="200">
        <v>2.3485360150849385E-2</v>
      </c>
      <c r="Y3042" s="209">
        <v>2.3275376448514962E-2</v>
      </c>
    </row>
    <row r="3043" spans="21:25" x14ac:dyDescent="0.2">
      <c r="U3043" s="213" t="str">
        <f t="shared" si="51"/>
        <v>1w</v>
      </c>
      <c r="V3043" s="201">
        <f>_xll.qlCalendarAdvance(Calendar,V3042,U3043,"f",FALSE)</f>
        <v>60136</v>
      </c>
      <c r="W3043" s="225">
        <f>_xll.qlCalendarAdvance(Calendar,V3043,NDays&amp;"D")</f>
        <v>60140</v>
      </c>
      <c r="X3043" s="200">
        <v>2.3490796406754819E-2</v>
      </c>
      <c r="Y3043" s="209">
        <v>2.3280889792776094E-2</v>
      </c>
    </row>
    <row r="3044" spans="21:25" x14ac:dyDescent="0.2">
      <c r="U3044" s="213" t="str">
        <f t="shared" si="51"/>
        <v>1w</v>
      </c>
      <c r="V3044" s="201">
        <f>_xll.qlCalendarAdvance(Calendar,V3043,U3044,"f",FALSE)</f>
        <v>60143</v>
      </c>
      <c r="W3044" s="225">
        <f>_xll.qlCalendarAdvance(Calendar,V3044,NDays&amp;"D")</f>
        <v>60147</v>
      </c>
      <c r="X3044" s="200">
        <v>2.3492779495793571E-2</v>
      </c>
      <c r="Y3044" s="209">
        <v>2.3286392332799721E-2</v>
      </c>
    </row>
    <row r="3045" spans="21:25" x14ac:dyDescent="0.2">
      <c r="U3045" s="213" t="str">
        <f t="shared" si="51"/>
        <v>1w</v>
      </c>
      <c r="V3045" s="201">
        <f>_xll.qlCalendarAdvance(Calendar,V3044,U3045,"f",FALSE)</f>
        <v>60150</v>
      </c>
      <c r="W3045" s="225">
        <f>_xll.qlCalendarAdvance(Calendar,V3045,NDays&amp;"D")</f>
        <v>60154</v>
      </c>
      <c r="X3045" s="200">
        <v>2.3498195199999988E-2</v>
      </c>
      <c r="Y3045" s="209">
        <v>2.3291884068425972E-2</v>
      </c>
    </row>
    <row r="3046" spans="21:25" x14ac:dyDescent="0.2">
      <c r="U3046" s="213" t="str">
        <f t="shared" si="51"/>
        <v>1w</v>
      </c>
      <c r="V3046" s="201">
        <f>_xll.qlCalendarAdvance(Calendar,V3045,U3046,"f",FALSE)</f>
        <v>60157</v>
      </c>
      <c r="W3046" s="225">
        <f>_xll.qlCalendarAdvance(Calendar,V3046,NDays&amp;"D")</f>
        <v>60161</v>
      </c>
      <c r="X3046" s="200">
        <v>2.3503599987384039E-2</v>
      </c>
      <c r="Y3046" s="209">
        <v>2.3297364999894654E-2</v>
      </c>
    </row>
    <row r="3047" spans="21:25" x14ac:dyDescent="0.2">
      <c r="U3047" s="213" t="str">
        <f t="shared" si="51"/>
        <v>1w</v>
      </c>
      <c r="V3047" s="201">
        <f>_xll.qlCalendarAdvance(Calendar,V3046,U3047,"f",FALSE)</f>
        <v>60164</v>
      </c>
      <c r="W3047" s="225">
        <f>_xll.qlCalendarAdvance(Calendar,V3047,NDays&amp;"D")</f>
        <v>60168</v>
      </c>
      <c r="X3047" s="200">
        <v>2.3508993857857846E-2</v>
      </c>
      <c r="Y3047" s="209">
        <v>2.3302835126806087E-2</v>
      </c>
    </row>
    <row r="3048" spans="21:25" x14ac:dyDescent="0.2">
      <c r="U3048" s="213" t="str">
        <f t="shared" si="51"/>
        <v>1w</v>
      </c>
      <c r="V3048" s="201">
        <f>_xll.qlCalendarAdvance(Calendar,V3047,U3048,"f",FALSE)</f>
        <v>60171</v>
      </c>
      <c r="W3048" s="225">
        <f>_xll.qlCalendarAdvance(Calendar,V3048,NDays&amp;"D")</f>
        <v>60175</v>
      </c>
      <c r="X3048" s="200">
        <v>2.351552250136231E-2</v>
      </c>
      <c r="Y3048" s="209">
        <v>2.3308294449559952E-2</v>
      </c>
    </row>
    <row r="3049" spans="21:25" x14ac:dyDescent="0.2">
      <c r="U3049" s="213" t="str">
        <f t="shared" si="51"/>
        <v>1w</v>
      </c>
      <c r="V3049" s="201">
        <f>_xll.qlCalendarAdvance(Calendar,V3048,U3049,"f",FALSE)</f>
        <v>60178</v>
      </c>
      <c r="W3049" s="225">
        <f>_xll.qlCalendarAdvance(Calendar,V3049,NDays&amp;"D")</f>
        <v>60182</v>
      </c>
      <c r="X3049" s="200">
        <v>2.3520894106784752E-2</v>
      </c>
      <c r="Y3049" s="209">
        <v>2.3313742967756568E-2</v>
      </c>
    </row>
    <row r="3050" spans="21:25" x14ac:dyDescent="0.2">
      <c r="U3050" s="213" t="str">
        <f t="shared" si="51"/>
        <v>1w</v>
      </c>
      <c r="V3050" s="201">
        <f>_xll.qlCalendarAdvance(Calendar,V3049,U3050,"f",FALSE)</f>
        <v>60185</v>
      </c>
      <c r="W3050" s="225">
        <f>_xll.qlCalendarAdvance(Calendar,V3050,NDays&amp;"D")</f>
        <v>60189</v>
      </c>
      <c r="X3050" s="200">
        <v>2.3526254794399001E-2</v>
      </c>
      <c r="Y3050" s="209">
        <v>2.3319180681795615E-2</v>
      </c>
    </row>
    <row r="3051" spans="21:25" x14ac:dyDescent="0.2">
      <c r="U3051" s="213" t="str">
        <f t="shared" si="51"/>
        <v>1w</v>
      </c>
      <c r="V3051" s="201">
        <f>_xll.qlCalendarAdvance(Calendar,V3050,U3051,"f",FALSE)</f>
        <v>60192</v>
      </c>
      <c r="W3051" s="225">
        <f>_xll.qlCalendarAdvance(Calendar,V3051,NDays&amp;"D")</f>
        <v>60196</v>
      </c>
      <c r="X3051" s="200">
        <v>2.3531604564115894E-2</v>
      </c>
      <c r="Y3051" s="209">
        <v>2.3324607591357349E-2</v>
      </c>
    </row>
    <row r="3052" spans="21:25" x14ac:dyDescent="0.2">
      <c r="U3052" s="213" t="str">
        <f t="shared" si="51"/>
        <v>1w</v>
      </c>
      <c r="V3052" s="201">
        <f>_xll.qlCalendarAdvance(Calendar,V3051,U3052,"f",FALSE)</f>
        <v>60199</v>
      </c>
      <c r="W3052" s="225">
        <f>_xll.qlCalendarAdvance(Calendar,V3052,NDays&amp;"D")</f>
        <v>60203</v>
      </c>
      <c r="X3052" s="200">
        <v>2.353694341584715E-2</v>
      </c>
      <c r="Y3052" s="209">
        <v>2.3330023696601643E-2</v>
      </c>
    </row>
    <row r="3053" spans="21:25" x14ac:dyDescent="0.2">
      <c r="U3053" s="213" t="str">
        <f t="shared" si="51"/>
        <v>1w</v>
      </c>
      <c r="V3053" s="201">
        <f>_xll.qlCalendarAdvance(Calendar,V3052,U3053,"f",FALSE)</f>
        <v>60206</v>
      </c>
      <c r="W3053" s="225">
        <f>_xll.qlCalendarAdvance(Calendar,V3053,NDays&amp;"D")</f>
        <v>60210</v>
      </c>
      <c r="X3053" s="200">
        <v>2.3541127820681969E-2</v>
      </c>
      <c r="Y3053" s="209">
        <v>2.3335428997608432E-2</v>
      </c>
    </row>
    <row r="3054" spans="21:25" x14ac:dyDescent="0.2">
      <c r="U3054" s="213" t="str">
        <f t="shared" si="51"/>
        <v>1w</v>
      </c>
      <c r="V3054" s="201">
        <f>_xll.qlCalendarAdvance(Calendar,V3053,U3054,"f",FALSE)</f>
        <v>60213</v>
      </c>
      <c r="W3054" s="225">
        <f>_xll.qlCalendarAdvance(Calendar,V3054,NDays&amp;"D")</f>
        <v>60217</v>
      </c>
      <c r="X3054" s="200">
        <v>2.3546445270335163E-2</v>
      </c>
      <c r="Y3054" s="209">
        <v>2.3340823494137908E-2</v>
      </c>
    </row>
    <row r="3055" spans="21:25" x14ac:dyDescent="0.2">
      <c r="U3055" s="213" t="str">
        <f t="shared" si="51"/>
        <v>1w</v>
      </c>
      <c r="V3055" s="201">
        <f>_xll.qlCalendarAdvance(Calendar,V3054,U3055,"f",FALSE)</f>
        <v>60220</v>
      </c>
      <c r="W3055" s="225">
        <f>_xll.qlCalendarAdvance(Calendar,V3055,NDays&amp;"D")</f>
        <v>60224</v>
      </c>
      <c r="X3055" s="200">
        <v>2.3551751802380325E-2</v>
      </c>
      <c r="Y3055" s="209">
        <v>2.3346207186429879E-2</v>
      </c>
    </row>
    <row r="3056" spans="21:25" x14ac:dyDescent="0.2">
      <c r="U3056" s="213" t="str">
        <f t="shared" si="51"/>
        <v>1w</v>
      </c>
      <c r="V3056" s="201">
        <f>_xll.qlCalendarAdvance(Calendar,V3055,U3056,"f",FALSE)</f>
        <v>60227</v>
      </c>
      <c r="W3056" s="225">
        <f>_xll.qlCalendarAdvance(Calendar,V3056,NDays&amp;"D")</f>
        <v>60231</v>
      </c>
      <c r="X3056" s="200">
        <v>2.3557047416731331E-2</v>
      </c>
      <c r="Y3056" s="209">
        <v>2.3351580074244538E-2</v>
      </c>
    </row>
    <row r="3057" spans="21:25" x14ac:dyDescent="0.2">
      <c r="U3057" s="213" t="str">
        <f t="shared" si="51"/>
        <v>1w</v>
      </c>
      <c r="V3057" s="201">
        <f>_xll.qlCalendarAdvance(Calendar,V3056,U3057,"f",FALSE)</f>
        <v>60234</v>
      </c>
      <c r="W3057" s="225">
        <f>_xll.qlCalendarAdvance(Calendar,V3057,NDays&amp;"D")</f>
        <v>60238</v>
      </c>
      <c r="X3057" s="200">
        <v>2.3563473901679118E-2</v>
      </c>
      <c r="Y3057" s="209">
        <v>2.3356942157821692E-2</v>
      </c>
    </row>
    <row r="3058" spans="21:25" x14ac:dyDescent="0.2">
      <c r="U3058" s="213" t="str">
        <f t="shared" si="51"/>
        <v>1w</v>
      </c>
      <c r="V3058" s="201">
        <f>_xll.qlCalendarAdvance(Calendar,V3057,U3058,"f",FALSE)</f>
        <v>60241</v>
      </c>
      <c r="W3058" s="225">
        <f>_xll.qlCalendarAdvance(Calendar,V3058,NDays&amp;"D")</f>
        <v>60245</v>
      </c>
      <c r="X3058" s="200">
        <v>2.3568747243672961E-2</v>
      </c>
      <c r="Y3058" s="209">
        <v>2.3362293437001469E-2</v>
      </c>
    </row>
    <row r="3059" spans="21:25" x14ac:dyDescent="0.2">
      <c r="U3059" s="213" t="str">
        <f t="shared" si="51"/>
        <v>1w</v>
      </c>
      <c r="V3059" s="201">
        <f>_xll.qlCalendarAdvance(Calendar,V3058,U3059,"f",FALSE)</f>
        <v>60248</v>
      </c>
      <c r="W3059" s="225">
        <f>_xll.qlCalendarAdvance(Calendar,V3059,NDays&amp;"D")</f>
        <v>60252</v>
      </c>
      <c r="X3059" s="200">
        <v>2.3574009667072422E-2</v>
      </c>
      <c r="Y3059" s="209">
        <v>2.3367633911783869E-2</v>
      </c>
    </row>
    <row r="3060" spans="21:25" x14ac:dyDescent="0.2">
      <c r="U3060" s="213" t="str">
        <f t="shared" si="51"/>
        <v>1w</v>
      </c>
      <c r="V3060" s="201">
        <f>_xll.qlCalendarAdvance(Calendar,V3059,U3060,"f",FALSE)</f>
        <v>60255</v>
      </c>
      <c r="W3060" s="225">
        <f>_xll.qlCalendarAdvance(Calendar,V3060,NDays&amp;"D")</f>
        <v>60259</v>
      </c>
      <c r="X3060" s="200">
        <v>2.3579261171792296E-2</v>
      </c>
      <c r="Y3060" s="209">
        <v>2.3372963582408701E-2</v>
      </c>
    </row>
    <row r="3061" spans="21:25" x14ac:dyDescent="0.2">
      <c r="U3061" s="213" t="str">
        <f t="shared" si="51"/>
        <v>1w</v>
      </c>
      <c r="V3061" s="201">
        <f>_xll.qlCalendarAdvance(Calendar,V3060,U3061,"f",FALSE)</f>
        <v>60265</v>
      </c>
      <c r="W3061" s="225">
        <f>_xll.qlCalendarAdvance(Calendar,V3061,NDays&amp;"D")</f>
        <v>60267</v>
      </c>
      <c r="X3061" s="200">
        <v>2.3584109546574458E-2</v>
      </c>
      <c r="Y3061" s="209">
        <v>2.3380179935204026E-2</v>
      </c>
    </row>
    <row r="3062" spans="21:25" x14ac:dyDescent="0.2">
      <c r="U3062" s="213" t="str">
        <f t="shared" si="51"/>
        <v>1w</v>
      </c>
      <c r="V3062" s="201">
        <f>_xll.qlCalendarAdvance(Calendar,V3061,U3062,"f",FALSE)</f>
        <v>60272</v>
      </c>
      <c r="W3062" s="225">
        <f>_xll.qlCalendarAdvance(Calendar,V3062,NDays&amp;"D")</f>
        <v>60274</v>
      </c>
      <c r="X3062" s="200">
        <v>2.358933809320304E-2</v>
      </c>
      <c r="Y3062" s="209">
        <v>2.3384347922839055E-2</v>
      </c>
    </row>
    <row r="3063" spans="21:25" x14ac:dyDescent="0.2">
      <c r="U3063" s="213" t="str">
        <f t="shared" si="51"/>
        <v>1w</v>
      </c>
      <c r="V3063" s="201">
        <f>_xll.qlCalendarAdvance(Calendar,V3062,U3063,"f",FALSE)</f>
        <v>60279</v>
      </c>
      <c r="W3063" s="225">
        <f>_xll.qlCalendarAdvance(Calendar,V3063,NDays&amp;"D")</f>
        <v>60281</v>
      </c>
      <c r="X3063" s="200">
        <v>2.3594555721524482E-2</v>
      </c>
      <c r="Y3063" s="209">
        <v>2.3389643636786417E-2</v>
      </c>
    </row>
    <row r="3064" spans="21:25" x14ac:dyDescent="0.2">
      <c r="U3064" s="213" t="str">
        <f t="shared" si="51"/>
        <v>1w</v>
      </c>
      <c r="V3064" s="201">
        <f>_xll.qlCalendarAdvance(Calendar,V3063,U3064,"f",FALSE)</f>
        <v>60286</v>
      </c>
      <c r="W3064" s="225">
        <f>_xll.qlCalendarAdvance(Calendar,V3064,NDays&amp;"D")</f>
        <v>60288</v>
      </c>
      <c r="X3064" s="200">
        <v>2.3599762431453987E-2</v>
      </c>
      <c r="Y3064" s="209">
        <v>2.3394928546256466E-2</v>
      </c>
    </row>
    <row r="3065" spans="21:25" x14ac:dyDescent="0.2">
      <c r="U3065" s="213" t="str">
        <f t="shared" si="51"/>
        <v>1w</v>
      </c>
      <c r="V3065" s="201">
        <f>_xll.qlCalendarAdvance(Calendar,V3064,U3065,"f",FALSE)</f>
        <v>60293</v>
      </c>
      <c r="W3065" s="225">
        <f>_xll.qlCalendarAdvance(Calendar,V3065,NDays&amp;"D")</f>
        <v>60295</v>
      </c>
      <c r="X3065" s="200">
        <v>2.3604958222907643E-2</v>
      </c>
      <c r="Y3065" s="209">
        <v>2.3400202651648883E-2</v>
      </c>
    </row>
    <row r="3066" spans="21:25" x14ac:dyDescent="0.2">
      <c r="U3066" s="213" t="str">
        <f t="shared" si="51"/>
        <v>1w</v>
      </c>
      <c r="V3066" s="201">
        <f>_xll.qlCalendarAdvance(Calendar,V3065,U3066,"f",FALSE)</f>
        <v>60300</v>
      </c>
      <c r="W3066" s="225">
        <f>_xll.qlCalendarAdvance(Calendar,V3066,NDays&amp;"D")</f>
        <v>60302</v>
      </c>
      <c r="X3066" s="200">
        <v>2.3610143095799774E-2</v>
      </c>
      <c r="Y3066" s="209">
        <v>2.340546595248405E-2</v>
      </c>
    </row>
    <row r="3067" spans="21:25" x14ac:dyDescent="0.2">
      <c r="U3067" s="213" t="str">
        <f t="shared" si="51"/>
        <v>1w</v>
      </c>
      <c r="V3067" s="201">
        <f>_xll.qlCalendarAdvance(Calendar,V3066,U3067,"f",FALSE)</f>
        <v>60307</v>
      </c>
      <c r="W3067" s="225">
        <f>_xll.qlCalendarAdvance(Calendar,V3067,NDays&amp;"D")</f>
        <v>60309</v>
      </c>
      <c r="X3067" s="200">
        <v>2.361531705004603E-2</v>
      </c>
      <c r="Y3067" s="209">
        <v>2.3410718449001777E-2</v>
      </c>
    </row>
    <row r="3068" spans="21:25" x14ac:dyDescent="0.2">
      <c r="U3068" s="213" t="str">
        <f t="shared" si="51"/>
        <v>1w</v>
      </c>
      <c r="V3068" s="201">
        <f>_xll.qlCalendarAdvance(Calendar,V3067,U3068,"f",FALSE)</f>
        <v>60314</v>
      </c>
      <c r="W3068" s="225">
        <f>_xll.qlCalendarAdvance(Calendar,V3068,NDays&amp;"D")</f>
        <v>60316</v>
      </c>
      <c r="X3068" s="200">
        <v>2.3620480085563382E-2</v>
      </c>
      <c r="Y3068" s="209">
        <v>2.3415960141282E-2</v>
      </c>
    </row>
    <row r="3069" spans="21:25" x14ac:dyDescent="0.2">
      <c r="U3069" s="213" t="str">
        <f t="shared" si="51"/>
        <v>1w</v>
      </c>
      <c r="V3069" s="201">
        <f>_xll.qlCalendarAdvance(Calendar,V3068,U3069,"f",FALSE)</f>
        <v>60321</v>
      </c>
      <c r="W3069" s="225">
        <f>_xll.qlCalendarAdvance(Calendar,V3069,NDays&amp;"D")</f>
        <v>60323</v>
      </c>
      <c r="X3069" s="200">
        <v>2.3625632202266593E-2</v>
      </c>
      <c r="Y3069" s="209">
        <v>2.3421191029164845E-2</v>
      </c>
    </row>
    <row r="3070" spans="21:25" x14ac:dyDescent="0.2">
      <c r="U3070" s="213" t="str">
        <f t="shared" si="51"/>
        <v>1w</v>
      </c>
      <c r="V3070" s="201">
        <f>_xll.qlCalendarAdvance(Calendar,V3069,U3070,"f",FALSE)</f>
        <v>60328</v>
      </c>
      <c r="W3070" s="225">
        <f>_xll.qlCalendarAdvance(Calendar,V3070,NDays&amp;"D")</f>
        <v>60330</v>
      </c>
      <c r="X3070" s="200">
        <v>2.363418141287792E-2</v>
      </c>
      <c r="Y3070" s="209">
        <v>2.3426411112570378E-2</v>
      </c>
    </row>
    <row r="3071" spans="21:25" x14ac:dyDescent="0.2">
      <c r="U3071" s="213" t="str">
        <f t="shared" si="51"/>
        <v>1w</v>
      </c>
      <c r="V3071" s="201">
        <f>_xll.qlCalendarAdvance(Calendar,V3070,U3071,"f",FALSE)</f>
        <v>60335</v>
      </c>
      <c r="W3071" s="225">
        <f>_xll.qlCalendarAdvance(Calendar,V3071,NDays&amp;"D")</f>
        <v>60337</v>
      </c>
      <c r="X3071" s="200">
        <v>2.363931035599379E-2</v>
      </c>
      <c r="Y3071" s="209">
        <v>2.3431620391738406E-2</v>
      </c>
    </row>
    <row r="3072" spans="21:25" x14ac:dyDescent="0.2">
      <c r="U3072" s="213" t="str">
        <f t="shared" si="51"/>
        <v>1w</v>
      </c>
      <c r="V3072" s="201">
        <f>_xll.qlCalendarAdvance(Calendar,V3071,U3072,"f",FALSE)</f>
        <v>60342</v>
      </c>
      <c r="W3072" s="225">
        <f>_xll.qlCalendarAdvance(Calendar,V3072,NDays&amp;"D")</f>
        <v>60344</v>
      </c>
      <c r="X3072" s="200">
        <v>2.3644428378103387E-2</v>
      </c>
      <c r="Y3072" s="209">
        <v>2.3436818866509057E-2</v>
      </c>
    </row>
    <row r="3073" spans="21:25" x14ac:dyDescent="0.2">
      <c r="U3073" s="213" t="str">
        <f t="shared" si="51"/>
        <v>1w</v>
      </c>
      <c r="V3073" s="201">
        <f>_xll.qlCalendarAdvance(Calendar,V3072,U3073,"f",FALSE)</f>
        <v>60349</v>
      </c>
      <c r="W3073" s="225">
        <f>_xll.qlCalendarAdvance(Calendar,V3073,NDays&amp;"D")</f>
        <v>60351</v>
      </c>
      <c r="X3073" s="200">
        <v>2.36495354791246E-2</v>
      </c>
      <c r="Y3073" s="209">
        <v>2.3442006536962268E-2</v>
      </c>
    </row>
    <row r="3074" spans="21:25" x14ac:dyDescent="0.2">
      <c r="U3074" s="213" t="str">
        <f t="shared" si="51"/>
        <v>1w</v>
      </c>
      <c r="V3074" s="201">
        <f>_xll.qlCalendarAdvance(Calendar,V3073,U3074,"f",FALSE)</f>
        <v>60357</v>
      </c>
      <c r="W3074" s="225">
        <f>_xll.qlCalendarAdvance(Calendar,V3074,NDays&amp;"D")</f>
        <v>60359</v>
      </c>
      <c r="X3074" s="200">
        <v>2.3654224631155921E-2</v>
      </c>
      <c r="Y3074" s="209">
        <v>2.3447922073263072E-2</v>
      </c>
    </row>
    <row r="3075" spans="21:25" x14ac:dyDescent="0.2">
      <c r="U3075" s="213" t="str">
        <f t="shared" si="51"/>
        <v>1w</v>
      </c>
      <c r="V3075" s="201">
        <f>_xll.qlCalendarAdvance(Calendar,V3074,U3075,"f",FALSE)</f>
        <v>60364</v>
      </c>
      <c r="W3075" s="225">
        <f>_xll.qlCalendarAdvance(Calendar,V3075,NDays&amp;"D")</f>
        <v>60366</v>
      </c>
      <c r="X3075" s="200">
        <v>2.3659308777545057E-2</v>
      </c>
      <c r="Y3075" s="209">
        <v>2.3453086591596062E-2</v>
      </c>
    </row>
    <row r="3076" spans="21:25" x14ac:dyDescent="0.2">
      <c r="U3076" s="213" t="str">
        <f t="shared" si="51"/>
        <v>1w</v>
      </c>
      <c r="V3076" s="201">
        <f>_xll.qlCalendarAdvance(Calendar,V3075,U3076,"f",FALSE)</f>
        <v>60371</v>
      </c>
      <c r="W3076" s="225">
        <f>_xll.qlCalendarAdvance(Calendar,V3076,NDays&amp;"D")</f>
        <v>60373</v>
      </c>
      <c r="X3076" s="200">
        <v>2.3664382003226792E-2</v>
      </c>
      <c r="Y3076" s="209">
        <v>2.345824030521193E-2</v>
      </c>
    </row>
    <row r="3077" spans="21:25" x14ac:dyDescent="0.2">
      <c r="U3077" s="213" t="str">
        <f t="shared" si="51"/>
        <v>1w</v>
      </c>
      <c r="V3077" s="201">
        <f>_xll.qlCalendarAdvance(Calendar,V3076,U3077,"f",FALSE)</f>
        <v>60378</v>
      </c>
      <c r="W3077" s="225">
        <f>_xll.qlCalendarAdvance(Calendar,V3077,NDays&amp;"D")</f>
        <v>60380</v>
      </c>
      <c r="X3077" s="200">
        <v>2.3669444308120322E-2</v>
      </c>
      <c r="Y3077" s="209">
        <v>2.3463383214910039E-2</v>
      </c>
    </row>
    <row r="3078" spans="21:25" x14ac:dyDescent="0.2">
      <c r="U3078" s="213" t="str">
        <f t="shared" si="51"/>
        <v>1w</v>
      </c>
      <c r="V3078" s="201">
        <f>_xll.qlCalendarAdvance(Calendar,V3077,U3078,"f",FALSE)</f>
        <v>60385</v>
      </c>
      <c r="W3078" s="225">
        <f>_xll.qlCalendarAdvance(Calendar,V3078,NDays&amp;"D")</f>
        <v>60387</v>
      </c>
      <c r="X3078" s="200">
        <v>2.3674495692139589E-2</v>
      </c>
      <c r="Y3078" s="209">
        <v>2.3471908707961564E-2</v>
      </c>
    </row>
    <row r="3079" spans="21:25" x14ac:dyDescent="0.2">
      <c r="U3079" s="213" t="str">
        <f t="shared" si="51"/>
        <v>1w</v>
      </c>
      <c r="V3079" s="201">
        <f>_xll.qlCalendarAdvance(Calendar,V3078,U3079,"f",FALSE)</f>
        <v>60392</v>
      </c>
      <c r="W3079" s="225">
        <f>_xll.qlCalendarAdvance(Calendar,V3079,NDays&amp;"D")</f>
        <v>60394</v>
      </c>
      <c r="X3079" s="200">
        <v>2.3682931920144847E-2</v>
      </c>
      <c r="Y3079" s="209">
        <v>2.347363662079438E-2</v>
      </c>
    </row>
    <row r="3080" spans="21:25" x14ac:dyDescent="0.2">
      <c r="U3080" s="213" t="str">
        <f t="shared" si="51"/>
        <v>1w</v>
      </c>
      <c r="V3080" s="201">
        <f>_xll.qlCalendarAdvance(Calendar,V3079,U3080,"f",FALSE)</f>
        <v>60399</v>
      </c>
      <c r="W3080" s="225">
        <f>_xll.qlCalendarAdvance(Calendar,V3080,NDays&amp;"D")</f>
        <v>60401</v>
      </c>
      <c r="X3080" s="200">
        <v>2.368796010824557E-2</v>
      </c>
      <c r="Y3080" s="209">
        <v>2.3478747117220422E-2</v>
      </c>
    </row>
    <row r="3081" spans="21:25" x14ac:dyDescent="0.2">
      <c r="U3081" s="213" t="str">
        <f t="shared" si="51"/>
        <v>1w</v>
      </c>
      <c r="V3081" s="201">
        <f>_xll.qlCalendarAdvance(Calendar,V3080,U3081,"f",FALSE)</f>
        <v>60406</v>
      </c>
      <c r="W3081" s="225">
        <f>_xll.qlCalendarAdvance(Calendar,V3081,NDays&amp;"D")</f>
        <v>60408</v>
      </c>
      <c r="X3081" s="200">
        <v>2.3692977373271376E-2</v>
      </c>
      <c r="Y3081" s="209">
        <v>2.3483846809408959E-2</v>
      </c>
    </row>
    <row r="3082" spans="21:25" x14ac:dyDescent="0.2">
      <c r="U3082" s="213" t="str">
        <f t="shared" si="51"/>
        <v>1w</v>
      </c>
      <c r="V3082" s="201">
        <f>_xll.qlCalendarAdvance(Calendar,V3081,U3082,"f",FALSE)</f>
        <v>60413</v>
      </c>
      <c r="W3082" s="225">
        <f>_xll.qlCalendarAdvance(Calendar,V3082,NDays&amp;"D")</f>
        <v>60415</v>
      </c>
      <c r="X3082" s="200">
        <v>2.3697983715137174E-2</v>
      </c>
      <c r="Y3082" s="209">
        <v>2.3488935697040247E-2</v>
      </c>
    </row>
    <row r="3083" spans="21:25" x14ac:dyDescent="0.2">
      <c r="U3083" s="213" t="str">
        <f t="shared" si="51"/>
        <v>1w</v>
      </c>
      <c r="V3083" s="201">
        <f>_xll.qlCalendarAdvance(Calendar,V3082,U3083,"f",FALSE)</f>
        <v>60420</v>
      </c>
      <c r="W3083" s="225">
        <f>_xll.qlCalendarAdvance(Calendar,V3083,NDays&amp;"D")</f>
        <v>60422</v>
      </c>
      <c r="X3083" s="200">
        <v>2.3699588796230367E-2</v>
      </c>
      <c r="Y3083" s="209">
        <v>2.3494013780354095E-2</v>
      </c>
    </row>
    <row r="3084" spans="21:25" x14ac:dyDescent="0.2">
      <c r="U3084" s="213" t="str">
        <f t="shared" si="51"/>
        <v>1w</v>
      </c>
      <c r="V3084" s="201">
        <f>_xll.qlCalendarAdvance(Calendar,V3083,U3084,"f",FALSE)</f>
        <v>60427</v>
      </c>
      <c r="W3084" s="225">
        <f>_xll.qlCalendarAdvance(Calendar,V3084,NDays&amp;"D")</f>
        <v>60429</v>
      </c>
      <c r="X3084" s="200">
        <v>2.3704574653269507E-2</v>
      </c>
      <c r="Y3084" s="209">
        <v>2.3499081059350502E-2</v>
      </c>
    </row>
    <row r="3085" spans="21:25" x14ac:dyDescent="0.2">
      <c r="U3085" s="213" t="str">
        <f t="shared" si="51"/>
        <v>1w</v>
      </c>
      <c r="V3085" s="201">
        <f>_xll.qlCalendarAdvance(Calendar,V3084,U3085,"f",FALSE)</f>
        <v>60434</v>
      </c>
      <c r="W3085" s="225">
        <f>_xll.qlCalendarAdvance(Calendar,V3085,NDays&amp;"D")</f>
        <v>60436</v>
      </c>
      <c r="X3085" s="200">
        <v>2.370954958885562E-2</v>
      </c>
      <c r="Y3085" s="209">
        <v>2.3504137534029468E-2</v>
      </c>
    </row>
    <row r="3086" spans="21:25" x14ac:dyDescent="0.2">
      <c r="U3086" s="213" t="str">
        <f t="shared" si="51"/>
        <v>1w</v>
      </c>
      <c r="V3086" s="201">
        <f>_xll.qlCalendarAdvance(Calendar,V3085,U3086,"f",FALSE)</f>
        <v>60441</v>
      </c>
      <c r="W3086" s="225">
        <f>_xll.qlCalendarAdvance(Calendar,V3086,NDays&amp;"D")</f>
        <v>60443</v>
      </c>
      <c r="X3086" s="200">
        <v>2.3717899849335776E-2</v>
      </c>
      <c r="Y3086" s="209">
        <v>2.3509183204311057E-2</v>
      </c>
    </row>
    <row r="3087" spans="21:25" x14ac:dyDescent="0.2">
      <c r="U3087" s="213" t="str">
        <f t="shared" si="51"/>
        <v>1w</v>
      </c>
      <c r="V3087" s="201">
        <f>_xll.qlCalendarAdvance(Calendar,V3086,U3087,"f",FALSE)</f>
        <v>60448</v>
      </c>
      <c r="W3087" s="225">
        <f>_xll.qlCalendarAdvance(Calendar,V3087,NDays&amp;"D")</f>
        <v>60450</v>
      </c>
      <c r="X3087" s="200">
        <v>2.3722851574150907E-2</v>
      </c>
      <c r="Y3087" s="209">
        <v>2.3514218070035398E-2</v>
      </c>
    </row>
    <row r="3088" spans="21:25" x14ac:dyDescent="0.2">
      <c r="U3088" s="213" t="str">
        <f t="shared" si="51"/>
        <v>1w</v>
      </c>
      <c r="V3088" s="201">
        <f>_xll.qlCalendarAdvance(Calendar,V3087,U3088,"f",FALSE)</f>
        <v>60455</v>
      </c>
      <c r="W3088" s="225">
        <f>_xll.qlCalendarAdvance(Calendar,V3088,NDays&amp;"D")</f>
        <v>60457</v>
      </c>
      <c r="X3088" s="200">
        <v>2.3727792375308358E-2</v>
      </c>
      <c r="Y3088" s="209">
        <v>2.3519242131762041E-2</v>
      </c>
    </row>
    <row r="3089" spans="21:25" x14ac:dyDescent="0.2">
      <c r="U3089" s="213" t="str">
        <f t="shared" si="51"/>
        <v>1w</v>
      </c>
      <c r="V3089" s="201">
        <f>_xll.qlCalendarAdvance(Calendar,V3088,U3089,"f",FALSE)</f>
        <v>60462</v>
      </c>
      <c r="W3089" s="225">
        <f>_xll.qlCalendarAdvance(Calendar,V3089,NDays&amp;"D")</f>
        <v>60464</v>
      </c>
      <c r="X3089" s="200">
        <v>2.3732722252722608E-2</v>
      </c>
      <c r="Y3089" s="209">
        <v>2.35242553888515E-2</v>
      </c>
    </row>
    <row r="3090" spans="21:25" x14ac:dyDescent="0.2">
      <c r="U3090" s="213" t="str">
        <f t="shared" si="51"/>
        <v>1w</v>
      </c>
      <c r="V3090" s="201">
        <f>_xll.qlCalendarAdvance(Calendar,V3089,U3090,"f",FALSE)</f>
        <v>60469</v>
      </c>
      <c r="W3090" s="225">
        <f>_xll.qlCalendarAdvance(Calendar,V3090,NDays&amp;"D")</f>
        <v>60471</v>
      </c>
      <c r="X3090" s="200">
        <v>2.3737641206312866E-2</v>
      </c>
      <c r="Y3090" s="209">
        <v>2.3529257841703455E-2</v>
      </c>
    </row>
    <row r="3091" spans="21:25" x14ac:dyDescent="0.2">
      <c r="U3091" s="213" t="str">
        <f t="shared" si="51"/>
        <v>1w</v>
      </c>
      <c r="V3091" s="201">
        <f>_xll.qlCalendarAdvance(Calendar,V3090,U3091,"f",FALSE)</f>
        <v>60476</v>
      </c>
      <c r="W3091" s="225">
        <f>_xll.qlCalendarAdvance(Calendar,V3091,NDays&amp;"D")</f>
        <v>60478</v>
      </c>
      <c r="X3091" s="200">
        <v>2.3739169847307947E-2</v>
      </c>
      <c r="Y3091" s="209">
        <v>2.3534249490078096E-2</v>
      </c>
    </row>
    <row r="3092" spans="21:25" x14ac:dyDescent="0.2">
      <c r="U3092" s="213" t="str">
        <f t="shared" si="51"/>
        <v>1w</v>
      </c>
      <c r="V3092" s="201">
        <f>_xll.qlCalendarAdvance(Calendar,V3091,U3092,"f",FALSE)</f>
        <v>60483</v>
      </c>
      <c r="W3092" s="225">
        <f>_xll.qlCalendarAdvance(Calendar,V3092,NDays&amp;"D")</f>
        <v>60485</v>
      </c>
      <c r="X3092" s="200">
        <v>2.3747446341689613E-2</v>
      </c>
      <c r="Y3092" s="209">
        <v>2.3539230334215233E-2</v>
      </c>
    </row>
    <row r="3093" spans="21:25" x14ac:dyDescent="0.2">
      <c r="U3093" s="213" t="str">
        <f t="shared" ref="U3093:U3156" si="52">U3092</f>
        <v>1w</v>
      </c>
      <c r="V3093" s="201">
        <f>_xll.qlCalendarAdvance(Calendar,V3092,U3093,"f",FALSE)</f>
        <v>60490</v>
      </c>
      <c r="W3093" s="225">
        <f>_xll.qlCalendarAdvance(Calendar,V3093,NDays&amp;"D")</f>
        <v>60492</v>
      </c>
      <c r="X3093" s="200">
        <v>2.3752332523312363E-2</v>
      </c>
      <c r="Y3093" s="209">
        <v>2.3544200373954993E-2</v>
      </c>
    </row>
    <row r="3094" spans="21:25" x14ac:dyDescent="0.2">
      <c r="U3094" s="213" t="str">
        <f t="shared" si="52"/>
        <v>1w</v>
      </c>
      <c r="V3094" s="201">
        <f>_xll.qlCalendarAdvance(Calendar,V3093,U3094,"f",FALSE)</f>
        <v>60497</v>
      </c>
      <c r="W3094" s="225">
        <f>_xll.qlCalendarAdvance(Calendar,V3094,NDays&amp;"D")</f>
        <v>60499</v>
      </c>
      <c r="X3094" s="200">
        <v>2.3757207780781487E-2</v>
      </c>
      <c r="Y3094" s="209">
        <v>2.354915960921744E-2</v>
      </c>
    </row>
    <row r="3095" spans="21:25" x14ac:dyDescent="0.2">
      <c r="U3095" s="213" t="str">
        <f t="shared" si="52"/>
        <v>1w</v>
      </c>
      <c r="V3095" s="201">
        <f>_xll.qlCalendarAdvance(Calendar,V3094,U3095,"f",FALSE)</f>
        <v>60504</v>
      </c>
      <c r="W3095" s="225">
        <f>_xll.qlCalendarAdvance(Calendar,V3095,NDays&amp;"D")</f>
        <v>60506</v>
      </c>
      <c r="X3095" s="200">
        <v>2.3758698246927081E-2</v>
      </c>
      <c r="Y3095" s="209">
        <v>2.3554108040162447E-2</v>
      </c>
    </row>
    <row r="3096" spans="21:25" x14ac:dyDescent="0.2">
      <c r="U3096" s="213" t="str">
        <f t="shared" si="52"/>
        <v>1w</v>
      </c>
      <c r="V3096" s="201">
        <f>_xll.qlCalendarAdvance(Calendar,V3095,U3096,"f",FALSE)</f>
        <v>60511</v>
      </c>
      <c r="W3096" s="225">
        <f>_xll.qlCalendarAdvance(Calendar,V3096,NDays&amp;"D")</f>
        <v>60513</v>
      </c>
      <c r="X3096" s="200">
        <v>2.3761304744437158E-2</v>
      </c>
      <c r="Y3096" s="209">
        <v>2.3559045666949885E-2</v>
      </c>
    </row>
    <row r="3097" spans="21:25" x14ac:dyDescent="0.2">
      <c r="U3097" s="213" t="str">
        <f t="shared" si="52"/>
        <v>1w</v>
      </c>
      <c r="V3097" s="201">
        <f>_xll.qlCalendarAdvance(Calendar,V3096,U3097,"f",FALSE)</f>
        <v>60518</v>
      </c>
      <c r="W3097" s="225">
        <f>_xll.qlCalendarAdvance(Calendar,V3097,NDays&amp;"D")</f>
        <v>60520</v>
      </c>
      <c r="X3097" s="200">
        <v>2.3766149540763927E-2</v>
      </c>
      <c r="Y3097" s="209">
        <v>2.356397248926001E-2</v>
      </c>
    </row>
    <row r="3098" spans="21:25" x14ac:dyDescent="0.2">
      <c r="U3098" s="213" t="str">
        <f t="shared" si="52"/>
        <v>1w</v>
      </c>
      <c r="V3098" s="201">
        <f>_xll.qlCalendarAdvance(Calendar,V3097,U3098,"f",FALSE)</f>
        <v>60525</v>
      </c>
      <c r="W3098" s="225">
        <f>_xll.qlCalendarAdvance(Calendar,V3098,NDays&amp;"D")</f>
        <v>60527</v>
      </c>
      <c r="X3098" s="200">
        <v>2.3770983415903651E-2</v>
      </c>
      <c r="Y3098" s="209">
        <v>2.356888850693295E-2</v>
      </c>
    </row>
    <row r="3099" spans="21:25" x14ac:dyDescent="0.2">
      <c r="U3099" s="213" t="str">
        <f t="shared" si="52"/>
        <v>1w</v>
      </c>
      <c r="V3099" s="201">
        <f>_xll.qlCalendarAdvance(Calendar,V3098,U3099,"f",FALSE)</f>
        <v>60532</v>
      </c>
      <c r="W3099" s="225">
        <f>_xll.qlCalendarAdvance(Calendar,V3099,NDays&amp;"D")</f>
        <v>60534</v>
      </c>
      <c r="X3099" s="200">
        <v>2.3775806369778597E-2</v>
      </c>
      <c r="Y3099" s="209">
        <v>2.3573793720528258E-2</v>
      </c>
    </row>
    <row r="3100" spans="21:25" x14ac:dyDescent="0.2">
      <c r="U3100" s="213" t="str">
        <f t="shared" si="52"/>
        <v>1w</v>
      </c>
      <c r="V3100" s="201">
        <f>_xll.qlCalendarAdvance(Calendar,V3099,U3100,"f",FALSE)</f>
        <v>60539</v>
      </c>
      <c r="W3100" s="225">
        <f>_xll.qlCalendarAdvance(Calendar,V3100,NDays&amp;"D")</f>
        <v>60541</v>
      </c>
      <c r="X3100" s="200">
        <v>2.378174069541783E-2</v>
      </c>
      <c r="Y3100" s="209">
        <v>2.3578688129806125E-2</v>
      </c>
    </row>
    <row r="3101" spans="21:25" x14ac:dyDescent="0.2">
      <c r="U3101" s="213" t="str">
        <f t="shared" si="52"/>
        <v>1w</v>
      </c>
      <c r="V3101" s="201">
        <f>_xll.qlCalendarAdvance(Calendar,V3100,U3101,"f",FALSE)</f>
        <v>60546</v>
      </c>
      <c r="W3101" s="225">
        <f>_xll.qlCalendarAdvance(Calendar,V3101,NDays&amp;"D")</f>
        <v>60548</v>
      </c>
      <c r="X3101" s="200">
        <v>2.3786541341675491E-2</v>
      </c>
      <c r="Y3101" s="209">
        <v>2.358357173436687E-2</v>
      </c>
    </row>
    <row r="3102" spans="21:25" x14ac:dyDescent="0.2">
      <c r="U3102" s="213" t="str">
        <f t="shared" si="52"/>
        <v>1w</v>
      </c>
      <c r="V3102" s="201">
        <f>_xll.qlCalendarAdvance(Calendar,V3101,U3102,"f",FALSE)</f>
        <v>60553</v>
      </c>
      <c r="W3102" s="225">
        <f>_xll.qlCalendarAdvance(Calendar,V3102,NDays&amp;"D")</f>
        <v>60555</v>
      </c>
      <c r="X3102" s="200">
        <v>2.3791331065773275E-2</v>
      </c>
      <c r="Y3102" s="209">
        <v>2.3588444534849984E-2</v>
      </c>
    </row>
    <row r="3103" spans="21:25" x14ac:dyDescent="0.2">
      <c r="U3103" s="213" t="str">
        <f t="shared" si="52"/>
        <v>1w</v>
      </c>
      <c r="V3103" s="201">
        <f>_xll.qlCalendarAdvance(Calendar,V3102,U3103,"f",FALSE)</f>
        <v>60560</v>
      </c>
      <c r="W3103" s="225">
        <f>_xll.qlCalendarAdvance(Calendar,V3103,NDays&amp;"D")</f>
        <v>60562</v>
      </c>
      <c r="X3103" s="200">
        <v>2.3796109867631678E-2</v>
      </c>
      <c r="Y3103" s="209">
        <v>2.359330653093572E-2</v>
      </c>
    </row>
    <row r="3104" spans="21:25" x14ac:dyDescent="0.2">
      <c r="U3104" s="213" t="str">
        <f t="shared" si="52"/>
        <v>1w</v>
      </c>
      <c r="V3104" s="201">
        <f>_xll.qlCalendarAdvance(Calendar,V3103,U3104,"f",FALSE)</f>
        <v>60567</v>
      </c>
      <c r="W3104" s="225">
        <f>_xll.qlCalendarAdvance(Calendar,V3104,NDays&amp;"D")</f>
        <v>60569</v>
      </c>
      <c r="X3104" s="200">
        <v>2.3800877747173408E-2</v>
      </c>
      <c r="Y3104" s="209">
        <v>2.359815772262408E-2</v>
      </c>
    </row>
    <row r="3105" spans="21:25" x14ac:dyDescent="0.2">
      <c r="U3105" s="213" t="str">
        <f t="shared" si="52"/>
        <v>1w</v>
      </c>
      <c r="V3105" s="201">
        <f>_xll.qlCalendarAdvance(Calendar,V3104,U3105,"f",FALSE)</f>
        <v>60574</v>
      </c>
      <c r="W3105" s="225">
        <f>_xll.qlCalendarAdvance(Calendar,V3105,NDays&amp;"D")</f>
        <v>60576</v>
      </c>
      <c r="X3105" s="200">
        <v>2.3804514742062653E-2</v>
      </c>
      <c r="Y3105" s="209">
        <v>2.3602998109835127E-2</v>
      </c>
    </row>
    <row r="3106" spans="21:25" x14ac:dyDescent="0.2">
      <c r="U3106" s="213" t="str">
        <f t="shared" si="52"/>
        <v>1w</v>
      </c>
      <c r="V3106" s="201">
        <f>_xll.qlCalendarAdvance(Calendar,V3105,U3106,"f",FALSE)</f>
        <v>60581</v>
      </c>
      <c r="W3106" s="225">
        <f>_xll.qlCalendarAdvance(Calendar,V3106,NDays&amp;"D")</f>
        <v>60583</v>
      </c>
      <c r="X3106" s="200">
        <v>2.3809261244888792E-2</v>
      </c>
      <c r="Y3106" s="209">
        <v>2.3607827692808669E-2</v>
      </c>
    </row>
    <row r="3107" spans="21:25" x14ac:dyDescent="0.2">
      <c r="U3107" s="213" t="str">
        <f t="shared" si="52"/>
        <v>1w</v>
      </c>
      <c r="V3107" s="201">
        <f>_xll.qlCalendarAdvance(Calendar,V3106,U3107,"f",FALSE)</f>
        <v>60588</v>
      </c>
      <c r="W3107" s="225">
        <f>_xll.qlCalendarAdvance(Calendar,V3107,NDays&amp;"D")</f>
        <v>60590</v>
      </c>
      <c r="X3107" s="200">
        <v>2.3813996825826123E-2</v>
      </c>
      <c r="Y3107" s="209">
        <v>2.3612646471464771E-2</v>
      </c>
    </row>
    <row r="3108" spans="21:25" x14ac:dyDescent="0.2">
      <c r="U3108" s="213" t="str">
        <f t="shared" si="52"/>
        <v>1w</v>
      </c>
      <c r="V3108" s="201">
        <f>_xll.qlCalendarAdvance(Calendar,V3107,U3108,"f",FALSE)</f>
        <v>60595</v>
      </c>
      <c r="W3108" s="225">
        <f>_xll.qlCalendarAdvance(Calendar,V3108,NDays&amp;"D")</f>
        <v>60597</v>
      </c>
      <c r="X3108" s="200">
        <v>2.3818721484796922E-2</v>
      </c>
      <c r="Y3108" s="209">
        <v>2.3617454445563624E-2</v>
      </c>
    </row>
    <row r="3109" spans="21:25" x14ac:dyDescent="0.2">
      <c r="U3109" s="213" t="str">
        <f t="shared" si="52"/>
        <v>1w</v>
      </c>
      <c r="V3109" s="201">
        <f>_xll.qlCalendarAdvance(Calendar,V3108,U3109,"f",FALSE)</f>
        <v>60602</v>
      </c>
      <c r="W3109" s="225">
        <f>_xll.qlCalendarAdvance(Calendar,V3109,NDays&amp;"D")</f>
        <v>60604</v>
      </c>
      <c r="X3109" s="200">
        <v>2.3824553307394733E-2</v>
      </c>
      <c r="Y3109" s="209">
        <v>2.3622251615424972E-2</v>
      </c>
    </row>
    <row r="3110" spans="21:25" x14ac:dyDescent="0.2">
      <c r="U3110" s="213" t="str">
        <f t="shared" si="52"/>
        <v>1w</v>
      </c>
      <c r="V3110" s="201">
        <f>_xll.qlCalendarAdvance(Calendar,V3109,U3110,"f",FALSE)</f>
        <v>60609</v>
      </c>
      <c r="W3110" s="225">
        <f>_xll.qlCalendarAdvance(Calendar,V3110,NDays&amp;"D")</f>
        <v>60611</v>
      </c>
      <c r="X3110" s="200">
        <v>2.3829255651398585E-2</v>
      </c>
      <c r="Y3110" s="209">
        <v>2.3627037980888943E-2</v>
      </c>
    </row>
    <row r="3111" spans="21:25" x14ac:dyDescent="0.2">
      <c r="U3111" s="213" t="str">
        <f t="shared" si="52"/>
        <v>1w</v>
      </c>
      <c r="V3111" s="201">
        <f>_xll.qlCalendarAdvance(Calendar,V3110,U3111,"f",FALSE)</f>
        <v>60616</v>
      </c>
      <c r="W3111" s="225">
        <f>_xll.qlCalendarAdvance(Calendar,V3111,NDays&amp;"D")</f>
        <v>60618</v>
      </c>
      <c r="X3111" s="200">
        <v>2.3833947072542019E-2</v>
      </c>
      <c r="Y3111" s="209">
        <v>2.3631813541875601E-2</v>
      </c>
    </row>
    <row r="3112" spans="21:25" x14ac:dyDescent="0.2">
      <c r="U3112" s="213" t="str">
        <f t="shared" si="52"/>
        <v>1w</v>
      </c>
      <c r="V3112" s="201">
        <f>_xll.qlCalendarAdvance(Calendar,V3111,U3112,"f",FALSE)</f>
        <v>60623</v>
      </c>
      <c r="W3112" s="225">
        <f>_xll.qlCalendarAdvance(Calendar,V3112,NDays&amp;"D")</f>
        <v>60625</v>
      </c>
      <c r="X3112" s="200">
        <v>2.383862757074949E-2</v>
      </c>
      <c r="Y3112" s="209">
        <v>2.3639925943066409E-2</v>
      </c>
    </row>
    <row r="3113" spans="21:25" x14ac:dyDescent="0.2">
      <c r="U3113" s="213" t="str">
        <f t="shared" si="52"/>
        <v>1w</v>
      </c>
      <c r="V3113" s="201">
        <f>_xll.qlCalendarAdvance(Calendar,V3112,U3113,"f",FALSE)</f>
        <v>60630</v>
      </c>
      <c r="W3113" s="225">
        <f>_xll.qlCalendarAdvance(Calendar,V3113,NDays&amp;"D")</f>
        <v>60632</v>
      </c>
      <c r="X3113" s="200">
        <v>2.3842180947469489E-2</v>
      </c>
      <c r="Y3113" s="209">
        <v>2.3644678516281381E-2</v>
      </c>
    </row>
    <row r="3114" spans="21:25" x14ac:dyDescent="0.2">
      <c r="U3114" s="213" t="str">
        <f t="shared" si="52"/>
        <v>1w</v>
      </c>
      <c r="V3114" s="201">
        <f>_xll.qlCalendarAdvance(Calendar,V3113,U3114,"f",FALSE)</f>
        <v>60637</v>
      </c>
      <c r="W3114" s="225">
        <f>_xll.qlCalendarAdvance(Calendar,V3114,NDays&amp;"D")</f>
        <v>60639</v>
      </c>
      <c r="X3114" s="200">
        <v>2.3846840073033077E-2</v>
      </c>
      <c r="Y3114" s="209">
        <v>2.3646075398850996E-2</v>
      </c>
    </row>
    <row r="3115" spans="21:25" x14ac:dyDescent="0.2">
      <c r="U3115" s="213" t="str">
        <f t="shared" si="52"/>
        <v>1w</v>
      </c>
      <c r="V3115" s="201">
        <f>_xll.qlCalendarAdvance(Calendar,V3114,U3115,"f",FALSE)</f>
        <v>60644</v>
      </c>
      <c r="W3115" s="225">
        <f>_xll.qlCalendarAdvance(Calendar,V3115,NDays&amp;"D")</f>
        <v>60646</v>
      </c>
      <c r="X3115" s="200">
        <v>2.3851488276095751E-2</v>
      </c>
      <c r="Y3115" s="209">
        <v>2.365080774240802E-2</v>
      </c>
    </row>
    <row r="3116" spans="21:25" x14ac:dyDescent="0.2">
      <c r="U3116" s="213" t="str">
        <f t="shared" si="52"/>
        <v>1w</v>
      </c>
      <c r="V3116" s="201">
        <f>_xll.qlCalendarAdvance(Calendar,V3115,U3116,"f",FALSE)</f>
        <v>60651</v>
      </c>
      <c r="W3116" s="225">
        <f>_xll.qlCalendarAdvance(Calendar,V3116,NDays&amp;"D")</f>
        <v>60653</v>
      </c>
      <c r="X3116" s="200">
        <v>2.3856125556580222E-2</v>
      </c>
      <c r="Y3116" s="209">
        <v>2.365552928148773E-2</v>
      </c>
    </row>
    <row r="3117" spans="21:25" x14ac:dyDescent="0.2">
      <c r="U3117" s="213" t="str">
        <f t="shared" si="52"/>
        <v>1w</v>
      </c>
      <c r="V3117" s="201">
        <f>_xll.qlCalendarAdvance(Calendar,V3116,U3117,"f",FALSE)</f>
        <v>60658</v>
      </c>
      <c r="W3117" s="225">
        <f>_xll.qlCalendarAdvance(Calendar,V3117,NDays&amp;"D")</f>
        <v>60660</v>
      </c>
      <c r="X3117" s="200">
        <v>2.386075191441318E-2</v>
      </c>
      <c r="Y3117" s="209">
        <v>2.3660240016409873E-2</v>
      </c>
    </row>
    <row r="3118" spans="21:25" x14ac:dyDescent="0.2">
      <c r="U3118" s="213" t="str">
        <f t="shared" si="52"/>
        <v>1w</v>
      </c>
      <c r="V3118" s="201">
        <f>_xll.qlCalendarAdvance(Calendar,V3117,U3118,"f",FALSE)</f>
        <v>60665</v>
      </c>
      <c r="W3118" s="225">
        <f>_xll.qlCalendarAdvance(Calendar,V3118,NDays&amp;"D")</f>
        <v>60667</v>
      </c>
      <c r="X3118" s="200">
        <v>2.3865367349518225E-2</v>
      </c>
      <c r="Y3118" s="209">
        <v>2.3664939946934638E-2</v>
      </c>
    </row>
    <row r="3119" spans="21:25" x14ac:dyDescent="0.2">
      <c r="U3119" s="213" t="str">
        <f t="shared" si="52"/>
        <v>1w</v>
      </c>
      <c r="V3119" s="201">
        <f>_xll.qlCalendarAdvance(Calendar,V3118,U3119,"f",FALSE)</f>
        <v>60672</v>
      </c>
      <c r="W3119" s="225">
        <f>_xll.qlCalendarAdvance(Calendar,V3119,NDays&amp;"D")</f>
        <v>60674</v>
      </c>
      <c r="X3119" s="200">
        <v>2.386997186181939E-2</v>
      </c>
      <c r="Y3119" s="209">
        <v>2.3669629072822218E-2</v>
      </c>
    </row>
    <row r="3120" spans="21:25" x14ac:dyDescent="0.2">
      <c r="U3120" s="213" t="str">
        <f t="shared" si="52"/>
        <v>1w</v>
      </c>
      <c r="V3120" s="201">
        <f>_xll.qlCalendarAdvance(Calendar,V3119,U3120,"f",FALSE)</f>
        <v>60679</v>
      </c>
      <c r="W3120" s="225">
        <f>_xll.qlCalendarAdvance(Calendar,V3120,NDays&amp;"D")</f>
        <v>60681</v>
      </c>
      <c r="X3120" s="200">
        <v>2.3874565451242929E-2</v>
      </c>
      <c r="Y3120" s="209">
        <v>2.367430739455223E-2</v>
      </c>
    </row>
    <row r="3121" spans="21:25" x14ac:dyDescent="0.2">
      <c r="U3121" s="213" t="str">
        <f t="shared" si="52"/>
        <v>1w</v>
      </c>
      <c r="V3121" s="201">
        <f>_xll.qlCalendarAdvance(Calendar,V3120,U3121,"f",FALSE)</f>
        <v>60686</v>
      </c>
      <c r="W3121" s="225">
        <f>_xll.qlCalendarAdvance(Calendar,V3121,NDays&amp;"D")</f>
        <v>60688</v>
      </c>
      <c r="X3121" s="200">
        <v>2.3879148117714199E-2</v>
      </c>
      <c r="Y3121" s="209">
        <v>2.3678974911884865E-2</v>
      </c>
    </row>
    <row r="3122" spans="21:25" x14ac:dyDescent="0.2">
      <c r="U3122" s="213" t="str">
        <f t="shared" si="52"/>
        <v>1w</v>
      </c>
      <c r="V3122" s="201">
        <f>_xll.qlCalendarAdvance(Calendar,V3121,U3122,"f",FALSE)</f>
        <v>60693</v>
      </c>
      <c r="W3122" s="225">
        <f>_xll.qlCalendarAdvance(Calendar,V3122,NDays&amp;"D")</f>
        <v>60695</v>
      </c>
      <c r="X3122" s="200">
        <v>2.3889279457536914E-2</v>
      </c>
      <c r="Y3122" s="209">
        <v>2.3683631624900059E-2</v>
      </c>
    </row>
    <row r="3123" spans="21:25" x14ac:dyDescent="0.2">
      <c r="U3123" s="213" t="str">
        <f t="shared" si="52"/>
        <v>1w</v>
      </c>
      <c r="V3123" s="201">
        <f>_xll.qlCalendarAdvance(Calendar,V3122,U3123,"f",FALSE)</f>
        <v>60700</v>
      </c>
      <c r="W3123" s="225">
        <f>_xll.qlCalendarAdvance(Calendar,V3123,NDays&amp;"D")</f>
        <v>60702</v>
      </c>
      <c r="X3123" s="200">
        <v>2.389383787981441E-2</v>
      </c>
      <c r="Y3123" s="209">
        <v>2.3688277533278068E-2</v>
      </c>
    </row>
    <row r="3124" spans="21:25" x14ac:dyDescent="0.2">
      <c r="U3124" s="213" t="str">
        <f t="shared" si="52"/>
        <v>1w</v>
      </c>
      <c r="V3124" s="201">
        <f>_xll.qlCalendarAdvance(Calendar,V3123,U3124,"f",FALSE)</f>
        <v>60707</v>
      </c>
      <c r="W3124" s="225">
        <f>_xll.qlCalendarAdvance(Calendar,V3124,NDays&amp;"D")</f>
        <v>60709</v>
      </c>
      <c r="X3124" s="200">
        <v>2.3898385375570711E-2</v>
      </c>
      <c r="Y3124" s="209">
        <v>2.3692912637658381E-2</v>
      </c>
    </row>
    <row r="3125" spans="21:25" x14ac:dyDescent="0.2">
      <c r="U3125" s="213" t="str">
        <f t="shared" si="52"/>
        <v>1w</v>
      </c>
      <c r="V3125" s="201">
        <f>_xll.qlCalendarAdvance(Calendar,V3124,U3125,"f",FALSE)</f>
        <v>60714</v>
      </c>
      <c r="W3125" s="225">
        <f>_xll.qlCalendarAdvance(Calendar,V3125,NDays&amp;"D")</f>
        <v>60716</v>
      </c>
      <c r="X3125" s="200">
        <v>2.3902921944728893E-2</v>
      </c>
      <c r="Y3125" s="209">
        <v>2.3697536937401509E-2</v>
      </c>
    </row>
    <row r="3126" spans="21:25" x14ac:dyDescent="0.2">
      <c r="U3126" s="213" t="str">
        <f t="shared" si="52"/>
        <v>1w</v>
      </c>
      <c r="V3126" s="201">
        <f>_xll.qlCalendarAdvance(Calendar,V3125,U3126,"f",FALSE)</f>
        <v>60721</v>
      </c>
      <c r="W3126" s="225">
        <f>_xll.qlCalendarAdvance(Calendar,V3126,NDays&amp;"D")</f>
        <v>60723</v>
      </c>
      <c r="X3126" s="200">
        <v>2.3904117588812408E-2</v>
      </c>
      <c r="Y3126" s="209">
        <v>2.370215043274726E-2</v>
      </c>
    </row>
    <row r="3127" spans="21:25" x14ac:dyDescent="0.2">
      <c r="U3127" s="213" t="str">
        <f t="shared" si="52"/>
        <v>1w</v>
      </c>
      <c r="V3127" s="201">
        <f>_xll.qlCalendarAdvance(Calendar,V3126,U3127,"f",FALSE)</f>
        <v>60728</v>
      </c>
      <c r="W3127" s="225">
        <f>_xll.qlCalendarAdvance(Calendar,V3127,NDays&amp;"D")</f>
        <v>60730</v>
      </c>
      <c r="X3127" s="200">
        <v>2.3908633751648891E-2</v>
      </c>
      <c r="Y3127" s="209">
        <v>2.3711188803471117E-2</v>
      </c>
    </row>
    <row r="3128" spans="21:25" x14ac:dyDescent="0.2">
      <c r="U3128" s="213" t="str">
        <f t="shared" si="52"/>
        <v>1w</v>
      </c>
      <c r="V3128" s="201">
        <f>_xll.qlCalendarAdvance(Calendar,V3127,U3128,"f",FALSE)</f>
        <v>60735</v>
      </c>
      <c r="W3128" s="225">
        <f>_xll.qlCalendarAdvance(Calendar,V3128,NDays&amp;"D")</f>
        <v>60737</v>
      </c>
      <c r="X3128" s="200">
        <v>2.391313898967241E-2</v>
      </c>
      <c r="Y3128" s="209">
        <v>2.3711345010406504E-2</v>
      </c>
    </row>
    <row r="3129" spans="21:25" x14ac:dyDescent="0.2">
      <c r="U3129" s="213" t="str">
        <f t="shared" si="52"/>
        <v>1w</v>
      </c>
      <c r="V3129" s="201">
        <f>_xll.qlCalendarAdvance(Calendar,V3128,U3129,"f",FALSE)</f>
        <v>60742</v>
      </c>
      <c r="W3129" s="225">
        <f>_xll.qlCalendarAdvance(Calendar,V3129,NDays&amp;"D")</f>
        <v>60744</v>
      </c>
      <c r="X3129" s="200">
        <v>2.3917633302810014E-2</v>
      </c>
      <c r="Y3129" s="209">
        <v>2.3715926092799933E-2</v>
      </c>
    </row>
    <row r="3130" spans="21:25" x14ac:dyDescent="0.2">
      <c r="U3130" s="213" t="str">
        <f t="shared" si="52"/>
        <v>1w</v>
      </c>
      <c r="V3130" s="201">
        <f>_xll.qlCalendarAdvance(Calendar,V3129,U3130,"f",FALSE)</f>
        <v>60749</v>
      </c>
      <c r="W3130" s="225">
        <f>_xll.qlCalendarAdvance(Calendar,V3130,NDays&amp;"D")</f>
        <v>60751</v>
      </c>
      <c r="X3130" s="200">
        <v>2.3922116690985266E-2</v>
      </c>
      <c r="Y3130" s="209">
        <v>2.3720496370556177E-2</v>
      </c>
    </row>
    <row r="3131" spans="21:25" x14ac:dyDescent="0.2">
      <c r="U3131" s="213" t="str">
        <f t="shared" si="52"/>
        <v>1w</v>
      </c>
      <c r="V3131" s="201">
        <f>_xll.qlCalendarAdvance(Calendar,V3130,U3131,"f",FALSE)</f>
        <v>60756</v>
      </c>
      <c r="W3131" s="225">
        <f>_xll.qlCalendarAdvance(Calendar,V3131,NDays&amp;"D")</f>
        <v>60758</v>
      </c>
      <c r="X3131" s="200">
        <v>2.3929911896883403E-2</v>
      </c>
      <c r="Y3131" s="209">
        <v>2.3725055844154852E-2</v>
      </c>
    </row>
    <row r="3132" spans="21:25" x14ac:dyDescent="0.2">
      <c r="U3132" s="213" t="str">
        <f t="shared" si="52"/>
        <v>1w</v>
      </c>
      <c r="V3132" s="201">
        <f>_xll.qlCalendarAdvance(Calendar,V3131,U3132,"f",FALSE)</f>
        <v>60763</v>
      </c>
      <c r="W3132" s="225">
        <f>_xll.qlCalendarAdvance(Calendar,V3132,NDays&amp;"D")</f>
        <v>60765</v>
      </c>
      <c r="X3132" s="200">
        <v>2.3934371977740298E-2</v>
      </c>
      <c r="Y3132" s="209">
        <v>2.3729604513276215E-2</v>
      </c>
    </row>
    <row r="3133" spans="21:25" x14ac:dyDescent="0.2">
      <c r="U3133" s="213" t="str">
        <f t="shared" si="52"/>
        <v>1w</v>
      </c>
      <c r="V3133" s="201">
        <f>_xll.qlCalendarAdvance(Calendar,V3132,U3133,"f",FALSE)</f>
        <v>60770</v>
      </c>
      <c r="W3133" s="225">
        <f>_xll.qlCalendarAdvance(Calendar,V3133,NDays&amp;"D")</f>
        <v>60772</v>
      </c>
      <c r="X3133" s="200">
        <v>2.3938821131397836E-2</v>
      </c>
      <c r="Y3133" s="209">
        <v>2.3734142378080136E-2</v>
      </c>
    </row>
    <row r="3134" spans="21:25" x14ac:dyDescent="0.2">
      <c r="U3134" s="213" t="str">
        <f t="shared" si="52"/>
        <v>1w</v>
      </c>
      <c r="V3134" s="201">
        <f>_xll.qlCalendarAdvance(Calendar,V3133,U3134,"f",FALSE)</f>
        <v>60777</v>
      </c>
      <c r="W3134" s="225">
        <f>_xll.qlCalendarAdvance(Calendar,V3134,NDays&amp;"D")</f>
        <v>60779</v>
      </c>
      <c r="X3134" s="200">
        <v>2.3943259357780373E-2</v>
      </c>
      <c r="Y3134" s="209">
        <v>2.3738669438406745E-2</v>
      </c>
    </row>
    <row r="3135" spans="21:25" x14ac:dyDescent="0.2">
      <c r="U3135" s="213" t="str">
        <f t="shared" si="52"/>
        <v>1w</v>
      </c>
      <c r="V3135" s="201">
        <f>_xll.qlCalendarAdvance(Calendar,V3134,U3135,"f",FALSE)</f>
        <v>60784</v>
      </c>
      <c r="W3135" s="225">
        <f>_xll.qlCalendarAdvance(Calendar,V3135,NDays&amp;"D")</f>
        <v>60786</v>
      </c>
      <c r="X3135" s="200">
        <v>2.394436975487128E-2</v>
      </c>
      <c r="Y3135" s="209">
        <v>2.3743185694335978E-2</v>
      </c>
    </row>
    <row r="3136" spans="21:25" x14ac:dyDescent="0.2">
      <c r="U3136" s="213" t="str">
        <f t="shared" si="52"/>
        <v>1w</v>
      </c>
      <c r="V3136" s="201">
        <f>_xll.qlCalendarAdvance(Calendar,V3135,U3136,"f",FALSE)</f>
        <v>60791</v>
      </c>
      <c r="W3136" s="225">
        <f>_xll.qlCalendarAdvance(Calendar,V3136,NDays&amp;"D")</f>
        <v>60793</v>
      </c>
      <c r="X3136" s="200">
        <v>2.3948787591736576E-2</v>
      </c>
      <c r="Y3136" s="209">
        <v>2.3747691146027705E-2</v>
      </c>
    </row>
    <row r="3137" spans="21:25" x14ac:dyDescent="0.2">
      <c r="U3137" s="213" t="str">
        <f t="shared" si="52"/>
        <v>1w</v>
      </c>
      <c r="V3137" s="201">
        <f>_xll.qlCalendarAdvance(Calendar,V3136,U3137,"f",FALSE)</f>
        <v>60798</v>
      </c>
      <c r="W3137" s="225">
        <f>_xll.qlCalendarAdvance(Calendar,V3137,NDays&amp;"D")</f>
        <v>60800</v>
      </c>
      <c r="X3137" s="200">
        <v>2.3953194503128012E-2</v>
      </c>
      <c r="Y3137" s="209">
        <v>2.375218579324212E-2</v>
      </c>
    </row>
    <row r="3138" spans="21:25" x14ac:dyDescent="0.2">
      <c r="U3138" s="213" t="str">
        <f t="shared" si="52"/>
        <v>1w</v>
      </c>
      <c r="V3138" s="201">
        <f>_xll.qlCalendarAdvance(Calendar,V3137,U3138,"f",FALSE)</f>
        <v>60805</v>
      </c>
      <c r="W3138" s="225">
        <f>_xll.qlCalendarAdvance(Calendar,V3138,NDays&amp;"D")</f>
        <v>60807</v>
      </c>
      <c r="X3138" s="200">
        <v>2.3957590488972207E-2</v>
      </c>
      <c r="Y3138" s="209">
        <v>2.3756669635979222E-2</v>
      </c>
    </row>
    <row r="3139" spans="21:25" x14ac:dyDescent="0.2">
      <c r="U3139" s="213" t="str">
        <f t="shared" si="52"/>
        <v>1w</v>
      </c>
      <c r="V3139" s="201">
        <f>_xll.qlCalendarAdvance(Calendar,V3138,U3139,"f",FALSE)</f>
        <v>60812</v>
      </c>
      <c r="W3139" s="225">
        <f>_xll.qlCalendarAdvance(Calendar,V3139,NDays&amp;"D")</f>
        <v>60814</v>
      </c>
      <c r="X3139" s="200">
        <v>2.396528657797703E-2</v>
      </c>
      <c r="Y3139" s="209">
        <v>2.3761142674478819E-2</v>
      </c>
    </row>
    <row r="3140" spans="21:25" x14ac:dyDescent="0.2">
      <c r="U3140" s="213" t="str">
        <f t="shared" si="52"/>
        <v>1w</v>
      </c>
      <c r="V3140" s="201">
        <f>_xll.qlCalendarAdvance(Calendar,V3139,U3140,"f",FALSE)</f>
        <v>60819</v>
      </c>
      <c r="W3140" s="225">
        <f>_xll.qlCalendarAdvance(Calendar,V3140,NDays&amp;"D")</f>
        <v>60821</v>
      </c>
      <c r="X3140" s="200">
        <v>2.3969659239156837E-2</v>
      </c>
      <c r="Y3140" s="209">
        <v>2.3765604908501103E-2</v>
      </c>
    </row>
    <row r="3141" spans="21:25" x14ac:dyDescent="0.2">
      <c r="U3141" s="213" t="str">
        <f t="shared" si="52"/>
        <v>1w</v>
      </c>
      <c r="V3141" s="201">
        <f>_xll.qlCalendarAdvance(Calendar,V3140,U3141,"f",FALSE)</f>
        <v>60826</v>
      </c>
      <c r="W3141" s="225">
        <f>_xll.qlCalendarAdvance(Calendar,V3141,NDays&amp;"D")</f>
        <v>60828</v>
      </c>
      <c r="X3141" s="200">
        <v>2.3974020972545071E-2</v>
      </c>
      <c r="Y3141" s="209">
        <v>2.3770056338046075E-2</v>
      </c>
    </row>
    <row r="3142" spans="21:25" x14ac:dyDescent="0.2">
      <c r="U3142" s="213" t="str">
        <f t="shared" si="52"/>
        <v>1w</v>
      </c>
      <c r="V3142" s="201">
        <f>_xll.qlCalendarAdvance(Calendar,V3141,U3142,"f",FALSE)</f>
        <v>60833</v>
      </c>
      <c r="W3142" s="225">
        <f>_xll.qlCalendarAdvance(Calendar,V3142,NDays&amp;"D")</f>
        <v>60835</v>
      </c>
      <c r="X3142" s="200">
        <v>2.3978371778070818E-2</v>
      </c>
      <c r="Y3142" s="209">
        <v>2.3774496963513414E-2</v>
      </c>
    </row>
    <row r="3143" spans="21:25" x14ac:dyDescent="0.2">
      <c r="U3143" s="213" t="str">
        <f t="shared" si="52"/>
        <v>1w</v>
      </c>
      <c r="V3143" s="201">
        <f>_xll.qlCalendarAdvance(Calendar,V3142,U3143,"f",FALSE)</f>
        <v>60840</v>
      </c>
      <c r="W3143" s="225">
        <f>_xll.qlCalendarAdvance(Calendar,V3143,NDays&amp;"D")</f>
        <v>60842</v>
      </c>
      <c r="X3143" s="200">
        <v>2.3982711655658441E-2</v>
      </c>
      <c r="Y3143" s="209">
        <v>2.3778926784423504E-2</v>
      </c>
    </row>
    <row r="3144" spans="21:25" x14ac:dyDescent="0.2">
      <c r="U3144" s="213" t="str">
        <f t="shared" si="52"/>
        <v>1w</v>
      </c>
      <c r="V3144" s="201">
        <f>_xll.qlCalendarAdvance(Calendar,V3143,U3144,"f",FALSE)</f>
        <v>60847</v>
      </c>
      <c r="W3144" s="225">
        <f>_xll.qlCalendarAdvance(Calendar,V3144,NDays&amp;"D")</f>
        <v>60849</v>
      </c>
      <c r="X3144" s="200">
        <v>2.3987040605237459E-2</v>
      </c>
      <c r="Y3144" s="209">
        <v>2.3783345800856281E-2</v>
      </c>
    </row>
    <row r="3145" spans="21:25" x14ac:dyDescent="0.2">
      <c r="U3145" s="213" t="str">
        <f t="shared" si="52"/>
        <v>1w</v>
      </c>
      <c r="V3145" s="201">
        <f>_xll.qlCalendarAdvance(Calendar,V3144,U3145,"f",FALSE)</f>
        <v>60854</v>
      </c>
      <c r="W3145" s="225">
        <f>_xll.qlCalendarAdvance(Calendar,V3145,NDays&amp;"D")</f>
        <v>60856</v>
      </c>
      <c r="X3145" s="200">
        <v>2.399135862673395E-2</v>
      </c>
      <c r="Y3145" s="209">
        <v>2.3787754013051554E-2</v>
      </c>
    </row>
    <row r="3146" spans="21:25" x14ac:dyDescent="0.2">
      <c r="U3146" s="213" t="str">
        <f t="shared" si="52"/>
        <v>1w</v>
      </c>
      <c r="V3146" s="201">
        <f>_xll.qlCalendarAdvance(Calendar,V3145,U3146,"f",FALSE)</f>
        <v>60861</v>
      </c>
      <c r="W3146" s="225">
        <f>_xll.qlCalendarAdvance(Calendar,V3146,NDays&amp;"D")</f>
        <v>60863</v>
      </c>
      <c r="X3146" s="200">
        <v>2.3995665720077008E-2</v>
      </c>
      <c r="Y3146" s="209">
        <v>2.3792151420769514E-2</v>
      </c>
    </row>
    <row r="3147" spans="21:25" x14ac:dyDescent="0.2">
      <c r="U3147" s="213" t="str">
        <f t="shared" si="52"/>
        <v>1w</v>
      </c>
      <c r="V3147" s="201">
        <f>_xll.qlCalendarAdvance(Calendar,V3146,U3147,"f",FALSE)</f>
        <v>60868</v>
      </c>
      <c r="W3147" s="225">
        <f>_xll.qlCalendarAdvance(Calendar,V3147,NDays&amp;"D")</f>
        <v>60870</v>
      </c>
      <c r="X3147" s="200">
        <v>2.3999961885192708E-2</v>
      </c>
      <c r="Y3147" s="209">
        <v>2.3796538024090097E-2</v>
      </c>
    </row>
    <row r="3148" spans="21:25" x14ac:dyDescent="0.2">
      <c r="U3148" s="213" t="str">
        <f t="shared" si="52"/>
        <v>1w</v>
      </c>
      <c r="V3148" s="201">
        <f>_xll.qlCalendarAdvance(Calendar,V3147,U3148,"f",FALSE)</f>
        <v>60875</v>
      </c>
      <c r="W3148" s="225">
        <f>_xll.qlCalendarAdvance(Calendar,V3148,NDays&amp;"D")</f>
        <v>60877</v>
      </c>
      <c r="X3148" s="200">
        <v>2.3998750967669624E-2</v>
      </c>
      <c r="Y3148" s="209">
        <v>2.3800913823013303E-2</v>
      </c>
    </row>
    <row r="3149" spans="21:25" x14ac:dyDescent="0.2">
      <c r="U3149" s="213" t="str">
        <f t="shared" si="52"/>
        <v>1w</v>
      </c>
      <c r="V3149" s="201">
        <f>_xll.qlCalendarAdvance(Calendar,V3148,U3149,"f",FALSE)</f>
        <v>60882</v>
      </c>
      <c r="W3149" s="225">
        <f>_xll.qlCalendarAdvance(Calendar,V3149,NDays&amp;"D")</f>
        <v>60884</v>
      </c>
      <c r="X3149" s="200">
        <v>2.4003027761799519E-2</v>
      </c>
      <c r="Y3149" s="209">
        <v>2.3805278817619069E-2</v>
      </c>
    </row>
    <row r="3150" spans="21:25" x14ac:dyDescent="0.2">
      <c r="U3150" s="213" t="str">
        <f t="shared" si="52"/>
        <v>1w</v>
      </c>
      <c r="V3150" s="201">
        <f>_xll.qlCalendarAdvance(Calendar,V3149,U3150,"f",FALSE)</f>
        <v>60889</v>
      </c>
      <c r="W3150" s="225">
        <f>_xll.qlCalendarAdvance(Calendar,V3150,NDays&amp;"D")</f>
        <v>60891</v>
      </c>
      <c r="X3150" s="200">
        <v>2.4007293630884233E-2</v>
      </c>
      <c r="Y3150" s="209">
        <v>2.3809633007827458E-2</v>
      </c>
    </row>
    <row r="3151" spans="21:25" x14ac:dyDescent="0.2">
      <c r="U3151" s="213" t="str">
        <f t="shared" si="52"/>
        <v>1w</v>
      </c>
      <c r="V3151" s="201">
        <f>_xll.qlCalendarAdvance(Calendar,V3150,U3151,"f",FALSE)</f>
        <v>60896</v>
      </c>
      <c r="W3151" s="225">
        <f>_xll.qlCalendarAdvance(Calendar,V3151,NDays&amp;"D")</f>
        <v>60898</v>
      </c>
      <c r="X3151" s="200">
        <v>2.4011548574853547E-2</v>
      </c>
      <c r="Y3151" s="209">
        <v>2.3813976393558534E-2</v>
      </c>
    </row>
    <row r="3152" spans="21:25" x14ac:dyDescent="0.2">
      <c r="U3152" s="213" t="str">
        <f t="shared" si="52"/>
        <v>1w</v>
      </c>
      <c r="V3152" s="201">
        <f>_xll.qlCalendarAdvance(Calendar,V3151,U3152,"f",FALSE)</f>
        <v>60903</v>
      </c>
      <c r="W3152" s="225">
        <f>_xll.qlCalendarAdvance(Calendar,V3152,NDays&amp;"D")</f>
        <v>60905</v>
      </c>
      <c r="X3152" s="200">
        <v>2.4016889830570168E-2</v>
      </c>
      <c r="Y3152" s="209">
        <v>2.3818308974972169E-2</v>
      </c>
    </row>
    <row r="3153" spans="21:25" x14ac:dyDescent="0.2">
      <c r="U3153" s="213" t="str">
        <f t="shared" si="52"/>
        <v>1w</v>
      </c>
      <c r="V3153" s="201">
        <f>_xll.qlCalendarAdvance(Calendar,V3152,U3153,"f",FALSE)</f>
        <v>60910</v>
      </c>
      <c r="W3153" s="225">
        <f>_xll.qlCalendarAdvance(Calendar,V3153,NDays&amp;"D")</f>
        <v>60912</v>
      </c>
      <c r="X3153" s="200">
        <v>2.4021122424402512E-2</v>
      </c>
      <c r="Y3153" s="209">
        <v>2.3822630752068363E-2</v>
      </c>
    </row>
    <row r="3154" spans="21:25" x14ac:dyDescent="0.2">
      <c r="U3154" s="213" t="str">
        <f t="shared" si="52"/>
        <v>1w</v>
      </c>
      <c r="V3154" s="201">
        <f>_xll.qlCalendarAdvance(Calendar,V3153,U3154,"f",FALSE)</f>
        <v>60917</v>
      </c>
      <c r="W3154" s="225">
        <f>_xll.qlCalendarAdvance(Calendar,V3154,NDays&amp;"D")</f>
        <v>60919</v>
      </c>
      <c r="X3154" s="200">
        <v>2.4025344092232337E-2</v>
      </c>
      <c r="Y3154" s="209">
        <v>2.3826941724607309E-2</v>
      </c>
    </row>
    <row r="3155" spans="21:25" x14ac:dyDescent="0.2">
      <c r="U3155" s="213" t="str">
        <f t="shared" si="52"/>
        <v>1w</v>
      </c>
      <c r="V3155" s="201">
        <f>_xll.qlCalendarAdvance(Calendar,V3154,U3155,"f",FALSE)</f>
        <v>60924</v>
      </c>
      <c r="W3155" s="225">
        <f>_xll.qlCalendarAdvance(Calendar,V3155,NDays&amp;"D")</f>
        <v>60926</v>
      </c>
      <c r="X3155" s="200">
        <v>2.4029554833989806E-2</v>
      </c>
      <c r="Y3155" s="209">
        <v>2.3831241892988686E-2</v>
      </c>
    </row>
    <row r="3156" spans="21:25" x14ac:dyDescent="0.2">
      <c r="U3156" s="213" t="str">
        <f t="shared" si="52"/>
        <v>1w</v>
      </c>
      <c r="V3156" s="201">
        <f>_xll.qlCalendarAdvance(Calendar,V3155,U3156,"f",FALSE)</f>
        <v>60931</v>
      </c>
      <c r="W3156" s="225">
        <f>_xll.qlCalendarAdvance(Calendar,V3156,NDays&amp;"D")</f>
        <v>60933</v>
      </c>
      <c r="X3156" s="200">
        <v>2.4033754649605523E-2</v>
      </c>
      <c r="Y3156" s="209">
        <v>2.3835531256732878E-2</v>
      </c>
    </row>
    <row r="3157" spans="21:25" x14ac:dyDescent="0.2">
      <c r="U3157" s="213" t="str">
        <f t="shared" ref="U3157:U3220" si="53">U3156</f>
        <v>1w</v>
      </c>
      <c r="V3157" s="201">
        <f>_xll.qlCalendarAdvance(Calendar,V3156,U3157,"f",FALSE)</f>
        <v>60938</v>
      </c>
      <c r="W3157" s="225">
        <f>_xll.qlCalendarAdvance(Calendar,V3157,NDays&amp;"D")</f>
        <v>60940</v>
      </c>
      <c r="X3157" s="200">
        <v>2.403684880738222E-2</v>
      </c>
      <c r="Y3157" s="209">
        <v>2.3839809816239566E-2</v>
      </c>
    </row>
    <row r="3158" spans="21:25" x14ac:dyDescent="0.2">
      <c r="U3158" s="213" t="str">
        <f t="shared" si="53"/>
        <v>1w</v>
      </c>
      <c r="V3158" s="201">
        <f>_xll.qlCalendarAdvance(Calendar,V3157,U3158,"f",FALSE)</f>
        <v>60945</v>
      </c>
      <c r="W3158" s="225">
        <f>_xll.qlCalendarAdvance(Calendar,V3158,NDays&amp;"D")</f>
        <v>60947</v>
      </c>
      <c r="X3158" s="200">
        <v>2.4041027273614245E-2</v>
      </c>
      <c r="Y3158" s="209">
        <v>2.384407757126894E-2</v>
      </c>
    </row>
    <row r="3159" spans="21:25" x14ac:dyDescent="0.2">
      <c r="U3159" s="213" t="str">
        <f t="shared" si="53"/>
        <v>1w</v>
      </c>
      <c r="V3159" s="201">
        <f>_xll.qlCalendarAdvance(Calendar,V3158,U3159,"f",FALSE)</f>
        <v>60952</v>
      </c>
      <c r="W3159" s="225">
        <f>_xll.qlCalendarAdvance(Calendar,V3159,NDays&amp;"D")</f>
        <v>60954</v>
      </c>
      <c r="X3159" s="200">
        <v>2.4045194814181475E-2</v>
      </c>
      <c r="Y3159" s="209">
        <v>2.3848334521741066E-2</v>
      </c>
    </row>
    <row r="3160" spans="21:25" x14ac:dyDescent="0.2">
      <c r="U3160" s="213" t="str">
        <f t="shared" si="53"/>
        <v>1w</v>
      </c>
      <c r="V3160" s="201">
        <f>_xll.qlCalendarAdvance(Calendar,V3159,U3160,"f",FALSE)</f>
        <v>60959</v>
      </c>
      <c r="W3160" s="225">
        <f>_xll.qlCalendarAdvance(Calendar,V3160,NDays&amp;"D")</f>
        <v>60961</v>
      </c>
      <c r="X3160" s="200">
        <v>2.4049351429016787E-2</v>
      </c>
      <c r="Y3160" s="209">
        <v>2.3852580668215495E-2</v>
      </c>
    </row>
    <row r="3161" spans="21:25" x14ac:dyDescent="0.2">
      <c r="U3161" s="213" t="str">
        <f t="shared" si="53"/>
        <v>1w</v>
      </c>
      <c r="V3161" s="201">
        <f>_xll.qlCalendarAdvance(Calendar,V3160,U3161,"f",FALSE)</f>
        <v>60966</v>
      </c>
      <c r="W3161" s="225">
        <f>_xll.qlCalendarAdvance(Calendar,V3161,NDays&amp;"D")</f>
        <v>60968</v>
      </c>
      <c r="X3161" s="200">
        <v>2.4054589833166384E-2</v>
      </c>
      <c r="Y3161" s="209">
        <v>2.3856816010052739E-2</v>
      </c>
    </row>
    <row r="3162" spans="21:25" x14ac:dyDescent="0.2">
      <c r="U3162" s="213" t="str">
        <f t="shared" si="53"/>
        <v>1w</v>
      </c>
      <c r="V3162" s="201">
        <f>_xll.qlCalendarAdvance(Calendar,V3161,U3162,"f",FALSE)</f>
        <v>60973</v>
      </c>
      <c r="W3162" s="225">
        <f>_xll.qlCalendarAdvance(Calendar,V3162,NDays&amp;"D")</f>
        <v>60975</v>
      </c>
      <c r="X3162" s="200">
        <v>2.4058724090496707E-2</v>
      </c>
      <c r="Y3162" s="209">
        <v>2.3861040547492607E-2</v>
      </c>
    </row>
    <row r="3163" spans="21:25" x14ac:dyDescent="0.2">
      <c r="U3163" s="213" t="str">
        <f t="shared" si="53"/>
        <v>1w</v>
      </c>
      <c r="V3163" s="201">
        <f>_xll.qlCalendarAdvance(Calendar,V3162,U3163,"f",FALSE)</f>
        <v>60980</v>
      </c>
      <c r="W3163" s="225">
        <f>_xll.qlCalendarAdvance(Calendar,V3163,NDays&amp;"D")</f>
        <v>60982</v>
      </c>
      <c r="X3163" s="200">
        <v>2.4062847421208303E-2</v>
      </c>
      <c r="Y3163" s="209">
        <v>2.3865254280535098E-2</v>
      </c>
    </row>
    <row r="3164" spans="21:25" x14ac:dyDescent="0.2">
      <c r="U3164" s="213" t="str">
        <f t="shared" si="53"/>
        <v>1w</v>
      </c>
      <c r="V3164" s="201">
        <f>_xll.qlCalendarAdvance(Calendar,V3163,U3164,"f",FALSE)</f>
        <v>60987</v>
      </c>
      <c r="W3164" s="225">
        <f>_xll.qlCalendarAdvance(Calendar,V3164,NDays&amp;"D")</f>
        <v>60989</v>
      </c>
      <c r="X3164" s="200">
        <v>2.4066959825233089E-2</v>
      </c>
      <c r="Y3164" s="209">
        <v>2.3869457209340084E-2</v>
      </c>
    </row>
    <row r="3165" spans="21:25" x14ac:dyDescent="0.2">
      <c r="U3165" s="213" t="str">
        <f t="shared" si="53"/>
        <v>1w</v>
      </c>
      <c r="V3165" s="201">
        <f>_xll.qlCalendarAdvance(Calendar,V3164,U3165,"f",FALSE)</f>
        <v>60994</v>
      </c>
      <c r="W3165" s="225">
        <f>_xll.qlCalendarAdvance(Calendar,V3165,NDays&amp;"D")</f>
        <v>60996</v>
      </c>
      <c r="X3165" s="200">
        <v>2.407106130250387E-2</v>
      </c>
      <c r="Y3165" s="209">
        <v>2.3873649333667757E-2</v>
      </c>
    </row>
    <row r="3166" spans="21:25" x14ac:dyDescent="0.2">
      <c r="U3166" s="213" t="str">
        <f t="shared" si="53"/>
        <v>1w</v>
      </c>
      <c r="V3166" s="201">
        <f>_xll.qlCalendarAdvance(Calendar,V3165,U3166,"f",FALSE)</f>
        <v>61001</v>
      </c>
      <c r="W3166" s="225">
        <f>_xll.qlCalendarAdvance(Calendar,V3166,NDays&amp;"D")</f>
        <v>61003</v>
      </c>
      <c r="X3166" s="200">
        <v>2.4074061673863324E-2</v>
      </c>
      <c r="Y3166" s="209">
        <v>2.3877830653438181E-2</v>
      </c>
    </row>
    <row r="3167" spans="21:25" x14ac:dyDescent="0.2">
      <c r="U3167" s="213" t="str">
        <f t="shared" si="53"/>
        <v>1w</v>
      </c>
      <c r="V3167" s="201">
        <f>_xll.qlCalendarAdvance(Calendar,V3166,U3167,"f",FALSE)</f>
        <v>61008</v>
      </c>
      <c r="W3167" s="225">
        <f>_xll.qlCalendarAdvance(Calendar,V3167,NDays&amp;"D")</f>
        <v>61010</v>
      </c>
      <c r="X3167" s="200">
        <v>2.4078141806683214E-2</v>
      </c>
      <c r="Y3167" s="209">
        <v>2.3882001168971101E-2</v>
      </c>
    </row>
    <row r="3168" spans="21:25" x14ac:dyDescent="0.2">
      <c r="U3168" s="213" t="str">
        <f t="shared" si="53"/>
        <v>1w</v>
      </c>
      <c r="V3168" s="201">
        <f>_xll.qlCalendarAdvance(Calendar,V3167,U3168,"f",FALSE)</f>
        <v>61015</v>
      </c>
      <c r="W3168" s="225">
        <f>_xll.qlCalendarAdvance(Calendar,V3168,NDays&amp;"D")</f>
        <v>61017</v>
      </c>
      <c r="X3168" s="200">
        <v>2.4082211013235041E-2</v>
      </c>
      <c r="Y3168" s="209">
        <v>2.3886160880106644E-2</v>
      </c>
    </row>
    <row r="3169" spans="21:25" x14ac:dyDescent="0.2">
      <c r="U3169" s="213" t="str">
        <f t="shared" si="53"/>
        <v>1w</v>
      </c>
      <c r="V3169" s="201">
        <f>_xll.qlCalendarAdvance(Calendar,V3168,U3169,"f",FALSE)</f>
        <v>61022</v>
      </c>
      <c r="W3169" s="225">
        <f>_xll.qlCalendarAdvance(Calendar,V3169,NDays&amp;"D")</f>
        <v>61024</v>
      </c>
      <c r="X3169" s="200">
        <v>2.408626929345167E-2</v>
      </c>
      <c r="Y3169" s="209">
        <v>2.389030978684481E-2</v>
      </c>
    </row>
    <row r="3170" spans="21:25" x14ac:dyDescent="0.2">
      <c r="U3170" s="213" t="str">
        <f t="shared" si="53"/>
        <v>1w</v>
      </c>
      <c r="V3170" s="201">
        <f>_xll.qlCalendarAdvance(Calendar,V3169,U3170,"f",FALSE)</f>
        <v>61029</v>
      </c>
      <c r="W3170" s="225">
        <f>_xll.qlCalendarAdvance(Calendar,V3170,NDays&amp;"D")</f>
        <v>61031</v>
      </c>
      <c r="X3170" s="200">
        <v>2.4090316647264211E-2</v>
      </c>
      <c r="Y3170" s="209">
        <v>2.3894447889105663E-2</v>
      </c>
    </row>
    <row r="3171" spans="21:25" x14ac:dyDescent="0.2">
      <c r="U3171" s="213" t="str">
        <f t="shared" si="53"/>
        <v>1w</v>
      </c>
      <c r="V3171" s="201">
        <f>_xll.qlCalendarAdvance(Calendar,V3170,U3171,"f",FALSE)</f>
        <v>61036</v>
      </c>
      <c r="W3171" s="225">
        <f>_xll.qlCalendarAdvance(Calendar,V3171,NDays&amp;"D")</f>
        <v>61038</v>
      </c>
      <c r="X3171" s="200">
        <v>2.409435307461039E-2</v>
      </c>
      <c r="Y3171" s="209">
        <v>2.3898575187049076E-2</v>
      </c>
    </row>
    <row r="3172" spans="21:25" x14ac:dyDescent="0.2">
      <c r="U3172" s="213" t="str">
        <f t="shared" si="53"/>
        <v>1w</v>
      </c>
      <c r="V3172" s="201">
        <f>_xll.qlCalendarAdvance(Calendar,V3171,U3172,"f",FALSE)</f>
        <v>61043</v>
      </c>
      <c r="W3172" s="225">
        <f>_xll.qlCalendarAdvance(Calendar,V3172,NDays&amp;"D")</f>
        <v>61045</v>
      </c>
      <c r="X3172" s="200">
        <v>2.4098378575424403E-2</v>
      </c>
      <c r="Y3172" s="209">
        <v>2.3902691680595112E-2</v>
      </c>
    </row>
    <row r="3173" spans="21:25" x14ac:dyDescent="0.2">
      <c r="U3173" s="213" t="str">
        <f t="shared" si="53"/>
        <v>1w</v>
      </c>
      <c r="V3173" s="201">
        <f>_xll.qlCalendarAdvance(Calendar,V3172,U3173,"f",FALSE)</f>
        <v>61050</v>
      </c>
      <c r="W3173" s="225">
        <f>_xll.qlCalendarAdvance(Calendar,V3173,NDays&amp;"D")</f>
        <v>61052</v>
      </c>
      <c r="X3173" s="200">
        <v>2.4102393149637795E-2</v>
      </c>
      <c r="Y3173" s="209">
        <v>2.3906797369743771E-2</v>
      </c>
    </row>
    <row r="3174" spans="21:25" x14ac:dyDescent="0.2">
      <c r="U3174" s="213" t="str">
        <f t="shared" si="53"/>
        <v>1w</v>
      </c>
      <c r="V3174" s="201">
        <f>_xll.qlCalendarAdvance(Calendar,V3173,U3174,"f",FALSE)</f>
        <v>61057</v>
      </c>
      <c r="W3174" s="225">
        <f>_xll.qlCalendarAdvance(Calendar,V3174,NDays&amp;"D")</f>
        <v>61059</v>
      </c>
      <c r="X3174" s="200">
        <v>2.4111827215306209E-2</v>
      </c>
      <c r="Y3174" s="209">
        <v>2.3910892254495053E-2</v>
      </c>
    </row>
    <row r="3175" spans="21:25" x14ac:dyDescent="0.2">
      <c r="U3175" s="213" t="str">
        <f t="shared" si="53"/>
        <v>1w</v>
      </c>
      <c r="V3175" s="201">
        <f>_xll.qlCalendarAdvance(Calendar,V3174,U3175,"f",FALSE)</f>
        <v>61064</v>
      </c>
      <c r="W3175" s="225">
        <f>_xll.qlCalendarAdvance(Calendar,V3175,NDays&amp;"D")</f>
        <v>61066</v>
      </c>
      <c r="X3175" s="200">
        <v>2.411581736155188E-2</v>
      </c>
      <c r="Y3175" s="209">
        <v>2.3914976334769023E-2</v>
      </c>
    </row>
    <row r="3176" spans="21:25" x14ac:dyDescent="0.2">
      <c r="U3176" s="213" t="str">
        <f t="shared" si="53"/>
        <v>1w</v>
      </c>
      <c r="V3176" s="201">
        <f>_xll.qlCalendarAdvance(Calendar,V3175,U3176,"f",FALSE)</f>
        <v>61071</v>
      </c>
      <c r="W3176" s="225">
        <f>_xll.qlCalendarAdvance(Calendar,V3176,NDays&amp;"D")</f>
        <v>61073</v>
      </c>
      <c r="X3176" s="200">
        <v>2.4119796577560193E-2</v>
      </c>
      <c r="Y3176" s="209">
        <v>2.3919049610645615E-2</v>
      </c>
    </row>
    <row r="3177" spans="21:25" x14ac:dyDescent="0.2">
      <c r="U3177" s="213" t="str">
        <f t="shared" si="53"/>
        <v>1w</v>
      </c>
      <c r="V3177" s="201">
        <f>_xll.qlCalendarAdvance(Calendar,V3176,U3177,"f",FALSE)</f>
        <v>61078</v>
      </c>
      <c r="W3177" s="225">
        <f>_xll.qlCalendarAdvance(Calendar,V3177,NDays&amp;"D")</f>
        <v>61080</v>
      </c>
      <c r="X3177" s="200">
        <v>2.4123764863264101E-2</v>
      </c>
      <c r="Y3177" s="209">
        <v>2.3923112082284703E-2</v>
      </c>
    </row>
    <row r="3178" spans="21:25" x14ac:dyDescent="0.2">
      <c r="U3178" s="213" t="str">
        <f t="shared" si="53"/>
        <v>1w</v>
      </c>
      <c r="V3178" s="201">
        <f>_xll.qlCalendarAdvance(Calendar,V3177,U3178,"f",FALSE)</f>
        <v>61085</v>
      </c>
      <c r="W3178" s="225">
        <f>_xll.qlCalendarAdvance(Calendar,V3178,NDays&amp;"D")</f>
        <v>61087</v>
      </c>
      <c r="X3178" s="200">
        <v>2.4124470163342588E-2</v>
      </c>
      <c r="Y3178" s="209">
        <v>2.3931500288622232E-2</v>
      </c>
    </row>
    <row r="3179" spans="21:25" x14ac:dyDescent="0.2">
      <c r="U3179" s="213" t="str">
        <f t="shared" si="53"/>
        <v>1w</v>
      </c>
      <c r="V3179" s="201">
        <f>_xll.qlCalendarAdvance(Calendar,V3178,U3179,"f",FALSE)</f>
        <v>61092</v>
      </c>
      <c r="W3179" s="225">
        <f>_xll.qlCalendarAdvance(Calendar,V3179,NDays&amp;"D")</f>
        <v>61094</v>
      </c>
      <c r="X3179" s="200">
        <v>2.4128418141494638E-2</v>
      </c>
      <c r="Y3179" s="209">
        <v>2.3931204612051005E-2</v>
      </c>
    </row>
    <row r="3180" spans="21:25" x14ac:dyDescent="0.2">
      <c r="U3180" s="213" t="str">
        <f t="shared" si="53"/>
        <v>1w</v>
      </c>
      <c r="V3180" s="201">
        <f>_xll.qlCalendarAdvance(Calendar,V3179,U3180,"f",FALSE)</f>
        <v>61099</v>
      </c>
      <c r="W3180" s="225">
        <f>_xll.qlCalendarAdvance(Calendar,V3180,NDays&amp;"D")</f>
        <v>61101</v>
      </c>
      <c r="X3180" s="200">
        <v>2.4132355191214316E-2</v>
      </c>
      <c r="Y3180" s="209">
        <v>2.393523467033809E-2</v>
      </c>
    </row>
    <row r="3181" spans="21:25" x14ac:dyDescent="0.2">
      <c r="U3181" s="213" t="str">
        <f t="shared" si="53"/>
        <v>1w</v>
      </c>
      <c r="V3181" s="201">
        <f>_xll.qlCalendarAdvance(Calendar,V3180,U3181,"f",FALSE)</f>
        <v>61106</v>
      </c>
      <c r="W3181" s="225">
        <f>_xll.qlCalendarAdvance(Calendar,V3181,NDays&amp;"D")</f>
        <v>61108</v>
      </c>
      <c r="X3181" s="200">
        <v>2.4136281312435236E-2</v>
      </c>
      <c r="Y3181" s="209">
        <v>2.3939253924227799E-2</v>
      </c>
    </row>
    <row r="3182" spans="21:25" x14ac:dyDescent="0.2">
      <c r="U3182" s="213" t="str">
        <f t="shared" si="53"/>
        <v>1w</v>
      </c>
      <c r="V3182" s="201">
        <f>_xll.qlCalendarAdvance(Calendar,V3181,U3182,"f",FALSE)</f>
        <v>61113</v>
      </c>
      <c r="W3182" s="225">
        <f>_xll.qlCalendarAdvance(Calendar,V3182,NDays&amp;"D")</f>
        <v>61115</v>
      </c>
      <c r="X3182" s="200">
        <v>2.4140196505094493E-2</v>
      </c>
      <c r="Y3182" s="209">
        <v>2.3943262373880003E-2</v>
      </c>
    </row>
    <row r="3183" spans="21:25" x14ac:dyDescent="0.2">
      <c r="U3183" s="213" t="str">
        <f t="shared" si="53"/>
        <v>1w</v>
      </c>
      <c r="V3183" s="201">
        <f>_xll.qlCalendarAdvance(Calendar,V3182,U3183,"f",FALSE)</f>
        <v>61120</v>
      </c>
      <c r="W3183" s="225">
        <f>_xll.qlCalendarAdvance(Calendar,V3183,NDays&amp;"D")</f>
        <v>61122</v>
      </c>
      <c r="X3183" s="200">
        <v>2.4147345037384922E-2</v>
      </c>
      <c r="Y3183" s="209">
        <v>2.3947260018974958E-2</v>
      </c>
    </row>
    <row r="3184" spans="21:25" x14ac:dyDescent="0.2">
      <c r="U3184" s="213" t="str">
        <f t="shared" si="53"/>
        <v>1w</v>
      </c>
      <c r="V3184" s="201">
        <f>_xll.qlCalendarAdvance(Calendar,V3183,U3184,"f",FALSE)</f>
        <v>61127</v>
      </c>
      <c r="W3184" s="225">
        <f>_xll.qlCalendarAdvance(Calendar,V3184,NDays&amp;"D")</f>
        <v>61129</v>
      </c>
      <c r="X3184" s="200">
        <v>2.4151236809106583E-2</v>
      </c>
      <c r="Y3184" s="209">
        <v>2.3951246859672537E-2</v>
      </c>
    </row>
    <row r="3185" spans="21:25" x14ac:dyDescent="0.2">
      <c r="U3185" s="213" t="str">
        <f t="shared" si="53"/>
        <v>1w</v>
      </c>
      <c r="V3185" s="201">
        <f>_xll.qlCalendarAdvance(Calendar,V3184,U3185,"f",FALSE)</f>
        <v>61134</v>
      </c>
      <c r="W3185" s="225">
        <f>_xll.qlCalendarAdvance(Calendar,V3185,NDays&amp;"D")</f>
        <v>61136</v>
      </c>
      <c r="X3185" s="200">
        <v>2.415511764999824E-2</v>
      </c>
      <c r="Y3185" s="209">
        <v>2.3955222895892803E-2</v>
      </c>
    </row>
    <row r="3186" spans="21:25" x14ac:dyDescent="0.2">
      <c r="U3186" s="213" t="str">
        <f t="shared" si="53"/>
        <v>1w</v>
      </c>
      <c r="V3186" s="201">
        <f>_xll.qlCalendarAdvance(Calendar,V3185,U3186,"f",FALSE)</f>
        <v>61141</v>
      </c>
      <c r="W3186" s="225">
        <f>_xll.qlCalendarAdvance(Calendar,V3186,NDays&amp;"D")</f>
        <v>61143</v>
      </c>
      <c r="X3186" s="200">
        <v>2.4158987559994568E-2</v>
      </c>
      <c r="Y3186" s="209">
        <v>2.3959188127875564E-2</v>
      </c>
    </row>
    <row r="3187" spans="21:25" x14ac:dyDescent="0.2">
      <c r="U3187" s="213" t="str">
        <f t="shared" si="53"/>
        <v>1w</v>
      </c>
      <c r="V3187" s="201">
        <f>_xll.qlCalendarAdvance(Calendar,V3186,U3187,"f",FALSE)</f>
        <v>61148</v>
      </c>
      <c r="W3187" s="225">
        <f>_xll.qlCalendarAdvance(Calendar,V3187,NDays&amp;"D")</f>
        <v>61150</v>
      </c>
      <c r="X3187" s="200">
        <v>2.4159608537702736E-2</v>
      </c>
      <c r="Y3187" s="209">
        <v>2.3963142555460948E-2</v>
      </c>
    </row>
    <row r="3188" spans="21:25" x14ac:dyDescent="0.2">
      <c r="U3188" s="213" t="str">
        <f t="shared" si="53"/>
        <v>1w</v>
      </c>
      <c r="V3188" s="201">
        <f>_xll.qlCalendarAdvance(Calendar,V3187,U3188,"f",FALSE)</f>
        <v>61155</v>
      </c>
      <c r="W3188" s="225">
        <f>_xll.qlCalendarAdvance(Calendar,V3188,NDays&amp;"D")</f>
        <v>61157</v>
      </c>
      <c r="X3188" s="200">
        <v>2.4163458157638346E-2</v>
      </c>
      <c r="Y3188" s="209">
        <v>2.3967086178569019E-2</v>
      </c>
    </row>
    <row r="3189" spans="21:25" x14ac:dyDescent="0.2">
      <c r="U3189" s="213" t="str">
        <f t="shared" si="53"/>
        <v>1w</v>
      </c>
      <c r="V3189" s="201">
        <f>_xll.qlCalendarAdvance(Calendar,V3188,U3189,"f",FALSE)</f>
        <v>61162</v>
      </c>
      <c r="W3189" s="225">
        <f>_xll.qlCalendarAdvance(Calendar,V3189,NDays&amp;"D")</f>
        <v>61164</v>
      </c>
      <c r="X3189" s="200">
        <v>2.4167296848565004E-2</v>
      </c>
      <c r="Y3189" s="209">
        <v>2.3971018997119842E-2</v>
      </c>
    </row>
    <row r="3190" spans="21:25" x14ac:dyDescent="0.2">
      <c r="U3190" s="213" t="str">
        <f t="shared" si="53"/>
        <v>1w</v>
      </c>
      <c r="V3190" s="201">
        <f>_xll.qlCalendarAdvance(Calendar,V3189,U3190,"f",FALSE)</f>
        <v>61169</v>
      </c>
      <c r="W3190" s="225">
        <f>_xll.qlCalendarAdvance(Calendar,V3190,NDays&amp;"D")</f>
        <v>61171</v>
      </c>
      <c r="X3190" s="200">
        <v>2.4171124610418059E-2</v>
      </c>
      <c r="Y3190" s="209">
        <v>2.3974941011593032E-2</v>
      </c>
    </row>
    <row r="3191" spans="21:25" x14ac:dyDescent="0.2">
      <c r="U3191" s="213" t="str">
        <f t="shared" si="53"/>
        <v>1w</v>
      </c>
      <c r="V3191" s="201">
        <f>_xll.qlCalendarAdvance(Calendar,V3190,U3191,"f",FALSE)</f>
        <v>61176</v>
      </c>
      <c r="W3191" s="225">
        <f>_xll.qlCalendarAdvance(Calendar,V3191,NDays&amp;"D")</f>
        <v>61178</v>
      </c>
      <c r="X3191" s="200">
        <v>2.4174941443134611E-2</v>
      </c>
      <c r="Y3191" s="209">
        <v>2.3978852221429037E-2</v>
      </c>
    </row>
    <row r="3192" spans="21:25" x14ac:dyDescent="0.2">
      <c r="U3192" s="213" t="str">
        <f t="shared" si="53"/>
        <v>1w</v>
      </c>
      <c r="V3192" s="201">
        <f>_xll.qlCalendarAdvance(Calendar,V3191,U3192,"f",FALSE)</f>
        <v>61183</v>
      </c>
      <c r="W3192" s="225">
        <f>_xll.qlCalendarAdvance(Calendar,V3192,NDays&amp;"D")</f>
        <v>61185</v>
      </c>
      <c r="X3192" s="200">
        <v>2.4181977467542567E-2</v>
      </c>
      <c r="Y3192" s="209">
        <v>2.3982752626947601E-2</v>
      </c>
    </row>
    <row r="3193" spans="21:25" x14ac:dyDescent="0.2">
      <c r="U3193" s="213" t="str">
        <f t="shared" si="53"/>
        <v>1w</v>
      </c>
      <c r="V3193" s="201">
        <f>_xll.qlCalendarAdvance(Calendar,V3192,U3193,"f",FALSE)</f>
        <v>61190</v>
      </c>
      <c r="W3193" s="225">
        <f>_xll.qlCalendarAdvance(Calendar,V3193,NDays&amp;"D")</f>
        <v>61192</v>
      </c>
      <c r="X3193" s="200">
        <v>2.4185770859464009E-2</v>
      </c>
      <c r="Y3193" s="209">
        <v>2.3986642228068789E-2</v>
      </c>
    </row>
    <row r="3194" spans="21:25" x14ac:dyDescent="0.2">
      <c r="U3194" s="213" t="str">
        <f t="shared" si="53"/>
        <v>1w</v>
      </c>
      <c r="V3194" s="201">
        <f>_xll.qlCalendarAdvance(Calendar,V3193,U3194,"f",FALSE)</f>
        <v>61197</v>
      </c>
      <c r="W3194" s="225">
        <f>_xll.qlCalendarAdvance(Calendar,V3194,NDays&amp;"D")</f>
        <v>61199</v>
      </c>
      <c r="X3194" s="200">
        <v>2.4189553319975694E-2</v>
      </c>
      <c r="Y3194" s="209">
        <v>2.3990521024712663E-2</v>
      </c>
    </row>
    <row r="3195" spans="21:25" x14ac:dyDescent="0.2">
      <c r="U3195" s="213" t="str">
        <f t="shared" si="53"/>
        <v>1w</v>
      </c>
      <c r="V3195" s="201">
        <f>_xll.qlCalendarAdvance(Calendar,V3194,U3195,"f",FALSE)</f>
        <v>61204</v>
      </c>
      <c r="W3195" s="225">
        <f>_xll.qlCalendarAdvance(Calendar,V3195,NDays&amp;"D")</f>
        <v>61206</v>
      </c>
      <c r="X3195" s="200">
        <v>2.4193324849015738E-2</v>
      </c>
      <c r="Y3195" s="209">
        <v>2.3994389016959161E-2</v>
      </c>
    </row>
    <row r="3196" spans="21:25" x14ac:dyDescent="0.2">
      <c r="U3196" s="213" t="str">
        <f t="shared" si="53"/>
        <v>1w</v>
      </c>
      <c r="V3196" s="201">
        <f>_xll.qlCalendarAdvance(Calendar,V3195,U3196,"f",FALSE)</f>
        <v>61211</v>
      </c>
      <c r="W3196" s="225">
        <f>_xll.qlCalendarAdvance(Calendar,V3196,NDays&amp;"D")</f>
        <v>61213</v>
      </c>
      <c r="X3196" s="200">
        <v>2.4197085446520102E-2</v>
      </c>
      <c r="Y3196" s="209">
        <v>2.3998246204808282E-2</v>
      </c>
    </row>
    <row r="3197" spans="21:25" x14ac:dyDescent="0.2">
      <c r="U3197" s="213" t="str">
        <f t="shared" si="53"/>
        <v>1w</v>
      </c>
      <c r="V3197" s="201">
        <f>_xll.qlCalendarAdvance(Calendar,V3196,U3197,"f",FALSE)</f>
        <v>61218</v>
      </c>
      <c r="W3197" s="225">
        <f>_xll.qlCalendarAdvance(Calendar,V3197,NDays&amp;"D")</f>
        <v>61220</v>
      </c>
      <c r="X3197" s="200">
        <v>2.4200835112426478E-2</v>
      </c>
      <c r="Y3197" s="209">
        <v>2.4002092588339963E-2</v>
      </c>
    </row>
    <row r="3198" spans="21:25" x14ac:dyDescent="0.2">
      <c r="U3198" s="213" t="str">
        <f t="shared" si="53"/>
        <v>1w</v>
      </c>
      <c r="V3198" s="201">
        <f>_xll.qlCalendarAdvance(Calendar,V3197,U3198,"f",FALSE)</f>
        <v>61225</v>
      </c>
      <c r="W3198" s="225">
        <f>_xll.qlCalendarAdvance(Calendar,V3198,NDays&amp;"D")</f>
        <v>61227</v>
      </c>
      <c r="X3198" s="200">
        <v>2.4204573846671254E-2</v>
      </c>
      <c r="Y3198" s="209">
        <v>2.400592816739433E-2</v>
      </c>
    </row>
    <row r="3199" spans="21:25" x14ac:dyDescent="0.2">
      <c r="U3199" s="213" t="str">
        <f t="shared" si="53"/>
        <v>1w</v>
      </c>
      <c r="V3199" s="201">
        <f>_xll.qlCalendarAdvance(Calendar,V3198,U3199,"f",FALSE)</f>
        <v>61232</v>
      </c>
      <c r="W3199" s="225">
        <f>_xll.qlCalendarAdvance(Calendar,V3199,NDays&amp;"D")</f>
        <v>61234</v>
      </c>
      <c r="X3199" s="200">
        <v>2.4208301649192118E-2</v>
      </c>
      <c r="Y3199" s="209">
        <v>2.4009752941971385E-2</v>
      </c>
    </row>
    <row r="3200" spans="21:25" x14ac:dyDescent="0.2">
      <c r="U3200" s="213" t="str">
        <f t="shared" si="53"/>
        <v>1w</v>
      </c>
      <c r="V3200" s="201">
        <f>_xll.qlCalendarAdvance(Calendar,V3199,U3200,"f",FALSE)</f>
        <v>61239</v>
      </c>
      <c r="W3200" s="225">
        <f>_xll.qlCalendarAdvance(Calendar,V3200,NDays&amp;"D")</f>
        <v>61241</v>
      </c>
      <c r="X3200" s="200">
        <v>2.4207728641773143E-2</v>
      </c>
      <c r="Y3200" s="209">
        <v>2.4013566912310935E-2</v>
      </c>
    </row>
    <row r="3201" spans="21:25" x14ac:dyDescent="0.2">
      <c r="U3201" s="213" t="str">
        <f t="shared" si="53"/>
        <v>1w</v>
      </c>
      <c r="V3201" s="201">
        <f>_xll.qlCalendarAdvance(Calendar,V3200,U3201,"f",FALSE)</f>
        <v>61246</v>
      </c>
      <c r="W3201" s="225">
        <f>_xll.qlCalendarAdvance(Calendar,V3201,NDays&amp;"D")</f>
        <v>61248</v>
      </c>
      <c r="X3201" s="200">
        <v>2.4211436712545335E-2</v>
      </c>
      <c r="Y3201" s="209">
        <v>2.40173700780133E-2</v>
      </c>
    </row>
    <row r="3202" spans="21:25" x14ac:dyDescent="0.2">
      <c r="U3202" s="213" t="str">
        <f t="shared" si="53"/>
        <v>1w</v>
      </c>
      <c r="V3202" s="201">
        <f>_xll.qlCalendarAdvance(Calendar,V3201,U3202,"f",FALSE)</f>
        <v>61253</v>
      </c>
      <c r="W3202" s="225">
        <f>_xll.qlCalendarAdvance(Calendar,V3202,NDays&amp;"D")</f>
        <v>61255</v>
      </c>
      <c r="X3202" s="200">
        <v>2.4215133854197501E-2</v>
      </c>
      <c r="Y3202" s="209">
        <v>2.4021162439478161E-2</v>
      </c>
    </row>
    <row r="3203" spans="21:25" x14ac:dyDescent="0.2">
      <c r="U3203" s="213" t="str">
        <f t="shared" si="53"/>
        <v>1w</v>
      </c>
      <c r="V3203" s="201">
        <f>_xll.qlCalendarAdvance(Calendar,V3202,U3203,"f",FALSE)</f>
        <v>61260</v>
      </c>
      <c r="W3203" s="225">
        <f>_xll.qlCalendarAdvance(Calendar,V3203,NDays&amp;"D")</f>
        <v>61262</v>
      </c>
      <c r="X3203" s="200">
        <v>2.4218820066666834E-2</v>
      </c>
      <c r="Y3203" s="209">
        <v>2.4024943996465709E-2</v>
      </c>
    </row>
    <row r="3204" spans="21:25" x14ac:dyDescent="0.2">
      <c r="U3204" s="213" t="str">
        <f t="shared" si="53"/>
        <v>1w</v>
      </c>
      <c r="V3204" s="201">
        <f>_xll.qlCalendarAdvance(Calendar,V3203,U3204,"f",FALSE)</f>
        <v>61267</v>
      </c>
      <c r="W3204" s="225">
        <f>_xll.qlCalendarAdvance(Calendar,V3204,NDays&amp;"D")</f>
        <v>61269</v>
      </c>
      <c r="X3204" s="200">
        <v>2.4222495349895359E-2</v>
      </c>
      <c r="Y3204" s="209">
        <v>2.4028714749055879E-2</v>
      </c>
    </row>
    <row r="3205" spans="21:25" x14ac:dyDescent="0.2">
      <c r="U3205" s="213" t="str">
        <f t="shared" si="53"/>
        <v>1w</v>
      </c>
      <c r="V3205" s="201">
        <f>_xll.qlCalendarAdvance(Calendar,V3204,U3205,"f",FALSE)</f>
        <v>61274</v>
      </c>
      <c r="W3205" s="225">
        <f>_xll.qlCalendarAdvance(Calendar,V3205,NDays&amp;"D")</f>
        <v>61276</v>
      </c>
      <c r="X3205" s="200">
        <v>2.4227229506972679E-2</v>
      </c>
      <c r="Y3205" s="209">
        <v>2.4032474697248674E-2</v>
      </c>
    </row>
    <row r="3206" spans="21:25" x14ac:dyDescent="0.2">
      <c r="U3206" s="213" t="str">
        <f t="shared" si="53"/>
        <v>1w</v>
      </c>
      <c r="V3206" s="201">
        <f>_xll.qlCalendarAdvance(Calendar,V3205,U3206,"f",FALSE)</f>
        <v>61281</v>
      </c>
      <c r="W3206" s="225">
        <f>_xll.qlCalendarAdvance(Calendar,V3206,NDays&amp;"D")</f>
        <v>61283</v>
      </c>
      <c r="X3206" s="200">
        <v>2.4230882395200645E-2</v>
      </c>
      <c r="Y3206" s="209">
        <v>2.4036223841124027E-2</v>
      </c>
    </row>
    <row r="3207" spans="21:25" x14ac:dyDescent="0.2">
      <c r="U3207" s="213" t="str">
        <f t="shared" si="53"/>
        <v>1w</v>
      </c>
      <c r="V3207" s="201">
        <f>_xll.qlCalendarAdvance(Calendar,V3206,U3207,"f",FALSE)</f>
        <v>61288</v>
      </c>
      <c r="W3207" s="225">
        <f>_xll.qlCalendarAdvance(Calendar,V3207,NDays&amp;"D")</f>
        <v>61290</v>
      </c>
      <c r="X3207" s="200">
        <v>2.4238799234408782E-2</v>
      </c>
      <c r="Y3207" s="209">
        <v>2.4039962180442132E-2</v>
      </c>
    </row>
    <row r="3208" spans="21:25" x14ac:dyDescent="0.2">
      <c r="U3208" s="213" t="str">
        <f t="shared" si="53"/>
        <v>1w</v>
      </c>
      <c r="V3208" s="201">
        <f>_xll.qlCalendarAdvance(Calendar,V3207,U3208,"f",FALSE)</f>
        <v>61295</v>
      </c>
      <c r="W3208" s="225">
        <f>_xll.qlCalendarAdvance(Calendar,V3208,NDays&amp;"D")</f>
        <v>61297</v>
      </c>
      <c r="X3208" s="200">
        <v>2.4238155381234399E-2</v>
      </c>
      <c r="Y3208" s="209">
        <v>2.4043689715522731E-2</v>
      </c>
    </row>
    <row r="3209" spans="21:25" x14ac:dyDescent="0.2">
      <c r="U3209" s="213" t="str">
        <f t="shared" si="53"/>
        <v>1w</v>
      </c>
      <c r="V3209" s="201">
        <f>_xll.qlCalendarAdvance(Calendar,V3208,U3209,"f",FALSE)</f>
        <v>61302</v>
      </c>
      <c r="W3209" s="225">
        <f>_xll.qlCalendarAdvance(Calendar,V3209,NDays&amp;"D")</f>
        <v>61304</v>
      </c>
      <c r="X3209" s="200">
        <v>2.4240707825312367E-2</v>
      </c>
      <c r="Y3209" s="209">
        <v>2.4047406446046082E-2</v>
      </c>
    </row>
    <row r="3210" spans="21:25" x14ac:dyDescent="0.2">
      <c r="U3210" s="213" t="str">
        <f t="shared" si="53"/>
        <v>1w</v>
      </c>
      <c r="V3210" s="201">
        <f>_xll.qlCalendarAdvance(Calendar,V3209,U3210,"f",FALSE)</f>
        <v>61309</v>
      </c>
      <c r="W3210" s="225">
        <f>_xll.qlCalendarAdvance(Calendar,V3210,NDays&amp;"D")</f>
        <v>61311</v>
      </c>
      <c r="X3210" s="200">
        <v>2.4244317531832434E-2</v>
      </c>
      <c r="Y3210" s="209">
        <v>2.4051112372012184E-2</v>
      </c>
    </row>
    <row r="3211" spans="21:25" x14ac:dyDescent="0.2">
      <c r="U3211" s="213" t="str">
        <f t="shared" si="53"/>
        <v>1w</v>
      </c>
      <c r="V3211" s="201">
        <f>_xll.qlCalendarAdvance(Calendar,V3210,U3211,"f",FALSE)</f>
        <v>61316</v>
      </c>
      <c r="W3211" s="225">
        <f>_xll.qlCalendarAdvance(Calendar,V3211,NDays&amp;"D")</f>
        <v>61318</v>
      </c>
      <c r="X3211" s="200">
        <v>2.4247916308693124E-2</v>
      </c>
      <c r="Y3211" s="209">
        <v>2.4054807493900654E-2</v>
      </c>
    </row>
    <row r="3212" spans="21:25" x14ac:dyDescent="0.2">
      <c r="U3212" s="213" t="str">
        <f t="shared" si="53"/>
        <v>1w</v>
      </c>
      <c r="V3212" s="201">
        <f>_xll.qlCalendarAdvance(Calendar,V3211,U3212,"f",FALSE)</f>
        <v>61323</v>
      </c>
      <c r="W3212" s="225">
        <f>_xll.qlCalendarAdvance(Calendar,V3212,NDays&amp;"D")</f>
        <v>61325</v>
      </c>
      <c r="X3212" s="200">
        <v>2.4251504155836462E-2</v>
      </c>
      <c r="Y3212" s="209">
        <v>2.4058491811231875E-2</v>
      </c>
    </row>
    <row r="3213" spans="21:25" x14ac:dyDescent="0.2">
      <c r="U3213" s="213" t="str">
        <f t="shared" si="53"/>
        <v>1w</v>
      </c>
      <c r="V3213" s="201">
        <f>_xll.qlCalendarAdvance(Calendar,V3212,U3213,"f",FALSE)</f>
        <v>61330</v>
      </c>
      <c r="W3213" s="225">
        <f>_xll.qlCalendarAdvance(Calendar,V3213,NDays&amp;"D")</f>
        <v>61332</v>
      </c>
      <c r="X3213" s="200">
        <v>2.4256146566068778E-2</v>
      </c>
      <c r="Y3213" s="209">
        <v>2.4062165324085782E-2</v>
      </c>
    </row>
    <row r="3214" spans="21:25" x14ac:dyDescent="0.2">
      <c r="U3214" s="213" t="str">
        <f t="shared" si="53"/>
        <v>1w</v>
      </c>
      <c r="V3214" s="201">
        <f>_xll.qlCalendarAdvance(Calendar,V3213,U3214,"f",FALSE)</f>
        <v>61337</v>
      </c>
      <c r="W3214" s="225">
        <f>_xll.qlCalendarAdvance(Calendar,V3214,NDays&amp;"D")</f>
        <v>61339</v>
      </c>
      <c r="X3214" s="200">
        <v>2.4259712011661317E-2</v>
      </c>
      <c r="Y3214" s="209">
        <v>2.4065828032542314E-2</v>
      </c>
    </row>
    <row r="3215" spans="21:25" x14ac:dyDescent="0.2">
      <c r="U3215" s="213" t="str">
        <f t="shared" si="53"/>
        <v>1w</v>
      </c>
      <c r="V3215" s="201">
        <f>_xll.qlCalendarAdvance(Calendar,V3214,U3215,"f",FALSE)</f>
        <v>61344</v>
      </c>
      <c r="W3215" s="225">
        <f>_xll.qlCalendarAdvance(Calendar,V3215,NDays&amp;"D")</f>
        <v>61346</v>
      </c>
      <c r="X3215" s="200">
        <v>2.4263266526658847E-2</v>
      </c>
      <c r="Y3215" s="209">
        <v>2.406947993676134E-2</v>
      </c>
    </row>
    <row r="3216" spans="21:25" x14ac:dyDescent="0.2">
      <c r="U3216" s="213" t="str">
        <f t="shared" si="53"/>
        <v>1w</v>
      </c>
      <c r="V3216" s="201">
        <f>_xll.qlCalendarAdvance(Calendar,V3215,U3216,"f",FALSE)</f>
        <v>61351</v>
      </c>
      <c r="W3216" s="225">
        <f>_xll.qlCalendarAdvance(Calendar,V3216,NDays&amp;"D")</f>
        <v>61353</v>
      </c>
      <c r="X3216" s="200">
        <v>2.4266810111001527E-2</v>
      </c>
      <c r="Y3216" s="209">
        <v>2.4073121036343181E-2</v>
      </c>
    </row>
    <row r="3217" spans="21:25" x14ac:dyDescent="0.2">
      <c r="U3217" s="213" t="str">
        <f t="shared" si="53"/>
        <v>1w</v>
      </c>
      <c r="V3217" s="201">
        <f>_xll.qlCalendarAdvance(Calendar,V3216,U3217,"f",FALSE)</f>
        <v>61358</v>
      </c>
      <c r="W3217" s="225">
        <f>_xll.qlCalendarAdvance(Calendar,V3217,NDays&amp;"D")</f>
        <v>61360</v>
      </c>
      <c r="X3217" s="200">
        <v>2.4270342764631258E-2</v>
      </c>
      <c r="Y3217" s="209">
        <v>2.4076751331527646E-2</v>
      </c>
    </row>
    <row r="3218" spans="21:25" x14ac:dyDescent="0.2">
      <c r="U3218" s="213" t="str">
        <f t="shared" si="53"/>
        <v>1w</v>
      </c>
      <c r="V3218" s="201">
        <f>_xll.qlCalendarAdvance(Calendar,V3217,U3218,"f",FALSE)</f>
        <v>61365</v>
      </c>
      <c r="W3218" s="225">
        <f>_xll.qlCalendarAdvance(Calendar,V3218,NDays&amp;"D")</f>
        <v>61367</v>
      </c>
      <c r="X3218" s="200">
        <v>2.4272801711327074E-2</v>
      </c>
      <c r="Y3218" s="209">
        <v>2.408037082239467E-2</v>
      </c>
    </row>
    <row r="3219" spans="21:25" x14ac:dyDescent="0.2">
      <c r="U3219" s="213" t="str">
        <f t="shared" si="53"/>
        <v>1w</v>
      </c>
      <c r="V3219" s="201">
        <f>_xll.qlCalendarAdvance(Calendar,V3218,U3219,"f",FALSE)</f>
        <v>61372</v>
      </c>
      <c r="W3219" s="225">
        <f>_xll.qlCalendarAdvance(Calendar,V3219,NDays&amp;"D")</f>
        <v>61374</v>
      </c>
      <c r="X3219" s="200">
        <v>2.4276313048806314E-2</v>
      </c>
      <c r="Y3219" s="209">
        <v>2.4083979508944253E-2</v>
      </c>
    </row>
    <row r="3220" spans="21:25" x14ac:dyDescent="0.2">
      <c r="U3220" s="213" t="str">
        <f t="shared" si="53"/>
        <v>1w</v>
      </c>
      <c r="V3220" s="201">
        <f>_xll.qlCalendarAdvance(Calendar,V3219,U3220,"f",FALSE)</f>
        <v>61379</v>
      </c>
      <c r="W3220" s="225">
        <f>_xll.qlCalendarAdvance(Calendar,V3220,NDays&amp;"D")</f>
        <v>61381</v>
      </c>
      <c r="X3220" s="200">
        <v>2.4279813456101324E-2</v>
      </c>
      <c r="Y3220" s="209">
        <v>2.4087577390936588E-2</v>
      </c>
    </row>
    <row r="3221" spans="21:25" x14ac:dyDescent="0.2">
      <c r="U3221" s="213" t="str">
        <f t="shared" ref="U3221:U3284" si="54">U3220</f>
        <v>1w</v>
      </c>
      <c r="V3221" s="201">
        <f>_xll.qlCalendarAdvance(Calendar,V3220,U3221,"f",FALSE)</f>
        <v>61386</v>
      </c>
      <c r="W3221" s="225">
        <f>_xll.qlCalendarAdvance(Calendar,V3221,NDays&amp;"D")</f>
        <v>61388</v>
      </c>
      <c r="X3221" s="200">
        <v>2.4283302933155008E-2</v>
      </c>
      <c r="Y3221" s="209">
        <v>2.4091164468531545E-2</v>
      </c>
    </row>
    <row r="3222" spans="21:25" x14ac:dyDescent="0.2">
      <c r="U3222" s="213" t="str">
        <f t="shared" si="54"/>
        <v>1w</v>
      </c>
      <c r="V3222" s="201">
        <f>_xll.qlCalendarAdvance(Calendar,V3221,U3222,"f",FALSE)</f>
        <v>61393</v>
      </c>
      <c r="W3222" s="225">
        <f>_xll.qlCalendarAdvance(Calendar,V3222,NDays&amp;"D")</f>
        <v>61395</v>
      </c>
      <c r="X3222" s="200">
        <v>2.4286781479910265E-2</v>
      </c>
      <c r="Y3222" s="209">
        <v>2.4094740741729126E-2</v>
      </c>
    </row>
    <row r="3223" spans="21:25" x14ac:dyDescent="0.2">
      <c r="U3223" s="213" t="str">
        <f t="shared" si="54"/>
        <v>1w</v>
      </c>
      <c r="V3223" s="201">
        <f>_xll.qlCalendarAdvance(Calendar,V3222,U3223,"f",FALSE)</f>
        <v>61400</v>
      </c>
      <c r="W3223" s="225">
        <f>_xll.qlCalendarAdvance(Calendar,V3223,NDays&amp;"D")</f>
        <v>61402</v>
      </c>
      <c r="X3223" s="200">
        <v>2.4290249096310879E-2</v>
      </c>
      <c r="Y3223" s="209">
        <v>2.4098306210449394E-2</v>
      </c>
    </row>
    <row r="3224" spans="21:25" x14ac:dyDescent="0.2">
      <c r="U3224" s="213" t="str">
        <f t="shared" si="54"/>
        <v>1w</v>
      </c>
      <c r="V3224" s="201">
        <f>_xll.qlCalendarAdvance(Calendar,V3223,U3224,"f",FALSE)</f>
        <v>61407</v>
      </c>
      <c r="W3224" s="225">
        <f>_xll.qlCalendarAdvance(Calendar,V3224,NDays&amp;"D")</f>
        <v>61409</v>
      </c>
      <c r="X3224" s="200">
        <v>2.4293705782299752E-2</v>
      </c>
      <c r="Y3224" s="209">
        <v>2.4101860874772285E-2</v>
      </c>
    </row>
    <row r="3225" spans="21:25" x14ac:dyDescent="0.2">
      <c r="U3225" s="213" t="str">
        <f t="shared" si="54"/>
        <v>1w</v>
      </c>
      <c r="V3225" s="201">
        <f>_xll.qlCalendarAdvance(Calendar,V3224,U3225,"f",FALSE)</f>
        <v>61414</v>
      </c>
      <c r="W3225" s="225">
        <f>_xll.qlCalendarAdvance(Calendar,V3225,NDays&amp;"D")</f>
        <v>61416</v>
      </c>
      <c r="X3225" s="200">
        <v>2.4297151537819788E-2</v>
      </c>
      <c r="Y3225" s="209">
        <v>2.41054047346978E-2</v>
      </c>
    </row>
    <row r="3226" spans="21:25" x14ac:dyDescent="0.2">
      <c r="U3226" s="213" t="str">
        <f t="shared" si="54"/>
        <v>1w</v>
      </c>
      <c r="V3226" s="201">
        <f>_xll.qlCalendarAdvance(Calendar,V3225,U3226,"f",FALSE)</f>
        <v>61421</v>
      </c>
      <c r="W3226" s="225">
        <f>_xll.qlCalendarAdvance(Calendar,V3226,NDays&amp;"D")</f>
        <v>61423</v>
      </c>
      <c r="X3226" s="200">
        <v>2.4304819901958163E-2</v>
      </c>
      <c r="Y3226" s="209">
        <v>2.4108937790305873E-2</v>
      </c>
    </row>
    <row r="3227" spans="21:25" x14ac:dyDescent="0.2">
      <c r="U3227" s="213" t="str">
        <f t="shared" si="54"/>
        <v>1w</v>
      </c>
      <c r="V3227" s="201">
        <f>_xll.qlCalendarAdvance(Calendar,V3226,U3227,"f",FALSE)</f>
        <v>61428</v>
      </c>
      <c r="W3227" s="225">
        <f>_xll.qlCalendarAdvance(Calendar,V3227,NDays&amp;"D")</f>
        <v>61430</v>
      </c>
      <c r="X3227" s="200">
        <v>2.4308241591542306E-2</v>
      </c>
      <c r="Y3227" s="209">
        <v>2.4112460041356698E-2</v>
      </c>
    </row>
    <row r="3228" spans="21:25" x14ac:dyDescent="0.2">
      <c r="U3228" s="213" t="str">
        <f t="shared" si="54"/>
        <v>1w</v>
      </c>
      <c r="V3228" s="201">
        <f>_xll.qlCalendarAdvance(Calendar,V3227,U3228,"f",FALSE)</f>
        <v>61435</v>
      </c>
      <c r="W3228" s="225">
        <f>_xll.qlCalendarAdvance(Calendar,V3228,NDays&amp;"D")</f>
        <v>61437</v>
      </c>
      <c r="X3228" s="200">
        <v>2.4311652347666291E-2</v>
      </c>
      <c r="Y3228" s="209">
        <v>2.411597148793021E-2</v>
      </c>
    </row>
    <row r="3229" spans="21:25" x14ac:dyDescent="0.2">
      <c r="U3229" s="213" t="str">
        <f t="shared" si="54"/>
        <v>1w</v>
      </c>
      <c r="V3229" s="201">
        <f>_xll.qlCalendarAdvance(Calendar,V3228,U3229,"f",FALSE)</f>
        <v>61442</v>
      </c>
      <c r="W3229" s="225">
        <f>_xll.qlCalendarAdvance(Calendar,V3229,NDays&amp;"D")</f>
        <v>61444</v>
      </c>
      <c r="X3229" s="200">
        <v>2.431505217027511E-2</v>
      </c>
      <c r="Y3229" s="209">
        <v>2.411947213042609E-2</v>
      </c>
    </row>
    <row r="3230" spans="21:25" x14ac:dyDescent="0.2">
      <c r="U3230" s="213" t="str">
        <f t="shared" si="54"/>
        <v>1w</v>
      </c>
      <c r="V3230" s="201">
        <f>_xll.qlCalendarAdvance(Calendar,V3229,U3230,"f",FALSE)</f>
        <v>61449</v>
      </c>
      <c r="W3230" s="225">
        <f>_xll.qlCalendarAdvance(Calendar,V3230,NDays&amp;"D")</f>
        <v>61451</v>
      </c>
      <c r="X3230" s="200">
        <v>2.4315272540756411E-2</v>
      </c>
      <c r="Y3230" s="209">
        <v>2.4122961968284784E-2</v>
      </c>
    </row>
    <row r="3231" spans="21:25" x14ac:dyDescent="0.2">
      <c r="U3231" s="213" t="str">
        <f t="shared" si="54"/>
        <v>1w</v>
      </c>
      <c r="V3231" s="201">
        <f>_xll.qlCalendarAdvance(Calendar,V3230,U3231,"f",FALSE)</f>
        <v>61456</v>
      </c>
      <c r="W3231" s="225">
        <f>_xll.qlCalendarAdvance(Calendar,V3231,NDays&amp;"D")</f>
        <v>61458</v>
      </c>
      <c r="X3231" s="200">
        <v>2.4318652158383476E-2</v>
      </c>
      <c r="Y3231" s="209">
        <v>2.412644100158623E-2</v>
      </c>
    </row>
    <row r="3232" spans="21:25" x14ac:dyDescent="0.2">
      <c r="U3232" s="213" t="str">
        <f t="shared" si="54"/>
        <v>1w</v>
      </c>
      <c r="V3232" s="201">
        <f>_xll.qlCalendarAdvance(Calendar,V3231,U3232,"f",FALSE)</f>
        <v>61463</v>
      </c>
      <c r="W3232" s="225">
        <f>_xll.qlCalendarAdvance(Calendar,V3232,NDays&amp;"D")</f>
        <v>61465</v>
      </c>
      <c r="X3232" s="200">
        <v>2.4322020844444507E-2</v>
      </c>
      <c r="Y3232" s="209">
        <v>2.4129909230570235E-2</v>
      </c>
    </row>
    <row r="3233" spans="21:25" x14ac:dyDescent="0.2">
      <c r="U3233" s="213" t="str">
        <f t="shared" si="54"/>
        <v>1w</v>
      </c>
      <c r="V3233" s="201">
        <f>_xll.qlCalendarAdvance(Calendar,V3232,U3233,"f",FALSE)</f>
        <v>61470</v>
      </c>
      <c r="W3233" s="225">
        <f>_xll.qlCalendarAdvance(Calendar,V3233,NDays&amp;"D")</f>
        <v>61472</v>
      </c>
      <c r="X3233" s="200">
        <v>2.4325378598882716E-2</v>
      </c>
      <c r="Y3233" s="209">
        <v>2.4137588430358292E-2</v>
      </c>
    </row>
    <row r="3234" spans="21:25" x14ac:dyDescent="0.2">
      <c r="U3234" s="213" t="str">
        <f t="shared" si="54"/>
        <v>1w</v>
      </c>
      <c r="V3234" s="201">
        <f>_xll.qlCalendarAdvance(Calendar,V3233,U3234,"f",FALSE)</f>
        <v>61477</v>
      </c>
      <c r="W3234" s="225">
        <f>_xll.qlCalendarAdvance(Calendar,V3234,NDays&amp;"D")</f>
        <v>61479</v>
      </c>
      <c r="X3234" s="200">
        <v>2.4328725421643941E-2</v>
      </c>
      <c r="Y3234" s="209">
        <v>2.413681327542605E-2</v>
      </c>
    </row>
    <row r="3235" spans="21:25" x14ac:dyDescent="0.2">
      <c r="U3235" s="213" t="str">
        <f t="shared" si="54"/>
        <v>1w</v>
      </c>
      <c r="V3235" s="201">
        <f>_xll.qlCalendarAdvance(Calendar,V3234,U3235,"f",FALSE)</f>
        <v>61485</v>
      </c>
      <c r="W3235" s="225">
        <f>_xll.qlCalendarAdvance(Calendar,V3235,NDays&amp;"D")</f>
        <v>61487</v>
      </c>
      <c r="X3235" s="200">
        <v>2.4334643613923065E-2</v>
      </c>
      <c r="Y3235" s="209">
        <v>2.4142847616959173E-2</v>
      </c>
    </row>
    <row r="3236" spans="21:25" x14ac:dyDescent="0.2">
      <c r="U3236" s="213" t="str">
        <f t="shared" si="54"/>
        <v>1w</v>
      </c>
      <c r="V3236" s="201">
        <f>_xll.qlCalendarAdvance(Calendar,V3235,U3236,"f",FALSE)</f>
        <v>61492</v>
      </c>
      <c r="W3236" s="225">
        <f>_xll.qlCalendarAdvance(Calendar,V3236,NDays&amp;"D")</f>
        <v>61494</v>
      </c>
      <c r="X3236" s="200">
        <v>2.4337965896137591E-2</v>
      </c>
      <c r="Y3236" s="209">
        <v>2.4146270000269254E-2</v>
      </c>
    </row>
    <row r="3237" spans="21:25" x14ac:dyDescent="0.2">
      <c r="U3237" s="213" t="str">
        <f t="shared" si="54"/>
        <v>1w</v>
      </c>
      <c r="V3237" s="201">
        <f>_xll.qlCalendarAdvance(Calendar,V3236,U3237,"f",FALSE)</f>
        <v>61499</v>
      </c>
      <c r="W3237" s="225">
        <f>_xll.qlCalendarAdvance(Calendar,V3237,NDays&amp;"D")</f>
        <v>61501</v>
      </c>
      <c r="X3237" s="200">
        <v>2.4341277245086147E-2</v>
      </c>
      <c r="Y3237" s="209">
        <v>2.4149681577823046E-2</v>
      </c>
    </row>
    <row r="3238" spans="21:25" x14ac:dyDescent="0.2">
      <c r="U3238" s="213" t="str">
        <f t="shared" si="54"/>
        <v>1w</v>
      </c>
      <c r="V3238" s="201">
        <f>_xll.qlCalendarAdvance(Calendar,V3237,U3238,"f",FALSE)</f>
        <v>61506</v>
      </c>
      <c r="W3238" s="225">
        <f>_xll.qlCalendarAdvance(Calendar,V3238,NDays&amp;"D")</f>
        <v>61508</v>
      </c>
      <c r="X3238" s="200">
        <v>2.4344577660712994E-2</v>
      </c>
      <c r="Y3238" s="209">
        <v>2.4153082349567256E-2</v>
      </c>
    </row>
    <row r="3239" spans="21:25" x14ac:dyDescent="0.2">
      <c r="U3239" s="213" t="str">
        <f t="shared" si="54"/>
        <v>1w</v>
      </c>
      <c r="V3239" s="201">
        <f>_xll.qlCalendarAdvance(Calendar,V3238,U3239,"f",FALSE)</f>
        <v>61513</v>
      </c>
      <c r="W3239" s="225">
        <f>_xll.qlCalendarAdvance(Calendar,V3239,NDays&amp;"D")</f>
        <v>61515</v>
      </c>
      <c r="X3239" s="200">
        <v>2.4347867142963692E-2</v>
      </c>
      <c r="Y3239" s="209">
        <v>2.4156472315528532E-2</v>
      </c>
    </row>
    <row r="3240" spans="21:25" x14ac:dyDescent="0.2">
      <c r="U3240" s="213" t="str">
        <f t="shared" si="54"/>
        <v>1w</v>
      </c>
      <c r="V3240" s="201">
        <f>_xll.qlCalendarAdvance(Calendar,V3239,U3240,"f",FALSE)</f>
        <v>61520</v>
      </c>
      <c r="W3240" s="225">
        <f>_xll.qlCalendarAdvance(Calendar,V3240,NDays&amp;"D")</f>
        <v>61522</v>
      </c>
      <c r="X3240" s="200">
        <v>2.43511456917825E-2</v>
      </c>
      <c r="Y3240" s="209">
        <v>2.4159851475626937E-2</v>
      </c>
    </row>
    <row r="3241" spans="21:25" x14ac:dyDescent="0.2">
      <c r="U3241" s="213" t="str">
        <f t="shared" si="54"/>
        <v>1w</v>
      </c>
      <c r="V3241" s="201">
        <f>_xll.qlCalendarAdvance(Calendar,V3240,U3241,"f",FALSE)</f>
        <v>61527</v>
      </c>
      <c r="W3241" s="225">
        <f>_xll.qlCalendarAdvance(Calendar,V3241,NDays&amp;"D")</f>
        <v>61529</v>
      </c>
      <c r="X3241" s="200">
        <v>2.4354413307115411E-2</v>
      </c>
      <c r="Y3241" s="209">
        <v>2.4163219829969051E-2</v>
      </c>
    </row>
    <row r="3242" spans="21:25" x14ac:dyDescent="0.2">
      <c r="U3242" s="213" t="str">
        <f t="shared" si="54"/>
        <v>1w</v>
      </c>
      <c r="V3242" s="201">
        <f>_xll.qlCalendarAdvance(Calendar,V3241,U3242,"f",FALSE)</f>
        <v>61534</v>
      </c>
      <c r="W3242" s="225">
        <f>_xll.qlCalendarAdvance(Calendar,V3242,NDays&amp;"D")</f>
        <v>61536</v>
      </c>
      <c r="X3242" s="200">
        <v>2.4357669988908408E-2</v>
      </c>
      <c r="Y3242" s="209">
        <v>2.4166577378448295E-2</v>
      </c>
    </row>
    <row r="3243" spans="21:25" x14ac:dyDescent="0.2">
      <c r="U3243" s="213" t="str">
        <f t="shared" si="54"/>
        <v>1w</v>
      </c>
      <c r="V3243" s="201">
        <f>_xll.qlCalendarAdvance(Calendar,V3242,U3243,"f",FALSE)</f>
        <v>61541</v>
      </c>
      <c r="W3243" s="225">
        <f>_xll.qlCalendarAdvance(Calendar,V3243,NDays&amp;"D")</f>
        <v>61543</v>
      </c>
      <c r="X3243" s="200">
        <v>2.4360915737106619E-2</v>
      </c>
      <c r="Y3243" s="209">
        <v>2.4169924121171249E-2</v>
      </c>
    </row>
    <row r="3244" spans="21:25" x14ac:dyDescent="0.2">
      <c r="U3244" s="213" t="str">
        <f t="shared" si="54"/>
        <v>1w</v>
      </c>
      <c r="V3244" s="201">
        <f>_xll.qlCalendarAdvance(Calendar,V3243,U3244,"f",FALSE)</f>
        <v>61548</v>
      </c>
      <c r="W3244" s="225">
        <f>_xll.qlCalendarAdvance(Calendar,V3244,NDays&amp;"D")</f>
        <v>61550</v>
      </c>
      <c r="X3244" s="200">
        <v>2.4364150551656895E-2</v>
      </c>
      <c r="Y3244" s="209">
        <v>2.4173260058057977E-2</v>
      </c>
    </row>
    <row r="3245" spans="21:25" x14ac:dyDescent="0.2">
      <c r="U3245" s="213" t="str">
        <f t="shared" si="54"/>
        <v>1w</v>
      </c>
      <c r="V3245" s="201">
        <f>_xll.qlCalendarAdvance(Calendar,V3244,U3245,"f",FALSE)</f>
        <v>61555</v>
      </c>
      <c r="W3245" s="225">
        <f>_xll.qlCalendarAdvance(Calendar,V3245,NDays&amp;"D")</f>
        <v>61557</v>
      </c>
      <c r="X3245" s="200">
        <v>2.4367374432504366E-2</v>
      </c>
      <c r="Y3245" s="209">
        <v>2.417658518916177E-2</v>
      </c>
    </row>
    <row r="3246" spans="21:25" x14ac:dyDescent="0.2">
      <c r="U3246" s="213" t="str">
        <f t="shared" si="54"/>
        <v>1w</v>
      </c>
      <c r="V3246" s="201">
        <f>_xll.qlCalendarAdvance(Calendar,V3245,U3246,"f",FALSE)</f>
        <v>61562</v>
      </c>
      <c r="W3246" s="225">
        <f>_xll.qlCalendarAdvance(Calendar,V3246,NDays&amp;"D")</f>
        <v>61564</v>
      </c>
      <c r="X3246" s="200">
        <v>2.4370587379595448E-2</v>
      </c>
      <c r="Y3246" s="209">
        <v>2.4179899514429337E-2</v>
      </c>
    </row>
    <row r="3247" spans="21:25" x14ac:dyDescent="0.2">
      <c r="U3247" s="213" t="str">
        <f t="shared" si="54"/>
        <v>1w</v>
      </c>
      <c r="V3247" s="201">
        <f>_xll.qlCalendarAdvance(Calendar,V3246,U3247,"f",FALSE)</f>
        <v>61569</v>
      </c>
      <c r="W3247" s="225">
        <f>_xll.qlCalendarAdvance(Calendar,V3247,NDays&amp;"D")</f>
        <v>61571</v>
      </c>
      <c r="X3247" s="200">
        <v>2.4373789392876998E-2</v>
      </c>
      <c r="Y3247" s="209">
        <v>2.4183203033860678E-2</v>
      </c>
    </row>
    <row r="3248" spans="21:25" x14ac:dyDescent="0.2">
      <c r="U3248" s="213" t="str">
        <f t="shared" si="54"/>
        <v>1w</v>
      </c>
      <c r="V3248" s="201">
        <f>_xll.qlCalendarAdvance(Calendar,V3247,U3248,"f",FALSE)</f>
        <v>61576</v>
      </c>
      <c r="W3248" s="225">
        <f>_xll.qlCalendarAdvance(Calendar,V3248,NDays&amp;"D")</f>
        <v>61578</v>
      </c>
      <c r="X3248" s="200">
        <v>2.4376980472295869E-2</v>
      </c>
      <c r="Y3248" s="209">
        <v>2.418649574753573E-2</v>
      </c>
    </row>
    <row r="3249" spans="21:25" x14ac:dyDescent="0.2">
      <c r="U3249" s="213" t="str">
        <f t="shared" si="54"/>
        <v>1w</v>
      </c>
      <c r="V3249" s="201">
        <f>_xll.qlCalendarAdvance(Calendar,V3248,U3249,"f",FALSE)</f>
        <v>61583</v>
      </c>
      <c r="W3249" s="225">
        <f>_xll.qlCalendarAdvance(Calendar,V3249,NDays&amp;"D")</f>
        <v>61585</v>
      </c>
      <c r="X3249" s="200">
        <v>2.4380160617798047E-2</v>
      </c>
      <c r="Y3249" s="209">
        <v>2.418977765534791E-2</v>
      </c>
    </row>
    <row r="3250" spans="21:25" x14ac:dyDescent="0.2">
      <c r="U3250" s="213" t="str">
        <f t="shared" si="54"/>
        <v>1w</v>
      </c>
      <c r="V3250" s="201">
        <f>_xll.qlCalendarAdvance(Calendar,V3249,U3250,"f",FALSE)</f>
        <v>61590</v>
      </c>
      <c r="W3250" s="225">
        <f>_xll.qlCalendarAdvance(Calendar,V3250,NDays&amp;"D")</f>
        <v>61592</v>
      </c>
      <c r="X3250" s="200">
        <v>2.4383329829331682E-2</v>
      </c>
      <c r="Y3250" s="209">
        <v>2.4193048757377156E-2</v>
      </c>
    </row>
    <row r="3251" spans="21:25" x14ac:dyDescent="0.2">
      <c r="U3251" s="213" t="str">
        <f t="shared" si="54"/>
        <v>1w</v>
      </c>
      <c r="V3251" s="201">
        <f>_xll.qlCalendarAdvance(Calendar,V3250,U3251,"f",FALSE)</f>
        <v>61597</v>
      </c>
      <c r="W3251" s="225">
        <f>_xll.qlCalendarAdvance(Calendar,V3251,NDays&amp;"D")</f>
        <v>61599</v>
      </c>
      <c r="X3251" s="200">
        <v>2.4386488106843632E-2</v>
      </c>
      <c r="Y3251" s="209">
        <v>2.419630905354353E-2</v>
      </c>
    </row>
    <row r="3252" spans="21:25" x14ac:dyDescent="0.2">
      <c r="U3252" s="213" t="str">
        <f t="shared" si="54"/>
        <v>1w</v>
      </c>
      <c r="V3252" s="201">
        <f>_xll.qlCalendarAdvance(Calendar,V3251,U3252,"f",FALSE)</f>
        <v>61604</v>
      </c>
      <c r="W3252" s="225">
        <f>_xll.qlCalendarAdvance(Calendar,V3252,NDays&amp;"D")</f>
        <v>61606</v>
      </c>
      <c r="X3252" s="200">
        <v>2.4385460451683279E-2</v>
      </c>
      <c r="Y3252" s="209">
        <v>2.4199558543900324E-2</v>
      </c>
    </row>
    <row r="3253" spans="21:25" x14ac:dyDescent="0.2">
      <c r="U3253" s="213" t="str">
        <f t="shared" si="54"/>
        <v>1w</v>
      </c>
      <c r="V3253" s="201">
        <f>_xll.qlCalendarAdvance(Calendar,V3252,U3253,"f",FALSE)</f>
        <v>61611</v>
      </c>
      <c r="W3253" s="225">
        <f>_xll.qlCalendarAdvance(Calendar,V3253,NDays&amp;"D")</f>
        <v>61613</v>
      </c>
      <c r="X3253" s="200">
        <v>2.4388599139633708E-2</v>
      </c>
      <c r="Y3253" s="209">
        <v>2.4202797228474182E-2</v>
      </c>
    </row>
    <row r="3254" spans="21:25" x14ac:dyDescent="0.2">
      <c r="U3254" s="213" t="str">
        <f t="shared" si="54"/>
        <v>1w</v>
      </c>
      <c r="V3254" s="201">
        <f>_xll.qlCalendarAdvance(Calendar,V3253,U3254,"f",FALSE)</f>
        <v>61618</v>
      </c>
      <c r="W3254" s="225">
        <f>_xll.qlCalendarAdvance(Calendar,V3254,NDays&amp;"D")</f>
        <v>61620</v>
      </c>
      <c r="X3254" s="200">
        <v>2.439172689625713E-2</v>
      </c>
      <c r="Y3254" s="209">
        <v>2.4206025107211815E-2</v>
      </c>
    </row>
    <row r="3255" spans="21:25" x14ac:dyDescent="0.2">
      <c r="U3255" s="213" t="str">
        <f t="shared" si="54"/>
        <v>1w</v>
      </c>
      <c r="V3255" s="201">
        <f>_xll.qlCalendarAdvance(Calendar,V3254,U3255,"f",FALSE)</f>
        <v>61625</v>
      </c>
      <c r="W3255" s="225">
        <f>_xll.qlCalendarAdvance(Calendar,V3255,NDays&amp;"D")</f>
        <v>61627</v>
      </c>
      <c r="X3255" s="200">
        <v>2.4394843721502323E-2</v>
      </c>
      <c r="Y3255" s="209">
        <v>2.4209242180139867E-2</v>
      </c>
    </row>
    <row r="3256" spans="21:25" x14ac:dyDescent="0.2">
      <c r="U3256" s="213" t="str">
        <f t="shared" si="54"/>
        <v>1w</v>
      </c>
      <c r="V3256" s="201">
        <f>_xll.qlCalendarAdvance(Calendar,V3255,U3256,"f",FALSE)</f>
        <v>61632</v>
      </c>
      <c r="W3256" s="225">
        <f>_xll.qlCalendarAdvance(Calendar,V3256,NDays&amp;"D")</f>
        <v>61634</v>
      </c>
      <c r="X3256" s="200">
        <v>2.4398991094040322E-2</v>
      </c>
      <c r="Y3256" s="209">
        <v>2.4212448447258339E-2</v>
      </c>
    </row>
    <row r="3257" spans="21:25" x14ac:dyDescent="0.2">
      <c r="U3257" s="213" t="str">
        <f t="shared" si="54"/>
        <v>1w</v>
      </c>
      <c r="V3257" s="201">
        <f>_xll.qlCalendarAdvance(Calendar,V3256,U3257,"f",FALSE)</f>
        <v>61639</v>
      </c>
      <c r="W3257" s="225">
        <f>_xll.qlCalendarAdvance(Calendar,V3257,NDays&amp;"D")</f>
        <v>61641</v>
      </c>
      <c r="X3257" s="200">
        <v>2.4402085483994706E-2</v>
      </c>
      <c r="Y3257" s="209">
        <v>2.4215643908540585E-2</v>
      </c>
    </row>
    <row r="3258" spans="21:25" x14ac:dyDescent="0.2">
      <c r="U3258" s="213" t="str">
        <f t="shared" si="54"/>
        <v>1w</v>
      </c>
      <c r="V3258" s="201">
        <f>_xll.qlCalendarAdvance(Calendar,V3257,U3258,"f",FALSE)</f>
        <v>61646</v>
      </c>
      <c r="W3258" s="225">
        <f>_xll.qlCalendarAdvance(Calendar,V3258,NDays&amp;"D")</f>
        <v>61648</v>
      </c>
      <c r="X3258" s="200">
        <v>2.4409330192948969E-2</v>
      </c>
      <c r="Y3258" s="209">
        <v>2.4218828563933315E-2</v>
      </c>
    </row>
    <row r="3259" spans="21:25" x14ac:dyDescent="0.2">
      <c r="U3259" s="213" t="str">
        <f t="shared" si="54"/>
        <v>1w</v>
      </c>
      <c r="V3259" s="201">
        <f>_xll.qlCalendarAdvance(Calendar,V3258,U3259,"f",FALSE)</f>
        <v>61653</v>
      </c>
      <c r="W3259" s="225">
        <f>_xll.qlCalendarAdvance(Calendar,V3259,NDays&amp;"D")</f>
        <v>61655</v>
      </c>
      <c r="X3259" s="200">
        <v>2.4408241467119719E-2</v>
      </c>
      <c r="Y3259" s="209">
        <v>2.42220024135964E-2</v>
      </c>
    </row>
    <row r="3260" spans="21:25" x14ac:dyDescent="0.2">
      <c r="U3260" s="213" t="str">
        <f t="shared" si="54"/>
        <v>1w</v>
      </c>
      <c r="V3260" s="201">
        <f>_xll.qlCalendarAdvance(Calendar,V3259,U3260,"f",FALSE)</f>
        <v>61660</v>
      </c>
      <c r="W3260" s="225">
        <f>_xll.qlCalendarAdvance(Calendar,V3260,NDays&amp;"D")</f>
        <v>61662</v>
      </c>
      <c r="X3260" s="200">
        <v>2.4411303060190213E-2</v>
      </c>
      <c r="Y3260" s="209">
        <v>2.4225165457369968E-2</v>
      </c>
    </row>
    <row r="3261" spans="21:25" x14ac:dyDescent="0.2">
      <c r="U3261" s="213" t="str">
        <f t="shared" si="54"/>
        <v>1w</v>
      </c>
      <c r="V3261" s="201">
        <f>_xll.qlCalendarAdvance(Calendar,V3260,U3261,"f",FALSE)</f>
        <v>61667</v>
      </c>
      <c r="W3261" s="225">
        <f>_xll.qlCalendarAdvance(Calendar,V3261,NDays&amp;"D")</f>
        <v>61669</v>
      </c>
      <c r="X3261" s="200">
        <v>2.4413315111193049E-2</v>
      </c>
      <c r="Y3261" s="209">
        <v>2.4228317695360602E-2</v>
      </c>
    </row>
    <row r="3262" spans="21:25" x14ac:dyDescent="0.2">
      <c r="U3262" s="213" t="str">
        <f t="shared" si="54"/>
        <v>1w</v>
      </c>
      <c r="V3262" s="201">
        <f>_xll.qlCalendarAdvance(Calendar,V3261,U3262,"f",FALSE)</f>
        <v>61674</v>
      </c>
      <c r="W3262" s="225">
        <f>_xll.qlCalendarAdvance(Calendar,V3262,NDays&amp;"D")</f>
        <v>61676</v>
      </c>
      <c r="X3262" s="200">
        <v>2.4416355415377372E-2</v>
      </c>
      <c r="Y3262" s="209">
        <v>2.4231459127541655E-2</v>
      </c>
    </row>
    <row r="3263" spans="21:25" x14ac:dyDescent="0.2">
      <c r="U3263" s="213" t="str">
        <f t="shared" si="54"/>
        <v>1w</v>
      </c>
      <c r="V3263" s="201">
        <f>_xll.qlCalendarAdvance(Calendar,V3262,U3263,"f",FALSE)</f>
        <v>61681</v>
      </c>
      <c r="W3263" s="225">
        <f>_xll.qlCalendarAdvance(Calendar,V3263,NDays&amp;"D")</f>
        <v>61683</v>
      </c>
      <c r="X3263" s="200">
        <v>2.4419384787782012E-2</v>
      </c>
      <c r="Y3263" s="209">
        <v>2.4234589753833191E-2</v>
      </c>
    </row>
    <row r="3264" spans="21:25" x14ac:dyDescent="0.2">
      <c r="U3264" s="213" t="str">
        <f t="shared" si="54"/>
        <v>1w</v>
      </c>
      <c r="V3264" s="201">
        <f>_xll.qlCalendarAdvance(Calendar,V3263,U3264,"f",FALSE)</f>
        <v>61688</v>
      </c>
      <c r="W3264" s="225">
        <f>_xll.qlCalendarAdvance(Calendar,V3264,NDays&amp;"D")</f>
        <v>61690</v>
      </c>
      <c r="X3264" s="200">
        <v>2.4422403228357509E-2</v>
      </c>
      <c r="Y3264" s="209">
        <v>2.4237709574368438E-2</v>
      </c>
    </row>
    <row r="3265" spans="21:25" x14ac:dyDescent="0.2">
      <c r="U3265" s="213" t="str">
        <f t="shared" si="54"/>
        <v>1w</v>
      </c>
      <c r="V3265" s="201">
        <f>_xll.qlCalendarAdvance(Calendar,V3264,U3265,"f",FALSE)</f>
        <v>61695</v>
      </c>
      <c r="W3265" s="225">
        <f>_xll.qlCalendarAdvance(Calendar,V3265,NDays&amp;"D")</f>
        <v>61697</v>
      </c>
      <c r="X3265" s="200">
        <v>2.4426447038619729E-2</v>
      </c>
      <c r="Y3265" s="209">
        <v>2.4240818589014168E-2</v>
      </c>
    </row>
    <row r="3266" spans="21:25" x14ac:dyDescent="0.2">
      <c r="U3266" s="213" t="str">
        <f t="shared" si="54"/>
        <v>1w</v>
      </c>
      <c r="V3266" s="201">
        <f>_xll.qlCalendarAdvance(Calendar,V3265,U3266,"f",FALSE)</f>
        <v>61702</v>
      </c>
      <c r="W3266" s="225">
        <f>_xll.qlCalendarAdvance(Calendar,V3266,NDays&amp;"D")</f>
        <v>61704</v>
      </c>
      <c r="X3266" s="200">
        <v>2.4429443036573191E-2</v>
      </c>
      <c r="Y3266" s="209">
        <v>2.4243916797850318E-2</v>
      </c>
    </row>
    <row r="3267" spans="21:25" x14ac:dyDescent="0.2">
      <c r="U3267" s="213" t="str">
        <f t="shared" si="54"/>
        <v>1w</v>
      </c>
      <c r="V3267" s="201">
        <f>_xll.qlCalendarAdvance(Calendar,V3266,U3267,"f",FALSE)</f>
        <v>61709</v>
      </c>
      <c r="W3267" s="225">
        <f>_xll.qlCalendarAdvance(Calendar,V3267,NDays&amp;"D")</f>
        <v>61711</v>
      </c>
      <c r="X3267" s="200">
        <v>2.4432428101834977E-2</v>
      </c>
      <c r="Y3267" s="209">
        <v>2.4247004200850242E-2</v>
      </c>
    </row>
    <row r="3268" spans="21:25" x14ac:dyDescent="0.2">
      <c r="U3268" s="213" t="str">
        <f t="shared" si="54"/>
        <v>1w</v>
      </c>
      <c r="V3268" s="201">
        <f>_xll.qlCalendarAdvance(Calendar,V3267,U3268,"f",FALSE)</f>
        <v>61716</v>
      </c>
      <c r="W3268" s="225">
        <f>_xll.qlCalendarAdvance(Calendar,V3268,NDays&amp;"D")</f>
        <v>61718</v>
      </c>
      <c r="X3268" s="200">
        <v>2.443540223435502E-2</v>
      </c>
      <c r="Y3268" s="209">
        <v>2.425008079801394E-2</v>
      </c>
    </row>
    <row r="3269" spans="21:25" x14ac:dyDescent="0.2">
      <c r="U3269" s="213" t="str">
        <f t="shared" si="54"/>
        <v>1w</v>
      </c>
      <c r="V3269" s="201">
        <f>_xll.qlCalendarAdvance(Calendar,V3268,U3269,"f",FALSE)</f>
        <v>61724</v>
      </c>
      <c r="W3269" s="225">
        <f>_xll.qlCalendarAdvance(Calendar,V3269,NDays&amp;"D")</f>
        <v>61728</v>
      </c>
      <c r="X3269" s="200">
        <v>2.4436530804169788E-2</v>
      </c>
      <c r="Y3269" s="209">
        <v>2.4253421976401235E-2</v>
      </c>
    </row>
    <row r="3270" spans="21:25" x14ac:dyDescent="0.2">
      <c r="U3270" s="213" t="str">
        <f t="shared" si="54"/>
        <v>1w</v>
      </c>
      <c r="V3270" s="201">
        <f>_xll.qlCalendarAdvance(Calendar,V3269,U3270,"f",FALSE)</f>
        <v>61731</v>
      </c>
      <c r="W3270" s="225">
        <f>_xll.qlCalendarAdvance(Calendar,V3270,NDays&amp;"D")</f>
        <v>61735</v>
      </c>
      <c r="X3270" s="200">
        <v>2.4442579611417374E-2</v>
      </c>
      <c r="Y3270" s="209">
        <v>2.4255438240237126E-2</v>
      </c>
    </row>
    <row r="3271" spans="21:25" x14ac:dyDescent="0.2">
      <c r="U3271" s="213" t="str">
        <f t="shared" si="54"/>
        <v>1w</v>
      </c>
      <c r="V3271" s="201">
        <f>_xll.qlCalendarAdvance(Calendar,V3270,U3271,"f",FALSE)</f>
        <v>61738</v>
      </c>
      <c r="W3271" s="225">
        <f>_xll.qlCalendarAdvance(Calendar,V3271,NDays&amp;"D")</f>
        <v>61742</v>
      </c>
      <c r="X3271" s="200">
        <v>2.4445516259885072E-2</v>
      </c>
      <c r="Y3271" s="209">
        <v>2.425847892274291E-2</v>
      </c>
    </row>
    <row r="3272" spans="21:25" x14ac:dyDescent="0.2">
      <c r="U3272" s="213" t="str">
        <f t="shared" si="54"/>
        <v>1w</v>
      </c>
      <c r="V3272" s="201">
        <f>_xll.qlCalendarAdvance(Calendar,V3271,U3272,"f",FALSE)</f>
        <v>61745</v>
      </c>
      <c r="W3272" s="225">
        <f>_xll.qlCalendarAdvance(Calendar,V3272,NDays&amp;"D")</f>
        <v>61749</v>
      </c>
      <c r="X3272" s="200">
        <v>2.4448441975396688E-2</v>
      </c>
      <c r="Y3272" s="209">
        <v>2.4261508800931253E-2</v>
      </c>
    </row>
    <row r="3273" spans="21:25" x14ac:dyDescent="0.2">
      <c r="U3273" s="213" t="str">
        <f t="shared" si="54"/>
        <v>1w</v>
      </c>
      <c r="V3273" s="201">
        <f>_xll.qlCalendarAdvance(Calendar,V3272,U3273,"f",FALSE)</f>
        <v>61752</v>
      </c>
      <c r="W3273" s="225">
        <f>_xll.qlCalendarAdvance(Calendar,V3273,NDays&amp;"D")</f>
        <v>61756</v>
      </c>
      <c r="X3273" s="200">
        <v>2.4451356757905232E-2</v>
      </c>
      <c r="Y3273" s="209">
        <v>2.4264527874402475E-2</v>
      </c>
    </row>
    <row r="3274" spans="21:25" x14ac:dyDescent="0.2">
      <c r="U3274" s="213" t="str">
        <f t="shared" si="54"/>
        <v>1w</v>
      </c>
      <c r="V3274" s="201">
        <f>_xll.qlCalendarAdvance(Calendar,V3273,U3274,"f",FALSE)</f>
        <v>61759</v>
      </c>
      <c r="W3274" s="225">
        <f>_xll.qlCalendarAdvance(Calendar,V3274,NDays&amp;"D")</f>
        <v>61763</v>
      </c>
      <c r="X3274" s="200">
        <v>2.4454260607362388E-2</v>
      </c>
      <c r="Y3274" s="209">
        <v>2.4267536143716129E-2</v>
      </c>
    </row>
    <row r="3275" spans="21:25" x14ac:dyDescent="0.2">
      <c r="U3275" s="213" t="str">
        <f t="shared" si="54"/>
        <v>1w</v>
      </c>
      <c r="V3275" s="201">
        <f>_xll.qlCalendarAdvance(Calendar,V3274,U3275,"f",FALSE)</f>
        <v>61766</v>
      </c>
      <c r="W3275" s="225">
        <f>_xll.qlCalendarAdvance(Calendar,V3275,NDays&amp;"D")</f>
        <v>61770</v>
      </c>
      <c r="X3275" s="200">
        <v>2.4457153523719844E-2</v>
      </c>
      <c r="Y3275" s="209">
        <v>2.4270533608472533E-2</v>
      </c>
    </row>
    <row r="3276" spans="21:25" x14ac:dyDescent="0.2">
      <c r="U3276" s="213" t="str">
        <f t="shared" si="54"/>
        <v>1w</v>
      </c>
      <c r="V3276" s="201">
        <f>_xll.qlCalendarAdvance(Calendar,V3275,U3276,"f",FALSE)</f>
        <v>61773</v>
      </c>
      <c r="W3276" s="225">
        <f>_xll.qlCalendarAdvance(Calendar,V3276,NDays&amp;"D")</f>
        <v>61777</v>
      </c>
      <c r="X3276" s="200">
        <v>2.4460035506932359E-2</v>
      </c>
      <c r="Y3276" s="209">
        <v>2.4273520268911497E-2</v>
      </c>
    </row>
    <row r="3277" spans="21:25" x14ac:dyDescent="0.2">
      <c r="U3277" s="213" t="str">
        <f t="shared" si="54"/>
        <v>1w</v>
      </c>
      <c r="V3277" s="201">
        <f>_xll.qlCalendarAdvance(Calendar,V3276,U3277,"f",FALSE)</f>
        <v>61780</v>
      </c>
      <c r="W3277" s="225">
        <f>_xll.qlCalendarAdvance(Calendar,V3277,NDays&amp;"D")</f>
        <v>61784</v>
      </c>
      <c r="X3277" s="200">
        <v>2.4462906556950745E-2</v>
      </c>
      <c r="Y3277" s="209">
        <v>2.4276496124793212E-2</v>
      </c>
    </row>
    <row r="3278" spans="21:25" x14ac:dyDescent="0.2">
      <c r="U3278" s="213" t="str">
        <f t="shared" si="54"/>
        <v>1w</v>
      </c>
      <c r="V3278" s="201">
        <f>_xll.qlCalendarAdvance(Calendar,V3277,U3278,"f",FALSE)</f>
        <v>61787</v>
      </c>
      <c r="W3278" s="225">
        <f>_xll.qlCalendarAdvance(Calendar,V3278,NDays&amp;"D")</f>
        <v>61791</v>
      </c>
      <c r="X3278" s="200">
        <v>2.4467823581870284E-2</v>
      </c>
      <c r="Y3278" s="209">
        <v>2.4279461176357486E-2</v>
      </c>
    </row>
    <row r="3279" spans="21:25" x14ac:dyDescent="0.2">
      <c r="U3279" s="213" t="str">
        <f t="shared" si="54"/>
        <v>1w</v>
      </c>
      <c r="V3279" s="201">
        <f>_xll.qlCalendarAdvance(Calendar,V3278,U3279,"f",FALSE)</f>
        <v>61794</v>
      </c>
      <c r="W3279" s="225">
        <f>_xll.qlCalendarAdvance(Calendar,V3279,NDays&amp;"D")</f>
        <v>61798</v>
      </c>
      <c r="X3279" s="200">
        <v>2.4470671588181069E-2</v>
      </c>
      <c r="Y3279" s="209">
        <v>2.4282415423364512E-2</v>
      </c>
    </row>
    <row r="3280" spans="21:25" x14ac:dyDescent="0.2">
      <c r="U3280" s="213" t="str">
        <f t="shared" si="54"/>
        <v>1w</v>
      </c>
      <c r="V3280" s="201">
        <f>_xll.qlCalendarAdvance(Calendar,V3279,U3280,"f",FALSE)</f>
        <v>61801</v>
      </c>
      <c r="W3280" s="225">
        <f>_xll.qlCalendarAdvance(Calendar,V3280,NDays&amp;"D")</f>
        <v>61805</v>
      </c>
      <c r="X3280" s="200">
        <v>2.4473508659717466E-2</v>
      </c>
      <c r="Y3280" s="209">
        <v>2.428535886597416E-2</v>
      </c>
    </row>
    <row r="3281" spans="21:25" x14ac:dyDescent="0.2">
      <c r="U3281" s="213" t="str">
        <f t="shared" si="54"/>
        <v>1w</v>
      </c>
      <c r="V3281" s="201">
        <f>_xll.qlCalendarAdvance(Calendar,V3280,U3281,"f",FALSE)</f>
        <v>61808</v>
      </c>
      <c r="W3281" s="225">
        <f>_xll.qlCalendarAdvance(Calendar,V3281,NDays&amp;"D")</f>
        <v>61812</v>
      </c>
      <c r="X3281" s="200">
        <v>2.4476334796432984E-2</v>
      </c>
      <c r="Y3281" s="209">
        <v>2.4288291504106496E-2</v>
      </c>
    </row>
    <row r="3282" spans="21:25" x14ac:dyDescent="0.2">
      <c r="U3282" s="213" t="str">
        <f t="shared" si="54"/>
        <v>1w</v>
      </c>
      <c r="V3282" s="201">
        <f>_xll.qlCalendarAdvance(Calendar,V3281,U3282,"f",FALSE)</f>
        <v>61815</v>
      </c>
      <c r="W3282" s="225">
        <f>_xll.qlCalendarAdvance(Calendar,V3282,NDays&amp;"D")</f>
        <v>61819</v>
      </c>
      <c r="X3282" s="200">
        <v>2.4478123908063573E-2</v>
      </c>
      <c r="Y3282" s="209">
        <v>2.4291213338081263E-2</v>
      </c>
    </row>
    <row r="3283" spans="21:25" x14ac:dyDescent="0.2">
      <c r="U3283" s="213" t="str">
        <f t="shared" si="54"/>
        <v>1w</v>
      </c>
      <c r="V3283" s="201">
        <f>_xll.qlCalendarAdvance(Calendar,V3282,U3283,"f",FALSE)</f>
        <v>61822</v>
      </c>
      <c r="W3283" s="225">
        <f>_xll.qlCalendarAdvance(Calendar,V3283,NDays&amp;"D")</f>
        <v>61826</v>
      </c>
      <c r="X3283" s="200">
        <v>2.4480928766513994E-2</v>
      </c>
      <c r="Y3283" s="209">
        <v>2.429412436733891E-2</v>
      </c>
    </row>
    <row r="3284" spans="21:25" x14ac:dyDescent="0.2">
      <c r="U3284" s="213" t="str">
        <f t="shared" si="54"/>
        <v>1w</v>
      </c>
      <c r="V3284" s="201">
        <f>_xll.qlCalendarAdvance(Calendar,V3283,U3284,"f",FALSE)</f>
        <v>61829</v>
      </c>
      <c r="W3284" s="225">
        <f>_xll.qlCalendarAdvance(Calendar,V3284,NDays&amp;"D")</f>
        <v>61835</v>
      </c>
      <c r="X3284" s="200">
        <v>2.4484518946447882E-2</v>
      </c>
      <c r="Y3284" s="209">
        <v>2.4297851243346713E-2</v>
      </c>
    </row>
    <row r="3285" spans="21:25" x14ac:dyDescent="0.2">
      <c r="U3285" s="213" t="str">
        <f t="shared" ref="U3285:U3348" si="55">U3284</f>
        <v>1w</v>
      </c>
      <c r="V3285" s="201">
        <f>_xll.qlCalendarAdvance(Calendar,V3284,U3285,"f",FALSE)</f>
        <v>61836</v>
      </c>
      <c r="W3285" s="225">
        <f>_xll.qlCalendarAdvance(Calendar,V3285,NDays&amp;"D")</f>
        <v>61840</v>
      </c>
      <c r="X3285" s="200">
        <v>2.4486505680648862E-2</v>
      </c>
      <c r="Y3285" s="209">
        <v>2.4299914012662072E-2</v>
      </c>
    </row>
    <row r="3286" spans="21:25" x14ac:dyDescent="0.2">
      <c r="U3286" s="213" t="str">
        <f t="shared" si="55"/>
        <v>1w</v>
      </c>
      <c r="V3286" s="201">
        <f>_xll.qlCalendarAdvance(Calendar,V3285,U3286,"f",FALSE)</f>
        <v>61843</v>
      </c>
      <c r="W3286" s="225">
        <f>_xll.qlCalendarAdvance(Calendar,V3286,NDays&amp;"D")</f>
        <v>61847</v>
      </c>
      <c r="X3286" s="200">
        <v>2.4489277736242019E-2</v>
      </c>
      <c r="Y3286" s="209">
        <v>2.4302792628727587E-2</v>
      </c>
    </row>
    <row r="3287" spans="21:25" x14ac:dyDescent="0.2">
      <c r="U3287" s="213" t="str">
        <f t="shared" si="55"/>
        <v>1w</v>
      </c>
      <c r="V3287" s="201">
        <f>_xll.qlCalendarAdvance(Calendar,V3286,U3287,"f",FALSE)</f>
        <v>61850</v>
      </c>
      <c r="W3287" s="225">
        <f>_xll.qlCalendarAdvance(Calendar,V3287,NDays&amp;"D")</f>
        <v>61854</v>
      </c>
      <c r="X3287" s="200">
        <v>2.4493061982889811E-2</v>
      </c>
      <c r="Y3287" s="209">
        <v>2.4305660440395727E-2</v>
      </c>
    </row>
    <row r="3288" spans="21:25" x14ac:dyDescent="0.2">
      <c r="U3288" s="213" t="str">
        <f t="shared" si="55"/>
        <v>1w</v>
      </c>
      <c r="V3288" s="201">
        <f>_xll.qlCalendarAdvance(Calendar,V3287,U3288,"f",FALSE)</f>
        <v>61857</v>
      </c>
      <c r="W3288" s="225">
        <f>_xll.qlCalendarAdvance(Calendar,V3288,NDays&amp;"D")</f>
        <v>61861</v>
      </c>
      <c r="X3288" s="200">
        <v>2.4495811574560246E-2</v>
      </c>
      <c r="Y3288" s="209">
        <v>2.4308517447426681E-2</v>
      </c>
    </row>
    <row r="3289" spans="21:25" x14ac:dyDescent="0.2">
      <c r="U3289" s="213" t="str">
        <f t="shared" si="55"/>
        <v>1w</v>
      </c>
      <c r="V3289" s="201">
        <f>_xll.qlCalendarAdvance(Calendar,V3288,U3289,"f",FALSE)</f>
        <v>61864</v>
      </c>
      <c r="W3289" s="225">
        <f>_xll.qlCalendarAdvance(Calendar,V3289,NDays&amp;"D")</f>
        <v>61868</v>
      </c>
      <c r="X3289" s="200">
        <v>2.4498550231041839E-2</v>
      </c>
      <c r="Y3289" s="209">
        <v>2.4311363650300066E-2</v>
      </c>
    </row>
    <row r="3290" spans="21:25" x14ac:dyDescent="0.2">
      <c r="U3290" s="213" t="str">
        <f t="shared" si="55"/>
        <v>1w</v>
      </c>
      <c r="V3290" s="201">
        <f>_xll.qlCalendarAdvance(Calendar,V3289,U3290,"f",FALSE)</f>
        <v>61871</v>
      </c>
      <c r="W3290" s="225">
        <f>_xll.qlCalendarAdvance(Calendar,V3290,NDays&amp;"D")</f>
        <v>61875</v>
      </c>
      <c r="X3290" s="200">
        <v>2.4501277952288104E-2</v>
      </c>
      <c r="Y3290" s="209">
        <v>2.4314199048536267E-2</v>
      </c>
    </row>
    <row r="3291" spans="21:25" x14ac:dyDescent="0.2">
      <c r="U3291" s="213" t="str">
        <f t="shared" si="55"/>
        <v>1w</v>
      </c>
      <c r="V3291" s="201">
        <f>_xll.qlCalendarAdvance(Calendar,V3290,U3291,"f",FALSE)</f>
        <v>61878</v>
      </c>
      <c r="W3291" s="225">
        <f>_xll.qlCalendarAdvance(Calendar,V3291,NDays&amp;"D")</f>
        <v>61882</v>
      </c>
      <c r="X3291" s="200">
        <v>2.4502973997641793E-2</v>
      </c>
      <c r="Y3291" s="209">
        <v>2.4317023642295155E-2</v>
      </c>
    </row>
    <row r="3292" spans="21:25" x14ac:dyDescent="0.2">
      <c r="U3292" s="213" t="str">
        <f t="shared" si="55"/>
        <v>1w</v>
      </c>
      <c r="V3292" s="201">
        <f>_xll.qlCalendarAdvance(Calendar,V3291,U3292,"f",FALSE)</f>
        <v>61885</v>
      </c>
      <c r="W3292" s="225">
        <f>_xll.qlCalendarAdvance(Calendar,V3292,NDays&amp;"D")</f>
        <v>61889</v>
      </c>
      <c r="X3292" s="200">
        <v>2.4505680446292994E-2</v>
      </c>
      <c r="Y3292" s="209">
        <v>2.4319837431736602E-2</v>
      </c>
    </row>
    <row r="3293" spans="21:25" x14ac:dyDescent="0.2">
      <c r="U3293" s="213" t="str">
        <f t="shared" si="55"/>
        <v>1w</v>
      </c>
      <c r="V3293" s="201">
        <f>_xll.qlCalendarAdvance(Calendar,V3292,U3293,"f",FALSE)</f>
        <v>61892</v>
      </c>
      <c r="W3293" s="225">
        <f>_xll.qlCalendarAdvance(Calendar,V3293,NDays&amp;"D")</f>
        <v>61896</v>
      </c>
      <c r="X3293" s="200">
        <v>2.4508375960296473E-2</v>
      </c>
      <c r="Y3293" s="209">
        <v>2.4322640416780672E-2</v>
      </c>
    </row>
    <row r="3294" spans="21:25" x14ac:dyDescent="0.2">
      <c r="U3294" s="213" t="str">
        <f t="shared" si="55"/>
        <v>1w</v>
      </c>
      <c r="V3294" s="201">
        <f>_xll.qlCalendarAdvance(Calendar,V3293,U3294,"f",FALSE)</f>
        <v>61899</v>
      </c>
      <c r="W3294" s="225">
        <f>_xll.qlCalendarAdvance(Calendar,V3294,NDays&amp;"D")</f>
        <v>61903</v>
      </c>
      <c r="X3294" s="200">
        <v>2.451106053960855E-2</v>
      </c>
      <c r="Y3294" s="209">
        <v>2.4325432597347429E-2</v>
      </c>
    </row>
    <row r="3295" spans="21:25" x14ac:dyDescent="0.2">
      <c r="U3295" s="213" t="str">
        <f t="shared" si="55"/>
        <v>1w</v>
      </c>
      <c r="V3295" s="201">
        <f>_xll.qlCalendarAdvance(Calendar,V3294,U3295,"f",FALSE)</f>
        <v>61906</v>
      </c>
      <c r="W3295" s="225">
        <f>_xll.qlCalendarAdvance(Calendar,V3295,NDays&amp;"D")</f>
        <v>61910</v>
      </c>
      <c r="X3295" s="200">
        <v>2.4515770861106977E-2</v>
      </c>
      <c r="Y3295" s="209">
        <v>2.4328213973356938E-2</v>
      </c>
    </row>
    <row r="3296" spans="21:25" x14ac:dyDescent="0.2">
      <c r="U3296" s="213" t="str">
        <f t="shared" si="55"/>
        <v>1w</v>
      </c>
      <c r="V3296" s="201">
        <f>_xll.qlCalendarAdvance(Calendar,V3295,U3296,"f",FALSE)</f>
        <v>61913</v>
      </c>
      <c r="W3296" s="225">
        <f>_xll.qlCalendarAdvance(Calendar,V3296,NDays&amp;"D")</f>
        <v>61917</v>
      </c>
      <c r="X3296" s="200">
        <v>2.4517414637303274E-2</v>
      </c>
      <c r="Y3296" s="209">
        <v>2.4330984545128942E-2</v>
      </c>
    </row>
    <row r="3297" spans="21:25" x14ac:dyDescent="0.2">
      <c r="U3297" s="213" t="str">
        <f t="shared" si="55"/>
        <v>1w</v>
      </c>
      <c r="V3297" s="201">
        <f>_xll.qlCalendarAdvance(Calendar,V3296,U3297,"f",FALSE)</f>
        <v>61920</v>
      </c>
      <c r="W3297" s="225">
        <f>_xll.qlCalendarAdvance(Calendar,V3297,NDays&amp;"D")</f>
        <v>61924</v>
      </c>
      <c r="X3297" s="200">
        <v>2.4520065810646741E-2</v>
      </c>
      <c r="Y3297" s="209">
        <v>2.4333744312423633E-2</v>
      </c>
    </row>
    <row r="3298" spans="21:25" x14ac:dyDescent="0.2">
      <c r="U3298" s="213" t="str">
        <f t="shared" si="55"/>
        <v>1w</v>
      </c>
      <c r="V3298" s="201">
        <f>_xll.qlCalendarAdvance(Calendar,V3297,U3298,"f",FALSE)</f>
        <v>61927</v>
      </c>
      <c r="W3298" s="225">
        <f>_xll.qlCalendarAdvance(Calendar,V3298,NDays&amp;"D")</f>
        <v>61931</v>
      </c>
      <c r="X3298" s="200">
        <v>2.4522706048398648E-2</v>
      </c>
      <c r="Y3298" s="209">
        <v>2.4336493275241011E-2</v>
      </c>
    </row>
    <row r="3299" spans="21:25" x14ac:dyDescent="0.2">
      <c r="U3299" s="213" t="str">
        <f t="shared" si="55"/>
        <v>1w</v>
      </c>
      <c r="V3299" s="201">
        <f>_xll.qlCalendarAdvance(Calendar,V3298,U3299,"f",FALSE)</f>
        <v>61934</v>
      </c>
      <c r="W3299" s="225">
        <f>_xll.qlCalendarAdvance(Calendar,V3299,NDays&amp;"D")</f>
        <v>61938</v>
      </c>
      <c r="X3299" s="200">
        <v>2.4525335350514245E-2</v>
      </c>
      <c r="Y3299" s="209">
        <v>2.4339231433501141E-2</v>
      </c>
    </row>
    <row r="3300" spans="21:25" x14ac:dyDescent="0.2">
      <c r="U3300" s="213" t="str">
        <f t="shared" si="55"/>
        <v>1w</v>
      </c>
      <c r="V3300" s="201">
        <f>_xll.qlCalendarAdvance(Calendar,V3299,U3300,"f",FALSE)</f>
        <v>61941</v>
      </c>
      <c r="W3300" s="225">
        <f>_xll.qlCalendarAdvance(Calendar,V3300,NDays&amp;"D")</f>
        <v>61945</v>
      </c>
      <c r="X3300" s="200">
        <v>2.4527953716950521E-2</v>
      </c>
      <c r="Y3300" s="209">
        <v>2.4341958787523765E-2</v>
      </c>
    </row>
    <row r="3301" spans="21:25" x14ac:dyDescent="0.2">
      <c r="U3301" s="213" t="str">
        <f t="shared" si="55"/>
        <v>1w</v>
      </c>
      <c r="V3301" s="201">
        <f>_xll.qlCalendarAdvance(Calendar,V3300,U3301,"f",FALSE)</f>
        <v>61948</v>
      </c>
      <c r="W3301" s="225">
        <f>_xll.qlCalendarAdvance(Calendar,V3301,NDays&amp;"D")</f>
        <v>61952</v>
      </c>
      <c r="X3301" s="200">
        <v>2.4530561147665775E-2</v>
      </c>
      <c r="Y3301" s="209">
        <v>2.4344675336989141E-2</v>
      </c>
    </row>
    <row r="3302" spans="21:25" x14ac:dyDescent="0.2">
      <c r="U3302" s="213" t="str">
        <f t="shared" si="55"/>
        <v>1w</v>
      </c>
      <c r="V3302" s="201">
        <f>_xll.qlCalendarAdvance(Calendar,V3301,U3302,"f",FALSE)</f>
        <v>61955</v>
      </c>
      <c r="W3302" s="225">
        <f>_xll.qlCalendarAdvance(Calendar,V3302,NDays&amp;"D")</f>
        <v>61959</v>
      </c>
      <c r="X3302" s="200">
        <v>2.4533157642614822E-2</v>
      </c>
      <c r="Y3302" s="209">
        <v>2.4347381081977204E-2</v>
      </c>
    </row>
    <row r="3303" spans="21:25" x14ac:dyDescent="0.2">
      <c r="U3303" s="213" t="str">
        <f t="shared" si="55"/>
        <v>1w</v>
      </c>
      <c r="V3303" s="201">
        <f>_xll.qlCalendarAdvance(Calendar,V3302,U3303,"f",FALSE)</f>
        <v>61962</v>
      </c>
      <c r="W3303" s="225">
        <f>_xll.qlCalendarAdvance(Calendar,V3303,NDays&amp;"D")</f>
        <v>61966</v>
      </c>
      <c r="X3303" s="200">
        <v>2.4535743201754653E-2</v>
      </c>
      <c r="Y3303" s="209">
        <v>2.435007602256789E-2</v>
      </c>
    </row>
    <row r="3304" spans="21:25" x14ac:dyDescent="0.2">
      <c r="U3304" s="213" t="str">
        <f t="shared" si="55"/>
        <v>1w</v>
      </c>
      <c r="V3304" s="201">
        <f>_xll.qlCalendarAdvance(Calendar,V3303,U3304,"f",FALSE)</f>
        <v>61969</v>
      </c>
      <c r="W3304" s="225">
        <f>_xll.qlCalendarAdvance(Calendar,V3304,NDays&amp;"D")</f>
        <v>61973</v>
      </c>
      <c r="X3304" s="200">
        <v>2.4536291992675884E-2</v>
      </c>
      <c r="Y3304" s="209">
        <v>2.4352760158841136E-2</v>
      </c>
    </row>
    <row r="3305" spans="21:25" x14ac:dyDescent="0.2">
      <c r="U3305" s="213" t="str">
        <f t="shared" si="55"/>
        <v>1w</v>
      </c>
      <c r="V3305" s="201">
        <f>_xll.qlCalendarAdvance(Calendar,V3304,U3305,"f",FALSE)</f>
        <v>61976</v>
      </c>
      <c r="W3305" s="225">
        <f>_xll.qlCalendarAdvance(Calendar,V3305,NDays&amp;"D")</f>
        <v>61980</v>
      </c>
      <c r="X3305" s="200">
        <v>2.4538856894833802E-2</v>
      </c>
      <c r="Y3305" s="209">
        <v>2.4355433490637068E-2</v>
      </c>
    </row>
    <row r="3306" spans="21:25" x14ac:dyDescent="0.2">
      <c r="U3306" s="213" t="str">
        <f t="shared" si="55"/>
        <v>1w</v>
      </c>
      <c r="V3306" s="201">
        <f>_xll.qlCalendarAdvance(Calendar,V3305,U3306,"f",FALSE)</f>
        <v>61983</v>
      </c>
      <c r="W3306" s="225">
        <f>_xll.qlCalendarAdvance(Calendar,V3306,NDays&amp;"D")</f>
        <v>61987</v>
      </c>
      <c r="X3306" s="200">
        <v>2.4541410862505435E-2</v>
      </c>
      <c r="Y3306" s="209">
        <v>2.4358096017795816E-2</v>
      </c>
    </row>
    <row r="3307" spans="21:25" x14ac:dyDescent="0.2">
      <c r="U3307" s="213" t="str">
        <f t="shared" si="55"/>
        <v>1w</v>
      </c>
      <c r="V3307" s="201">
        <f>_xll.qlCalendarAdvance(Calendar,V3306,U3307,"f",FALSE)</f>
        <v>61990</v>
      </c>
      <c r="W3307" s="225">
        <f>_xll.qlCalendarAdvance(Calendar,V3307,NDays&amp;"D")</f>
        <v>61994</v>
      </c>
      <c r="X3307" s="200">
        <v>2.4543953895650818E-2</v>
      </c>
      <c r="Y3307" s="209">
        <v>2.4360747740717059E-2</v>
      </c>
    </row>
    <row r="3308" spans="21:25" x14ac:dyDescent="0.2">
      <c r="U3308" s="213" t="str">
        <f t="shared" si="55"/>
        <v>1w</v>
      </c>
      <c r="V3308" s="201">
        <f>_xll.qlCalendarAdvance(Calendar,V3307,U3308,"f",FALSE)</f>
        <v>61997</v>
      </c>
      <c r="W3308" s="225">
        <f>_xll.qlCalendarAdvance(Calendar,V3308,NDays&amp;"D")</f>
        <v>62001</v>
      </c>
      <c r="X3308" s="200">
        <v>2.4542443912685792E-2</v>
      </c>
      <c r="Y3308" s="209">
        <v>2.4363388659160989E-2</v>
      </c>
    </row>
    <row r="3309" spans="21:25" x14ac:dyDescent="0.2">
      <c r="U3309" s="213" t="str">
        <f t="shared" si="55"/>
        <v>1w</v>
      </c>
      <c r="V3309" s="201">
        <f>_xll.qlCalendarAdvance(Calendar,V3308,U3309,"f",FALSE)</f>
        <v>62004</v>
      </c>
      <c r="W3309" s="225">
        <f>_xll.qlCalendarAdvance(Calendar,V3309,NDays&amp;"D")</f>
        <v>62008</v>
      </c>
      <c r="X3309" s="200">
        <v>2.4549007158195049E-2</v>
      </c>
      <c r="Y3309" s="209">
        <v>2.4366018773127607E-2</v>
      </c>
    </row>
    <row r="3310" spans="21:25" x14ac:dyDescent="0.2">
      <c r="U3310" s="213" t="str">
        <f t="shared" si="55"/>
        <v>1w</v>
      </c>
      <c r="V3310" s="201">
        <f>_xll.qlCalendarAdvance(Calendar,V3309,U3310,"f",FALSE)</f>
        <v>62011</v>
      </c>
      <c r="W3310" s="225">
        <f>_xll.qlCalendarAdvance(Calendar,V3310,NDays&amp;"D")</f>
        <v>62015</v>
      </c>
      <c r="X3310" s="200">
        <v>2.4551517387511327E-2</v>
      </c>
      <c r="Y3310" s="209">
        <v>2.4368638082696847E-2</v>
      </c>
    </row>
    <row r="3311" spans="21:25" x14ac:dyDescent="0.2">
      <c r="U3311" s="213" t="str">
        <f t="shared" si="55"/>
        <v>1w</v>
      </c>
      <c r="V3311" s="201">
        <f>_xll.qlCalendarAdvance(Calendar,V3310,U3311,"f",FALSE)</f>
        <v>62018</v>
      </c>
      <c r="W3311" s="225">
        <f>_xll.qlCalendarAdvance(Calendar,V3311,NDays&amp;"D")</f>
        <v>62022</v>
      </c>
      <c r="X3311" s="200">
        <v>2.4554016682134895E-2</v>
      </c>
      <c r="Y3311" s="209">
        <v>2.4371246587788775E-2</v>
      </c>
    </row>
    <row r="3312" spans="21:25" x14ac:dyDescent="0.2">
      <c r="U3312" s="213" t="str">
        <f t="shared" si="55"/>
        <v>1w</v>
      </c>
      <c r="V3312" s="201">
        <f>_xll.qlCalendarAdvance(Calendar,V3311,U3312,"f",FALSE)</f>
        <v>62025</v>
      </c>
      <c r="W3312" s="225">
        <f>_xll.qlCalendarAdvance(Calendar,V3312,NDays&amp;"D")</f>
        <v>62029</v>
      </c>
      <c r="X3312" s="200">
        <v>2.4556505042025781E-2</v>
      </c>
      <c r="Y3312" s="209">
        <v>2.4373844288483326E-2</v>
      </c>
    </row>
    <row r="3313" spans="21:25" x14ac:dyDescent="0.2">
      <c r="U3313" s="213" t="str">
        <f t="shared" si="55"/>
        <v>1w</v>
      </c>
      <c r="V3313" s="201">
        <f>_xll.qlCalendarAdvance(Calendar,V3312,U3313,"f",FALSE)</f>
        <v>62032</v>
      </c>
      <c r="W3313" s="225">
        <f>_xll.qlCalendarAdvance(Calendar,V3313,NDays&amp;"D")</f>
        <v>62036</v>
      </c>
      <c r="X3313" s="200">
        <v>2.4558982467142262E-2</v>
      </c>
      <c r="Y3313" s="209">
        <v>2.4376431184700564E-2</v>
      </c>
    </row>
    <row r="3314" spans="21:25" x14ac:dyDescent="0.2">
      <c r="U3314" s="213" t="str">
        <f t="shared" si="55"/>
        <v>1w</v>
      </c>
      <c r="V3314" s="201">
        <f>_xll.qlCalendarAdvance(Calendar,V3313,U3314,"f",FALSE)</f>
        <v>62039</v>
      </c>
      <c r="W3314" s="225">
        <f>_xll.qlCalendarAdvance(Calendar,V3314,NDays&amp;"D")</f>
        <v>62043</v>
      </c>
      <c r="X3314" s="200">
        <v>2.4561448957443496E-2</v>
      </c>
      <c r="Y3314" s="209">
        <v>2.4379007276520426E-2</v>
      </c>
    </row>
    <row r="3315" spans="21:25" x14ac:dyDescent="0.2">
      <c r="U3315" s="213" t="str">
        <f t="shared" si="55"/>
        <v>1w</v>
      </c>
      <c r="V3315" s="201">
        <f>_xll.qlCalendarAdvance(Calendar,V3314,U3315,"f",FALSE)</f>
        <v>62046</v>
      </c>
      <c r="W3315" s="225">
        <f>_xll.qlCalendarAdvance(Calendar,V3315,NDays&amp;"D")</f>
        <v>62050</v>
      </c>
      <c r="X3315" s="200">
        <v>2.4563904512889947E-2</v>
      </c>
      <c r="Y3315" s="209">
        <v>2.4381572563862974E-2</v>
      </c>
    </row>
    <row r="3316" spans="21:25" x14ac:dyDescent="0.2">
      <c r="U3316" s="213" t="str">
        <f t="shared" si="55"/>
        <v>1w</v>
      </c>
      <c r="V3316" s="201">
        <f>_xll.qlCalendarAdvance(Calendar,V3315,U3316,"f",FALSE)</f>
        <v>62053</v>
      </c>
      <c r="W3316" s="225">
        <f>_xll.qlCalendarAdvance(Calendar,V3316,NDays&amp;"D")</f>
        <v>62057</v>
      </c>
      <c r="X3316" s="200">
        <v>2.4566349133442088E-2</v>
      </c>
      <c r="Y3316" s="209">
        <v>2.4384127046808146E-2</v>
      </c>
    </row>
    <row r="3317" spans="21:25" x14ac:dyDescent="0.2">
      <c r="U3317" s="213" t="str">
        <f t="shared" si="55"/>
        <v>1w</v>
      </c>
      <c r="V3317" s="201">
        <f>_xll.qlCalendarAdvance(Calendar,V3316,U3317,"f",FALSE)</f>
        <v>62060</v>
      </c>
      <c r="W3317" s="225">
        <f>_xll.qlCalendarAdvance(Calendar,V3317,NDays&amp;"D")</f>
        <v>62064</v>
      </c>
      <c r="X3317" s="200">
        <v>2.456878281905776E-2</v>
      </c>
      <c r="Y3317" s="209">
        <v>2.4386670725196069E-2</v>
      </c>
    </row>
    <row r="3318" spans="21:25" x14ac:dyDescent="0.2">
      <c r="U3318" s="213" t="str">
        <f t="shared" si="55"/>
        <v>1w</v>
      </c>
      <c r="V3318" s="201">
        <f>_xll.qlCalendarAdvance(Calendar,V3317,U3318,"f",FALSE)</f>
        <v>62067</v>
      </c>
      <c r="W3318" s="225">
        <f>_xll.qlCalendarAdvance(Calendar,V3318,NDays&amp;"D")</f>
        <v>62071</v>
      </c>
      <c r="X3318" s="200">
        <v>2.4571205569698745E-2</v>
      </c>
      <c r="Y3318" s="209">
        <v>2.4389203599266551E-2</v>
      </c>
    </row>
    <row r="3319" spans="21:25" x14ac:dyDescent="0.2">
      <c r="U3319" s="213" t="str">
        <f t="shared" si="55"/>
        <v>1w</v>
      </c>
      <c r="V3319" s="201">
        <f>_xll.qlCalendarAdvance(Calendar,V3318,U3319,"f",FALSE)</f>
        <v>62074</v>
      </c>
      <c r="W3319" s="225">
        <f>_xll.qlCalendarAdvance(Calendar,V3319,NDays&amp;"D")</f>
        <v>62078</v>
      </c>
      <c r="X3319" s="200">
        <v>2.4573617385324639E-2</v>
      </c>
      <c r="Y3319" s="209">
        <v>2.4391725668779785E-2</v>
      </c>
    </row>
    <row r="3320" spans="21:25" x14ac:dyDescent="0.2">
      <c r="U3320" s="213" t="str">
        <f t="shared" si="55"/>
        <v>1w</v>
      </c>
      <c r="V3320" s="201">
        <f>_xll.qlCalendarAdvance(Calendar,V3319,U3320,"f",FALSE)</f>
        <v>62081</v>
      </c>
      <c r="W3320" s="225">
        <f>_xll.qlCalendarAdvance(Calendar,V3320,NDays&amp;"D")</f>
        <v>62085</v>
      </c>
      <c r="X3320" s="200">
        <v>2.4576018265895914E-2</v>
      </c>
      <c r="Y3320" s="209">
        <v>2.4394236933895641E-2</v>
      </c>
    </row>
    <row r="3321" spans="21:25" x14ac:dyDescent="0.2">
      <c r="U3321" s="213" t="str">
        <f t="shared" si="55"/>
        <v>1w</v>
      </c>
      <c r="V3321" s="201">
        <f>_xll.qlCalendarAdvance(Calendar,V3320,U3321,"f",FALSE)</f>
        <v>62089</v>
      </c>
      <c r="W3321" s="225">
        <f>_xll.qlCalendarAdvance(Calendar,V3321,NDays&amp;"D")</f>
        <v>62093</v>
      </c>
      <c r="X3321" s="200">
        <v>2.4577746315258817E-2</v>
      </c>
      <c r="Y3321" s="209">
        <v>2.4398098478379815E-2</v>
      </c>
    </row>
    <row r="3322" spans="21:25" x14ac:dyDescent="0.2">
      <c r="U3322" s="213" t="str">
        <f t="shared" si="55"/>
        <v>1w</v>
      </c>
      <c r="V3322" s="201">
        <f>_xll.qlCalendarAdvance(Calendar,V3321,U3322,"f",FALSE)</f>
        <v>62096</v>
      </c>
      <c r="W3322" s="225">
        <f>_xll.qlCalendarAdvance(Calendar,V3322,NDays&amp;"D")</f>
        <v>62100</v>
      </c>
      <c r="X3322" s="200">
        <v>2.4580124383152581E-2</v>
      </c>
      <c r="Y3322" s="209">
        <v>2.4399581834098072E-2</v>
      </c>
    </row>
    <row r="3323" spans="21:25" x14ac:dyDescent="0.2">
      <c r="U3323" s="213" t="str">
        <f t="shared" si="55"/>
        <v>1w</v>
      </c>
      <c r="V3323" s="201">
        <f>_xll.qlCalendarAdvance(Calendar,V3322,U3323,"f",FALSE)</f>
        <v>62103</v>
      </c>
      <c r="W3323" s="225">
        <f>_xll.qlCalendarAdvance(Calendar,V3323,NDays&amp;"D")</f>
        <v>62107</v>
      </c>
      <c r="X3323" s="200">
        <v>2.4582491516598744E-2</v>
      </c>
      <c r="Y3323" s="209">
        <v>2.4402059142376586E-2</v>
      </c>
    </row>
    <row r="3324" spans="21:25" x14ac:dyDescent="0.2">
      <c r="U3324" s="213" t="str">
        <f t="shared" si="55"/>
        <v>1w</v>
      </c>
      <c r="V3324" s="201">
        <f>_xll.qlCalendarAdvance(Calendar,V3323,U3324,"f",FALSE)</f>
        <v>62110</v>
      </c>
      <c r="W3324" s="225">
        <f>_xll.qlCalendarAdvance(Calendar,V3324,NDays&amp;"D")</f>
        <v>62114</v>
      </c>
      <c r="X3324" s="200">
        <v>2.4584847715557561E-2</v>
      </c>
      <c r="Y3324" s="209">
        <v>2.440452564633766E-2</v>
      </c>
    </row>
    <row r="3325" spans="21:25" x14ac:dyDescent="0.2">
      <c r="U3325" s="213" t="str">
        <f t="shared" si="55"/>
        <v>1w</v>
      </c>
      <c r="V3325" s="201">
        <f>_xll.qlCalendarAdvance(Calendar,V3324,U3325,"f",FALSE)</f>
        <v>62117</v>
      </c>
      <c r="W3325" s="225">
        <f>_xll.qlCalendarAdvance(Calendar,V3325,NDays&amp;"D")</f>
        <v>62121</v>
      </c>
      <c r="X3325" s="200">
        <v>2.4587192979991488E-2</v>
      </c>
      <c r="Y3325" s="209">
        <v>2.4406981345741485E-2</v>
      </c>
    </row>
    <row r="3326" spans="21:25" x14ac:dyDescent="0.2">
      <c r="U3326" s="213" t="str">
        <f t="shared" si="55"/>
        <v>1w</v>
      </c>
      <c r="V3326" s="201">
        <f>_xll.qlCalendarAdvance(Calendar,V3325,U3326,"f",FALSE)</f>
        <v>62124</v>
      </c>
      <c r="W3326" s="225">
        <f>_xll.qlCalendarAdvance(Calendar,V3326,NDays&amp;"D")</f>
        <v>62128</v>
      </c>
      <c r="X3326" s="200">
        <v>2.4589527309862105E-2</v>
      </c>
      <c r="Y3326" s="209">
        <v>2.4409426240588061E-2</v>
      </c>
    </row>
    <row r="3327" spans="21:25" x14ac:dyDescent="0.2">
      <c r="U3327" s="213" t="str">
        <f t="shared" si="55"/>
        <v>1w</v>
      </c>
      <c r="V3327" s="201">
        <f>_xll.qlCalendarAdvance(Calendar,V3326,U3327,"f",FALSE)</f>
        <v>62131</v>
      </c>
      <c r="W3327" s="225">
        <f>_xll.qlCalendarAdvance(Calendar,V3327,NDays&amp;"D")</f>
        <v>62135</v>
      </c>
      <c r="X3327" s="200">
        <v>2.4591850705132312E-2</v>
      </c>
      <c r="Y3327" s="209">
        <v>2.4411860331277069E-2</v>
      </c>
    </row>
    <row r="3328" spans="21:25" x14ac:dyDescent="0.2">
      <c r="U3328" s="213" t="str">
        <f t="shared" si="55"/>
        <v>1w</v>
      </c>
      <c r="V3328" s="201">
        <f>_xll.qlCalendarAdvance(Calendar,V3327,U3328,"f",FALSE)</f>
        <v>62138</v>
      </c>
      <c r="W3328" s="225">
        <f>_xll.qlCalendarAdvance(Calendar,V3328,NDays&amp;"D")</f>
        <v>62142</v>
      </c>
      <c r="X3328" s="200">
        <v>2.4594163165762368E-2</v>
      </c>
      <c r="Y3328" s="209">
        <v>2.4414283617408827E-2</v>
      </c>
    </row>
    <row r="3329" spans="21:25" x14ac:dyDescent="0.2">
      <c r="U3329" s="213" t="str">
        <f t="shared" si="55"/>
        <v>1w</v>
      </c>
      <c r="V3329" s="201">
        <f>_xll.qlCalendarAdvance(Calendar,V3328,U3329,"f",FALSE)</f>
        <v>62145</v>
      </c>
      <c r="W3329" s="225">
        <f>_xll.qlCalendarAdvance(Calendar,V3329,NDays&amp;"D")</f>
        <v>62149</v>
      </c>
      <c r="X3329" s="200">
        <v>2.459646469171517E-2</v>
      </c>
      <c r="Y3329" s="209">
        <v>2.4416696098983337E-2</v>
      </c>
    </row>
    <row r="3330" spans="21:25" x14ac:dyDescent="0.2">
      <c r="U3330" s="213" t="str">
        <f t="shared" si="55"/>
        <v>1w</v>
      </c>
      <c r="V3330" s="201">
        <f>_xll.qlCalendarAdvance(Calendar,V3329,U3330,"f",FALSE)</f>
        <v>62152</v>
      </c>
      <c r="W3330" s="225">
        <f>_xll.qlCalendarAdvance(Calendar,V3330,NDays&amp;"D")</f>
        <v>62156</v>
      </c>
      <c r="X3330" s="200">
        <v>2.4601745700275627E-2</v>
      </c>
      <c r="Y3330" s="209">
        <v>2.4419097776240406E-2</v>
      </c>
    </row>
    <row r="3331" spans="21:25" x14ac:dyDescent="0.2">
      <c r="U3331" s="213" t="str">
        <f t="shared" si="55"/>
        <v>1w</v>
      </c>
      <c r="V3331" s="201">
        <f>_xll.qlCalendarAdvance(Calendar,V3330,U3331,"f",FALSE)</f>
        <v>62159</v>
      </c>
      <c r="W3331" s="225">
        <f>_xll.qlCalendarAdvance(Calendar,V3331,NDays&amp;"D")</f>
        <v>62163</v>
      </c>
      <c r="X3331" s="200">
        <v>2.4604023477625404E-2</v>
      </c>
      <c r="Y3331" s="209">
        <v>2.4421488648940226E-2</v>
      </c>
    </row>
    <row r="3332" spans="21:25" x14ac:dyDescent="0.2">
      <c r="U3332" s="213" t="str">
        <f t="shared" si="55"/>
        <v>1w</v>
      </c>
      <c r="V3332" s="201">
        <f>_xll.qlCalendarAdvance(Calendar,V3331,U3332,"f",FALSE)</f>
        <v>62166</v>
      </c>
      <c r="W3332" s="225">
        <f>_xll.qlCalendarAdvance(Calendar,V3332,NDays&amp;"D")</f>
        <v>62170</v>
      </c>
      <c r="X3332" s="200">
        <v>2.4606290317992992E-2</v>
      </c>
      <c r="Y3332" s="209">
        <v>2.4423868717242669E-2</v>
      </c>
    </row>
    <row r="3333" spans="21:25" x14ac:dyDescent="0.2">
      <c r="U3333" s="213" t="str">
        <f t="shared" si="55"/>
        <v>1w</v>
      </c>
      <c r="V3333" s="201">
        <f>_xll.qlCalendarAdvance(Calendar,V3332,U3333,"f",FALSE)</f>
        <v>62173</v>
      </c>
      <c r="W3333" s="225">
        <f>_xll.qlCalendarAdvance(Calendar,V3333,NDays&amp;"D")</f>
        <v>62177</v>
      </c>
      <c r="X3333" s="200">
        <v>2.4608546221340597E-2</v>
      </c>
      <c r="Y3333" s="209">
        <v>2.44262379810678E-2</v>
      </c>
    </row>
    <row r="3334" spans="21:25" x14ac:dyDescent="0.2">
      <c r="U3334" s="213" t="str">
        <f t="shared" si="55"/>
        <v>1w</v>
      </c>
      <c r="V3334" s="201">
        <f>_xll.qlCalendarAdvance(Calendar,V3333,U3334,"f",FALSE)</f>
        <v>62184</v>
      </c>
      <c r="W3334" s="225">
        <f>_xll.qlCalendarAdvance(Calendar,V3334,NDays&amp;"D")</f>
        <v>62186</v>
      </c>
      <c r="X3334" s="200">
        <v>2.4610436496744388E-2</v>
      </c>
      <c r="Y3334" s="209">
        <v>2.4429268301622287E-2</v>
      </c>
    </row>
    <row r="3335" spans="21:25" x14ac:dyDescent="0.2">
      <c r="U3335" s="213" t="str">
        <f t="shared" si="55"/>
        <v>1w</v>
      </c>
      <c r="V3335" s="201">
        <f>_xll.qlCalendarAdvance(Calendar,V3334,U3335,"f",FALSE)</f>
        <v>62191</v>
      </c>
      <c r="W3335" s="225">
        <f>_xll.qlCalendarAdvance(Calendar,V3335,NDays&amp;"D")</f>
        <v>62193</v>
      </c>
      <c r="X3335" s="200">
        <v>2.4612668030656364E-2</v>
      </c>
      <c r="Y3335" s="209">
        <v>2.4431612869602048E-2</v>
      </c>
    </row>
    <row r="3336" spans="21:25" x14ac:dyDescent="0.2">
      <c r="U3336" s="213" t="str">
        <f t="shared" si="55"/>
        <v>1w</v>
      </c>
      <c r="V3336" s="201">
        <f>_xll.qlCalendarAdvance(Calendar,V3335,U3336,"f",FALSE)</f>
        <v>62198</v>
      </c>
      <c r="W3336" s="225">
        <f>_xll.qlCalendarAdvance(Calendar,V3336,NDays&amp;"D")</f>
        <v>62200</v>
      </c>
      <c r="X3336" s="200">
        <v>2.4614888628160272E-2</v>
      </c>
      <c r="Y3336" s="209">
        <v>2.4433946633184433E-2</v>
      </c>
    </row>
    <row r="3337" spans="21:25" x14ac:dyDescent="0.2">
      <c r="U3337" s="213" t="str">
        <f t="shared" si="55"/>
        <v>1w</v>
      </c>
      <c r="V3337" s="201">
        <f>_xll.qlCalendarAdvance(Calendar,V3336,U3337,"f",FALSE)</f>
        <v>62205</v>
      </c>
      <c r="W3337" s="225">
        <f>_xll.qlCalendarAdvance(Calendar,V3337,NDays&amp;"D")</f>
        <v>62207</v>
      </c>
      <c r="X3337" s="200">
        <v>2.4617098289216804E-2</v>
      </c>
      <c r="Y3337" s="209">
        <v>2.4436269592289506E-2</v>
      </c>
    </row>
    <row r="3338" spans="21:25" x14ac:dyDescent="0.2">
      <c r="U3338" s="213" t="str">
        <f t="shared" si="55"/>
        <v>1w</v>
      </c>
      <c r="V3338" s="201">
        <f>_xll.qlCalendarAdvance(Calendar,V3337,U3338,"f",FALSE)</f>
        <v>62212</v>
      </c>
      <c r="W3338" s="225">
        <f>_xll.qlCalendarAdvance(Calendar,V3338,NDays&amp;"D")</f>
        <v>62215</v>
      </c>
      <c r="X3338" s="200">
        <v>2.4621593184610307E-2</v>
      </c>
      <c r="Y3338" s="209">
        <v>2.4440899443485264E-2</v>
      </c>
    </row>
    <row r="3339" spans="21:25" x14ac:dyDescent="0.2">
      <c r="U3339" s="213" t="str">
        <f t="shared" si="55"/>
        <v>1w</v>
      </c>
      <c r="V3339" s="201">
        <f>_xll.qlCalendarAdvance(Calendar,V3338,U3339,"f",FALSE)</f>
        <v>62219</v>
      </c>
      <c r="W3339" s="225">
        <f>_xll.qlCalendarAdvance(Calendar,V3339,NDays&amp;"D")</f>
        <v>62221</v>
      </c>
      <c r="X3339" s="200">
        <v>2.4624457591698984E-2</v>
      </c>
      <c r="Y3339" s="209">
        <v>2.4440883097147648E-2</v>
      </c>
    </row>
    <row r="3340" spans="21:25" x14ac:dyDescent="0.2">
      <c r="U3340" s="213" t="str">
        <f t="shared" si="55"/>
        <v>1w</v>
      </c>
      <c r="V3340" s="201">
        <f>_xll.qlCalendarAdvance(Calendar,V3339,U3340,"f",FALSE)</f>
        <v>62226</v>
      </c>
      <c r="W3340" s="225">
        <f>_xll.qlCalendarAdvance(Calendar,V3340,NDays&amp;"D")</f>
        <v>62228</v>
      </c>
      <c r="X3340" s="200">
        <v>2.4626632543102475E-2</v>
      </c>
      <c r="Y3340" s="209">
        <v>2.4443173642980653E-2</v>
      </c>
    </row>
    <row r="3341" spans="21:25" x14ac:dyDescent="0.2">
      <c r="U3341" s="213" t="str">
        <f t="shared" si="55"/>
        <v>1w</v>
      </c>
      <c r="V3341" s="201">
        <f>_xll.qlCalendarAdvance(Calendar,V3340,U3341,"f",FALSE)</f>
        <v>62233</v>
      </c>
      <c r="W3341" s="225">
        <f>_xll.qlCalendarAdvance(Calendar,V3341,NDays&amp;"D")</f>
        <v>62235</v>
      </c>
      <c r="X3341" s="200">
        <v>2.462879655571459E-2</v>
      </c>
      <c r="Y3341" s="209">
        <v>2.4445453384336346E-2</v>
      </c>
    </row>
    <row r="3342" spans="21:25" x14ac:dyDescent="0.2">
      <c r="U3342" s="213" t="str">
        <f t="shared" si="55"/>
        <v>1w</v>
      </c>
      <c r="V3342" s="201">
        <f>_xll.qlCalendarAdvance(Calendar,V3341,U3342,"f",FALSE)</f>
        <v>62240</v>
      </c>
      <c r="W3342" s="225">
        <f>_xll.qlCalendarAdvance(Calendar,V3342,NDays&amp;"D")</f>
        <v>62242</v>
      </c>
      <c r="X3342" s="200">
        <v>2.4627982546532569E-2</v>
      </c>
      <c r="Y3342" s="209">
        <v>2.4447722321214727E-2</v>
      </c>
    </row>
    <row r="3343" spans="21:25" x14ac:dyDescent="0.2">
      <c r="U3343" s="213" t="str">
        <f t="shared" si="55"/>
        <v>1w</v>
      </c>
      <c r="V3343" s="201">
        <f>_xll.qlCalendarAdvance(Calendar,V3342,U3343,"f",FALSE)</f>
        <v>62247</v>
      </c>
      <c r="W3343" s="225">
        <f>_xll.qlCalendarAdvance(Calendar,V3343,NDays&amp;"D")</f>
        <v>62249</v>
      </c>
      <c r="X3343" s="200">
        <v>2.4630126588151786E-2</v>
      </c>
      <c r="Y3343" s="209">
        <v>2.4449980453535858E-2</v>
      </c>
    </row>
    <row r="3344" spans="21:25" x14ac:dyDescent="0.2">
      <c r="U3344" s="213" t="str">
        <f t="shared" si="55"/>
        <v>1w</v>
      </c>
      <c r="V3344" s="201">
        <f>_xll.qlCalendarAdvance(Calendar,V3343,U3344,"f",FALSE)</f>
        <v>62254</v>
      </c>
      <c r="W3344" s="225">
        <f>_xll.qlCalendarAdvance(Calendar,V3344,NDays&amp;"D")</f>
        <v>62256</v>
      </c>
      <c r="X3344" s="200">
        <v>2.4632259693072901E-2</v>
      </c>
      <c r="Y3344" s="209">
        <v>2.445222778169942E-2</v>
      </c>
    </row>
    <row r="3345" spans="21:25" x14ac:dyDescent="0.2">
      <c r="U3345" s="213" t="str">
        <f t="shared" si="55"/>
        <v>1w</v>
      </c>
      <c r="V3345" s="201">
        <f>_xll.qlCalendarAdvance(Calendar,V3344,U3345,"f",FALSE)</f>
        <v>62261</v>
      </c>
      <c r="W3345" s="225">
        <f>_xll.qlCalendarAdvance(Calendar,V3345,NDays&amp;"D")</f>
        <v>62263</v>
      </c>
      <c r="X3345" s="200">
        <v>2.4634381861261399E-2</v>
      </c>
      <c r="Y3345" s="209">
        <v>2.4454464305225798E-2</v>
      </c>
    </row>
    <row r="3346" spans="21:25" x14ac:dyDescent="0.2">
      <c r="U3346" s="213" t="str">
        <f t="shared" si="55"/>
        <v>1w</v>
      </c>
      <c r="V3346" s="201">
        <f>_xll.qlCalendarAdvance(Calendar,V3345,U3346,"f",FALSE)</f>
        <v>62268</v>
      </c>
      <c r="W3346" s="225">
        <f>_xll.qlCalendarAdvance(Calendar,V3346,NDays&amp;"D")</f>
        <v>62270</v>
      </c>
      <c r="X3346" s="200">
        <v>2.4639452535657323E-2</v>
      </c>
      <c r="Y3346" s="209">
        <v>2.4456690024194927E-2</v>
      </c>
    </row>
    <row r="3347" spans="21:25" x14ac:dyDescent="0.2">
      <c r="U3347" s="213" t="str">
        <f t="shared" si="55"/>
        <v>1w</v>
      </c>
      <c r="V3347" s="201">
        <f>_xll.qlCalendarAdvance(Calendar,V3346,U3347,"f",FALSE)</f>
        <v>62275</v>
      </c>
      <c r="W3347" s="225">
        <f>_xll.qlCalendarAdvance(Calendar,V3347,NDays&amp;"D")</f>
        <v>62277</v>
      </c>
      <c r="X3347" s="200">
        <v>2.464155091477295E-2</v>
      </c>
      <c r="Y3347" s="209">
        <v>2.4458904938846615E-2</v>
      </c>
    </row>
    <row r="3348" spans="21:25" x14ac:dyDescent="0.2">
      <c r="U3348" s="213" t="str">
        <f t="shared" si="55"/>
        <v>1w</v>
      </c>
      <c r="V3348" s="201">
        <f>_xll.qlCalendarAdvance(Calendar,V3347,U3348,"f",FALSE)</f>
        <v>62282</v>
      </c>
      <c r="W3348" s="225">
        <f>_xll.qlCalendarAdvance(Calendar,V3348,NDays&amp;"D")</f>
        <v>62284</v>
      </c>
      <c r="X3348" s="200">
        <v>2.4643638354847508E-2</v>
      </c>
      <c r="Y3348" s="209">
        <v>2.446110904902099E-2</v>
      </c>
    </row>
    <row r="3349" spans="21:25" x14ac:dyDescent="0.2">
      <c r="U3349" s="213" t="str">
        <f t="shared" ref="U3349:U3412" si="56">U3348</f>
        <v>1w</v>
      </c>
      <c r="V3349" s="201">
        <f>_xll.qlCalendarAdvance(Calendar,V3348,U3349,"f",FALSE)</f>
        <v>62289</v>
      </c>
      <c r="W3349" s="225">
        <f>_xll.qlCalendarAdvance(Calendar,V3349,NDays&amp;"D")</f>
        <v>62291</v>
      </c>
      <c r="X3349" s="200">
        <v>2.4645714855847045E-2</v>
      </c>
      <c r="Y3349" s="209">
        <v>2.4463302354877925E-2</v>
      </c>
    </row>
    <row r="3350" spans="21:25" x14ac:dyDescent="0.2">
      <c r="U3350" s="213" t="str">
        <f t="shared" si="56"/>
        <v>1w</v>
      </c>
      <c r="V3350" s="201">
        <f>_xll.qlCalendarAdvance(Calendar,V3349,U3350,"f",FALSE)</f>
        <v>62296</v>
      </c>
      <c r="W3350" s="225">
        <f>_xll.qlCalendarAdvance(Calendar,V3350,NDays&amp;"D")</f>
        <v>62298</v>
      </c>
      <c r="X3350" s="200">
        <v>2.4647780417736315E-2</v>
      </c>
      <c r="Y3350" s="209">
        <v>2.4465484856177611E-2</v>
      </c>
    </row>
    <row r="3351" spans="21:25" x14ac:dyDescent="0.2">
      <c r="U3351" s="213" t="str">
        <f t="shared" si="56"/>
        <v>1w</v>
      </c>
      <c r="V3351" s="201">
        <f>_xll.qlCalendarAdvance(Calendar,V3350,U3351,"f",FALSE)</f>
        <v>62303</v>
      </c>
      <c r="W3351" s="225">
        <f>_xll.qlCalendarAdvance(Calendar,V3351,NDays&amp;"D")</f>
        <v>62305</v>
      </c>
      <c r="X3351" s="200">
        <v>2.464688519706025E-2</v>
      </c>
      <c r="Y3351" s="209">
        <v>2.4467656553079919E-2</v>
      </c>
    </row>
    <row r="3352" spans="21:25" x14ac:dyDescent="0.2">
      <c r="U3352" s="213" t="str">
        <f t="shared" si="56"/>
        <v>1w</v>
      </c>
      <c r="V3352" s="201">
        <f>_xll.qlCalendarAdvance(Calendar,V3351,U3352,"f",FALSE)</f>
        <v>62310</v>
      </c>
      <c r="W3352" s="225">
        <f>_xll.qlCalendarAdvance(Calendar,V3352,NDays&amp;"D")</f>
        <v>62312</v>
      </c>
      <c r="X3352" s="200">
        <v>2.4651878724046981E-2</v>
      </c>
      <c r="Y3352" s="209">
        <v>2.4469817445345043E-2</v>
      </c>
    </row>
    <row r="3353" spans="21:25" x14ac:dyDescent="0.2">
      <c r="U3353" s="213" t="str">
        <f t="shared" si="56"/>
        <v>1w</v>
      </c>
      <c r="V3353" s="201">
        <f>_xll.qlCalendarAdvance(Calendar,V3352,U3353,"f",FALSE)</f>
        <v>62317</v>
      </c>
      <c r="W3353" s="225">
        <f>_xll.qlCalendarAdvance(Calendar,V3353,NDays&amp;"D")</f>
        <v>62319</v>
      </c>
      <c r="X3353" s="200">
        <v>2.4653911468400038E-2</v>
      </c>
      <c r="Y3353" s="209">
        <v>2.4471967533212791E-2</v>
      </c>
    </row>
    <row r="3354" spans="21:25" x14ac:dyDescent="0.2">
      <c r="U3354" s="213" t="str">
        <f t="shared" si="56"/>
        <v>1w</v>
      </c>
      <c r="V3354" s="201">
        <f>_xll.qlCalendarAdvance(Calendar,V3353,U3354,"f",FALSE)</f>
        <v>62324</v>
      </c>
      <c r="W3354" s="225">
        <f>_xll.qlCalendarAdvance(Calendar,V3354,NDays&amp;"D")</f>
        <v>62326</v>
      </c>
      <c r="X3354" s="200">
        <v>2.4655933273505307E-2</v>
      </c>
      <c r="Y3354" s="209">
        <v>2.4474106816763097E-2</v>
      </c>
    </row>
    <row r="3355" spans="21:25" x14ac:dyDescent="0.2">
      <c r="U3355" s="213" t="str">
        <f t="shared" si="56"/>
        <v>1w</v>
      </c>
      <c r="V3355" s="201">
        <f>_xll.qlCalendarAdvance(Calendar,V3354,U3355,"f",FALSE)</f>
        <v>62331</v>
      </c>
      <c r="W3355" s="225">
        <f>_xll.qlCalendarAdvance(Calendar,V3355,NDays&amp;"D")</f>
        <v>62333</v>
      </c>
      <c r="X3355" s="200">
        <v>2.4655002015243076E-2</v>
      </c>
      <c r="Y3355" s="209">
        <v>2.4476235295756155E-2</v>
      </c>
    </row>
    <row r="3356" spans="21:25" x14ac:dyDescent="0.2">
      <c r="U3356" s="213" t="str">
        <f t="shared" si="56"/>
        <v>1w</v>
      </c>
      <c r="V3356" s="201">
        <f>_xll.qlCalendarAdvance(Calendar,V3355,U3356,"f",FALSE)</f>
        <v>62338</v>
      </c>
      <c r="W3356" s="225">
        <f>_xll.qlCalendarAdvance(Calendar,V3356,NDays&amp;"D")</f>
        <v>62340</v>
      </c>
      <c r="X3356" s="200">
        <v>2.4655043664959894E-2</v>
      </c>
      <c r="Y3356" s="209">
        <v>2.4478352970431771E-2</v>
      </c>
    </row>
    <row r="3357" spans="21:25" x14ac:dyDescent="0.2">
      <c r="U3357" s="213" t="str">
        <f t="shared" si="56"/>
        <v>1w</v>
      </c>
      <c r="V3357" s="201">
        <f>_xll.qlCalendarAdvance(Calendar,V3356,U3357,"f",FALSE)</f>
        <v>62345</v>
      </c>
      <c r="W3357" s="225">
        <f>_xll.qlCalendarAdvance(Calendar,V3357,NDays&amp;"D")</f>
        <v>62347</v>
      </c>
      <c r="X3357" s="200">
        <v>2.465703588090614E-2</v>
      </c>
      <c r="Y3357" s="209">
        <v>2.4480459840550139E-2</v>
      </c>
    </row>
    <row r="3358" spans="21:25" x14ac:dyDescent="0.2">
      <c r="U3358" s="213" t="str">
        <f t="shared" si="56"/>
        <v>1w</v>
      </c>
      <c r="V3358" s="201">
        <f>_xll.qlCalendarAdvance(Calendar,V3357,U3358,"f",FALSE)</f>
        <v>62352</v>
      </c>
      <c r="W3358" s="225">
        <f>_xll.qlCalendarAdvance(Calendar,V3358,NDays&amp;"D")</f>
        <v>62354</v>
      </c>
      <c r="X3358" s="200">
        <v>2.4659017161151861E-2</v>
      </c>
      <c r="Y3358" s="209">
        <v>2.4482555906271131E-2</v>
      </c>
    </row>
    <row r="3359" spans="21:25" x14ac:dyDescent="0.2">
      <c r="U3359" s="213" t="str">
        <f t="shared" si="56"/>
        <v>1w</v>
      </c>
      <c r="V3359" s="201">
        <f>_xll.qlCalendarAdvance(Calendar,V3358,U3359,"f",FALSE)</f>
        <v>62359</v>
      </c>
      <c r="W3359" s="225">
        <f>_xll.qlCalendarAdvance(Calendar,V3359,NDays&amp;"D")</f>
        <v>62361</v>
      </c>
      <c r="X3359" s="200">
        <v>2.466098750566394E-2</v>
      </c>
      <c r="Y3359" s="209">
        <v>2.4484641167514809E-2</v>
      </c>
    </row>
    <row r="3360" spans="21:25" x14ac:dyDescent="0.2">
      <c r="U3360" s="213" t="str">
        <f t="shared" si="56"/>
        <v>1w</v>
      </c>
      <c r="V3360" s="201">
        <f>_xll.qlCalendarAdvance(Calendar,V3359,U3360,"f",FALSE)</f>
        <v>62366</v>
      </c>
      <c r="W3360" s="225">
        <f>_xll.qlCalendarAdvance(Calendar,V3360,NDays&amp;"D")</f>
        <v>62368</v>
      </c>
      <c r="X3360" s="200">
        <v>2.4663924442428181E-2</v>
      </c>
      <c r="Y3360" s="209">
        <v>2.4486715624441047E-2</v>
      </c>
    </row>
    <row r="3361" spans="21:25" x14ac:dyDescent="0.2">
      <c r="U3361" s="213" t="str">
        <f t="shared" si="56"/>
        <v>1w</v>
      </c>
      <c r="V3361" s="201">
        <f>_xll.qlCalendarAdvance(Calendar,V3360,U3361,"f",FALSE)</f>
        <v>62373</v>
      </c>
      <c r="W3361" s="225">
        <f>_xll.qlCalendarAdvance(Calendar,V3361,NDays&amp;"D")</f>
        <v>62375</v>
      </c>
      <c r="X3361" s="200">
        <v>2.4665872266866187E-2</v>
      </c>
      <c r="Y3361" s="209">
        <v>2.4488779276650163E-2</v>
      </c>
    </row>
    <row r="3362" spans="21:25" x14ac:dyDescent="0.2">
      <c r="U3362" s="213" t="str">
        <f t="shared" si="56"/>
        <v>1w</v>
      </c>
      <c r="V3362" s="201">
        <f>_xll.qlCalendarAdvance(Calendar,V3361,U3362,"f",FALSE)</f>
        <v>62380</v>
      </c>
      <c r="W3362" s="225">
        <f>_xll.qlCalendarAdvance(Calendar,V3362,NDays&amp;"D")</f>
        <v>62382</v>
      </c>
      <c r="X3362" s="200">
        <v>2.4667809154738696E-2</v>
      </c>
      <c r="Y3362" s="209">
        <v>2.4490832124621775E-2</v>
      </c>
    </row>
    <row r="3363" spans="21:25" x14ac:dyDescent="0.2">
      <c r="U3363" s="213" t="str">
        <f t="shared" si="56"/>
        <v>1w</v>
      </c>
      <c r="V3363" s="201">
        <f>_xll.qlCalendarAdvance(Calendar,V3362,U3363,"f",FALSE)</f>
        <v>62387</v>
      </c>
      <c r="W3363" s="225">
        <f>_xll.qlCalendarAdvance(Calendar,V3363,NDays&amp;"D")</f>
        <v>62389</v>
      </c>
      <c r="X3363" s="200">
        <v>2.4669735106014078E-2</v>
      </c>
      <c r="Y3363" s="209">
        <v>2.4492874168036138E-2</v>
      </c>
    </row>
    <row r="3364" spans="21:25" x14ac:dyDescent="0.2">
      <c r="U3364" s="213" t="str">
        <f t="shared" si="56"/>
        <v>1w</v>
      </c>
      <c r="V3364" s="201">
        <f>_xll.qlCalendarAdvance(Calendar,V3363,U3364,"f",FALSE)</f>
        <v>62394</v>
      </c>
      <c r="W3364" s="225">
        <f>_xll.qlCalendarAdvance(Calendar,V3364,NDays&amp;"D")</f>
        <v>62396</v>
      </c>
      <c r="X3364" s="200">
        <v>2.4671650120659399E-2</v>
      </c>
      <c r="Y3364" s="209">
        <v>2.4494905406973189E-2</v>
      </c>
    </row>
    <row r="3365" spans="21:25" x14ac:dyDescent="0.2">
      <c r="U3365" s="213" t="str">
        <f t="shared" si="56"/>
        <v>1w</v>
      </c>
      <c r="V3365" s="201">
        <f>_xll.qlCalendarAdvance(Calendar,V3364,U3365,"f",FALSE)</f>
        <v>62401</v>
      </c>
      <c r="W3365" s="225">
        <f>_xll.qlCalendarAdvance(Calendar,V3365,NDays&amp;"D")</f>
        <v>62403</v>
      </c>
      <c r="X3365" s="200">
        <v>2.4672579920543013E-2</v>
      </c>
      <c r="Y3365" s="209">
        <v>2.4496925841512862E-2</v>
      </c>
    </row>
    <row r="3366" spans="21:25" x14ac:dyDescent="0.2">
      <c r="U3366" s="213" t="str">
        <f t="shared" si="56"/>
        <v>1w</v>
      </c>
      <c r="V3366" s="201">
        <f>_xll.qlCalendarAdvance(Calendar,V3365,U3366,"f",FALSE)</f>
        <v>62408</v>
      </c>
      <c r="W3366" s="225">
        <f>_xll.qlCalendarAdvance(Calendar,V3366,NDays&amp;"D")</f>
        <v>62410</v>
      </c>
      <c r="X3366" s="200">
        <v>2.467447371403101E-2</v>
      </c>
      <c r="Y3366" s="209">
        <v>2.4498935471655159E-2</v>
      </c>
    </row>
    <row r="3367" spans="21:25" x14ac:dyDescent="0.2">
      <c r="U3367" s="213" t="str">
        <f t="shared" si="56"/>
        <v>1w</v>
      </c>
      <c r="V3367" s="201">
        <f>_xll.qlCalendarAdvance(Calendar,V3366,U3367,"f",FALSE)</f>
        <v>62415</v>
      </c>
      <c r="W3367" s="225">
        <f>_xll.qlCalendarAdvance(Calendar,V3367,NDays&amp;"D")</f>
        <v>62417</v>
      </c>
      <c r="X3367" s="200">
        <v>2.4676356571533626E-2</v>
      </c>
      <c r="Y3367" s="209">
        <v>2.4500934297320143E-2</v>
      </c>
    </row>
    <row r="3368" spans="21:25" x14ac:dyDescent="0.2">
      <c r="U3368" s="213" t="str">
        <f t="shared" si="56"/>
        <v>1w</v>
      </c>
      <c r="V3368" s="201">
        <f>_xll.qlCalendarAdvance(Calendar,V3367,U3368,"f",FALSE)</f>
        <v>62422</v>
      </c>
      <c r="W3368" s="225">
        <f>_xll.qlCalendarAdvance(Calendar,V3368,NDays&amp;"D")</f>
        <v>62424</v>
      </c>
      <c r="X3368" s="200">
        <v>2.4678228493018629E-2</v>
      </c>
      <c r="Y3368" s="209">
        <v>2.4502922318347942E-2</v>
      </c>
    </row>
    <row r="3369" spans="21:25" x14ac:dyDescent="0.2">
      <c r="U3369" s="213" t="str">
        <f t="shared" si="56"/>
        <v>1w</v>
      </c>
      <c r="V3369" s="201">
        <f>_xll.qlCalendarAdvance(Calendar,V3368,U3369,"f",FALSE)</f>
        <v>62429</v>
      </c>
      <c r="W3369" s="225">
        <f>_xll.qlCalendarAdvance(Calendar,V3369,NDays&amp;"D")</f>
        <v>62431</v>
      </c>
      <c r="X3369" s="200">
        <v>2.4681061143355484E-2</v>
      </c>
      <c r="Y3369" s="209">
        <v>2.4504899535218172E-2</v>
      </c>
    </row>
    <row r="3370" spans="21:25" x14ac:dyDescent="0.2">
      <c r="U3370" s="213" t="str">
        <f t="shared" si="56"/>
        <v>1w</v>
      </c>
      <c r="V3370" s="201">
        <f>_xll.qlCalendarAdvance(Calendar,V3369,U3370,"f",FALSE)</f>
        <v>62436</v>
      </c>
      <c r="W3370" s="225">
        <f>_xll.qlCalendarAdvance(Calendar,V3370,NDays&amp;"D")</f>
        <v>62438</v>
      </c>
      <c r="X3370" s="200">
        <v>2.4682910537572593E-2</v>
      </c>
      <c r="Y3370" s="209">
        <v>2.4506865947451217E-2</v>
      </c>
    </row>
    <row r="3371" spans="21:25" x14ac:dyDescent="0.2">
      <c r="U3371" s="213" t="str">
        <f t="shared" si="56"/>
        <v>1w</v>
      </c>
      <c r="V3371" s="201">
        <f>_xll.qlCalendarAdvance(Calendar,V3370,U3371,"f",FALSE)</f>
        <v>62443</v>
      </c>
      <c r="W3371" s="225">
        <f>_xll.qlCalendarAdvance(Calendar,V3371,NDays&amp;"D")</f>
        <v>62445</v>
      </c>
      <c r="X3371" s="200">
        <v>2.4684748994945303E-2</v>
      </c>
      <c r="Y3371" s="209">
        <v>2.4508821555366822E-2</v>
      </c>
    </row>
    <row r="3372" spans="21:25" x14ac:dyDescent="0.2">
      <c r="U3372" s="213" t="str">
        <f t="shared" si="56"/>
        <v>1w</v>
      </c>
      <c r="V3372" s="201">
        <f>_xll.qlCalendarAdvance(Calendar,V3371,U3372,"f",FALSE)</f>
        <v>62450</v>
      </c>
      <c r="W3372" s="225">
        <f>_xll.qlCalendarAdvance(Calendar,V3372,NDays&amp;"D")</f>
        <v>62456</v>
      </c>
      <c r="X3372" s="200">
        <v>2.4687615902423753E-2</v>
      </c>
      <c r="Y3372" s="209">
        <v>2.4511872824044545E-2</v>
      </c>
    </row>
    <row r="3373" spans="21:25" x14ac:dyDescent="0.2">
      <c r="U3373" s="213" t="str">
        <f t="shared" si="56"/>
        <v>1w</v>
      </c>
      <c r="V3373" s="201">
        <f>_xll.qlCalendarAdvance(Calendar,V3372,U3373,"f",FALSE)</f>
        <v>62457</v>
      </c>
      <c r="W3373" s="225">
        <f>_xll.qlCalendarAdvance(Calendar,V3373,NDays&amp;"D")</f>
        <v>62460</v>
      </c>
      <c r="X3373" s="200">
        <v>2.4687682772245086E-2</v>
      </c>
      <c r="Y3373" s="209">
        <v>2.4514920073857027E-2</v>
      </c>
    </row>
    <row r="3374" spans="21:25" x14ac:dyDescent="0.2">
      <c r="U3374" s="213" t="str">
        <f t="shared" si="56"/>
        <v>1w</v>
      </c>
      <c r="V3374" s="201">
        <f>_xll.qlCalendarAdvance(Calendar,V3373,U3374,"f",FALSE)</f>
        <v>62464</v>
      </c>
      <c r="W3374" s="225">
        <f>_xll.qlCalendarAdvance(Calendar,V3374,NDays&amp;"D")</f>
        <v>62466</v>
      </c>
      <c r="X3374" s="200">
        <v>2.4689230363899913E-2</v>
      </c>
      <c r="Y3374" s="209">
        <v>2.4514623552249759E-2</v>
      </c>
    </row>
    <row r="3375" spans="21:25" x14ac:dyDescent="0.2">
      <c r="U3375" s="213" t="str">
        <f t="shared" si="56"/>
        <v>1w</v>
      </c>
      <c r="V3375" s="201">
        <f>_xll.qlCalendarAdvance(Calendar,V3374,U3375,"f",FALSE)</f>
        <v>62471</v>
      </c>
      <c r="W3375" s="225">
        <f>_xll.qlCalendarAdvance(Calendar,V3375,NDays&amp;"D")</f>
        <v>62473</v>
      </c>
      <c r="X3375" s="200">
        <v>2.4691025732428675E-2</v>
      </c>
      <c r="Y3375" s="209">
        <v>2.451653594209624E-2</v>
      </c>
    </row>
    <row r="3376" spans="21:25" x14ac:dyDescent="0.2">
      <c r="U3376" s="213" t="str">
        <f t="shared" si="56"/>
        <v>1w</v>
      </c>
      <c r="V3376" s="201">
        <f>_xll.qlCalendarAdvance(Calendar,V3375,U3376,"f",FALSE)</f>
        <v>62478</v>
      </c>
      <c r="W3376" s="225">
        <f>_xll.qlCalendarAdvance(Calendar,V3376,NDays&amp;"D")</f>
        <v>62480</v>
      </c>
      <c r="X3376" s="200">
        <v>2.469281016470222E-2</v>
      </c>
      <c r="Y3376" s="209">
        <v>2.4518437527705217E-2</v>
      </c>
    </row>
    <row r="3377" spans="21:25" x14ac:dyDescent="0.2">
      <c r="U3377" s="213" t="str">
        <f t="shared" si="56"/>
        <v>1w</v>
      </c>
      <c r="V3377" s="201">
        <f>_xll.qlCalendarAdvance(Calendar,V3376,U3377,"f",FALSE)</f>
        <v>62485</v>
      </c>
      <c r="W3377" s="225">
        <f>_xll.qlCalendarAdvance(Calendar,V3377,NDays&amp;"D")</f>
        <v>62487</v>
      </c>
      <c r="X3377" s="200">
        <v>2.4694583660691844E-2</v>
      </c>
      <c r="Y3377" s="209">
        <v>2.4520328308916817E-2</v>
      </c>
    </row>
    <row r="3378" spans="21:25" x14ac:dyDescent="0.2">
      <c r="U3378" s="213" t="str">
        <f t="shared" si="56"/>
        <v>1w</v>
      </c>
      <c r="V3378" s="201">
        <f>_xll.qlCalendarAdvance(Calendar,V3377,U3378,"f",FALSE)</f>
        <v>62492</v>
      </c>
      <c r="W3378" s="225">
        <f>_xll.qlCalendarAdvance(Calendar,V3378,NDays&amp;"D")</f>
        <v>62494</v>
      </c>
      <c r="X3378" s="200">
        <v>2.4696346220367954E-2</v>
      </c>
      <c r="Y3378" s="209">
        <v>2.4522208285411295E-2</v>
      </c>
    </row>
    <row r="3379" spans="21:25" x14ac:dyDescent="0.2">
      <c r="U3379" s="213" t="str">
        <f t="shared" si="56"/>
        <v>1w</v>
      </c>
      <c r="V3379" s="201">
        <f>_xll.qlCalendarAdvance(Calendar,V3378,U3379,"f",FALSE)</f>
        <v>62499</v>
      </c>
      <c r="W3379" s="225">
        <f>_xll.qlCalendarAdvance(Calendar,V3379,NDays&amp;"D")</f>
        <v>62501</v>
      </c>
      <c r="X3379" s="200">
        <v>2.4698097843701847E-2</v>
      </c>
      <c r="Y3379" s="209">
        <v>2.4524077457588334E-2</v>
      </c>
    </row>
    <row r="3380" spans="21:25" x14ac:dyDescent="0.2">
      <c r="U3380" s="213" t="str">
        <f t="shared" si="56"/>
        <v>1w</v>
      </c>
      <c r="V3380" s="201">
        <f>_xll.qlCalendarAdvance(Calendar,V3379,U3380,"f",FALSE)</f>
        <v>62506</v>
      </c>
      <c r="W3380" s="225">
        <f>_xll.qlCalendarAdvance(Calendar,V3380,NDays&amp;"D")</f>
        <v>62508</v>
      </c>
      <c r="X3380" s="200">
        <v>2.4699838530666582E-2</v>
      </c>
      <c r="Y3380" s="209">
        <v>2.4525935825607803E-2</v>
      </c>
    </row>
    <row r="3381" spans="21:25" x14ac:dyDescent="0.2">
      <c r="U3381" s="213" t="str">
        <f t="shared" si="56"/>
        <v>1w</v>
      </c>
      <c r="V3381" s="201">
        <f>_xll.qlCalendarAdvance(Calendar,V3380,U3381,"f",FALSE)</f>
        <v>62513</v>
      </c>
      <c r="W3381" s="225">
        <f>_xll.qlCalendarAdvance(Calendar,V3381,NDays&amp;"D")</f>
        <v>62515</v>
      </c>
      <c r="X3381" s="200">
        <v>2.4701568281231243E-2</v>
      </c>
      <c r="Y3381" s="209">
        <v>2.4527783388830215E-2</v>
      </c>
    </row>
    <row r="3382" spans="21:25" x14ac:dyDescent="0.2">
      <c r="U3382" s="213" t="str">
        <f t="shared" si="56"/>
        <v>1w</v>
      </c>
      <c r="V3382" s="201">
        <f>_xll.qlCalendarAdvance(Calendar,V3381,U3382,"f",FALSE)</f>
        <v>62520</v>
      </c>
      <c r="W3382" s="225">
        <f>_xll.qlCalendarAdvance(Calendar,V3382,NDays&amp;"D")</f>
        <v>62522</v>
      </c>
      <c r="X3382" s="200">
        <v>2.4708102349643046E-2</v>
      </c>
      <c r="Y3382" s="209">
        <v>2.4529620147655251E-2</v>
      </c>
    </row>
    <row r="3383" spans="21:25" x14ac:dyDescent="0.2">
      <c r="U3383" s="213" t="str">
        <f t="shared" si="56"/>
        <v>1w</v>
      </c>
      <c r="V3383" s="201">
        <f>_xll.qlCalendarAdvance(Calendar,V3382,U3383,"f",FALSE)</f>
        <v>62527</v>
      </c>
      <c r="W3383" s="225">
        <f>_xll.qlCalendarAdvance(Calendar,V3383,NDays&amp;"D")</f>
        <v>62529</v>
      </c>
      <c r="X3383" s="200">
        <v>2.4709806902594309E-2</v>
      </c>
      <c r="Y3383" s="209">
        <v>2.4531446101843102E-2</v>
      </c>
    </row>
    <row r="3384" spans="21:25" x14ac:dyDescent="0.2">
      <c r="U3384" s="213" t="str">
        <f t="shared" si="56"/>
        <v>1w</v>
      </c>
      <c r="V3384" s="201">
        <f>_xll.qlCalendarAdvance(Calendar,V3383,U3384,"f",FALSE)</f>
        <v>62534</v>
      </c>
      <c r="W3384" s="225">
        <f>_xll.qlCalendarAdvance(Calendar,V3384,NDays&amp;"D")</f>
        <v>62536</v>
      </c>
      <c r="X3384" s="200">
        <v>2.4711500515364335E-2</v>
      </c>
      <c r="Y3384" s="209">
        <v>2.4533261252033256E-2</v>
      </c>
    </row>
    <row r="3385" spans="21:25" x14ac:dyDescent="0.2">
      <c r="U3385" s="213" t="str">
        <f t="shared" si="56"/>
        <v>1w</v>
      </c>
      <c r="V3385" s="201">
        <f>_xll.qlCalendarAdvance(Calendar,V3384,U3385,"f",FALSE)</f>
        <v>62541</v>
      </c>
      <c r="W3385" s="225">
        <f>_xll.qlCalendarAdvance(Calendar,V3385,NDays&amp;"D")</f>
        <v>62543</v>
      </c>
      <c r="X3385" s="200">
        <v>2.4713183187920894E-2</v>
      </c>
      <c r="Y3385" s="209">
        <v>2.4535065597426353E-2</v>
      </c>
    </row>
    <row r="3386" spans="21:25" x14ac:dyDescent="0.2">
      <c r="U3386" s="213" t="str">
        <f t="shared" si="56"/>
        <v>1w</v>
      </c>
      <c r="V3386" s="201">
        <f>_xll.qlCalendarAdvance(Calendar,V3385,U3386,"f",FALSE)</f>
        <v>62548</v>
      </c>
      <c r="W3386" s="225">
        <f>_xll.qlCalendarAdvance(Calendar,V3386,NDays&amp;"D")</f>
        <v>62550</v>
      </c>
      <c r="X3386" s="200">
        <v>2.4711973820860704E-2</v>
      </c>
      <c r="Y3386" s="209">
        <v>2.4536859138342137E-2</v>
      </c>
    </row>
    <row r="3387" spans="21:25" x14ac:dyDescent="0.2">
      <c r="U3387" s="213" t="str">
        <f t="shared" si="56"/>
        <v>1w</v>
      </c>
      <c r="V3387" s="201">
        <f>_xll.qlCalendarAdvance(Calendar,V3386,U3387,"f",FALSE)</f>
        <v>62555</v>
      </c>
      <c r="W3387" s="225">
        <f>_xll.qlCalendarAdvance(Calendar,V3387,NDays&amp;"D")</f>
        <v>62557</v>
      </c>
      <c r="X3387" s="200">
        <v>2.4713636616927222E-2</v>
      </c>
      <c r="Y3387" s="209">
        <v>2.4538641875020417E-2</v>
      </c>
    </row>
    <row r="3388" spans="21:25" x14ac:dyDescent="0.2">
      <c r="U3388" s="213" t="str">
        <f t="shared" si="56"/>
        <v>1w</v>
      </c>
      <c r="V3388" s="201">
        <f>_xll.qlCalendarAdvance(Calendar,V3387,U3388,"f",FALSE)</f>
        <v>62562</v>
      </c>
      <c r="W3388" s="225">
        <f>_xll.qlCalendarAdvance(Calendar,V3388,NDays&amp;"D")</f>
        <v>62564</v>
      </c>
      <c r="X3388" s="200">
        <v>2.4715288474919252E-2</v>
      </c>
      <c r="Y3388" s="209">
        <v>2.4544263966788549E-2</v>
      </c>
    </row>
    <row r="3389" spans="21:25" x14ac:dyDescent="0.2">
      <c r="U3389" s="213" t="str">
        <f t="shared" si="56"/>
        <v>1w</v>
      </c>
      <c r="V3389" s="201">
        <f>_xll.qlCalendarAdvance(Calendar,V3388,U3389,"f",FALSE)</f>
        <v>62569</v>
      </c>
      <c r="W3389" s="225">
        <f>_xll.qlCalendarAdvance(Calendar,V3389,NDays&amp;"D")</f>
        <v>62571</v>
      </c>
      <c r="X3389" s="200">
        <v>2.4716929394810148E-2</v>
      </c>
      <c r="Y3389" s="209">
        <v>2.454217493470523E-2</v>
      </c>
    </row>
    <row r="3390" spans="21:25" x14ac:dyDescent="0.2">
      <c r="U3390" s="213" t="str">
        <f t="shared" si="56"/>
        <v>1w</v>
      </c>
      <c r="V3390" s="201">
        <f>_xll.qlCalendarAdvance(Calendar,V3389,U3390,"f",FALSE)</f>
        <v>62576</v>
      </c>
      <c r="W3390" s="225">
        <f>_xll.qlCalendarAdvance(Calendar,V3390,NDays&amp;"D")</f>
        <v>62578</v>
      </c>
      <c r="X3390" s="200">
        <v>2.4718559376575008E-2</v>
      </c>
      <c r="Y3390" s="209">
        <v>2.4546808991983138E-2</v>
      </c>
    </row>
    <row r="3391" spans="21:25" x14ac:dyDescent="0.2">
      <c r="U3391" s="213" t="str">
        <f t="shared" si="56"/>
        <v>1w</v>
      </c>
      <c r="V3391" s="201">
        <f>_xll.qlCalendarAdvance(Calendar,V3390,U3391,"f",FALSE)</f>
        <v>62583</v>
      </c>
      <c r="W3391" s="225">
        <f>_xll.qlCalendarAdvance(Calendar,V3391,NDays&amp;"D")</f>
        <v>62585</v>
      </c>
      <c r="X3391" s="200">
        <v>2.4723049477256526E-2</v>
      </c>
      <c r="Y3391" s="209">
        <v>2.4545664776880471E-2</v>
      </c>
    </row>
    <row r="3392" spans="21:25" x14ac:dyDescent="0.2">
      <c r="U3392" s="213" t="str">
        <f t="shared" si="56"/>
        <v>1w</v>
      </c>
      <c r="V3392" s="201">
        <f>_xll.qlCalendarAdvance(Calendar,V3391,U3392,"f",FALSE)</f>
        <v>62590</v>
      </c>
      <c r="W3392" s="225">
        <f>_xll.qlCalendarAdvance(Calendar,V3392,NDays&amp;"D")</f>
        <v>62592</v>
      </c>
      <c r="X3392" s="200">
        <v>2.4724655567552982E-2</v>
      </c>
      <c r="Y3392" s="209">
        <v>2.4547393491012315E-2</v>
      </c>
    </row>
    <row r="3393" spans="21:25" x14ac:dyDescent="0.2">
      <c r="U3393" s="213" t="str">
        <f t="shared" si="56"/>
        <v>1w</v>
      </c>
      <c r="V3393" s="201">
        <f>_xll.qlCalendarAdvance(Calendar,V3392,U3393,"f",FALSE)</f>
        <v>62597</v>
      </c>
      <c r="W3393" s="225">
        <f>_xll.qlCalendarAdvance(Calendar,V3393,NDays&amp;"D")</f>
        <v>62599</v>
      </c>
      <c r="X3393" s="200">
        <v>2.4726250717418942E-2</v>
      </c>
      <c r="Y3393" s="209">
        <v>2.4549111400906654E-2</v>
      </c>
    </row>
    <row r="3394" spans="21:25" x14ac:dyDescent="0.2">
      <c r="U3394" s="213" t="str">
        <f t="shared" si="56"/>
        <v>1w</v>
      </c>
      <c r="V3394" s="201">
        <f>_xll.qlCalendarAdvance(Calendar,V3393,U3394,"f",FALSE)</f>
        <v>62604</v>
      </c>
      <c r="W3394" s="225">
        <f>_xll.qlCalendarAdvance(Calendar,V3394,NDays&amp;"D")</f>
        <v>62606</v>
      </c>
      <c r="X3394" s="200">
        <v>2.472783492682604E-2</v>
      </c>
      <c r="Y3394" s="209">
        <v>2.4550818506163807E-2</v>
      </c>
    </row>
    <row r="3395" spans="21:25" x14ac:dyDescent="0.2">
      <c r="U3395" s="213" t="str">
        <f t="shared" si="56"/>
        <v>1w</v>
      </c>
      <c r="V3395" s="201">
        <f>_xll.qlCalendarAdvance(Calendar,V3394,U3395,"f",FALSE)</f>
        <v>62611</v>
      </c>
      <c r="W3395" s="225">
        <f>_xll.qlCalendarAdvance(Calendar,V3395,NDays&amp;"D")</f>
        <v>62613</v>
      </c>
      <c r="X3395" s="200">
        <v>2.4726545212546528E-2</v>
      </c>
      <c r="Y3395" s="209">
        <v>2.455251480710352E-2</v>
      </c>
    </row>
    <row r="3396" spans="21:25" x14ac:dyDescent="0.2">
      <c r="U3396" s="213" t="str">
        <f t="shared" si="56"/>
        <v>1w</v>
      </c>
      <c r="V3396" s="201">
        <f>_xll.qlCalendarAdvance(Calendar,V3395,U3396,"f",FALSE)</f>
        <v>62618</v>
      </c>
      <c r="W3396" s="225">
        <f>_xll.qlCalendarAdvance(Calendar,V3396,NDays&amp;"D")</f>
        <v>62620</v>
      </c>
      <c r="X3396" s="200">
        <v>2.472810956498734E-2</v>
      </c>
      <c r="Y3396" s="209">
        <v>2.4554200303565921E-2</v>
      </c>
    </row>
    <row r="3397" spans="21:25" x14ac:dyDescent="0.2">
      <c r="U3397" s="213" t="str">
        <f t="shared" si="56"/>
        <v>1w</v>
      </c>
      <c r="V3397" s="201">
        <f>_xll.qlCalendarAdvance(Calendar,V3396,U3397,"f",FALSE)</f>
        <v>62625</v>
      </c>
      <c r="W3397" s="225">
        <f>_xll.qlCalendarAdvance(Calendar,V3397,NDays&amp;"D")</f>
        <v>62627</v>
      </c>
      <c r="X3397" s="200">
        <v>2.4729662979115597E-2</v>
      </c>
      <c r="Y3397" s="209">
        <v>2.4555874995630944E-2</v>
      </c>
    </row>
    <row r="3398" spans="21:25" x14ac:dyDescent="0.2">
      <c r="U3398" s="213" t="str">
        <f t="shared" si="56"/>
        <v>1w</v>
      </c>
      <c r="V3398" s="201">
        <f>_xll.qlCalendarAdvance(Calendar,V3397,U3398,"f",FALSE)</f>
        <v>62632</v>
      </c>
      <c r="W3398" s="225">
        <f>_xll.qlCalendarAdvance(Calendar,V3398,NDays&amp;"D")</f>
        <v>62634</v>
      </c>
      <c r="X3398" s="200">
        <v>2.4734062359340649E-2</v>
      </c>
      <c r="Y3398" s="209">
        <v>2.4557538883058783E-2</v>
      </c>
    </row>
    <row r="3399" spans="21:25" x14ac:dyDescent="0.2">
      <c r="U3399" s="213" t="str">
        <f t="shared" si="56"/>
        <v>1w</v>
      </c>
      <c r="V3399" s="201">
        <f>_xll.qlCalendarAdvance(Calendar,V3398,U3399,"f",FALSE)</f>
        <v>62639</v>
      </c>
      <c r="W3399" s="225">
        <f>_xll.qlCalendarAdvance(Calendar,V3399,NDays&amp;"D")</f>
        <v>62641</v>
      </c>
      <c r="X3399" s="200">
        <v>2.4735591866060204E-2</v>
      </c>
      <c r="Y3399" s="209">
        <v>2.4559191966249116E-2</v>
      </c>
    </row>
    <row r="3400" spans="21:25" x14ac:dyDescent="0.2">
      <c r="U3400" s="213" t="str">
        <f t="shared" si="56"/>
        <v>1w</v>
      </c>
      <c r="V3400" s="201">
        <f>_xll.qlCalendarAdvance(Calendar,V3399,U3400,"f",FALSE)</f>
        <v>62646</v>
      </c>
      <c r="W3400" s="225">
        <f>_xll.qlCalendarAdvance(Calendar,V3400,NDays&amp;"D")</f>
        <v>62648</v>
      </c>
      <c r="X3400" s="200">
        <v>2.4737110432164897E-2</v>
      </c>
      <c r="Y3400" s="209">
        <v>2.4560834244802265E-2</v>
      </c>
    </row>
    <row r="3401" spans="21:25" x14ac:dyDescent="0.2">
      <c r="U3401" s="213" t="str">
        <f t="shared" si="56"/>
        <v>1w</v>
      </c>
      <c r="V3401" s="201">
        <f>_xll.qlCalendarAdvance(Calendar,V3400,U3401,"f",FALSE)</f>
        <v>62653</v>
      </c>
      <c r="W3401" s="225">
        <f>_xll.qlCalendarAdvance(Calendar,V3401,NDays&amp;"D")</f>
        <v>62655</v>
      </c>
      <c r="X3401" s="200">
        <v>2.4738618057629794E-2</v>
      </c>
      <c r="Y3401" s="209">
        <v>2.4562465719037974E-2</v>
      </c>
    </row>
    <row r="3402" spans="21:25" x14ac:dyDescent="0.2">
      <c r="U3402" s="213" t="str">
        <f t="shared" si="56"/>
        <v>1w</v>
      </c>
      <c r="V3402" s="201">
        <f>_xll.qlCalendarAdvance(Calendar,V3401,U3402,"f",FALSE)</f>
        <v>62660</v>
      </c>
      <c r="W3402" s="225">
        <f>_xll.qlCalendarAdvance(Calendar,V3402,NDays&amp;"D")</f>
        <v>62662</v>
      </c>
      <c r="X3402" s="200">
        <v>2.4740114742429115E-2</v>
      </c>
      <c r="Y3402" s="209">
        <v>2.4564086388876305E-2</v>
      </c>
    </row>
    <row r="3403" spans="21:25" x14ac:dyDescent="0.2">
      <c r="U3403" s="213" t="str">
        <f t="shared" si="56"/>
        <v>1w</v>
      </c>
      <c r="V3403" s="201">
        <f>_xll.qlCalendarAdvance(Calendar,V3402,U3403,"f",FALSE)</f>
        <v>62667</v>
      </c>
      <c r="W3403" s="225">
        <f>_xll.qlCalendarAdvance(Calendar,V3403,NDays&amp;"D")</f>
        <v>62669</v>
      </c>
      <c r="X3403" s="200">
        <v>2.4738753757917682E-2</v>
      </c>
      <c r="Y3403" s="209">
        <v>2.4565696254077451E-2</v>
      </c>
    </row>
    <row r="3404" spans="21:25" x14ac:dyDescent="0.2">
      <c r="U3404" s="213" t="str">
        <f t="shared" si="56"/>
        <v>1w</v>
      </c>
      <c r="V3404" s="201">
        <f>_xll.qlCalendarAdvance(Calendar,V3403,U3404,"f",FALSE)</f>
        <v>62674</v>
      </c>
      <c r="W3404" s="225">
        <f>_xll.qlCalendarAdvance(Calendar,V3404,NDays&amp;"D")</f>
        <v>62676</v>
      </c>
      <c r="X3404" s="200">
        <v>2.4743075289930031E-2</v>
      </c>
      <c r="Y3404" s="209">
        <v>2.4567295314881221E-2</v>
      </c>
    </row>
    <row r="3405" spans="21:25" x14ac:dyDescent="0.2">
      <c r="U3405" s="213" t="str">
        <f t="shared" si="56"/>
        <v>1w</v>
      </c>
      <c r="V3405" s="201">
        <f>_xll.qlCalendarAdvance(Calendar,V3404,U3405,"f",FALSE)</f>
        <v>62681</v>
      </c>
      <c r="W3405" s="225">
        <f>_xll.qlCalendarAdvance(Calendar,V3405,NDays&amp;"D")</f>
        <v>62683</v>
      </c>
      <c r="X3405" s="200">
        <v>2.4744539152582203E-2</v>
      </c>
      <c r="Y3405" s="209">
        <v>2.4568883571287614E-2</v>
      </c>
    </row>
    <row r="3406" spans="21:25" x14ac:dyDescent="0.2">
      <c r="U3406" s="213" t="str">
        <f t="shared" si="56"/>
        <v>1w</v>
      </c>
      <c r="V3406" s="201">
        <f>_xll.qlCalendarAdvance(Calendar,V3405,U3406,"f",FALSE)</f>
        <v>62688</v>
      </c>
      <c r="W3406" s="225">
        <f>_xll.qlCalendarAdvance(Calendar,V3406,NDays&amp;"D")</f>
        <v>62690</v>
      </c>
      <c r="X3406" s="200">
        <v>2.4745992074469522E-2</v>
      </c>
      <c r="Y3406" s="209">
        <v>2.4570461023136758E-2</v>
      </c>
    </row>
    <row r="3407" spans="21:25" x14ac:dyDescent="0.2">
      <c r="U3407" s="213" t="str">
        <f t="shared" si="56"/>
        <v>1w</v>
      </c>
      <c r="V3407" s="201">
        <f>_xll.qlCalendarAdvance(Calendar,V3406,U3407,"f",FALSE)</f>
        <v>62695</v>
      </c>
      <c r="W3407" s="225">
        <f>_xll.qlCalendarAdvance(Calendar,V3407,NDays&amp;"D")</f>
        <v>62697</v>
      </c>
      <c r="X3407" s="200">
        <v>2.4747434055567921E-2</v>
      </c>
      <c r="Y3407" s="209">
        <v>2.4572027670588525E-2</v>
      </c>
    </row>
    <row r="3408" spans="21:25" x14ac:dyDescent="0.2">
      <c r="U3408" s="213" t="str">
        <f t="shared" si="56"/>
        <v>1w</v>
      </c>
      <c r="V3408" s="201">
        <f>_xll.qlCalendarAdvance(Calendar,V3407,U3408,"f",FALSE)</f>
        <v>62702</v>
      </c>
      <c r="W3408" s="225">
        <f>_xll.qlCalendarAdvance(Calendar,V3408,NDays&amp;"D")</f>
        <v>62704</v>
      </c>
      <c r="X3408" s="200">
        <v>2.4745083055034388E-2</v>
      </c>
      <c r="Y3408" s="209">
        <v>2.4573583513403108E-2</v>
      </c>
    </row>
    <row r="3409" spans="21:25" x14ac:dyDescent="0.2">
      <c r="U3409" s="213" t="str">
        <f t="shared" si="56"/>
        <v>1w</v>
      </c>
      <c r="V3409" s="201">
        <f>_xll.qlCalendarAdvance(Calendar,V3408,U3409,"f",FALSE)</f>
        <v>62709</v>
      </c>
      <c r="W3409" s="225">
        <f>_xll.qlCalendarAdvance(Calendar,V3409,NDays&amp;"D")</f>
        <v>62711</v>
      </c>
      <c r="X3409" s="200">
        <v>2.4746505891609101E-2</v>
      </c>
      <c r="Y3409" s="209">
        <v>2.4575128552140058E-2</v>
      </c>
    </row>
    <row r="3410" spans="21:25" x14ac:dyDescent="0.2">
      <c r="U3410" s="213" t="str">
        <f t="shared" si="56"/>
        <v>1w</v>
      </c>
      <c r="V3410" s="201">
        <f>_xll.qlCalendarAdvance(Calendar,V3409,U3410,"f",FALSE)</f>
        <v>62716</v>
      </c>
      <c r="W3410" s="225">
        <f>_xll.qlCalendarAdvance(Calendar,V3410,NDays&amp;"D")</f>
        <v>62718</v>
      </c>
      <c r="X3410" s="200">
        <v>2.4747917790295858E-2</v>
      </c>
      <c r="Y3410" s="209">
        <v>2.4576662786159886E-2</v>
      </c>
    </row>
    <row r="3411" spans="21:25" x14ac:dyDescent="0.2">
      <c r="U3411" s="213" t="str">
        <f t="shared" si="56"/>
        <v>1w</v>
      </c>
      <c r="V3411" s="201">
        <f>_xll.qlCalendarAdvance(Calendar,V3410,U3411,"f",FALSE)</f>
        <v>62723</v>
      </c>
      <c r="W3411" s="225">
        <f>_xll.qlCalendarAdvance(Calendar,V3411,NDays&amp;"D")</f>
        <v>62725</v>
      </c>
      <c r="X3411" s="200">
        <v>2.4749318751071378E-2</v>
      </c>
      <c r="Y3411" s="209">
        <v>2.457818621554253E-2</v>
      </c>
    </row>
    <row r="3412" spans="21:25" x14ac:dyDescent="0.2">
      <c r="U3412" s="213" t="str">
        <f t="shared" si="56"/>
        <v>1w</v>
      </c>
      <c r="V3412" s="201">
        <f>_xll.qlCalendarAdvance(Calendar,V3411,U3412,"f",FALSE)</f>
        <v>62730</v>
      </c>
      <c r="W3412" s="225">
        <f>_xll.qlCalendarAdvance(Calendar,V3412,NDays&amp;"D")</f>
        <v>62732</v>
      </c>
      <c r="X3412" s="200">
        <v>2.4751651576646789E-2</v>
      </c>
      <c r="Y3412" s="209">
        <v>2.4579698840767605E-2</v>
      </c>
    </row>
    <row r="3413" spans="21:25" x14ac:dyDescent="0.2">
      <c r="U3413" s="213" t="str">
        <f t="shared" ref="U3413:U3476" si="57">U3412</f>
        <v>1w</v>
      </c>
      <c r="V3413" s="201">
        <f>_xll.qlCalendarAdvance(Calendar,V3412,U3413,"f",FALSE)</f>
        <v>62737</v>
      </c>
      <c r="W3413" s="225">
        <f>_xll.qlCalendarAdvance(Calendar,V3413,NDays&amp;"D")</f>
        <v>62739</v>
      </c>
      <c r="X3413" s="200">
        <v>2.4756798208459937E-2</v>
      </c>
      <c r="Y3413" s="209">
        <v>2.4581200661595304E-2</v>
      </c>
    </row>
    <row r="3414" spans="21:25" x14ac:dyDescent="0.2">
      <c r="U3414" s="213" t="str">
        <f t="shared" si="57"/>
        <v>1w</v>
      </c>
      <c r="V3414" s="201">
        <f>_xll.qlCalendarAdvance(Calendar,V3413,U3414,"f",FALSE)</f>
        <v>62744</v>
      </c>
      <c r="W3414" s="225">
        <f>_xll.qlCalendarAdvance(Calendar,V3414,NDays&amp;"D")</f>
        <v>62746</v>
      </c>
      <c r="X3414" s="200">
        <v>2.4754397433485741E-2</v>
      </c>
      <c r="Y3414" s="209">
        <v>2.4582691677785817E-2</v>
      </c>
    </row>
    <row r="3415" spans="21:25" x14ac:dyDescent="0.2">
      <c r="U3415" s="213" t="str">
        <f t="shared" si="57"/>
        <v>1w</v>
      </c>
      <c r="V3415" s="201">
        <f>_xll.qlCalendarAdvance(Calendar,V3414,U3415,"f",FALSE)</f>
        <v>62751</v>
      </c>
      <c r="W3415" s="225">
        <f>_xll.qlCalendarAdvance(Calendar,V3415,NDays&amp;"D")</f>
        <v>62753</v>
      </c>
      <c r="X3415" s="200">
        <v>2.4755753953799524E-2</v>
      </c>
      <c r="Y3415" s="209">
        <v>2.4584171889499018E-2</v>
      </c>
    </row>
    <row r="3416" spans="21:25" x14ac:dyDescent="0.2">
      <c r="U3416" s="213" t="str">
        <f t="shared" si="57"/>
        <v>1w</v>
      </c>
      <c r="V3416" s="201">
        <f>_xll.qlCalendarAdvance(Calendar,V3415,U3416,"f",FALSE)</f>
        <v>62758</v>
      </c>
      <c r="W3416" s="225">
        <f>_xll.qlCalendarAdvance(Calendar,V3416,NDays&amp;"D")</f>
        <v>62760</v>
      </c>
      <c r="X3416" s="200">
        <v>2.4757099535345165E-2</v>
      </c>
      <c r="Y3416" s="209">
        <v>2.4585641296894778E-2</v>
      </c>
    </row>
    <row r="3417" spans="21:25" x14ac:dyDescent="0.2">
      <c r="U3417" s="213" t="str">
        <f t="shared" si="57"/>
        <v>1w</v>
      </c>
      <c r="V3417" s="201">
        <f>_xll.qlCalendarAdvance(Calendar,V3416,U3417,"f",FALSE)</f>
        <v>62765</v>
      </c>
      <c r="W3417" s="225">
        <f>_xll.qlCalendarAdvance(Calendar,V3417,NDays&amp;"D")</f>
        <v>62767</v>
      </c>
      <c r="X3417" s="200">
        <v>2.4757494818342066E-2</v>
      </c>
      <c r="Y3417" s="209">
        <v>2.4587099899653353E-2</v>
      </c>
    </row>
    <row r="3418" spans="21:25" x14ac:dyDescent="0.2">
      <c r="U3418" s="213" t="str">
        <f t="shared" si="57"/>
        <v>1w</v>
      </c>
      <c r="V3418" s="201">
        <f>_xll.qlCalendarAdvance(Calendar,V3417,U3418,"f",FALSE)</f>
        <v>62772</v>
      </c>
      <c r="W3418" s="225">
        <f>_xll.qlCalendarAdvance(Calendar,V3418,NDays&amp;"D")</f>
        <v>62774</v>
      </c>
      <c r="X3418" s="200">
        <v>2.47588192131135E-2</v>
      </c>
      <c r="Y3418" s="209">
        <v>2.4588547698014551E-2</v>
      </c>
    </row>
    <row r="3419" spans="21:25" x14ac:dyDescent="0.2">
      <c r="U3419" s="213" t="str">
        <f t="shared" si="57"/>
        <v>1w</v>
      </c>
      <c r="V3419" s="201">
        <f>_xll.qlCalendarAdvance(Calendar,V3418,U3419,"f",FALSE)</f>
        <v>62779</v>
      </c>
      <c r="W3419" s="225">
        <f>_xll.qlCalendarAdvance(Calendar,V3419,NDays&amp;"D")</f>
        <v>62781</v>
      </c>
      <c r="X3419" s="200">
        <v>2.4760132669796257E-2</v>
      </c>
      <c r="Y3419" s="209">
        <v>2.4589984691898437E-2</v>
      </c>
    </row>
    <row r="3420" spans="21:25" x14ac:dyDescent="0.2">
      <c r="U3420" s="213" t="str">
        <f t="shared" si="57"/>
        <v>1w</v>
      </c>
      <c r="V3420" s="201">
        <f>_xll.qlCalendarAdvance(Calendar,V3419,U3420,"f",FALSE)</f>
        <v>62786</v>
      </c>
      <c r="W3420" s="225">
        <f>_xll.qlCalendarAdvance(Calendar,V3420,NDays&amp;"D")</f>
        <v>62788</v>
      </c>
      <c r="X3420" s="200">
        <v>2.4761435188369256E-2</v>
      </c>
      <c r="Y3420" s="209">
        <v>2.4591410881544817E-2</v>
      </c>
    </row>
    <row r="3421" spans="21:25" x14ac:dyDescent="0.2">
      <c r="U3421" s="213" t="str">
        <f t="shared" si="57"/>
        <v>1w</v>
      </c>
      <c r="V3421" s="201">
        <f>_xll.qlCalendarAdvance(Calendar,V3420,U3421,"f",FALSE)</f>
        <v>62793</v>
      </c>
      <c r="W3421" s="225">
        <f>_xll.qlCalendarAdvance(Calendar,V3421,NDays&amp;"D")</f>
        <v>62795</v>
      </c>
      <c r="X3421" s="200">
        <v>2.4763663360795982E-2</v>
      </c>
      <c r="Y3421" s="209">
        <v>2.4592826266394141E-2</v>
      </c>
    </row>
    <row r="3422" spans="21:25" x14ac:dyDescent="0.2">
      <c r="U3422" s="213" t="str">
        <f t="shared" si="57"/>
        <v>1w</v>
      </c>
      <c r="V3422" s="201">
        <f>_xll.qlCalendarAdvance(Calendar,V3421,U3422,"f",FALSE)</f>
        <v>62800</v>
      </c>
      <c r="W3422" s="225">
        <f>_xll.qlCalendarAdvance(Calendar,V3422,NDays&amp;"D")</f>
        <v>62802</v>
      </c>
      <c r="X3422" s="200">
        <v>2.4764943309279357E-2</v>
      </c>
      <c r="Y3422" s="209">
        <v>2.4594230846926024E-2</v>
      </c>
    </row>
    <row r="3423" spans="21:25" x14ac:dyDescent="0.2">
      <c r="U3423" s="213" t="str">
        <f t="shared" si="57"/>
        <v>1w</v>
      </c>
      <c r="V3423" s="201">
        <f>_xll.qlCalendarAdvance(Calendar,V3422,U3423,"f",FALSE)</f>
        <v>62807</v>
      </c>
      <c r="W3423" s="225">
        <f>_xll.qlCalendarAdvance(Calendar,V3423,NDays&amp;"D")</f>
        <v>62809</v>
      </c>
      <c r="X3423" s="200">
        <v>2.4766212318843454E-2</v>
      </c>
      <c r="Y3423" s="209">
        <v>2.459562462306053E-2</v>
      </c>
    </row>
    <row r="3424" spans="21:25" x14ac:dyDescent="0.2">
      <c r="U3424" s="213" t="str">
        <f t="shared" si="57"/>
        <v>1w</v>
      </c>
      <c r="V3424" s="201">
        <f>_xll.qlCalendarAdvance(Calendar,V3423,U3424,"f",FALSE)</f>
        <v>62814</v>
      </c>
      <c r="W3424" s="225">
        <f>_xll.qlCalendarAdvance(Calendar,V3424,NDays&amp;"D")</f>
        <v>62816</v>
      </c>
      <c r="X3424" s="200">
        <v>2.476747038946818E-2</v>
      </c>
      <c r="Y3424" s="209">
        <v>2.4599823464135362E-2</v>
      </c>
    </row>
    <row r="3425" spans="21:25" x14ac:dyDescent="0.2">
      <c r="U3425" s="213" t="str">
        <f t="shared" si="57"/>
        <v>1w</v>
      </c>
      <c r="V3425" s="201">
        <f>_xll.qlCalendarAdvance(Calendar,V3424,U3425,"f",FALSE)</f>
        <v>62821</v>
      </c>
      <c r="W3425" s="225">
        <f>_xll.qlCalendarAdvance(Calendar,V3425,NDays&amp;"D")</f>
        <v>62823</v>
      </c>
      <c r="X3425" s="200">
        <v>2.4767783708834624E-2</v>
      </c>
      <c r="Y3425" s="209">
        <v>2.4601193596862636E-2</v>
      </c>
    </row>
    <row r="3426" spans="21:25" x14ac:dyDescent="0.2">
      <c r="U3426" s="213" t="str">
        <f t="shared" si="57"/>
        <v>1w</v>
      </c>
      <c r="V3426" s="201">
        <f>_xll.qlCalendarAdvance(Calendar,V3425,U3426,"f",FALSE)</f>
        <v>62828</v>
      </c>
      <c r="W3426" s="225">
        <f>_xll.qlCalendarAdvance(Calendar,V3426,NDays&amp;"D")</f>
        <v>62830</v>
      </c>
      <c r="X3426" s="200">
        <v>2.4769020598302837E-2</v>
      </c>
      <c r="Y3426" s="209">
        <v>2.4599741124520236E-2</v>
      </c>
    </row>
    <row r="3427" spans="21:25" x14ac:dyDescent="0.2">
      <c r="U3427" s="213" t="str">
        <f t="shared" si="57"/>
        <v>1w</v>
      </c>
      <c r="V3427" s="201">
        <f>_xll.qlCalendarAdvance(Calendar,V3426,U3427,"f",FALSE)</f>
        <v>62835</v>
      </c>
      <c r="W3427" s="225">
        <f>_xll.qlCalendarAdvance(Calendar,V3427,NDays&amp;"D")</f>
        <v>62837</v>
      </c>
      <c r="X3427" s="200">
        <v>2.4770246549514593E-2</v>
      </c>
      <c r="Y3427" s="209">
        <v>2.4601091682825427E-2</v>
      </c>
    </row>
    <row r="3428" spans="21:25" x14ac:dyDescent="0.2">
      <c r="U3428" s="213" t="str">
        <f t="shared" si="57"/>
        <v>1w</v>
      </c>
      <c r="V3428" s="201">
        <f>_xll.qlCalendarAdvance(Calendar,V3427,U3428,"f",FALSE)</f>
        <v>62842</v>
      </c>
      <c r="W3428" s="225">
        <f>_xll.qlCalendarAdvance(Calendar,V3428,NDays&amp;"D")</f>
        <v>62844</v>
      </c>
      <c r="X3428" s="200">
        <v>2.477146156245013E-2</v>
      </c>
      <c r="Y3428" s="209">
        <v>2.4602431436573369E-2</v>
      </c>
    </row>
    <row r="3429" spans="21:25" x14ac:dyDescent="0.2">
      <c r="U3429" s="213" t="str">
        <f t="shared" si="57"/>
        <v>1w</v>
      </c>
      <c r="V3429" s="201">
        <f>_xll.qlCalendarAdvance(Calendar,V3428,U3429,"f",FALSE)</f>
        <v>62849</v>
      </c>
      <c r="W3429" s="225">
        <f>_xll.qlCalendarAdvance(Calendar,V3429,NDays&amp;"D")</f>
        <v>62851</v>
      </c>
      <c r="X3429" s="200">
        <v>2.4772665637090123E-2</v>
      </c>
      <c r="Y3429" s="209">
        <v>2.4603760385843998E-2</v>
      </c>
    </row>
    <row r="3430" spans="21:25" x14ac:dyDescent="0.2">
      <c r="U3430" s="213" t="str">
        <f t="shared" si="57"/>
        <v>1w</v>
      </c>
      <c r="V3430" s="201">
        <f>_xll.qlCalendarAdvance(Calendar,V3429,U3430,"f",FALSE)</f>
        <v>62856</v>
      </c>
      <c r="W3430" s="225">
        <f>_xll.qlCalendarAdvance(Calendar,V3430,NDays&amp;"D")</f>
        <v>62858</v>
      </c>
      <c r="X3430" s="200">
        <v>2.477385877341437E-2</v>
      </c>
      <c r="Y3430" s="209">
        <v>2.4605078530637314E-2</v>
      </c>
    </row>
    <row r="3431" spans="21:25" x14ac:dyDescent="0.2">
      <c r="U3431" s="213" t="str">
        <f t="shared" si="57"/>
        <v>1w</v>
      </c>
      <c r="V3431" s="201">
        <f>_xll.qlCalendarAdvance(Calendar,V3430,U3431,"f",FALSE)</f>
        <v>62863</v>
      </c>
      <c r="W3431" s="225">
        <f>_xll.qlCalendarAdvance(Calendar,V3431,NDays&amp;"D")</f>
        <v>62865</v>
      </c>
      <c r="X3431" s="200">
        <v>2.4775040971403543E-2</v>
      </c>
      <c r="Y3431" s="209">
        <v>2.4606385871193126E-2</v>
      </c>
    </row>
    <row r="3432" spans="21:25" x14ac:dyDescent="0.2">
      <c r="U3432" s="213" t="str">
        <f t="shared" si="57"/>
        <v>1w</v>
      </c>
      <c r="V3432" s="201">
        <f>_xll.qlCalendarAdvance(Calendar,V3431,U3432,"f",FALSE)</f>
        <v>62870</v>
      </c>
      <c r="W3432" s="225">
        <f>_xll.qlCalendarAdvance(Calendar,V3432,NDays&amp;"D")</f>
        <v>62872</v>
      </c>
      <c r="X3432" s="200">
        <v>2.4776212231038316E-2</v>
      </c>
      <c r="Y3432" s="209">
        <v>2.4607682407191689E-2</v>
      </c>
    </row>
    <row r="3433" spans="21:25" x14ac:dyDescent="0.2">
      <c r="U3433" s="213" t="str">
        <f t="shared" si="57"/>
        <v>1w</v>
      </c>
      <c r="V3433" s="201">
        <f>_xll.qlCalendarAdvance(Calendar,V3432,U3433,"f",FALSE)</f>
        <v>62877</v>
      </c>
      <c r="W3433" s="225">
        <f>_xll.qlCalendarAdvance(Calendar,V3433,NDays&amp;"D")</f>
        <v>62879</v>
      </c>
      <c r="X3433" s="200">
        <v>2.4777372552297613E-2</v>
      </c>
      <c r="Y3433" s="209">
        <v>2.4608968138633003E-2</v>
      </c>
    </row>
    <row r="3434" spans="21:25" x14ac:dyDescent="0.2">
      <c r="U3434" s="213" t="str">
        <f t="shared" si="57"/>
        <v>1w</v>
      </c>
      <c r="V3434" s="201">
        <f>_xll.qlCalendarAdvance(Calendar,V3433,U3434,"f",FALSE)</f>
        <v>62884</v>
      </c>
      <c r="W3434" s="225">
        <f>_xll.qlCalendarAdvance(Calendar,V3434,NDays&amp;"D")</f>
        <v>62886</v>
      </c>
      <c r="X3434" s="200">
        <v>2.4782231843047377E-2</v>
      </c>
      <c r="Y3434" s="209">
        <v>2.461024306567694E-2</v>
      </c>
    </row>
    <row r="3435" spans="21:25" x14ac:dyDescent="0.2">
      <c r="U3435" s="213" t="str">
        <f t="shared" si="57"/>
        <v>1w</v>
      </c>
      <c r="V3435" s="201">
        <f>_xll.qlCalendarAdvance(Calendar,V3434,U3435,"f",FALSE)</f>
        <v>62891</v>
      </c>
      <c r="W3435" s="225">
        <f>_xll.qlCalendarAdvance(Calendar,V3435,NDays&amp;"D")</f>
        <v>62893</v>
      </c>
      <c r="X3435" s="200">
        <v>2.4783367472915371E-2</v>
      </c>
      <c r="Y3435" s="209">
        <v>2.4611507188243564E-2</v>
      </c>
    </row>
    <row r="3436" spans="21:25" x14ac:dyDescent="0.2">
      <c r="U3436" s="213" t="str">
        <f t="shared" si="57"/>
        <v>1w</v>
      </c>
      <c r="V3436" s="201">
        <f>_xll.qlCalendarAdvance(Calendar,V3435,U3436,"f",FALSE)</f>
        <v>62898</v>
      </c>
      <c r="W3436" s="225">
        <f>_xll.qlCalendarAdvance(Calendar,V3436,NDays&amp;"D")</f>
        <v>62900</v>
      </c>
      <c r="X3436" s="200">
        <v>2.4784492161368278E-2</v>
      </c>
      <c r="Y3436" s="209">
        <v>2.4612760506173004E-2</v>
      </c>
    </row>
    <row r="3437" spans="21:25" x14ac:dyDescent="0.2">
      <c r="U3437" s="213" t="str">
        <f t="shared" si="57"/>
        <v>1w</v>
      </c>
      <c r="V3437" s="201">
        <f>_xll.qlCalendarAdvance(Calendar,V3436,U3437,"f",FALSE)</f>
        <v>62905</v>
      </c>
      <c r="W3437" s="225">
        <f>_xll.qlCalendarAdvance(Calendar,V3437,NDays&amp;"D")</f>
        <v>62907</v>
      </c>
      <c r="X3437" s="200">
        <v>2.4785605908387617E-2</v>
      </c>
      <c r="Y3437" s="209">
        <v>2.4614003019864938E-2</v>
      </c>
    </row>
    <row r="3438" spans="21:25" x14ac:dyDescent="0.2">
      <c r="U3438" s="213" t="str">
        <f t="shared" si="57"/>
        <v>1w</v>
      </c>
      <c r="V3438" s="201">
        <f>_xll.qlCalendarAdvance(Calendar,V3437,U3438,"f",FALSE)</f>
        <v>62912</v>
      </c>
      <c r="W3438" s="225">
        <f>_xll.qlCalendarAdvance(Calendar,V3438,NDays&amp;"D")</f>
        <v>62914</v>
      </c>
      <c r="X3438" s="200">
        <v>2.4783934778274813E-2</v>
      </c>
      <c r="Y3438" s="209">
        <v>2.461523472907956E-2</v>
      </c>
    </row>
    <row r="3439" spans="21:25" x14ac:dyDescent="0.2">
      <c r="U3439" s="213" t="str">
        <f t="shared" si="57"/>
        <v>1w</v>
      </c>
      <c r="V3439" s="201">
        <f>_xll.qlCalendarAdvance(Calendar,V3438,U3439,"f",FALSE)</f>
        <v>62919</v>
      </c>
      <c r="W3439" s="225">
        <f>_xll.qlCalendarAdvance(Calendar,V3439,NDays&amp;"D")</f>
        <v>62921</v>
      </c>
      <c r="X3439" s="200">
        <v>2.4785028762418743E-2</v>
      </c>
      <c r="Y3439" s="209">
        <v>2.4620169083076959E-2</v>
      </c>
    </row>
    <row r="3440" spans="21:25" x14ac:dyDescent="0.2">
      <c r="U3440" s="213" t="str">
        <f t="shared" si="57"/>
        <v>1w</v>
      </c>
      <c r="V3440" s="201">
        <f>_xll.qlCalendarAdvance(Calendar,V3439,U3440,"f",FALSE)</f>
        <v>62926</v>
      </c>
      <c r="W3440" s="225">
        <f>_xll.qlCalendarAdvance(Calendar,V3440,NDays&amp;"D")</f>
        <v>62928</v>
      </c>
      <c r="X3440" s="200">
        <v>2.478611180731273E-2</v>
      </c>
      <c r="Y3440" s="209">
        <v>2.4617665733916994E-2</v>
      </c>
    </row>
    <row r="3441" spans="21:25" x14ac:dyDescent="0.2">
      <c r="U3441" s="213" t="str">
        <f t="shared" si="57"/>
        <v>1w</v>
      </c>
      <c r="V3441" s="201">
        <f>_xll.qlCalendarAdvance(Calendar,V3440,U3441,"f",FALSE)</f>
        <v>62933</v>
      </c>
      <c r="W3441" s="225">
        <f>_xll.qlCalendarAdvance(Calendar,V3441,NDays&amp;"D")</f>
        <v>62935</v>
      </c>
      <c r="X3441" s="200">
        <v>2.4787183912940609E-2</v>
      </c>
      <c r="Y3441" s="209">
        <v>2.4618865029779613E-2</v>
      </c>
    </row>
    <row r="3442" spans="21:25" x14ac:dyDescent="0.2">
      <c r="U3442" s="213" t="str">
        <f t="shared" si="57"/>
        <v>1w</v>
      </c>
      <c r="V3442" s="201">
        <f>_xll.qlCalendarAdvance(Calendar,V3441,U3442,"f",FALSE)</f>
        <v>62940</v>
      </c>
      <c r="W3442" s="225">
        <f>_xll.qlCalendarAdvance(Calendar,V3442,NDays&amp;"D")</f>
        <v>62942</v>
      </c>
      <c r="X3442" s="200">
        <v>2.4788245079282293E-2</v>
      </c>
      <c r="Y3442" s="209">
        <v>2.4620053521005048E-2</v>
      </c>
    </row>
    <row r="3443" spans="21:25" x14ac:dyDescent="0.2">
      <c r="U3443" s="213" t="str">
        <f t="shared" si="57"/>
        <v>1w</v>
      </c>
      <c r="V3443" s="201">
        <f>_xll.qlCalendarAdvance(Calendar,V3442,U3443,"f",FALSE)</f>
        <v>62947</v>
      </c>
      <c r="W3443" s="225">
        <f>_xll.qlCalendarAdvance(Calendar,V3443,NDays&amp;"D")</f>
        <v>62949</v>
      </c>
      <c r="X3443" s="200">
        <v>2.4792058619362196E-2</v>
      </c>
      <c r="Y3443" s="209">
        <v>2.4621231207833105E-2</v>
      </c>
    </row>
    <row r="3444" spans="21:25" x14ac:dyDescent="0.2">
      <c r="U3444" s="213" t="str">
        <f t="shared" si="57"/>
        <v>1w</v>
      </c>
      <c r="V3444" s="201">
        <f>_xll.qlCalendarAdvance(Calendar,V3443,U3444,"f",FALSE)</f>
        <v>62954</v>
      </c>
      <c r="W3444" s="225">
        <f>_xll.qlCalendarAdvance(Calendar,V3444,NDays&amp;"D")</f>
        <v>62956</v>
      </c>
      <c r="X3444" s="200">
        <v>2.479309577583301E-2</v>
      </c>
      <c r="Y3444" s="209">
        <v>2.4622398090263786E-2</v>
      </c>
    </row>
    <row r="3445" spans="21:25" x14ac:dyDescent="0.2">
      <c r="U3445" s="213" t="str">
        <f t="shared" si="57"/>
        <v>1w</v>
      </c>
      <c r="V3445" s="201">
        <f>_xll.qlCalendarAdvance(Calendar,V3444,U3445,"f",FALSE)</f>
        <v>62961</v>
      </c>
      <c r="W3445" s="225">
        <f>_xll.qlCalendarAdvance(Calendar,V3445,NDays&amp;"D")</f>
        <v>62963</v>
      </c>
      <c r="X3445" s="200">
        <v>2.4794121990726288E-2</v>
      </c>
      <c r="Y3445" s="209">
        <v>2.462355416829709E-2</v>
      </c>
    </row>
    <row r="3446" spans="21:25" x14ac:dyDescent="0.2">
      <c r="U3446" s="213" t="str">
        <f t="shared" si="57"/>
        <v>1w</v>
      </c>
      <c r="V3446" s="201">
        <f>_xll.qlCalendarAdvance(Calendar,V3445,U3446,"f",FALSE)</f>
        <v>62968</v>
      </c>
      <c r="W3446" s="225">
        <f>_xll.qlCalendarAdvance(Calendar,V3446,NDays&amp;"D")</f>
        <v>62970</v>
      </c>
      <c r="X3446" s="200">
        <v>2.4795137264023551E-2</v>
      </c>
      <c r="Y3446" s="209">
        <v>2.4624699441773146E-2</v>
      </c>
    </row>
    <row r="3447" spans="21:25" x14ac:dyDescent="0.2">
      <c r="U3447" s="213" t="str">
        <f t="shared" si="57"/>
        <v>1w</v>
      </c>
      <c r="V3447" s="201">
        <f>_xll.qlCalendarAdvance(Calendar,V3446,U3447,"f",FALSE)</f>
        <v>62975</v>
      </c>
      <c r="W3447" s="225">
        <f>_xll.qlCalendarAdvance(Calendar,V3447,NDays&amp;"D")</f>
        <v>62977</v>
      </c>
      <c r="X3447" s="200">
        <v>2.4793386821109355E-2</v>
      </c>
      <c r="Y3447" s="209">
        <v>2.4625833910612016E-2</v>
      </c>
    </row>
    <row r="3448" spans="21:25" x14ac:dyDescent="0.2">
      <c r="U3448" s="213" t="str">
        <f t="shared" si="57"/>
        <v>1w</v>
      </c>
      <c r="V3448" s="201">
        <f>_xll.qlCalendarAdvance(Calendar,V3447,U3448,"f",FALSE)</f>
        <v>62982</v>
      </c>
      <c r="W3448" s="225">
        <f>_xll.qlCalendarAdvance(Calendar,V3448,NDays&amp;"D")</f>
        <v>62984</v>
      </c>
      <c r="X3448" s="200">
        <v>2.4794382351379599E-2</v>
      </c>
      <c r="Y3448" s="209">
        <v>2.4626957575213382E-2</v>
      </c>
    </row>
    <row r="3449" spans="21:25" x14ac:dyDescent="0.2">
      <c r="U3449" s="213" t="str">
        <f t="shared" si="57"/>
        <v>1w</v>
      </c>
      <c r="V3449" s="201">
        <f>_xll.qlCalendarAdvance(Calendar,V3448,U3449,"f",FALSE)</f>
        <v>62989</v>
      </c>
      <c r="W3449" s="225">
        <f>_xll.qlCalendarAdvance(Calendar,V3449,NDays&amp;"D")</f>
        <v>62991</v>
      </c>
      <c r="X3449" s="200">
        <v>2.4795366942246141E-2</v>
      </c>
      <c r="Y3449" s="209">
        <v>2.4628070435337435E-2</v>
      </c>
    </row>
    <row r="3450" spans="21:25" x14ac:dyDescent="0.2">
      <c r="U3450" s="213" t="str">
        <f t="shared" si="57"/>
        <v>1w</v>
      </c>
      <c r="V3450" s="201">
        <f>_xll.qlCalendarAdvance(Calendar,V3449,U3450,"f",FALSE)</f>
        <v>62996</v>
      </c>
      <c r="W3450" s="225">
        <f>_xll.qlCalendarAdvance(Calendar,V3450,NDays&amp;"D")</f>
        <v>62998</v>
      </c>
      <c r="X3450" s="200">
        <v>2.4796340593693695E-2</v>
      </c>
      <c r="Y3450" s="209">
        <v>2.4629172491064111E-2</v>
      </c>
    </row>
    <row r="3451" spans="21:25" x14ac:dyDescent="0.2">
      <c r="U3451" s="213" t="str">
        <f t="shared" si="57"/>
        <v>1w</v>
      </c>
      <c r="V3451" s="201">
        <f>_xll.qlCalendarAdvance(Calendar,V3450,U3451,"f",FALSE)</f>
        <v>63003</v>
      </c>
      <c r="W3451" s="225">
        <f>_xll.qlCalendarAdvance(Calendar,V3451,NDays&amp;"D")</f>
        <v>63005</v>
      </c>
      <c r="X3451" s="200">
        <v>2.4797303305703913E-2</v>
      </c>
      <c r="Y3451" s="209">
        <v>2.4630263742073666E-2</v>
      </c>
    </row>
    <row r="3452" spans="21:25" x14ac:dyDescent="0.2">
      <c r="U3452" s="213" t="str">
        <f t="shared" si="57"/>
        <v>1w</v>
      </c>
      <c r="V3452" s="201">
        <f>_xll.qlCalendarAdvance(Calendar,V3451,U3452,"f",FALSE)</f>
        <v>63010</v>
      </c>
      <c r="W3452" s="225">
        <f>_xll.qlCalendarAdvance(Calendar,V3452,NDays&amp;"D")</f>
        <v>63012</v>
      </c>
      <c r="X3452" s="200">
        <v>2.4800999129373232E-2</v>
      </c>
      <c r="Y3452" s="209">
        <v>2.4631344188685844E-2</v>
      </c>
    </row>
    <row r="3453" spans="21:25" x14ac:dyDescent="0.2">
      <c r="U3453" s="213" t="str">
        <f t="shared" si="57"/>
        <v>1w</v>
      </c>
      <c r="V3453" s="201">
        <f>_xll.qlCalendarAdvance(Calendar,V3452,U3453,"f",FALSE)</f>
        <v>63017</v>
      </c>
      <c r="W3453" s="225">
        <f>_xll.qlCalendarAdvance(Calendar,V3453,NDays&amp;"D")</f>
        <v>63019</v>
      </c>
      <c r="X3453" s="200">
        <v>2.4801937811040248E-2</v>
      </c>
      <c r="Y3453" s="209">
        <v>2.4632413831060518E-2</v>
      </c>
    </row>
    <row r="3454" spans="21:25" x14ac:dyDescent="0.2">
      <c r="U3454" s="213" t="str">
        <f t="shared" si="57"/>
        <v>1w</v>
      </c>
      <c r="V3454" s="201">
        <f>_xll.qlCalendarAdvance(Calendar,V3453,U3454,"f",FALSE)</f>
        <v>63024</v>
      </c>
      <c r="W3454" s="225">
        <f>_xll.qlCalendarAdvance(Calendar,V3454,NDays&amp;"D")</f>
        <v>63026</v>
      </c>
      <c r="X3454" s="200">
        <v>2.4802865550980175E-2</v>
      </c>
      <c r="Y3454" s="209">
        <v>2.4633472668798007E-2</v>
      </c>
    </row>
    <row r="3455" spans="21:25" x14ac:dyDescent="0.2">
      <c r="U3455" s="213" t="str">
        <f t="shared" si="57"/>
        <v>1w</v>
      </c>
      <c r="V3455" s="201">
        <f>_xll.qlCalendarAdvance(Calendar,V3454,U3455,"f",FALSE)</f>
        <v>63031</v>
      </c>
      <c r="W3455" s="225">
        <f>_xll.qlCalendarAdvance(Calendar,V3455,NDays&amp;"D")</f>
        <v>63033</v>
      </c>
      <c r="X3455" s="200">
        <v>2.4803782349178825E-2</v>
      </c>
      <c r="Y3455" s="209">
        <v>2.4634520702058182E-2</v>
      </c>
    </row>
    <row r="3456" spans="21:25" x14ac:dyDescent="0.2">
      <c r="U3456" s="213" t="str">
        <f t="shared" si="57"/>
        <v>1w</v>
      </c>
      <c r="V3456" s="201">
        <f>_xll.qlCalendarAdvance(Calendar,V3455,U3456,"f",FALSE)</f>
        <v>63038</v>
      </c>
      <c r="W3456" s="225">
        <f>_xll.qlCalendarAdvance(Calendar,V3456,NDays&amp;"D")</f>
        <v>63040</v>
      </c>
      <c r="X3456" s="200">
        <v>2.4804688205621154E-2</v>
      </c>
      <c r="Y3456" s="209">
        <v>2.4635557930920982E-2</v>
      </c>
    </row>
    <row r="3457" spans="21:25" x14ac:dyDescent="0.2">
      <c r="U3457" s="213" t="str">
        <f t="shared" si="57"/>
        <v>1w</v>
      </c>
      <c r="V3457" s="201">
        <f>_xll.qlCalendarAdvance(Calendar,V3456,U3457,"f",FALSE)</f>
        <v>63045</v>
      </c>
      <c r="W3457" s="225">
        <f>_xll.qlCalendarAdvance(Calendar,V3457,NDays&amp;"D")</f>
        <v>63047</v>
      </c>
      <c r="X3457" s="200">
        <v>2.4805583120290835E-2</v>
      </c>
      <c r="Y3457" s="209">
        <v>2.4636584355226532E-2</v>
      </c>
    </row>
    <row r="3458" spans="21:25" x14ac:dyDescent="0.2">
      <c r="U3458" s="213" t="str">
        <f t="shared" si="57"/>
        <v>1w</v>
      </c>
      <c r="V3458" s="201">
        <f>_xll.qlCalendarAdvance(Calendar,V3457,U3458,"f",FALSE)</f>
        <v>63052</v>
      </c>
      <c r="W3458" s="225">
        <f>_xll.qlCalendarAdvance(Calendar,V3458,NDays&amp;"D")</f>
        <v>63054</v>
      </c>
      <c r="X3458" s="200">
        <v>2.4806467093173253E-2</v>
      </c>
      <c r="Y3458" s="209">
        <v>2.4637599975134705E-2</v>
      </c>
    </row>
    <row r="3459" spans="21:25" x14ac:dyDescent="0.2">
      <c r="U3459" s="213" t="str">
        <f t="shared" si="57"/>
        <v>1w</v>
      </c>
      <c r="V3459" s="201">
        <f>_xll.qlCalendarAdvance(Calendar,V3458,U3459,"f",FALSE)</f>
        <v>63059</v>
      </c>
      <c r="W3459" s="225">
        <f>_xll.qlCalendarAdvance(Calendar,V3459,NDays&amp;"D")</f>
        <v>63061</v>
      </c>
      <c r="X3459" s="200">
        <v>2.4807340124254659E-2</v>
      </c>
      <c r="Y3459" s="209">
        <v>2.463860479048563E-2</v>
      </c>
    </row>
    <row r="3460" spans="21:25" x14ac:dyDescent="0.2">
      <c r="U3460" s="213" t="str">
        <f t="shared" si="57"/>
        <v>1w</v>
      </c>
      <c r="V3460" s="201">
        <f>_xll.qlCalendarAdvance(Calendar,V3459,U3460,"f",FALSE)</f>
        <v>63066</v>
      </c>
      <c r="W3460" s="225">
        <f>_xll.qlCalendarAdvance(Calendar,V3460,NDays&amp;"D")</f>
        <v>63068</v>
      </c>
      <c r="X3460" s="200">
        <v>2.4803657447356194E-2</v>
      </c>
      <c r="Y3460" s="209">
        <v>2.4639598801678986E-2</v>
      </c>
    </row>
    <row r="3461" spans="21:25" x14ac:dyDescent="0.2">
      <c r="U3461" s="213" t="str">
        <f t="shared" si="57"/>
        <v>1w</v>
      </c>
      <c r="V3461" s="201">
        <f>_xll.qlCalendarAdvance(Calendar,V3460,U3461,"f",FALSE)</f>
        <v>63073</v>
      </c>
      <c r="W3461" s="225">
        <f>_xll.qlCalendarAdvance(Calendar,V3461,NDays&amp;"D")</f>
        <v>63075</v>
      </c>
      <c r="X3461" s="200">
        <v>2.4804512209899814E-2</v>
      </c>
      <c r="Y3461" s="209">
        <v>2.4640582008075285E-2</v>
      </c>
    </row>
    <row r="3462" spans="21:25" x14ac:dyDescent="0.2">
      <c r="U3462" s="213" t="str">
        <f t="shared" si="57"/>
        <v>1w</v>
      </c>
      <c r="V3462" s="201">
        <f>_xll.qlCalendarAdvance(Calendar,V3461,U3462,"f",FALSE)</f>
        <v>63080</v>
      </c>
      <c r="W3462" s="225">
        <f>_xll.qlCalendarAdvance(Calendar,V3462,NDays&amp;"D")</f>
        <v>63082</v>
      </c>
      <c r="X3462" s="200">
        <v>2.4805356034338644E-2</v>
      </c>
      <c r="Y3462" s="209">
        <v>2.4641554410074207E-2</v>
      </c>
    </row>
    <row r="3463" spans="21:25" x14ac:dyDescent="0.2">
      <c r="U3463" s="213" t="str">
        <f t="shared" si="57"/>
        <v>1w</v>
      </c>
      <c r="V3463" s="201">
        <f>_xll.qlCalendarAdvance(Calendar,V3462,U3463,"f",FALSE)</f>
        <v>63087</v>
      </c>
      <c r="W3463" s="225">
        <f>_xll.qlCalendarAdvance(Calendar,V3463,NDays&amp;"D")</f>
        <v>63089</v>
      </c>
      <c r="X3463" s="200">
        <v>2.4806188920659882E-2</v>
      </c>
      <c r="Y3463" s="209">
        <v>2.4642516007675752E-2</v>
      </c>
    </row>
    <row r="3464" spans="21:25" x14ac:dyDescent="0.2">
      <c r="U3464" s="213" t="str">
        <f t="shared" si="57"/>
        <v>1w</v>
      </c>
      <c r="V3464" s="201">
        <f>_xll.qlCalendarAdvance(Calendar,V3463,U3464,"f",FALSE)</f>
        <v>63094</v>
      </c>
      <c r="W3464" s="225">
        <f>_xll.qlCalendarAdvance(Calendar,V3464,NDays&amp;"D")</f>
        <v>63096</v>
      </c>
      <c r="X3464" s="200">
        <v>2.4807010868849393E-2</v>
      </c>
      <c r="Y3464" s="209">
        <v>2.4643466800799985E-2</v>
      </c>
    </row>
    <row r="3465" spans="21:25" x14ac:dyDescent="0.2">
      <c r="U3465" s="213" t="str">
        <f t="shared" si="57"/>
        <v>1w</v>
      </c>
      <c r="V3465" s="201">
        <f>_xll.qlCalendarAdvance(Calendar,V3464,U3465,"f",FALSE)</f>
        <v>63101</v>
      </c>
      <c r="W3465" s="225">
        <f>_xll.qlCalendarAdvance(Calendar,V3465,NDays&amp;"D")</f>
        <v>63103</v>
      </c>
      <c r="X3465" s="200">
        <v>2.4808727265756187E-2</v>
      </c>
      <c r="Y3465" s="209">
        <v>2.4644406789446904E-2</v>
      </c>
    </row>
    <row r="3466" spans="21:25" x14ac:dyDescent="0.2">
      <c r="U3466" s="213" t="str">
        <f t="shared" si="57"/>
        <v>1w</v>
      </c>
      <c r="V3466" s="201">
        <f>_xll.qlCalendarAdvance(Calendar,V3465,U3466,"f",FALSE)</f>
        <v>63108</v>
      </c>
      <c r="W3466" s="225">
        <f>_xll.qlCalendarAdvance(Calendar,V3466,NDays&amp;"D")</f>
        <v>63110</v>
      </c>
      <c r="X3466" s="200">
        <v>2.4809526611084577E-2</v>
      </c>
      <c r="Y3466" s="209">
        <v>2.4645335973536575E-2</v>
      </c>
    </row>
    <row r="3467" spans="21:25" x14ac:dyDescent="0.2">
      <c r="U3467" s="213" t="str">
        <f t="shared" si="57"/>
        <v>1w</v>
      </c>
      <c r="V3467" s="201">
        <f>_xll.qlCalendarAdvance(Calendar,V3466,U3467,"f",FALSE)</f>
        <v>63115</v>
      </c>
      <c r="W3467" s="225">
        <f>_xll.qlCalendarAdvance(Calendar,V3467,NDays&amp;"D")</f>
        <v>63117</v>
      </c>
      <c r="X3467" s="200">
        <v>2.4810315017493745E-2</v>
      </c>
      <c r="Y3467" s="209">
        <v>2.4646254353388741E-2</v>
      </c>
    </row>
    <row r="3468" spans="21:25" x14ac:dyDescent="0.2">
      <c r="U3468" s="213" t="str">
        <f t="shared" si="57"/>
        <v>1w</v>
      </c>
      <c r="V3468" s="201">
        <f>_xll.qlCalendarAdvance(Calendar,V3467,U3468,"f",FALSE)</f>
        <v>63122</v>
      </c>
      <c r="W3468" s="225">
        <f>_xll.qlCalendarAdvance(Calendar,V3468,NDays&amp;"D")</f>
        <v>63124</v>
      </c>
      <c r="X3468" s="200">
        <v>2.4811092484970518E-2</v>
      </c>
      <c r="Y3468" s="209">
        <v>2.4647161928683659E-2</v>
      </c>
    </row>
    <row r="3469" spans="21:25" x14ac:dyDescent="0.2">
      <c r="U3469" s="213" t="str">
        <f t="shared" si="57"/>
        <v>1w</v>
      </c>
      <c r="V3469" s="201">
        <f>_xll.qlCalendarAdvance(Calendar,V3468,U3469,"f",FALSE)</f>
        <v>63129</v>
      </c>
      <c r="W3469" s="225">
        <f>_xll.qlCalendarAdvance(Calendar,V3469,NDays&amp;"D")</f>
        <v>63131</v>
      </c>
      <c r="X3469" s="200">
        <v>2.4810956537356012E-2</v>
      </c>
      <c r="Y3469" s="209">
        <v>2.4648058699341391E-2</v>
      </c>
    </row>
    <row r="3470" spans="21:25" x14ac:dyDescent="0.2">
      <c r="U3470" s="213" t="str">
        <f t="shared" si="57"/>
        <v>1w</v>
      </c>
      <c r="V3470" s="201">
        <f>_xll.qlCalendarAdvance(Calendar,V3469,U3470,"f",FALSE)</f>
        <v>63136</v>
      </c>
      <c r="W3470" s="225">
        <f>_xll.qlCalendarAdvance(Calendar,V3470,NDays&amp;"D")</f>
        <v>63138</v>
      </c>
      <c r="X3470" s="200">
        <v>2.4811712856480466E-2</v>
      </c>
      <c r="Y3470" s="209">
        <v>2.4648944665761618E-2</v>
      </c>
    </row>
    <row r="3471" spans="21:25" x14ac:dyDescent="0.2">
      <c r="U3471" s="213" t="str">
        <f t="shared" si="57"/>
        <v>1w</v>
      </c>
      <c r="V3471" s="201">
        <f>_xll.qlCalendarAdvance(Calendar,V3470,U3471,"f",FALSE)</f>
        <v>63143</v>
      </c>
      <c r="W3471" s="225">
        <f>_xll.qlCalendarAdvance(Calendar,V3471,NDays&amp;"D")</f>
        <v>63145</v>
      </c>
      <c r="X3471" s="200">
        <v>2.4812458237381336E-2</v>
      </c>
      <c r="Y3471" s="209">
        <v>2.4649819827624597E-2</v>
      </c>
    </row>
    <row r="3472" spans="21:25" x14ac:dyDescent="0.2">
      <c r="U3472" s="213" t="str">
        <f t="shared" si="57"/>
        <v>1w</v>
      </c>
      <c r="V3472" s="201">
        <f>_xll.qlCalendarAdvance(Calendar,V3471,U3472,"f",FALSE)</f>
        <v>63150</v>
      </c>
      <c r="W3472" s="225">
        <f>_xll.qlCalendarAdvance(Calendar,V3472,NDays&amp;"D")</f>
        <v>63152</v>
      </c>
      <c r="X3472" s="200">
        <v>2.4813192680049785E-2</v>
      </c>
      <c r="Y3472" s="209">
        <v>2.4650684184930327E-2</v>
      </c>
    </row>
    <row r="3473" spans="21:25" x14ac:dyDescent="0.2">
      <c r="U3473" s="213" t="str">
        <f t="shared" si="57"/>
        <v>1w</v>
      </c>
      <c r="V3473" s="201">
        <f>_xll.qlCalendarAdvance(Calendar,V3472,U3473,"f",FALSE)</f>
        <v>63157</v>
      </c>
      <c r="W3473" s="225">
        <f>_xll.qlCalendarAdvance(Calendar,V3473,NDays&amp;"D")</f>
        <v>63159</v>
      </c>
      <c r="X3473" s="200">
        <v>2.4814815737921742E-2</v>
      </c>
      <c r="Y3473" s="209">
        <v>2.4651537737998552E-2</v>
      </c>
    </row>
    <row r="3474" spans="21:25" x14ac:dyDescent="0.2">
      <c r="U3474" s="213" t="str">
        <f t="shared" si="57"/>
        <v>1w</v>
      </c>
      <c r="V3474" s="201">
        <f>_xll.qlCalendarAdvance(Calendar,V3473,U3474,"f",FALSE)</f>
        <v>63164</v>
      </c>
      <c r="W3474" s="225">
        <f>_xll.qlCalendarAdvance(Calendar,V3474,NDays&amp;"D")</f>
        <v>63166</v>
      </c>
      <c r="X3474" s="200">
        <v>2.4815527571540603E-2</v>
      </c>
      <c r="Y3474" s="209">
        <v>2.4652380486349657E-2</v>
      </c>
    </row>
    <row r="3475" spans="21:25" x14ac:dyDescent="0.2">
      <c r="U3475" s="213" t="str">
        <f t="shared" si="57"/>
        <v>1w</v>
      </c>
      <c r="V3475" s="201">
        <f>_xll.qlCalendarAdvance(Calendar,V3474,U3475,"f",FALSE)</f>
        <v>63171</v>
      </c>
      <c r="W3475" s="225">
        <f>_xll.qlCalendarAdvance(Calendar,V3475,NDays&amp;"D")</f>
        <v>63173</v>
      </c>
      <c r="X3475" s="200">
        <v>2.4816228466141423E-2</v>
      </c>
      <c r="Y3475" s="209">
        <v>2.465321243038332E-2</v>
      </c>
    </row>
    <row r="3476" spans="21:25" x14ac:dyDescent="0.2">
      <c r="U3476" s="213" t="str">
        <f t="shared" si="57"/>
        <v>1w</v>
      </c>
      <c r="V3476" s="201">
        <f>_xll.qlCalendarAdvance(Calendar,V3475,U3476,"f",FALSE)</f>
        <v>63178</v>
      </c>
      <c r="W3476" s="225">
        <f>_xll.qlCalendarAdvance(Calendar,V3476,NDays&amp;"D")</f>
        <v>63180</v>
      </c>
      <c r="X3476" s="200">
        <v>2.481691842171278E-2</v>
      </c>
      <c r="Y3476" s="209">
        <v>2.4654033569859735E-2</v>
      </c>
    </row>
    <row r="3477" spans="21:25" x14ac:dyDescent="0.2">
      <c r="U3477" s="213" t="str">
        <f t="shared" ref="U3477:U3540" si="58">U3476</f>
        <v>1w</v>
      </c>
      <c r="V3477" s="201">
        <f>_xll.qlCalendarAdvance(Calendar,V3476,U3477,"f",FALSE)</f>
        <v>63185</v>
      </c>
      <c r="W3477" s="225">
        <f>_xll.qlCalendarAdvance(Calendar,V3477,NDays&amp;"D")</f>
        <v>63187</v>
      </c>
      <c r="X3477" s="200">
        <v>2.4817597438243254E-2</v>
      </c>
      <c r="Y3477" s="209">
        <v>2.4654843905018708E-2</v>
      </c>
    </row>
    <row r="3478" spans="21:25" x14ac:dyDescent="0.2">
      <c r="U3478" s="213" t="str">
        <f t="shared" si="58"/>
        <v>1w</v>
      </c>
      <c r="V3478" s="201">
        <f>_xll.qlCalendarAdvance(Calendar,V3477,U3478,"f",FALSE)</f>
        <v>63192</v>
      </c>
      <c r="W3478" s="225">
        <f>_xll.qlCalendarAdvance(Calendar,V3478,NDays&amp;"D")</f>
        <v>63194</v>
      </c>
      <c r="X3478" s="200">
        <v>2.4817369632486312E-2</v>
      </c>
      <c r="Y3478" s="209">
        <v>2.465564343570037E-2</v>
      </c>
    </row>
    <row r="3479" spans="21:25" x14ac:dyDescent="0.2">
      <c r="U3479" s="213" t="str">
        <f t="shared" si="58"/>
        <v>1w</v>
      </c>
      <c r="V3479" s="201">
        <f>_xll.qlCalendarAdvance(Calendar,V3478,U3479,"f",FALSE)</f>
        <v>63199</v>
      </c>
      <c r="W3479" s="225">
        <f>_xll.qlCalendarAdvance(Calendar,V3479,NDays&amp;"D")</f>
        <v>63201</v>
      </c>
      <c r="X3479" s="200">
        <v>2.4818027507190858E-2</v>
      </c>
      <c r="Y3479" s="209">
        <v>2.4656432161744846E-2</v>
      </c>
    </row>
    <row r="3480" spans="21:25" x14ac:dyDescent="0.2">
      <c r="U3480" s="213" t="str">
        <f t="shared" si="58"/>
        <v>1w</v>
      </c>
      <c r="V3480" s="201">
        <f>_xll.qlCalendarAdvance(Calendar,V3479,U3480,"f",FALSE)</f>
        <v>63206</v>
      </c>
      <c r="W3480" s="225">
        <f>_xll.qlCalendarAdvance(Calendar,V3480,NDays&amp;"D")</f>
        <v>63208</v>
      </c>
      <c r="X3480" s="200">
        <v>2.4818674443571127E-2</v>
      </c>
      <c r="Y3480" s="209">
        <v>2.4657210083312009E-2</v>
      </c>
    </row>
    <row r="3481" spans="21:25" x14ac:dyDescent="0.2">
      <c r="U3481" s="213" t="str">
        <f t="shared" si="58"/>
        <v>1w</v>
      </c>
      <c r="V3481" s="201">
        <f>_xll.qlCalendarAdvance(Calendar,V3480,U3481,"f",FALSE)</f>
        <v>63213</v>
      </c>
      <c r="W3481" s="225">
        <f>_xll.qlCalendarAdvance(Calendar,V3481,NDays&amp;"D")</f>
        <v>63215</v>
      </c>
      <c r="X3481" s="200">
        <v>2.4819310441616515E-2</v>
      </c>
      <c r="Y3481" s="209">
        <v>2.4657977200641668E-2</v>
      </c>
    </row>
    <row r="3482" spans="21:25" x14ac:dyDescent="0.2">
      <c r="U3482" s="213" t="str">
        <f t="shared" si="58"/>
        <v>1w</v>
      </c>
      <c r="V3482" s="201">
        <f>_xll.qlCalendarAdvance(Calendar,V3481,U3482,"f",FALSE)</f>
        <v>63220</v>
      </c>
      <c r="W3482" s="225">
        <f>_xll.qlCalendarAdvance(Calendar,V3482,NDays&amp;"D")</f>
        <v>63222</v>
      </c>
      <c r="X3482" s="200">
        <v>2.4819935501316427E-2</v>
      </c>
      <c r="Y3482" s="209">
        <v>2.4658733513414077E-2</v>
      </c>
    </row>
    <row r="3483" spans="21:25" x14ac:dyDescent="0.2">
      <c r="U3483" s="213" t="str">
        <f t="shared" si="58"/>
        <v>1w</v>
      </c>
      <c r="V3483" s="201">
        <f>_xll.qlCalendarAdvance(Calendar,V3482,U3483,"f",FALSE)</f>
        <v>63227</v>
      </c>
      <c r="W3483" s="225">
        <f>_xll.qlCalendarAdvance(Calendar,V3483,NDays&amp;"D")</f>
        <v>63229</v>
      </c>
      <c r="X3483" s="200">
        <v>2.4820549622659817E-2</v>
      </c>
      <c r="Y3483" s="209">
        <v>2.4659479021629238E-2</v>
      </c>
    </row>
    <row r="3484" spans="21:25" x14ac:dyDescent="0.2">
      <c r="U3484" s="213" t="str">
        <f t="shared" si="58"/>
        <v>1w</v>
      </c>
      <c r="V3484" s="201">
        <f>_xll.qlCalendarAdvance(Calendar,V3483,U3484,"f",FALSE)</f>
        <v>63234</v>
      </c>
      <c r="W3484" s="225">
        <f>_xll.qlCalendarAdvance(Calendar,V3484,NDays&amp;"D")</f>
        <v>63236</v>
      </c>
      <c r="X3484" s="200">
        <v>2.4821152805637417E-2</v>
      </c>
      <c r="Y3484" s="209">
        <v>2.4660213725367086E-2</v>
      </c>
    </row>
    <row r="3485" spans="21:25" x14ac:dyDescent="0.2">
      <c r="U3485" s="213" t="str">
        <f t="shared" si="58"/>
        <v>1w</v>
      </c>
      <c r="V3485" s="201">
        <f>_xll.qlCalendarAdvance(Calendar,V3484,U3485,"f",FALSE)</f>
        <v>63241</v>
      </c>
      <c r="W3485" s="225">
        <f>_xll.qlCalendarAdvance(Calendar,V3485,NDays&amp;"D")</f>
        <v>63243</v>
      </c>
      <c r="X3485" s="200">
        <v>2.4821745050240387E-2</v>
      </c>
      <c r="Y3485" s="209">
        <v>2.4660937624707557E-2</v>
      </c>
    </row>
    <row r="3486" spans="21:25" x14ac:dyDescent="0.2">
      <c r="U3486" s="213" t="str">
        <f t="shared" si="58"/>
        <v>1w</v>
      </c>
      <c r="V3486" s="201">
        <f>_xll.qlCalendarAdvance(Calendar,V3485,U3486,"f",FALSE)</f>
        <v>63248</v>
      </c>
      <c r="W3486" s="225">
        <f>_xll.qlCalendarAdvance(Calendar,V3486,NDays&amp;"D")</f>
        <v>63250</v>
      </c>
      <c r="X3486" s="200">
        <v>2.4826775913286608E-2</v>
      </c>
      <c r="Y3486" s="209">
        <v>2.4661650719650652E-2</v>
      </c>
    </row>
    <row r="3487" spans="21:25" x14ac:dyDescent="0.2">
      <c r="U3487" s="213" t="str">
        <f t="shared" si="58"/>
        <v>1w</v>
      </c>
      <c r="V3487" s="201">
        <f>_xll.qlCalendarAdvance(Calendar,V3486,U3487,"f",FALSE)</f>
        <v>63255</v>
      </c>
      <c r="W3487" s="225">
        <f>_xll.qlCalendarAdvance(Calendar,V3487,NDays&amp;"D")</f>
        <v>63257</v>
      </c>
      <c r="X3487" s="200">
        <v>2.4827342568650532E-2</v>
      </c>
      <c r="Y3487" s="209">
        <v>2.4662353010036497E-2</v>
      </c>
    </row>
    <row r="3488" spans="21:25" x14ac:dyDescent="0.2">
      <c r="U3488" s="213" t="str">
        <f t="shared" si="58"/>
        <v>1w</v>
      </c>
      <c r="V3488" s="201">
        <f>_xll.qlCalendarAdvance(Calendar,V3487,U3488,"f",FALSE)</f>
        <v>63262</v>
      </c>
      <c r="W3488" s="225">
        <f>_xll.qlCalendarAdvance(Calendar,V3488,NDays&amp;"D")</f>
        <v>63264</v>
      </c>
      <c r="X3488" s="200">
        <v>2.482789828186404E-2</v>
      </c>
      <c r="Y3488" s="209">
        <v>2.4663044496024966E-2</v>
      </c>
    </row>
    <row r="3489" spans="21:25" x14ac:dyDescent="0.2">
      <c r="U3489" s="213" t="str">
        <f t="shared" si="58"/>
        <v>1w</v>
      </c>
      <c r="V3489" s="201">
        <f>_xll.qlCalendarAdvance(Calendar,V3488,U3489,"f",FALSE)</f>
        <v>63269</v>
      </c>
      <c r="W3489" s="225">
        <f>_xll.qlCalendarAdvance(Calendar,V3489,NDays&amp;"D")</f>
        <v>63271</v>
      </c>
      <c r="X3489" s="200">
        <v>2.4828443052915965E-2</v>
      </c>
      <c r="Y3489" s="209">
        <v>2.4667297177879632E-2</v>
      </c>
    </row>
    <row r="3490" spans="21:25" x14ac:dyDescent="0.2">
      <c r="U3490" s="213" t="str">
        <f t="shared" si="58"/>
        <v>1w</v>
      </c>
      <c r="V3490" s="201">
        <f>_xll.qlCalendarAdvance(Calendar,V3489,U3490,"f",FALSE)</f>
        <v>63276</v>
      </c>
      <c r="W3490" s="225">
        <f>_xll.qlCalendarAdvance(Calendar,V3490,NDays&amp;"D")</f>
        <v>63278</v>
      </c>
      <c r="X3490" s="200">
        <v>2.4826316163224071E-2</v>
      </c>
      <c r="Y3490" s="209">
        <v>2.4664395054410093E-2</v>
      </c>
    </row>
    <row r="3491" spans="21:25" x14ac:dyDescent="0.2">
      <c r="U3491" s="213" t="str">
        <f t="shared" si="58"/>
        <v>1w</v>
      </c>
      <c r="V3491" s="201">
        <f>_xll.qlCalendarAdvance(Calendar,V3490,U3491,"f",FALSE)</f>
        <v>63283</v>
      </c>
      <c r="W3491" s="225">
        <f>_xll.qlCalendarAdvance(Calendar,V3491,NDays&amp;"D")</f>
        <v>63285</v>
      </c>
      <c r="X3491" s="200">
        <v>2.4826841286710186E-2</v>
      </c>
      <c r="Y3491" s="209">
        <v>2.4665054126966623E-2</v>
      </c>
    </row>
    <row r="3492" spans="21:25" x14ac:dyDescent="0.2">
      <c r="U3492" s="213" t="str">
        <f t="shared" si="58"/>
        <v>1w</v>
      </c>
      <c r="V3492" s="201">
        <f>_xll.qlCalendarAdvance(Calendar,V3491,U3492,"f",FALSE)</f>
        <v>63290</v>
      </c>
      <c r="W3492" s="225">
        <f>_xll.qlCalendarAdvance(Calendar,V3492,NDays&amp;"D")</f>
        <v>63292</v>
      </c>
      <c r="X3492" s="200">
        <v>2.4827355470258383E-2</v>
      </c>
      <c r="Y3492" s="209">
        <v>2.4665702395125777E-2</v>
      </c>
    </row>
    <row r="3493" spans="21:25" x14ac:dyDescent="0.2">
      <c r="U3493" s="213" t="str">
        <f t="shared" si="58"/>
        <v>1w</v>
      </c>
      <c r="V3493" s="201">
        <f>_xll.qlCalendarAdvance(Calendar,V3492,U3493,"f",FALSE)</f>
        <v>63297</v>
      </c>
      <c r="W3493" s="225">
        <f>_xll.qlCalendarAdvance(Calendar,V3493,NDays&amp;"D")</f>
        <v>63299</v>
      </c>
      <c r="X3493" s="200">
        <v>2.4827858713859053E-2</v>
      </c>
      <c r="Y3493" s="209">
        <v>2.4666339858727682E-2</v>
      </c>
    </row>
    <row r="3494" spans="21:25" x14ac:dyDescent="0.2">
      <c r="U3494" s="213" t="str">
        <f t="shared" si="58"/>
        <v>1w</v>
      </c>
      <c r="V3494" s="201">
        <f>_xll.qlCalendarAdvance(Calendar,V3493,U3494,"f",FALSE)</f>
        <v>63304</v>
      </c>
      <c r="W3494" s="225">
        <f>_xll.qlCalendarAdvance(Calendar,V3494,NDays&amp;"D")</f>
        <v>63306</v>
      </c>
      <c r="X3494" s="200">
        <v>2.4828351017504337E-2</v>
      </c>
      <c r="Y3494" s="209">
        <v>2.4666966517692401E-2</v>
      </c>
    </row>
    <row r="3495" spans="21:25" x14ac:dyDescent="0.2">
      <c r="U3495" s="213" t="str">
        <f t="shared" si="58"/>
        <v>1w</v>
      </c>
      <c r="V3495" s="201">
        <f>_xll.qlCalendarAdvance(Calendar,V3494,U3495,"f",FALSE)</f>
        <v>63311</v>
      </c>
      <c r="W3495" s="225">
        <f>_xll.qlCalendarAdvance(Calendar,V3495,NDays&amp;"D")</f>
        <v>63313</v>
      </c>
      <c r="X3495" s="200">
        <v>2.4831481893354605E-2</v>
      </c>
      <c r="Y3495" s="209">
        <v>2.4667582372419616E-2</v>
      </c>
    </row>
    <row r="3496" spans="21:25" x14ac:dyDescent="0.2">
      <c r="U3496" s="213" t="str">
        <f t="shared" si="58"/>
        <v>1w</v>
      </c>
      <c r="V3496" s="201">
        <f>_xll.qlCalendarAdvance(Calendar,V3495,U3496,"f",FALSE)</f>
        <v>63318</v>
      </c>
      <c r="W3496" s="225">
        <f>_xll.qlCalendarAdvance(Calendar,V3496,NDays&amp;"D")</f>
        <v>63320</v>
      </c>
      <c r="X3496" s="200">
        <v>2.4831950069036914E-2</v>
      </c>
      <c r="Y3496" s="209">
        <v>2.4668187422749455E-2</v>
      </c>
    </row>
    <row r="3497" spans="21:25" x14ac:dyDescent="0.2">
      <c r="U3497" s="213" t="str">
        <f t="shared" si="58"/>
        <v>1w</v>
      </c>
      <c r="V3497" s="201">
        <f>_xll.qlCalendarAdvance(Calendar,V3496,U3497,"f",FALSE)</f>
        <v>63325</v>
      </c>
      <c r="W3497" s="225">
        <f>_xll.qlCalendarAdvance(Calendar,V3497,NDays&amp;"D")</f>
        <v>63327</v>
      </c>
      <c r="X3497" s="200">
        <v>2.4832407302490162E-2</v>
      </c>
      <c r="Y3497" s="209">
        <v>2.4668781668442108E-2</v>
      </c>
    </row>
    <row r="3498" spans="21:25" x14ac:dyDescent="0.2">
      <c r="U3498" s="213" t="str">
        <f t="shared" si="58"/>
        <v>1w</v>
      </c>
      <c r="V3498" s="201">
        <f>_xll.qlCalendarAdvance(Calendar,V3497,U3498,"f",FALSE)</f>
        <v>63332</v>
      </c>
      <c r="W3498" s="225">
        <f>_xll.qlCalendarAdvance(Calendar,V3498,NDays&amp;"D")</f>
        <v>63334</v>
      </c>
      <c r="X3498" s="200">
        <v>2.4832853593707051E-2</v>
      </c>
      <c r="Y3498" s="209">
        <v>2.4669365109737385E-2</v>
      </c>
    </row>
    <row r="3499" spans="21:25" x14ac:dyDescent="0.2">
      <c r="U3499" s="213" t="str">
        <f t="shared" si="58"/>
        <v>1w</v>
      </c>
      <c r="V3499" s="201">
        <f>_xll.qlCalendarAdvance(Calendar,V3498,U3499,"f",FALSE)</f>
        <v>63339</v>
      </c>
      <c r="W3499" s="225">
        <f>_xll.qlCalendarAdvance(Calendar,V3499,NDays&amp;"D")</f>
        <v>63341</v>
      </c>
      <c r="X3499" s="200">
        <v>2.4830648436126892E-2</v>
      </c>
      <c r="Y3499" s="209">
        <v>2.4669937746555348E-2</v>
      </c>
    </row>
    <row r="3500" spans="21:25" x14ac:dyDescent="0.2">
      <c r="U3500" s="213" t="str">
        <f t="shared" si="58"/>
        <v>1w</v>
      </c>
      <c r="V3500" s="201">
        <f>_xll.qlCalendarAdvance(Calendar,V3499,U3500,"f",FALSE)</f>
        <v>63346</v>
      </c>
      <c r="W3500" s="225">
        <f>_xll.qlCalendarAdvance(Calendar,V3500,NDays&amp;"D")</f>
        <v>63348</v>
      </c>
      <c r="X3500" s="200">
        <v>2.4831075099876469E-2</v>
      </c>
      <c r="Y3500" s="209">
        <v>2.4670499578816063E-2</v>
      </c>
    </row>
    <row r="3501" spans="21:25" x14ac:dyDescent="0.2">
      <c r="U3501" s="213" t="str">
        <f t="shared" si="58"/>
        <v>1w</v>
      </c>
      <c r="V3501" s="201">
        <f>_xll.qlCalendarAdvance(Calendar,V3500,U3501,"f",FALSE)</f>
        <v>63353</v>
      </c>
      <c r="W3501" s="225">
        <f>_xll.qlCalendarAdvance(Calendar,V3501,NDays&amp;"D")</f>
        <v>63355</v>
      </c>
      <c r="X3501" s="200">
        <v>2.4831490823618237E-2</v>
      </c>
      <c r="Y3501" s="209">
        <v>2.4671050606679401E-2</v>
      </c>
    </row>
    <row r="3502" spans="21:25" x14ac:dyDescent="0.2">
      <c r="U3502" s="213" t="str">
        <f t="shared" si="58"/>
        <v>1w</v>
      </c>
      <c r="V3502" s="201">
        <f>_xll.qlCalendarAdvance(Calendar,V3501,U3502,"f",FALSE)</f>
        <v>63360</v>
      </c>
      <c r="W3502" s="225">
        <f>_xll.qlCalendarAdvance(Calendar,V3502,NDays&amp;"D")</f>
        <v>63362</v>
      </c>
      <c r="X3502" s="200">
        <v>2.4831895607344775E-2</v>
      </c>
      <c r="Y3502" s="209">
        <v>2.467159082998549E-2</v>
      </c>
    </row>
    <row r="3503" spans="21:25" x14ac:dyDescent="0.2">
      <c r="U3503" s="213" t="str">
        <f t="shared" si="58"/>
        <v>1w</v>
      </c>
      <c r="V3503" s="201">
        <f>_xll.qlCalendarAdvance(Calendar,V3502,U3503,"f",FALSE)</f>
        <v>63367</v>
      </c>
      <c r="W3503" s="225">
        <f>_xll.qlCalendarAdvance(Calendar,V3503,NDays&amp;"D")</f>
        <v>63369</v>
      </c>
      <c r="X3503" s="200">
        <v>2.4832289451049965E-2</v>
      </c>
      <c r="Y3503" s="209">
        <v>2.4672120249054075E-2</v>
      </c>
    </row>
    <row r="3504" spans="21:25" x14ac:dyDescent="0.2">
      <c r="U3504" s="213" t="str">
        <f t="shared" si="58"/>
        <v>1w</v>
      </c>
      <c r="V3504" s="201">
        <f>_xll.qlCalendarAdvance(Calendar,V3503,U3504,"f",FALSE)</f>
        <v>63374</v>
      </c>
      <c r="W3504" s="225">
        <f>_xll.qlCalendarAdvance(Calendar,V3504,NDays&amp;"D")</f>
        <v>63376</v>
      </c>
      <c r="X3504" s="200">
        <v>2.4835301553644603E-2</v>
      </c>
      <c r="Y3504" s="209">
        <v>2.467263886356541E-2</v>
      </c>
    </row>
    <row r="3505" spans="21:25" x14ac:dyDescent="0.2">
      <c r="U3505" s="213" t="str">
        <f t="shared" si="58"/>
        <v>1w</v>
      </c>
      <c r="V3505" s="201">
        <f>_xll.qlCalendarAdvance(Calendar,V3504,U3505,"f",FALSE)</f>
        <v>63381</v>
      </c>
      <c r="W3505" s="225">
        <f>_xll.qlCalendarAdvance(Calendar,V3505,NDays&amp;"D")</f>
        <v>63383</v>
      </c>
      <c r="X3505" s="200">
        <v>2.4835671249008817E-2</v>
      </c>
      <c r="Y3505" s="209">
        <v>2.4673146673439561E-2</v>
      </c>
    </row>
    <row r="3506" spans="21:25" x14ac:dyDescent="0.2">
      <c r="U3506" s="213" t="str">
        <f t="shared" si="58"/>
        <v>1w</v>
      </c>
      <c r="V3506" s="201">
        <f>_xll.qlCalendarAdvance(Calendar,V3505,U3506,"f",FALSE)</f>
        <v>63388</v>
      </c>
      <c r="W3506" s="225">
        <f>_xll.qlCalendarAdvance(Calendar,V3506,NDays&amp;"D")</f>
        <v>63390</v>
      </c>
      <c r="X3506" s="200">
        <v>2.4836030002082947E-2</v>
      </c>
      <c r="Y3506" s="209">
        <v>2.4673643678916335E-2</v>
      </c>
    </row>
    <row r="3507" spans="21:25" x14ac:dyDescent="0.2">
      <c r="U3507" s="213" t="str">
        <f t="shared" si="58"/>
        <v>1w</v>
      </c>
      <c r="V3507" s="201">
        <f>_xll.qlCalendarAdvance(Calendar,V3506,U3507,"f",FALSE)</f>
        <v>63395</v>
      </c>
      <c r="W3507" s="225">
        <f>_xll.qlCalendarAdvance(Calendar,V3507,NDays&amp;"D")</f>
        <v>63397</v>
      </c>
      <c r="X3507" s="200">
        <v>2.4836377812860116E-2</v>
      </c>
      <c r="Y3507" s="209">
        <v>2.4674129880155604E-2</v>
      </c>
    </row>
    <row r="3508" spans="21:25" x14ac:dyDescent="0.2">
      <c r="U3508" s="213" t="str">
        <f t="shared" si="58"/>
        <v>1w</v>
      </c>
      <c r="V3508" s="201">
        <f>_xll.qlCalendarAdvance(Calendar,V3507,U3508,"f",FALSE)</f>
        <v>63402</v>
      </c>
      <c r="W3508" s="225">
        <f>_xll.qlCalendarAdvance(Calendar,V3508,NDays&amp;"D")</f>
        <v>63404</v>
      </c>
      <c r="X3508" s="200">
        <v>2.4836714681334304E-2</v>
      </c>
      <c r="Y3508" s="209">
        <v>2.4674605276757688E-2</v>
      </c>
    </row>
    <row r="3509" spans="21:25" x14ac:dyDescent="0.2">
      <c r="U3509" s="213" t="str">
        <f t="shared" si="58"/>
        <v>1w</v>
      </c>
      <c r="V3509" s="201">
        <f>_xll.qlCalendarAdvance(Calendar,V3508,U3509,"f",FALSE)</f>
        <v>63409</v>
      </c>
      <c r="W3509" s="225">
        <f>_xll.qlCalendarAdvance(Calendar,V3509,NDays&amp;"D")</f>
        <v>63411</v>
      </c>
      <c r="X3509" s="200">
        <v>2.483704060749993E-2</v>
      </c>
      <c r="Y3509" s="209">
        <v>2.4675069868802524E-2</v>
      </c>
    </row>
    <row r="3510" spans="21:25" x14ac:dyDescent="0.2">
      <c r="U3510" s="213" t="str">
        <f t="shared" si="58"/>
        <v>1w</v>
      </c>
      <c r="V3510" s="201">
        <f>_xll.qlCalendarAdvance(Calendar,V3509,U3510,"f",FALSE)</f>
        <v>63416</v>
      </c>
      <c r="W3510" s="225">
        <f>_xll.qlCalendarAdvance(Calendar,V3510,NDays&amp;"D")</f>
        <v>63418</v>
      </c>
      <c r="X3510" s="200">
        <v>2.4837355591352694E-2</v>
      </c>
      <c r="Y3510" s="209">
        <v>2.4675523656529919E-2</v>
      </c>
    </row>
    <row r="3511" spans="21:25" x14ac:dyDescent="0.2">
      <c r="U3511" s="213" t="str">
        <f t="shared" si="58"/>
        <v>1w</v>
      </c>
      <c r="V3511" s="201">
        <f>_xll.qlCalendarAdvance(Calendar,V3510,U3511,"f",FALSE)</f>
        <v>63423</v>
      </c>
      <c r="W3511" s="225">
        <f>_xll.qlCalendarAdvance(Calendar,V3511,NDays&amp;"D")</f>
        <v>63425</v>
      </c>
      <c r="X3511" s="200">
        <v>2.4837659632885721E-2</v>
      </c>
      <c r="Y3511" s="209">
        <v>2.4675966639700064E-2</v>
      </c>
    </row>
    <row r="3512" spans="21:25" x14ac:dyDescent="0.2">
      <c r="U3512" s="213" t="str">
        <f t="shared" si="58"/>
        <v>1w</v>
      </c>
      <c r="V3512" s="201">
        <f>_xll.qlCalendarAdvance(Calendar,V3511,U3512,"f",FALSE)</f>
        <v>63430</v>
      </c>
      <c r="W3512" s="225">
        <f>_xll.qlCalendarAdvance(Calendar,V3512,NDays&amp;"D")</f>
        <v>63432</v>
      </c>
      <c r="X3512" s="200">
        <v>2.483360091748436E-2</v>
      </c>
      <c r="Y3512" s="209">
        <v>2.4676398818472833E-2</v>
      </c>
    </row>
    <row r="3513" spans="21:25" x14ac:dyDescent="0.2">
      <c r="U3513" s="213" t="str">
        <f t="shared" si="58"/>
        <v>1w</v>
      </c>
      <c r="V3513" s="201">
        <f>_xll.qlCalendarAdvance(Calendar,V3512,U3513,"f",FALSE)</f>
        <v>63437</v>
      </c>
      <c r="W3513" s="225">
        <f>_xll.qlCalendarAdvance(Calendar,V3513,NDays&amp;"D")</f>
        <v>63439</v>
      </c>
      <c r="X3513" s="200">
        <v>2.4833886884301878E-2</v>
      </c>
      <c r="Y3513" s="209">
        <v>2.4676820192688353E-2</v>
      </c>
    </row>
    <row r="3514" spans="21:25" x14ac:dyDescent="0.2">
      <c r="U3514" s="213" t="str">
        <f t="shared" si="58"/>
        <v>1w</v>
      </c>
      <c r="V3514" s="201">
        <f>_xll.qlCalendarAdvance(Calendar,V3513,U3514,"f",FALSE)</f>
        <v>63444</v>
      </c>
      <c r="W3514" s="225">
        <f>_xll.qlCalendarAdvance(Calendar,V3514,NDays&amp;"D")</f>
        <v>63446</v>
      </c>
      <c r="X3514" s="200">
        <v>2.4834161912536762E-2</v>
      </c>
      <c r="Y3514" s="209">
        <v>2.4677230762506497E-2</v>
      </c>
    </row>
    <row r="3515" spans="21:25" x14ac:dyDescent="0.2">
      <c r="U3515" s="213" t="str">
        <f t="shared" si="58"/>
        <v>1w</v>
      </c>
      <c r="V3515" s="201">
        <f>_xll.qlCalendarAdvance(Calendar,V3514,U3515,"f",FALSE)</f>
        <v>63451</v>
      </c>
      <c r="W3515" s="225">
        <f>_xll.qlCalendarAdvance(Calendar,V3515,NDays&amp;"D")</f>
        <v>63453</v>
      </c>
      <c r="X3515" s="200">
        <v>2.4834426002183708E-2</v>
      </c>
      <c r="Y3515" s="209">
        <v>2.4677630527847327E-2</v>
      </c>
    </row>
    <row r="3516" spans="21:25" x14ac:dyDescent="0.2">
      <c r="U3516" s="213" t="str">
        <f t="shared" si="58"/>
        <v>1w</v>
      </c>
      <c r="V3516" s="201">
        <f>_xll.qlCalendarAdvance(Calendar,V3515,U3516,"f",FALSE)</f>
        <v>63458</v>
      </c>
      <c r="W3516" s="225">
        <f>_xll.qlCalendarAdvance(Calendar,V3516,NDays&amp;"D")</f>
        <v>63460</v>
      </c>
      <c r="X3516" s="200">
        <v>2.4834679153238743E-2</v>
      </c>
      <c r="Y3516" s="209">
        <v>2.4678019488710845E-2</v>
      </c>
    </row>
    <row r="3517" spans="21:25" x14ac:dyDescent="0.2">
      <c r="U3517" s="213" t="str">
        <f t="shared" si="58"/>
        <v>1w</v>
      </c>
      <c r="V3517" s="201">
        <f>_xll.qlCalendarAdvance(Calendar,V3516,U3517,"f",FALSE)</f>
        <v>63465</v>
      </c>
      <c r="W3517" s="225">
        <f>_xll.qlCalendarAdvance(Calendar,V3517,NDays&amp;"D")</f>
        <v>63467</v>
      </c>
      <c r="X3517" s="200">
        <v>2.4835787978281038E-2</v>
      </c>
      <c r="Y3517" s="209">
        <v>2.467839764509705E-2</v>
      </c>
    </row>
    <row r="3518" spans="21:25" x14ac:dyDescent="0.2">
      <c r="U3518" s="213" t="str">
        <f t="shared" si="58"/>
        <v>1w</v>
      </c>
      <c r="V3518" s="201">
        <f>_xll.qlCalendarAdvance(Calendar,V3517,U3518,"f",FALSE)</f>
        <v>63472</v>
      </c>
      <c r="W3518" s="225">
        <f>_xll.qlCalendarAdvance(Calendar,V3518,NDays&amp;"D")</f>
        <v>63474</v>
      </c>
      <c r="X3518" s="200">
        <v>2.48360184866139E-2</v>
      </c>
      <c r="Y3518" s="209">
        <v>2.4678764997005942E-2</v>
      </c>
    </row>
    <row r="3519" spans="21:25" x14ac:dyDescent="0.2">
      <c r="U3519" s="213" t="str">
        <f t="shared" si="58"/>
        <v>1w</v>
      </c>
      <c r="V3519" s="201">
        <f>_xll.qlCalendarAdvance(Calendar,V3518,U3519,"f",FALSE)</f>
        <v>63479</v>
      </c>
      <c r="W3519" s="225">
        <f>_xll.qlCalendarAdvance(Calendar,V3519,NDays&amp;"D")</f>
        <v>63481</v>
      </c>
      <c r="X3519" s="200">
        <v>2.4836238055593599E-2</v>
      </c>
      <c r="Y3519" s="209">
        <v>2.4679121544517457E-2</v>
      </c>
    </row>
    <row r="3520" spans="21:25" x14ac:dyDescent="0.2">
      <c r="U3520" s="213" t="str">
        <f t="shared" si="58"/>
        <v>1w</v>
      </c>
      <c r="V3520" s="201">
        <f>_xll.qlCalendarAdvance(Calendar,V3519,U3520,"f",FALSE)</f>
        <v>63486</v>
      </c>
      <c r="W3520" s="225">
        <f>_xll.qlCalendarAdvance(Calendar,V3520,NDays&amp;"D")</f>
        <v>63488</v>
      </c>
      <c r="X3520" s="200">
        <v>2.4836446685214873E-2</v>
      </c>
      <c r="Y3520" s="209">
        <v>2.4679467287391788E-2</v>
      </c>
    </row>
    <row r="3521" spans="21:25" x14ac:dyDescent="0.2">
      <c r="U3521" s="213" t="str">
        <f t="shared" si="58"/>
        <v>1w</v>
      </c>
      <c r="V3521" s="201">
        <f>_xll.qlCalendarAdvance(Calendar,V3520,U3521,"f",FALSE)</f>
        <v>63493</v>
      </c>
      <c r="W3521" s="225">
        <f>_xll.qlCalendarAdvance(Calendar,V3521,NDays&amp;"D")</f>
        <v>63495</v>
      </c>
      <c r="X3521" s="200">
        <v>2.4835780829497469E-2</v>
      </c>
      <c r="Y3521" s="209">
        <v>2.4679802225948677E-2</v>
      </c>
    </row>
    <row r="3522" spans="21:25" x14ac:dyDescent="0.2">
      <c r="U3522" s="213" t="str">
        <f t="shared" si="58"/>
        <v>1w</v>
      </c>
      <c r="V3522" s="201">
        <f>_xll.qlCalendarAdvance(Calendar,V3521,U3522,"f",FALSE)</f>
        <v>63500</v>
      </c>
      <c r="W3522" s="225">
        <f>_xll.qlCalendarAdvance(Calendar,V3522,NDays&amp;"D")</f>
        <v>63502</v>
      </c>
      <c r="X3522" s="200">
        <v>2.4835968348920663E-2</v>
      </c>
      <c r="Y3522" s="209">
        <v>2.4680126359948318E-2</v>
      </c>
    </row>
    <row r="3523" spans="21:25" x14ac:dyDescent="0.2">
      <c r="U3523" s="213" t="str">
        <f t="shared" si="58"/>
        <v>1w</v>
      </c>
      <c r="V3523" s="201">
        <f>_xll.qlCalendarAdvance(Calendar,V3522,U3523,"f",FALSE)</f>
        <v>63507</v>
      </c>
      <c r="W3523" s="225">
        <f>_xll.qlCalendarAdvance(Calendar,V3523,NDays&amp;"D")</f>
        <v>63509</v>
      </c>
      <c r="X3523" s="200">
        <v>2.4836144929726332E-2</v>
      </c>
      <c r="Y3523" s="209">
        <v>2.4680439689550582E-2</v>
      </c>
    </row>
    <row r="3524" spans="21:25" x14ac:dyDescent="0.2">
      <c r="U3524" s="213" t="str">
        <f t="shared" si="58"/>
        <v>1w</v>
      </c>
      <c r="V3524" s="201">
        <f>_xll.qlCalendarAdvance(Calendar,V3523,U3524,"f",FALSE)</f>
        <v>63514</v>
      </c>
      <c r="W3524" s="225">
        <f>_xll.qlCalendarAdvance(Calendar,V3524,NDays&amp;"D")</f>
        <v>63516</v>
      </c>
      <c r="X3524" s="200">
        <v>2.4836310571912264E-2</v>
      </c>
      <c r="Y3524" s="209">
        <v>2.4680742214595597E-2</v>
      </c>
    </row>
    <row r="3525" spans="21:25" x14ac:dyDescent="0.2">
      <c r="U3525" s="213" t="str">
        <f t="shared" si="58"/>
        <v>1w</v>
      </c>
      <c r="V3525" s="201">
        <f>_xll.qlCalendarAdvance(Calendar,V3524,U3525,"f",FALSE)</f>
        <v>63521</v>
      </c>
      <c r="W3525" s="225">
        <f>_xll.qlCalendarAdvance(Calendar,V3525,NDays&amp;"D")</f>
        <v>63523</v>
      </c>
      <c r="X3525" s="200">
        <v>2.4837325742847711E-2</v>
      </c>
      <c r="Y3525" s="209">
        <v>2.4681033935403107E-2</v>
      </c>
    </row>
    <row r="3526" spans="21:25" x14ac:dyDescent="0.2">
      <c r="U3526" s="213" t="str">
        <f t="shared" si="58"/>
        <v>1w</v>
      </c>
      <c r="V3526" s="201">
        <f>_xll.qlCalendarAdvance(Calendar,V3525,U3526,"f",FALSE)</f>
        <v>63528</v>
      </c>
      <c r="W3526" s="225">
        <f>_xll.qlCalendarAdvance(Calendar,V3526,NDays&amp;"D")</f>
        <v>63530</v>
      </c>
      <c r="X3526" s="200" t="e">
        <v>#N/A</v>
      </c>
      <c r="Y3526" s="209">
        <v>2.4681314851493497E-2</v>
      </c>
    </row>
    <row r="3527" spans="21:25" x14ac:dyDescent="0.2">
      <c r="U3527" s="213" t="str">
        <f t="shared" si="58"/>
        <v>1w</v>
      </c>
      <c r="V3527" s="201">
        <f>_xll.qlCalendarAdvance(Calendar,V3526,U3527,"f",FALSE)</f>
        <v>63535</v>
      </c>
      <c r="W3527" s="225">
        <f>_xll.qlCalendarAdvance(Calendar,V3527,NDays&amp;"D")</f>
        <v>63537</v>
      </c>
      <c r="X3527" s="200" t="e">
        <v>#N/A</v>
      </c>
      <c r="Y3527" s="209">
        <v>2.4681584963186509E-2</v>
      </c>
    </row>
    <row r="3528" spans="21:25" x14ac:dyDescent="0.2">
      <c r="U3528" s="213" t="str">
        <f t="shared" si="58"/>
        <v>1w</v>
      </c>
      <c r="V3528" s="201">
        <f>_xll.qlCalendarAdvance(Calendar,V3527,U3528,"f",FALSE)</f>
        <v>63542</v>
      </c>
      <c r="W3528" s="225">
        <f>_xll.qlCalendarAdvance(Calendar,V3528,NDays&amp;"D")</f>
        <v>63544</v>
      </c>
      <c r="X3528" s="200" t="e">
        <v>#N/A</v>
      </c>
      <c r="Y3528" s="209">
        <v>2.4681844270402209E-2</v>
      </c>
    </row>
    <row r="3529" spans="21:25" x14ac:dyDescent="0.2">
      <c r="U3529" s="213" t="str">
        <f t="shared" si="58"/>
        <v>1w</v>
      </c>
      <c r="V3529" s="201">
        <f>_xll.qlCalendarAdvance(Calendar,V3528,U3529,"f",FALSE)</f>
        <v>63550</v>
      </c>
      <c r="W3529" s="225">
        <f>_xll.qlCalendarAdvance(Calendar,V3529,NDays&amp;"D")</f>
        <v>63552</v>
      </c>
      <c r="X3529" s="200" t="e">
        <v>#N/A</v>
      </c>
      <c r="Y3529" s="209">
        <v>2.4684717258789401E-2</v>
      </c>
    </row>
    <row r="3530" spans="21:25" x14ac:dyDescent="0.2">
      <c r="U3530" s="213" t="str">
        <f t="shared" si="58"/>
        <v>1w</v>
      </c>
      <c r="V3530" s="201">
        <f>_xll.qlCalendarAdvance(Calendar,V3529,U3530,"f",FALSE)</f>
        <v>63557</v>
      </c>
      <c r="W3530" s="225">
        <f>_xll.qlCalendarAdvance(Calendar,V3530,NDays&amp;"D")</f>
        <v>63559</v>
      </c>
      <c r="X3530" s="200" t="e">
        <v>#N/A</v>
      </c>
      <c r="Y3530" s="209">
        <v>2.4684088645727797E-2</v>
      </c>
    </row>
    <row r="3531" spans="21:25" x14ac:dyDescent="0.2">
      <c r="U3531" s="213" t="str">
        <f t="shared" si="58"/>
        <v>1w</v>
      </c>
      <c r="V3531" s="201">
        <f>_xll.qlCalendarAdvance(Calendar,V3530,U3531,"f",FALSE)</f>
        <v>63564</v>
      </c>
      <c r="W3531" s="225">
        <f>_xll.qlCalendarAdvance(Calendar,V3531,NDays&amp;"D")</f>
        <v>63566</v>
      </c>
      <c r="X3531" s="200" t="e">
        <v>#N/A</v>
      </c>
      <c r="Y3531" s="209">
        <v>2.4684312483236326E-2</v>
      </c>
    </row>
    <row r="3532" spans="21:25" x14ac:dyDescent="0.2">
      <c r="U3532" s="213" t="str">
        <f t="shared" si="58"/>
        <v>1w</v>
      </c>
      <c r="V3532" s="201">
        <f>_xll.qlCalendarAdvance(Calendar,V3531,U3532,"f",FALSE)</f>
        <v>63571</v>
      </c>
      <c r="W3532" s="225">
        <f>_xll.qlCalendarAdvance(Calendar,V3532,NDays&amp;"D")</f>
        <v>63573</v>
      </c>
      <c r="X3532" s="200" t="e">
        <v>#N/A</v>
      </c>
      <c r="Y3532" s="209">
        <v>2.4684525514828692E-2</v>
      </c>
    </row>
    <row r="3533" spans="21:25" x14ac:dyDescent="0.2">
      <c r="U3533" s="213" t="str">
        <f t="shared" si="58"/>
        <v>1w</v>
      </c>
      <c r="V3533" s="201">
        <f>_xll.qlCalendarAdvance(Calendar,V3532,U3533,"f",FALSE)</f>
        <v>63578</v>
      </c>
      <c r="W3533" s="225">
        <f>_xll.qlCalendarAdvance(Calendar,V3533,NDays&amp;"D")</f>
        <v>63580</v>
      </c>
      <c r="X3533" s="200" t="e">
        <v>#N/A</v>
      </c>
      <c r="Y3533" s="209">
        <v>2.4684727740478252E-2</v>
      </c>
    </row>
    <row r="3534" spans="21:25" x14ac:dyDescent="0.2">
      <c r="U3534" s="213" t="str">
        <f t="shared" si="58"/>
        <v>1w</v>
      </c>
      <c r="V3534" s="201">
        <f>_xll.qlCalendarAdvance(Calendar,V3533,U3534,"f",FALSE)</f>
        <v>63585</v>
      </c>
      <c r="W3534" s="225">
        <f>_xll.qlCalendarAdvance(Calendar,V3534,NDays&amp;"D")</f>
        <v>63587</v>
      </c>
      <c r="X3534" s="200" t="e">
        <v>#N/A</v>
      </c>
      <c r="Y3534" s="209">
        <v>2.4684919160131713E-2</v>
      </c>
    </row>
    <row r="3535" spans="21:25" x14ac:dyDescent="0.2">
      <c r="U3535" s="213" t="str">
        <f t="shared" si="58"/>
        <v>1w</v>
      </c>
      <c r="V3535" s="201">
        <f>_xll.qlCalendarAdvance(Calendar,V3534,U3535,"f",FALSE)</f>
        <v>63592</v>
      </c>
      <c r="W3535" s="225">
        <f>_xll.qlCalendarAdvance(Calendar,V3535,NDays&amp;"D")</f>
        <v>63594</v>
      </c>
      <c r="X3535" s="200" t="e">
        <v>#N/A</v>
      </c>
      <c r="Y3535" s="209">
        <v>2.4685099773869013E-2</v>
      </c>
    </row>
    <row r="3536" spans="21:25" x14ac:dyDescent="0.2">
      <c r="U3536" s="213" t="str">
        <f t="shared" si="58"/>
        <v>1w</v>
      </c>
      <c r="V3536" s="201">
        <f>_xll.qlCalendarAdvance(Calendar,V3535,U3536,"f",FALSE)</f>
        <v>63599</v>
      </c>
      <c r="W3536" s="225">
        <f>_xll.qlCalendarAdvance(Calendar,V3536,NDays&amp;"D")</f>
        <v>63601</v>
      </c>
      <c r="X3536" s="200" t="e">
        <v>#N/A</v>
      </c>
      <c r="Y3536" s="209">
        <v>2.4685269581716796E-2</v>
      </c>
    </row>
    <row r="3537" spans="2:25" x14ac:dyDescent="0.2">
      <c r="U3537" s="213" t="str">
        <f t="shared" si="58"/>
        <v>1w</v>
      </c>
      <c r="V3537" s="201">
        <f>_xll.qlCalendarAdvance(Calendar,V3536,U3537,"f",FALSE)</f>
        <v>63606</v>
      </c>
      <c r="W3537" s="225">
        <f>_xll.qlCalendarAdvance(Calendar,V3537,NDays&amp;"D")</f>
        <v>63608</v>
      </c>
      <c r="X3537" s="200" t="e">
        <v>#N/A</v>
      </c>
      <c r="Y3537" s="209">
        <v>2.468542858351519E-2</v>
      </c>
    </row>
    <row r="3538" spans="2:25" x14ac:dyDescent="0.2">
      <c r="U3538" s="213" t="str">
        <f t="shared" si="58"/>
        <v>1w</v>
      </c>
      <c r="V3538" s="201">
        <f>_xll.qlCalendarAdvance(Calendar,V3537,U3538,"f",FALSE)</f>
        <v>63613</v>
      </c>
      <c r="W3538" s="225">
        <f>_xll.qlCalendarAdvance(Calendar,V3538,NDays&amp;"D")</f>
        <v>63615</v>
      </c>
      <c r="X3538" s="200" t="e">
        <v>#N/A</v>
      </c>
      <c r="Y3538" s="209">
        <v>2.4685576779424068E-2</v>
      </c>
    </row>
    <row r="3539" spans="2:25" x14ac:dyDescent="0.2">
      <c r="U3539" s="213" t="str">
        <f t="shared" si="58"/>
        <v>1w</v>
      </c>
      <c r="V3539" s="201">
        <f>_xll.qlCalendarAdvance(Calendar,V3538,U3539,"f",FALSE)</f>
        <v>63620</v>
      </c>
      <c r="W3539" s="225">
        <f>_xll.qlCalendarAdvance(Calendar,V3539,NDays&amp;"D")</f>
        <v>63622</v>
      </c>
      <c r="X3539" s="200" t="e">
        <v>#N/A</v>
      </c>
      <c r="Y3539" s="209">
        <v>2.4685714169310202E-2</v>
      </c>
    </row>
    <row r="3540" spans="2:25" x14ac:dyDescent="0.2">
      <c r="B3540" s="201"/>
      <c r="C3540" s="225"/>
      <c r="D3540" s="200"/>
      <c r="E3540" s="200"/>
      <c r="U3540" s="213" t="str">
        <f t="shared" si="58"/>
        <v>1w</v>
      </c>
      <c r="V3540" s="201">
        <f>_xll.qlCalendarAdvance(Calendar,V3539,U3540,"f",FALSE)</f>
        <v>63627</v>
      </c>
      <c r="W3540" s="225">
        <f>_xll.qlCalendarAdvance(Calendar,V3540,NDays&amp;"D")</f>
        <v>63629</v>
      </c>
      <c r="X3540" s="200" t="e">
        <v>#N/A</v>
      </c>
      <c r="Y3540" s="209">
        <v>2.4685840753333466E-2</v>
      </c>
    </row>
    <row r="3541" spans="2:25" x14ac:dyDescent="0.2">
      <c r="B3541" s="201"/>
      <c r="C3541" s="225"/>
      <c r="D3541" s="200"/>
      <c r="E3541" s="200"/>
      <c r="U3541" s="213" t="str">
        <f t="shared" ref="U3541:U3552" si="59">U3540</f>
        <v>1w</v>
      </c>
      <c r="V3541" s="201">
        <f>_xll.qlCalendarAdvance(Calendar,V3540,U3541,"f",FALSE)</f>
        <v>63634</v>
      </c>
      <c r="W3541" s="225">
        <f>_xll.qlCalendarAdvance(Calendar,V3541,NDays&amp;"D")</f>
        <v>63636</v>
      </c>
      <c r="X3541" s="200" t="e">
        <v>#N/A</v>
      </c>
      <c r="Y3541" s="209">
        <v>2.4685956531360631E-2</v>
      </c>
    </row>
    <row r="3542" spans="2:25" x14ac:dyDescent="0.2">
      <c r="B3542" s="201"/>
      <c r="C3542" s="225"/>
      <c r="D3542" s="200"/>
      <c r="E3542" s="200"/>
      <c r="U3542" s="213" t="str">
        <f t="shared" si="59"/>
        <v>1w</v>
      </c>
      <c r="V3542" s="201">
        <f>_xll.qlCalendarAdvance(Calendar,V3541,U3542,"f",FALSE)</f>
        <v>63641</v>
      </c>
      <c r="W3542" s="225">
        <f>_xll.qlCalendarAdvance(Calendar,V3542,NDays&amp;"D")</f>
        <v>63643</v>
      </c>
      <c r="X3542" s="200" t="e">
        <v>#N/A</v>
      </c>
      <c r="Y3542" s="209">
        <v>2.4686061503471635E-2</v>
      </c>
    </row>
    <row r="3543" spans="2:25" x14ac:dyDescent="0.2">
      <c r="B3543" s="201"/>
      <c r="C3543" s="225"/>
      <c r="D3543" s="200"/>
      <c r="E3543" s="200"/>
      <c r="U3543" s="213" t="str">
        <f t="shared" si="59"/>
        <v>1w</v>
      </c>
      <c r="V3543" s="201">
        <f>_xll.qlCalendarAdvance(Calendar,V3542,U3543,"f",FALSE)</f>
        <v>63648</v>
      </c>
      <c r="W3543" s="225">
        <f>_xll.qlCalendarAdvance(Calendar,V3543,NDays&amp;"D")</f>
        <v>63650</v>
      </c>
      <c r="X3543" s="200" t="e">
        <v>#N/A</v>
      </c>
      <c r="Y3543" s="209">
        <v>2.468615566958654E-2</v>
      </c>
    </row>
    <row r="3544" spans="2:25" x14ac:dyDescent="0.2">
      <c r="B3544" s="201"/>
      <c r="C3544" s="225"/>
      <c r="D3544" s="200"/>
      <c r="E3544" s="200"/>
      <c r="U3544" s="213" t="str">
        <f t="shared" si="59"/>
        <v>1w</v>
      </c>
      <c r="V3544" s="201">
        <f>_xll.qlCalendarAdvance(Calendar,V3543,U3544,"f",FALSE)</f>
        <v>63655</v>
      </c>
      <c r="W3544" s="225">
        <f>_xll.qlCalendarAdvance(Calendar,V3544,NDays&amp;"D")</f>
        <v>63661</v>
      </c>
      <c r="X3544" s="200" t="e">
        <v>#N/A</v>
      </c>
      <c r="Y3544" s="209">
        <v>2.4684578903482191E-2</v>
      </c>
    </row>
    <row r="3545" spans="2:25" x14ac:dyDescent="0.2">
      <c r="B3545" s="201"/>
      <c r="C3545" s="225"/>
      <c r="D3545" s="200"/>
      <c r="E3545" s="200"/>
      <c r="U3545" s="213" t="str">
        <f t="shared" si="59"/>
        <v>1w</v>
      </c>
      <c r="V3545" s="201">
        <f>_xll.qlCalendarAdvance(Calendar,V3544,U3545,"f",FALSE)</f>
        <v>63662</v>
      </c>
      <c r="W3545" s="225">
        <f>_xll.qlCalendarAdvance(Calendar,V3545,NDays&amp;"D")</f>
        <v>63664</v>
      </c>
      <c r="X3545" s="200" t="e">
        <v>#N/A</v>
      </c>
      <c r="Y3545" s="209">
        <v>2.4686311584041221E-2</v>
      </c>
    </row>
    <row r="3546" spans="2:25" x14ac:dyDescent="0.2">
      <c r="B3546" s="201"/>
      <c r="C3546" s="225"/>
      <c r="D3546" s="200"/>
      <c r="E3546" s="200"/>
      <c r="U3546" s="213" t="str">
        <f t="shared" si="59"/>
        <v>1w</v>
      </c>
      <c r="V3546" s="201">
        <f>_xll.qlCalendarAdvance(Calendar,V3545,U3546,"f",FALSE)</f>
        <v>63669</v>
      </c>
      <c r="W3546" s="225">
        <f>_xll.qlCalendarAdvance(Calendar,V3546,NDays&amp;"D")</f>
        <v>63671</v>
      </c>
      <c r="X3546" s="200" t="e">
        <v>#N/A</v>
      </c>
      <c r="Y3546" s="209">
        <v>2.4686373332274414E-2</v>
      </c>
    </row>
    <row r="3547" spans="2:25" x14ac:dyDescent="0.2">
      <c r="B3547" s="201"/>
      <c r="C3547" s="225"/>
      <c r="D3547" s="200"/>
      <c r="E3547" s="200"/>
      <c r="U3547" s="213" t="str">
        <f t="shared" si="59"/>
        <v>1w</v>
      </c>
      <c r="V3547" s="201">
        <f>_xll.qlCalendarAdvance(Calendar,V3546,U3547,"f",FALSE)</f>
        <v>63676</v>
      </c>
      <c r="W3547" s="225">
        <f>_xll.qlCalendarAdvance(Calendar,V3547,NDays&amp;"D")</f>
        <v>63678</v>
      </c>
      <c r="X3547" s="200" t="e">
        <v>#N/A</v>
      </c>
      <c r="Y3547" s="209">
        <v>2.4686424274644736E-2</v>
      </c>
    </row>
    <row r="3548" spans="2:25" x14ac:dyDescent="0.2">
      <c r="B3548" s="201"/>
      <c r="C3548" s="225"/>
      <c r="D3548" s="200"/>
      <c r="E3548" s="200"/>
      <c r="U3548" s="213" t="str">
        <f t="shared" si="59"/>
        <v>1w</v>
      </c>
      <c r="V3548" s="201">
        <f>_xll.qlCalendarAdvance(Calendar,V3547,U3548,"f",FALSE)</f>
        <v>63683</v>
      </c>
      <c r="W3548" s="225">
        <f>_xll.qlCalendarAdvance(Calendar,V3548,NDays&amp;"D")</f>
        <v>63685</v>
      </c>
      <c r="X3548" s="200" t="e">
        <v>#N/A</v>
      </c>
      <c r="Y3548" s="209">
        <v>2.468646441101896E-2</v>
      </c>
    </row>
    <row r="3549" spans="2:25" x14ac:dyDescent="0.2">
      <c r="B3549" s="201"/>
      <c r="C3549" s="225"/>
      <c r="D3549" s="200"/>
      <c r="E3549" s="200"/>
      <c r="U3549" s="213" t="str">
        <f t="shared" si="59"/>
        <v>1w</v>
      </c>
      <c r="V3549" s="201">
        <f>_xll.qlCalendarAdvance(Calendar,V3548,U3549,"f",FALSE)</f>
        <v>63690</v>
      </c>
      <c r="W3549" s="225">
        <f>_xll.qlCalendarAdvance(Calendar,V3549,NDays&amp;"D")</f>
        <v>63692</v>
      </c>
      <c r="X3549" s="200" t="e">
        <v>#N/A</v>
      </c>
      <c r="Y3549" s="209">
        <v>2.4686493741477022E-2</v>
      </c>
    </row>
    <row r="3550" spans="2:25" x14ac:dyDescent="0.2">
      <c r="B3550" s="201"/>
      <c r="C3550" s="225"/>
      <c r="D3550" s="200"/>
      <c r="E3550" s="200"/>
      <c r="U3550" s="213" t="str">
        <f t="shared" si="59"/>
        <v>1w</v>
      </c>
      <c r="V3550" s="201">
        <f>_xll.qlCalendarAdvance(Calendar,V3549,U3550,"f",FALSE)</f>
        <v>63697</v>
      </c>
      <c r="W3550" s="225">
        <f>_xll.qlCalendarAdvance(Calendar,V3550,NDays&amp;"D")</f>
        <v>63699</v>
      </c>
      <c r="X3550" s="200" t="e">
        <v>#N/A</v>
      </c>
      <c r="Y3550" s="209">
        <v>2.4686512265938987E-2</v>
      </c>
    </row>
    <row r="3551" spans="2:25" x14ac:dyDescent="0.2">
      <c r="B3551" s="201"/>
      <c r="C3551" s="225"/>
      <c r="D3551" s="200"/>
      <c r="E3551" s="200"/>
      <c r="U3551" s="213" t="str">
        <f t="shared" si="59"/>
        <v>1w</v>
      </c>
      <c r="V3551" s="201">
        <f>_xll.qlCalendarAdvance(Calendar,V3550,U3551,"f",FALSE)</f>
        <v>63704</v>
      </c>
      <c r="W3551" s="225">
        <f>_xll.qlCalendarAdvance(Calendar,V3551,NDays&amp;"D")</f>
        <v>63706</v>
      </c>
      <c r="X3551" s="200" t="e">
        <v>#N/A</v>
      </c>
      <c r="Y3551" s="209">
        <v>2.4686519984484789E-2</v>
      </c>
    </row>
    <row r="3552" spans="2:25" ht="12" thickBot="1" x14ac:dyDescent="0.25">
      <c r="B3552" s="201"/>
      <c r="C3552" s="225"/>
      <c r="D3552" s="200"/>
      <c r="E3552" s="200"/>
      <c r="U3552" s="214" t="str">
        <f t="shared" si="59"/>
        <v>1w</v>
      </c>
      <c r="V3552" s="211">
        <f>_xll.qlCalendarAdvance(Calendar,V3551,U3552,"f",FALSE)</f>
        <v>63711</v>
      </c>
      <c r="W3552" s="237">
        <f>_xll.qlCalendarAdvance(Calendar,V3552,NDays&amp;"D")</f>
        <v>63713</v>
      </c>
      <c r="X3552" s="227" t="e">
        <v>#N/A</v>
      </c>
      <c r="Y3552" s="212" t="e">
        <v>#N/A</v>
      </c>
    </row>
    <row r="3553" spans="2:21" x14ac:dyDescent="0.2">
      <c r="B3553" s="201"/>
      <c r="C3553" s="225"/>
      <c r="D3553" s="200"/>
      <c r="E3553" s="200"/>
      <c r="U3553" s="202"/>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Refresh">
              <controlPr defaultSize="0" print="0" autoFill="0" autoPict="0" macro="[0]!refresh">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53</vt:i4>
      </vt:variant>
    </vt:vector>
  </HeadingPairs>
  <TitlesOfParts>
    <vt:vector size="60" baseType="lpstr">
      <vt:lpstr>General Settings</vt:lpstr>
      <vt:lpstr>RateHelpers</vt:lpstr>
      <vt:lpstr>Selected</vt:lpstr>
      <vt:lpstr>6M_Deposits</vt:lpstr>
      <vt:lpstr>6M_FRAs</vt:lpstr>
      <vt:lpstr>6M_Swaps</vt:lpstr>
      <vt:lpstr>Monitor</vt:lpstr>
      <vt:lpstr>Accuracy</vt:lpstr>
      <vt:lpstr>BondBasisDayCounter</vt:lpstr>
      <vt:lpstr>Calendar</vt:lpstr>
      <vt:lpstr>Check</vt:lpstr>
      <vt:lpstr>'6M_Swaps'!Conventions</vt:lpstr>
      <vt:lpstr>Currency</vt:lpstr>
      <vt:lpstr>DataTable</vt:lpstr>
      <vt:lpstr>DayCounter</vt:lpstr>
      <vt:lpstr>DepoInclusionCriteria</vt:lpstr>
      <vt:lpstr>Discounting</vt:lpstr>
      <vt:lpstr>'6M_Swaps'!DiscountingCurve</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2014-05-30T10:32:33Z</dcterms:modified>
</cp:coreProperties>
</file>
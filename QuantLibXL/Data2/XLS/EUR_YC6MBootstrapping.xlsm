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8975" yWindow="-15"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Monitor" sheetId="12" r:id="rId8"/>
  </sheets>
  <externalReferences>
    <externalReference r:id="rId9"/>
  </externalReferences>
  <definedNames>
    <definedName name="_xlnm._FilterDatabase" localSheetId="7" hidden="1">Monitor!$B$11:$F$3553</definedName>
    <definedName name="_xlnm._FilterDatabase" localSheetId="1" hidden="1">RateHelpers!$A$1:$L$66</definedName>
    <definedName name="Accuracy">'General Settings'!$D$23</definedName>
    <definedName name="BondBasisDayCounter">'General Settings'!$M$13</definedName>
    <definedName name="Calendar">'General Settings'!$D$18</definedName>
    <definedName name="Check">Monitor!$J$49</definedName>
    <definedName name="Conventions" localSheetId="6">ForwardSwaps!#REF!</definedName>
    <definedName name="Conventions" localSheetId="5">Swaps!$O$6:$Q$10</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Monitor!$AA$16</definedName>
    <definedName name="IborType">'General Settings'!$D$7</definedName>
    <definedName name="IndexTenor">'General Settings'!$D$6</definedName>
    <definedName name="InterpolatorID">'General Settings'!$D$25</definedName>
    <definedName name="MinDistance">RateHelpers!$H$2:$H$390</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V78" i="12" l="1" a="1"/>
  <c r="D329" i="13"/>
  <c r="I329" i="13" s="1"/>
  <c r="D328" i="13"/>
  <c r="I328" i="13" s="1"/>
  <c r="D327" i="13"/>
  <c r="I327" i="13" s="1"/>
  <c r="D326" i="13"/>
  <c r="I326" i="13" s="1"/>
  <c r="D325" i="13"/>
  <c r="I325" i="13" s="1"/>
  <c r="D324" i="13"/>
  <c r="I324" i="13" s="1"/>
  <c r="D323" i="13"/>
  <c r="I323" i="13" s="1"/>
  <c r="D322" i="13"/>
  <c r="I322" i="13" s="1"/>
  <c r="D321" i="13"/>
  <c r="I321" i="13" s="1"/>
  <c r="D320" i="13"/>
  <c r="I320" i="13" s="1"/>
  <c r="D319" i="13"/>
  <c r="I319" i="13" s="1"/>
  <c r="D318" i="13"/>
  <c r="I318" i="13" s="1"/>
  <c r="D317" i="13"/>
  <c r="I317" i="13" s="1"/>
  <c r="D316" i="13"/>
  <c r="I316" i="13" s="1"/>
  <c r="D315" i="13"/>
  <c r="I315" i="13" s="1"/>
  <c r="D314" i="13"/>
  <c r="I314" i="13" s="1"/>
  <c r="D313" i="13"/>
  <c r="I313" i="13" s="1"/>
  <c r="D312" i="13"/>
  <c r="I312" i="13" s="1"/>
  <c r="D311" i="13"/>
  <c r="I311" i="13" s="1"/>
  <c r="D310" i="13"/>
  <c r="I310" i="13" s="1"/>
  <c r="D309" i="13"/>
  <c r="I309" i="13" s="1"/>
  <c r="D308" i="13"/>
  <c r="I308" i="13" s="1"/>
  <c r="D307" i="13"/>
  <c r="I307" i="13" s="1"/>
  <c r="D306" i="13"/>
  <c r="I306" i="13" s="1"/>
  <c r="D305" i="13"/>
  <c r="I305" i="13" s="1"/>
  <c r="D304" i="13"/>
  <c r="I304" i="13" s="1"/>
  <c r="D303" i="13"/>
  <c r="I303" i="13" s="1"/>
  <c r="D302" i="13"/>
  <c r="I302" i="13" s="1"/>
  <c r="D301" i="13"/>
  <c r="I301" i="13" s="1"/>
  <c r="D300" i="13"/>
  <c r="I300" i="13" s="1"/>
  <c r="D299" i="13"/>
  <c r="I299" i="13" s="1"/>
  <c r="D298" i="13"/>
  <c r="I298" i="13" s="1"/>
  <c r="D297" i="13"/>
  <c r="I297" i="13" s="1"/>
  <c r="D296" i="13"/>
  <c r="I296" i="13" s="1"/>
  <c r="D295" i="13"/>
  <c r="I295" i="13" s="1"/>
  <c r="D294" i="13"/>
  <c r="I294" i="13" s="1"/>
  <c r="D293" i="13"/>
  <c r="I293" i="13" s="1"/>
  <c r="D292" i="13"/>
  <c r="I292" i="13" s="1"/>
  <c r="D291" i="13"/>
  <c r="I291" i="13" s="1"/>
  <c r="D290" i="13"/>
  <c r="I290" i="13" s="1"/>
  <c r="D289" i="13"/>
  <c r="I289" i="13" s="1"/>
  <c r="D288" i="13"/>
  <c r="I288" i="13" s="1"/>
  <c r="D287" i="13"/>
  <c r="I287" i="13" s="1"/>
  <c r="D286" i="13"/>
  <c r="I286" i="13" s="1"/>
  <c r="D285" i="13"/>
  <c r="I285" i="13" s="1"/>
  <c r="D284" i="13"/>
  <c r="I284" i="13" s="1"/>
  <c r="D283" i="13"/>
  <c r="I283" i="13" s="1"/>
  <c r="D282" i="13"/>
  <c r="I282" i="13" s="1"/>
  <c r="D281" i="13"/>
  <c r="I281" i="13" s="1"/>
  <c r="D280" i="13"/>
  <c r="I280" i="13" s="1"/>
  <c r="D279" i="13"/>
  <c r="I279" i="13" s="1"/>
  <c r="D278" i="13"/>
  <c r="I278" i="13" s="1"/>
  <c r="D277" i="13"/>
  <c r="I277" i="13" s="1"/>
  <c r="D276" i="13"/>
  <c r="I276" i="13" s="1"/>
  <c r="D275" i="13"/>
  <c r="I275" i="13" s="1"/>
  <c r="D274" i="13"/>
  <c r="I274" i="13" s="1"/>
  <c r="D273" i="13"/>
  <c r="I273" i="13" s="1"/>
  <c r="D272" i="13"/>
  <c r="I272" i="13" s="1"/>
  <c r="D271" i="13"/>
  <c r="I271" i="13" s="1"/>
  <c r="D270" i="13"/>
  <c r="I270" i="13" s="1"/>
  <c r="D269" i="13"/>
  <c r="I269" i="13" s="1"/>
  <c r="D268" i="13"/>
  <c r="I268" i="13" s="1"/>
  <c r="D267" i="13"/>
  <c r="I267" i="13" s="1"/>
  <c r="D266" i="13"/>
  <c r="I266" i="13" s="1"/>
  <c r="D265" i="13"/>
  <c r="I265" i="13" s="1"/>
  <c r="D264" i="13"/>
  <c r="I264" i="13" s="1"/>
  <c r="D263" i="13"/>
  <c r="I263" i="13" s="1"/>
  <c r="D262" i="13"/>
  <c r="I262" i="13" s="1"/>
  <c r="D261" i="13"/>
  <c r="I261" i="13" s="1"/>
  <c r="D260" i="13"/>
  <c r="I260" i="13" s="1"/>
  <c r="D259" i="13"/>
  <c r="I259" i="13" s="1"/>
  <c r="D258" i="13"/>
  <c r="I258" i="13" s="1"/>
  <c r="D257" i="13"/>
  <c r="I257" i="13" s="1"/>
  <c r="D256" i="13"/>
  <c r="I256" i="13" s="1"/>
  <c r="D255" i="13"/>
  <c r="I255" i="13" s="1"/>
  <c r="D254" i="13"/>
  <c r="I254" i="13" s="1"/>
  <c r="D253" i="13"/>
  <c r="I253" i="13" s="1"/>
  <c r="D252" i="13"/>
  <c r="I252" i="13" s="1"/>
  <c r="D251" i="13"/>
  <c r="I251" i="13" s="1"/>
  <c r="D250" i="13"/>
  <c r="I250" i="13" s="1"/>
  <c r="D249" i="13"/>
  <c r="I249" i="13" s="1"/>
  <c r="D248" i="13"/>
  <c r="I248" i="13" s="1"/>
  <c r="D247" i="13"/>
  <c r="I247" i="13" s="1"/>
  <c r="D246" i="13"/>
  <c r="I246" i="13" s="1"/>
  <c r="D245" i="13"/>
  <c r="I245" i="13" s="1"/>
  <c r="D244" i="13"/>
  <c r="I244" i="13" s="1"/>
  <c r="D243" i="13"/>
  <c r="I243" i="13" s="1"/>
  <c r="D242" i="13"/>
  <c r="I242" i="13" s="1"/>
  <c r="D241" i="13"/>
  <c r="I241" i="13" s="1"/>
  <c r="D240" i="13"/>
  <c r="I240" i="13" s="1"/>
  <c r="D239" i="13"/>
  <c r="I239" i="13" s="1"/>
  <c r="D238" i="13"/>
  <c r="I238" i="13" s="1"/>
  <c r="D237" i="13"/>
  <c r="I237" i="13" s="1"/>
  <c r="D236" i="13"/>
  <c r="I236" i="13" s="1"/>
  <c r="D235" i="13"/>
  <c r="I235" i="13" s="1"/>
  <c r="D234" i="13"/>
  <c r="I234" i="13" s="1"/>
  <c r="D233" i="13"/>
  <c r="I233" i="13" s="1"/>
  <c r="D232" i="13"/>
  <c r="I232" i="13" s="1"/>
  <c r="D231" i="13"/>
  <c r="I231" i="13" s="1"/>
  <c r="D230" i="13"/>
  <c r="I230" i="13" s="1"/>
  <c r="D229" i="13"/>
  <c r="I229" i="13" s="1"/>
  <c r="D228" i="13"/>
  <c r="I228" i="13" s="1"/>
  <c r="D227" i="13"/>
  <c r="I227" i="13" s="1"/>
  <c r="D226" i="13"/>
  <c r="I226" i="13" s="1"/>
  <c r="D225" i="13"/>
  <c r="I225" i="13" s="1"/>
  <c r="D224" i="13"/>
  <c r="I224" i="13" s="1"/>
  <c r="D223" i="13"/>
  <c r="I223" i="13" s="1"/>
  <c r="D222" i="13"/>
  <c r="I222" i="13" s="1"/>
  <c r="D221" i="13"/>
  <c r="I221" i="13" s="1"/>
  <c r="D220" i="13"/>
  <c r="I220" i="13" s="1"/>
  <c r="D219" i="13"/>
  <c r="I219" i="13" s="1"/>
  <c r="D218" i="13"/>
  <c r="I218" i="13" s="1"/>
  <c r="D217" i="13"/>
  <c r="I217" i="13" s="1"/>
  <c r="D216" i="13"/>
  <c r="I216" i="13" s="1"/>
  <c r="D215" i="13"/>
  <c r="I215" i="13" s="1"/>
  <c r="D214" i="13"/>
  <c r="I214" i="13" s="1"/>
  <c r="D213" i="13"/>
  <c r="I213" i="13" s="1"/>
  <c r="D212" i="13"/>
  <c r="I212" i="13" s="1"/>
  <c r="D211" i="13"/>
  <c r="I211" i="13" s="1"/>
  <c r="D210" i="13"/>
  <c r="I210" i="13" s="1"/>
  <c r="D209" i="13"/>
  <c r="I209" i="13" s="1"/>
  <c r="D208" i="13"/>
  <c r="I208" i="13" s="1"/>
  <c r="D207" i="13"/>
  <c r="I207" i="13" s="1"/>
  <c r="D206" i="13"/>
  <c r="I206" i="13" s="1"/>
  <c r="D205" i="13"/>
  <c r="I205" i="13" s="1"/>
  <c r="D204" i="13"/>
  <c r="I204" i="13" s="1"/>
  <c r="D203" i="13"/>
  <c r="I203" i="13" s="1"/>
  <c r="D202" i="13"/>
  <c r="I202" i="13" s="1"/>
  <c r="D201" i="13"/>
  <c r="I201" i="13" s="1"/>
  <c r="D200" i="13"/>
  <c r="I200" i="13" s="1"/>
  <c r="D199" i="13"/>
  <c r="I199" i="13" s="1"/>
  <c r="D198" i="13"/>
  <c r="I198" i="13" s="1"/>
  <c r="D197" i="13"/>
  <c r="I197" i="13" s="1"/>
  <c r="D196" i="13"/>
  <c r="I196" i="13" s="1"/>
  <c r="D195" i="13"/>
  <c r="I195" i="13" s="1"/>
  <c r="D194" i="13"/>
  <c r="I194" i="13" s="1"/>
  <c r="D193" i="13"/>
  <c r="I193" i="13" s="1"/>
  <c r="D192" i="13"/>
  <c r="I192" i="13" s="1"/>
  <c r="D191" i="13"/>
  <c r="I191" i="13" s="1"/>
  <c r="D190" i="13"/>
  <c r="I190" i="13" s="1"/>
  <c r="D189" i="13"/>
  <c r="I189" i="13" s="1"/>
  <c r="D188" i="13"/>
  <c r="I188" i="13" s="1"/>
  <c r="D187" i="13"/>
  <c r="I187" i="13" s="1"/>
  <c r="D186" i="13"/>
  <c r="I186" i="13" s="1"/>
  <c r="D185" i="13"/>
  <c r="D184" i="13"/>
  <c r="D183" i="13"/>
  <c r="D182" i="13"/>
  <c r="D181" i="13"/>
  <c r="I181" i="13" s="1"/>
  <c r="D180" i="13"/>
  <c r="I180" i="13" s="1"/>
  <c r="D179" i="13"/>
  <c r="I179" i="13" s="1"/>
  <c r="D178" i="13"/>
  <c r="I178" i="13" s="1"/>
  <c r="D177" i="13"/>
  <c r="D176" i="13"/>
  <c r="I176" i="13" s="1"/>
  <c r="D175" i="13"/>
  <c r="D174" i="13"/>
  <c r="I174" i="13" s="1"/>
  <c r="D173" i="13"/>
  <c r="D172" i="13"/>
  <c r="D171" i="13"/>
  <c r="I171" i="13" s="1"/>
  <c r="D170" i="13"/>
  <c r="I170" i="13" s="1"/>
  <c r="D169" i="13"/>
  <c r="I169" i="13" s="1"/>
  <c r="D168" i="13"/>
  <c r="I168" i="13" s="1"/>
  <c r="I185" i="13"/>
  <c r="I184" i="13"/>
  <c r="I183" i="13"/>
  <c r="I182" i="13"/>
  <c r="I177" i="13"/>
  <c r="I175" i="13"/>
  <c r="I173" i="13"/>
  <c r="I172" i="13"/>
  <c r="D167" i="13"/>
  <c r="I167" i="13" s="1"/>
  <c r="D166" i="13"/>
  <c r="I166" i="13" s="1"/>
  <c r="D165" i="13"/>
  <c r="I165" i="13" s="1"/>
  <c r="D164" i="13"/>
  <c r="I164" i="13" s="1"/>
  <c r="D163" i="13"/>
  <c r="I163" i="13" s="1"/>
  <c r="I162" i="13"/>
  <c r="D162" i="13"/>
  <c r="D161" i="13"/>
  <c r="I161" i="13" s="1"/>
  <c r="D160" i="13"/>
  <c r="I160" i="13" s="1"/>
  <c r="D159" i="13"/>
  <c r="I159" i="13" s="1"/>
  <c r="D158" i="13"/>
  <c r="I158" i="13" s="1"/>
  <c r="D157" i="13"/>
  <c r="I157" i="13" s="1"/>
  <c r="D156" i="13"/>
  <c r="I156" i="13" s="1"/>
  <c r="D155" i="13"/>
  <c r="I155" i="13" s="1"/>
  <c r="D154" i="13"/>
  <c r="I154" i="13" s="1"/>
  <c r="D153" i="13"/>
  <c r="I153" i="13" s="1"/>
  <c r="D152" i="13"/>
  <c r="I152" i="13" s="1"/>
  <c r="D151" i="13"/>
  <c r="I151" i="13" s="1"/>
  <c r="D150" i="13"/>
  <c r="I150" i="13" s="1"/>
  <c r="D149" i="13"/>
  <c r="I149" i="13" s="1"/>
  <c r="D148" i="13"/>
  <c r="I148" i="13" s="1"/>
  <c r="D147" i="13"/>
  <c r="I147" i="13" s="1"/>
  <c r="D146" i="13"/>
  <c r="I146" i="13" s="1"/>
  <c r="D145" i="13"/>
  <c r="I145" i="13" s="1"/>
  <c r="D144" i="13"/>
  <c r="I144" i="13" s="1"/>
  <c r="D143" i="13"/>
  <c r="I143" i="13" s="1"/>
  <c r="D142" i="13"/>
  <c r="I142" i="13" s="1"/>
  <c r="D141" i="13"/>
  <c r="I141" i="13" s="1"/>
  <c r="D140" i="13"/>
  <c r="I140" i="13" s="1"/>
  <c r="D139" i="13"/>
  <c r="I139" i="13" s="1"/>
  <c r="D138" i="13"/>
  <c r="I138" i="13" s="1"/>
  <c r="D137" i="13"/>
  <c r="I137" i="13" s="1"/>
  <c r="D136" i="13"/>
  <c r="I136" i="13" s="1"/>
  <c r="D135" i="13"/>
  <c r="I135" i="13" s="1"/>
  <c r="D134" i="13"/>
  <c r="I134" i="13" s="1"/>
  <c r="D133" i="13"/>
  <c r="I133" i="13" s="1"/>
  <c r="D132" i="13"/>
  <c r="I132" i="13" s="1"/>
  <c r="D131" i="13"/>
  <c r="I131" i="13" s="1"/>
  <c r="D130" i="13"/>
  <c r="I130" i="13" s="1"/>
  <c r="D129" i="13"/>
  <c r="I129" i="13" s="1"/>
  <c r="D128" i="13"/>
  <c r="I128" i="13" s="1"/>
  <c r="D127" i="13"/>
  <c r="I127" i="13" s="1"/>
  <c r="D126" i="13"/>
  <c r="I126" i="13" s="1"/>
  <c r="D125" i="13"/>
  <c r="I125" i="13" s="1"/>
  <c r="D124" i="13"/>
  <c r="I124" i="13" s="1"/>
  <c r="D123" i="13"/>
  <c r="I123" i="13" s="1"/>
  <c r="D122" i="13"/>
  <c r="I122" i="13" s="1"/>
  <c r="D121" i="13"/>
  <c r="I121" i="13" s="1"/>
  <c r="D120" i="13"/>
  <c r="I120" i="13" s="1"/>
  <c r="D119" i="13"/>
  <c r="I119" i="13" s="1"/>
  <c r="D118" i="13"/>
  <c r="I118" i="13" s="1"/>
  <c r="D117" i="13"/>
  <c r="I117" i="13" s="1"/>
  <c r="D116" i="13"/>
  <c r="I116" i="13" s="1"/>
  <c r="D115" i="13"/>
  <c r="I115" i="13" s="1"/>
  <c r="D114" i="13"/>
  <c r="I114" i="13" s="1"/>
  <c r="D113" i="13"/>
  <c r="I113" i="13" s="1"/>
  <c r="D112" i="13"/>
  <c r="I112" i="13" s="1"/>
  <c r="D111" i="13"/>
  <c r="I111" i="13" s="1"/>
  <c r="D110" i="13"/>
  <c r="I110" i="13" s="1"/>
  <c r="D109" i="13"/>
  <c r="I109" i="13" s="1"/>
  <c r="D108" i="13"/>
  <c r="I108" i="13" s="1"/>
  <c r="D107" i="13"/>
  <c r="I107" i="13" s="1"/>
  <c r="D106" i="13"/>
  <c r="I106" i="13" s="1"/>
  <c r="D105" i="13"/>
  <c r="I105" i="13" s="1"/>
  <c r="D104" i="13"/>
  <c r="I104" i="13" s="1"/>
  <c r="D103" i="13"/>
  <c r="I103" i="13" s="1"/>
  <c r="D102" i="13"/>
  <c r="I102" i="13" s="1"/>
  <c r="D101" i="13"/>
  <c r="I101" i="13" s="1"/>
  <c r="D100" i="13"/>
  <c r="I100" i="13" s="1"/>
  <c r="D99" i="13"/>
  <c r="I99" i="13" s="1"/>
  <c r="D98" i="13"/>
  <c r="I98" i="13" s="1"/>
  <c r="D97" i="13"/>
  <c r="I97" i="13" s="1"/>
  <c r="D96" i="13"/>
  <c r="I96" i="13" s="1"/>
  <c r="D95" i="13"/>
  <c r="I95" i="13" s="1"/>
  <c r="D94" i="13"/>
  <c r="I94" i="13" s="1"/>
  <c r="D93" i="13"/>
  <c r="I93" i="13" s="1"/>
  <c r="D92" i="13"/>
  <c r="I92" i="13" s="1"/>
  <c r="D91" i="13"/>
  <c r="I91" i="13" s="1"/>
  <c r="D90" i="13"/>
  <c r="I90" i="13" s="1"/>
  <c r="D89" i="13"/>
  <c r="I89" i="13" s="1"/>
  <c r="D88" i="13"/>
  <c r="I88" i="13" s="1"/>
  <c r="D87" i="13"/>
  <c r="I87" i="13" s="1"/>
  <c r="D86" i="13"/>
  <c r="I86" i="13" s="1"/>
  <c r="D85" i="13"/>
  <c r="I85" i="13" s="1"/>
  <c r="D84" i="13"/>
  <c r="I84" i="13" s="1"/>
  <c r="D83" i="13"/>
  <c r="I83" i="13" s="1"/>
  <c r="D82" i="13"/>
  <c r="I82" i="13" s="1"/>
  <c r="D81" i="13"/>
  <c r="I81" i="13" s="1"/>
  <c r="D80" i="13"/>
  <c r="I80" i="13" s="1"/>
  <c r="D79" i="13"/>
  <c r="I79" i="13" s="1"/>
  <c r="D78" i="13"/>
  <c r="I78" i="13" s="1"/>
  <c r="D77" i="13"/>
  <c r="I77" i="13" s="1"/>
  <c r="D76" i="13"/>
  <c r="I76" i="13" s="1"/>
  <c r="D75" i="13"/>
  <c r="I75" i="13" s="1"/>
  <c r="D74" i="13"/>
  <c r="I74" i="13" s="1"/>
  <c r="D73" i="13"/>
  <c r="I73" i="13" s="1"/>
  <c r="D72" i="13"/>
  <c r="I72" i="13" s="1"/>
  <c r="D71" i="13"/>
  <c r="I71" i="13" s="1"/>
  <c r="D70" i="13"/>
  <c r="I70" i="13" s="1"/>
  <c r="D69" i="13"/>
  <c r="I69" i="13" s="1"/>
  <c r="D68" i="13"/>
  <c r="I68" i="13" s="1"/>
  <c r="D67" i="13"/>
  <c r="I67" i="13" s="1"/>
  <c r="D66" i="13"/>
  <c r="I66" i="13" s="1"/>
  <c r="D65" i="13"/>
  <c r="I65" i="13" s="1"/>
  <c r="D64" i="13"/>
  <c r="I64" i="13" s="1"/>
  <c r="D63" i="13"/>
  <c r="I63" i="13" s="1"/>
  <c r="D62" i="13"/>
  <c r="I62" i="13" s="1"/>
  <c r="D61" i="13"/>
  <c r="I61" i="13" s="1"/>
  <c r="D60" i="13"/>
  <c r="I60" i="13" s="1"/>
  <c r="D59" i="13"/>
  <c r="I59" i="13" s="1"/>
  <c r="D58" i="13"/>
  <c r="I58" i="13" s="1"/>
  <c r="D57" i="13"/>
  <c r="I57" i="13" s="1"/>
  <c r="D56" i="13"/>
  <c r="I56" i="13" s="1"/>
  <c r="D55" i="13"/>
  <c r="I55" i="13" s="1"/>
  <c r="D54" i="13"/>
  <c r="I54" i="13" s="1"/>
  <c r="D53" i="13"/>
  <c r="I53" i="13" s="1"/>
  <c r="D52" i="13"/>
  <c r="I52" i="13" s="1"/>
  <c r="D51" i="13"/>
  <c r="I51" i="13" s="1"/>
  <c r="D50" i="13"/>
  <c r="I50" i="13" s="1"/>
  <c r="D49" i="13"/>
  <c r="I49" i="13" s="1"/>
  <c r="D48" i="13"/>
  <c r="I48" i="13" s="1"/>
  <c r="D47" i="13"/>
  <c r="I47" i="13" s="1"/>
  <c r="D46" i="13"/>
  <c r="I46" i="13" s="1"/>
  <c r="D45" i="13"/>
  <c r="I45" i="13" s="1"/>
  <c r="D44" i="13"/>
  <c r="I44" i="13" s="1"/>
  <c r="D43" i="13"/>
  <c r="I43" i="13" s="1"/>
  <c r="D42" i="13"/>
  <c r="I42" i="13" s="1"/>
  <c r="D41" i="13"/>
  <c r="I41" i="13" s="1"/>
  <c r="D40" i="13"/>
  <c r="I40" i="13" s="1"/>
  <c r="D39" i="13"/>
  <c r="I39" i="13" s="1"/>
  <c r="D38" i="13"/>
  <c r="I38" i="13" s="1"/>
  <c r="D37" i="13"/>
  <c r="I37" i="13" s="1"/>
  <c r="D36" i="13"/>
  <c r="I36" i="13" s="1"/>
  <c r="D35" i="13"/>
  <c r="I35" i="13" s="1"/>
  <c r="D34" i="13"/>
  <c r="I34" i="13" s="1"/>
  <c r="D33" i="13"/>
  <c r="I33" i="13" s="1"/>
  <c r="D32" i="13"/>
  <c r="I32" i="13" s="1"/>
  <c r="D31" i="13"/>
  <c r="I31" i="13" s="1"/>
  <c r="D30" i="13"/>
  <c r="I30" i="13" s="1"/>
  <c r="D29" i="13"/>
  <c r="I29" i="13" s="1"/>
  <c r="D28" i="13"/>
  <c r="I28" i="13" s="1"/>
  <c r="D27" i="13"/>
  <c r="I27" i="13" s="1"/>
  <c r="D26" i="13"/>
  <c r="I26" i="13" s="1"/>
  <c r="D25" i="13"/>
  <c r="I25" i="13" s="1"/>
  <c r="D24" i="13"/>
  <c r="I24" i="13" s="1"/>
  <c r="I21" i="13"/>
  <c r="I20" i="13"/>
  <c r="I19" i="13"/>
  <c r="I13" i="13"/>
  <c r="I12" i="13"/>
  <c r="I11" i="13"/>
  <c r="D7" i="13"/>
  <c r="I7" i="13" s="1"/>
  <c r="D8" i="13"/>
  <c r="I8" i="13" s="1"/>
  <c r="D9" i="13"/>
  <c r="I9" i="13" s="1"/>
  <c r="D10" i="13"/>
  <c r="I10" i="13" s="1"/>
  <c r="D11" i="13"/>
  <c r="D12" i="13"/>
  <c r="D13" i="13"/>
  <c r="D14" i="13"/>
  <c r="I14" i="13" s="1"/>
  <c r="D15" i="13"/>
  <c r="I15" i="13" s="1"/>
  <c r="D16" i="13"/>
  <c r="I16" i="13" s="1"/>
  <c r="D17" i="13"/>
  <c r="I17" i="13" s="1"/>
  <c r="D18" i="13"/>
  <c r="I18" i="13" s="1"/>
  <c r="D19" i="13"/>
  <c r="D20" i="13"/>
  <c r="D21" i="13"/>
  <c r="D22" i="13"/>
  <c r="I22" i="13" s="1"/>
  <c r="D23" i="13"/>
  <c r="I23" i="13" s="1"/>
  <c r="D6" i="13"/>
  <c r="I6" i="13" s="1"/>
  <c r="J3" i="13"/>
  <c r="I2" i="13"/>
  <c r="J2" i="13" s="1"/>
  <c r="K3" i="13"/>
  <c r="J4" i="13"/>
  <c r="J165" i="13"/>
  <c r="J167" i="13"/>
  <c r="J322" i="13"/>
  <c r="J262" i="13"/>
  <c r="J143" i="13"/>
  <c r="J112" i="13"/>
  <c r="J192" i="13"/>
  <c r="J294" i="13"/>
  <c r="J45" i="13"/>
  <c r="J321" i="13"/>
  <c r="J244" i="13"/>
  <c r="J253" i="13"/>
  <c r="J273" i="13"/>
  <c r="J236" i="13"/>
  <c r="J46" i="13"/>
  <c r="J84" i="13"/>
  <c r="J232" i="13"/>
  <c r="J34" i="13"/>
  <c r="J252" i="13"/>
  <c r="J249" i="13"/>
  <c r="J156" i="13"/>
  <c r="J57" i="13"/>
  <c r="J315" i="13"/>
  <c r="J130" i="13"/>
  <c r="J193" i="13"/>
  <c r="J63" i="13"/>
  <c r="J117" i="13"/>
  <c r="J164" i="13"/>
  <c r="J69" i="13"/>
  <c r="J94" i="13"/>
  <c r="J308" i="13"/>
  <c r="J304" i="13"/>
  <c r="J246" i="13"/>
  <c r="J78" i="13"/>
  <c r="J204" i="13"/>
  <c r="J277" i="13"/>
  <c r="J316" i="13"/>
  <c r="J261" i="13"/>
  <c r="J205" i="13"/>
  <c r="J28" i="13"/>
  <c r="J300" i="13"/>
  <c r="J95" i="13"/>
  <c r="J171" i="13"/>
  <c r="J88" i="13"/>
  <c r="J99" i="13"/>
  <c r="J225" i="13"/>
  <c r="J82" i="13"/>
  <c r="J257" i="13"/>
  <c r="J131" i="13"/>
  <c r="J179" i="13"/>
  <c r="J200" i="13"/>
  <c r="J233" i="13"/>
  <c r="J61" i="13"/>
  <c r="J74" i="13"/>
  <c r="J36" i="13"/>
  <c r="J174" i="13"/>
  <c r="J270" i="13"/>
  <c r="J289" i="13"/>
  <c r="J231" i="13"/>
  <c r="J259" i="13"/>
  <c r="J148" i="13"/>
  <c r="J230" i="13"/>
  <c r="J320" i="13"/>
  <c r="J211" i="13"/>
  <c r="J175" i="13"/>
  <c r="J100" i="13"/>
  <c r="J305" i="13"/>
  <c r="J126" i="13"/>
  <c r="J272" i="13"/>
  <c r="J48" i="13"/>
  <c r="J328" i="13"/>
  <c r="J60" i="13"/>
  <c r="J162" i="13"/>
  <c r="J180" i="13"/>
  <c r="J251" i="13"/>
  <c r="J137" i="13"/>
  <c r="J42" i="13"/>
  <c r="J43" i="13"/>
  <c r="J301" i="13"/>
  <c r="J256" i="13"/>
  <c r="J90" i="13"/>
  <c r="J329" i="13"/>
  <c r="J240" i="13"/>
  <c r="J154" i="13"/>
  <c r="J93" i="13"/>
  <c r="J49" i="13"/>
  <c r="J238" i="13"/>
  <c r="J310" i="13"/>
  <c r="J121" i="13"/>
  <c r="J114" i="13"/>
  <c r="J51" i="13"/>
  <c r="J220" i="13"/>
  <c r="J217" i="13"/>
  <c r="J92" i="13"/>
  <c r="J146" i="13"/>
  <c r="J158" i="13"/>
  <c r="J166" i="13"/>
  <c r="J324" i="13"/>
  <c r="J176" i="13"/>
  <c r="J144" i="13"/>
  <c r="J182" i="13"/>
  <c r="J292" i="13"/>
  <c r="J116" i="13"/>
  <c r="J265" i="13"/>
  <c r="J134" i="13"/>
  <c r="J101" i="13"/>
  <c r="J38" i="13"/>
  <c r="J105" i="13"/>
  <c r="J255" i="13"/>
  <c r="J65" i="13"/>
  <c r="J286" i="13"/>
  <c r="J275" i="13"/>
  <c r="J163" i="13"/>
  <c r="J185" i="13"/>
  <c r="J268" i="13"/>
  <c r="J234" i="13"/>
  <c r="J245" i="13"/>
  <c r="J168" i="13"/>
  <c r="J260" i="13"/>
  <c r="J159" i="13"/>
  <c r="J155" i="13"/>
  <c r="J157" i="13"/>
  <c r="J33" i="13"/>
  <c r="J318" i="13"/>
  <c r="J213" i="13"/>
  <c r="J263" i="13"/>
  <c r="J87" i="13"/>
  <c r="J242" i="13"/>
  <c r="J32" i="13"/>
  <c r="J151" i="13"/>
  <c r="J150" i="13"/>
  <c r="J169" i="13"/>
  <c r="J129" i="13"/>
  <c r="J91" i="13"/>
  <c r="J139" i="13"/>
  <c r="J224" i="13"/>
  <c r="J106" i="13"/>
  <c r="J247" i="13"/>
  <c r="J138" i="13"/>
  <c r="J302" i="13"/>
  <c r="J214" i="13"/>
  <c r="J229" i="13"/>
  <c r="J317" i="13"/>
  <c r="K4" i="13"/>
  <c r="J44" i="13"/>
  <c r="J306" i="13"/>
  <c r="J188" i="13"/>
  <c r="J319" i="13"/>
  <c r="J140" i="13"/>
  <c r="J194" i="13"/>
  <c r="J274" i="13"/>
  <c r="J135" i="13"/>
  <c r="J222" i="13"/>
  <c r="J276" i="13"/>
  <c r="J24" i="13"/>
  <c r="J26" i="13"/>
  <c r="J53" i="13"/>
  <c r="J71" i="13"/>
  <c r="J161" i="13"/>
  <c r="J293" i="13"/>
  <c r="J210" i="13"/>
  <c r="J68" i="13"/>
  <c r="J296" i="13"/>
  <c r="J145" i="13"/>
  <c r="J216" i="13"/>
  <c r="J287" i="13"/>
  <c r="J291" i="13"/>
  <c r="J47" i="13"/>
  <c r="J72" i="13"/>
  <c r="J85" i="13"/>
  <c r="J208" i="13"/>
  <c r="J27" i="13"/>
  <c r="J309" i="13"/>
  <c r="J284" i="13"/>
  <c r="J104" i="13"/>
  <c r="J189" i="13"/>
  <c r="J160" i="13"/>
  <c r="J147" i="13"/>
  <c r="J243" i="13"/>
  <c r="J39" i="13"/>
  <c r="J141" i="13"/>
  <c r="J149" i="13"/>
  <c r="J241" i="13"/>
  <c r="J29" i="13"/>
  <c r="J314" i="13"/>
  <c r="J103" i="13"/>
  <c r="J66" i="13"/>
  <c r="J254" i="13"/>
  <c r="J73" i="13"/>
  <c r="J30" i="13"/>
  <c r="J228" i="13"/>
  <c r="J98" i="13"/>
  <c r="J128" i="13"/>
  <c r="J190" i="13"/>
  <c r="J212" i="13"/>
  <c r="J118" i="13"/>
  <c r="J227" i="13"/>
  <c r="J206" i="13"/>
  <c r="J64" i="13"/>
  <c r="J136" i="13"/>
  <c r="J127" i="13"/>
  <c r="J152" i="13"/>
  <c r="J312" i="13"/>
  <c r="J107" i="13"/>
  <c r="J288" i="13"/>
  <c r="J50" i="13"/>
  <c r="J133" i="13"/>
  <c r="J239" i="13"/>
  <c r="J264" i="13"/>
  <c r="J215" i="13"/>
  <c r="J290" i="13"/>
  <c r="J183" i="13"/>
  <c r="J86" i="13"/>
  <c r="J31" i="13"/>
  <c r="J235" i="13"/>
  <c r="J197" i="13"/>
  <c r="J266" i="13"/>
  <c r="J115" i="13"/>
  <c r="J83" i="13"/>
  <c r="J201" i="13"/>
  <c r="J89" i="13"/>
  <c r="J326" i="13"/>
  <c r="J313" i="13"/>
  <c r="J311" i="13"/>
  <c r="J325" i="13"/>
  <c r="J8" i="13"/>
  <c r="J25" i="13"/>
  <c r="J173" i="13"/>
  <c r="J237" i="13"/>
  <c r="J120" i="13"/>
  <c r="J35" i="13"/>
  <c r="J109" i="13"/>
  <c r="J184" i="13"/>
  <c r="J223" i="13"/>
  <c r="J70" i="13"/>
  <c r="J271" i="13"/>
  <c r="J177" i="13"/>
  <c r="J56" i="13"/>
  <c r="J81" i="13"/>
  <c r="J181" i="13"/>
  <c r="J279" i="13"/>
  <c r="J307" i="13"/>
  <c r="J280" i="13"/>
  <c r="J97" i="13"/>
  <c r="J196" i="13"/>
  <c r="J178" i="13"/>
  <c r="J75" i="13"/>
  <c r="J67" i="13"/>
  <c r="J191" i="13"/>
  <c r="J52" i="13"/>
  <c r="J295" i="13"/>
  <c r="J123" i="13"/>
  <c r="J203" i="13"/>
  <c r="J258" i="13"/>
  <c r="J250" i="13"/>
  <c r="J55" i="13"/>
  <c r="J278" i="13"/>
  <c r="J267" i="13"/>
  <c r="J187" i="13"/>
  <c r="J41" i="13"/>
  <c r="J110" i="13"/>
  <c r="J221" i="13"/>
  <c r="J297" i="13"/>
  <c r="J186" i="13"/>
  <c r="J124" i="13"/>
  <c r="J119" i="13"/>
  <c r="J102" i="13"/>
  <c r="J170" i="13"/>
  <c r="J153" i="13"/>
  <c r="J199" i="13"/>
  <c r="J108" i="13"/>
  <c r="J299" i="13"/>
  <c r="J282" i="13"/>
  <c r="J219" i="13"/>
  <c r="J122" i="13"/>
  <c r="J285" i="13"/>
  <c r="J209" i="13"/>
  <c r="J226" i="13"/>
  <c r="J125" i="13"/>
  <c r="J269" i="13"/>
  <c r="J40" i="13"/>
  <c r="J298" i="13"/>
  <c r="J281" i="13"/>
  <c r="J62" i="13"/>
  <c r="J303" i="13"/>
  <c r="J96" i="13"/>
  <c r="J327" i="13"/>
  <c r="J59" i="13"/>
  <c r="J283" i="13"/>
  <c r="J113" i="13"/>
  <c r="J218" i="13"/>
  <c r="J323" i="13"/>
  <c r="J207" i="13"/>
  <c r="J77" i="13"/>
  <c r="J195" i="13"/>
  <c r="J80" i="13"/>
  <c r="J54" i="13"/>
  <c r="J172" i="13"/>
  <c r="J198" i="13"/>
  <c r="J79" i="13"/>
  <c r="J76" i="13"/>
  <c r="J248" i="13"/>
  <c r="J111" i="13"/>
  <c r="J142" i="13"/>
  <c r="J37" i="13"/>
  <c r="J202" i="13"/>
  <c r="J132" i="13"/>
  <c r="J58" i="13"/>
  <c r="B385" i="4" l="1"/>
  <c r="B373" i="4"/>
  <c r="B390" i="4"/>
  <c r="B388" i="4"/>
  <c r="B386" i="4"/>
  <c r="B384" i="4"/>
  <c r="B382" i="4"/>
  <c r="B380" i="4"/>
  <c r="B378" i="4"/>
  <c r="B376" i="4"/>
  <c r="B374" i="4"/>
  <c r="B379" i="4"/>
  <c r="B383" i="4"/>
  <c r="B387" i="4"/>
  <c r="B389" i="4"/>
  <c r="B381" i="4"/>
  <c r="B377" i="4"/>
  <c r="B375" i="4"/>
  <c r="B359" i="4"/>
  <c r="B372" i="4"/>
  <c r="B370" i="4"/>
  <c r="B368" i="4"/>
  <c r="B366" i="4"/>
  <c r="B364" i="4"/>
  <c r="B362" i="4"/>
  <c r="B360" i="4"/>
  <c r="B358" i="4"/>
  <c r="B356" i="4"/>
  <c r="B357" i="4"/>
  <c r="B361" i="4"/>
  <c r="B371" i="4"/>
  <c r="B369" i="4"/>
  <c r="B367" i="4"/>
  <c r="B365" i="4"/>
  <c r="B363" i="4"/>
  <c r="B355" i="4"/>
  <c r="B354" i="4"/>
  <c r="B352" i="4"/>
  <c r="B350" i="4"/>
  <c r="B348" i="4"/>
  <c r="B346" i="4"/>
  <c r="B344" i="4"/>
  <c r="B342" i="4"/>
  <c r="B340" i="4"/>
  <c r="B338" i="4"/>
  <c r="B353" i="4"/>
  <c r="B351" i="4"/>
  <c r="B349" i="4"/>
  <c r="B347" i="4"/>
  <c r="B345" i="4"/>
  <c r="B343" i="4"/>
  <c r="B341" i="4"/>
  <c r="B339" i="4"/>
  <c r="B337" i="4"/>
  <c r="B331" i="4"/>
  <c r="B319" i="4"/>
  <c r="B336" i="4"/>
  <c r="B334" i="4"/>
  <c r="B332" i="4"/>
  <c r="B330" i="4"/>
  <c r="B328" i="4"/>
  <c r="B326" i="4"/>
  <c r="B324" i="4"/>
  <c r="B322" i="4"/>
  <c r="B320" i="4"/>
  <c r="B327" i="4"/>
  <c r="B333" i="4"/>
  <c r="B329" i="4"/>
  <c r="B323" i="4"/>
  <c r="B335" i="4"/>
  <c r="B325" i="4"/>
  <c r="B321" i="4"/>
  <c r="B317" i="4"/>
  <c r="B309" i="4"/>
  <c r="B318" i="4"/>
  <c r="B316" i="4"/>
  <c r="B314" i="4"/>
  <c r="B312" i="4"/>
  <c r="B310" i="4"/>
  <c r="B308" i="4"/>
  <c r="B306" i="4"/>
  <c r="B304" i="4"/>
  <c r="B302" i="4"/>
  <c r="B315" i="4"/>
  <c r="B311" i="4"/>
  <c r="B305" i="4"/>
  <c r="B313" i="4"/>
  <c r="B307" i="4"/>
  <c r="B303" i="4"/>
  <c r="B301" i="4"/>
  <c r="B299" i="4"/>
  <c r="B291" i="4"/>
  <c r="B287" i="4"/>
  <c r="B283" i="4"/>
  <c r="B300" i="4"/>
  <c r="B298" i="4"/>
  <c r="B296" i="4"/>
  <c r="B294" i="4"/>
  <c r="B292" i="4"/>
  <c r="B290" i="4"/>
  <c r="B288" i="4"/>
  <c r="B286" i="4"/>
  <c r="B284" i="4"/>
  <c r="B295" i="4"/>
  <c r="B297" i="4"/>
  <c r="B293" i="4"/>
  <c r="B289" i="4"/>
  <c r="B285" i="4"/>
  <c r="B281" i="4"/>
  <c r="B271" i="4"/>
  <c r="B267" i="4"/>
  <c r="B265" i="4"/>
  <c r="B282" i="4"/>
  <c r="B280" i="4"/>
  <c r="B278" i="4"/>
  <c r="B276" i="4"/>
  <c r="B274" i="4"/>
  <c r="B272" i="4"/>
  <c r="B270" i="4"/>
  <c r="B268" i="4"/>
  <c r="B266" i="4"/>
  <c r="B277" i="4"/>
  <c r="B273" i="4"/>
  <c r="B279" i="4"/>
  <c r="B269" i="4"/>
  <c r="B275" i="4"/>
  <c r="B255" i="4"/>
  <c r="B264" i="4"/>
  <c r="B262" i="4"/>
  <c r="B260" i="4"/>
  <c r="B258" i="4"/>
  <c r="B256" i="4"/>
  <c r="B254" i="4"/>
  <c r="B252" i="4"/>
  <c r="B250" i="4"/>
  <c r="B248" i="4"/>
  <c r="B249" i="4"/>
  <c r="B251" i="4"/>
  <c r="B253" i="4"/>
  <c r="B263" i="4"/>
  <c r="B261" i="4"/>
  <c r="B259" i="4"/>
  <c r="B257" i="4"/>
  <c r="B247" i="4"/>
  <c r="B245" i="4"/>
  <c r="B239" i="4"/>
  <c r="B235" i="4"/>
  <c r="B233" i="4"/>
  <c r="B231" i="4"/>
  <c r="B229" i="4"/>
  <c r="B246" i="4"/>
  <c r="B244" i="4"/>
  <c r="B242" i="4"/>
  <c r="B240" i="4"/>
  <c r="B238" i="4"/>
  <c r="B236" i="4"/>
  <c r="B234" i="4"/>
  <c r="B232" i="4"/>
  <c r="B230" i="4"/>
  <c r="B241" i="4"/>
  <c r="B243" i="4"/>
  <c r="B237" i="4"/>
  <c r="B227" i="4"/>
  <c r="B217" i="4"/>
  <c r="B213" i="4"/>
  <c r="B228" i="4"/>
  <c r="B226" i="4"/>
  <c r="B224" i="4"/>
  <c r="B222" i="4"/>
  <c r="B220" i="4"/>
  <c r="B218" i="4"/>
  <c r="B216" i="4"/>
  <c r="B214" i="4"/>
  <c r="B212" i="4"/>
  <c r="B225" i="4"/>
  <c r="B219" i="4"/>
  <c r="B215" i="4"/>
  <c r="B211" i="4"/>
  <c r="B221" i="4"/>
  <c r="B223" i="4"/>
  <c r="B209" i="4"/>
  <c r="B203" i="4"/>
  <c r="B201" i="4"/>
  <c r="B199" i="4"/>
  <c r="B197" i="4"/>
  <c r="B195" i="4"/>
  <c r="B193" i="4"/>
  <c r="B210" i="4"/>
  <c r="B208" i="4"/>
  <c r="B206" i="4"/>
  <c r="B204" i="4"/>
  <c r="B202" i="4"/>
  <c r="B200" i="4"/>
  <c r="B198" i="4"/>
  <c r="B196" i="4"/>
  <c r="B194" i="4"/>
  <c r="B207" i="4"/>
  <c r="B205" i="4"/>
  <c r="B191" i="4"/>
  <c r="B185" i="4"/>
  <c r="B181" i="4"/>
  <c r="B179" i="4"/>
  <c r="B177" i="4"/>
  <c r="B175" i="4"/>
  <c r="B192" i="4"/>
  <c r="B190" i="4"/>
  <c r="B188" i="4"/>
  <c r="B186" i="4"/>
  <c r="B184" i="4"/>
  <c r="B182" i="4"/>
  <c r="B180" i="4"/>
  <c r="B178" i="4"/>
  <c r="B176" i="4"/>
  <c r="B189" i="4"/>
  <c r="B187" i="4"/>
  <c r="B183" i="4"/>
  <c r="B173" i="4"/>
  <c r="B167" i="4"/>
  <c r="B165" i="4"/>
  <c r="B163" i="4"/>
  <c r="B161" i="4"/>
  <c r="B159" i="4"/>
  <c r="B174" i="4"/>
  <c r="B172" i="4"/>
  <c r="B170" i="4"/>
  <c r="B168" i="4"/>
  <c r="B166" i="4"/>
  <c r="B164" i="4"/>
  <c r="B162" i="4"/>
  <c r="B160" i="4"/>
  <c r="B158" i="4"/>
  <c r="B171" i="4"/>
  <c r="B157" i="4"/>
  <c r="B169" i="4"/>
  <c r="B155" i="4"/>
  <c r="B149" i="4"/>
  <c r="B147" i="4"/>
  <c r="B145" i="4"/>
  <c r="B143" i="4"/>
  <c r="B141" i="4"/>
  <c r="B156" i="4"/>
  <c r="B154" i="4"/>
  <c r="B152" i="4"/>
  <c r="B150" i="4"/>
  <c r="B148" i="4"/>
  <c r="B146" i="4"/>
  <c r="B144" i="4"/>
  <c r="B142" i="4"/>
  <c r="B140" i="4"/>
  <c r="B151" i="4"/>
  <c r="B139" i="4"/>
  <c r="B153" i="4"/>
  <c r="B137" i="4"/>
  <c r="B131" i="4"/>
  <c r="B125" i="4"/>
  <c r="B121" i="4"/>
  <c r="B138" i="4"/>
  <c r="B136" i="4"/>
  <c r="B134" i="4"/>
  <c r="B132" i="4"/>
  <c r="B130" i="4"/>
  <c r="B128" i="4"/>
  <c r="B126" i="4"/>
  <c r="B124" i="4"/>
  <c r="B122" i="4"/>
  <c r="B135" i="4"/>
  <c r="B133" i="4"/>
  <c r="B129" i="4"/>
  <c r="B123" i="4"/>
  <c r="B127" i="4"/>
  <c r="B106" i="4"/>
  <c r="B110" i="4"/>
  <c r="B119" i="4"/>
  <c r="B117" i="4"/>
  <c r="B115" i="4"/>
  <c r="B113" i="4"/>
  <c r="B109" i="4"/>
  <c r="B107" i="4"/>
  <c r="B105" i="4"/>
  <c r="B103" i="4"/>
  <c r="B120" i="4"/>
  <c r="B118" i="4"/>
  <c r="B116" i="4"/>
  <c r="B114" i="4"/>
  <c r="B112" i="4"/>
  <c r="B108" i="4"/>
  <c r="B104" i="4"/>
  <c r="B111" i="4"/>
  <c r="B90" i="4"/>
  <c r="B69" i="4"/>
  <c r="B101" i="4"/>
  <c r="B95" i="4"/>
  <c r="B91" i="4"/>
  <c r="B85" i="4"/>
  <c r="B102" i="4"/>
  <c r="B100" i="4"/>
  <c r="B98" i="4"/>
  <c r="B96" i="4"/>
  <c r="B94" i="4"/>
  <c r="B92" i="4"/>
  <c r="B88" i="4"/>
  <c r="B86" i="4"/>
  <c r="B99" i="4"/>
  <c r="B97" i="4"/>
  <c r="B93" i="4"/>
  <c r="B89" i="4"/>
  <c r="B87" i="4"/>
  <c r="K76" i="13"/>
  <c r="K118" i="13"/>
  <c r="K250" i="13"/>
  <c r="K266" i="13"/>
  <c r="K301" i="13"/>
  <c r="K124" i="13"/>
  <c r="K291" i="13"/>
  <c r="K265" i="13"/>
  <c r="K121" i="13"/>
  <c r="K311" i="13"/>
  <c r="K256" i="13"/>
  <c r="K320" i="13"/>
  <c r="K79" i="13"/>
  <c r="K204" i="13"/>
  <c r="K28" i="13"/>
  <c r="K47" i="13"/>
  <c r="K179" i="13"/>
  <c r="K91" i="13"/>
  <c r="K199" i="13"/>
  <c r="K135" i="13"/>
  <c r="K237" i="13"/>
  <c r="K283" i="13"/>
  <c r="K123" i="13"/>
  <c r="K41" i="13"/>
  <c r="K87" i="13"/>
  <c r="K261" i="13"/>
  <c r="K100" i="13"/>
  <c r="K68" i="13"/>
  <c r="K32" i="13"/>
  <c r="K74" i="13"/>
  <c r="K306" i="13"/>
  <c r="K234" i="13"/>
  <c r="K294" i="13"/>
  <c r="K71" i="13"/>
  <c r="K170" i="13"/>
  <c r="K253" i="13"/>
  <c r="K228" i="13"/>
  <c r="K251" i="13"/>
  <c r="K103" i="13"/>
  <c r="K158" i="13"/>
  <c r="K77" i="13"/>
  <c r="K95" i="13"/>
  <c r="K267" i="13"/>
  <c r="K328" i="13"/>
  <c r="K240" i="13"/>
  <c r="K86" i="13"/>
  <c r="K49" i="13"/>
  <c r="K314" i="13"/>
  <c r="K264" i="13"/>
  <c r="K286" i="13"/>
  <c r="K62" i="13"/>
  <c r="K73" i="13"/>
  <c r="K310" i="13"/>
  <c r="K150" i="13"/>
  <c r="K186" i="13"/>
  <c r="K116" i="13"/>
  <c r="K322" i="13"/>
  <c r="K205" i="13"/>
  <c r="K146" i="13"/>
  <c r="K238" i="13"/>
  <c r="K188" i="13"/>
  <c r="K132" i="13"/>
  <c r="K231" i="13"/>
  <c r="K284" i="13"/>
  <c r="K225" i="13"/>
  <c r="K281" i="13"/>
  <c r="K173" i="13"/>
  <c r="K80" i="13"/>
  <c r="K239" i="13"/>
  <c r="K317" i="13"/>
  <c r="K193" i="13"/>
  <c r="K145" i="13"/>
  <c r="K106" i="13"/>
  <c r="K151" i="13"/>
  <c r="K92" i="13"/>
  <c r="K235" i="13"/>
  <c r="K192" i="13"/>
  <c r="K297" i="13"/>
  <c r="K88" i="13"/>
  <c r="K75" i="13"/>
  <c r="K183" i="13"/>
  <c r="K202" i="13"/>
  <c r="K318" i="13"/>
  <c r="K182" i="13"/>
  <c r="K222" i="13"/>
  <c r="K198" i="13"/>
  <c r="K143" i="13"/>
  <c r="K153" i="13"/>
  <c r="K107" i="13"/>
  <c r="K276" i="13"/>
  <c r="K285" i="13"/>
  <c r="K81" i="13"/>
  <c r="K175" i="13"/>
  <c r="K167" i="13"/>
  <c r="K168" i="13"/>
  <c r="K31" i="13"/>
  <c r="K277" i="13"/>
  <c r="K169" i="13"/>
  <c r="K156" i="13"/>
  <c r="K112" i="13"/>
  <c r="K54" i="13"/>
  <c r="K185" i="13"/>
  <c r="K171" i="13"/>
  <c r="K324" i="13"/>
  <c r="K224" i="13"/>
  <c r="K128" i="13"/>
  <c r="K85" i="13"/>
  <c r="K191" i="13"/>
  <c r="K178" i="13"/>
  <c r="K127" i="13"/>
  <c r="K102" i="13"/>
  <c r="K149" i="13"/>
  <c r="K263" i="13"/>
  <c r="K305" i="13"/>
  <c r="K53" i="13"/>
  <c r="K96" i="13"/>
  <c r="K141" i="13"/>
  <c r="K315" i="13"/>
  <c r="K189" i="13"/>
  <c r="K33" i="13"/>
  <c r="K113" i="13"/>
  <c r="K35" i="13"/>
  <c r="K38" i="13"/>
  <c r="K94" i="13"/>
  <c r="K144" i="13"/>
  <c r="K120" i="13"/>
  <c r="K83" i="13"/>
  <c r="K303" i="13"/>
  <c r="K245" i="13"/>
  <c r="K148" i="13"/>
  <c r="K244" i="13"/>
  <c r="K159" i="13"/>
  <c r="K174" i="13"/>
  <c r="K26" i="13"/>
  <c r="K241" i="13"/>
  <c r="K282" i="13"/>
  <c r="K190" i="13"/>
  <c r="K319" i="13"/>
  <c r="K255" i="13"/>
  <c r="K278" i="13"/>
  <c r="K130" i="13"/>
  <c r="K210" i="13"/>
  <c r="K142" i="13"/>
  <c r="K180" i="13"/>
  <c r="K101" i="13"/>
  <c r="K63" i="13"/>
  <c r="K160" i="13"/>
  <c r="K34" i="13"/>
  <c r="K161" i="13"/>
  <c r="K129" i="13"/>
  <c r="K72" i="13"/>
  <c r="K104" i="13"/>
  <c r="K236" i="13"/>
  <c r="K271" i="13"/>
  <c r="K114" i="13"/>
  <c r="K201" i="13"/>
  <c r="K162" i="13"/>
  <c r="K209" i="13"/>
  <c r="K184" i="13"/>
  <c r="K325" i="13"/>
  <c r="K293" i="13"/>
  <c r="K275" i="13"/>
  <c r="K227" i="13"/>
  <c r="K164" i="13"/>
  <c r="K131" i="13"/>
  <c r="K140" i="13"/>
  <c r="K212" i="13"/>
  <c r="K46" i="13"/>
  <c r="K154" i="13"/>
  <c r="K139" i="13"/>
  <c r="K90" i="13"/>
  <c r="K138" i="13"/>
  <c r="K27" i="13"/>
  <c r="K36" i="13"/>
  <c r="K292" i="13"/>
  <c r="K147" i="13"/>
  <c r="K196" i="13"/>
  <c r="K252" i="13"/>
  <c r="K163" i="13"/>
  <c r="K69" i="13"/>
  <c r="K258" i="13"/>
  <c r="K42" i="13"/>
  <c r="K137" i="13"/>
  <c r="K29" i="13"/>
  <c r="K197" i="13"/>
  <c r="K195" i="13"/>
  <c r="K249" i="13"/>
  <c r="K260" i="13"/>
  <c r="K216" i="13"/>
  <c r="K119" i="13"/>
  <c r="K248" i="13"/>
  <c r="K290" i="13"/>
  <c r="K269" i="13"/>
  <c r="K279" i="13"/>
  <c r="K30" i="13"/>
  <c r="K157" i="13"/>
  <c r="K207" i="13"/>
  <c r="K58" i="13"/>
  <c r="K220" i="13"/>
  <c r="K117" i="13"/>
  <c r="K321" i="13"/>
  <c r="K232" i="13"/>
  <c r="K298" i="13"/>
  <c r="K187" i="13"/>
  <c r="K89" i="13"/>
  <c r="K215" i="13"/>
  <c r="K326" i="13"/>
  <c r="K247" i="13"/>
  <c r="K208" i="13"/>
  <c r="K126" i="13"/>
  <c r="K274" i="13"/>
  <c r="K280" i="13"/>
  <c r="K110" i="13"/>
  <c r="K65" i="13"/>
  <c r="K56" i="13"/>
  <c r="K99" i="13"/>
  <c r="K219" i="13"/>
  <c r="K50" i="13"/>
  <c r="K295" i="13"/>
  <c r="K78" i="13"/>
  <c r="K82" i="13"/>
  <c r="K307" i="13"/>
  <c r="K272" i="13"/>
  <c r="K64" i="13"/>
  <c r="K97" i="13"/>
  <c r="K221" i="13"/>
  <c r="K109" i="13"/>
  <c r="K84" i="13"/>
  <c r="K134" i="13"/>
  <c r="K254" i="13"/>
  <c r="K299" i="13"/>
  <c r="K136" i="13"/>
  <c r="K257" i="13"/>
  <c r="K308" i="13"/>
  <c r="K296" i="13"/>
  <c r="K165" i="13"/>
  <c r="K125" i="13"/>
  <c r="K289" i="13"/>
  <c r="K51" i="13"/>
  <c r="K45" i="13"/>
  <c r="K122" i="13"/>
  <c r="K268" i="13"/>
  <c r="K60" i="13"/>
  <c r="K115" i="13"/>
  <c r="K273" i="13"/>
  <c r="K203" i="13"/>
  <c r="K108" i="13"/>
  <c r="K233" i="13"/>
  <c r="K98" i="13"/>
  <c r="K24" i="13"/>
  <c r="K48" i="13"/>
  <c r="K133" i="13"/>
  <c r="K327" i="13"/>
  <c r="K246" i="13"/>
  <c r="K229" i="13"/>
  <c r="K206" i="13"/>
  <c r="K218" i="13"/>
  <c r="K172" i="13"/>
  <c r="K323" i="13"/>
  <c r="K177" i="13"/>
  <c r="K302" i="13"/>
  <c r="K55" i="13"/>
  <c r="K242" i="13"/>
  <c r="K316" i="13"/>
  <c r="K313" i="13"/>
  <c r="K93" i="13"/>
  <c r="K211" i="13"/>
  <c r="K52" i="13"/>
  <c r="K200" i="13"/>
  <c r="K230" i="13"/>
  <c r="K288" i="13"/>
  <c r="K300" i="13"/>
  <c r="K223" i="13"/>
  <c r="K226" i="13"/>
  <c r="K312" i="13"/>
  <c r="K61" i="13"/>
  <c r="K39" i="13"/>
  <c r="K262" i="13"/>
  <c r="K304" i="13"/>
  <c r="K176" i="13"/>
  <c r="K37" i="13"/>
  <c r="K67" i="13"/>
  <c r="K25" i="13"/>
  <c r="K43" i="13"/>
  <c r="K105" i="13"/>
  <c r="K243" i="13"/>
  <c r="K66" i="13"/>
  <c r="K166" i="13"/>
  <c r="K111" i="13"/>
  <c r="K70" i="13"/>
  <c r="K57" i="13"/>
  <c r="K214" i="13"/>
  <c r="K181" i="13"/>
  <c r="K44" i="13"/>
  <c r="K270" i="13"/>
  <c r="K194" i="13"/>
  <c r="K152" i="13"/>
  <c r="K287" i="13"/>
  <c r="K40" i="13"/>
  <c r="K329" i="13"/>
  <c r="K213" i="13"/>
  <c r="K309" i="13"/>
  <c r="K59" i="13"/>
  <c r="K217" i="13"/>
  <c r="K155" i="13"/>
  <c r="K259" i="13"/>
  <c r="F14" i="12" l="1"/>
  <c r="F16" i="12"/>
  <c r="F15" i="12"/>
  <c r="F13" i="12"/>
  <c r="F12" i="12"/>
  <c r="F11" i="12"/>
  <c r="F10" i="12"/>
  <c r="F9" i="12"/>
  <c r="F8" i="12"/>
  <c r="F7" i="12"/>
  <c r="F6" i="12"/>
  <c r="F5" i="12"/>
  <c r="F4" i="12"/>
  <c r="F3" i="12"/>
  <c r="C349" i="4"/>
  <c r="J114" i="4"/>
  <c r="J351" i="4"/>
  <c r="E300" i="4"/>
  <c r="D322" i="4"/>
  <c r="C268" i="4"/>
  <c r="C201" i="4"/>
  <c r="J290" i="4"/>
  <c r="D281" i="4"/>
  <c r="I159" i="4"/>
  <c r="E126" i="4"/>
  <c r="I87" i="4"/>
  <c r="C3" i="12"/>
  <c r="E342" i="4"/>
  <c r="I101" i="4"/>
  <c r="I311" i="4"/>
  <c r="D289" i="4"/>
  <c r="E246" i="4"/>
  <c r="C107" i="4"/>
  <c r="I381" i="4"/>
  <c r="J223" i="4"/>
  <c r="I278" i="4"/>
  <c r="E381" i="4"/>
  <c r="E329" i="4"/>
  <c r="E174" i="4"/>
  <c r="D241" i="4"/>
  <c r="E298" i="4"/>
  <c r="C287" i="4"/>
  <c r="C233" i="4"/>
  <c r="C290" i="4"/>
  <c r="I112" i="4"/>
  <c r="I366" i="4"/>
  <c r="J311" i="4"/>
  <c r="D268" i="4"/>
  <c r="J184" i="4"/>
  <c r="C284" i="4"/>
  <c r="E344" i="4"/>
  <c r="D275" i="4"/>
  <c r="J103" i="4"/>
  <c r="D189" i="4"/>
  <c r="I332" i="4"/>
  <c r="D256" i="4"/>
  <c r="J130" i="4"/>
  <c r="E293" i="4"/>
  <c r="C86" i="4"/>
  <c r="D88" i="4"/>
  <c r="C121" i="4"/>
  <c r="D90" i="4"/>
  <c r="E279" i="4"/>
  <c r="D231" i="4"/>
  <c r="J377" i="4"/>
  <c r="C225" i="4"/>
  <c r="I325" i="4"/>
  <c r="C283" i="4"/>
  <c r="C312" i="4"/>
  <c r="I117" i="4"/>
  <c r="I292" i="4"/>
  <c r="J373" i="4"/>
  <c r="I250" i="4"/>
  <c r="J261" i="4"/>
  <c r="J126" i="4"/>
  <c r="J112" i="4"/>
  <c r="J342" i="4"/>
  <c r="I318" i="4"/>
  <c r="J251" i="4"/>
  <c r="J260" i="4"/>
  <c r="J208" i="4"/>
  <c r="C193" i="4"/>
  <c r="J344" i="4"/>
  <c r="I103" i="4"/>
  <c r="J174" i="4"/>
  <c r="J224" i="4"/>
  <c r="I145" i="4"/>
  <c r="I229" i="4"/>
  <c r="E161" i="4"/>
  <c r="E335" i="4"/>
  <c r="C88" i="4"/>
  <c r="E362" i="4"/>
  <c r="J199" i="4"/>
  <c r="J293" i="4"/>
  <c r="D123" i="4"/>
  <c r="D337" i="4"/>
  <c r="E69" i="4"/>
  <c r="I375" i="4"/>
  <c r="D129" i="4"/>
  <c r="E380" i="4"/>
  <c r="D186" i="4"/>
  <c r="D200" i="4"/>
  <c r="J93" i="4"/>
  <c r="D276" i="4"/>
  <c r="I189" i="4"/>
  <c r="I350" i="4"/>
  <c r="I290" i="4"/>
  <c r="J282" i="4"/>
  <c r="E266" i="4"/>
  <c r="I207" i="4"/>
  <c r="I338" i="4"/>
  <c r="E255" i="4"/>
  <c r="I96" i="4"/>
  <c r="C264" i="4"/>
  <c r="I228" i="4"/>
  <c r="D140" i="4"/>
  <c r="J302" i="4"/>
  <c r="C260" i="4"/>
  <c r="I299" i="4"/>
  <c r="E102" i="4"/>
  <c r="E287" i="4"/>
  <c r="J247" i="4"/>
  <c r="D169" i="4"/>
  <c r="D205" i="4"/>
  <c r="D179" i="4"/>
  <c r="I255" i="4"/>
  <c r="C371" i="4"/>
  <c r="I126" i="4"/>
  <c r="E365" i="4"/>
  <c r="I129" i="4"/>
  <c r="I125" i="4"/>
  <c r="J203" i="4"/>
  <c r="I221" i="4"/>
  <c r="C375" i="4"/>
  <c r="E361" i="4"/>
  <c r="J349" i="4"/>
  <c r="D141" i="4"/>
  <c r="D159" i="4"/>
  <c r="D267" i="4"/>
  <c r="D161" i="4"/>
  <c r="C187" i="4"/>
  <c r="J91" i="4"/>
  <c r="C368" i="4"/>
  <c r="J306" i="4"/>
  <c r="I138" i="4"/>
  <c r="J371" i="4"/>
  <c r="D127" i="4"/>
  <c r="C103" i="4"/>
  <c r="D376" i="4"/>
  <c r="I384" i="4"/>
  <c r="D187" i="4"/>
  <c r="D372" i="4"/>
  <c r="I386" i="4"/>
  <c r="E98" i="4"/>
  <c r="I315" i="4"/>
  <c r="E191" i="4"/>
  <c r="E132" i="4"/>
  <c r="D233" i="4"/>
  <c r="J207" i="4"/>
  <c r="J271" i="4"/>
  <c r="J257" i="4"/>
  <c r="D162" i="4"/>
  <c r="I389" i="4"/>
  <c r="D378" i="4"/>
  <c r="D340" i="4"/>
  <c r="C362" i="4"/>
  <c r="E197" i="4"/>
  <c r="J325" i="4"/>
  <c r="I373" i="4"/>
  <c r="D135" i="4"/>
  <c r="D298" i="4"/>
  <c r="C108" i="4"/>
  <c r="E194" i="4"/>
  <c r="J286" i="4"/>
  <c r="J335" i="4"/>
  <c r="I217" i="4"/>
  <c r="I95" i="4"/>
  <c r="I237" i="4"/>
  <c r="E195" i="4"/>
  <c r="C234" i="4"/>
  <c r="C339" i="4"/>
  <c r="J355" i="4"/>
  <c r="C161" i="4"/>
  <c r="J276" i="4"/>
  <c r="D314" i="4"/>
  <c r="I352" i="4"/>
  <c r="J256" i="4"/>
  <c r="D317" i="4"/>
  <c r="I158" i="4"/>
  <c r="J305" i="4"/>
  <c r="I88" i="4"/>
  <c r="I143" i="4"/>
  <c r="C267" i="4"/>
  <c r="J230" i="4"/>
  <c r="E349" i="4"/>
  <c r="D244" i="4"/>
  <c r="E253" i="4"/>
  <c r="C192" i="4"/>
  <c r="D279" i="4"/>
  <c r="C134" i="4"/>
  <c r="C291" i="4"/>
  <c r="E232" i="4"/>
  <c r="E187" i="4"/>
  <c r="C245" i="4"/>
  <c r="J182" i="4"/>
  <c r="I269" i="4"/>
  <c r="I303" i="4"/>
  <c r="E272" i="4"/>
  <c r="I378" i="4"/>
  <c r="E357" i="4"/>
  <c r="E137" i="4"/>
  <c r="E178" i="4"/>
  <c r="D262" i="4"/>
  <c r="J381" i="4"/>
  <c r="C101" i="4"/>
  <c r="J221" i="4"/>
  <c r="E114" i="4"/>
  <c r="I285" i="4"/>
  <c r="E203" i="4"/>
  <c r="C390" i="4"/>
  <c r="I142" i="4"/>
  <c r="I293" i="4"/>
  <c r="E334" i="4"/>
  <c r="D348" i="4"/>
  <c r="J148" i="4"/>
  <c r="J340" i="4"/>
  <c r="J263" i="4"/>
  <c r="C313" i="4"/>
  <c r="E211" i="4"/>
  <c r="I169" i="4"/>
  <c r="E302" i="4"/>
  <c r="J322" i="4"/>
  <c r="E244" i="4"/>
  <c r="J198" i="4"/>
  <c r="J162" i="4"/>
  <c r="J98" i="4"/>
  <c r="J226" i="4"/>
  <c r="D149" i="4"/>
  <c r="J242" i="4"/>
  <c r="J384" i="4"/>
  <c r="D201" i="4"/>
  <c r="E322" i="4"/>
  <c r="J197" i="4"/>
  <c r="I176" i="4"/>
  <c r="E217" i="4"/>
  <c r="J196" i="4"/>
  <c r="C163" i="4"/>
  <c r="C105" i="4"/>
  <c r="C270" i="4"/>
  <c r="D119" i="4"/>
  <c r="D347" i="4"/>
  <c r="D384" i="4"/>
  <c r="I92" i="4"/>
  <c r="E314" i="4"/>
  <c r="I149" i="4"/>
  <c r="J317" i="4"/>
  <c r="J235" i="4"/>
  <c r="J146" i="4"/>
  <c r="I297" i="4"/>
  <c r="J382" i="4"/>
  <c r="I173" i="4"/>
  <c r="J173" i="4"/>
  <c r="E113" i="4"/>
  <c r="J277" i="4"/>
  <c r="C364" i="4"/>
  <c r="C145" i="4"/>
  <c r="E190" i="4"/>
  <c r="J281" i="4"/>
  <c r="C165" i="4"/>
  <c r="C96" i="4"/>
  <c r="C355" i="4"/>
  <c r="J316" i="4"/>
  <c r="E124" i="4"/>
  <c r="C319" i="4"/>
  <c r="C325" i="4"/>
  <c r="J144" i="4"/>
  <c r="E125" i="4"/>
  <c r="E156" i="4"/>
  <c r="I281" i="4"/>
  <c r="E249" i="4"/>
  <c r="C151" i="4"/>
  <c r="I268" i="4"/>
  <c r="C93" i="4"/>
  <c r="C262" i="4"/>
  <c r="C259" i="4"/>
  <c r="I349" i="4"/>
  <c r="E188" i="4"/>
  <c r="C359" i="4"/>
  <c r="E142" i="4"/>
  <c r="C306" i="4"/>
  <c r="E325" i="4"/>
  <c r="E131" i="4"/>
  <c r="C130" i="4"/>
  <c r="E245" i="4"/>
  <c r="J179" i="4"/>
  <c r="C191" i="4"/>
  <c r="E345" i="4"/>
  <c r="D99" i="4"/>
  <c r="J378" i="4"/>
  <c r="I165" i="4"/>
  <c r="J361" i="4"/>
  <c r="J194" i="4"/>
  <c r="C183" i="4"/>
  <c r="I119" i="4"/>
  <c r="E208" i="4"/>
  <c r="D259" i="4"/>
  <c r="D355" i="4"/>
  <c r="J133" i="4"/>
  <c r="D319" i="4"/>
  <c r="I121" i="4"/>
  <c r="C215" i="4"/>
  <c r="C95" i="4"/>
  <c r="D333" i="4"/>
  <c r="C311" i="4"/>
  <c r="D375" i="4"/>
  <c r="D120" i="4"/>
  <c r="D238" i="4"/>
  <c r="I222" i="4"/>
  <c r="D196" i="4"/>
  <c r="D220" i="4"/>
  <c r="J229" i="4"/>
  <c r="C356" i="4"/>
  <c r="C109" i="4"/>
  <c r="E377" i="4"/>
  <c r="E129" i="4"/>
  <c r="E309" i="4"/>
  <c r="D207" i="4"/>
  <c r="I321" i="4"/>
  <c r="E330" i="4"/>
  <c r="J345" i="4"/>
  <c r="E119" i="4"/>
  <c r="J202" i="4"/>
  <c r="D172" i="4"/>
  <c r="C289" i="4"/>
  <c r="E339" i="4"/>
  <c r="I251" i="4"/>
  <c r="D371" i="4"/>
  <c r="C219" i="4"/>
  <c r="I340" i="4"/>
  <c r="D218" i="4"/>
  <c r="C116" i="4"/>
  <c r="E227" i="4"/>
  <c r="C136" i="4"/>
  <c r="D285" i="4"/>
  <c r="I357" i="4"/>
  <c r="I361" i="4"/>
  <c r="I335" i="4"/>
  <c r="J389" i="4"/>
  <c r="E218" i="4"/>
  <c r="D367" i="4"/>
  <c r="E370" i="4"/>
  <c r="E333" i="4"/>
  <c r="E107" i="4"/>
  <c r="I296" i="4"/>
  <c r="J292" i="4"/>
  <c r="I177" i="4"/>
  <c r="E235" i="4"/>
  <c r="J372" i="4"/>
  <c r="E215" i="4"/>
  <c r="E180" i="4"/>
  <c r="J127" i="4"/>
  <c r="D354" i="4"/>
  <c r="D210" i="4"/>
  <c r="D324" i="4"/>
  <c r="D315" i="4"/>
  <c r="D177" i="4"/>
  <c r="D288" i="4"/>
  <c r="E295" i="4"/>
  <c r="D115" i="4"/>
  <c r="C188" i="4"/>
  <c r="D352" i="4"/>
  <c r="C386" i="4"/>
  <c r="J120" i="4"/>
  <c r="E159" i="4"/>
  <c r="E95" i="4"/>
  <c r="J328" i="4"/>
  <c r="D359" i="4"/>
  <c r="J178" i="4"/>
  <c r="I239" i="4"/>
  <c r="D112" i="4"/>
  <c r="E166" i="4"/>
  <c r="D215" i="4"/>
  <c r="E386" i="4"/>
  <c r="J69" i="4"/>
  <c r="C123" i="4"/>
  <c r="E169" i="4"/>
  <c r="D261" i="4"/>
  <c r="D356" i="4"/>
  <c r="D273" i="4"/>
  <c r="C231" i="4"/>
  <c r="E216" i="4"/>
  <c r="D138" i="4"/>
  <c r="J331" i="4"/>
  <c r="J111" i="4"/>
  <c r="E368" i="4"/>
  <c r="I90" i="4"/>
  <c r="I210" i="4"/>
  <c r="D294" i="4"/>
  <c r="J266" i="4"/>
  <c r="E378" i="4"/>
  <c r="D193" i="4"/>
  <c r="D166" i="4"/>
  <c r="E285" i="4"/>
  <c r="E301" i="4"/>
  <c r="C157" i="4"/>
  <c r="D125" i="4"/>
  <c r="D386" i="4"/>
  <c r="D163" i="4"/>
  <c r="C99" i="4"/>
  <c r="D203" i="4"/>
  <c r="C159" i="4"/>
  <c r="I162" i="4"/>
  <c r="I306" i="4"/>
  <c r="D336" i="4"/>
  <c r="D89" i="4"/>
  <c r="I192" i="4"/>
  <c r="J250" i="4"/>
  <c r="C100" i="4"/>
  <c r="J273" i="4"/>
  <c r="E388" i="4"/>
  <c r="C226" i="4"/>
  <c r="C278" i="4"/>
  <c r="I100" i="4"/>
  <c r="J164" i="4"/>
  <c r="I252" i="4"/>
  <c r="E226" i="4"/>
  <c r="J191" i="4"/>
  <c r="C360" i="4"/>
  <c r="E348" i="4"/>
  <c r="I199" i="4"/>
  <c r="J108" i="4"/>
  <c r="D146" i="4"/>
  <c r="J219" i="4"/>
  <c r="E286" i="4"/>
  <c r="I212" i="4"/>
  <c r="C173" i="4"/>
  <c r="C177" i="4"/>
  <c r="E209" i="4"/>
  <c r="C281" i="4"/>
  <c r="I118" i="4"/>
  <c r="I205" i="4"/>
  <c r="E181" i="4"/>
  <c r="E184" i="4"/>
  <c r="C369" i="4"/>
  <c r="D369" i="4"/>
  <c r="D217" i="4"/>
  <c r="J353" i="4"/>
  <c r="C104" i="4"/>
  <c r="D329" i="4"/>
  <c r="J160" i="4"/>
  <c r="E201" i="4"/>
  <c r="C252" i="4"/>
  <c r="C155" i="4"/>
  <c r="D364" i="4"/>
  <c r="I203" i="4"/>
  <c r="D260" i="4"/>
  <c r="J116" i="4"/>
  <c r="D237" i="4"/>
  <c r="D209" i="4"/>
  <c r="J166" i="4"/>
  <c r="E317" i="4"/>
  <c r="I161" i="4"/>
  <c r="J303" i="4"/>
  <c r="C365" i="4"/>
  <c r="D251" i="4"/>
  <c r="C301" i="4"/>
  <c r="I257" i="4"/>
  <c r="J383" i="4"/>
  <c r="C146" i="4"/>
  <c r="J287" i="4"/>
  <c r="J204" i="4"/>
  <c r="C206" i="4"/>
  <c r="C377" i="4"/>
  <c r="E86" i="4"/>
  <c r="E304" i="4"/>
  <c r="D117" i="4"/>
  <c r="J253" i="4"/>
  <c r="E354" i="4"/>
  <c r="I234" i="4"/>
  <c r="E328" i="4"/>
  <c r="J87" i="4"/>
  <c r="E256" i="4"/>
  <c r="E175" i="4"/>
  <c r="C113" i="4"/>
  <c r="J269" i="4"/>
  <c r="I196" i="4"/>
  <c r="D295" i="4"/>
  <c r="I327" i="4"/>
  <c r="E250" i="4"/>
  <c r="E157" i="4"/>
  <c r="E267" i="4"/>
  <c r="C147" i="4"/>
  <c r="E240" i="4"/>
  <c r="C237" i="4"/>
  <c r="C139" i="4"/>
  <c r="I353" i="4"/>
  <c r="C186" i="4"/>
  <c r="J246" i="4"/>
  <c r="C129" i="4"/>
  <c r="J124" i="4"/>
  <c r="C337" i="4"/>
  <c r="D212" i="4"/>
  <c r="C179" i="4"/>
  <c r="J262" i="4"/>
  <c r="I172" i="4"/>
  <c r="I213" i="4"/>
  <c r="E277" i="4"/>
  <c r="C338" i="4"/>
  <c r="I343" i="4"/>
  <c r="C372" i="4"/>
  <c r="E347" i="4"/>
  <c r="J176" i="4"/>
  <c r="J220" i="4"/>
  <c r="D133" i="4"/>
  <c r="E385" i="4"/>
  <c r="D234" i="4"/>
  <c r="C343" i="4"/>
  <c r="E237" i="4"/>
  <c r="D226" i="4"/>
  <c r="I183" i="4"/>
  <c r="J123" i="4"/>
  <c r="C120" i="4"/>
  <c r="D143" i="4"/>
  <c r="D137" i="4"/>
  <c r="E144" i="4"/>
  <c r="D69" i="4"/>
  <c r="J284" i="4"/>
  <c r="E373" i="4"/>
  <c r="C131" i="4"/>
  <c r="E210" i="4"/>
  <c r="I94" i="4"/>
  <c r="C324" i="4"/>
  <c r="I153" i="4"/>
  <c r="C346" i="4"/>
  <c r="E258" i="4"/>
  <c r="C357" i="4"/>
  <c r="C331" i="4"/>
  <c r="E356" i="4"/>
  <c r="D272" i="4"/>
  <c r="D309" i="4"/>
  <c r="C244" i="4"/>
  <c r="D239" i="4"/>
  <c r="J97" i="4"/>
  <c r="D104" i="4"/>
  <c r="E350" i="4"/>
  <c r="D360" i="4"/>
  <c r="I328" i="4"/>
  <c r="E254" i="4"/>
  <c r="C180" i="4"/>
  <c r="J88" i="4"/>
  <c r="C208" i="4"/>
  <c r="D334" i="4"/>
  <c r="I276" i="4"/>
  <c r="J157" i="4"/>
  <c r="I128" i="4"/>
  <c r="C148" i="4"/>
  <c r="D390" i="4"/>
  <c r="C367" i="4"/>
  <c r="D388" i="4"/>
  <c r="C211" i="4"/>
  <c r="D343" i="4"/>
  <c r="I313" i="4"/>
  <c r="D103" i="4"/>
  <c r="E389" i="4"/>
  <c r="D379" i="4"/>
  <c r="J89" i="4"/>
  <c r="D344" i="4"/>
  <c r="E192" i="4"/>
  <c r="D300" i="4"/>
  <c r="E359" i="4"/>
  <c r="C256" i="4"/>
  <c r="I108" i="4"/>
  <c r="I232" i="4"/>
  <c r="J211" i="4"/>
  <c r="E374" i="4"/>
  <c r="E340" i="4"/>
  <c r="E171" i="4"/>
  <c r="C315" i="4"/>
  <c r="D277" i="4"/>
  <c r="E331" i="4"/>
  <c r="I110" i="4"/>
  <c r="E262" i="4"/>
  <c r="J177" i="4"/>
  <c r="I214" i="4"/>
  <c r="I85" i="4"/>
  <c r="I273" i="4"/>
  <c r="D266" i="4"/>
  <c r="C320" i="4"/>
  <c r="I345" i="4"/>
  <c r="D147" i="4"/>
  <c r="J375" i="4"/>
  <c r="E220" i="4"/>
  <c r="C236" i="4"/>
  <c r="C149" i="4"/>
  <c r="I331" i="4"/>
  <c r="E206" i="4"/>
  <c r="D91" i="4"/>
  <c r="D240" i="4"/>
  <c r="J280" i="4"/>
  <c r="J285" i="4"/>
  <c r="C127" i="4"/>
  <c r="I329" i="4"/>
  <c r="D327" i="4"/>
  <c r="E189" i="4"/>
  <c r="J136" i="4"/>
  <c r="I246" i="4"/>
  <c r="C232" i="4"/>
  <c r="I356" i="4"/>
  <c r="E85" i="4"/>
  <c r="D197" i="4"/>
  <c r="I236" i="4"/>
  <c r="I187" i="4"/>
  <c r="C363" i="4"/>
  <c r="C197" i="4"/>
  <c r="J268" i="4"/>
  <c r="C323" i="4"/>
  <c r="C341" i="4"/>
  <c r="J388" i="4"/>
  <c r="D358" i="4"/>
  <c r="I197" i="4"/>
  <c r="E152" i="4"/>
  <c r="C87" i="4"/>
  <c r="C106" i="4"/>
  <c r="J156" i="4"/>
  <c r="I185" i="4"/>
  <c r="D223" i="4"/>
  <c r="D293" i="4"/>
  <c r="J125" i="4"/>
  <c r="E312" i="4"/>
  <c r="E147" i="4"/>
  <c r="C224" i="4"/>
  <c r="D236" i="4"/>
  <c r="E297" i="4"/>
  <c r="D335" i="4"/>
  <c r="I377" i="4"/>
  <c r="E196" i="4"/>
  <c r="I114" i="4"/>
  <c r="D368" i="4"/>
  <c r="C153" i="4"/>
  <c r="C305" i="4"/>
  <c r="I289" i="4"/>
  <c r="E276" i="4"/>
  <c r="D351" i="4"/>
  <c r="C330" i="4"/>
  <c r="C205" i="4"/>
  <c r="I225" i="4"/>
  <c r="J333" i="4"/>
  <c r="J212" i="4"/>
  <c r="D389" i="4"/>
  <c r="J218" i="4"/>
  <c r="J359" i="4"/>
  <c r="D306" i="4"/>
  <c r="E163" i="4"/>
  <c r="J356" i="4"/>
  <c r="D214" i="4"/>
  <c r="D269" i="4"/>
  <c r="C126" i="4"/>
  <c r="I248" i="4"/>
  <c r="J134" i="4"/>
  <c r="E200" i="4"/>
  <c r="D165" i="4"/>
  <c r="D86" i="4"/>
  <c r="J161" i="4"/>
  <c r="I123" i="4"/>
  <c r="E155" i="4"/>
  <c r="C122" i="4"/>
  <c r="D345" i="4"/>
  <c r="E143" i="4"/>
  <c r="D291" i="4"/>
  <c r="C239" i="4"/>
  <c r="J334" i="4"/>
  <c r="D93" i="4"/>
  <c r="C199" i="4"/>
  <c r="I317" i="4"/>
  <c r="I168" i="4"/>
  <c r="D310" i="4"/>
  <c r="C198" i="4"/>
  <c r="I190" i="4"/>
  <c r="C154" i="4"/>
  <c r="I263" i="4"/>
  <c r="C168" i="4"/>
  <c r="I219" i="4"/>
  <c r="C171" i="4"/>
  <c r="C336" i="4"/>
  <c r="J296" i="4"/>
  <c r="J265" i="4"/>
  <c r="J337" i="4"/>
  <c r="J362" i="4"/>
  <c r="C181" i="4"/>
  <c r="I283" i="4"/>
  <c r="D385" i="4"/>
  <c r="J267" i="4"/>
  <c r="D252" i="4"/>
  <c r="E204" i="4"/>
  <c r="I370" i="4"/>
  <c r="J237" i="4"/>
  <c r="D85" i="4"/>
  <c r="J299" i="4"/>
  <c r="J330" i="4"/>
  <c r="E233" i="4"/>
  <c r="I133" i="4"/>
  <c r="J152" i="4"/>
  <c r="C241" i="4"/>
  <c r="I102" i="4"/>
  <c r="E91" i="4"/>
  <c r="E382" i="4"/>
  <c r="D292" i="4"/>
  <c r="C379" i="4"/>
  <c r="C112" i="4"/>
  <c r="E252" i="4"/>
  <c r="J258" i="4"/>
  <c r="I235" i="4"/>
  <c r="I267" i="4"/>
  <c r="C254" i="4"/>
  <c r="C217" i="4"/>
  <c r="I379" i="4"/>
  <c r="I155" i="4"/>
  <c r="J310" i="4"/>
  <c r="J132" i="4"/>
  <c r="C354" i="4"/>
  <c r="I367" i="4"/>
  <c r="J336" i="4"/>
  <c r="E273" i="4"/>
  <c r="C294" i="4"/>
  <c r="E346" i="4"/>
  <c r="D243" i="4"/>
  <c r="E360" i="4"/>
  <c r="C322" i="4"/>
  <c r="D144" i="4"/>
  <c r="I376" i="4"/>
  <c r="C85" i="4"/>
  <c r="J213" i="4"/>
  <c r="D156" i="4"/>
  <c r="J163" i="4"/>
  <c r="C302" i="4"/>
  <c r="E294" i="4"/>
  <c r="J314" i="4"/>
  <c r="E135" i="4"/>
  <c r="E92" i="4"/>
  <c r="J92" i="4"/>
  <c r="D107" i="4"/>
  <c r="E127" i="4"/>
  <c r="C114" i="4"/>
  <c r="J259" i="4"/>
  <c r="E149" i="4"/>
  <c r="D216" i="4"/>
  <c r="J142" i="4"/>
  <c r="E313" i="4"/>
  <c r="C209" i="4"/>
  <c r="I174" i="4"/>
  <c r="D313" i="4"/>
  <c r="E371" i="4"/>
  <c r="D148" i="4"/>
  <c r="D321" i="4"/>
  <c r="I89" i="4"/>
  <c r="E353" i="4"/>
  <c r="D180" i="4"/>
  <c r="I365" i="4"/>
  <c r="J189" i="4"/>
  <c r="E239" i="4"/>
  <c r="I151" i="4"/>
  <c r="I390" i="4"/>
  <c r="E257" i="4"/>
  <c r="C352" i="4"/>
  <c r="D105" i="4"/>
  <c r="E247" i="4"/>
  <c r="I363" i="4"/>
  <c r="J188" i="4"/>
  <c r="I337" i="4"/>
  <c r="C210" i="4"/>
  <c r="C115" i="4"/>
  <c r="I344" i="4"/>
  <c r="I157" i="4"/>
  <c r="J347" i="4"/>
  <c r="D124" i="4"/>
  <c r="D353" i="4"/>
  <c r="C376" i="4"/>
  <c r="I134" i="4"/>
  <c r="E109" i="4"/>
  <c r="D132" i="4"/>
  <c r="I208" i="4"/>
  <c r="J206" i="4"/>
  <c r="J324" i="4"/>
  <c r="I351" i="4"/>
  <c r="I182" i="4"/>
  <c r="E168" i="4"/>
  <c r="I135" i="4"/>
  <c r="I163" i="4"/>
  <c r="D282" i="4"/>
  <c r="E241" i="4"/>
  <c r="C275" i="4"/>
  <c r="I382" i="4"/>
  <c r="E236" i="4"/>
  <c r="D328" i="4"/>
  <c r="I277" i="4"/>
  <c r="E271" i="4"/>
  <c r="I106" i="4"/>
  <c r="J209" i="4"/>
  <c r="D370" i="4"/>
  <c r="I355" i="4"/>
  <c r="C389" i="4"/>
  <c r="C327" i="4"/>
  <c r="C329" i="4"/>
  <c r="E115" i="4"/>
  <c r="E205" i="4"/>
  <c r="J104" i="4"/>
  <c r="J231" i="4"/>
  <c r="J278" i="4"/>
  <c r="E311" i="4"/>
  <c r="D190" i="4"/>
  <c r="E229" i="4"/>
  <c r="E291" i="4"/>
  <c r="I254" i="4"/>
  <c r="E326" i="4"/>
  <c r="C230" i="4"/>
  <c r="D222" i="4"/>
  <c r="D338" i="4"/>
  <c r="E97" i="4"/>
  <c r="C269" i="4"/>
  <c r="J245" i="4"/>
  <c r="E264" i="4"/>
  <c r="I243" i="4"/>
  <c r="I374" i="4"/>
  <c r="I186" i="4"/>
  <c r="E87" i="4"/>
  <c r="E158" i="4"/>
  <c r="D303" i="4"/>
  <c r="C261" i="4"/>
  <c r="I218" i="4"/>
  <c r="J225" i="4"/>
  <c r="D264" i="4"/>
  <c r="E106" i="4"/>
  <c r="I346" i="4"/>
  <c r="E269" i="4"/>
  <c r="J147" i="4"/>
  <c r="J358" i="4"/>
  <c r="I249" i="4"/>
  <c r="D87" i="4"/>
  <c r="D302" i="4"/>
  <c r="E288" i="4"/>
  <c r="C194" i="4"/>
  <c r="C272" i="4"/>
  <c r="I152" i="4"/>
  <c r="I368" i="4"/>
  <c r="J313" i="4"/>
  <c r="J183" i="4"/>
  <c r="C246" i="4"/>
  <c r="I247" i="4"/>
  <c r="J236" i="4"/>
  <c r="D363" i="4"/>
  <c r="J170" i="4"/>
  <c r="J387" i="4"/>
  <c r="I180" i="4"/>
  <c r="C111" i="4"/>
  <c r="J363" i="4"/>
  <c r="E369" i="4"/>
  <c r="J154" i="4"/>
  <c r="I358" i="4"/>
  <c r="I99" i="4"/>
  <c r="C128" i="4"/>
  <c r="J110" i="4"/>
  <c r="I166" i="4"/>
  <c r="D383" i="4"/>
  <c r="E248" i="4"/>
  <c r="C218" i="4"/>
  <c r="I105" i="4"/>
  <c r="E223" i="4"/>
  <c r="J216" i="4"/>
  <c r="I211" i="4"/>
  <c r="D183" i="4"/>
  <c r="I262" i="4"/>
  <c r="C133" i="4"/>
  <c r="J186" i="4"/>
  <c r="C388" i="4"/>
  <c r="I97" i="4"/>
  <c r="D357" i="4"/>
  <c r="I131" i="4"/>
  <c r="I308" i="4"/>
  <c r="J227" i="4"/>
  <c r="I385" i="4"/>
  <c r="D331" i="4"/>
  <c r="I388" i="4"/>
  <c r="J181" i="4"/>
  <c r="I342" i="4"/>
  <c r="D130" i="4"/>
  <c r="E108" i="4"/>
  <c r="D280" i="4"/>
  <c r="I178" i="4"/>
  <c r="C288" i="4"/>
  <c r="J149" i="4"/>
  <c r="I320" i="4"/>
  <c r="J327" i="4"/>
  <c r="I354" i="4"/>
  <c r="D227" i="4"/>
  <c r="I383" i="4"/>
  <c r="C102" i="4"/>
  <c r="J241" i="4"/>
  <c r="I244" i="4"/>
  <c r="D373" i="4"/>
  <c r="E111" i="4"/>
  <c r="J159" i="4"/>
  <c r="D326" i="4"/>
  <c r="I284" i="4"/>
  <c r="E270" i="4"/>
  <c r="D102" i="4"/>
  <c r="J320" i="4"/>
  <c r="C178" i="4"/>
  <c r="E376" i="4"/>
  <c r="C238" i="4"/>
  <c r="C280" i="4"/>
  <c r="D263" i="4"/>
  <c r="J369" i="4"/>
  <c r="D247" i="4"/>
  <c r="C382" i="4"/>
  <c r="E172" i="4"/>
  <c r="E89" i="4"/>
  <c r="D316" i="4"/>
  <c r="D153" i="4"/>
  <c r="I242" i="4"/>
  <c r="D332" i="4"/>
  <c r="I113" i="4"/>
  <c r="E130" i="4"/>
  <c r="C273" i="4"/>
  <c r="E278" i="4"/>
  <c r="J298" i="4"/>
  <c r="D311" i="4"/>
  <c r="I253" i="4"/>
  <c r="E134" i="4"/>
  <c r="J338" i="4"/>
  <c r="J131" i="4"/>
  <c r="E88" i="4"/>
  <c r="D134" i="4"/>
  <c r="C156" i="4"/>
  <c r="D377" i="4"/>
  <c r="E320" i="4"/>
  <c r="J94" i="4"/>
  <c r="D362" i="4"/>
  <c r="J360" i="4"/>
  <c r="I233" i="4"/>
  <c r="E305" i="4"/>
  <c r="I120" i="4"/>
  <c r="E358" i="4"/>
  <c r="E323" i="4"/>
  <c r="E99" i="4"/>
  <c r="I322" i="4"/>
  <c r="D157" i="4"/>
  <c r="I334" i="4"/>
  <c r="C144" i="4"/>
  <c r="C348" i="4"/>
  <c r="E162" i="4"/>
  <c r="I258" i="4"/>
  <c r="J368" i="4"/>
  <c r="D219" i="4"/>
  <c r="D106" i="4"/>
  <c r="D297" i="4"/>
  <c r="I372" i="4"/>
  <c r="J275" i="4"/>
  <c r="E225" i="4"/>
  <c r="J255" i="4"/>
  <c r="I348" i="4"/>
  <c r="C380" i="4"/>
  <c r="C374" i="4"/>
  <c r="D185" i="4"/>
  <c r="J192" i="4"/>
  <c r="D170" i="4"/>
  <c r="D122" i="4"/>
  <c r="E282" i="4"/>
  <c r="D118" i="4"/>
  <c r="I347" i="4"/>
  <c r="J318" i="4"/>
  <c r="I104" i="4"/>
  <c r="I279" i="4"/>
  <c r="J301" i="4"/>
  <c r="D184" i="4"/>
  <c r="C326" i="4"/>
  <c r="C141" i="4"/>
  <c r="I307" i="4"/>
  <c r="E390" i="4"/>
  <c r="D198" i="4"/>
  <c r="I288" i="4"/>
  <c r="D380" i="4"/>
  <c r="D109" i="4"/>
  <c r="D128" i="4"/>
  <c r="J308" i="4"/>
  <c r="C243" i="4"/>
  <c r="J232" i="4"/>
  <c r="I93" i="4"/>
  <c r="E167" i="4"/>
  <c r="J217" i="4"/>
  <c r="C366" i="4"/>
  <c r="J210" i="4"/>
  <c r="E170" i="4"/>
  <c r="J332" i="4"/>
  <c r="C340" i="4"/>
  <c r="E221" i="4"/>
  <c r="E283" i="4"/>
  <c r="C195" i="4"/>
  <c r="I137" i="4"/>
  <c r="E338" i="4"/>
  <c r="E379" i="4"/>
  <c r="J386" i="4"/>
  <c r="C307" i="4"/>
  <c r="J151" i="4"/>
  <c r="J165" i="4"/>
  <c r="D305" i="4"/>
  <c r="E94" i="4"/>
  <c r="E296" i="4"/>
  <c r="J264" i="4"/>
  <c r="E238" i="4"/>
  <c r="E116" i="4"/>
  <c r="D221" i="4"/>
  <c r="E160" i="4"/>
  <c r="E375" i="4"/>
  <c r="C204" i="4"/>
  <c r="I298" i="4"/>
  <c r="C5" i="12"/>
  <c r="C250" i="4"/>
  <c r="I154" i="4"/>
  <c r="E123" i="4"/>
  <c r="I109" i="4"/>
  <c r="C353" i="4"/>
  <c r="I316" i="4"/>
  <c r="E207" i="4"/>
  <c r="J348" i="4"/>
  <c r="C202" i="4"/>
  <c r="D192" i="4"/>
  <c r="D325" i="4"/>
  <c r="J309" i="4"/>
  <c r="J289" i="4"/>
  <c r="D274" i="4"/>
  <c r="E275" i="4"/>
  <c r="E105" i="4"/>
  <c r="D178" i="4"/>
  <c r="E265" i="4"/>
  <c r="C189" i="4"/>
  <c r="I147" i="4"/>
  <c r="E148" i="4"/>
  <c r="E228" i="4"/>
  <c r="C142" i="4"/>
  <c r="J329" i="4"/>
  <c r="D253" i="4"/>
  <c r="E138" i="4"/>
  <c r="I272" i="4"/>
  <c r="C383" i="4"/>
  <c r="J374" i="4"/>
  <c r="C296" i="4"/>
  <c r="I164" i="4"/>
  <c r="J158" i="4"/>
  <c r="D101" i="4"/>
  <c r="J109" i="4"/>
  <c r="J228" i="4"/>
  <c r="D225" i="4"/>
  <c r="C304" i="4"/>
  <c r="C257" i="4"/>
  <c r="J307" i="4"/>
  <c r="J297" i="4"/>
  <c r="I146" i="4"/>
  <c r="C265" i="4"/>
  <c r="D312" i="4"/>
  <c r="C263" i="4"/>
  <c r="J99" i="4"/>
  <c r="I91" i="4"/>
  <c r="E185" i="4"/>
  <c r="J234" i="4"/>
  <c r="E260" i="4"/>
  <c r="D257" i="4"/>
  <c r="E337" i="4"/>
  <c r="E355" i="4"/>
  <c r="I301" i="4"/>
  <c r="D191" i="4"/>
  <c r="E289" i="4"/>
  <c r="D97" i="4"/>
  <c r="E101" i="4"/>
  <c r="I287" i="4"/>
  <c r="D96" i="4"/>
  <c r="C335" i="4"/>
  <c r="I230" i="4"/>
  <c r="D283" i="4"/>
  <c r="J370" i="4"/>
  <c r="I241" i="4"/>
  <c r="E367" i="4"/>
  <c r="C351" i="4"/>
  <c r="I245" i="4"/>
  <c r="J101" i="4"/>
  <c r="D152" i="4"/>
  <c r="J155" i="4"/>
  <c r="I181" i="4"/>
  <c r="C221" i="4"/>
  <c r="J288" i="4"/>
  <c r="I202" i="4"/>
  <c r="D224" i="4"/>
  <c r="J102" i="4"/>
  <c r="C314" i="4"/>
  <c r="I136" i="4"/>
  <c r="I124" i="4"/>
  <c r="E318" i="4"/>
  <c r="C277" i="4"/>
  <c r="C292" i="4"/>
  <c r="D206" i="4"/>
  <c r="I175" i="4"/>
  <c r="E261" i="4"/>
  <c r="J113" i="4"/>
  <c r="E151" i="4"/>
  <c r="D164" i="4"/>
  <c r="D116" i="4"/>
  <c r="I139" i="4"/>
  <c r="E93" i="4"/>
  <c r="D270" i="4"/>
  <c r="D111" i="4"/>
  <c r="J239" i="4"/>
  <c r="J367" i="4"/>
  <c r="D168" i="4"/>
  <c r="I140" i="4"/>
  <c r="D284" i="4"/>
  <c r="J180" i="4"/>
  <c r="J121" i="4"/>
  <c r="I170" i="4"/>
  <c r="E384" i="4"/>
  <c r="D374" i="4"/>
  <c r="C132" i="4"/>
  <c r="E280" i="4"/>
  <c r="J323" i="4"/>
  <c r="C172" i="4"/>
  <c r="K4" i="11"/>
  <c r="I305" i="4"/>
  <c r="E315" i="4"/>
  <c r="E96" i="4"/>
  <c r="J96" i="4"/>
  <c r="D139" i="4"/>
  <c r="I231" i="4"/>
  <c r="J138" i="4"/>
  <c r="I294" i="4"/>
  <c r="C110" i="4"/>
  <c r="E128" i="4"/>
  <c r="J168" i="4"/>
  <c r="J283" i="4"/>
  <c r="E136" i="4"/>
  <c r="E307" i="4"/>
  <c r="I302" i="4"/>
  <c r="E251" i="4"/>
  <c r="E243" i="4"/>
  <c r="C200" i="4"/>
  <c r="C347" i="4"/>
  <c r="I326" i="4"/>
  <c r="D265" i="4"/>
  <c r="E145" i="4"/>
  <c r="C143" i="4"/>
  <c r="E202" i="4"/>
  <c r="I304" i="4"/>
  <c r="C117" i="4"/>
  <c r="J244" i="4"/>
  <c r="J233" i="4"/>
  <c r="D199" i="4"/>
  <c r="C212" i="4"/>
  <c r="E110" i="4"/>
  <c r="I364" i="4"/>
  <c r="I319" i="4"/>
  <c r="C167" i="4"/>
  <c r="I359" i="4"/>
  <c r="D361" i="4"/>
  <c r="J390" i="4"/>
  <c r="C249" i="4"/>
  <c r="C310" i="4"/>
  <c r="D254" i="4"/>
  <c r="E231" i="4"/>
  <c r="D174" i="4"/>
  <c r="E352" i="4"/>
  <c r="J172" i="4"/>
  <c r="E310" i="4"/>
  <c r="C247" i="4"/>
  <c r="I371" i="4"/>
  <c r="J185" i="4"/>
  <c r="D195" i="4"/>
  <c r="I256" i="4"/>
  <c r="C299" i="4"/>
  <c r="C387" i="4"/>
  <c r="D98" i="4"/>
  <c r="J243" i="4"/>
  <c r="C285" i="4"/>
  <c r="D173" i="4"/>
  <c r="I330" i="4"/>
  <c r="J175" i="4"/>
  <c r="C152" i="4"/>
  <c r="E290" i="4"/>
  <c r="J201" i="4"/>
  <c r="I141" i="4"/>
  <c r="J300" i="4"/>
  <c r="I200" i="4"/>
  <c r="J86" i="4"/>
  <c r="I132" i="4"/>
  <c r="J137" i="4"/>
  <c r="J105" i="4"/>
  <c r="E199" i="4"/>
  <c r="C235" i="4"/>
  <c r="D126" i="4"/>
  <c r="I312" i="4"/>
  <c r="D145" i="4"/>
  <c r="D158" i="4"/>
  <c r="E179" i="4"/>
  <c r="I291" i="4"/>
  <c r="C266" i="4"/>
  <c r="C303" i="4"/>
  <c r="D100" i="4"/>
  <c r="D175" i="4"/>
  <c r="D246" i="4"/>
  <c r="E182" i="4"/>
  <c r="D365" i="4"/>
  <c r="C358" i="4"/>
  <c r="J117" i="4"/>
  <c r="E90" i="4"/>
  <c r="J352" i="4"/>
  <c r="J193" i="4"/>
  <c r="I184" i="4"/>
  <c r="E173" i="4"/>
  <c r="J140" i="4"/>
  <c r="C332" i="4"/>
  <c r="J222" i="4"/>
  <c r="J346" i="4"/>
  <c r="D342" i="4"/>
  <c r="C309" i="4"/>
  <c r="E176" i="4"/>
  <c r="I130" i="4"/>
  <c r="J376" i="4"/>
  <c r="I261" i="4"/>
  <c r="I224" i="4"/>
  <c r="E363" i="4"/>
  <c r="I167" i="4"/>
  <c r="C328" i="4"/>
  <c r="E383" i="4"/>
  <c r="I324" i="4"/>
  <c r="I160" i="4"/>
  <c r="C140" i="4"/>
  <c r="D381" i="4"/>
  <c r="J195" i="4"/>
  <c r="D299" i="4"/>
  <c r="I380" i="4"/>
  <c r="C227" i="4"/>
  <c r="I360" i="4"/>
  <c r="C316" i="4"/>
  <c r="E133" i="4"/>
  <c r="C203" i="4"/>
  <c r="J321" i="4"/>
  <c r="C216" i="4"/>
  <c r="E281" i="4"/>
  <c r="I193" i="4"/>
  <c r="I369" i="4"/>
  <c r="E139" i="4"/>
  <c r="J85" i="4"/>
  <c r="I264" i="4"/>
  <c r="D211" i="4"/>
  <c r="I300" i="4"/>
  <c r="I179" i="4"/>
  <c r="D245" i="4"/>
  <c r="C279" i="4"/>
  <c r="C333" i="4"/>
  <c r="J141" i="4"/>
  <c r="I309" i="4"/>
  <c r="E336" i="4"/>
  <c r="J385" i="4"/>
  <c r="E183" i="4"/>
  <c r="E219" i="4"/>
  <c r="J205" i="4"/>
  <c r="I310" i="4"/>
  <c r="C91" i="4"/>
  <c r="D181" i="4"/>
  <c r="J254" i="4"/>
  <c r="C138" i="4"/>
  <c r="C222" i="4"/>
  <c r="E332" i="4"/>
  <c r="C190" i="4"/>
  <c r="I127" i="4"/>
  <c r="J122" i="4"/>
  <c r="I198" i="4"/>
  <c r="D92" i="4"/>
  <c r="I282" i="4"/>
  <c r="E164" i="4"/>
  <c r="J187" i="4"/>
  <c r="E117" i="4"/>
  <c r="I111" i="4"/>
  <c r="C342" i="4"/>
  <c r="I295" i="4"/>
  <c r="E372" i="4"/>
  <c r="D204" i="4"/>
  <c r="C381" i="4"/>
  <c r="C317" i="4"/>
  <c r="J90" i="4"/>
  <c r="D308" i="4"/>
  <c r="J341" i="4"/>
  <c r="J354" i="4"/>
  <c r="D230" i="4"/>
  <c r="C98" i="4"/>
  <c r="C373" i="4"/>
  <c r="E324" i="4"/>
  <c r="C213" i="4"/>
  <c r="J128" i="4"/>
  <c r="C166" i="4"/>
  <c r="E387" i="4"/>
  <c r="D176" i="4"/>
  <c r="E153" i="4"/>
  <c r="D108" i="4"/>
  <c r="D320" i="4"/>
  <c r="C229" i="4"/>
  <c r="E292" i="4"/>
  <c r="E351" i="4"/>
  <c r="J366" i="4"/>
  <c r="E259" i="4"/>
  <c r="D287" i="4"/>
  <c r="I156" i="4"/>
  <c r="D194" i="4"/>
  <c r="C214" i="4"/>
  <c r="I336" i="4"/>
  <c r="C384" i="4"/>
  <c r="E186" i="4"/>
  <c r="D94" i="4"/>
  <c r="C119" i="4"/>
  <c r="C251" i="4"/>
  <c r="E343" i="4"/>
  <c r="J319" i="4"/>
  <c r="D113" i="4"/>
  <c r="D323" i="4"/>
  <c r="I270" i="4"/>
  <c r="E103" i="4"/>
  <c r="J350" i="4"/>
  <c r="D296" i="4"/>
  <c r="J339" i="4"/>
  <c r="D151" i="4"/>
  <c r="C97" i="4"/>
  <c r="C175" i="4"/>
  <c r="C298" i="4"/>
  <c r="E242" i="4"/>
  <c r="E319" i="4"/>
  <c r="C258" i="4"/>
  <c r="I201" i="4"/>
  <c r="I194" i="4"/>
  <c r="D258" i="4"/>
  <c r="E364" i="4"/>
  <c r="E118" i="4"/>
  <c r="J171" i="4"/>
  <c r="C185" i="4"/>
  <c r="I323" i="4"/>
  <c r="I286" i="4"/>
  <c r="C242" i="4"/>
  <c r="C90" i="4"/>
  <c r="E274" i="4"/>
  <c r="E234" i="4"/>
  <c r="C344" i="4"/>
  <c r="I240" i="4"/>
  <c r="D121" i="4"/>
  <c r="J95" i="4"/>
  <c r="J312" i="4"/>
  <c r="C158" i="4"/>
  <c r="D171" i="4"/>
  <c r="I266" i="4"/>
  <c r="E299" i="4"/>
  <c r="J129" i="4"/>
  <c r="I260" i="4"/>
  <c r="C297" i="4"/>
  <c r="D366" i="4"/>
  <c r="I215" i="4"/>
  <c r="J119" i="4"/>
  <c r="I206" i="4"/>
  <c r="C137" i="4"/>
  <c r="E177" i="4"/>
  <c r="D155" i="4"/>
  <c r="C282" i="4"/>
  <c r="J190" i="4"/>
  <c r="D213" i="4"/>
  <c r="D131" i="4"/>
  <c r="I259" i="4"/>
  <c r="C370" i="4"/>
  <c r="I333" i="4"/>
  <c r="D330" i="4"/>
  <c r="J169" i="4"/>
  <c r="C135" i="4"/>
  <c r="C196" i="4"/>
  <c r="D188" i="4"/>
  <c r="D232" i="4"/>
  <c r="E104" i="4"/>
  <c r="J145" i="4"/>
  <c r="E284" i="4"/>
  <c r="E214" i="4"/>
  <c r="D255" i="4"/>
  <c r="C162" i="4"/>
  <c r="D318" i="4"/>
  <c r="I191" i="4"/>
  <c r="D339" i="4"/>
  <c r="I362" i="4"/>
  <c r="E341" i="4"/>
  <c r="I314" i="4"/>
  <c r="C361" i="4"/>
  <c r="E141" i="4"/>
  <c r="J379" i="4"/>
  <c r="I216" i="4"/>
  <c r="I271" i="4"/>
  <c r="D250" i="4"/>
  <c r="I171" i="4"/>
  <c r="J279" i="4"/>
  <c r="C4" i="12"/>
  <c r="E146" i="4"/>
  <c r="I148" i="4"/>
  <c r="I265" i="4"/>
  <c r="D387" i="4"/>
  <c r="J249" i="4"/>
  <c r="J153" i="4"/>
  <c r="C170" i="4"/>
  <c r="J200" i="4"/>
  <c r="I226" i="4"/>
  <c r="D182" i="4"/>
  <c r="E140" i="4"/>
  <c r="J118" i="4"/>
  <c r="J238" i="4"/>
  <c r="D271" i="4"/>
  <c r="E327" i="4"/>
  <c r="C318" i="4"/>
  <c r="C207" i="4"/>
  <c r="I274" i="4"/>
  <c r="E150" i="4"/>
  <c r="J270" i="4"/>
  <c r="E316" i="4"/>
  <c r="C276" i="4"/>
  <c r="E263" i="4"/>
  <c r="I69" i="4"/>
  <c r="J107" i="4"/>
  <c r="C286" i="4"/>
  <c r="I122" i="4"/>
  <c r="J365" i="4"/>
  <c r="J215" i="4"/>
  <c r="J380" i="4"/>
  <c r="C223" i="4"/>
  <c r="I223" i="4"/>
  <c r="I275" i="4"/>
  <c r="J343" i="4"/>
  <c r="D350" i="4"/>
  <c r="D150" i="4"/>
  <c r="D346" i="4"/>
  <c r="D248" i="4"/>
  <c r="J100" i="4"/>
  <c r="C308" i="4"/>
  <c r="D341" i="4"/>
  <c r="C378" i="4"/>
  <c r="C345" i="4"/>
  <c r="I195" i="4"/>
  <c r="J304" i="4"/>
  <c r="J150" i="4"/>
  <c r="C125" i="4"/>
  <c r="D228" i="4"/>
  <c r="J106" i="4"/>
  <c r="E193" i="4"/>
  <c r="C385" i="4"/>
  <c r="E213" i="4"/>
  <c r="J167" i="4"/>
  <c r="E306" i="4"/>
  <c r="D290" i="4"/>
  <c r="E224" i="4"/>
  <c r="D95" i="4"/>
  <c r="D249" i="4"/>
  <c r="E100" i="4"/>
  <c r="J252" i="4"/>
  <c r="D304" i="4"/>
  <c r="C164" i="4"/>
  <c r="J214" i="4"/>
  <c r="C350" i="4"/>
  <c r="C255" i="4"/>
  <c r="D202" i="4"/>
  <c r="J274" i="4"/>
  <c r="I116" i="4"/>
  <c r="I107" i="4"/>
  <c r="D167" i="4"/>
  <c r="I238" i="4"/>
  <c r="C176" i="4"/>
  <c r="E154" i="4"/>
  <c r="D307" i="4"/>
  <c r="D382" i="4"/>
  <c r="C150" i="4"/>
  <c r="J272" i="4"/>
  <c r="C118" i="4"/>
  <c r="D349" i="4"/>
  <c r="I115" i="4"/>
  <c r="D208" i="4"/>
  <c r="E230" i="4"/>
  <c r="C295" i="4"/>
  <c r="J294" i="4"/>
  <c r="C160" i="4"/>
  <c r="J115" i="4"/>
  <c r="I209" i="4"/>
  <c r="C174" i="4"/>
  <c r="J135" i="4"/>
  <c r="C248" i="4"/>
  <c r="E122" i="4"/>
  <c r="E321" i="4"/>
  <c r="J326" i="4"/>
  <c r="E121" i="4"/>
  <c r="C274" i="4"/>
  <c r="C334" i="4"/>
  <c r="J248" i="4"/>
  <c r="E165" i="4"/>
  <c r="E212" i="4"/>
  <c r="C253" i="4"/>
  <c r="E112" i="4"/>
  <c r="D278" i="4"/>
  <c r="D114" i="4"/>
  <c r="C89" i="4"/>
  <c r="D110" i="4"/>
  <c r="C94" i="4"/>
  <c r="D286" i="4"/>
  <c r="C169" i="4"/>
  <c r="E366" i="4"/>
  <c r="E120" i="4"/>
  <c r="J364" i="4"/>
  <c r="D301" i="4"/>
  <c r="C92" i="4"/>
  <c r="I188" i="4"/>
  <c r="C220" i="4"/>
  <c r="J357" i="4"/>
  <c r="I387" i="4"/>
  <c r="D154" i="4"/>
  <c r="C228" i="4"/>
  <c r="J295" i="4"/>
  <c r="I98" i="4"/>
  <c r="C124" i="4"/>
  <c r="I341" i="4"/>
  <c r="E198" i="4"/>
  <c r="D242" i="4"/>
  <c r="D235" i="4"/>
  <c r="J139" i="4"/>
  <c r="I220" i="4"/>
  <c r="C184" i="4"/>
  <c r="I86" i="4"/>
  <c r="I144" i="4"/>
  <c r="D142" i="4"/>
  <c r="J315" i="4"/>
  <c r="D160" i="4"/>
  <c r="E268" i="4"/>
  <c r="C300" i="4"/>
  <c r="J240" i="4"/>
  <c r="C271" i="4"/>
  <c r="J143" i="4"/>
  <c r="C182" i="4"/>
  <c r="C321" i="4"/>
  <c r="J291" i="4"/>
  <c r="D229" i="4"/>
  <c r="E303" i="4"/>
  <c r="C293" i="4"/>
  <c r="D136" i="4"/>
  <c r="I339" i="4"/>
  <c r="E308" i="4"/>
  <c r="C69" i="4"/>
  <c r="I280" i="4"/>
  <c r="I150" i="4"/>
  <c r="E222" i="4"/>
  <c r="I227" i="4"/>
  <c r="C240" i="4"/>
  <c r="I204" i="4"/>
  <c r="C12" i="12" l="1"/>
  <c r="C11" i="12"/>
  <c r="C10" i="12"/>
  <c r="Q20" i="12"/>
  <c r="Q21" i="12"/>
  <c r="Q22" i="12"/>
  <c r="Q23" i="12"/>
  <c r="Q24" i="12"/>
  <c r="Q25" i="12"/>
  <c r="Q26" i="12"/>
  <c r="Q27" i="12"/>
  <c r="Q28" i="12"/>
  <c r="Q29" i="12"/>
  <c r="Q30" i="12"/>
  <c r="Q31" i="12"/>
  <c r="Q32" i="12"/>
  <c r="Q33" i="12"/>
  <c r="Q34" i="12"/>
  <c r="Q35" i="12"/>
  <c r="Q36" i="12"/>
  <c r="Q19" i="12"/>
  <c r="B15" i="12"/>
  <c r="B3" i="12"/>
  <c r="B14" i="12"/>
  <c r="B6" i="12"/>
  <c r="B13" i="12"/>
  <c r="B4" i="12"/>
  <c r="B16" i="12"/>
  <c r="B10" i="12"/>
  <c r="B9" i="12"/>
  <c r="B5" i="12"/>
  <c r="B12" i="12"/>
  <c r="B11" i="12"/>
  <c r="B8" i="12"/>
  <c r="B7"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M15" i="6"/>
  <c r="J19" i="13"/>
  <c r="J21" i="13"/>
  <c r="J13" i="13"/>
  <c r="J10" i="13"/>
  <c r="J17" i="13"/>
  <c r="J18" i="13"/>
  <c r="J7" i="13"/>
  <c r="K7" i="13" s="1"/>
  <c r="J14" i="13"/>
  <c r="J6" i="13"/>
  <c r="J22" i="13"/>
  <c r="J12" i="13"/>
  <c r="J9" i="13"/>
  <c r="J23" i="13"/>
  <c r="K23" i="13" s="1"/>
  <c r="J16" i="13"/>
  <c r="J20" i="13"/>
  <c r="J15" i="13"/>
  <c r="K8" i="13"/>
  <c r="J11" i="13"/>
  <c r="B68" i="4" l="1"/>
  <c r="B82" i="4"/>
  <c r="B77" i="4"/>
  <c r="B76" i="4"/>
  <c r="B70" i="4"/>
  <c r="B78" i="4"/>
  <c r="B83" i="4"/>
  <c r="B71" i="4"/>
  <c r="B81" i="4"/>
  <c r="B80" i="4"/>
  <c r="B67" i="4"/>
  <c r="B75" i="4"/>
  <c r="B72" i="4"/>
  <c r="B84" i="4"/>
  <c r="B73" i="4"/>
  <c r="B79" i="4"/>
  <c r="B74" i="4"/>
  <c r="C13" i="12"/>
  <c r="J2" i="11"/>
  <c r="K2" i="11" s="1"/>
  <c r="D6" i="11" a="1"/>
  <c r="D8" i="11" s="1"/>
  <c r="H8" i="11" s="1"/>
  <c r="E6" i="11" a="1"/>
  <c r="E6" i="11" s="1"/>
  <c r="E1" i="9"/>
  <c r="K20" i="13"/>
  <c r="K12" i="13"/>
  <c r="J78" i="4"/>
  <c r="E76" i="4"/>
  <c r="C81" i="4"/>
  <c r="D76" i="4"/>
  <c r="D71" i="4"/>
  <c r="C68" i="4"/>
  <c r="I83" i="4"/>
  <c r="E67" i="4"/>
  <c r="I74" i="4"/>
  <c r="C79" i="4"/>
  <c r="C67" i="4"/>
  <c r="K22" i="13"/>
  <c r="E81" i="4"/>
  <c r="K19" i="13"/>
  <c r="K10" i="13"/>
  <c r="C82" i="4"/>
  <c r="I84" i="4"/>
  <c r="C83" i="4"/>
  <c r="D84" i="4"/>
  <c r="C77" i="4"/>
  <c r="J79" i="4"/>
  <c r="D67" i="4"/>
  <c r="E68" i="4"/>
  <c r="E72" i="4"/>
  <c r="K6" i="13"/>
  <c r="E83" i="4"/>
  <c r="E77" i="4"/>
  <c r="K17" i="13"/>
  <c r="D78" i="4"/>
  <c r="D83" i="4"/>
  <c r="I73" i="4"/>
  <c r="K15" i="13"/>
  <c r="D80" i="4"/>
  <c r="J77" i="4"/>
  <c r="C74" i="4"/>
  <c r="C73" i="4"/>
  <c r="I82" i="4"/>
  <c r="K14" i="13"/>
  <c r="C78" i="4"/>
  <c r="E73" i="4"/>
  <c r="J83" i="4"/>
  <c r="I80" i="4"/>
  <c r="E75" i="4"/>
  <c r="I76" i="4"/>
  <c r="E82" i="4"/>
  <c r="I67" i="4"/>
  <c r="I70" i="4"/>
  <c r="I77" i="4"/>
  <c r="C71" i="4"/>
  <c r="K13" i="13"/>
  <c r="K18" i="13"/>
  <c r="C75" i="4"/>
  <c r="D77" i="4"/>
  <c r="C84" i="4"/>
  <c r="D74" i="4"/>
  <c r="J71" i="4"/>
  <c r="J84" i="4"/>
  <c r="I72" i="4"/>
  <c r="D79" i="4"/>
  <c r="C7" i="12"/>
  <c r="D73" i="4"/>
  <c r="I78" i="4"/>
  <c r="K21" i="13"/>
  <c r="K16" i="13"/>
  <c r="J70" i="4"/>
  <c r="J75" i="4"/>
  <c r="E74" i="4"/>
  <c r="I79" i="4"/>
  <c r="E78" i="4"/>
  <c r="D75" i="4"/>
  <c r="J76" i="4"/>
  <c r="J67" i="4"/>
  <c r="E80" i="4"/>
  <c r="D81" i="4"/>
  <c r="I71" i="4"/>
  <c r="E70" i="4"/>
  <c r="I81" i="4"/>
  <c r="D68" i="4"/>
  <c r="J74" i="4"/>
  <c r="J73" i="4"/>
  <c r="I75" i="4"/>
  <c r="C72" i="4"/>
  <c r="J72" i="4"/>
  <c r="J80" i="4"/>
  <c r="C76" i="4"/>
  <c r="J68" i="4"/>
  <c r="D72" i="4"/>
  <c r="C80" i="4"/>
  <c r="C70" i="4"/>
  <c r="D70" i="4"/>
  <c r="E79" i="4"/>
  <c r="D82" i="4"/>
  <c r="K11" i="13"/>
  <c r="E71" i="4"/>
  <c r="J82" i="4"/>
  <c r="J81" i="4"/>
  <c r="I68" i="4"/>
  <c r="E84" i="4"/>
  <c r="K9" i="13"/>
  <c r="C14" i="12" l="1"/>
  <c r="C8" i="12"/>
  <c r="F8" i="1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H12" i="7"/>
  <c r="H9" i="9"/>
  <c r="H7" i="7"/>
  <c r="H3" i="7"/>
  <c r="H11" i="7"/>
  <c r="H4" i="7"/>
  <c r="F9" i="7"/>
  <c r="K8" i="11"/>
  <c r="H10" i="9"/>
  <c r="D6" i="7"/>
  <c r="F7" i="7"/>
  <c r="F8" i="7"/>
  <c r="F12" i="7"/>
  <c r="D3" i="7"/>
  <c r="H9" i="7"/>
  <c r="E5" i="7"/>
  <c r="E3" i="7"/>
  <c r="D9" i="7"/>
  <c r="D12" i="7"/>
  <c r="E10" i="7"/>
  <c r="H16" i="9"/>
  <c r="D5" i="7"/>
  <c r="H14" i="9"/>
  <c r="H6" i="7"/>
  <c r="H5" i="7"/>
  <c r="E7" i="7"/>
  <c r="G11" i="7"/>
  <c r="H15" i="9"/>
  <c r="G9" i="7"/>
  <c r="H4" i="9"/>
  <c r="D10" i="7"/>
  <c r="D4" i="7"/>
  <c r="D7" i="7"/>
  <c r="E6" i="7"/>
  <c r="H18" i="9"/>
  <c r="G7" i="7"/>
  <c r="G12" i="7"/>
  <c r="H8" i="9"/>
  <c r="H10" i="7"/>
  <c r="G10" i="7"/>
  <c r="E9" i="7"/>
  <c r="E12" i="7"/>
  <c r="F11" i="7"/>
  <c r="H3" i="9"/>
  <c r="F10" i="7"/>
  <c r="M78" i="12" a="1"/>
  <c r="E4" i="7"/>
  <c r="H7" i="9"/>
  <c r="H13" i="9"/>
  <c r="G8" i="7"/>
  <c r="H8" i="7"/>
  <c r="H6" i="9"/>
  <c r="Y19" i="12"/>
  <c r="H20" i="9"/>
  <c r="H11" i="9"/>
  <c r="H12" i="9"/>
  <c r="D11" i="7"/>
  <c r="H5" i="9"/>
  <c r="E8" i="7"/>
  <c r="H17" i="9"/>
  <c r="E11" i="7"/>
  <c r="D8" i="7"/>
  <c r="B29" i="4" l="1"/>
  <c r="B16" i="4"/>
  <c r="B15" i="4"/>
  <c r="B20" i="4"/>
  <c r="B18" i="4"/>
  <c r="B14" i="4"/>
  <c r="B12" i="4"/>
  <c r="B13" i="4"/>
  <c r="B21" i="4"/>
  <c r="B25" i="4"/>
  <c r="B19" i="4"/>
  <c r="B32" i="4"/>
  <c r="B27" i="4"/>
  <c r="B22" i="4"/>
  <c r="B26" i="4"/>
  <c r="B17" i="4"/>
  <c r="B23" i="4"/>
  <c r="B24" i="4"/>
  <c r="C9" i="12"/>
  <c r="C16" i="12" s="1"/>
  <c r="C15" i="12"/>
  <c r="J9" i="1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M276" i="12"/>
  <c r="M279" i="12"/>
  <c r="M209" i="12"/>
  <c r="M164" i="12"/>
  <c r="M129" i="12"/>
  <c r="M349" i="12"/>
  <c r="M369" i="12"/>
  <c r="M266" i="12"/>
  <c r="M300" i="12"/>
  <c r="M161" i="12"/>
  <c r="M220" i="12"/>
  <c r="M385" i="12"/>
  <c r="M192" i="12"/>
  <c r="M140" i="12"/>
  <c r="M245" i="12"/>
  <c r="M94" i="12"/>
  <c r="M181" i="12"/>
  <c r="M195" i="12"/>
  <c r="M128" i="12"/>
  <c r="M395" i="12"/>
  <c r="M278" i="12"/>
  <c r="M398" i="12"/>
  <c r="M211" i="12"/>
  <c r="M183" i="12"/>
  <c r="M125" i="12"/>
  <c r="M322" i="12"/>
  <c r="M353" i="12"/>
  <c r="M313" i="12"/>
  <c r="M355" i="12"/>
  <c r="M231" i="12"/>
  <c r="M201" i="12"/>
  <c r="M206" i="12"/>
  <c r="M376" i="12"/>
  <c r="M345" i="12"/>
  <c r="M292" i="12"/>
  <c r="M173" i="12"/>
  <c r="M177" i="12"/>
  <c r="M203" i="12"/>
  <c r="M117" i="12"/>
  <c r="M123" i="12"/>
  <c r="M193" i="12"/>
  <c r="M137" i="12"/>
  <c r="M370" i="12"/>
  <c r="M289" i="12"/>
  <c r="M144" i="12"/>
  <c r="M99" i="12"/>
  <c r="M277" i="12"/>
  <c r="M351" i="12"/>
  <c r="M270" i="12"/>
  <c r="M169" i="12"/>
  <c r="M91" i="12"/>
  <c r="M338" i="12"/>
  <c r="M133" i="12"/>
  <c r="M391" i="12"/>
  <c r="M226" i="12"/>
  <c r="M295" i="12"/>
  <c r="M168" i="12"/>
  <c r="M286" i="12"/>
  <c r="M401" i="12"/>
  <c r="M387" i="12"/>
  <c r="M302" i="12"/>
  <c r="M282" i="12"/>
  <c r="M315" i="12"/>
  <c r="M367" i="12"/>
  <c r="M202" i="12"/>
  <c r="M236" i="12"/>
  <c r="M264" i="12"/>
  <c r="M156" i="12"/>
  <c r="M190" i="12"/>
  <c r="M119" i="12"/>
  <c r="M138" i="12"/>
  <c r="M172" i="12"/>
  <c r="M134" i="12"/>
  <c r="M281" i="12"/>
  <c r="M318" i="12"/>
  <c r="M186" i="12"/>
  <c r="M175" i="12"/>
  <c r="M78" i="12"/>
  <c r="M96" i="12"/>
  <c r="M272" i="12"/>
  <c r="M310" i="12"/>
  <c r="M97" i="12"/>
  <c r="M179" i="12"/>
  <c r="M261" i="12"/>
  <c r="M120" i="12"/>
  <c r="M394" i="12"/>
  <c r="M340" i="12"/>
  <c r="M343" i="12"/>
  <c r="M273" i="12"/>
  <c r="M228" i="12"/>
  <c r="M227" i="12"/>
  <c r="M115" i="12"/>
  <c r="M290" i="12"/>
  <c r="M399" i="12"/>
  <c r="M382" i="12"/>
  <c r="M357" i="12"/>
  <c r="M83" i="12"/>
  <c r="M352" i="12"/>
  <c r="M392" i="12"/>
  <c r="M157" i="12"/>
  <c r="M89" i="12"/>
  <c r="M214" i="12"/>
  <c r="M121" i="12"/>
  <c r="M258" i="12"/>
  <c r="M293" i="12"/>
  <c r="M320" i="12"/>
  <c r="M213" i="12"/>
  <c r="M251" i="12"/>
  <c r="M212" i="12"/>
  <c r="M191" i="12"/>
  <c r="M145" i="12"/>
  <c r="M100" i="12"/>
  <c r="M363" i="12"/>
  <c r="M199" i="12"/>
  <c r="M350" i="12"/>
  <c r="M280" i="12"/>
  <c r="M298" i="12"/>
  <c r="M118" i="12"/>
  <c r="M218" i="12"/>
  <c r="M375" i="12"/>
  <c r="M110" i="12"/>
  <c r="M216" i="12"/>
  <c r="M234" i="12"/>
  <c r="M366" i="12"/>
  <c r="M371" i="12"/>
  <c r="M299" i="12"/>
  <c r="M174" i="12"/>
  <c r="M188" i="12"/>
  <c r="M147" i="12"/>
  <c r="M397" i="12"/>
  <c r="M358" i="12"/>
  <c r="M194" i="12"/>
  <c r="M142" i="12"/>
  <c r="M249" i="12"/>
  <c r="M103" i="12"/>
  <c r="M197" i="12"/>
  <c r="M359" i="12"/>
  <c r="M400" i="12"/>
  <c r="M200" i="12"/>
  <c r="M388" i="12"/>
  <c r="M386" i="12"/>
  <c r="M239" i="12"/>
  <c r="M306" i="12"/>
  <c r="M171" i="12"/>
  <c r="M328" i="12"/>
  <c r="M180" i="12"/>
  <c r="M287" i="12"/>
  <c r="M271" i="12"/>
  <c r="M260" i="12"/>
  <c r="M111" i="12"/>
  <c r="M149" i="12"/>
  <c r="M221" i="12"/>
  <c r="M274" i="12"/>
  <c r="M294" i="12"/>
  <c r="M311" i="12"/>
  <c r="M162" i="12"/>
  <c r="M223" i="12"/>
  <c r="M104" i="12"/>
  <c r="M148" i="12"/>
  <c r="M372" i="12"/>
  <c r="M81" i="12"/>
  <c r="M323" i="12"/>
  <c r="M296" i="12"/>
  <c r="M396" i="12"/>
  <c r="M84" i="12"/>
  <c r="M312" i="12"/>
  <c r="M344" i="12"/>
  <c r="M360" i="12"/>
  <c r="M365" i="12"/>
  <c r="M379" i="12"/>
  <c r="M108" i="12"/>
  <c r="M263" i="12"/>
  <c r="M217" i="12"/>
  <c r="M326" i="12"/>
  <c r="M308" i="12"/>
  <c r="M185" i="12"/>
  <c r="M150" i="12"/>
  <c r="M285" i="12"/>
  <c r="M252" i="12"/>
  <c r="M136" i="12"/>
  <c r="M242" i="12"/>
  <c r="M205" i="12"/>
  <c r="M124" i="12"/>
  <c r="M361" i="12"/>
  <c r="M93" i="12"/>
  <c r="M380" i="12"/>
  <c r="M158" i="12"/>
  <c r="M378" i="12"/>
  <c r="M130" i="12"/>
  <c r="M229" i="12"/>
  <c r="M240" i="12"/>
  <c r="M85" i="12"/>
  <c r="M257" i="12"/>
  <c r="M210" i="12"/>
  <c r="M390" i="12"/>
  <c r="M247" i="12"/>
  <c r="M98" i="12"/>
  <c r="M95" i="12"/>
  <c r="M341" i="12"/>
  <c r="M146" i="12"/>
  <c r="M324" i="12"/>
  <c r="M127" i="12"/>
  <c r="M225" i="12"/>
  <c r="M254" i="12"/>
  <c r="M152" i="12"/>
  <c r="M170" i="12"/>
  <c r="M126" i="12"/>
  <c r="M304" i="12"/>
  <c r="M235" i="12"/>
  <c r="M230" i="12"/>
  <c r="M283" i="12"/>
  <c r="M244" i="12"/>
  <c r="M153" i="12"/>
  <c r="M319" i="12"/>
  <c r="M368" i="12"/>
  <c r="M268" i="12"/>
  <c r="M327" i="12"/>
  <c r="M189" i="12"/>
  <c r="M383" i="12"/>
  <c r="M112" i="12"/>
  <c r="M116" i="12"/>
  <c r="M207" i="12"/>
  <c r="M362" i="12"/>
  <c r="M132" i="12"/>
  <c r="M384" i="12"/>
  <c r="M329" i="12"/>
  <c r="M86" i="12"/>
  <c r="M288" i="12"/>
  <c r="M297" i="12"/>
  <c r="M165" i="12"/>
  <c r="M176" i="12"/>
  <c r="M259" i="12"/>
  <c r="M166" i="12"/>
  <c r="M224" i="12"/>
  <c r="M233" i="12"/>
  <c r="M101" i="12"/>
  <c r="M198" i="12"/>
  <c r="M307" i="12"/>
  <c r="M167" i="12"/>
  <c r="M248" i="12"/>
  <c r="M265" i="12"/>
  <c r="M301" i="12"/>
  <c r="M305" i="12"/>
  <c r="M331" i="12"/>
  <c r="M159" i="12"/>
  <c r="M269" i="12"/>
  <c r="M182" i="12"/>
  <c r="M143" i="12"/>
  <c r="M330" i="12"/>
  <c r="M364" i="12"/>
  <c r="M346" i="12"/>
  <c r="M284" i="12"/>
  <c r="M92" i="12"/>
  <c r="M178" i="12"/>
  <c r="M141" i="12"/>
  <c r="M347" i="12"/>
  <c r="M208" i="12"/>
  <c r="M316" i="12"/>
  <c r="M122" i="12"/>
  <c r="M339" i="12"/>
  <c r="M87" i="12"/>
  <c r="M381" i="12"/>
  <c r="M291" i="12"/>
  <c r="M215" i="12"/>
  <c r="M79" i="12"/>
  <c r="M275" i="12"/>
  <c r="M336" i="12"/>
  <c r="M253" i="12"/>
  <c r="M163" i="12"/>
  <c r="M187" i="12"/>
  <c r="M82" i="12"/>
  <c r="M196" i="12"/>
  <c r="M337" i="12"/>
  <c r="M90" i="12"/>
  <c r="M262" i="12"/>
  <c r="M88" i="12"/>
  <c r="M106" i="12"/>
  <c r="M356" i="12"/>
  <c r="M317" i="12"/>
  <c r="M109" i="12"/>
  <c r="M113" i="12"/>
  <c r="M139" i="12"/>
  <c r="M342" i="12"/>
  <c r="M354" i="12"/>
  <c r="M393" i="12"/>
  <c r="M256" i="12"/>
  <c r="M204" i="12"/>
  <c r="M135" i="12"/>
  <c r="M374" i="12"/>
  <c r="M309" i="12"/>
  <c r="M232" i="12"/>
  <c r="M114" i="12"/>
  <c r="M222" i="12"/>
  <c r="M219" i="12"/>
  <c r="M80" i="12"/>
  <c r="M155" i="12"/>
  <c r="M154" i="12"/>
  <c r="M377" i="12"/>
  <c r="M246" i="12"/>
  <c r="M314" i="12"/>
  <c r="M335" i="12"/>
  <c r="M102" i="12"/>
  <c r="M160" i="12"/>
  <c r="M105" i="12"/>
  <c r="M389" i="12"/>
  <c r="M321" i="12"/>
  <c r="M243" i="12"/>
  <c r="M325" i="12"/>
  <c r="M184" i="12"/>
  <c r="M131" i="12"/>
  <c r="M237" i="12"/>
  <c r="M241" i="12"/>
  <c r="M267" i="12"/>
  <c r="M373" i="12"/>
  <c r="M255" i="12"/>
  <c r="M107" i="12"/>
  <c r="M238" i="12"/>
  <c r="M250" i="12"/>
  <c r="M348" i="12"/>
  <c r="M333" i="12"/>
  <c r="M334" i="12"/>
  <c r="M151" i="12"/>
  <c r="M303" i="12"/>
  <c r="M332" i="12"/>
  <c r="N387" i="12"/>
  <c r="N306" i="12"/>
  <c r="N173" i="12"/>
  <c r="K10" i="11"/>
  <c r="J26" i="4"/>
  <c r="N359" i="12"/>
  <c r="N288" i="12"/>
  <c r="D19" i="4"/>
  <c r="N80" i="12"/>
  <c r="N337" i="12"/>
  <c r="N120" i="12"/>
  <c r="J13" i="4"/>
  <c r="N97" i="12"/>
  <c r="N109" i="12"/>
  <c r="N388" i="12"/>
  <c r="D16" i="4"/>
  <c r="K37" i="11"/>
  <c r="N105" i="12"/>
  <c r="N121" i="12"/>
  <c r="J12" i="4"/>
  <c r="N367" i="12"/>
  <c r="J18" i="4"/>
  <c r="N233" i="12"/>
  <c r="D15" i="4"/>
  <c r="N247" i="12"/>
  <c r="N291" i="12"/>
  <c r="J3" i="7"/>
  <c r="N99" i="12"/>
  <c r="N141" i="12"/>
  <c r="J5" i="7"/>
  <c r="N226" i="12"/>
  <c r="N399" i="12"/>
  <c r="N263" i="12"/>
  <c r="N330" i="12"/>
  <c r="N265" i="12"/>
  <c r="N106" i="12"/>
  <c r="N260" i="12"/>
  <c r="N386" i="12"/>
  <c r="N139" i="12"/>
  <c r="K28" i="11"/>
  <c r="N210" i="12"/>
  <c r="N284" i="12"/>
  <c r="N242" i="12"/>
  <c r="N280" i="12"/>
  <c r="K6" i="11"/>
  <c r="N187" i="12"/>
  <c r="D20" i="4"/>
  <c r="K23" i="11"/>
  <c r="N199" i="12"/>
  <c r="D26" i="4"/>
  <c r="N313" i="12"/>
  <c r="N188" i="12"/>
  <c r="J6" i="7"/>
  <c r="N355" i="12"/>
  <c r="N81" i="12"/>
  <c r="H19" i="9"/>
  <c r="N285" i="12"/>
  <c r="N222" i="12"/>
  <c r="I24" i="4"/>
  <c r="K9" i="11"/>
  <c r="N262" i="12"/>
  <c r="N357" i="12"/>
  <c r="N274" i="12"/>
  <c r="D22" i="4"/>
  <c r="N123" i="12"/>
  <c r="N268" i="12"/>
  <c r="N101" i="12"/>
  <c r="N131" i="12"/>
  <c r="I15" i="4"/>
  <c r="N257" i="12"/>
  <c r="N183" i="12"/>
  <c r="N342" i="12"/>
  <c r="J4" i="7"/>
  <c r="N374" i="12"/>
  <c r="N290" i="12"/>
  <c r="N335" i="12"/>
  <c r="J22" i="4"/>
  <c r="N319" i="12"/>
  <c r="N129" i="12"/>
  <c r="J23" i="4"/>
  <c r="N340" i="12"/>
  <c r="I27" i="4"/>
  <c r="N303" i="12"/>
  <c r="N234" i="12"/>
  <c r="J9" i="7"/>
  <c r="N277" i="12"/>
  <c r="N294" i="12"/>
  <c r="N254" i="12"/>
  <c r="N178" i="12"/>
  <c r="N116" i="12"/>
  <c r="J16" i="4"/>
  <c r="N104" i="12"/>
  <c r="N223" i="12"/>
  <c r="N385" i="12"/>
  <c r="N347" i="12"/>
  <c r="N135" i="12"/>
  <c r="N300" i="12"/>
  <c r="D12" i="4"/>
  <c r="J20" i="4"/>
  <c r="N84" i="12"/>
  <c r="K26" i="11"/>
  <c r="N370" i="12"/>
  <c r="K21" i="11"/>
  <c r="N221" i="12"/>
  <c r="N158" i="12"/>
  <c r="K7" i="11"/>
  <c r="Z19" i="12"/>
  <c r="N172" i="12"/>
  <c r="I29" i="4"/>
  <c r="N321" i="12"/>
  <c r="N169" i="12"/>
  <c r="N94" i="12"/>
  <c r="N241" i="12"/>
  <c r="N89" i="12"/>
  <c r="N190" i="12"/>
  <c r="N153" i="12"/>
  <c r="N378" i="12"/>
  <c r="D18" i="4"/>
  <c r="N155" i="12"/>
  <c r="C14" i="4"/>
  <c r="N211" i="12"/>
  <c r="N87" i="12"/>
  <c r="N334" i="12"/>
  <c r="N208" i="12"/>
  <c r="N108" i="12"/>
  <c r="N322" i="12"/>
  <c r="N376" i="12"/>
  <c r="D25" i="4"/>
  <c r="N128" i="12"/>
  <c r="N189" i="12"/>
  <c r="D32" i="4"/>
  <c r="K22" i="11"/>
  <c r="N331" i="12"/>
  <c r="I32" i="4"/>
  <c r="N209" i="12"/>
  <c r="C13" i="4"/>
  <c r="N345" i="12"/>
  <c r="N136" i="12"/>
  <c r="K33" i="11"/>
  <c r="N137" i="12"/>
  <c r="D29" i="4"/>
  <c r="N395" i="12"/>
  <c r="J21" i="4"/>
  <c r="N79" i="12"/>
  <c r="N217" i="12"/>
  <c r="N218" i="12"/>
  <c r="N78" i="12"/>
  <c r="I12" i="4"/>
  <c r="K13" i="11"/>
  <c r="N255" i="12"/>
  <c r="K39" i="11"/>
  <c r="N353" i="12"/>
  <c r="N171" i="12"/>
  <c r="K32" i="11"/>
  <c r="N182" i="12"/>
  <c r="N96" i="12"/>
  <c r="N320" i="12"/>
  <c r="N305" i="12"/>
  <c r="C21" i="4"/>
  <c r="N115" i="12"/>
  <c r="K19" i="11"/>
  <c r="K17" i="11"/>
  <c r="N113" i="12"/>
  <c r="N152" i="12"/>
  <c r="N176" i="12"/>
  <c r="N354" i="12"/>
  <c r="N231" i="12"/>
  <c r="N238" i="12"/>
  <c r="N273" i="12"/>
  <c r="N103" i="12"/>
  <c r="N151" i="12"/>
  <c r="N142" i="12"/>
  <c r="N299" i="12"/>
  <c r="N356" i="12"/>
  <c r="N206" i="12"/>
  <c r="N302" i="12"/>
  <c r="N177" i="12"/>
  <c r="N301" i="12"/>
  <c r="J17" i="4"/>
  <c r="N220" i="12"/>
  <c r="N236" i="12"/>
  <c r="I14" i="4"/>
  <c r="N227" i="12"/>
  <c r="N271" i="12"/>
  <c r="K15" i="11"/>
  <c r="N163" i="12"/>
  <c r="N148" i="12"/>
  <c r="N393" i="12"/>
  <c r="N323" i="12"/>
  <c r="N309" i="12"/>
  <c r="N316" i="12"/>
  <c r="N117" i="12"/>
  <c r="C29" i="4"/>
  <c r="J12" i="7"/>
  <c r="D17" i="4"/>
  <c r="N244" i="12"/>
  <c r="J29" i="4"/>
  <c r="N317" i="12"/>
  <c r="N145" i="12"/>
  <c r="N248" i="12"/>
  <c r="J25" i="4"/>
  <c r="I20" i="4"/>
  <c r="N307" i="12"/>
  <c r="N195" i="12"/>
  <c r="D13" i="4"/>
  <c r="N326" i="12"/>
  <c r="N401" i="12"/>
  <c r="N213" i="12"/>
  <c r="N304" i="12"/>
  <c r="N282" i="12"/>
  <c r="N275" i="12"/>
  <c r="C26" i="4"/>
  <c r="K20" i="11"/>
  <c r="N344" i="12"/>
  <c r="N349" i="12"/>
  <c r="N329" i="12"/>
  <c r="N297" i="12"/>
  <c r="N164" i="12"/>
  <c r="N278" i="12"/>
  <c r="N381" i="12"/>
  <c r="N125" i="12"/>
  <c r="I21" i="4"/>
  <c r="C12" i="4"/>
  <c r="N382" i="12"/>
  <c r="N343" i="12"/>
  <c r="C32" i="4"/>
  <c r="K24" i="11"/>
  <c r="N230" i="12"/>
  <c r="N390" i="12"/>
  <c r="N267" i="12"/>
  <c r="N249" i="12"/>
  <c r="N243" i="12"/>
  <c r="N375" i="12"/>
  <c r="N130" i="12"/>
  <c r="N281" i="12"/>
  <c r="N112" i="12"/>
  <c r="N228" i="12"/>
  <c r="N212" i="12"/>
  <c r="N202" i="12"/>
  <c r="N384" i="12"/>
  <c r="I19" i="4"/>
  <c r="N327" i="12"/>
  <c r="N258" i="12"/>
  <c r="N336" i="12"/>
  <c r="N256" i="12"/>
  <c r="N377" i="12"/>
  <c r="C16" i="4"/>
  <c r="N296" i="12"/>
  <c r="N167" i="12"/>
  <c r="N224" i="12"/>
  <c r="N289" i="12"/>
  <c r="N92" i="12"/>
  <c r="N91" i="12"/>
  <c r="N90" i="12"/>
  <c r="N111" i="12"/>
  <c r="N350" i="12"/>
  <c r="N126" i="12"/>
  <c r="N361" i="12"/>
  <c r="N147" i="12"/>
  <c r="I13" i="4"/>
  <c r="N259" i="12"/>
  <c r="N246" i="12"/>
  <c r="N235" i="12"/>
  <c r="N310" i="12"/>
  <c r="N245" i="12"/>
  <c r="N371" i="12"/>
  <c r="N186" i="12"/>
  <c r="N362" i="12"/>
  <c r="N298" i="12"/>
  <c r="N332" i="12"/>
  <c r="N82" i="12"/>
  <c r="N157" i="12"/>
  <c r="N200" i="12"/>
  <c r="N270" i="12"/>
  <c r="N279" i="12"/>
  <c r="N272" i="12"/>
  <c r="D21" i="4"/>
  <c r="N239" i="12"/>
  <c r="N160" i="12"/>
  <c r="N295" i="12"/>
  <c r="N162" i="12"/>
  <c r="N168" i="12"/>
  <c r="N276" i="12"/>
  <c r="N266" i="12"/>
  <c r="N293" i="12"/>
  <c r="J19" i="4"/>
  <c r="N397" i="12"/>
  <c r="N143" i="12"/>
  <c r="N191" i="12"/>
  <c r="N219" i="12"/>
  <c r="N311" i="12"/>
  <c r="K11" i="11"/>
  <c r="N383" i="12"/>
  <c r="N201" i="12"/>
  <c r="K35" i="11"/>
  <c r="N250" i="12"/>
  <c r="N360" i="12"/>
  <c r="C22" i="4"/>
  <c r="K36" i="11"/>
  <c r="C27" i="4"/>
  <c r="N251" i="12"/>
  <c r="N165" i="12"/>
  <c r="K14" i="11"/>
  <c r="K12" i="11"/>
  <c r="N102" i="12"/>
  <c r="N198" i="12"/>
  <c r="J10" i="7"/>
  <c r="N363" i="12"/>
  <c r="N205" i="12"/>
  <c r="N166" i="12"/>
  <c r="N269" i="12"/>
  <c r="N150" i="12"/>
  <c r="N110" i="12"/>
  <c r="L4" i="11"/>
  <c r="C19" i="4"/>
  <c r="N287" i="12"/>
  <c r="N192" i="12"/>
  <c r="D24" i="4"/>
  <c r="N312" i="12"/>
  <c r="N127" i="12"/>
  <c r="N351" i="12"/>
  <c r="N174" i="12"/>
  <c r="N348" i="12"/>
  <c r="N215" i="12"/>
  <c r="N216" i="12"/>
  <c r="N394" i="12"/>
  <c r="N366" i="12"/>
  <c r="K25" i="11"/>
  <c r="J24" i="4"/>
  <c r="N138" i="12"/>
  <c r="N264" i="12"/>
  <c r="N338" i="12"/>
  <c r="N325" i="12"/>
  <c r="N261" i="12"/>
  <c r="N380" i="12"/>
  <c r="J15" i="4"/>
  <c r="I17" i="4"/>
  <c r="N398" i="12"/>
  <c r="D27" i="4"/>
  <c r="N214" i="12"/>
  <c r="K18" i="11"/>
  <c r="N373" i="12"/>
  <c r="N328" i="12"/>
  <c r="N83" i="12"/>
  <c r="N315" i="12"/>
  <c r="K29" i="11"/>
  <c r="N391" i="12"/>
  <c r="J14" i="4"/>
  <c r="N286" i="12"/>
  <c r="N333" i="12"/>
  <c r="N341" i="12"/>
  <c r="N144" i="12"/>
  <c r="N119" i="12"/>
  <c r="N229" i="12"/>
  <c r="I18" i="4"/>
  <c r="N100" i="12"/>
  <c r="N237" i="12"/>
  <c r="C20" i="4"/>
  <c r="I23" i="4"/>
  <c r="N146" i="12"/>
  <c r="D23" i="4"/>
  <c r="N132" i="12"/>
  <c r="N196" i="12"/>
  <c r="N203" i="12"/>
  <c r="C25" i="4"/>
  <c r="N232" i="12"/>
  <c r="N184" i="12"/>
  <c r="N193" i="12"/>
  <c r="N253" i="12"/>
  <c r="N339" i="12"/>
  <c r="N179" i="12"/>
  <c r="J27" i="4"/>
  <c r="N346" i="12"/>
  <c r="N225" i="12"/>
  <c r="N175" i="12"/>
  <c r="N352" i="12"/>
  <c r="J32" i="4"/>
  <c r="N93" i="12"/>
  <c r="N85" i="12"/>
  <c r="N207" i="12"/>
  <c r="N252" i="12"/>
  <c r="N389" i="12"/>
  <c r="N372" i="12"/>
  <c r="C17" i="4"/>
  <c r="I22" i="4"/>
  <c r="N88" i="12"/>
  <c r="J7" i="7"/>
  <c r="E32" i="4"/>
  <c r="N98" i="12"/>
  <c r="N396" i="12"/>
  <c r="N134" i="12"/>
  <c r="N154" i="12"/>
  <c r="N124" i="12"/>
  <c r="N400" i="12"/>
  <c r="K42" i="11"/>
  <c r="K27" i="11"/>
  <c r="N140" i="12"/>
  <c r="C15" i="4"/>
  <c r="C24" i="4"/>
  <c r="K31" i="11"/>
  <c r="N379" i="12"/>
  <c r="N240" i="12"/>
  <c r="N180" i="12"/>
  <c r="N197" i="12"/>
  <c r="N318" i="12"/>
  <c r="I26" i="4"/>
  <c r="N392" i="12"/>
  <c r="K30" i="11"/>
  <c r="N170" i="12"/>
  <c r="N156" i="12"/>
  <c r="N159" i="12"/>
  <c r="N368" i="12"/>
  <c r="N365" i="12"/>
  <c r="N204" i="12"/>
  <c r="N292" i="12"/>
  <c r="C23" i="4"/>
  <c r="K41" i="11"/>
  <c r="C18" i="4"/>
  <c r="J8" i="7"/>
  <c r="N181" i="12"/>
  <c r="N122" i="12"/>
  <c r="N95" i="12"/>
  <c r="Y20" i="12"/>
  <c r="N118" i="12"/>
  <c r="N308" i="12"/>
  <c r="K40" i="11"/>
  <c r="J11" i="7"/>
  <c r="N161" i="12"/>
  <c r="N358" i="12"/>
  <c r="N114" i="12"/>
  <c r="N86" i="12"/>
  <c r="D14" i="4"/>
  <c r="N107" i="12"/>
  <c r="N324" i="12"/>
  <c r="K16" i="11"/>
  <c r="N364" i="12"/>
  <c r="K34" i="11"/>
  <c r="I25" i="4"/>
  <c r="N283" i="12"/>
  <c r="N194" i="12"/>
  <c r="N149" i="12"/>
  <c r="N185" i="12"/>
  <c r="K38" i="11"/>
  <c r="N133" i="12"/>
  <c r="N314" i="12"/>
  <c r="N369" i="12"/>
  <c r="I16" i="4"/>
  <c r="Q359" i="12" l="1"/>
  <c r="Q123" i="12"/>
  <c r="Q348" i="12"/>
  <c r="Q157" i="12"/>
  <c r="Q388" i="12"/>
  <c r="Q228" i="12"/>
  <c r="Q250" i="12"/>
  <c r="Q169" i="12"/>
  <c r="Q370" i="12"/>
  <c r="Q238" i="12"/>
  <c r="Q197" i="12"/>
  <c r="Q244" i="12"/>
  <c r="Q277" i="12"/>
  <c r="Q193" i="12"/>
  <c r="Q328" i="12"/>
  <c r="Q239" i="12"/>
  <c r="Q290" i="12"/>
  <c r="Q117" i="12"/>
  <c r="Q317" i="12"/>
  <c r="Q334" i="12"/>
  <c r="Q357" i="12"/>
  <c r="Q273" i="12"/>
  <c r="Q203" i="12"/>
  <c r="Q136" i="12"/>
  <c r="Q252" i="12"/>
  <c r="Q352" i="12"/>
  <c r="Q99" i="12"/>
  <c r="Q343" i="12"/>
  <c r="Q177" i="12"/>
  <c r="Q107" i="12"/>
  <c r="Q332" i="12"/>
  <c r="Q269" i="12"/>
  <c r="Q351" i="12"/>
  <c r="Q185" i="12"/>
  <c r="Q115" i="12"/>
  <c r="Q340" i="12"/>
  <c r="Q173" i="12"/>
  <c r="Q255" i="12"/>
  <c r="Q89" i="12"/>
  <c r="Q306" i="12"/>
  <c r="Q206" i="12"/>
  <c r="Q106" i="12"/>
  <c r="Q237" i="12"/>
  <c r="Q199" i="12"/>
  <c r="Q168" i="12"/>
  <c r="Q90" i="12"/>
  <c r="Q315" i="12"/>
  <c r="Q190" i="12"/>
  <c r="Q225" i="12"/>
  <c r="Q349" i="12"/>
  <c r="Q385" i="12"/>
  <c r="Q265" i="12"/>
  <c r="Q195" i="12"/>
  <c r="Q126" i="12"/>
  <c r="Q263" i="12"/>
  <c r="Q188" i="12"/>
  <c r="Q175" i="12"/>
  <c r="Q322" i="12"/>
  <c r="Q389" i="12"/>
  <c r="Q337" i="12"/>
  <c r="Q248" i="12"/>
  <c r="Q170" i="12"/>
  <c r="Q108" i="12"/>
  <c r="Q174" i="12"/>
  <c r="Q186" i="12"/>
  <c r="Q125" i="12"/>
  <c r="Q105" i="12"/>
  <c r="Q196" i="12"/>
  <c r="Q167" i="12"/>
  <c r="Q152" i="12"/>
  <c r="Q379" i="12"/>
  <c r="Q299" i="12"/>
  <c r="Q318" i="12"/>
  <c r="Q183" i="12"/>
  <c r="Q160" i="12"/>
  <c r="Q82" i="12"/>
  <c r="Q307" i="12"/>
  <c r="Q254" i="12"/>
  <c r="Q365" i="12"/>
  <c r="Q371" i="12"/>
  <c r="Q281" i="12"/>
  <c r="Q211" i="12"/>
  <c r="Q102" i="12"/>
  <c r="Q341" i="12"/>
  <c r="Q257" i="12"/>
  <c r="Q142" i="12"/>
  <c r="Q303" i="12"/>
  <c r="Q292" i="12"/>
  <c r="Q386" i="12"/>
  <c r="Q345" i="12"/>
  <c r="Q150" i="12"/>
  <c r="Q376" i="12"/>
  <c r="Q270" i="12"/>
  <c r="Q179" i="12"/>
  <c r="Q319" i="12"/>
  <c r="Q201" i="12"/>
  <c r="Q304" i="12"/>
  <c r="Q393" i="12"/>
  <c r="Q232" i="12"/>
  <c r="Q92" i="12"/>
  <c r="Q79" i="12"/>
  <c r="Q329" i="12"/>
  <c r="Q398" i="12"/>
  <c r="Q163" i="12"/>
  <c r="Q127" i="12"/>
  <c r="Q234" i="12"/>
  <c r="Q278" i="12"/>
  <c r="Q314" i="12"/>
  <c r="Q253" i="12"/>
  <c r="Q233" i="12"/>
  <c r="Q324" i="12"/>
  <c r="Q216" i="12"/>
  <c r="Q138" i="12"/>
  <c r="Q395" i="12"/>
  <c r="Q246" i="12"/>
  <c r="Q224" i="12"/>
  <c r="Q146" i="12"/>
  <c r="Q84" i="12"/>
  <c r="Q110" i="12"/>
  <c r="Q119" i="12"/>
  <c r="Q128" i="12"/>
  <c r="Q187" i="12"/>
  <c r="Q137" i="12"/>
  <c r="Q91" i="12"/>
  <c r="Q103" i="12"/>
  <c r="Q182" i="12"/>
  <c r="Q144" i="12"/>
  <c r="Q171" i="12"/>
  <c r="Q249" i="12"/>
  <c r="Q83" i="12"/>
  <c r="Q396" i="12"/>
  <c r="Q97" i="12"/>
  <c r="Q283" i="12"/>
  <c r="Q230" i="12"/>
  <c r="Q217" i="12"/>
  <c r="Q377" i="12"/>
  <c r="Q85" i="12"/>
  <c r="Q95" i="12"/>
  <c r="Q296" i="12"/>
  <c r="Q218" i="12"/>
  <c r="Q156" i="12"/>
  <c r="Q181" i="12"/>
  <c r="Q155" i="12"/>
  <c r="Q215" i="12"/>
  <c r="Q176" i="12"/>
  <c r="Q98" i="12"/>
  <c r="Q323" i="12"/>
  <c r="Q118" i="12"/>
  <c r="Q264" i="12"/>
  <c r="Q94" i="12"/>
  <c r="Q80" i="12"/>
  <c r="Q291" i="12"/>
  <c r="Q165" i="12"/>
  <c r="Q247" i="12"/>
  <c r="Q81" i="12"/>
  <c r="Q298" i="12"/>
  <c r="Q236" i="12"/>
  <c r="Q245" i="12"/>
  <c r="Q219" i="12"/>
  <c r="Q381" i="12"/>
  <c r="Q297" i="12"/>
  <c r="Q390" i="12"/>
  <c r="Q372" i="12"/>
  <c r="Q280" i="12"/>
  <c r="Q140" i="12"/>
  <c r="Q87" i="12"/>
  <c r="Q288" i="12"/>
  <c r="Q210" i="12"/>
  <c r="Q148" i="12"/>
  <c r="Q350" i="12"/>
  <c r="Q367" i="12"/>
  <c r="Q192" i="12"/>
  <c r="Q114" i="12"/>
  <c r="Q339" i="12"/>
  <c r="Q86" i="12"/>
  <c r="Q353" i="12"/>
  <c r="Q221" i="12"/>
  <c r="Q373" i="12"/>
  <c r="Q382" i="12"/>
  <c r="Q267" i="12"/>
  <c r="Q261" i="12"/>
  <c r="Q333" i="12"/>
  <c r="Q308" i="12"/>
  <c r="Q321" i="12"/>
  <c r="Q285" i="12"/>
  <c r="Q131" i="12"/>
  <c r="Q159" i="12"/>
  <c r="Q399" i="12"/>
  <c r="Q310" i="12"/>
  <c r="Q184" i="12"/>
  <c r="Q289" i="12"/>
  <c r="Q272" i="12"/>
  <c r="Q325" i="12"/>
  <c r="Q235" i="12"/>
  <c r="Q397" i="12"/>
  <c r="Q96" i="12"/>
  <c r="Q243" i="12"/>
  <c r="Q262" i="12"/>
  <c r="Q301" i="12"/>
  <c r="Q147" i="12"/>
  <c r="Q366" i="12"/>
  <c r="Q344" i="12"/>
  <c r="Q166" i="12"/>
  <c r="Q202" i="12"/>
  <c r="Q149" i="12"/>
  <c r="Q223" i="12"/>
  <c r="Q363" i="12"/>
  <c r="Q282" i="12"/>
  <c r="Q220" i="12"/>
  <c r="Q309" i="12"/>
  <c r="Q316" i="12"/>
  <c r="Q384" i="12"/>
  <c r="Q240" i="12"/>
  <c r="Q162" i="12"/>
  <c r="Q100" i="12"/>
  <c r="Q302" i="12"/>
  <c r="Q161" i="12"/>
  <c r="Q374" i="12"/>
  <c r="Q208" i="12"/>
  <c r="Q132" i="12"/>
  <c r="Q229" i="12"/>
  <c r="Q311" i="12"/>
  <c r="Q145" i="12"/>
  <c r="Q387" i="12"/>
  <c r="Q300" i="12"/>
  <c r="Q135" i="12"/>
  <c r="Q347" i="12"/>
  <c r="Q362" i="12"/>
  <c r="Q130" i="12"/>
  <c r="Q294" i="12"/>
  <c r="Q191" i="12"/>
  <c r="Q401" i="12"/>
  <c r="Q266" i="12"/>
  <c r="Q204" i="12"/>
  <c r="Q141" i="12"/>
  <c r="Q207" i="12"/>
  <c r="Q378" i="12"/>
  <c r="Q274" i="12"/>
  <c r="Q212" i="12"/>
  <c r="Q286" i="12"/>
  <c r="Q369" i="12"/>
  <c r="Q256" i="12"/>
  <c r="Q178" i="12"/>
  <c r="Q116" i="12"/>
  <c r="Q158" i="12"/>
  <c r="Q200" i="12"/>
  <c r="Q394" i="12"/>
  <c r="Q151" i="12"/>
  <c r="Q120" i="12"/>
  <c r="Q392" i="12"/>
  <c r="Q227" i="12"/>
  <c r="Q241" i="12"/>
  <c r="Q400" i="12"/>
  <c r="Q153" i="12"/>
  <c r="Q104" i="12"/>
  <c r="Q251" i="12"/>
  <c r="Q198" i="12"/>
  <c r="Q375" i="12"/>
  <c r="Q356" i="12"/>
  <c r="Q194" i="12"/>
  <c r="Q231" i="12"/>
  <c r="Q331" i="12"/>
  <c r="Q358" i="12"/>
  <c r="Q355" i="12"/>
  <c r="Q88" i="12"/>
  <c r="Q305" i="12"/>
  <c r="Q326" i="12"/>
  <c r="Q313" i="12"/>
  <c r="Q78" i="12"/>
  <c r="Q360" i="12"/>
  <c r="Q154" i="12"/>
  <c r="Q122" i="12"/>
  <c r="Q112" i="12"/>
  <c r="Q259" i="12"/>
  <c r="Q134" i="12"/>
  <c r="Q380" i="12"/>
  <c r="Q335" i="12"/>
  <c r="Q101" i="12"/>
  <c r="Q172" i="12"/>
  <c r="Q312" i="12"/>
  <c r="Q336" i="12"/>
  <c r="Q275" i="12"/>
  <c r="Q222" i="12"/>
  <c r="Q213" i="12"/>
  <c r="Q295" i="12"/>
  <c r="Q129" i="12"/>
  <c r="Q354" i="12"/>
  <c r="Q284" i="12"/>
  <c r="Q383" i="12"/>
  <c r="Q93" i="12"/>
  <c r="Q111" i="12"/>
  <c r="Q320" i="12"/>
  <c r="Q226" i="12"/>
  <c r="Q164" i="12"/>
  <c r="Q342" i="12"/>
  <c r="Q346" i="12"/>
  <c r="Q189" i="12"/>
  <c r="Q361" i="12"/>
  <c r="Q260" i="12"/>
  <c r="Q293" i="12"/>
  <c r="Q391" i="12"/>
  <c r="Q209" i="12"/>
  <c r="Q139" i="12"/>
  <c r="Q364" i="12"/>
  <c r="Q327" i="12"/>
  <c r="Q124" i="12"/>
  <c r="Q271" i="12"/>
  <c r="Q258" i="12"/>
  <c r="Q133" i="12"/>
  <c r="Q279" i="12"/>
  <c r="Q113" i="12"/>
  <c r="Q330" i="12"/>
  <c r="Q268" i="12"/>
  <c r="Q205" i="12"/>
  <c r="Q287" i="12"/>
  <c r="Q121" i="12"/>
  <c r="Q338" i="12"/>
  <c r="Q276" i="12"/>
  <c r="Q109" i="12"/>
  <c r="Q143" i="12"/>
  <c r="Q368" i="12"/>
  <c r="Q242" i="12"/>
  <c r="Q180" i="12"/>
  <c r="Q214" i="12"/>
  <c r="B63" i="4"/>
  <c r="B34" i="4"/>
  <c r="B59" i="4"/>
  <c r="B36" i="4"/>
  <c r="B46" i="4"/>
  <c r="B65" i="4"/>
  <c r="B6" i="4"/>
  <c r="B41" i="4"/>
  <c r="B60" i="4"/>
  <c r="B11" i="4"/>
  <c r="B52" i="4"/>
  <c r="B33" i="4"/>
  <c r="B47" i="4"/>
  <c r="B39" i="4"/>
  <c r="B31" i="4"/>
  <c r="B7" i="4"/>
  <c r="B4" i="4"/>
  <c r="B30" i="4"/>
  <c r="B54" i="4"/>
  <c r="B2" i="4"/>
  <c r="B49" i="4"/>
  <c r="B61" i="4"/>
  <c r="B62" i="4"/>
  <c r="B51" i="4"/>
  <c r="B66" i="4"/>
  <c r="B64" i="4"/>
  <c r="B3" i="4"/>
  <c r="B37" i="4"/>
  <c r="B50" i="4"/>
  <c r="B58" i="4"/>
  <c r="B35" i="4"/>
  <c r="B57" i="4"/>
  <c r="B38" i="4"/>
  <c r="B53" i="4"/>
  <c r="B40" i="4"/>
  <c r="B42" i="4"/>
  <c r="B55" i="4"/>
  <c r="B43" i="4"/>
  <c r="B8" i="4"/>
  <c r="B9" i="4"/>
  <c r="B5" i="4"/>
  <c r="B28" i="4"/>
  <c r="B48" i="4"/>
  <c r="B56" i="4"/>
  <c r="B45" i="4"/>
  <c r="B44" i="4"/>
  <c r="B10" i="4"/>
  <c r="E4" i="12"/>
  <c r="E12" i="12"/>
  <c r="E5" i="12"/>
  <c r="E13" i="12"/>
  <c r="E6" i="12"/>
  <c r="E14" i="12"/>
  <c r="E7" i="12"/>
  <c r="E15" i="12"/>
  <c r="E8" i="12"/>
  <c r="E16" i="12"/>
  <c r="E9" i="12"/>
  <c r="E3" i="12"/>
  <c r="E10" i="12"/>
  <c r="E11" i="12"/>
  <c r="K3" i="11"/>
  <c r="D7" i="6"/>
  <c r="D8" i="6"/>
  <c r="D23" i="6"/>
  <c r="D6" i="6"/>
  <c r="D41" i="4"/>
  <c r="L7" i="11"/>
  <c r="L17" i="11"/>
  <c r="L21" i="11"/>
  <c r="C42" i="4"/>
  <c r="L22" i="11"/>
  <c r="J50" i="4"/>
  <c r="J30" i="4"/>
  <c r="L12" i="11"/>
  <c r="I57" i="4"/>
  <c r="J49" i="4"/>
  <c r="J58" i="4"/>
  <c r="C61" i="4"/>
  <c r="E30" i="4"/>
  <c r="J34" i="4"/>
  <c r="C53" i="4"/>
  <c r="D60" i="4"/>
  <c r="I19" i="9"/>
  <c r="J9" i="4"/>
  <c r="I34" i="4"/>
  <c r="K7" i="7"/>
  <c r="E43" i="4"/>
  <c r="I30" i="4"/>
  <c r="K3" i="7"/>
  <c r="E54" i="4"/>
  <c r="J6" i="4"/>
  <c r="I51" i="4"/>
  <c r="E34" i="4"/>
  <c r="C51" i="4"/>
  <c r="L18" i="11"/>
  <c r="D37" i="4"/>
  <c r="J44" i="4"/>
  <c r="C43" i="4"/>
  <c r="D51" i="4"/>
  <c r="I39" i="4"/>
  <c r="J56" i="4"/>
  <c r="J2" i="4"/>
  <c r="K5" i="7"/>
  <c r="J65" i="4"/>
  <c r="I46" i="4"/>
  <c r="C49" i="4"/>
  <c r="J48" i="4"/>
  <c r="I8" i="4"/>
  <c r="E37" i="4"/>
  <c r="I14" i="9"/>
  <c r="J59" i="4"/>
  <c r="C33" i="4"/>
  <c r="J4" i="4"/>
  <c r="L13" i="11"/>
  <c r="I11" i="9"/>
  <c r="J33" i="4"/>
  <c r="I45" i="4"/>
  <c r="K11" i="7"/>
  <c r="C8" i="4"/>
  <c r="D66" i="4"/>
  <c r="J62" i="4"/>
  <c r="E51" i="4"/>
  <c r="J37" i="4"/>
  <c r="E42" i="4"/>
  <c r="I63" i="4"/>
  <c r="L9" i="11"/>
  <c r="I11" i="4"/>
  <c r="D45" i="4"/>
  <c r="D28" i="4"/>
  <c r="D2" i="4"/>
  <c r="C11" i="4"/>
  <c r="I55" i="4"/>
  <c r="J57" i="4"/>
  <c r="I17" i="9"/>
  <c r="C38" i="4"/>
  <c r="C62" i="4"/>
  <c r="D46" i="4"/>
  <c r="D63" i="4"/>
  <c r="I5" i="4"/>
  <c r="E60" i="4"/>
  <c r="C55" i="4"/>
  <c r="D5" i="4"/>
  <c r="I18" i="9"/>
  <c r="L11" i="11"/>
  <c r="E31" i="4"/>
  <c r="I62" i="4"/>
  <c r="K10" i="7"/>
  <c r="I7" i="4"/>
  <c r="E53" i="4"/>
  <c r="L29" i="11"/>
  <c r="C7" i="4"/>
  <c r="I3" i="9"/>
  <c r="I41" i="4"/>
  <c r="D6" i="4"/>
  <c r="I9" i="9"/>
  <c r="L24" i="11"/>
  <c r="L25" i="11"/>
  <c r="L34" i="11"/>
  <c r="J55" i="4"/>
  <c r="L36" i="11"/>
  <c r="C47" i="4"/>
  <c r="D30" i="4"/>
  <c r="E36" i="4"/>
  <c r="J39" i="4"/>
  <c r="D9" i="4"/>
  <c r="E45" i="4"/>
  <c r="C34" i="4"/>
  <c r="I6" i="4"/>
  <c r="C65" i="4"/>
  <c r="C35" i="4"/>
  <c r="D58" i="4"/>
  <c r="D59" i="4"/>
  <c r="C37" i="4"/>
  <c r="I12" i="9"/>
  <c r="L8" i="11"/>
  <c r="D52" i="4"/>
  <c r="D33" i="4"/>
  <c r="J10" i="4"/>
  <c r="C36" i="4"/>
  <c r="B1" i="6"/>
  <c r="C31" i="4"/>
  <c r="I54" i="4"/>
  <c r="D49" i="4"/>
  <c r="I56" i="4"/>
  <c r="I4" i="9"/>
  <c r="D38" i="4"/>
  <c r="C63" i="4"/>
  <c r="K4" i="7"/>
  <c r="L38" i="11"/>
  <c r="C57" i="4"/>
  <c r="E59" i="4"/>
  <c r="I37" i="4"/>
  <c r="E50" i="4"/>
  <c r="C10" i="4"/>
  <c r="I48" i="4"/>
  <c r="C52" i="4"/>
  <c r="I59" i="4"/>
  <c r="D21" i="6"/>
  <c r="D10" i="4"/>
  <c r="L28" i="11"/>
  <c r="I15" i="9"/>
  <c r="E56" i="4"/>
  <c r="D7" i="4"/>
  <c r="I44" i="4"/>
  <c r="D39" i="4"/>
  <c r="I9" i="4"/>
  <c r="C40" i="4"/>
  <c r="E62" i="4"/>
  <c r="L10" i="11"/>
  <c r="D62" i="4"/>
  <c r="C5" i="4"/>
  <c r="I43" i="4"/>
  <c r="L14" i="11"/>
  <c r="J35" i="4"/>
  <c r="J42" i="4"/>
  <c r="D57" i="4"/>
  <c r="C28" i="4"/>
  <c r="I38" i="4"/>
  <c r="E39" i="4"/>
  <c r="C45" i="4"/>
  <c r="E44" i="4"/>
  <c r="L37" i="11"/>
  <c r="J8" i="4"/>
  <c r="I47" i="4"/>
  <c r="D50" i="4"/>
  <c r="E66" i="4"/>
  <c r="J54" i="4"/>
  <c r="D4" i="4"/>
  <c r="E58" i="4"/>
  <c r="D3" i="4"/>
  <c r="C9" i="4"/>
  <c r="J40" i="4"/>
  <c r="K8" i="7"/>
  <c r="L41" i="11"/>
  <c r="E55" i="4"/>
  <c r="L40" i="11"/>
  <c r="J52" i="4"/>
  <c r="C66" i="4"/>
  <c r="J38" i="4"/>
  <c r="L42" i="11"/>
  <c r="E40" i="4"/>
  <c r="J64" i="4"/>
  <c r="L27" i="11"/>
  <c r="K12" i="7"/>
  <c r="E65" i="4"/>
  <c r="D8" i="4"/>
  <c r="E49" i="4"/>
  <c r="I42" i="4"/>
  <c r="J5" i="4"/>
  <c r="I4" i="4"/>
  <c r="C2" i="4"/>
  <c r="I16" i="9"/>
  <c r="I33" i="4"/>
  <c r="I7" i="9"/>
  <c r="K9" i="7"/>
  <c r="D43" i="4"/>
  <c r="E64" i="4"/>
  <c r="C3" i="4"/>
  <c r="I28" i="4"/>
  <c r="L30" i="11"/>
  <c r="I2" i="9"/>
  <c r="I13" i="9"/>
  <c r="I49" i="4"/>
  <c r="J36" i="4"/>
  <c r="J11" i="4"/>
  <c r="Y21" i="12"/>
  <c r="I60" i="4"/>
  <c r="C58" i="4"/>
  <c r="I36" i="4"/>
  <c r="J45" i="4"/>
  <c r="D61" i="4"/>
  <c r="J43" i="4"/>
  <c r="D31" i="4"/>
  <c r="E46" i="4"/>
  <c r="C44" i="4"/>
  <c r="E63" i="4"/>
  <c r="I66" i="4"/>
  <c r="D11" i="4"/>
  <c r="I10" i="4"/>
  <c r="I35" i="4"/>
  <c r="C56" i="4"/>
  <c r="L23" i="11"/>
  <c r="I10" i="9"/>
  <c r="C39" i="4"/>
  <c r="I31" i="4"/>
  <c r="D48" i="4"/>
  <c r="D35" i="4"/>
  <c r="L32" i="11"/>
  <c r="D56" i="4"/>
  <c r="L26" i="11"/>
  <c r="E48" i="4"/>
  <c r="L20" i="11"/>
  <c r="C4" i="4"/>
  <c r="D55" i="4"/>
  <c r="E41" i="4"/>
  <c r="J46" i="4"/>
  <c r="J41" i="4"/>
  <c r="D53" i="4"/>
  <c r="D65" i="4"/>
  <c r="I2" i="4"/>
  <c r="C54" i="4"/>
  <c r="C30" i="4"/>
  <c r="J63" i="4"/>
  <c r="I64" i="4"/>
  <c r="J31" i="4"/>
  <c r="I65" i="4"/>
  <c r="L3" i="11"/>
  <c r="I52" i="4"/>
  <c r="C59" i="4"/>
  <c r="I61" i="4"/>
  <c r="I20" i="9"/>
  <c r="J47" i="4"/>
  <c r="E61" i="4"/>
  <c r="I6" i="9"/>
  <c r="L19" i="11"/>
  <c r="K2" i="7"/>
  <c r="J66" i="4"/>
  <c r="D44" i="4"/>
  <c r="D36" i="4"/>
  <c r="E33" i="4"/>
  <c r="L39" i="11"/>
  <c r="C48" i="4"/>
  <c r="C46" i="4"/>
  <c r="I53" i="4"/>
  <c r="J3" i="4"/>
  <c r="E57" i="4"/>
  <c r="I8" i="9"/>
  <c r="C60" i="4"/>
  <c r="C6" i="4"/>
  <c r="L35" i="11"/>
  <c r="L15" i="11"/>
  <c r="L31" i="11"/>
  <c r="J28" i="4"/>
  <c r="J51" i="4"/>
  <c r="J53" i="4"/>
  <c r="C50" i="4"/>
  <c r="I58" i="4"/>
  <c r="E47" i="4"/>
  <c r="J60" i="4"/>
  <c r="Z20" i="12"/>
  <c r="D40" i="4"/>
  <c r="D47" i="4"/>
  <c r="I5" i="9"/>
  <c r="I50" i="4"/>
  <c r="D34" i="4"/>
  <c r="J61" i="4"/>
  <c r="L16" i="11"/>
  <c r="C64" i="4"/>
  <c r="I3" i="4"/>
  <c r="L6" i="11"/>
  <c r="E35" i="4"/>
  <c r="I40" i="4"/>
  <c r="C41" i="4"/>
  <c r="E38" i="4"/>
  <c r="J7" i="4"/>
  <c r="L33" i="11"/>
  <c r="K6" i="7"/>
  <c r="E52" i="4"/>
  <c r="D42" i="4"/>
  <c r="D54" i="4"/>
  <c r="D64" i="4"/>
  <c r="D9" i="6" l="1"/>
  <c r="D16" i="6"/>
  <c r="D20" i="6"/>
  <c r="E20" i="6"/>
  <c r="E21" i="6"/>
  <c r="Z21" i="12"/>
  <c r="M19" i="12" a="1"/>
  <c r="M39" i="12" a="1"/>
  <c r="D2" i="5" a="1"/>
  <c r="Y22" i="12"/>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73" i="12"/>
  <c r="M27" i="12"/>
  <c r="M53" i="12"/>
  <c r="M44" i="12"/>
  <c r="M19" i="12"/>
  <c r="M30" i="12"/>
  <c r="M22" i="12"/>
  <c r="M45" i="12"/>
  <c r="M43" i="12"/>
  <c r="M58" i="12"/>
  <c r="M60" i="12"/>
  <c r="M72" i="12"/>
  <c r="M75" i="12"/>
  <c r="M36" i="12"/>
  <c r="M28" i="12"/>
  <c r="M64" i="12"/>
  <c r="M41" i="12"/>
  <c r="M63" i="12"/>
  <c r="M48" i="12"/>
  <c r="M24" i="12"/>
  <c r="M47" i="12"/>
  <c r="M55" i="12"/>
  <c r="M31" i="12"/>
  <c r="M57" i="12"/>
  <c r="M66" i="12"/>
  <c r="M67" i="12"/>
  <c r="M23" i="12"/>
  <c r="M68" i="12"/>
  <c r="M54" i="12"/>
  <c r="M35" i="12"/>
  <c r="M52" i="12"/>
  <c r="M49" i="12"/>
  <c r="M34" i="12"/>
  <c r="M29" i="12"/>
  <c r="M21" i="12"/>
  <c r="M39" i="12"/>
  <c r="M20" i="12"/>
  <c r="M26" i="12"/>
  <c r="M71" i="12"/>
  <c r="M59" i="12"/>
  <c r="M40" i="12"/>
  <c r="M51" i="12"/>
  <c r="M69" i="12"/>
  <c r="M46" i="12"/>
  <c r="M33" i="12"/>
  <c r="M61" i="12"/>
  <c r="M25" i="12"/>
  <c r="M65" i="12"/>
  <c r="M32" i="12"/>
  <c r="M56" i="12"/>
  <c r="M62" i="12"/>
  <c r="M50" i="12"/>
  <c r="M74" i="12"/>
  <c r="M70" i="12"/>
  <c r="M42" i="12"/>
  <c r="Y23" i="12"/>
  <c r="Z23" i="12"/>
  <c r="V44" i="12" l="1" a="1"/>
  <c r="V19" i="12" a="1"/>
  <c r="F95" i="5"/>
  <c r="N54" i="12"/>
  <c r="H116" i="5"/>
  <c r="H82" i="5"/>
  <c r="I82" i="5"/>
  <c r="E70" i="5"/>
  <c r="H2" i="5"/>
  <c r="F79" i="5"/>
  <c r="O52" i="12"/>
  <c r="N66" i="12"/>
  <c r="H111" i="5"/>
  <c r="G2" i="5"/>
  <c r="H21" i="5"/>
  <c r="O21" i="12"/>
  <c r="I55" i="5"/>
  <c r="H45" i="5"/>
  <c r="H105" i="5"/>
  <c r="H104" i="5"/>
  <c r="G120" i="5"/>
  <c r="F63" i="5"/>
  <c r="P23" i="12"/>
  <c r="E22" i="5"/>
  <c r="F8" i="5"/>
  <c r="H38" i="5"/>
  <c r="H25" i="5"/>
  <c r="H126" i="5"/>
  <c r="G85" i="5"/>
  <c r="G66" i="5"/>
  <c r="H4" i="5"/>
  <c r="O55" i="12"/>
  <c r="I63" i="5"/>
  <c r="H84" i="5"/>
  <c r="H74" i="5"/>
  <c r="O42" i="12"/>
  <c r="I2" i="5"/>
  <c r="H26" i="5"/>
  <c r="H61" i="5"/>
  <c r="F117" i="5"/>
  <c r="F50" i="5"/>
  <c r="G121" i="5"/>
  <c r="N27" i="12"/>
  <c r="G83" i="5"/>
  <c r="I98" i="5"/>
  <c r="F107" i="5"/>
  <c r="E86" i="5"/>
  <c r="H41" i="5"/>
  <c r="E51" i="5"/>
  <c r="I50" i="5"/>
  <c r="G102" i="5"/>
  <c r="G69" i="5"/>
  <c r="I54" i="5"/>
  <c r="N53" i="12"/>
  <c r="F5" i="5"/>
  <c r="E73" i="5"/>
  <c r="G11" i="5"/>
  <c r="G91" i="5"/>
  <c r="N20" i="12"/>
  <c r="E13" i="5"/>
  <c r="H64" i="5"/>
  <c r="E90" i="5"/>
  <c r="G15" i="5"/>
  <c r="G108" i="5"/>
  <c r="N35" i="12"/>
  <c r="F89" i="5"/>
  <c r="E44" i="5"/>
  <c r="O20" i="12"/>
  <c r="I42" i="5"/>
  <c r="E31" i="5"/>
  <c r="F90" i="5"/>
  <c r="N67" i="12"/>
  <c r="I95" i="5"/>
  <c r="I52" i="5"/>
  <c r="I26" i="5"/>
  <c r="O60" i="12"/>
  <c r="I46" i="5"/>
  <c r="F3" i="5"/>
  <c r="F75" i="5"/>
  <c r="I72" i="5"/>
  <c r="G84" i="5"/>
  <c r="E54" i="5"/>
  <c r="F70" i="5"/>
  <c r="I62" i="5"/>
  <c r="I18" i="5"/>
  <c r="I79" i="5"/>
  <c r="I27" i="5"/>
  <c r="O74" i="12"/>
  <c r="E72" i="5"/>
  <c r="F74" i="5"/>
  <c r="G103" i="5"/>
  <c r="G32" i="5"/>
  <c r="E60" i="5"/>
  <c r="E117" i="5"/>
  <c r="G24" i="5"/>
  <c r="E97" i="5"/>
  <c r="E62" i="5"/>
  <c r="G5" i="5"/>
  <c r="O40" i="12"/>
  <c r="F101" i="5"/>
  <c r="E121" i="5"/>
  <c r="G27" i="5"/>
  <c r="F77" i="5"/>
  <c r="E26" i="5"/>
  <c r="F25" i="5"/>
  <c r="G20" i="5"/>
  <c r="E108" i="5"/>
  <c r="F24" i="5"/>
  <c r="I6" i="5"/>
  <c r="P26" i="12"/>
  <c r="O35" i="12"/>
  <c r="G72" i="5"/>
  <c r="H91" i="5"/>
  <c r="I11" i="5"/>
  <c r="G107" i="5"/>
  <c r="H100" i="5"/>
  <c r="G106" i="5"/>
  <c r="G74" i="5"/>
  <c r="F10" i="5"/>
  <c r="G62" i="5"/>
  <c r="H59" i="5"/>
  <c r="F109" i="5"/>
  <c r="H44" i="5"/>
  <c r="G31" i="5"/>
  <c r="F21" i="5"/>
  <c r="G86" i="5"/>
  <c r="F99" i="5"/>
  <c r="F98" i="5"/>
  <c r="E34" i="5"/>
  <c r="N73" i="12"/>
  <c r="G119" i="5"/>
  <c r="I116" i="5"/>
  <c r="E124" i="5"/>
  <c r="O33" i="12"/>
  <c r="F7" i="5"/>
  <c r="E85" i="5"/>
  <c r="I22" i="5"/>
  <c r="O24" i="12"/>
  <c r="E33" i="5"/>
  <c r="I10" i="5"/>
  <c r="I99" i="5"/>
  <c r="I64" i="5"/>
  <c r="E40" i="5"/>
  <c r="I68" i="5"/>
  <c r="E3" i="5"/>
  <c r="G51" i="5"/>
  <c r="G115" i="5"/>
  <c r="G113" i="5"/>
  <c r="G126" i="5"/>
  <c r="F110" i="5"/>
  <c r="E52" i="5"/>
  <c r="H55" i="5"/>
  <c r="N46" i="12"/>
  <c r="P28" i="12"/>
  <c r="H119" i="5"/>
  <c r="I114" i="5"/>
  <c r="E99" i="5"/>
  <c r="G123" i="5"/>
  <c r="H110" i="5"/>
  <c r="E93" i="5"/>
  <c r="E113" i="5"/>
  <c r="E89" i="5"/>
  <c r="O19" i="12"/>
  <c r="F33" i="5"/>
  <c r="F55" i="5"/>
  <c r="I92" i="5"/>
  <c r="F56" i="5"/>
  <c r="P19" i="12"/>
  <c r="E48" i="5"/>
  <c r="O26" i="12"/>
  <c r="H56" i="5"/>
  <c r="H118" i="5"/>
  <c r="F114" i="5"/>
  <c r="E53" i="5"/>
  <c r="F38" i="5"/>
  <c r="H32" i="5"/>
  <c r="E75" i="5"/>
  <c r="E78" i="5"/>
  <c r="H58" i="5"/>
  <c r="G112" i="5"/>
  <c r="H65" i="5"/>
  <c r="H35" i="5"/>
  <c r="F22" i="5"/>
  <c r="O71" i="12"/>
  <c r="I70" i="5"/>
  <c r="I115" i="5"/>
  <c r="E119" i="5"/>
  <c r="H78" i="5"/>
  <c r="I3" i="5"/>
  <c r="F20" i="5"/>
  <c r="H6" i="5"/>
  <c r="F15" i="5"/>
  <c r="H54" i="5"/>
  <c r="O31" i="12"/>
  <c r="E109" i="5"/>
  <c r="H77" i="5"/>
  <c r="E114" i="5"/>
  <c r="E96" i="5"/>
  <c r="N23" i="12"/>
  <c r="O66" i="12"/>
  <c r="G48" i="5"/>
  <c r="I85" i="5"/>
  <c r="G10" i="5"/>
  <c r="F64" i="5"/>
  <c r="G124" i="5"/>
  <c r="H27" i="5"/>
  <c r="G35" i="5"/>
  <c r="I36" i="5"/>
  <c r="H88" i="5"/>
  <c r="I107" i="5"/>
  <c r="N25" i="12"/>
  <c r="H42" i="5"/>
  <c r="O28" i="12"/>
  <c r="I40" i="5"/>
  <c r="G98" i="5"/>
  <c r="G39" i="5"/>
  <c r="I39" i="5"/>
  <c r="N68" i="12"/>
  <c r="F105" i="5"/>
  <c r="P21" i="12"/>
  <c r="I41" i="5"/>
  <c r="E83" i="5"/>
  <c r="E20" i="5"/>
  <c r="E123" i="5"/>
  <c r="N36" i="12"/>
  <c r="H117" i="5"/>
  <c r="N47" i="12"/>
  <c r="I21" i="5"/>
  <c r="N64" i="12"/>
  <c r="G89" i="5"/>
  <c r="I9" i="5"/>
  <c r="H50" i="5"/>
  <c r="E100" i="5"/>
  <c r="E63" i="5"/>
  <c r="I29" i="5"/>
  <c r="H62" i="5"/>
  <c r="E106" i="5"/>
  <c r="E41" i="5"/>
  <c r="H34" i="5"/>
  <c r="E8" i="5"/>
  <c r="G42" i="5"/>
  <c r="F48" i="5"/>
  <c r="E65" i="5"/>
  <c r="H28" i="5"/>
  <c r="G29" i="5"/>
  <c r="F13" i="5"/>
  <c r="H96" i="5"/>
  <c r="G65" i="5"/>
  <c r="N33" i="12"/>
  <c r="G101" i="5"/>
  <c r="H3" i="5"/>
  <c r="G34" i="5"/>
  <c r="N32" i="12"/>
  <c r="H43" i="5"/>
  <c r="N19" i="12"/>
  <c r="E76" i="5"/>
  <c r="O58" i="12"/>
  <c r="I38" i="5"/>
  <c r="I86" i="5"/>
  <c r="O53" i="12"/>
  <c r="F126" i="5"/>
  <c r="G81" i="5"/>
  <c r="I56" i="5"/>
  <c r="E42" i="5"/>
  <c r="N59" i="12"/>
  <c r="N61" i="12"/>
  <c r="I126" i="5"/>
  <c r="G95" i="5"/>
  <c r="G12" i="5"/>
  <c r="G36" i="5"/>
  <c r="E122" i="5"/>
  <c r="I110" i="5"/>
  <c r="I33" i="5"/>
  <c r="I12" i="5"/>
  <c r="N39" i="12"/>
  <c r="G52" i="5"/>
  <c r="I90" i="5"/>
  <c r="O41" i="12"/>
  <c r="H79" i="5"/>
  <c r="H83" i="5"/>
  <c r="F41" i="5"/>
  <c r="E102" i="5"/>
  <c r="O72" i="12"/>
  <c r="O39" i="12"/>
  <c r="I78" i="5"/>
  <c r="G76" i="5"/>
  <c r="I83" i="5"/>
  <c r="E28" i="5"/>
  <c r="D14" i="6"/>
  <c r="F84" i="5"/>
  <c r="N40" i="12"/>
  <c r="G22" i="5"/>
  <c r="E57" i="5"/>
  <c r="P398" i="12"/>
  <c r="P34" i="12"/>
  <c r="P222" i="12"/>
  <c r="P59" i="12"/>
  <c r="P72" i="12"/>
  <c r="P297" i="12"/>
  <c r="G8" i="5"/>
  <c r="P200" i="12"/>
  <c r="P213" i="12"/>
  <c r="P355" i="12"/>
  <c r="P308" i="12"/>
  <c r="AB16" i="12"/>
  <c r="P340" i="12"/>
  <c r="P295" i="12"/>
  <c r="P184" i="12"/>
  <c r="E11" i="5"/>
  <c r="P151" i="12"/>
  <c r="P273" i="12"/>
  <c r="P195" i="12"/>
  <c r="P70" i="12"/>
  <c r="P39" i="12"/>
  <c r="P233" i="12"/>
  <c r="P98" i="12"/>
  <c r="P145" i="12"/>
  <c r="P163" i="12"/>
  <c r="P217" i="12"/>
  <c r="P140" i="12"/>
  <c r="P285" i="12"/>
  <c r="P288" i="12"/>
  <c r="P334" i="12"/>
  <c r="P350" i="12"/>
  <c r="P155" i="12"/>
  <c r="P170" i="12"/>
  <c r="P322" i="12"/>
  <c r="P262" i="12"/>
  <c r="P64" i="12"/>
  <c r="P69" i="12"/>
  <c r="P269" i="12"/>
  <c r="P143" i="12"/>
  <c r="C27" i="6"/>
  <c r="P338" i="12"/>
  <c r="P261" i="12"/>
  <c r="P157" i="12"/>
  <c r="P343" i="12"/>
  <c r="P372" i="12"/>
  <c r="P115" i="12"/>
  <c r="P167" i="12"/>
  <c r="P370" i="12"/>
  <c r="P390" i="12"/>
  <c r="I7" i="5"/>
  <c r="E46" i="5"/>
  <c r="I106" i="5"/>
  <c r="P156" i="12"/>
  <c r="P124" i="12"/>
  <c r="N41" i="12"/>
  <c r="P136" i="12"/>
  <c r="P336" i="12"/>
  <c r="P71" i="12"/>
  <c r="P357" i="12"/>
  <c r="P318" i="12"/>
  <c r="P225" i="12"/>
  <c r="P199" i="12"/>
  <c r="I47" i="5"/>
  <c r="O49" i="12"/>
  <c r="O22" i="12"/>
  <c r="H101" i="5"/>
  <c r="H86" i="5"/>
  <c r="N34" i="12"/>
  <c r="F30" i="5"/>
  <c r="N44" i="12"/>
  <c r="H103" i="5"/>
  <c r="H30" i="5"/>
  <c r="H98" i="5"/>
  <c r="F28" i="5"/>
  <c r="G46" i="5"/>
  <c r="H97" i="5"/>
  <c r="H107" i="5"/>
  <c r="F59" i="5"/>
  <c r="E6" i="5"/>
  <c r="F111" i="5"/>
  <c r="P20" i="12"/>
  <c r="E82" i="5"/>
  <c r="F91" i="5"/>
  <c r="E23" i="5"/>
  <c r="I125" i="5"/>
  <c r="N26" i="12"/>
  <c r="H33" i="5"/>
  <c r="F116" i="5"/>
  <c r="F42" i="5"/>
  <c r="I45" i="5"/>
  <c r="O50" i="12"/>
  <c r="I71" i="5"/>
  <c r="H68" i="5"/>
  <c r="H72" i="5"/>
  <c r="I101" i="5"/>
  <c r="E47" i="5"/>
  <c r="O59" i="12"/>
  <c r="H109" i="5"/>
  <c r="I24" i="5"/>
  <c r="F68" i="5"/>
  <c r="H113" i="5"/>
  <c r="H71" i="5"/>
  <c r="O63" i="12"/>
  <c r="P32" i="12"/>
  <c r="G49" i="5"/>
  <c r="H23" i="5"/>
  <c r="F51" i="5"/>
  <c r="O45" i="12"/>
  <c r="F52" i="5"/>
  <c r="E92" i="5"/>
  <c r="G67" i="5"/>
  <c r="H92" i="5"/>
  <c r="E55" i="5"/>
  <c r="E69" i="5"/>
  <c r="I51" i="5"/>
  <c r="H122" i="5"/>
  <c r="N49" i="12"/>
  <c r="E101" i="5"/>
  <c r="F4" i="5"/>
  <c r="N55" i="12"/>
  <c r="G41" i="5"/>
  <c r="E125" i="5"/>
  <c r="N75" i="12"/>
  <c r="O32" i="12"/>
  <c r="E80" i="5"/>
  <c r="I14" i="5"/>
  <c r="O73" i="12"/>
  <c r="F83" i="5"/>
  <c r="N70" i="12"/>
  <c r="F17" i="5"/>
  <c r="H20" i="5"/>
  <c r="E5" i="5"/>
  <c r="F113" i="5"/>
  <c r="N24" i="12"/>
  <c r="G94" i="5"/>
  <c r="N30" i="12"/>
  <c r="E32" i="5"/>
  <c r="F80" i="5"/>
  <c r="G78" i="5"/>
  <c r="I58" i="5"/>
  <c r="H18" i="5"/>
  <c r="H12" i="5"/>
  <c r="I60" i="5"/>
  <c r="G56" i="5"/>
  <c r="E36" i="5"/>
  <c r="P150" i="12"/>
  <c r="F29" i="5"/>
  <c r="I121" i="5"/>
  <c r="G19" i="5"/>
  <c r="G122" i="5"/>
  <c r="F18" i="5"/>
  <c r="H66" i="5"/>
  <c r="F39" i="5"/>
  <c r="I104" i="5"/>
  <c r="F37" i="5"/>
  <c r="G117" i="5"/>
  <c r="O70" i="12"/>
  <c r="N71" i="12"/>
  <c r="E9" i="5"/>
  <c r="E59" i="5"/>
  <c r="I16" i="5"/>
  <c r="E81" i="5"/>
  <c r="O47" i="12"/>
  <c r="F122" i="5"/>
  <c r="F16" i="5"/>
  <c r="I103" i="5"/>
  <c r="H19" i="5"/>
  <c r="E25" i="5"/>
  <c r="F44" i="5"/>
  <c r="H47" i="5"/>
  <c r="I97" i="5"/>
  <c r="F62" i="5"/>
  <c r="I91" i="5"/>
  <c r="F66" i="5"/>
  <c r="H124" i="5"/>
  <c r="F14" i="5"/>
  <c r="I93" i="5"/>
  <c r="G104" i="5"/>
  <c r="E30" i="5"/>
  <c r="I67" i="5"/>
  <c r="H8" i="5"/>
  <c r="H85" i="5"/>
  <c r="I76" i="5"/>
  <c r="I53" i="5"/>
  <c r="F23" i="5"/>
  <c r="I108" i="5"/>
  <c r="H9" i="5"/>
  <c r="O48" i="12"/>
  <c r="O44" i="12"/>
  <c r="E4" i="5"/>
  <c r="G21" i="5"/>
  <c r="G77" i="5"/>
  <c r="F36" i="5"/>
  <c r="I94" i="5"/>
  <c r="G47" i="5"/>
  <c r="F11" i="5"/>
  <c r="G6" i="5"/>
  <c r="F106" i="5"/>
  <c r="G4" i="5"/>
  <c r="F40" i="5"/>
  <c r="F26" i="5"/>
  <c r="H14" i="5"/>
  <c r="I69" i="5"/>
  <c r="G7" i="5"/>
  <c r="N29" i="12"/>
  <c r="I74" i="5"/>
  <c r="I19" i="5"/>
  <c r="H115" i="5"/>
  <c r="E68" i="5"/>
  <c r="E104" i="5"/>
  <c r="I44" i="5"/>
  <c r="N45" i="12"/>
  <c r="I88" i="5"/>
  <c r="N69" i="12"/>
  <c r="E66" i="5"/>
  <c r="G43" i="5"/>
  <c r="F118" i="5"/>
  <c r="O43" i="12"/>
  <c r="H89" i="5"/>
  <c r="E118" i="5"/>
  <c r="H49" i="5"/>
  <c r="G60" i="5"/>
  <c r="E58" i="5"/>
  <c r="G125" i="5"/>
  <c r="P22" i="12"/>
  <c r="F61" i="5"/>
  <c r="F32" i="5"/>
  <c r="H123" i="5"/>
  <c r="O54" i="12"/>
  <c r="P31" i="12"/>
  <c r="E94" i="5"/>
  <c r="G87" i="5"/>
  <c r="H106" i="5"/>
  <c r="O65" i="12"/>
  <c r="I118" i="5"/>
  <c r="G23" i="5"/>
  <c r="F124" i="5"/>
  <c r="I34" i="5"/>
  <c r="H51" i="5"/>
  <c r="G70" i="5"/>
  <c r="E98" i="5"/>
  <c r="I23" i="5"/>
  <c r="G37" i="5"/>
  <c r="H69" i="5"/>
  <c r="G110" i="5"/>
  <c r="F53" i="5"/>
  <c r="H31" i="5"/>
  <c r="H70" i="5"/>
  <c r="F88" i="5"/>
  <c r="E67" i="5"/>
  <c r="I25" i="5"/>
  <c r="F125" i="5"/>
  <c r="G38" i="5"/>
  <c r="G73" i="5"/>
  <c r="E64" i="5"/>
  <c r="O30" i="12"/>
  <c r="G25" i="5"/>
  <c r="F46" i="5"/>
  <c r="I35" i="5"/>
  <c r="F57" i="5"/>
  <c r="G45" i="5"/>
  <c r="F93" i="5"/>
  <c r="G118" i="5"/>
  <c r="F92" i="5"/>
  <c r="E7" i="5"/>
  <c r="G116" i="5"/>
  <c r="F86" i="5"/>
  <c r="O62" i="12"/>
  <c r="H87" i="5"/>
  <c r="F6" i="5"/>
  <c r="G26" i="5"/>
  <c r="E49" i="5"/>
  <c r="G17" i="5"/>
  <c r="G114" i="5"/>
  <c r="H37" i="5"/>
  <c r="G28" i="5"/>
  <c r="F9" i="5"/>
  <c r="N43" i="12"/>
  <c r="H121" i="5"/>
  <c r="O69" i="12"/>
  <c r="E79" i="5"/>
  <c r="N51" i="12"/>
  <c r="I15" i="5"/>
  <c r="G111" i="5"/>
  <c r="H93" i="5"/>
  <c r="I65" i="5"/>
  <c r="F43" i="5"/>
  <c r="H11" i="5"/>
  <c r="Z22" i="12"/>
  <c r="O29" i="12"/>
  <c r="P25" i="12"/>
  <c r="I102" i="5"/>
  <c r="N56" i="12"/>
  <c r="H120" i="5"/>
  <c r="H95" i="5"/>
  <c r="O75" i="12"/>
  <c r="F69" i="5"/>
  <c r="N58" i="12"/>
  <c r="I96" i="5"/>
  <c r="H29" i="5"/>
  <c r="F35" i="5"/>
  <c r="E77" i="5"/>
  <c r="I20" i="5"/>
  <c r="I77" i="5"/>
  <c r="E115" i="5"/>
  <c r="H63" i="5"/>
  <c r="I117" i="5"/>
  <c r="G14" i="5"/>
  <c r="H112" i="5"/>
  <c r="E10" i="5"/>
  <c r="I37" i="5"/>
  <c r="N42" i="12"/>
  <c r="E18" i="5"/>
  <c r="G88" i="5"/>
  <c r="E116" i="5"/>
  <c r="E50" i="5"/>
  <c r="G54" i="5"/>
  <c r="G57" i="5"/>
  <c r="F82" i="5"/>
  <c r="F102" i="5"/>
  <c r="I109" i="5"/>
  <c r="G13" i="5"/>
  <c r="E84" i="5"/>
  <c r="H48" i="5"/>
  <c r="H76" i="5"/>
  <c r="I49" i="5"/>
  <c r="H90" i="5"/>
  <c r="F123" i="5"/>
  <c r="E126" i="5"/>
  <c r="E38" i="5"/>
  <c r="E15" i="5"/>
  <c r="F121" i="5"/>
  <c r="P366" i="12"/>
  <c r="P186" i="12"/>
  <c r="P284" i="12"/>
  <c r="P111" i="12"/>
  <c r="P282" i="12"/>
  <c r="P314" i="12"/>
  <c r="P80" i="12"/>
  <c r="P245" i="12"/>
  <c r="P101" i="12"/>
  <c r="P307" i="12"/>
  <c r="P43" i="12"/>
  <c r="P139" i="12"/>
  <c r="P212" i="12"/>
  <c r="P112" i="12"/>
  <c r="P135" i="12"/>
  <c r="P305" i="12"/>
  <c r="P246" i="12"/>
  <c r="P309" i="12"/>
  <c r="P243" i="12"/>
  <c r="P278" i="12"/>
  <c r="P377" i="12"/>
  <c r="P385" i="12"/>
  <c r="P323" i="12"/>
  <c r="P342" i="12"/>
  <c r="P364" i="12"/>
  <c r="P147" i="12"/>
  <c r="P33" i="12"/>
  <c r="P138" i="12"/>
  <c r="P227" i="12"/>
  <c r="P266" i="12"/>
  <c r="P259" i="12"/>
  <c r="P319" i="12"/>
  <c r="P257" i="12"/>
  <c r="E95" i="5"/>
  <c r="N52" i="12"/>
  <c r="F108" i="5"/>
  <c r="F119" i="5"/>
  <c r="F27" i="5"/>
  <c r="P29" i="12"/>
  <c r="I105" i="5"/>
  <c r="P125" i="12"/>
  <c r="G16" i="5"/>
  <c r="P313" i="12"/>
  <c r="I17" i="5"/>
  <c r="P187" i="12"/>
  <c r="P178" i="12"/>
  <c r="AA16" i="12"/>
  <c r="P160" i="12"/>
  <c r="P45" i="12"/>
  <c r="R80" i="12"/>
  <c r="R230" i="12"/>
  <c r="R107" i="12"/>
  <c r="O107" i="12" s="1"/>
  <c r="R393" i="12"/>
  <c r="O393" i="12" s="1"/>
  <c r="R264" i="12"/>
  <c r="R373" i="12"/>
  <c r="R328" i="12"/>
  <c r="R33" i="12"/>
  <c r="R103" i="12"/>
  <c r="F72" i="5"/>
  <c r="P329" i="12"/>
  <c r="P356" i="12"/>
  <c r="P397" i="12"/>
  <c r="R243" i="12"/>
  <c r="R220" i="12"/>
  <c r="R122" i="12"/>
  <c r="R313" i="12"/>
  <c r="R96" i="12"/>
  <c r="R162" i="12"/>
  <c r="O57" i="12"/>
  <c r="F58" i="5"/>
  <c r="I123" i="5"/>
  <c r="H36" i="5"/>
  <c r="P36" i="12"/>
  <c r="H52" i="5"/>
  <c r="P122" i="12"/>
  <c r="P332" i="12"/>
  <c r="P56" i="12"/>
  <c r="P251" i="12"/>
  <c r="P396" i="12"/>
  <c r="P260" i="12"/>
  <c r="R127" i="12"/>
  <c r="R104" i="12"/>
  <c r="R187" i="12"/>
  <c r="R272" i="12"/>
  <c r="O272" i="12" s="1"/>
  <c r="R226" i="12"/>
  <c r="O226" i="12" s="1"/>
  <c r="R236" i="12"/>
  <c r="R288" i="12"/>
  <c r="O288" i="12" s="1"/>
  <c r="F12" i="5"/>
  <c r="I48" i="5"/>
  <c r="F100" i="5"/>
  <c r="I124" i="5"/>
  <c r="O51" i="12"/>
  <c r="E71" i="5"/>
  <c r="F76" i="5"/>
  <c r="I8" i="5"/>
  <c r="F34" i="5"/>
  <c r="H46" i="5"/>
  <c r="H114" i="5"/>
  <c r="I13" i="5"/>
  <c r="I81" i="5"/>
  <c r="F49" i="5"/>
  <c r="F81" i="5"/>
  <c r="N63" i="12"/>
  <c r="N57" i="12"/>
  <c r="E91" i="5"/>
  <c r="E74" i="5"/>
  <c r="G96" i="5"/>
  <c r="G53" i="5"/>
  <c r="E61" i="5"/>
  <c r="O46" i="12"/>
  <c r="E21" i="5"/>
  <c r="I80" i="5"/>
  <c r="H67" i="5"/>
  <c r="P88" i="12"/>
  <c r="P228" i="12"/>
  <c r="P51" i="12"/>
  <c r="P50" i="12"/>
  <c r="P46" i="12"/>
  <c r="P221" i="12"/>
  <c r="P82" i="12"/>
  <c r="P315" i="12"/>
  <c r="P401" i="12"/>
  <c r="P62" i="12"/>
  <c r="P328" i="12"/>
  <c r="P392" i="12"/>
  <c r="P325" i="12"/>
  <c r="P153" i="12"/>
  <c r="P74" i="12"/>
  <c r="P131" i="12"/>
  <c r="P331" i="12"/>
  <c r="P399" i="12"/>
  <c r="P264" i="12"/>
  <c r="P206" i="12"/>
  <c r="P113" i="12"/>
  <c r="P165" i="12"/>
  <c r="P209" i="12"/>
  <c r="P244" i="12"/>
  <c r="P158" i="12"/>
  <c r="P183" i="12"/>
  <c r="R358" i="12"/>
  <c r="R161" i="12"/>
  <c r="R276" i="12"/>
  <c r="R133" i="12"/>
  <c r="R315" i="12"/>
  <c r="R118" i="12"/>
  <c r="R136" i="12"/>
  <c r="O136" i="12" s="1"/>
  <c r="R119" i="12"/>
  <c r="O119" i="12" s="1"/>
  <c r="R141" i="12"/>
  <c r="O141" i="12" s="1"/>
  <c r="R216" i="12"/>
  <c r="R399" i="12"/>
  <c r="O399" i="12" s="1"/>
  <c r="R208" i="12"/>
  <c r="R335" i="12"/>
  <c r="R154" i="12"/>
  <c r="O154" i="12" s="1"/>
  <c r="R223" i="12"/>
  <c r="O223" i="12" s="1"/>
  <c r="R341" i="12"/>
  <c r="R106" i="12"/>
  <c r="O106" i="12" s="1"/>
  <c r="R374" i="12"/>
  <c r="R128" i="12"/>
  <c r="O128" i="12" s="1"/>
  <c r="R156" i="12"/>
  <c r="R112" i="12"/>
  <c r="O112" i="12" s="1"/>
  <c r="R168" i="12"/>
  <c r="O168" i="12" s="1"/>
  <c r="R331" i="12"/>
  <c r="R347" i="12"/>
  <c r="O347" i="12" s="1"/>
  <c r="R131" i="12"/>
  <c r="O220" i="12"/>
  <c r="O122" i="12"/>
  <c r="O373" i="12"/>
  <c r="O131" i="12"/>
  <c r="R400" i="12"/>
  <c r="O400" i="12" s="1"/>
  <c r="R376" i="12"/>
  <c r="R214" i="12"/>
  <c r="O214" i="12" s="1"/>
  <c r="R370" i="12"/>
  <c r="R211" i="12"/>
  <c r="R360" i="12"/>
  <c r="O360" i="12" s="1"/>
  <c r="R152" i="12"/>
  <c r="O152" i="12" s="1"/>
  <c r="O96" i="12"/>
  <c r="F97" i="5"/>
  <c r="G79" i="5"/>
  <c r="I120" i="5"/>
  <c r="P298" i="12"/>
  <c r="P190" i="12"/>
  <c r="P211" i="12"/>
  <c r="P61" i="12"/>
  <c r="P386" i="12"/>
  <c r="P189" i="12"/>
  <c r="P327" i="12"/>
  <c r="R102" i="12"/>
  <c r="R321" i="12"/>
  <c r="R150" i="12"/>
  <c r="R221" i="12"/>
  <c r="R130" i="12"/>
  <c r="O130" i="12" s="1"/>
  <c r="R273" i="12"/>
  <c r="O273" i="12" s="1"/>
  <c r="R146" i="12"/>
  <c r="R343" i="12"/>
  <c r="E27" i="5"/>
  <c r="N31" i="12"/>
  <c r="E120" i="5"/>
  <c r="I30" i="5"/>
  <c r="I75" i="5"/>
  <c r="I111" i="5"/>
  <c r="I31" i="5"/>
  <c r="I113" i="5"/>
  <c r="I4" i="5"/>
  <c r="G9" i="5"/>
  <c r="H75" i="5"/>
  <c r="P196" i="12"/>
  <c r="P159" i="12"/>
  <c r="P117" i="12"/>
  <c r="P237" i="12"/>
  <c r="P141" i="12"/>
  <c r="P96" i="12"/>
  <c r="P220" i="12"/>
  <c r="P130" i="12"/>
  <c r="R251" i="12"/>
  <c r="R117" i="12"/>
  <c r="R178" i="12"/>
  <c r="O178" i="12" s="1"/>
  <c r="R190" i="12"/>
  <c r="O190" i="12" s="1"/>
  <c r="R245" i="12"/>
  <c r="O245" i="12" s="1"/>
  <c r="R166" i="12"/>
  <c r="R95" i="12"/>
  <c r="O95" i="12" s="1"/>
  <c r="R210" i="12"/>
  <c r="O210" i="12" s="1"/>
  <c r="O313" i="12"/>
  <c r="P330" i="12"/>
  <c r="P127" i="12"/>
  <c r="P287" i="12"/>
  <c r="P161" i="12"/>
  <c r="R348" i="12"/>
  <c r="R292" i="12"/>
  <c r="R209" i="12"/>
  <c r="O209" i="12" s="1"/>
  <c r="R225" i="12"/>
  <c r="O225" i="12" s="1"/>
  <c r="R259" i="12"/>
  <c r="R257" i="12"/>
  <c r="O257" i="12" s="1"/>
  <c r="R359" i="12"/>
  <c r="O359" i="12" s="1"/>
  <c r="H73" i="5"/>
  <c r="F78" i="5"/>
  <c r="O23" i="12"/>
  <c r="F104" i="5"/>
  <c r="F87" i="5"/>
  <c r="E88" i="5"/>
  <c r="P168" i="12"/>
  <c r="P84" i="12"/>
  <c r="P94" i="12"/>
  <c r="P90" i="12"/>
  <c r="P95" i="12"/>
  <c r="P345" i="12"/>
  <c r="P276" i="12"/>
  <c r="R339" i="12"/>
  <c r="O339" i="12" s="1"/>
  <c r="R368" i="12"/>
  <c r="O368" i="12" s="1"/>
  <c r="R200" i="12"/>
  <c r="O200" i="12" s="1"/>
  <c r="R356" i="12"/>
  <c r="R269" i="12"/>
  <c r="O269" i="12" s="1"/>
  <c r="R201" i="12"/>
  <c r="O201" i="12" s="1"/>
  <c r="R300" i="12"/>
  <c r="O374" i="12"/>
  <c r="O300" i="12"/>
  <c r="R153" i="12"/>
  <c r="O211" i="12"/>
  <c r="H80" i="5"/>
  <c r="F103" i="5"/>
  <c r="G3" i="5"/>
  <c r="E35" i="5"/>
  <c r="H60" i="5"/>
  <c r="O64" i="12"/>
  <c r="E105" i="5"/>
  <c r="N72" i="12"/>
  <c r="F2" i="5"/>
  <c r="I43" i="5"/>
  <c r="O56" i="12"/>
  <c r="G90" i="5"/>
  <c r="N28" i="12"/>
  <c r="F112" i="5"/>
  <c r="E43" i="5"/>
  <c r="F31" i="5"/>
  <c r="E110" i="5"/>
  <c r="F120" i="5"/>
  <c r="P24" i="12"/>
  <c r="F85" i="5"/>
  <c r="H40" i="5"/>
  <c r="F94" i="5"/>
  <c r="H81" i="5"/>
  <c r="G92" i="5"/>
  <c r="P218" i="12"/>
  <c r="H22" i="5"/>
  <c r="P107" i="12"/>
  <c r="P42" i="12"/>
  <c r="D15" i="6"/>
  <c r="P380" i="12"/>
  <c r="P137" i="12"/>
  <c r="O25" i="12"/>
  <c r="P52" i="12"/>
  <c r="P149" i="12"/>
  <c r="P300" i="12"/>
  <c r="P67" i="12"/>
  <c r="P234" i="12"/>
  <c r="P272" i="12"/>
  <c r="P144" i="12"/>
  <c r="P254" i="12"/>
  <c r="P240" i="12"/>
  <c r="P320" i="12"/>
  <c r="P281" i="12"/>
  <c r="P348" i="12"/>
  <c r="P66" i="12"/>
  <c r="P63" i="12"/>
  <c r="P68" i="12"/>
  <c r="P374" i="12"/>
  <c r="P210" i="12"/>
  <c r="P92" i="12"/>
  <c r="P176" i="12"/>
  <c r="R204" i="12"/>
  <c r="R115" i="12"/>
  <c r="R262" i="12"/>
  <c r="R299" i="12"/>
  <c r="R85" i="12"/>
  <c r="R135" i="12"/>
  <c r="R361" i="12"/>
  <c r="R192" i="12"/>
  <c r="O192" i="12" s="1"/>
  <c r="R255" i="12"/>
  <c r="O255" i="12" s="1"/>
  <c r="R142" i="12"/>
  <c r="O142" i="12" s="1"/>
  <c r="R242" i="12"/>
  <c r="R132" i="12"/>
  <c r="O132" i="12" s="1"/>
  <c r="R195" i="12"/>
  <c r="O195" i="12" s="1"/>
  <c r="I66" i="5"/>
  <c r="I122" i="5"/>
  <c r="P198" i="12"/>
  <c r="E16" i="5"/>
  <c r="J1" i="5" a="1"/>
  <c r="P110" i="12"/>
  <c r="P286" i="12"/>
  <c r="P337" i="12"/>
  <c r="P376" i="12"/>
  <c r="R196" i="12"/>
  <c r="R185" i="12"/>
  <c r="R25" i="12"/>
  <c r="R224" i="12"/>
  <c r="O224" i="12" s="1"/>
  <c r="R179" i="12"/>
  <c r="O179" i="12" s="1"/>
  <c r="R250" i="12"/>
  <c r="R116" i="12"/>
  <c r="O116" i="12" s="1"/>
  <c r="R167" i="12"/>
  <c r="O167" i="12" s="1"/>
  <c r="R183" i="12"/>
  <c r="O183" i="12" s="1"/>
  <c r="G105" i="5"/>
  <c r="Y24" i="12"/>
  <c r="F45" i="5"/>
  <c r="F115" i="5"/>
  <c r="G64" i="5"/>
  <c r="G75" i="5"/>
  <c r="I87" i="5"/>
  <c r="P359" i="12"/>
  <c r="P134" i="12"/>
  <c r="P280" i="12"/>
  <c r="P256" i="12"/>
  <c r="P353" i="12"/>
  <c r="P333" i="12"/>
  <c r="P294" i="12"/>
  <c r="P361" i="12"/>
  <c r="R355" i="12"/>
  <c r="R169" i="12"/>
  <c r="R82" i="12"/>
  <c r="O82" i="12" s="1"/>
  <c r="R397" i="12"/>
  <c r="R285" i="12"/>
  <c r="O285" i="12" s="1"/>
  <c r="R88" i="12"/>
  <c r="O88" i="12" s="1"/>
  <c r="R401" i="12"/>
  <c r="I112" i="5"/>
  <c r="P351" i="12"/>
  <c r="P349" i="12"/>
  <c r="P277" i="12"/>
  <c r="R32" i="12"/>
  <c r="T32" i="12" s="1"/>
  <c r="R391" i="12"/>
  <c r="O391" i="12" s="1"/>
  <c r="R81" i="12"/>
  <c r="R175" i="12"/>
  <c r="O276" i="12"/>
  <c r="O216" i="12"/>
  <c r="H16" i="5"/>
  <c r="P27" i="12"/>
  <c r="H108" i="5"/>
  <c r="F65" i="5"/>
  <c r="I57" i="5"/>
  <c r="P317" i="12"/>
  <c r="P86" i="12"/>
  <c r="P253" i="12"/>
  <c r="P354" i="12"/>
  <c r="R322" i="12"/>
  <c r="O322" i="12" s="1"/>
  <c r="R398" i="12"/>
  <c r="O398" i="12" s="1"/>
  <c r="R286" i="12"/>
  <c r="R364" i="12"/>
  <c r="O364" i="12" s="1"/>
  <c r="R238" i="12"/>
  <c r="O238" i="12" s="1"/>
  <c r="F71" i="5"/>
  <c r="G50" i="5"/>
  <c r="G68" i="5"/>
  <c r="G18" i="5"/>
  <c r="G55" i="5"/>
  <c r="E14" i="5"/>
  <c r="I73" i="5"/>
  <c r="E24" i="5"/>
  <c r="E112" i="5"/>
  <c r="I84" i="5"/>
  <c r="I28" i="5"/>
  <c r="H39" i="5"/>
  <c r="O27" i="12"/>
  <c r="O67" i="12"/>
  <c r="G58" i="5"/>
  <c r="H7" i="5"/>
  <c r="P30" i="12"/>
  <c r="G93" i="5"/>
  <c r="H94" i="5"/>
  <c r="H57" i="5"/>
  <c r="I61" i="5"/>
  <c r="H53" i="5"/>
  <c r="P121" i="12"/>
  <c r="I59" i="5"/>
  <c r="P205" i="12"/>
  <c r="P55" i="12"/>
  <c r="R198" i="12"/>
  <c r="P142" i="12"/>
  <c r="R345" i="12"/>
  <c r="O345" i="12" s="1"/>
  <c r="R346" i="12"/>
  <c r="O346" i="12" s="1"/>
  <c r="R297" i="12"/>
  <c r="O297" i="12" s="1"/>
  <c r="O103" i="12"/>
  <c r="D30" i="6"/>
  <c r="P384" i="12"/>
  <c r="P201" i="12"/>
  <c r="R366" i="12"/>
  <c r="R27" i="12"/>
  <c r="R101" i="12"/>
  <c r="I100" i="5"/>
  <c r="N22" i="12"/>
  <c r="N48" i="12"/>
  <c r="P395" i="12"/>
  <c r="P239" i="12"/>
  <c r="P241" i="12"/>
  <c r="R247" i="12"/>
  <c r="O247" i="12" s="1"/>
  <c r="R215" i="12"/>
  <c r="O215" i="12" s="1"/>
  <c r="R213" i="12"/>
  <c r="O213" i="12" s="1"/>
  <c r="R237" i="12"/>
  <c r="P321" i="12"/>
  <c r="O162" i="12"/>
  <c r="P312" i="12"/>
  <c r="P324" i="12"/>
  <c r="R248" i="12"/>
  <c r="R126" i="12"/>
  <c r="R147" i="12"/>
  <c r="O147" i="12" s="1"/>
  <c r="E17" i="5"/>
  <c r="G71" i="5"/>
  <c r="G61" i="5"/>
  <c r="P114" i="12"/>
  <c r="P103" i="12"/>
  <c r="R149" i="12"/>
  <c r="R389" i="12"/>
  <c r="O389" i="12" s="1"/>
  <c r="R302" i="12"/>
  <c r="O36" i="12"/>
  <c r="R36" i="12" s="1"/>
  <c r="N65" i="12"/>
  <c r="F96" i="5"/>
  <c r="H17" i="5"/>
  <c r="H102" i="5"/>
  <c r="E45" i="5"/>
  <c r="G99" i="5"/>
  <c r="H15" i="5"/>
  <c r="G40" i="5"/>
  <c r="I89" i="5"/>
  <c r="F67" i="5"/>
  <c r="O34" i="12"/>
  <c r="R34" i="12" s="1"/>
  <c r="E111" i="5"/>
  <c r="G100" i="5"/>
  <c r="E103" i="5"/>
  <c r="E107" i="5"/>
  <c r="N74" i="12"/>
  <c r="N60" i="12"/>
  <c r="G63" i="5"/>
  <c r="F47" i="5"/>
  <c r="E12" i="5"/>
  <c r="N50" i="12"/>
  <c r="E29" i="5"/>
  <c r="H10" i="5"/>
  <c r="I119" i="5"/>
  <c r="H125" i="5"/>
  <c r="I5" i="5"/>
  <c r="P391" i="12"/>
  <c r="P373" i="12"/>
  <c r="P371" i="12"/>
  <c r="P235" i="12"/>
  <c r="P100" i="12"/>
  <c r="P109" i="12"/>
  <c r="P344" i="12"/>
  <c r="P116" i="12"/>
  <c r="R164" i="12"/>
  <c r="O164" i="12" s="1"/>
  <c r="R295" i="12"/>
  <c r="O295" i="12" s="1"/>
  <c r="R87" i="12"/>
  <c r="O87" i="12" s="1"/>
  <c r="F73" i="5"/>
  <c r="G109" i="5"/>
  <c r="O61" i="12"/>
  <c r="P83" i="12"/>
  <c r="P339" i="12"/>
  <c r="P104" i="12"/>
  <c r="P296" i="12"/>
  <c r="R188" i="12"/>
  <c r="O188" i="12" s="1"/>
  <c r="R305" i="12"/>
  <c r="O305" i="12" s="1"/>
  <c r="R281" i="12"/>
  <c r="O281" i="12" s="1"/>
  <c r="R375" i="12"/>
  <c r="O149" i="12"/>
  <c r="O150" i="12"/>
  <c r="O221" i="12"/>
  <c r="N21" i="12"/>
  <c r="H5" i="5"/>
  <c r="O68" i="12"/>
  <c r="H24" i="5"/>
  <c r="E2" i="5"/>
  <c r="E87" i="5"/>
  <c r="H99" i="5"/>
  <c r="F54" i="5"/>
  <c r="F60" i="5"/>
  <c r="H13" i="5"/>
  <c r="P35" i="12"/>
  <c r="G59" i="5"/>
  <c r="E56" i="5"/>
  <c r="G80" i="5"/>
  <c r="G44" i="5"/>
  <c r="G33" i="5"/>
  <c r="G30" i="5"/>
  <c r="G97" i="5"/>
  <c r="F19" i="5"/>
  <c r="E19" i="5"/>
  <c r="E37" i="5"/>
  <c r="I32" i="5"/>
  <c r="E39" i="5"/>
  <c r="G82" i="5"/>
  <c r="N62" i="12"/>
  <c r="P203" i="12"/>
  <c r="P57" i="12"/>
  <c r="P133" i="12"/>
  <c r="P382" i="12"/>
  <c r="P169" i="12"/>
  <c r="P53" i="12"/>
  <c r="P231" i="12"/>
  <c r="P367" i="12"/>
  <c r="P316" i="12"/>
  <c r="P299" i="12"/>
  <c r="P120" i="12"/>
  <c r="P389" i="12"/>
  <c r="P164" i="12"/>
  <c r="P208" i="12"/>
  <c r="P197" i="12"/>
  <c r="P387" i="12"/>
  <c r="P148" i="12"/>
  <c r="P182" i="12"/>
  <c r="P119" i="12"/>
  <c r="P47" i="12"/>
  <c r="P129" i="12"/>
  <c r="P291" i="12"/>
  <c r="P132" i="12"/>
  <c r="P230" i="12"/>
  <c r="P232" i="12"/>
  <c r="P223" i="12"/>
  <c r="P275" i="12"/>
  <c r="R182" i="12"/>
  <c r="O182" i="12" s="1"/>
  <c r="R265" i="12"/>
  <c r="O265" i="12" s="1"/>
  <c r="R139" i="12"/>
  <c r="O139" i="12" s="1"/>
  <c r="R29" i="12"/>
  <c r="R280" i="12"/>
  <c r="O280" i="12" s="1"/>
  <c r="R189" i="12"/>
  <c r="R191" i="12"/>
  <c r="R293" i="12"/>
  <c r="O293" i="12" s="1"/>
  <c r="R350" i="12"/>
  <c r="O350" i="12" s="1"/>
  <c r="R125" i="12"/>
  <c r="O125" i="12" s="1"/>
  <c r="R235" i="12"/>
  <c r="O235" i="12" s="1"/>
  <c r="R289" i="12"/>
  <c r="O289" i="12" s="1"/>
  <c r="R222" i="12"/>
  <c r="R90" i="12"/>
  <c r="R89" i="12"/>
  <c r="R268" i="12"/>
  <c r="O268" i="12" s="1"/>
  <c r="R382" i="12"/>
  <c r="R91" i="12"/>
  <c r="O91" i="12" s="1"/>
  <c r="R239" i="12"/>
  <c r="O239" i="12" s="1"/>
  <c r="R252" i="12"/>
  <c r="O252" i="12" s="1"/>
  <c r="R22" i="12"/>
  <c r="R253" i="12"/>
  <c r="O253" i="12" s="1"/>
  <c r="O208" i="12"/>
  <c r="O341" i="12"/>
  <c r="T36" i="12"/>
  <c r="O80" i="12"/>
  <c r="O251" i="12"/>
  <c r="O356" i="12"/>
  <c r="O237" i="12"/>
  <c r="O156" i="12"/>
  <c r="O191" i="12"/>
  <c r="O335" i="12"/>
  <c r="O81" i="12"/>
  <c r="O299" i="12"/>
  <c r="O250" i="12"/>
  <c r="O189" i="12"/>
  <c r="O292" i="12"/>
  <c r="O355" i="12"/>
  <c r="O196" i="12"/>
  <c r="O169" i="12"/>
  <c r="O101" i="12"/>
  <c r="O127" i="12"/>
  <c r="O85" i="12"/>
  <c r="O262" i="12"/>
  <c r="O259" i="12"/>
  <c r="O198" i="12"/>
  <c r="O315" i="12"/>
  <c r="O135" i="12"/>
  <c r="O375" i="12"/>
  <c r="O175" i="12"/>
  <c r="O166" i="12"/>
  <c r="O185" i="12"/>
  <c r="O382" i="12"/>
  <c r="O376" i="12"/>
  <c r="R28" i="12"/>
  <c r="O187" i="12"/>
  <c r="O117" i="12"/>
  <c r="O343" i="12"/>
  <c r="O204" i="12"/>
  <c r="O104" i="12"/>
  <c r="O328" i="12"/>
  <c r="O242" i="12"/>
  <c r="O286" i="12"/>
  <c r="O126" i="12"/>
  <c r="O146" i="12"/>
  <c r="O366" i="12"/>
  <c r="R26" i="12"/>
  <c r="O358" i="12"/>
  <c r="O153" i="12"/>
  <c r="O222" i="12"/>
  <c r="O397" i="12"/>
  <c r="O264" i="12"/>
  <c r="O133" i="12"/>
  <c r="O230" i="12"/>
  <c r="O102" i="12"/>
  <c r="O161" i="12"/>
  <c r="O118" i="12"/>
  <c r="O243" i="12"/>
  <c r="O302" i="12"/>
  <c r="O248" i="12"/>
  <c r="O348" i="12"/>
  <c r="O321" i="12"/>
  <c r="O361" i="12"/>
  <c r="O370" i="12"/>
  <c r="O115" i="12"/>
  <c r="O236" i="12"/>
  <c r="O331" i="12"/>
  <c r="O89" i="12"/>
  <c r="P352" i="12"/>
  <c r="P108" i="12"/>
  <c r="P204" i="12"/>
  <c r="P283" i="12"/>
  <c r="P383" i="12"/>
  <c r="P290" i="12"/>
  <c r="P310" i="12"/>
  <c r="P181" i="12"/>
  <c r="P358" i="12"/>
  <c r="P249" i="12"/>
  <c r="P236" i="12"/>
  <c r="P48" i="12"/>
  <c r="P162" i="12"/>
  <c r="P171" i="12"/>
  <c r="P60" i="12"/>
  <c r="P242" i="12"/>
  <c r="P394" i="12"/>
  <c r="P379" i="12"/>
  <c r="P166" i="12"/>
  <c r="P185" i="12"/>
  <c r="P381" i="12"/>
  <c r="P194" i="12"/>
  <c r="P146" i="12"/>
  <c r="P54" i="12"/>
  <c r="P81" i="12"/>
  <c r="P177" i="12"/>
  <c r="P263" i="12"/>
  <c r="P192" i="12"/>
  <c r="P85" i="12"/>
  <c r="P173" i="12"/>
  <c r="P335" i="12"/>
  <c r="P188" i="12"/>
  <c r="P105" i="12"/>
  <c r="P126" i="12"/>
  <c r="P400" i="12"/>
  <c r="P388" i="12"/>
  <c r="P73" i="12"/>
  <c r="P250" i="12"/>
  <c r="P302" i="12"/>
  <c r="P238" i="12"/>
  <c r="P79" i="12"/>
  <c r="P128" i="12"/>
  <c r="P215" i="12"/>
  <c r="P106" i="12"/>
  <c r="P362" i="12"/>
  <c r="P191" i="12"/>
  <c r="P247" i="12"/>
  <c r="P255" i="12"/>
  <c r="P248" i="12"/>
  <c r="P123" i="12"/>
  <c r="P93" i="12"/>
  <c r="P360" i="12"/>
  <c r="P363" i="12"/>
  <c r="P378" i="12"/>
  <c r="P274" i="12"/>
  <c r="P326" i="12"/>
  <c r="P154" i="12"/>
  <c r="P207" i="12"/>
  <c r="P267" i="12"/>
  <c r="P179" i="12"/>
  <c r="P347" i="12"/>
  <c r="P265" i="12"/>
  <c r="P97" i="12"/>
  <c r="P271" i="12"/>
  <c r="P41" i="12"/>
  <c r="P303" i="12"/>
  <c r="P214" i="12"/>
  <c r="P268" i="12"/>
  <c r="P293" i="12"/>
  <c r="P306" i="12"/>
  <c r="P304" i="12"/>
  <c r="P65" i="12"/>
  <c r="P270" i="12"/>
  <c r="P172" i="12"/>
  <c r="P368" i="12"/>
  <c r="P341" i="12"/>
  <c r="P346" i="12"/>
  <c r="P175" i="12"/>
  <c r="P292" i="12"/>
  <c r="P279" i="12"/>
  <c r="P393" i="12"/>
  <c r="P118" i="12"/>
  <c r="P78" i="12"/>
  <c r="P91" i="12"/>
  <c r="P99" i="12"/>
  <c r="P216" i="12"/>
  <c r="P202" i="12"/>
  <c r="P226" i="12"/>
  <c r="P193" i="12"/>
  <c r="P219" i="12"/>
  <c r="P365" i="12"/>
  <c r="P44" i="12"/>
  <c r="P174" i="12"/>
  <c r="P369" i="12"/>
  <c r="P311" i="12"/>
  <c r="P224" i="12"/>
  <c r="P375" i="12"/>
  <c r="P258" i="12"/>
  <c r="P229" i="12"/>
  <c r="P289" i="12"/>
  <c r="P58" i="12"/>
  <c r="P40" i="12"/>
  <c r="P87" i="12"/>
  <c r="P89" i="12"/>
  <c r="P102" i="12"/>
  <c r="P49" i="12"/>
  <c r="P152" i="12"/>
  <c r="P252" i="12"/>
  <c r="P75" i="12"/>
  <c r="P301" i="12"/>
  <c r="P180" i="12"/>
  <c r="J23" i="12"/>
  <c r="R134" i="12"/>
  <c r="O134" i="12" s="1"/>
  <c r="R165" i="12"/>
  <c r="O165" i="12" s="1"/>
  <c r="R202" i="12"/>
  <c r="O202" i="12" s="1"/>
  <c r="R148" i="12"/>
  <c r="O148" i="12" s="1"/>
  <c r="R378" i="12"/>
  <c r="O378" i="12" s="1"/>
  <c r="R145" i="12"/>
  <c r="O145" i="12" s="1"/>
  <c r="R314" i="12"/>
  <c r="O314" i="12" s="1"/>
  <c r="R388" i="12"/>
  <c r="O388" i="12" s="1"/>
  <c r="R110" i="12"/>
  <c r="O110" i="12" s="1"/>
  <c r="R324" i="12"/>
  <c r="O324" i="12" s="1"/>
  <c r="R394" i="12"/>
  <c r="O394" i="12" s="1"/>
  <c r="R151" i="12"/>
  <c r="O151" i="12" s="1"/>
  <c r="R120" i="12"/>
  <c r="O120" i="12" s="1"/>
  <c r="R277" i="12"/>
  <c r="O277" i="12" s="1"/>
  <c r="R249" i="12"/>
  <c r="O249" i="12" s="1"/>
  <c r="R363" i="12"/>
  <c r="O363" i="12" s="1"/>
  <c r="R271" i="12"/>
  <c r="O271" i="12" s="1"/>
  <c r="R318" i="12"/>
  <c r="O318" i="12" s="1"/>
  <c r="R330" i="12"/>
  <c r="O330" i="12" s="1"/>
  <c r="R287" i="12"/>
  <c r="O287" i="12" s="1"/>
  <c r="R108" i="12"/>
  <c r="O108" i="12" s="1"/>
  <c r="R256" i="12"/>
  <c r="O256" i="12" s="1"/>
  <c r="R344" i="12"/>
  <c r="O344" i="12" s="1"/>
  <c r="R181" i="12"/>
  <c r="O181" i="12" s="1"/>
  <c r="R395" i="12"/>
  <c r="O395" i="12" s="1"/>
  <c r="R86" i="12"/>
  <c r="O86" i="12" s="1"/>
  <c r="R227" i="12"/>
  <c r="O227" i="12" s="1"/>
  <c r="R275" i="12"/>
  <c r="O275" i="12" s="1"/>
  <c r="R312" i="12"/>
  <c r="O312" i="12" s="1"/>
  <c r="R121" i="12"/>
  <c r="O121" i="12" s="1"/>
  <c r="R232" i="12"/>
  <c r="O232" i="12" s="1"/>
  <c r="R171" i="12"/>
  <c r="O171" i="12" s="1"/>
  <c r="R105" i="12"/>
  <c r="O105" i="12" s="1"/>
  <c r="R369" i="12"/>
  <c r="O369" i="12" s="1"/>
  <c r="R246" i="12"/>
  <c r="O246" i="12" s="1"/>
  <c r="R140" i="12"/>
  <c r="O140" i="12" s="1"/>
  <c r="R193" i="12"/>
  <c r="O193" i="12" s="1"/>
  <c r="R177" i="12"/>
  <c r="O177" i="12" s="1"/>
  <c r="R219" i="12"/>
  <c r="O219" i="12" s="1"/>
  <c r="R306" i="12"/>
  <c r="O306" i="12" s="1"/>
  <c r="R311" i="12"/>
  <c r="O311" i="12" s="1"/>
  <c r="R111" i="12"/>
  <c r="O111" i="12" s="1"/>
  <c r="R21" i="12"/>
  <c r="T21" i="12" s="1"/>
  <c r="R337" i="12"/>
  <c r="O337" i="12" s="1"/>
  <c r="R396" i="12"/>
  <c r="O396" i="12" s="1"/>
  <c r="R336" i="12"/>
  <c r="O336" i="12" s="1"/>
  <c r="R124" i="12"/>
  <c r="O124" i="12" s="1"/>
  <c r="R79" i="12"/>
  <c r="O79" i="12" s="1"/>
  <c r="R338" i="12"/>
  <c r="O338" i="12" s="1"/>
  <c r="R157" i="12"/>
  <c r="O157" i="12" s="1"/>
  <c r="R385" i="12"/>
  <c r="O385" i="12" s="1"/>
  <c r="R206" i="12"/>
  <c r="O206" i="12" s="1"/>
  <c r="R23" i="12"/>
  <c r="R327" i="12"/>
  <c r="O327" i="12" s="1"/>
  <c r="R308" i="12"/>
  <c r="O308" i="12" s="1"/>
  <c r="R170" i="12"/>
  <c r="O170" i="12" s="1"/>
  <c r="R207" i="12"/>
  <c r="O207" i="12" s="1"/>
  <c r="R19" i="12"/>
  <c r="T19" i="12" s="1"/>
  <c r="R176" i="12"/>
  <c r="O176" i="12" s="1"/>
  <c r="R78" i="12"/>
  <c r="O78" i="12" s="1"/>
  <c r="R173" i="12"/>
  <c r="O173" i="12" s="1"/>
  <c r="R261" i="12"/>
  <c r="O261" i="12" s="1"/>
  <c r="R172" i="12"/>
  <c r="O172" i="12" s="1"/>
  <c r="R260" i="12"/>
  <c r="O260" i="12" s="1"/>
  <c r="R351" i="12"/>
  <c r="O351" i="12" s="1"/>
  <c r="R240" i="12"/>
  <c r="O240" i="12" s="1"/>
  <c r="R129" i="12"/>
  <c r="O129" i="12" s="1"/>
  <c r="R31" i="12"/>
  <c r="T31" i="12" s="1"/>
  <c r="R217" i="12"/>
  <c r="O217" i="12" s="1"/>
  <c r="R334" i="12"/>
  <c r="O334" i="12" s="1"/>
  <c r="R274" i="12"/>
  <c r="O274" i="12" s="1"/>
  <c r="R323" i="12"/>
  <c r="O323" i="12" s="1"/>
  <c r="R229" i="12"/>
  <c r="O229" i="12" s="1"/>
  <c r="T29" i="12"/>
  <c r="R291" i="12"/>
  <c r="O291" i="12" s="1"/>
  <c r="R35" i="12"/>
  <c r="T35" i="12" s="1"/>
  <c r="R158" i="12"/>
  <c r="O158" i="12" s="1"/>
  <c r="R316" i="12"/>
  <c r="O316" i="12" s="1"/>
  <c r="R372" i="12"/>
  <c r="O372" i="12" s="1"/>
  <c r="R381" i="12"/>
  <c r="O381" i="12" s="1"/>
  <c r="R228" i="12"/>
  <c r="O228" i="12" s="1"/>
  <c r="R379" i="12"/>
  <c r="O379" i="12" s="1"/>
  <c r="R320" i="12"/>
  <c r="O320" i="12" s="1"/>
  <c r="R349" i="12"/>
  <c r="O349" i="12" s="1"/>
  <c r="R309" i="12"/>
  <c r="O309" i="12" s="1"/>
  <c r="R367" i="12"/>
  <c r="O367" i="12" s="1"/>
  <c r="R123" i="12"/>
  <c r="O123" i="12" s="1"/>
  <c r="R332" i="12"/>
  <c r="O332" i="12" s="1"/>
  <c r="R30" i="12"/>
  <c r="T30" i="12" s="1"/>
  <c r="R304" i="12"/>
  <c r="O304" i="12" s="1"/>
  <c r="R387" i="12"/>
  <c r="O387" i="12" s="1"/>
  <c r="R294" i="12"/>
  <c r="O294" i="12" s="1"/>
  <c r="R333" i="12"/>
  <c r="O333" i="12" s="1"/>
  <c r="R241" i="12"/>
  <c r="O241" i="12" s="1"/>
  <c r="R353" i="12"/>
  <c r="O353" i="12" s="1"/>
  <c r="R205" i="12"/>
  <c r="O205" i="12" s="1"/>
  <c r="R234" i="12"/>
  <c r="O234" i="12" s="1"/>
  <c r="R233" i="12"/>
  <c r="O233" i="12" s="1"/>
  <c r="R113" i="12"/>
  <c r="O113" i="12" s="1"/>
  <c r="R138" i="12"/>
  <c r="O138" i="12" s="1"/>
  <c r="R99" i="12"/>
  <c r="O99" i="12" s="1"/>
  <c r="R194" i="12"/>
  <c r="O194" i="12" s="1"/>
  <c r="R352" i="12"/>
  <c r="O352" i="12" s="1"/>
  <c r="R184" i="12"/>
  <c r="O184" i="12" s="1"/>
  <c r="R365" i="12"/>
  <c r="O365" i="12" s="1"/>
  <c r="R186" i="12"/>
  <c r="O186" i="12" s="1"/>
  <c r="R357" i="12"/>
  <c r="O357" i="12" s="1"/>
  <c r="R284" i="12"/>
  <c r="O284" i="12" s="1"/>
  <c r="R83" i="12"/>
  <c r="O83" i="12" s="1"/>
  <c r="R137" i="12"/>
  <c r="O137" i="12" s="1"/>
  <c r="R174" i="12"/>
  <c r="O174" i="12" s="1"/>
  <c r="R319" i="12"/>
  <c r="O319" i="12" s="1"/>
  <c r="R392" i="12"/>
  <c r="O392" i="12" s="1"/>
  <c r="R342" i="12"/>
  <c r="O342" i="12" s="1"/>
  <c r="R296" i="12"/>
  <c r="O296" i="12" s="1"/>
  <c r="R325" i="12"/>
  <c r="O325" i="12" s="1"/>
  <c r="R303" i="12"/>
  <c r="O303" i="12" s="1"/>
  <c r="R258" i="12"/>
  <c r="O258" i="12" s="1"/>
  <c r="R340" i="12"/>
  <c r="O340" i="12" s="1"/>
  <c r="R254" i="12"/>
  <c r="O254" i="12" s="1"/>
  <c r="R20" i="12"/>
  <c r="R109" i="12"/>
  <c r="O109" i="12" s="1"/>
  <c r="R278" i="12"/>
  <c r="O278" i="12" s="1"/>
  <c r="R377" i="12"/>
  <c r="O377" i="12" s="1"/>
  <c r="R279" i="12"/>
  <c r="O279" i="12" s="1"/>
  <c r="R354" i="12"/>
  <c r="O354" i="12" s="1"/>
  <c r="R362" i="12"/>
  <c r="O362" i="12" s="1"/>
  <c r="R143" i="12"/>
  <c r="O143" i="12" s="1"/>
  <c r="R270" i="12"/>
  <c r="O270" i="12" s="1"/>
  <c r="R290" i="12"/>
  <c r="O290" i="12" s="1"/>
  <c r="R267" i="12"/>
  <c r="O267" i="12" s="1"/>
  <c r="R199" i="12"/>
  <c r="O199" i="12" s="1"/>
  <c r="R301" i="12"/>
  <c r="O301" i="12" s="1"/>
  <c r="R386" i="12"/>
  <c r="O386" i="12" s="1"/>
  <c r="R84" i="12"/>
  <c r="O84" i="12" s="1"/>
  <c r="R98" i="12"/>
  <c r="O98" i="12" s="1"/>
  <c r="R282" i="12"/>
  <c r="O282" i="12" s="1"/>
  <c r="R317" i="12"/>
  <c r="O317" i="12" s="1"/>
  <c r="R371" i="12"/>
  <c r="O371" i="12" s="1"/>
  <c r="R390" i="12"/>
  <c r="O390" i="12" s="1"/>
  <c r="R160" i="12"/>
  <c r="O160" i="12" s="1"/>
  <c r="R384" i="12"/>
  <c r="O384" i="12" s="1"/>
  <c r="R244" i="12"/>
  <c r="O244" i="12" s="1"/>
  <c r="R180" i="12"/>
  <c r="O180" i="12" s="1"/>
  <c r="R197" i="12"/>
  <c r="O197" i="12" s="1"/>
  <c r="R329" i="12"/>
  <c r="O329" i="12" s="1"/>
  <c r="R231" i="12"/>
  <c r="O231" i="12" s="1"/>
  <c r="R203" i="12"/>
  <c r="O203" i="12" s="1"/>
  <c r="R93" i="12"/>
  <c r="O93" i="12" s="1"/>
  <c r="R92" i="12"/>
  <c r="O92" i="12" s="1"/>
  <c r="R114" i="12"/>
  <c r="O114" i="12" s="1"/>
  <c r="R94" i="12"/>
  <c r="O94" i="12" s="1"/>
  <c r="R310" i="12"/>
  <c r="O310" i="12" s="1"/>
  <c r="R144" i="12"/>
  <c r="O144" i="12" s="1"/>
  <c r="R159" i="12"/>
  <c r="O159" i="12" s="1"/>
  <c r="R97" i="12"/>
  <c r="O97" i="12" s="1"/>
  <c r="R155" i="12"/>
  <c r="O155" i="12" s="1"/>
  <c r="R218" i="12"/>
  <c r="O218" i="12" s="1"/>
  <c r="R383" i="12"/>
  <c r="O383" i="12" s="1"/>
  <c r="R24" i="12"/>
  <c r="R298" i="12"/>
  <c r="O298" i="12" s="1"/>
  <c r="R380" i="12"/>
  <c r="O380" i="12" s="1"/>
  <c r="R163" i="12"/>
  <c r="O163" i="12" s="1"/>
  <c r="R283" i="12"/>
  <c r="O283" i="12" s="1"/>
  <c r="R307" i="12"/>
  <c r="O307" i="12" s="1"/>
  <c r="R212" i="12"/>
  <c r="O212" i="12" s="1"/>
  <c r="R263" i="12"/>
  <c r="O263" i="12" s="1"/>
  <c r="R100" i="12"/>
  <c r="O100" i="12" s="1"/>
  <c r="R326" i="12"/>
  <c r="O326" i="12" s="1"/>
  <c r="R266" i="12"/>
  <c r="O266" i="12" s="1"/>
  <c r="Z24" i="12"/>
  <c r="O90" i="12"/>
  <c r="S90" i="12"/>
  <c r="T90" i="12" s="1"/>
  <c r="U90" i="12" l="1"/>
  <c r="U30" i="12"/>
  <c r="U35" i="12"/>
  <c r="U29" i="12"/>
  <c r="U31" i="12"/>
  <c r="U19" i="12"/>
  <c r="U21" i="12"/>
  <c r="U36" i="12"/>
  <c r="Q62" i="12"/>
  <c r="Q50" i="12"/>
  <c r="Q60" i="12"/>
  <c r="Q74" i="12"/>
  <c r="Q65" i="12"/>
  <c r="Q48" i="12"/>
  <c r="U32" i="12"/>
  <c r="J79" i="5"/>
  <c r="J119" i="5"/>
  <c r="J123" i="5"/>
  <c r="J9" i="5"/>
  <c r="J50" i="5"/>
  <c r="J5" i="5"/>
  <c r="J104" i="5"/>
  <c r="J58" i="5"/>
  <c r="J78" i="5"/>
  <c r="J61" i="5"/>
  <c r="J54" i="5"/>
  <c r="J72" i="5"/>
  <c r="J106" i="5"/>
  <c r="J107" i="5"/>
  <c r="J10" i="5"/>
  <c r="J57" i="5"/>
  <c r="J96" i="5"/>
  <c r="J74" i="5"/>
  <c r="J31" i="5"/>
  <c r="J18" i="5"/>
  <c r="J70" i="5"/>
  <c r="J22" i="5"/>
  <c r="J32" i="5"/>
  <c r="J19" i="5"/>
  <c r="J53" i="5"/>
  <c r="J36" i="5"/>
  <c r="J95" i="5"/>
  <c r="J101" i="5"/>
  <c r="J105" i="5"/>
  <c r="J65" i="5"/>
  <c r="J93" i="5"/>
  <c r="J76" i="5"/>
  <c r="J25" i="5"/>
  <c r="J113" i="5"/>
  <c r="J108" i="5"/>
  <c r="J33" i="5"/>
  <c r="J97" i="5"/>
  <c r="J1" i="5"/>
  <c r="J11" i="5"/>
  <c r="J38" i="5"/>
  <c r="J37" i="5"/>
  <c r="J8" i="5"/>
  <c r="J111" i="5"/>
  <c r="J82" i="5"/>
  <c r="J92" i="5"/>
  <c r="J109" i="5"/>
  <c r="J59" i="5"/>
  <c r="J26" i="5"/>
  <c r="J14" i="5"/>
  <c r="J21" i="5"/>
  <c r="J102" i="5"/>
  <c r="J84" i="5"/>
  <c r="J56" i="5"/>
  <c r="J2" i="5"/>
  <c r="J4" i="5"/>
  <c r="J62" i="5"/>
  <c r="J27" i="5"/>
  <c r="J85" i="5"/>
  <c r="J13" i="5"/>
  <c r="J17" i="5"/>
  <c r="J66" i="5"/>
  <c r="J103" i="5"/>
  <c r="J35" i="5"/>
  <c r="J75" i="5"/>
  <c r="J120" i="5"/>
  <c r="J116" i="5"/>
  <c r="J122" i="5"/>
  <c r="J67" i="5"/>
  <c r="J80" i="5"/>
  <c r="J15" i="5"/>
  <c r="J77" i="5"/>
  <c r="J71" i="5"/>
  <c r="J100" i="5"/>
  <c r="J99" i="5"/>
  <c r="J110" i="5"/>
  <c r="J42" i="5"/>
  <c r="J47" i="5"/>
  <c r="J126" i="5"/>
  <c r="J44" i="5"/>
  <c r="J69" i="5"/>
  <c r="J29" i="5"/>
  <c r="J3" i="5"/>
  <c r="J51" i="5"/>
  <c r="J112" i="5"/>
  <c r="J48" i="5"/>
  <c r="J52" i="5"/>
  <c r="J98" i="5"/>
  <c r="J46" i="5"/>
  <c r="J24" i="5"/>
  <c r="J43" i="5"/>
  <c r="J30" i="5"/>
  <c r="J115" i="5"/>
  <c r="J118" i="5"/>
  <c r="J83" i="5"/>
  <c r="J117" i="5"/>
  <c r="J39" i="5"/>
  <c r="J7" i="5"/>
  <c r="J121" i="5"/>
  <c r="J125" i="5"/>
  <c r="J87" i="5"/>
  <c r="J89" i="5"/>
  <c r="J16" i="5"/>
  <c r="J40" i="5"/>
  <c r="J91" i="5"/>
  <c r="J34" i="5"/>
  <c r="J12" i="5"/>
  <c r="J64" i="5"/>
  <c r="J60" i="5"/>
  <c r="J90" i="5"/>
  <c r="J6" i="5"/>
  <c r="J94" i="5"/>
  <c r="J73" i="5"/>
  <c r="J28" i="5"/>
  <c r="J86" i="5"/>
  <c r="J68" i="5"/>
  <c r="J45" i="5"/>
  <c r="J23" i="5"/>
  <c r="J20" i="5"/>
  <c r="J81" i="5"/>
  <c r="J41" i="5"/>
  <c r="J114" i="5"/>
  <c r="J55" i="5"/>
  <c r="J88" i="5"/>
  <c r="J49" i="5"/>
  <c r="J124" i="5"/>
  <c r="J63" i="5"/>
  <c r="Q72" i="12"/>
  <c r="Q57" i="12"/>
  <c r="Q63" i="12"/>
  <c r="Q52" i="12"/>
  <c r="Q42" i="12"/>
  <c r="Q58" i="12"/>
  <c r="Q56" i="12"/>
  <c r="Q51" i="12"/>
  <c r="Q43" i="12"/>
  <c r="Q69" i="12"/>
  <c r="Q45" i="12"/>
  <c r="Q71" i="12"/>
  <c r="Q70" i="12"/>
  <c r="Q75" i="12"/>
  <c r="Q55" i="12"/>
  <c r="Q49" i="12"/>
  <c r="Q44" i="12"/>
  <c r="Q41" i="12"/>
  <c r="Q40" i="12"/>
  <c r="Q39" i="12"/>
  <c r="Q61" i="12"/>
  <c r="Q59" i="12"/>
  <c r="Q64" i="12"/>
  <c r="Q47" i="12"/>
  <c r="Q68" i="12"/>
  <c r="Q46" i="12"/>
  <c r="Q73" i="12"/>
  <c r="Q67" i="12"/>
  <c r="Q53" i="12"/>
  <c r="Q66" i="12"/>
  <c r="Q54" i="12"/>
  <c r="S163" i="12"/>
  <c r="S159" i="12"/>
  <c r="S231" i="12"/>
  <c r="S371" i="12"/>
  <c r="S267" i="12"/>
  <c r="S278" i="12"/>
  <c r="S296" i="12"/>
  <c r="S357" i="12"/>
  <c r="T357" i="12" s="1"/>
  <c r="S113" i="12"/>
  <c r="S387" i="12"/>
  <c r="S320" i="12"/>
  <c r="S291" i="12"/>
  <c r="S129" i="12"/>
  <c r="S176" i="12"/>
  <c r="S385" i="12"/>
  <c r="T385" i="12" s="1"/>
  <c r="S246" i="12"/>
  <c r="T246" i="12" s="1"/>
  <c r="S227" i="12"/>
  <c r="S330" i="12"/>
  <c r="S394" i="12"/>
  <c r="S202" i="12"/>
  <c r="T202" i="12" s="1"/>
  <c r="S361" i="12"/>
  <c r="S102" i="12"/>
  <c r="T26" i="12"/>
  <c r="S204" i="12"/>
  <c r="S166" i="12"/>
  <c r="S85" i="12"/>
  <c r="S250" i="12"/>
  <c r="S251" i="12"/>
  <c r="T251" i="12" s="1"/>
  <c r="S239" i="12"/>
  <c r="S280" i="12"/>
  <c r="S281" i="12"/>
  <c r="R74" i="12"/>
  <c r="S247" i="12"/>
  <c r="S364" i="12"/>
  <c r="S88" i="12"/>
  <c r="S224" i="12"/>
  <c r="S195" i="12"/>
  <c r="S374" i="12"/>
  <c r="S225" i="12"/>
  <c r="S273" i="12"/>
  <c r="S373" i="12"/>
  <c r="S223" i="12"/>
  <c r="S288" i="12"/>
  <c r="R42" i="12"/>
  <c r="R70" i="12"/>
  <c r="R61" i="12"/>
  <c r="R53" i="12"/>
  <c r="S157" i="12"/>
  <c r="S369" i="12"/>
  <c r="S318" i="12"/>
  <c r="T318" i="12" s="1"/>
  <c r="S324" i="12"/>
  <c r="S321" i="12"/>
  <c r="S230" i="12"/>
  <c r="S343" i="12"/>
  <c r="S175" i="12"/>
  <c r="S127" i="12"/>
  <c r="T127" i="12" s="1"/>
  <c r="S80" i="12"/>
  <c r="S91" i="12"/>
  <c r="S139" i="12"/>
  <c r="T139" i="12" s="1"/>
  <c r="T34" i="12"/>
  <c r="R48" i="12"/>
  <c r="S132" i="12"/>
  <c r="T132" i="12" s="1"/>
  <c r="S209" i="12"/>
  <c r="S130" i="12"/>
  <c r="S122" i="12"/>
  <c r="S154" i="12"/>
  <c r="T154" i="12" s="1"/>
  <c r="S226" i="12"/>
  <c r="R58" i="12"/>
  <c r="R59" i="12"/>
  <c r="R66" i="12"/>
  <c r="S326" i="12"/>
  <c r="S310" i="12"/>
  <c r="S197" i="12"/>
  <c r="S282" i="12"/>
  <c r="S270" i="12"/>
  <c r="T20" i="12"/>
  <c r="S392" i="12"/>
  <c r="T392" i="12" s="1"/>
  <c r="S365" i="12"/>
  <c r="S234" i="12"/>
  <c r="S229" i="12"/>
  <c r="S351" i="12"/>
  <c r="S338" i="12"/>
  <c r="S105" i="12"/>
  <c r="S271" i="12"/>
  <c r="S348" i="12"/>
  <c r="S146" i="12"/>
  <c r="T146" i="12" s="1"/>
  <c r="S375" i="12"/>
  <c r="T375" i="12" s="1"/>
  <c r="S81" i="12"/>
  <c r="S268" i="12"/>
  <c r="S265" i="12"/>
  <c r="R65" i="12"/>
  <c r="S142" i="12"/>
  <c r="T142" i="12" s="1"/>
  <c r="S313" i="12"/>
  <c r="S220" i="12"/>
  <c r="T220" i="12" s="1"/>
  <c r="S399" i="12"/>
  <c r="R56" i="12"/>
  <c r="R64" i="12"/>
  <c r="R54" i="12"/>
  <c r="S100" i="12"/>
  <c r="S180" i="12"/>
  <c r="T180" i="12" s="1"/>
  <c r="S98" i="12"/>
  <c r="T98" i="12" s="1"/>
  <c r="S143" i="12"/>
  <c r="S254" i="12"/>
  <c r="S319" i="12"/>
  <c r="S184" i="12"/>
  <c r="S381" i="12"/>
  <c r="S260" i="12"/>
  <c r="S306" i="12"/>
  <c r="S388" i="12"/>
  <c r="S264" i="12"/>
  <c r="S135" i="12"/>
  <c r="S341" i="12"/>
  <c r="S87" i="12"/>
  <c r="T87" i="12" s="1"/>
  <c r="S103" i="12"/>
  <c r="Y25" i="12"/>
  <c r="S152" i="12"/>
  <c r="T33" i="12"/>
  <c r="R47" i="12"/>
  <c r="S263" i="12"/>
  <c r="S114" i="12"/>
  <c r="S84" i="12"/>
  <c r="T84" i="12" s="1"/>
  <c r="S362" i="12"/>
  <c r="T362" i="12" s="1"/>
  <c r="S340" i="12"/>
  <c r="S174" i="12"/>
  <c r="S352" i="12"/>
  <c r="S353" i="12"/>
  <c r="T353" i="12" s="1"/>
  <c r="S123" i="12"/>
  <c r="S274" i="12"/>
  <c r="T274" i="12" s="1"/>
  <c r="S172" i="12"/>
  <c r="S124" i="12"/>
  <c r="S232" i="12"/>
  <c r="T232" i="12" s="1"/>
  <c r="S249" i="12"/>
  <c r="S302" i="12"/>
  <c r="T302" i="12" s="1"/>
  <c r="S286" i="12"/>
  <c r="S196" i="12"/>
  <c r="S191" i="12"/>
  <c r="R62" i="12"/>
  <c r="S368" i="12"/>
  <c r="S360" i="12"/>
  <c r="T360" i="12" s="1"/>
  <c r="S119" i="12"/>
  <c r="R43" i="12"/>
  <c r="S212" i="12"/>
  <c r="S354" i="12"/>
  <c r="T354" i="12" s="1"/>
  <c r="S194" i="12"/>
  <c r="T194" i="12" s="1"/>
  <c r="S316" i="12"/>
  <c r="S327" i="12"/>
  <c r="S121" i="12"/>
  <c r="S145" i="12"/>
  <c r="T145" i="12" s="1"/>
  <c r="S222" i="12"/>
  <c r="S198" i="12"/>
  <c r="S253" i="12"/>
  <c r="T253" i="12" s="1"/>
  <c r="S164" i="12"/>
  <c r="S391" i="12"/>
  <c r="R72" i="12"/>
  <c r="S214" i="12"/>
  <c r="S112" i="12"/>
  <c r="S136" i="12"/>
  <c r="R41" i="12"/>
  <c r="S307" i="12"/>
  <c r="S160" i="12"/>
  <c r="S301" i="12"/>
  <c r="S279" i="12"/>
  <c r="S303" i="12"/>
  <c r="S83" i="12"/>
  <c r="S333" i="12"/>
  <c r="S158" i="12"/>
  <c r="T23" i="12"/>
  <c r="S312" i="12"/>
  <c r="S118" i="12"/>
  <c r="T118" i="12" s="1"/>
  <c r="S382" i="12"/>
  <c r="S237" i="12"/>
  <c r="T237" i="12" s="1"/>
  <c r="S150" i="12"/>
  <c r="S213" i="12"/>
  <c r="S359" i="12"/>
  <c r="S400" i="12"/>
  <c r="T400" i="12" s="1"/>
  <c r="S128" i="12"/>
  <c r="R45" i="12"/>
  <c r="S283" i="12"/>
  <c r="T283" i="12" s="1"/>
  <c r="S390" i="12"/>
  <c r="S325" i="12"/>
  <c r="T325" i="12" s="1"/>
  <c r="S349" i="12"/>
  <c r="T349" i="12" s="1"/>
  <c r="S206" i="12"/>
  <c r="S140" i="12"/>
  <c r="T140" i="12" s="1"/>
  <c r="S151" i="12"/>
  <c r="S358" i="12"/>
  <c r="S262" i="12"/>
  <c r="T262" i="12" s="1"/>
  <c r="S356" i="12"/>
  <c r="S293" i="12"/>
  <c r="S238" i="12"/>
  <c r="D29" i="6"/>
  <c r="S300" i="12"/>
  <c r="S178" i="12"/>
  <c r="R63" i="12"/>
  <c r="R39" i="12"/>
  <c r="S266" i="12"/>
  <c r="S380" i="12"/>
  <c r="S144" i="12"/>
  <c r="S329" i="12"/>
  <c r="S317" i="12"/>
  <c r="S290" i="12"/>
  <c r="T290" i="12" s="1"/>
  <c r="S109" i="12"/>
  <c r="S342" i="12"/>
  <c r="S186" i="12"/>
  <c r="S233" i="12"/>
  <c r="S304" i="12"/>
  <c r="S379" i="12"/>
  <c r="T379" i="12" s="1"/>
  <c r="S240" i="12"/>
  <c r="S111" i="12"/>
  <c r="S86" i="12"/>
  <c r="T86" i="12" s="1"/>
  <c r="S165" i="12"/>
  <c r="S366" i="12"/>
  <c r="S299" i="12"/>
  <c r="S305" i="12"/>
  <c r="T305" i="12" s="1"/>
  <c r="S398" i="12"/>
  <c r="T398" i="12" s="1"/>
  <c r="S285" i="12"/>
  <c r="T285" i="12" s="1"/>
  <c r="T25" i="12"/>
  <c r="S201" i="12"/>
  <c r="R75" i="12"/>
  <c r="S298" i="12"/>
  <c r="S228" i="12"/>
  <c r="S207" i="12"/>
  <c r="T207" i="12" s="1"/>
  <c r="S311" i="12"/>
  <c r="S395" i="12"/>
  <c r="S110" i="12"/>
  <c r="S133" i="12"/>
  <c r="S117" i="12"/>
  <c r="S101" i="12"/>
  <c r="T101" i="12" s="1"/>
  <c r="S188" i="12"/>
  <c r="T27" i="12"/>
  <c r="S322" i="12"/>
  <c r="S82" i="12"/>
  <c r="S269" i="12"/>
  <c r="T269" i="12" s="1"/>
  <c r="S272" i="12"/>
  <c r="R55" i="12"/>
  <c r="T24" i="12"/>
  <c r="S205" i="12"/>
  <c r="S323" i="12"/>
  <c r="S79" i="12"/>
  <c r="S181" i="12"/>
  <c r="T181" i="12" s="1"/>
  <c r="S89" i="12"/>
  <c r="S126" i="12"/>
  <c r="T126" i="12" s="1"/>
  <c r="S169" i="12"/>
  <c r="S289" i="12"/>
  <c r="S389" i="12"/>
  <c r="S255" i="12"/>
  <c r="S210" i="12"/>
  <c r="S141" i="12"/>
  <c r="R49" i="12"/>
  <c r="S383" i="12"/>
  <c r="S372" i="12"/>
  <c r="S308" i="12"/>
  <c r="T308" i="12" s="1"/>
  <c r="S219" i="12"/>
  <c r="T219" i="12" s="1"/>
  <c r="S344" i="12"/>
  <c r="S331" i="12"/>
  <c r="T331" i="12" s="1"/>
  <c r="S397" i="12"/>
  <c r="S315" i="12"/>
  <c r="T315" i="12" s="1"/>
  <c r="S208" i="12"/>
  <c r="S295" i="12"/>
  <c r="T295" i="12" s="1"/>
  <c r="S147" i="12"/>
  <c r="S276" i="12"/>
  <c r="S192" i="12"/>
  <c r="S168" i="12"/>
  <c r="R44" i="12"/>
  <c r="S218" i="12"/>
  <c r="S386" i="12"/>
  <c r="S137" i="12"/>
  <c r="S367" i="12"/>
  <c r="T367" i="12" s="1"/>
  <c r="S261" i="12"/>
  <c r="S177" i="12"/>
  <c r="S277" i="12"/>
  <c r="S243" i="12"/>
  <c r="S376" i="12"/>
  <c r="S156" i="12"/>
  <c r="S221" i="12"/>
  <c r="T221" i="12" s="1"/>
  <c r="S346" i="12"/>
  <c r="S245" i="12"/>
  <c r="S107" i="12"/>
  <c r="R46" i="12"/>
  <c r="S155" i="12"/>
  <c r="S309" i="12"/>
  <c r="S173" i="12"/>
  <c r="S193" i="12"/>
  <c r="S120" i="12"/>
  <c r="S153" i="12"/>
  <c r="S259" i="12"/>
  <c r="T22" i="12"/>
  <c r="S345" i="12"/>
  <c r="T345" i="12" s="1"/>
  <c r="S116" i="12"/>
  <c r="S211" i="12"/>
  <c r="T211" i="12" s="1"/>
  <c r="R57" i="12"/>
  <c r="R73" i="12"/>
  <c r="S203" i="12"/>
  <c r="S199" i="12"/>
  <c r="S284" i="12"/>
  <c r="S337" i="12"/>
  <c r="S287" i="12"/>
  <c r="S370" i="12"/>
  <c r="S104" i="12"/>
  <c r="S189" i="12"/>
  <c r="S149" i="12"/>
  <c r="O401" i="12"/>
  <c r="S401" i="12" s="1"/>
  <c r="S106" i="12"/>
  <c r="T106" i="12" s="1"/>
  <c r="R71" i="12"/>
  <c r="S134" i="12"/>
  <c r="S96" i="12"/>
  <c r="S94" i="12"/>
  <c r="S332" i="12"/>
  <c r="S170" i="12"/>
  <c r="S171" i="12"/>
  <c r="S363" i="12"/>
  <c r="S248" i="12"/>
  <c r="S187" i="12"/>
  <c r="T187" i="12" s="1"/>
  <c r="S335" i="12"/>
  <c r="S182" i="12"/>
  <c r="T182" i="12" s="1"/>
  <c r="S216" i="12"/>
  <c r="T216" i="12" s="1"/>
  <c r="S200" i="12"/>
  <c r="S347" i="12"/>
  <c r="R51" i="12"/>
  <c r="S244" i="12"/>
  <c r="T244" i="12" s="1"/>
  <c r="S314" i="12"/>
  <c r="T314" i="12" s="1"/>
  <c r="T28" i="12"/>
  <c r="S235" i="12"/>
  <c r="T235" i="12" s="1"/>
  <c r="S297" i="12"/>
  <c r="T297" i="12" s="1"/>
  <c r="S183" i="12"/>
  <c r="T183" i="12" s="1"/>
  <c r="S95" i="12"/>
  <c r="S393" i="12"/>
  <c r="T393" i="12" s="1"/>
  <c r="R68" i="12"/>
  <c r="S92" i="12"/>
  <c r="S384" i="12"/>
  <c r="T384" i="12" s="1"/>
  <c r="S258" i="12"/>
  <c r="S241" i="12"/>
  <c r="T241" i="12" s="1"/>
  <c r="S334" i="12"/>
  <c r="S336" i="12"/>
  <c r="S256" i="12"/>
  <c r="S236" i="12"/>
  <c r="T236" i="12" s="1"/>
  <c r="S242" i="12"/>
  <c r="S355" i="12"/>
  <c r="S125" i="12"/>
  <c r="S162" i="12"/>
  <c r="T162" i="12" s="1"/>
  <c r="S167" i="12"/>
  <c r="S339" i="12"/>
  <c r="T339" i="12" s="1"/>
  <c r="R69" i="12"/>
  <c r="S93" i="12"/>
  <c r="S99" i="12"/>
  <c r="S217" i="12"/>
  <c r="S396" i="12"/>
  <c r="S108" i="12"/>
  <c r="T108" i="12" s="1"/>
  <c r="S378" i="12"/>
  <c r="S328" i="12"/>
  <c r="S292" i="12"/>
  <c r="S350" i="12"/>
  <c r="R50" i="12"/>
  <c r="S190" i="12"/>
  <c r="C28" i="6"/>
  <c r="R40" i="12"/>
  <c r="S97" i="12"/>
  <c r="S377" i="12"/>
  <c r="S138" i="12"/>
  <c r="T138" i="12" s="1"/>
  <c r="S78" i="12"/>
  <c r="T78" i="12" s="1"/>
  <c r="S275" i="12"/>
  <c r="S148" i="12"/>
  <c r="T148" i="12" s="1"/>
  <c r="S161" i="12"/>
  <c r="T161" i="12" s="1"/>
  <c r="S185" i="12"/>
  <c r="S252" i="12"/>
  <c r="S215" i="12"/>
  <c r="S179" i="12"/>
  <c r="S257" i="12"/>
  <c r="T257" i="12" s="1"/>
  <c r="S131" i="12"/>
  <c r="R52" i="12"/>
  <c r="R67" i="12"/>
  <c r="S115" i="12"/>
  <c r="S294" i="12"/>
  <c r="R60" i="12"/>
  <c r="Z25" i="12"/>
  <c r="U257" i="12" l="1"/>
  <c r="U161" i="12"/>
  <c r="U148" i="12"/>
  <c r="U78" i="12"/>
  <c r="U138" i="12"/>
  <c r="U108" i="12"/>
  <c r="U339" i="12"/>
  <c r="U162" i="12"/>
  <c r="U236" i="12"/>
  <c r="U241" i="12"/>
  <c r="U384" i="12"/>
  <c r="U393" i="12"/>
  <c r="U183" i="12"/>
  <c r="U297" i="12"/>
  <c r="U235" i="12"/>
  <c r="U28" i="12"/>
  <c r="U314" i="12"/>
  <c r="U244" i="12"/>
  <c r="U216" i="12"/>
  <c r="U182" i="12"/>
  <c r="U187" i="12"/>
  <c r="U106" i="12"/>
  <c r="U211" i="12"/>
  <c r="U345" i="12"/>
  <c r="U22" i="12"/>
  <c r="U221" i="12"/>
  <c r="U367" i="12"/>
  <c r="U295" i="12"/>
  <c r="U315" i="12"/>
  <c r="U331" i="12"/>
  <c r="U219" i="12"/>
  <c r="U308" i="12"/>
  <c r="U126" i="12"/>
  <c r="U181" i="12"/>
  <c r="U24" i="12"/>
  <c r="U269" i="12"/>
  <c r="U27" i="12"/>
  <c r="U101" i="12"/>
  <c r="U207" i="12"/>
  <c r="U25" i="12"/>
  <c r="U285" i="12"/>
  <c r="U398" i="12"/>
  <c r="U305" i="12"/>
  <c r="U86" i="12"/>
  <c r="U379" i="12"/>
  <c r="U290" i="12"/>
  <c r="U262" i="12"/>
  <c r="U140" i="12"/>
  <c r="U349" i="12"/>
  <c r="U325" i="12"/>
  <c r="U283" i="12"/>
  <c r="U400" i="12"/>
  <c r="U237" i="12"/>
  <c r="U118" i="12"/>
  <c r="U23" i="12"/>
  <c r="U253" i="12"/>
  <c r="U145" i="12"/>
  <c r="U194" i="12"/>
  <c r="U354" i="12"/>
  <c r="U360" i="12"/>
  <c r="U302" i="12"/>
  <c r="U232" i="12"/>
  <c r="U274" i="12"/>
  <c r="U353" i="12"/>
  <c r="U362" i="12"/>
  <c r="U84" i="12"/>
  <c r="U33" i="12"/>
  <c r="U87" i="12"/>
  <c r="U98" i="12"/>
  <c r="U180" i="12"/>
  <c r="U220" i="12"/>
  <c r="U142" i="12"/>
  <c r="U375" i="12"/>
  <c r="U146" i="12"/>
  <c r="U392" i="12"/>
  <c r="U20" i="12"/>
  <c r="V19" i="12" s="1"/>
  <c r="U154" i="12"/>
  <c r="U132" i="12"/>
  <c r="U34" i="12"/>
  <c r="U139" i="12"/>
  <c r="U127" i="12"/>
  <c r="U318" i="12"/>
  <c r="U251" i="12"/>
  <c r="U26" i="12"/>
  <c r="U202" i="12"/>
  <c r="U246" i="12"/>
  <c r="U385" i="12"/>
  <c r="U357" i="12"/>
  <c r="T60" i="12"/>
  <c r="T215" i="12"/>
  <c r="T377" i="12"/>
  <c r="T378" i="12"/>
  <c r="T167" i="12"/>
  <c r="T334" i="12"/>
  <c r="T200" i="12"/>
  <c r="T170" i="12"/>
  <c r="T149" i="12"/>
  <c r="T203" i="12"/>
  <c r="T153" i="12"/>
  <c r="T245" i="12"/>
  <c r="T261" i="12"/>
  <c r="T276" i="12"/>
  <c r="T389" i="12"/>
  <c r="T205" i="12"/>
  <c r="T188" i="12"/>
  <c r="T228" i="12"/>
  <c r="T299" i="12"/>
  <c r="T233" i="12"/>
  <c r="T380" i="12"/>
  <c r="T356" i="12"/>
  <c r="T390" i="12"/>
  <c r="T303" i="12"/>
  <c r="T214" i="12"/>
  <c r="T121" i="12"/>
  <c r="T340" i="12"/>
  <c r="Y26" i="12"/>
  <c r="T260" i="12"/>
  <c r="T100" i="12"/>
  <c r="T65" i="12"/>
  <c r="T105" i="12"/>
  <c r="T270" i="12"/>
  <c r="T226" i="12"/>
  <c r="T324" i="12"/>
  <c r="T288" i="12"/>
  <c r="T88" i="12"/>
  <c r="T250" i="12"/>
  <c r="T394" i="12"/>
  <c r="T320" i="12"/>
  <c r="T231" i="12"/>
  <c r="T294" i="12"/>
  <c r="T252" i="12"/>
  <c r="T97" i="12"/>
  <c r="T332" i="12"/>
  <c r="T189" i="12"/>
  <c r="T73" i="12"/>
  <c r="T120" i="12"/>
  <c r="T346" i="12"/>
  <c r="T147" i="12"/>
  <c r="T289" i="12"/>
  <c r="T298" i="12"/>
  <c r="T366" i="12"/>
  <c r="T186" i="12"/>
  <c r="T266" i="12"/>
  <c r="T382" i="12"/>
  <c r="T279" i="12"/>
  <c r="T72" i="12"/>
  <c r="T327" i="12"/>
  <c r="T368" i="12"/>
  <c r="T124" i="12"/>
  <c r="T103" i="12"/>
  <c r="T381" i="12"/>
  <c r="T54" i="12"/>
  <c r="T265" i="12"/>
  <c r="T338" i="12"/>
  <c r="T282" i="12"/>
  <c r="T91" i="12"/>
  <c r="T223" i="12"/>
  <c r="T364" i="12"/>
  <c r="T85" i="12"/>
  <c r="T330" i="12"/>
  <c r="T387" i="12"/>
  <c r="T159" i="12"/>
  <c r="T115" i="12"/>
  <c r="T185" i="12"/>
  <c r="T40" i="12"/>
  <c r="T396" i="12"/>
  <c r="T125" i="12"/>
  <c r="T258" i="12"/>
  <c r="T94" i="12"/>
  <c r="T104" i="12"/>
  <c r="T57" i="12"/>
  <c r="T193" i="12"/>
  <c r="T137" i="12"/>
  <c r="T372" i="12"/>
  <c r="T169" i="12"/>
  <c r="T55" i="12"/>
  <c r="T117" i="12"/>
  <c r="T75" i="12"/>
  <c r="T165" i="12"/>
  <c r="T342" i="12"/>
  <c r="T39" i="12"/>
  <c r="T358" i="12"/>
  <c r="T45" i="12"/>
  <c r="T301" i="12"/>
  <c r="T391" i="12"/>
  <c r="T316" i="12"/>
  <c r="T62" i="12"/>
  <c r="T172" i="12"/>
  <c r="T184" i="12"/>
  <c r="T64" i="12"/>
  <c r="T268" i="12"/>
  <c r="T351" i="12"/>
  <c r="T197" i="12"/>
  <c r="T122" i="12"/>
  <c r="T80" i="12"/>
  <c r="T369" i="12"/>
  <c r="T373" i="12"/>
  <c r="T247" i="12"/>
  <c r="T166" i="12"/>
  <c r="T227" i="12"/>
  <c r="T113" i="12"/>
  <c r="T163" i="12"/>
  <c r="T67" i="12"/>
  <c r="T190" i="12"/>
  <c r="T217" i="12"/>
  <c r="T355" i="12"/>
  <c r="T335" i="12"/>
  <c r="T96" i="12"/>
  <c r="T370" i="12"/>
  <c r="T173" i="12"/>
  <c r="T156" i="12"/>
  <c r="T386" i="12"/>
  <c r="T208" i="12"/>
  <c r="T383" i="12"/>
  <c r="T272" i="12"/>
  <c r="T133" i="12"/>
  <c r="T201" i="12"/>
  <c r="T109" i="12"/>
  <c r="T63" i="12"/>
  <c r="T151" i="12"/>
  <c r="T128" i="12"/>
  <c r="T312" i="12"/>
  <c r="T160" i="12"/>
  <c r="T164" i="12"/>
  <c r="T191" i="12"/>
  <c r="T114" i="12"/>
  <c r="T341" i="12"/>
  <c r="T319" i="12"/>
  <c r="T56" i="12"/>
  <c r="T81" i="12"/>
  <c r="T229" i="12"/>
  <c r="T310" i="12"/>
  <c r="T130" i="12"/>
  <c r="T157" i="12"/>
  <c r="T273" i="12"/>
  <c r="T74" i="12"/>
  <c r="T204" i="12"/>
  <c r="T50" i="12"/>
  <c r="T99" i="12"/>
  <c r="T242" i="12"/>
  <c r="T92" i="12"/>
  <c r="T287" i="12"/>
  <c r="T116" i="12"/>
  <c r="T376" i="12"/>
  <c r="T218" i="12"/>
  <c r="T49" i="12"/>
  <c r="T89" i="12"/>
  <c r="T110" i="12"/>
  <c r="T307" i="12"/>
  <c r="T123" i="12"/>
  <c r="T135" i="12"/>
  <c r="T399" i="12"/>
  <c r="T326" i="12"/>
  <c r="T209" i="12"/>
  <c r="T53" i="12"/>
  <c r="T281" i="12"/>
  <c r="T275" i="12"/>
  <c r="T350" i="12"/>
  <c r="T93" i="12"/>
  <c r="T68" i="12"/>
  <c r="T248" i="12"/>
  <c r="T337" i="12"/>
  <c r="T243" i="12"/>
  <c r="T397" i="12"/>
  <c r="T141" i="12"/>
  <c r="T82" i="12"/>
  <c r="T395" i="12"/>
  <c r="T240" i="12"/>
  <c r="T300" i="12"/>
  <c r="T206" i="12"/>
  <c r="T158" i="12"/>
  <c r="T198" i="12"/>
  <c r="T212" i="12"/>
  <c r="T264" i="12"/>
  <c r="T143" i="12"/>
  <c r="T365" i="12"/>
  <c r="T343" i="12"/>
  <c r="T374" i="12"/>
  <c r="T280" i="12"/>
  <c r="T176" i="12"/>
  <c r="T292" i="12"/>
  <c r="T69" i="12"/>
  <c r="T51" i="12"/>
  <c r="T363" i="12"/>
  <c r="T284" i="12"/>
  <c r="T277" i="12"/>
  <c r="T168" i="12"/>
  <c r="T210" i="12"/>
  <c r="T79" i="12"/>
  <c r="T311" i="12"/>
  <c r="T329" i="12"/>
  <c r="T238" i="12"/>
  <c r="T333" i="12"/>
  <c r="T136" i="12"/>
  <c r="T43" i="12"/>
  <c r="T352" i="12"/>
  <c r="T388" i="12"/>
  <c r="T348" i="12"/>
  <c r="T59" i="12"/>
  <c r="T230" i="12"/>
  <c r="T70" i="12"/>
  <c r="T239" i="12"/>
  <c r="T129" i="12"/>
  <c r="T267" i="12"/>
  <c r="T179" i="12"/>
  <c r="T328" i="12"/>
  <c r="T336" i="12"/>
  <c r="T95" i="12"/>
  <c r="T347" i="12"/>
  <c r="T171" i="12"/>
  <c r="T199" i="12"/>
  <c r="T259" i="12"/>
  <c r="T177" i="12"/>
  <c r="T192" i="12"/>
  <c r="T255" i="12"/>
  <c r="T304" i="12"/>
  <c r="T293" i="12"/>
  <c r="T150" i="12"/>
  <c r="T112" i="12"/>
  <c r="T249" i="12"/>
  <c r="T152" i="12"/>
  <c r="T271" i="12"/>
  <c r="T321" i="12"/>
  <c r="T224" i="12"/>
  <c r="T291" i="12"/>
  <c r="T371" i="12"/>
  <c r="T52" i="12"/>
  <c r="T134" i="12"/>
  <c r="T309" i="12"/>
  <c r="T111" i="12"/>
  <c r="T178" i="12"/>
  <c r="T196" i="12"/>
  <c r="T263" i="12"/>
  <c r="T254" i="12"/>
  <c r="T234" i="12"/>
  <c r="T175" i="12"/>
  <c r="T225" i="12"/>
  <c r="T296" i="12"/>
  <c r="T131" i="12"/>
  <c r="T71" i="12"/>
  <c r="T155" i="12"/>
  <c r="T44" i="12"/>
  <c r="T317" i="12"/>
  <c r="T359" i="12"/>
  <c r="T41" i="12"/>
  <c r="T286" i="12"/>
  <c r="T47" i="12"/>
  <c r="T66" i="12"/>
  <c r="T61" i="12"/>
  <c r="T278" i="12"/>
  <c r="T102" i="12"/>
  <c r="T256" i="12"/>
  <c r="T46" i="12"/>
  <c r="T322" i="12"/>
  <c r="T213" i="12"/>
  <c r="T222" i="12"/>
  <c r="T313" i="12"/>
  <c r="T48" i="12"/>
  <c r="T195" i="12"/>
  <c r="T361" i="12"/>
  <c r="T401" i="12"/>
  <c r="T107" i="12"/>
  <c r="T344" i="12"/>
  <c r="T323" i="12"/>
  <c r="T144" i="12"/>
  <c r="T83" i="12"/>
  <c r="T119" i="12"/>
  <c r="T174" i="12"/>
  <c r="T306" i="12"/>
  <c r="T58" i="12"/>
  <c r="T42" i="12"/>
  <c r="Y27" i="12"/>
  <c r="Z27" i="12"/>
  <c r="Y28" i="12"/>
  <c r="Y29" i="12"/>
  <c r="Z28" i="12"/>
  <c r="Z29" i="12"/>
  <c r="Y30" i="12"/>
  <c r="Y31" i="12"/>
  <c r="Z30" i="12"/>
  <c r="Z31" i="12"/>
  <c r="Y32" i="12"/>
  <c r="Y33" i="12"/>
  <c r="Z32" i="12"/>
  <c r="Z33" i="12"/>
  <c r="Y34" i="12"/>
  <c r="Z34" i="12"/>
  <c r="Y35" i="12"/>
  <c r="Z35" i="12"/>
  <c r="Y36" i="12"/>
  <c r="Z36" i="12"/>
  <c r="Y37" i="12"/>
  <c r="Z37" i="12"/>
  <c r="Y38" i="12"/>
  <c r="Y39" i="12"/>
  <c r="Z38" i="12"/>
  <c r="Z39" i="12"/>
  <c r="Y40" i="12"/>
  <c r="Y41" i="12"/>
  <c r="Z40" i="12"/>
  <c r="Z41" i="12"/>
  <c r="Y42" i="12"/>
  <c r="Z42" i="12"/>
  <c r="Y43" i="12"/>
  <c r="Y44" i="12"/>
  <c r="Z43" i="12"/>
  <c r="Y45" i="12"/>
  <c r="Z44" i="12"/>
  <c r="Y46" i="12"/>
  <c r="Z45" i="12"/>
  <c r="Z46" i="12"/>
  <c r="Y47" i="12"/>
  <c r="Z47" i="12"/>
  <c r="Y48" i="12"/>
  <c r="Z48" i="12"/>
  <c r="Y49" i="12"/>
  <c r="Y50" i="12"/>
  <c r="Z49" i="12"/>
  <c r="Z50" i="12"/>
  <c r="Y51" i="12"/>
  <c r="Y52" i="12"/>
  <c r="Z51" i="12"/>
  <c r="Z52" i="12"/>
  <c r="Y53" i="12"/>
  <c r="Z53" i="12"/>
  <c r="Y54" i="12"/>
  <c r="Z54" i="12"/>
  <c r="Y55" i="12"/>
  <c r="Z55" i="12"/>
  <c r="Y56" i="12"/>
  <c r="Z56" i="12"/>
  <c r="Y57" i="12"/>
  <c r="Z57" i="12"/>
  <c r="Y58" i="12"/>
  <c r="Y59" i="12"/>
  <c r="Z58" i="12"/>
  <c r="Z59" i="12"/>
  <c r="Y60" i="12"/>
  <c r="Y61" i="12"/>
  <c r="Z60" i="12"/>
  <c r="Z61" i="12"/>
  <c r="Y62" i="12"/>
  <c r="Y63" i="12"/>
  <c r="Z62" i="12"/>
  <c r="Y64" i="12"/>
  <c r="Z63" i="12"/>
  <c r="Y65" i="12"/>
  <c r="Z64" i="12"/>
  <c r="Z65" i="12"/>
  <c r="Y66" i="12"/>
  <c r="Z66" i="12"/>
  <c r="Y67" i="12"/>
  <c r="Y68" i="12"/>
  <c r="Z67" i="12"/>
  <c r="Z68" i="12"/>
  <c r="Y69" i="12"/>
  <c r="Z69" i="12"/>
  <c r="Y70" i="12"/>
  <c r="Y71" i="12"/>
  <c r="Z70" i="12"/>
  <c r="Z71" i="12"/>
  <c r="Y72" i="12"/>
  <c r="Y73" i="12"/>
  <c r="Z72" i="12"/>
  <c r="Y74" i="12"/>
  <c r="Z73" i="12"/>
  <c r="Y75" i="12"/>
  <c r="Z74" i="12"/>
  <c r="Y76" i="12"/>
  <c r="Z75" i="12"/>
  <c r="Y77" i="12"/>
  <c r="Z76" i="12"/>
  <c r="Y78" i="12"/>
  <c r="Z77" i="12"/>
  <c r="Y79" i="12"/>
  <c r="Z78" i="12"/>
  <c r="Y80" i="12"/>
  <c r="Z79" i="12"/>
  <c r="Z80" i="12"/>
  <c r="Y81" i="12"/>
  <c r="Z81" i="12"/>
  <c r="Y82" i="12"/>
  <c r="Z82" i="12"/>
  <c r="Y83" i="12"/>
  <c r="Z83" i="12"/>
  <c r="Y84" i="12"/>
  <c r="Y85" i="12"/>
  <c r="Z84" i="12"/>
  <c r="Z85" i="12"/>
  <c r="Y86" i="12"/>
  <c r="Z86" i="12"/>
  <c r="Y87" i="12"/>
  <c r="Z87" i="12"/>
  <c r="Y88" i="12"/>
  <c r="Z88" i="12"/>
  <c r="Y89" i="12"/>
  <c r="Z89" i="12"/>
  <c r="Y90" i="12"/>
  <c r="Z90" i="12"/>
  <c r="Y91" i="12"/>
  <c r="Y92" i="12"/>
  <c r="Z91" i="12"/>
  <c r="Z92" i="12"/>
  <c r="Y93" i="12"/>
  <c r="Z93" i="12"/>
  <c r="Y94" i="12"/>
  <c r="Y95" i="12"/>
  <c r="Z94" i="12"/>
  <c r="Z95" i="12"/>
  <c r="Y96" i="12"/>
  <c r="Y97" i="12"/>
  <c r="Z96" i="12"/>
  <c r="Y98" i="12"/>
  <c r="Z97" i="12"/>
  <c r="Z98" i="12"/>
  <c r="Y99" i="12"/>
  <c r="Z99" i="12"/>
  <c r="Y100" i="12"/>
  <c r="Y101" i="12"/>
  <c r="Z100" i="12"/>
  <c r="Z101" i="12"/>
  <c r="Y102" i="12"/>
  <c r="Y103" i="12"/>
  <c r="Z102" i="12"/>
  <c r="Z103" i="12"/>
  <c r="Y104" i="12"/>
  <c r="Z104" i="12"/>
  <c r="Y105" i="12"/>
  <c r="Y106" i="12"/>
  <c r="Z105" i="12"/>
  <c r="Y107" i="12"/>
  <c r="Z106" i="12"/>
  <c r="Z107" i="12"/>
  <c r="Y108" i="12"/>
  <c r="Z108" i="12"/>
  <c r="Y109" i="12"/>
  <c r="Z109" i="12"/>
  <c r="Y110" i="12"/>
  <c r="Z110" i="12"/>
  <c r="Y111" i="12"/>
  <c r="Z111" i="12"/>
  <c r="Y112" i="12"/>
  <c r="Z112" i="12"/>
  <c r="Y113" i="12"/>
  <c r="Y114" i="12"/>
  <c r="Z113" i="12"/>
  <c r="Y115" i="12"/>
  <c r="Z114" i="12"/>
  <c r="Z115" i="12"/>
  <c r="Y116" i="12"/>
  <c r="Y117" i="12"/>
  <c r="Z116" i="12"/>
  <c r="Z117" i="12"/>
  <c r="Y118" i="12"/>
  <c r="Y119" i="12"/>
  <c r="Z118" i="12"/>
  <c r="Z119" i="12"/>
  <c r="Y120" i="12"/>
  <c r="Z120" i="12"/>
  <c r="Y121" i="12"/>
  <c r="Z121" i="12"/>
  <c r="Y122" i="12"/>
  <c r="Y123" i="12"/>
  <c r="Z122" i="12"/>
  <c r="Z123" i="12"/>
  <c r="Y124" i="12"/>
  <c r="Z124" i="12"/>
  <c r="Y125" i="12"/>
  <c r="Z125" i="12"/>
  <c r="Y126" i="12"/>
  <c r="Y127" i="12"/>
  <c r="Z126" i="12"/>
  <c r="Z127" i="12"/>
  <c r="Y128" i="12"/>
  <c r="Z128" i="12"/>
  <c r="Y129" i="12"/>
  <c r="Y130" i="12"/>
  <c r="Z129" i="12"/>
  <c r="Z130" i="12"/>
  <c r="Y131" i="12"/>
  <c r="Y132" i="12"/>
  <c r="Z131" i="12"/>
  <c r="Y133" i="12"/>
  <c r="Z132" i="12"/>
  <c r="Y134" i="12"/>
  <c r="Z133" i="12"/>
  <c r="Y135" i="12"/>
  <c r="Z134" i="12"/>
  <c r="Z135" i="12"/>
  <c r="Y136" i="12"/>
  <c r="Y137" i="12"/>
  <c r="Z136" i="12"/>
  <c r="Y138" i="12"/>
  <c r="Z137" i="12"/>
  <c r="Z138" i="12"/>
  <c r="Y139" i="12"/>
  <c r="Y140" i="12"/>
  <c r="Z139" i="12"/>
  <c r="Z140" i="12"/>
  <c r="Y141" i="12"/>
  <c r="Z141" i="12"/>
  <c r="Y142" i="12"/>
  <c r="Y143" i="12"/>
  <c r="Z142" i="12"/>
  <c r="Y144" i="12"/>
  <c r="Z143" i="12"/>
  <c r="Y145" i="12"/>
  <c r="Z144" i="12"/>
  <c r="Y146" i="12"/>
  <c r="Z145" i="12"/>
  <c r="Y147" i="12"/>
  <c r="Z146" i="12"/>
  <c r="Y148" i="12"/>
  <c r="Z147" i="12"/>
  <c r="Y149" i="12"/>
  <c r="Z148" i="12"/>
  <c r="Y150" i="12"/>
  <c r="Z149" i="12"/>
  <c r="Z150" i="12"/>
  <c r="Y151" i="12"/>
  <c r="Y152" i="12"/>
  <c r="Z151" i="12"/>
  <c r="Y153" i="12"/>
  <c r="Z152" i="12"/>
  <c r="Z153" i="12"/>
  <c r="Y154" i="12"/>
  <c r="Y155" i="12"/>
  <c r="Z154" i="12"/>
  <c r="Y156" i="12"/>
  <c r="Z155" i="12"/>
  <c r="Z156" i="12"/>
  <c r="Y157" i="12"/>
  <c r="Y158" i="12"/>
  <c r="Z157" i="12"/>
  <c r="Y159" i="12"/>
  <c r="Z158" i="12"/>
  <c r="Y160" i="12"/>
  <c r="Z159" i="12"/>
  <c r="Z160" i="12"/>
  <c r="Y161" i="12"/>
  <c r="Z161" i="12"/>
  <c r="Y162" i="12"/>
  <c r="Z162" i="12"/>
  <c r="Y163" i="12"/>
  <c r="Z163" i="12"/>
  <c r="Y164" i="12"/>
  <c r="Y165" i="12"/>
  <c r="Z164" i="12"/>
  <c r="Y166" i="12"/>
  <c r="Z165" i="12"/>
  <c r="Y167" i="12"/>
  <c r="Z166" i="12"/>
  <c r="Y168" i="12"/>
  <c r="Z167" i="12"/>
  <c r="Z168" i="12"/>
  <c r="Y169" i="12"/>
  <c r="Y170" i="12"/>
  <c r="Z169" i="12"/>
  <c r="Z170" i="12"/>
  <c r="Y171" i="12"/>
  <c r="Z171" i="12"/>
  <c r="Y172" i="12"/>
  <c r="Z172" i="12"/>
  <c r="Y173" i="12"/>
  <c r="Y174" i="12"/>
  <c r="Z173" i="12"/>
  <c r="Y175" i="12"/>
  <c r="Z174" i="12"/>
  <c r="Y176" i="12"/>
  <c r="Z175" i="12"/>
  <c r="Y177" i="12"/>
  <c r="Z176" i="12"/>
  <c r="Y178" i="12"/>
  <c r="Z177" i="12"/>
  <c r="Y179" i="12"/>
  <c r="Z178" i="12"/>
  <c r="Y180" i="12"/>
  <c r="Z179" i="12"/>
  <c r="Z180" i="12"/>
  <c r="Y181" i="12"/>
  <c r="Y182" i="12"/>
  <c r="Z181" i="12"/>
  <c r="Z182" i="12"/>
  <c r="Y183" i="12"/>
  <c r="Z183" i="12"/>
  <c r="Y184" i="12"/>
  <c r="Z184" i="12"/>
  <c r="Y185" i="12"/>
  <c r="Z185" i="12"/>
  <c r="Y186" i="12"/>
  <c r="Y187" i="12"/>
  <c r="Z186" i="12"/>
  <c r="Y188" i="12"/>
  <c r="Z187" i="12"/>
  <c r="Z188" i="12"/>
  <c r="Y189" i="12"/>
  <c r="Y190" i="12"/>
  <c r="Z189" i="12"/>
  <c r="Z190" i="12"/>
  <c r="Y191" i="12"/>
  <c r="Y192" i="12"/>
  <c r="Z191" i="12"/>
  <c r="Y193" i="12"/>
  <c r="Z192" i="12"/>
  <c r="Z193" i="12"/>
  <c r="Y194" i="12"/>
  <c r="Z194" i="12"/>
  <c r="Y195" i="12"/>
  <c r="Y196" i="12"/>
  <c r="Z195" i="12"/>
  <c r="Y197" i="12"/>
  <c r="Z196" i="12"/>
  <c r="Z197" i="12"/>
  <c r="Y198" i="12"/>
  <c r="Y199" i="12"/>
  <c r="Z198" i="12"/>
  <c r="Z199" i="12"/>
  <c r="Y200" i="12"/>
  <c r="Z200" i="12"/>
  <c r="Y201" i="12"/>
  <c r="Z201" i="12"/>
  <c r="Y202" i="12"/>
  <c r="Z202" i="12"/>
  <c r="Y203" i="12"/>
  <c r="Z203" i="12"/>
  <c r="Y204" i="12"/>
  <c r="Z204" i="12"/>
  <c r="Y205" i="12"/>
  <c r="Z205" i="12"/>
  <c r="Y206" i="12"/>
  <c r="Z206" i="12"/>
  <c r="Y207" i="12"/>
  <c r="Y208" i="12"/>
  <c r="Z207" i="12"/>
  <c r="Z208" i="12"/>
  <c r="Y209" i="12"/>
  <c r="Z209" i="12"/>
  <c r="Y210" i="12"/>
  <c r="Z210" i="12"/>
  <c r="Y211" i="12"/>
  <c r="Y212" i="12"/>
  <c r="Z211" i="12"/>
  <c r="Y213" i="12"/>
  <c r="Z212" i="12"/>
  <c r="Z213" i="12"/>
  <c r="Y214" i="12"/>
  <c r="Y215" i="12"/>
  <c r="Z214" i="12"/>
  <c r="Z215" i="12"/>
  <c r="Y216" i="12"/>
  <c r="Y217" i="12"/>
  <c r="Z216" i="12"/>
  <c r="Z217" i="12"/>
  <c r="Y218" i="12"/>
  <c r="Z218" i="12"/>
  <c r="Y219" i="12"/>
  <c r="Z219" i="12"/>
  <c r="Y220" i="12"/>
  <c r="Z220" i="12"/>
  <c r="Y221" i="12"/>
  <c r="Z221" i="12"/>
  <c r="Y222" i="12"/>
  <c r="Y223" i="12"/>
  <c r="Z222" i="12"/>
  <c r="Z223" i="12"/>
  <c r="Y224" i="12"/>
  <c r="Y225" i="12"/>
  <c r="Z224" i="12"/>
  <c r="Z225" i="12"/>
  <c r="Y226" i="12"/>
  <c r="Z226" i="12"/>
  <c r="Y227" i="12"/>
  <c r="Z227" i="12"/>
  <c r="Y228" i="12"/>
  <c r="Z228" i="12"/>
  <c r="Y229" i="12"/>
  <c r="Y230" i="12"/>
  <c r="Z229" i="12"/>
  <c r="Z230" i="12"/>
  <c r="Y231" i="12"/>
  <c r="Z231" i="12"/>
  <c r="Y232" i="12"/>
  <c r="Z232" i="12"/>
  <c r="Y233" i="12"/>
  <c r="Y234" i="12"/>
  <c r="Z233" i="12"/>
  <c r="Z234" i="12"/>
  <c r="Y235" i="12"/>
  <c r="Y236" i="12"/>
  <c r="Z235" i="12"/>
  <c r="Z236" i="12"/>
  <c r="Y237" i="12"/>
  <c r="Z237" i="12"/>
  <c r="Y238" i="12"/>
  <c r="Z238" i="12"/>
  <c r="Y239" i="12"/>
  <c r="Z239" i="12"/>
  <c r="Y240" i="12"/>
  <c r="Z240" i="12"/>
  <c r="Y241" i="12"/>
  <c r="Z241" i="12"/>
  <c r="Y242" i="12"/>
  <c r="Y243" i="12"/>
  <c r="Z242" i="12"/>
  <c r="Z243" i="12"/>
  <c r="Y244" i="12"/>
  <c r="Y245" i="12"/>
  <c r="Z244" i="12"/>
  <c r="Z245" i="12"/>
  <c r="Y246" i="12"/>
  <c r="Y247" i="12"/>
  <c r="Z246" i="12"/>
  <c r="Z247" i="12"/>
  <c r="Y248" i="12"/>
  <c r="Y249" i="12"/>
  <c r="Z248" i="12"/>
  <c r="Z249" i="12"/>
  <c r="Y250" i="12"/>
  <c r="Y251" i="12"/>
  <c r="Z250" i="12"/>
  <c r="Y252" i="12"/>
  <c r="Z251" i="12"/>
  <c r="Y253" i="12"/>
  <c r="Z252" i="12"/>
  <c r="Z253" i="12"/>
  <c r="Y254" i="12"/>
  <c r="Z254" i="12"/>
  <c r="Y255" i="12"/>
  <c r="Z255" i="12"/>
  <c r="Y256" i="12"/>
  <c r="Y257" i="12"/>
  <c r="Z256" i="12"/>
  <c r="Y258" i="12"/>
  <c r="Z257" i="12"/>
  <c r="Y259" i="12"/>
  <c r="Z258" i="12"/>
  <c r="Z259" i="12"/>
  <c r="Y260" i="12"/>
  <c r="Z260" i="12"/>
  <c r="Y261" i="12"/>
  <c r="Z261" i="12"/>
  <c r="Y262" i="12"/>
  <c r="Z262" i="12"/>
  <c r="Y263" i="12"/>
  <c r="Y264" i="12"/>
  <c r="Z263" i="12"/>
  <c r="Y265" i="12"/>
  <c r="Z264" i="12"/>
  <c r="Y266" i="12"/>
  <c r="Z265" i="12"/>
  <c r="Y267" i="12"/>
  <c r="Z266" i="12"/>
  <c r="Z267" i="12"/>
  <c r="Y268" i="12"/>
  <c r="Z268" i="12"/>
  <c r="Y269" i="12"/>
  <c r="Y270" i="12"/>
  <c r="Z269" i="12"/>
  <c r="Z270" i="12"/>
  <c r="Y271" i="12"/>
  <c r="Z271" i="12"/>
  <c r="Y272" i="12"/>
  <c r="Z272" i="12"/>
  <c r="Y273" i="12"/>
  <c r="Y274" i="12"/>
  <c r="Z273" i="12"/>
  <c r="Y275" i="12"/>
  <c r="Z274" i="12"/>
  <c r="Y276" i="12"/>
  <c r="Z275" i="12"/>
  <c r="Y277" i="12"/>
  <c r="Z276" i="12"/>
  <c r="Y278" i="12"/>
  <c r="Z277" i="12"/>
  <c r="Y279" i="12"/>
  <c r="Z278" i="12"/>
  <c r="Y280" i="12"/>
  <c r="Z279" i="12"/>
  <c r="Z280" i="12"/>
  <c r="Y281" i="12"/>
  <c r="Z281" i="12"/>
  <c r="Y282" i="12"/>
  <c r="Y283" i="12"/>
  <c r="Z282" i="12"/>
  <c r="Z283" i="12"/>
  <c r="Y284" i="12"/>
  <c r="Y285" i="12"/>
  <c r="Z284" i="12"/>
  <c r="Y286" i="12"/>
  <c r="Z285" i="12"/>
  <c r="Y287" i="12"/>
  <c r="Z286" i="12"/>
  <c r="Y288" i="12"/>
  <c r="Z287" i="12"/>
  <c r="Z288" i="12"/>
  <c r="Y289" i="12"/>
  <c r="Y290" i="12"/>
  <c r="Z289" i="12"/>
  <c r="Z290" i="12"/>
  <c r="Y291" i="12"/>
  <c r="Y292" i="12"/>
  <c r="Z291" i="12"/>
  <c r="Y293" i="12"/>
  <c r="Z292" i="12"/>
  <c r="Y294" i="12"/>
  <c r="Z293" i="12"/>
  <c r="Z294" i="12"/>
  <c r="Y295" i="12"/>
  <c r="Y296" i="12"/>
  <c r="Z295" i="12"/>
  <c r="Y297" i="12"/>
  <c r="Z296" i="12"/>
  <c r="Y298" i="12"/>
  <c r="Z297" i="12"/>
  <c r="Y299" i="12"/>
  <c r="Z298" i="12"/>
  <c r="Y300" i="12"/>
  <c r="Z299" i="12"/>
  <c r="Z300" i="12"/>
  <c r="Y301" i="12"/>
  <c r="Y302" i="12"/>
  <c r="Z301" i="12"/>
  <c r="Y303" i="12"/>
  <c r="Z302" i="12"/>
  <c r="Z303" i="12"/>
  <c r="Y304" i="12"/>
  <c r="Z304" i="12"/>
  <c r="Y305" i="12"/>
  <c r="Y306" i="12"/>
  <c r="Z305" i="12"/>
  <c r="Y307" i="12"/>
  <c r="Z306" i="12"/>
  <c r="Z307" i="12"/>
  <c r="Y308" i="12"/>
  <c r="Z308" i="12"/>
  <c r="Y309" i="12"/>
  <c r="Y310" i="12"/>
  <c r="Z309" i="12"/>
  <c r="Y311" i="12"/>
  <c r="Z310" i="12"/>
  <c r="Z311" i="12"/>
  <c r="Y312" i="12"/>
  <c r="Z312" i="12"/>
  <c r="Y313" i="12"/>
  <c r="Y314" i="12"/>
  <c r="Z313" i="12"/>
  <c r="Z314" i="12"/>
  <c r="Y315" i="12"/>
  <c r="Z315" i="12"/>
  <c r="Y316" i="12"/>
  <c r="Y317" i="12"/>
  <c r="Z316" i="12"/>
  <c r="Z317" i="12"/>
  <c r="Y318" i="12"/>
  <c r="Y319" i="12"/>
  <c r="Z318" i="12"/>
  <c r="Y320" i="12"/>
  <c r="Z319" i="12"/>
  <c r="Z320" i="12"/>
  <c r="Y321" i="12"/>
  <c r="Z321" i="12"/>
  <c r="Y322" i="12"/>
  <c r="Z322" i="12"/>
  <c r="Y323" i="12"/>
  <c r="Y324" i="12"/>
  <c r="Z323" i="12"/>
  <c r="Y325" i="12"/>
  <c r="Z324" i="12"/>
  <c r="Y326" i="12"/>
  <c r="Z325" i="12"/>
  <c r="Z326" i="12"/>
  <c r="Y327" i="12"/>
  <c r="Z327" i="12"/>
  <c r="Y328" i="12"/>
  <c r="Z328" i="12"/>
  <c r="Y329" i="12"/>
  <c r="Z329" i="12"/>
  <c r="Y330" i="12"/>
  <c r="Z330" i="12"/>
  <c r="Y331" i="12"/>
  <c r="Z331" i="12"/>
  <c r="Y332" i="12"/>
  <c r="Z332" i="12"/>
  <c r="Y333" i="12"/>
  <c r="Z333" i="12"/>
  <c r="Y334" i="12"/>
  <c r="Y335" i="12"/>
  <c r="Z334" i="12"/>
  <c r="Z335" i="12"/>
  <c r="Y336" i="12"/>
  <c r="Z336" i="12"/>
  <c r="Y337" i="12"/>
  <c r="Z337" i="12"/>
  <c r="Y338" i="12"/>
  <c r="Y339" i="12"/>
  <c r="Z338" i="12"/>
  <c r="Z339" i="12"/>
  <c r="Y340" i="12"/>
  <c r="Z340" i="12"/>
  <c r="Y341" i="12"/>
  <c r="Z341" i="12"/>
  <c r="Y342" i="12"/>
  <c r="Z342" i="12"/>
  <c r="Y343" i="12"/>
  <c r="Z343" i="12"/>
  <c r="Y344" i="12"/>
  <c r="Z344" i="12"/>
  <c r="Y345" i="12"/>
  <c r="Y346" i="12"/>
  <c r="Z345" i="12"/>
  <c r="Z346" i="12"/>
  <c r="Y347" i="12"/>
  <c r="Y348" i="12"/>
  <c r="Z347" i="12"/>
  <c r="Y349" i="12"/>
  <c r="Z348" i="12"/>
  <c r="Z349" i="12"/>
  <c r="Y350" i="12"/>
  <c r="Y351" i="12"/>
  <c r="Z350" i="12"/>
  <c r="Y352" i="12"/>
  <c r="Z351" i="12"/>
  <c r="Y353" i="12"/>
  <c r="Z352" i="12"/>
  <c r="Z353" i="12"/>
  <c r="Y354" i="12"/>
  <c r="Z354" i="12"/>
  <c r="Y355" i="12"/>
  <c r="Y356" i="12"/>
  <c r="Z355" i="12"/>
  <c r="Y357" i="12"/>
  <c r="Z356" i="12"/>
  <c r="Z357" i="12"/>
  <c r="Y358" i="12"/>
  <c r="Y359" i="12"/>
  <c r="Z358" i="12"/>
  <c r="Z359" i="12"/>
  <c r="Y360" i="12"/>
  <c r="Y361" i="12"/>
  <c r="Z360" i="12"/>
  <c r="Z361" i="12"/>
  <c r="Y362" i="12"/>
  <c r="Z362" i="12"/>
  <c r="Y363" i="12"/>
  <c r="Z363" i="12"/>
  <c r="Y364" i="12"/>
  <c r="Y365" i="12"/>
  <c r="Z364" i="12"/>
  <c r="Y366" i="12"/>
  <c r="Z365" i="12"/>
  <c r="Z366" i="12"/>
  <c r="Y367" i="12"/>
  <c r="Z367" i="12"/>
  <c r="Y368" i="12"/>
  <c r="Z368" i="12"/>
  <c r="Y369" i="12"/>
  <c r="Z369" i="12"/>
  <c r="Y370" i="12"/>
  <c r="Y371" i="12"/>
  <c r="Z370" i="12"/>
  <c r="Y372" i="12"/>
  <c r="Z371" i="12"/>
  <c r="Z372" i="12"/>
  <c r="Y373" i="12"/>
  <c r="Z373" i="12"/>
  <c r="Y374" i="12"/>
  <c r="Y375" i="12"/>
  <c r="Z374" i="12"/>
  <c r="Y376" i="12"/>
  <c r="Z375" i="12"/>
  <c r="Z376" i="12"/>
  <c r="Y377" i="12"/>
  <c r="Z377" i="12"/>
  <c r="Y378" i="12"/>
  <c r="Z378" i="12"/>
  <c r="Y379" i="12"/>
  <c r="Z379" i="12"/>
  <c r="Y380" i="12"/>
  <c r="Y381" i="12"/>
  <c r="Z380" i="12"/>
  <c r="Z381" i="12"/>
  <c r="Y382" i="12"/>
  <c r="Y383" i="12"/>
  <c r="Z382" i="12"/>
  <c r="Z383" i="12"/>
  <c r="Y384" i="12"/>
  <c r="Y385" i="12"/>
  <c r="Z384" i="12"/>
  <c r="Z385" i="12"/>
  <c r="Y386" i="12"/>
  <c r="Z386" i="12"/>
  <c r="Y387" i="12"/>
  <c r="Z387" i="12"/>
  <c r="Y388" i="12"/>
  <c r="Z388" i="12"/>
  <c r="Y389" i="12"/>
  <c r="Z389" i="12"/>
  <c r="Y390" i="12"/>
  <c r="Z390" i="12"/>
  <c r="Y391" i="12"/>
  <c r="Z391" i="12"/>
  <c r="Y392" i="12"/>
  <c r="Z392" i="12"/>
  <c r="Y393" i="12"/>
  <c r="Y394" i="12"/>
  <c r="Z393" i="12"/>
  <c r="Z394" i="12"/>
  <c r="Y395" i="12"/>
  <c r="Y396" i="12"/>
  <c r="Z395" i="12"/>
  <c r="Y397" i="12"/>
  <c r="Z396" i="12"/>
  <c r="Z397" i="12"/>
  <c r="Y398" i="12"/>
  <c r="Z398" i="12"/>
  <c r="Y399" i="12"/>
  <c r="Y400" i="12"/>
  <c r="Z399" i="12"/>
  <c r="Z400" i="12"/>
  <c r="Y401" i="12"/>
  <c r="Y402" i="12"/>
  <c r="Z401" i="12"/>
  <c r="Z402" i="12"/>
  <c r="Y403" i="12"/>
  <c r="Y404" i="12"/>
  <c r="Z403" i="12"/>
  <c r="Z404" i="12"/>
  <c r="Y405" i="12"/>
  <c r="Z405" i="12"/>
  <c r="Y406" i="12"/>
  <c r="Y407" i="12"/>
  <c r="Z406" i="12"/>
  <c r="Z407" i="12"/>
  <c r="Y408" i="12"/>
  <c r="Y409" i="12"/>
  <c r="Z408" i="12"/>
  <c r="Z409" i="12"/>
  <c r="Y410" i="12"/>
  <c r="Z410" i="12"/>
  <c r="Y411" i="12"/>
  <c r="Z411" i="12"/>
  <c r="Y412" i="12"/>
  <c r="Y413" i="12"/>
  <c r="Z412" i="12"/>
  <c r="Z413" i="12"/>
  <c r="Y414" i="12"/>
  <c r="Y415" i="12"/>
  <c r="Z414" i="12"/>
  <c r="Y416" i="12"/>
  <c r="Z415" i="12"/>
  <c r="Y417" i="12"/>
  <c r="Z416" i="12"/>
  <c r="Z417" i="12"/>
  <c r="Y418" i="12"/>
  <c r="Z418" i="12"/>
  <c r="Y419" i="12"/>
  <c r="Y420" i="12"/>
  <c r="Z419" i="12"/>
  <c r="Y421" i="12"/>
  <c r="Z420" i="12"/>
  <c r="Z421" i="12"/>
  <c r="Y422" i="12"/>
  <c r="Z422" i="12"/>
  <c r="Y423" i="12"/>
  <c r="Y424" i="12"/>
  <c r="Z423" i="12"/>
  <c r="Z424" i="12"/>
  <c r="Y425" i="12"/>
  <c r="Z425" i="12"/>
  <c r="Y426" i="12"/>
  <c r="Y427" i="12"/>
  <c r="Z426" i="12"/>
  <c r="Z427" i="12"/>
  <c r="Y428" i="12"/>
  <c r="Z428" i="12"/>
  <c r="Y429" i="12"/>
  <c r="Y430" i="12"/>
  <c r="Z429" i="12"/>
  <c r="Z430" i="12"/>
  <c r="Y431" i="12"/>
  <c r="Z431" i="12"/>
  <c r="Y432" i="12"/>
  <c r="Y433" i="12"/>
  <c r="Z432" i="12"/>
  <c r="Y434" i="12"/>
  <c r="Z433" i="12"/>
  <c r="Y435" i="12"/>
  <c r="Z434" i="12"/>
  <c r="Z435" i="12"/>
  <c r="Y436" i="12"/>
  <c r="Y437" i="12"/>
  <c r="Z436" i="12"/>
  <c r="Y438" i="12"/>
  <c r="Z437" i="12"/>
  <c r="Y439" i="12"/>
  <c r="Z438" i="12"/>
  <c r="Z439" i="12"/>
  <c r="Y440" i="12"/>
  <c r="Z440" i="12"/>
  <c r="Y441" i="12"/>
  <c r="Z441" i="12"/>
  <c r="Y442" i="12"/>
  <c r="Z442" i="12"/>
  <c r="Y443" i="12"/>
  <c r="Z443" i="12"/>
  <c r="Y444" i="12"/>
  <c r="Z444" i="12"/>
  <c r="Y445" i="12"/>
  <c r="Y446" i="12"/>
  <c r="Z445" i="12"/>
  <c r="Y447" i="12"/>
  <c r="Z446" i="12"/>
  <c r="Y448" i="12"/>
  <c r="Z447" i="12"/>
  <c r="Y449" i="12"/>
  <c r="Z448" i="12"/>
  <c r="Z449" i="12"/>
  <c r="Y450" i="12"/>
  <c r="Y451" i="12"/>
  <c r="Z450" i="12"/>
  <c r="Y452" i="12"/>
  <c r="Z451" i="12"/>
  <c r="Z452" i="12"/>
  <c r="Y453" i="12"/>
  <c r="Z453" i="12"/>
  <c r="Y454" i="12"/>
  <c r="Z454" i="12"/>
  <c r="Y455" i="12"/>
  <c r="Z455" i="12"/>
  <c r="Y456" i="12"/>
  <c r="Y457" i="12"/>
  <c r="Z456" i="12"/>
  <c r="Z457" i="12"/>
  <c r="Y458" i="12"/>
  <c r="Y459" i="12"/>
  <c r="Z458" i="12"/>
  <c r="Z459" i="12"/>
  <c r="Y460" i="12"/>
  <c r="Z460" i="12"/>
  <c r="Y461" i="12"/>
  <c r="Y462" i="12"/>
  <c r="Z461" i="12"/>
  <c r="Z462" i="12"/>
  <c r="Y463" i="12"/>
  <c r="Y464" i="12"/>
  <c r="Z463" i="12"/>
  <c r="Y465" i="12"/>
  <c r="Z464" i="12"/>
  <c r="Y466" i="12"/>
  <c r="Z465" i="12"/>
  <c r="Z466" i="12"/>
  <c r="Y467" i="12"/>
  <c r="Z467" i="12"/>
  <c r="Y468" i="12"/>
  <c r="Y469" i="12"/>
  <c r="Z468" i="12"/>
  <c r="Z469" i="12"/>
  <c r="Y470" i="12"/>
  <c r="Y471" i="12"/>
  <c r="Z470" i="12"/>
  <c r="Z471" i="12"/>
  <c r="Y472" i="12"/>
  <c r="Z472" i="12"/>
  <c r="Y473" i="12"/>
  <c r="Y474" i="12"/>
  <c r="Z473" i="12"/>
  <c r="Y475" i="12"/>
  <c r="Z474" i="12"/>
  <c r="Y476" i="12"/>
  <c r="Z475" i="12"/>
  <c r="Y477" i="12"/>
  <c r="Z476" i="12"/>
  <c r="Z477" i="12"/>
  <c r="Y478" i="12"/>
  <c r="Y479" i="12"/>
  <c r="Z478" i="12"/>
  <c r="Y480" i="12"/>
  <c r="Z479" i="12"/>
  <c r="Z480" i="12"/>
  <c r="Y481" i="12"/>
  <c r="Y482" i="12"/>
  <c r="Z481" i="12"/>
  <c r="Z482" i="12"/>
  <c r="Y483" i="12"/>
  <c r="Y484" i="12"/>
  <c r="Z483" i="12"/>
  <c r="Z484" i="12"/>
  <c r="Y485" i="12"/>
  <c r="Y486" i="12"/>
  <c r="Z485" i="12"/>
  <c r="Y487" i="12"/>
  <c r="Z486" i="12"/>
  <c r="Y488" i="12"/>
  <c r="Z487" i="12"/>
  <c r="Y489" i="12"/>
  <c r="Z488" i="12"/>
  <c r="Z489" i="12"/>
  <c r="Y490" i="12"/>
  <c r="Y491" i="12"/>
  <c r="Z490" i="12"/>
  <c r="Y492" i="12"/>
  <c r="Z491" i="12"/>
  <c r="Z492" i="12"/>
  <c r="Y493" i="12"/>
  <c r="Y494" i="12"/>
  <c r="Z493" i="12"/>
  <c r="Y495" i="12"/>
  <c r="Z494" i="12"/>
  <c r="Z495" i="12"/>
  <c r="Y496" i="12"/>
  <c r="Z496" i="12"/>
  <c r="Y497" i="12"/>
  <c r="Z497" i="12"/>
  <c r="Y498" i="12"/>
  <c r="Y499" i="12"/>
  <c r="Z498" i="12"/>
  <c r="Y500" i="12"/>
  <c r="Z499" i="12"/>
  <c r="Z500" i="12"/>
  <c r="Y501" i="12"/>
  <c r="Y502" i="12"/>
  <c r="Z501" i="12"/>
  <c r="Y503" i="12"/>
  <c r="Z502" i="12"/>
  <c r="Y504" i="12"/>
  <c r="Z503" i="12"/>
  <c r="Y505" i="12"/>
  <c r="Z504" i="12"/>
  <c r="Z505" i="12"/>
  <c r="Y506" i="12"/>
  <c r="Y507" i="12"/>
  <c r="Z506" i="12"/>
  <c r="Z507" i="12"/>
  <c r="Y508" i="12"/>
  <c r="Y509" i="12"/>
  <c r="Z508" i="12"/>
  <c r="Y510" i="12"/>
  <c r="Z509" i="12"/>
  <c r="Y511" i="12"/>
  <c r="Z510" i="12"/>
  <c r="Z511" i="12"/>
  <c r="Y512" i="12"/>
  <c r="Z512" i="12"/>
  <c r="Y513" i="12"/>
  <c r="Y514" i="12"/>
  <c r="Z513" i="12"/>
  <c r="Y515" i="12"/>
  <c r="Z514" i="12"/>
  <c r="Y516" i="12"/>
  <c r="Z515" i="12"/>
  <c r="Z516" i="12"/>
  <c r="Y517" i="12"/>
  <c r="Y518" i="12"/>
  <c r="Z517" i="12"/>
  <c r="Z518" i="12"/>
  <c r="Y519" i="12"/>
  <c r="Y520" i="12"/>
  <c r="Z519" i="12"/>
  <c r="Y521" i="12"/>
  <c r="Z520" i="12"/>
  <c r="Z521" i="12"/>
  <c r="Y522" i="12"/>
  <c r="Z522" i="12"/>
  <c r="Y523" i="12"/>
  <c r="Z523" i="12"/>
  <c r="Y524" i="12"/>
  <c r="Z524" i="12"/>
  <c r="Y525" i="12"/>
  <c r="Z525" i="12"/>
  <c r="Y526" i="12"/>
  <c r="Y527" i="12"/>
  <c r="Z526" i="12"/>
  <c r="Z527" i="12"/>
  <c r="Y528" i="12"/>
  <c r="Y529" i="12"/>
  <c r="Z528" i="12"/>
  <c r="Y530" i="12"/>
  <c r="Z529" i="12"/>
  <c r="Z530" i="12"/>
  <c r="Y531" i="12"/>
  <c r="Y532" i="12"/>
  <c r="Z531" i="12"/>
  <c r="Y533" i="12"/>
  <c r="Z532" i="12"/>
  <c r="Y534" i="12"/>
  <c r="Z533" i="12"/>
  <c r="Z534" i="12"/>
  <c r="Y535" i="12"/>
  <c r="Y536" i="12"/>
  <c r="Z535" i="12"/>
  <c r="Y537" i="12"/>
  <c r="Z536" i="12"/>
  <c r="Y538" i="12"/>
  <c r="Z537" i="12"/>
  <c r="Z538" i="12"/>
  <c r="Y539" i="12"/>
  <c r="Y540" i="12"/>
  <c r="Z539" i="12"/>
  <c r="Y541" i="12"/>
  <c r="Z540" i="12"/>
  <c r="Y542" i="12"/>
  <c r="Z541" i="12"/>
  <c r="Y543" i="12"/>
  <c r="Z542" i="12"/>
  <c r="Z543" i="12"/>
  <c r="Y544" i="12"/>
  <c r="Z544" i="12"/>
  <c r="Y545" i="12"/>
  <c r="Y546" i="12"/>
  <c r="Z545" i="12"/>
  <c r="Z546" i="12"/>
  <c r="Y547" i="12"/>
  <c r="Y548" i="12"/>
  <c r="Z547" i="12"/>
  <c r="Y549" i="12"/>
  <c r="Z548" i="12"/>
  <c r="Z549" i="12"/>
  <c r="Y550" i="12"/>
  <c r="Y551" i="12"/>
  <c r="Z550" i="12"/>
  <c r="Z551" i="12"/>
  <c r="Y552" i="12"/>
  <c r="Y553" i="12"/>
  <c r="Z552" i="12"/>
  <c r="Z553" i="12"/>
  <c r="Y554" i="12"/>
  <c r="Y555" i="12"/>
  <c r="Z554" i="12"/>
  <c r="Z555" i="12"/>
  <c r="Y556" i="12"/>
  <c r="Y557" i="12"/>
  <c r="Z556" i="12"/>
  <c r="Z557" i="12"/>
  <c r="Y558" i="12"/>
  <c r="Y559" i="12"/>
  <c r="Z558" i="12"/>
  <c r="Y560" i="12"/>
  <c r="Z559" i="12"/>
  <c r="Y561" i="12"/>
  <c r="Z560" i="12"/>
  <c r="Z561" i="12"/>
  <c r="Y562" i="12"/>
  <c r="Z562" i="12"/>
  <c r="Y563" i="12"/>
  <c r="Y564" i="12"/>
  <c r="Z563" i="12"/>
  <c r="Z564" i="12"/>
  <c r="Y565" i="12"/>
  <c r="Z565" i="12"/>
  <c r="Y566" i="12"/>
  <c r="Z566" i="12"/>
  <c r="Y567" i="12"/>
  <c r="Z567" i="12"/>
  <c r="Y568" i="12"/>
  <c r="Y569" i="12"/>
  <c r="Z568" i="12"/>
  <c r="Y570" i="12"/>
  <c r="Z569" i="12"/>
  <c r="Y571" i="12"/>
  <c r="Z570" i="12"/>
  <c r="Z571" i="12"/>
  <c r="Y572" i="12"/>
  <c r="Y573" i="12"/>
  <c r="Z572" i="12"/>
  <c r="Y574" i="12"/>
  <c r="Z573" i="12"/>
  <c r="Z574" i="12"/>
  <c r="Y575" i="12"/>
  <c r="Z575" i="12"/>
  <c r="Y576" i="12"/>
  <c r="Z576" i="12"/>
  <c r="Y577" i="12"/>
  <c r="Y578" i="12"/>
  <c r="Z577" i="12"/>
  <c r="Z578" i="12"/>
  <c r="Y579" i="12"/>
  <c r="Z579" i="12"/>
  <c r="Y580" i="12"/>
  <c r="Z580" i="12"/>
  <c r="Y581" i="12"/>
  <c r="Y582" i="12"/>
  <c r="Z581" i="12"/>
  <c r="Z582" i="12"/>
  <c r="Y583" i="12"/>
  <c r="Y584" i="12"/>
  <c r="Z583" i="12"/>
  <c r="Y585" i="12"/>
  <c r="Z584" i="12"/>
  <c r="Y586" i="12"/>
  <c r="Z585" i="12"/>
  <c r="Y587" i="12"/>
  <c r="Z586" i="12"/>
  <c r="Y588" i="12"/>
  <c r="Z587" i="12"/>
  <c r="Z588" i="12"/>
  <c r="Y589" i="12"/>
  <c r="Z589" i="12"/>
  <c r="Y590" i="12"/>
  <c r="Z590" i="12"/>
  <c r="Y591" i="12"/>
  <c r="Z591" i="12"/>
  <c r="Y592" i="12"/>
  <c r="Z592" i="12"/>
  <c r="Y593" i="12"/>
  <c r="Y594" i="12"/>
  <c r="Z593" i="12"/>
  <c r="Y595" i="12"/>
  <c r="Z594" i="12"/>
  <c r="Z595" i="12"/>
  <c r="Y596" i="12"/>
  <c r="Y597" i="12"/>
  <c r="Z596" i="12"/>
  <c r="Y598" i="12"/>
  <c r="Z597" i="12"/>
  <c r="Y599" i="12"/>
  <c r="Z598" i="12"/>
  <c r="Z599" i="12"/>
  <c r="Y600" i="12"/>
  <c r="Y601" i="12"/>
  <c r="Z600" i="12"/>
  <c r="Z601" i="12"/>
  <c r="Y602" i="12"/>
  <c r="Z602" i="12"/>
  <c r="Y603" i="12"/>
  <c r="Y604" i="12"/>
  <c r="Z603" i="12"/>
  <c r="Y605" i="12"/>
  <c r="Z604" i="12"/>
  <c r="Z605" i="12"/>
  <c r="Y606" i="12"/>
  <c r="Y607" i="12"/>
  <c r="Z606" i="12"/>
  <c r="Y608" i="12"/>
  <c r="Z607" i="12"/>
  <c r="Z608" i="12"/>
  <c r="Y609" i="12"/>
  <c r="Y610" i="12"/>
  <c r="Z609" i="12"/>
  <c r="Z610" i="12"/>
  <c r="Y611" i="12"/>
  <c r="Y612" i="12"/>
  <c r="Z611" i="12"/>
  <c r="Z612" i="12"/>
  <c r="Y613" i="12"/>
  <c r="Y614" i="12"/>
  <c r="Z613" i="12"/>
  <c r="Z614" i="12"/>
  <c r="Y615" i="12"/>
  <c r="Z615" i="12"/>
  <c r="Y616" i="12"/>
  <c r="Y617" i="12"/>
  <c r="Z616" i="12"/>
  <c r="Y618" i="12"/>
  <c r="Z617" i="12"/>
  <c r="Y619" i="12"/>
  <c r="Z618" i="12"/>
  <c r="Z619" i="12"/>
  <c r="Y620" i="12"/>
  <c r="Y621" i="12"/>
  <c r="Z620" i="12"/>
  <c r="Y622" i="12"/>
  <c r="Z621" i="12"/>
  <c r="Y623" i="12"/>
  <c r="Z622" i="12"/>
  <c r="Z623" i="12"/>
  <c r="Y624" i="12"/>
  <c r="Z624" i="12"/>
  <c r="Y625" i="12"/>
  <c r="Z625" i="12"/>
  <c r="Y626" i="12"/>
  <c r="Y627" i="12"/>
  <c r="Z626" i="12"/>
  <c r="Y628" i="12"/>
  <c r="Z627" i="12"/>
  <c r="Z628" i="12"/>
  <c r="Y629" i="12"/>
  <c r="Z629" i="12"/>
  <c r="Y630" i="12"/>
  <c r="Y631" i="12"/>
  <c r="Z630" i="12"/>
  <c r="Y632" i="12"/>
  <c r="Z631" i="12"/>
  <c r="Z632" i="12"/>
  <c r="Y633" i="12"/>
  <c r="Z633" i="12"/>
  <c r="Y634" i="12"/>
  <c r="Y635" i="12"/>
  <c r="Z634" i="12"/>
  <c r="Z635" i="12"/>
  <c r="Y636" i="12"/>
  <c r="Z636" i="12"/>
  <c r="Y637" i="12"/>
  <c r="Y638" i="12"/>
  <c r="Z637" i="12"/>
  <c r="Z638" i="12"/>
  <c r="Y639" i="12"/>
  <c r="Y640" i="12"/>
  <c r="Z639" i="12"/>
  <c r="Z640" i="12"/>
  <c r="Y641" i="12"/>
  <c r="Z641" i="12"/>
  <c r="Y642" i="12"/>
  <c r="Z642" i="12"/>
  <c r="Y643" i="12"/>
  <c r="Y644" i="12"/>
  <c r="Z643" i="12"/>
  <c r="Y645" i="12"/>
  <c r="Z644" i="12"/>
  <c r="Z645" i="12"/>
  <c r="Y646" i="12"/>
  <c r="Y647" i="12"/>
  <c r="Z646" i="12"/>
  <c r="Y648" i="12"/>
  <c r="Z647" i="12"/>
  <c r="Y649" i="12"/>
  <c r="Z648" i="12"/>
  <c r="Y650" i="12"/>
  <c r="Z649" i="12"/>
  <c r="Y651" i="12"/>
  <c r="Z650" i="12"/>
  <c r="Z651" i="12"/>
  <c r="Y652" i="12"/>
  <c r="Y653" i="12"/>
  <c r="Z652" i="12"/>
  <c r="Z653" i="12"/>
  <c r="Y654" i="12"/>
  <c r="Y655" i="12"/>
  <c r="Z654" i="12"/>
  <c r="Y656" i="12"/>
  <c r="Z655" i="12"/>
  <c r="Y657" i="12"/>
  <c r="Z656" i="12"/>
  <c r="Y658" i="12"/>
  <c r="Z657" i="12"/>
  <c r="Y659" i="12"/>
  <c r="Z658" i="12"/>
  <c r="Y660" i="12"/>
  <c r="Z659" i="12"/>
  <c r="Z660" i="12"/>
  <c r="Y661" i="12"/>
  <c r="Y662" i="12"/>
  <c r="Z661" i="12"/>
  <c r="Y663" i="12"/>
  <c r="Z662" i="12"/>
  <c r="Z663" i="12"/>
  <c r="Y664" i="12"/>
  <c r="Y665" i="12"/>
  <c r="Z664" i="12"/>
  <c r="Z665" i="12"/>
  <c r="Y666" i="12"/>
  <c r="Z666" i="12"/>
  <c r="Y667" i="12"/>
  <c r="Y668" i="12"/>
  <c r="Z667" i="12"/>
  <c r="Y669" i="12"/>
  <c r="Z668" i="12"/>
  <c r="Z669" i="12"/>
  <c r="Y670" i="12"/>
  <c r="Z670" i="12"/>
  <c r="Y671" i="12"/>
  <c r="Z671" i="12"/>
  <c r="Y672" i="12"/>
  <c r="Z672" i="12"/>
  <c r="Y673" i="12"/>
  <c r="Z673" i="12"/>
  <c r="Y674" i="12"/>
  <c r="Z674" i="12"/>
  <c r="Y675" i="12"/>
  <c r="Y676" i="12"/>
  <c r="Z675" i="12"/>
  <c r="Z676" i="12"/>
  <c r="Y677" i="12"/>
  <c r="Y678" i="12"/>
  <c r="Z677" i="12"/>
  <c r="Y679" i="12"/>
  <c r="Z678" i="12"/>
  <c r="Y680" i="12"/>
  <c r="Z679" i="12"/>
  <c r="Y681" i="12"/>
  <c r="Z680" i="12"/>
  <c r="Z681" i="12"/>
  <c r="Y682" i="12"/>
  <c r="Z682" i="12"/>
  <c r="Y683" i="12"/>
  <c r="Z683" i="12"/>
  <c r="Y684" i="12"/>
  <c r="Z684" i="12"/>
  <c r="Y685" i="12"/>
  <c r="Z685" i="12"/>
  <c r="Y686" i="12"/>
  <c r="Z686" i="12"/>
  <c r="Y687" i="12"/>
  <c r="Z687" i="12"/>
  <c r="Y688" i="12"/>
  <c r="Z688" i="12"/>
  <c r="Y689" i="12"/>
  <c r="Z689" i="12"/>
  <c r="Y690" i="12"/>
  <c r="Z690" i="12"/>
  <c r="Y691" i="12"/>
  <c r="Y692" i="12"/>
  <c r="Z691" i="12"/>
  <c r="Y693" i="12"/>
  <c r="Z692" i="12"/>
  <c r="Z693" i="12"/>
  <c r="Y694" i="12"/>
  <c r="Z694" i="12"/>
  <c r="Y695" i="12"/>
  <c r="Z695" i="12"/>
  <c r="Y696" i="12"/>
  <c r="Y697" i="12"/>
  <c r="Z696" i="12"/>
  <c r="Y698" i="12"/>
  <c r="Z697" i="12"/>
  <c r="Y699" i="12"/>
  <c r="Z698" i="12"/>
  <c r="Y700" i="12"/>
  <c r="Z699" i="12"/>
  <c r="Z700" i="12"/>
  <c r="Y701" i="12"/>
  <c r="Z701" i="12"/>
  <c r="Y702" i="12"/>
  <c r="Y703" i="12"/>
  <c r="Z702" i="12"/>
  <c r="Z703" i="12"/>
  <c r="Y704" i="12"/>
  <c r="Z704" i="12"/>
  <c r="Y705" i="12"/>
  <c r="Y706" i="12"/>
  <c r="Z705" i="12"/>
  <c r="Z706" i="12"/>
  <c r="Y707" i="12"/>
  <c r="Z707" i="12"/>
  <c r="Y708" i="12"/>
  <c r="Y709" i="12"/>
  <c r="Z708" i="12"/>
  <c r="Z709" i="12"/>
  <c r="Y710" i="12"/>
  <c r="Y711" i="12"/>
  <c r="Z710" i="12"/>
  <c r="Z711" i="12"/>
  <c r="Y712" i="12"/>
  <c r="Z712" i="12"/>
  <c r="Y713" i="12"/>
  <c r="Y714" i="12"/>
  <c r="Z713" i="12"/>
  <c r="Z714" i="12"/>
  <c r="Y715" i="12"/>
  <c r="Y716" i="12"/>
  <c r="Z715" i="12"/>
  <c r="Y717" i="12"/>
  <c r="Z716" i="12"/>
  <c r="Y718" i="12"/>
  <c r="Z717" i="12"/>
  <c r="Z718" i="12"/>
  <c r="Y719" i="12"/>
  <c r="Z719" i="12"/>
  <c r="Y720" i="12"/>
  <c r="Y721" i="12"/>
  <c r="Z720" i="12"/>
  <c r="Y722" i="12"/>
  <c r="Z721" i="12"/>
  <c r="Y723" i="12"/>
  <c r="Z722" i="12"/>
  <c r="Z723" i="12"/>
  <c r="Y724" i="12"/>
  <c r="Z724" i="12"/>
  <c r="Y725" i="12"/>
  <c r="Y726" i="12"/>
  <c r="Z725" i="12"/>
  <c r="Z726" i="12"/>
  <c r="Y727" i="12"/>
  <c r="Z727" i="12"/>
  <c r="Y728" i="12"/>
  <c r="Z728" i="12"/>
  <c r="Y729" i="12"/>
  <c r="Y730" i="12"/>
  <c r="Z729" i="12"/>
  <c r="Z730" i="12"/>
  <c r="Y731" i="12"/>
  <c r="Y732" i="12"/>
  <c r="Z731" i="12"/>
  <c r="Z732" i="12"/>
  <c r="Y733" i="12"/>
  <c r="Z733" i="12"/>
  <c r="Y734" i="12"/>
  <c r="Z734" i="12"/>
  <c r="Y735" i="12"/>
  <c r="Z735" i="12"/>
  <c r="Y736" i="12"/>
  <c r="Z736" i="12"/>
  <c r="Y737" i="12"/>
  <c r="Y738" i="12"/>
  <c r="Z737" i="12"/>
  <c r="Z738" i="12"/>
  <c r="Y739" i="12"/>
  <c r="Z739" i="12"/>
  <c r="Y740" i="12"/>
  <c r="Z740" i="12"/>
  <c r="Y741" i="12"/>
  <c r="Y742" i="12"/>
  <c r="Z741" i="12"/>
  <c r="Z742" i="12"/>
  <c r="Y743" i="12"/>
  <c r="Z743" i="12"/>
  <c r="Y744" i="12"/>
  <c r="Y745" i="12"/>
  <c r="Z744" i="12"/>
  <c r="Z745" i="12"/>
  <c r="Y746" i="12"/>
  <c r="Z746" i="12"/>
  <c r="Y747" i="12"/>
  <c r="Y748" i="12"/>
  <c r="Z747" i="12"/>
  <c r="Y749" i="12"/>
  <c r="Z748" i="12"/>
  <c r="Z749" i="12"/>
  <c r="Y750" i="12"/>
  <c r="Y751" i="12"/>
  <c r="Z750" i="12"/>
  <c r="Z751" i="12"/>
  <c r="Y752" i="12"/>
  <c r="Y753" i="12"/>
  <c r="Z752" i="12"/>
  <c r="Z753" i="12"/>
  <c r="Y754" i="12"/>
  <c r="Z754" i="12"/>
  <c r="Y755" i="12"/>
  <c r="Z755" i="12"/>
  <c r="Y756" i="12"/>
  <c r="Y757" i="12"/>
  <c r="Z756" i="12"/>
  <c r="Z757" i="12"/>
  <c r="Y758" i="12"/>
  <c r="Y759" i="12"/>
  <c r="Z758" i="12"/>
  <c r="Y760" i="12"/>
  <c r="Z759" i="12"/>
  <c r="Y761" i="12"/>
  <c r="Z760" i="12"/>
  <c r="Z761" i="12"/>
  <c r="Y762" i="12"/>
  <c r="Z762" i="12"/>
  <c r="Y763" i="12"/>
  <c r="Y764" i="12"/>
  <c r="Z763" i="12"/>
  <c r="Y765" i="12"/>
  <c r="Z764" i="12"/>
  <c r="Y766" i="12"/>
  <c r="Z765" i="12"/>
  <c r="Z766" i="12"/>
  <c r="Y767" i="12"/>
  <c r="Y768" i="12"/>
  <c r="Z767" i="12"/>
  <c r="Z768" i="12"/>
  <c r="Y769" i="12"/>
  <c r="Y770" i="12"/>
  <c r="Z769" i="12"/>
  <c r="Z770" i="12"/>
  <c r="Y771" i="12"/>
  <c r="Y772" i="12"/>
  <c r="Z771" i="12"/>
  <c r="Y773" i="12"/>
  <c r="Z772" i="12"/>
  <c r="Z773" i="12"/>
  <c r="Y774" i="12"/>
  <c r="Z774" i="12"/>
  <c r="Y775" i="12"/>
  <c r="Z775" i="12"/>
  <c r="Y776" i="12"/>
  <c r="Z776" i="12"/>
  <c r="Y777" i="12"/>
  <c r="Z777" i="12"/>
  <c r="Y778" i="12"/>
  <c r="Y779" i="12"/>
  <c r="Z778" i="12"/>
  <c r="Z779" i="12"/>
  <c r="Y780" i="12"/>
  <c r="Y781" i="12"/>
  <c r="Z780" i="12"/>
  <c r="Y782" i="12"/>
  <c r="Z781" i="12"/>
  <c r="Z782" i="12"/>
  <c r="Y783" i="12"/>
  <c r="Z783" i="12"/>
  <c r="Y784" i="12"/>
  <c r="Y785" i="12"/>
  <c r="Z784" i="12"/>
  <c r="Z785" i="12"/>
  <c r="Y786" i="12"/>
  <c r="Y787" i="12"/>
  <c r="Z786" i="12"/>
  <c r="Z787" i="12"/>
  <c r="Y788" i="12"/>
  <c r="Z788" i="12"/>
  <c r="Y789" i="12"/>
  <c r="Y790" i="12"/>
  <c r="Z789" i="12"/>
  <c r="Z790" i="12"/>
  <c r="Y791" i="12"/>
  <c r="Y792" i="12"/>
  <c r="Z791" i="12"/>
  <c r="Z792" i="12"/>
  <c r="Y793" i="12"/>
  <c r="Z793" i="12"/>
  <c r="Y794" i="12"/>
  <c r="Z794" i="12"/>
  <c r="Y795" i="12"/>
  <c r="Z795" i="12"/>
  <c r="Y796" i="12"/>
  <c r="Y797" i="12"/>
  <c r="Z796" i="12"/>
  <c r="Z797" i="12"/>
  <c r="Y798" i="12"/>
  <c r="Z798" i="12"/>
  <c r="Y799" i="12"/>
  <c r="Z799" i="12"/>
  <c r="Y800" i="12"/>
  <c r="Y801" i="12"/>
  <c r="Z800" i="12"/>
  <c r="Y802" i="12"/>
  <c r="Z801" i="12"/>
  <c r="Y803" i="12"/>
  <c r="Z802" i="12"/>
  <c r="Z803" i="12"/>
  <c r="Y804" i="12"/>
  <c r="Y805" i="12"/>
  <c r="Z804" i="12"/>
  <c r="Z805" i="12"/>
  <c r="Y806" i="12"/>
  <c r="Y807" i="12"/>
  <c r="Z806" i="12"/>
  <c r="Y808" i="12"/>
  <c r="Z807" i="12"/>
  <c r="Y809" i="12"/>
  <c r="Z808" i="12"/>
  <c r="Y810" i="12"/>
  <c r="Z809" i="12"/>
  <c r="Z810" i="12"/>
  <c r="Y811" i="12"/>
  <c r="Y812" i="12"/>
  <c r="Z811" i="12"/>
  <c r="Y813" i="12"/>
  <c r="Z812" i="12"/>
  <c r="Y814" i="12"/>
  <c r="Z813" i="12"/>
  <c r="Y815" i="12"/>
  <c r="Z814" i="12"/>
  <c r="Y816" i="12"/>
  <c r="Z815" i="12"/>
  <c r="Z816" i="12"/>
  <c r="Y817" i="12"/>
  <c r="Z817" i="12"/>
  <c r="Y818" i="12"/>
  <c r="Z818" i="12"/>
  <c r="Y819" i="12"/>
  <c r="Y820" i="12"/>
  <c r="Z819" i="12"/>
  <c r="Z820" i="12"/>
  <c r="Y821" i="12"/>
  <c r="Z821" i="12"/>
  <c r="Y822" i="12"/>
  <c r="Y823" i="12"/>
  <c r="Z822" i="12"/>
  <c r="Y824" i="12"/>
  <c r="Z823" i="12"/>
  <c r="Y825" i="12"/>
  <c r="Z824" i="12"/>
  <c r="Y826" i="12"/>
  <c r="Z825" i="12"/>
  <c r="Y827" i="12"/>
  <c r="Z826" i="12"/>
  <c r="Z827" i="12"/>
  <c r="Y828" i="12"/>
  <c r="Z828" i="12"/>
  <c r="Y829" i="12"/>
  <c r="Y830" i="12"/>
  <c r="Z829" i="12"/>
  <c r="Z830" i="12"/>
  <c r="Y831" i="12"/>
  <c r="Z831" i="12"/>
  <c r="Y832" i="12"/>
  <c r="Z832" i="12"/>
  <c r="Y833" i="12"/>
  <c r="Z833" i="12"/>
  <c r="Y834" i="12"/>
  <c r="Y835" i="12"/>
  <c r="Z834" i="12"/>
  <c r="Z835" i="12"/>
  <c r="Y836" i="12"/>
  <c r="Y837" i="12"/>
  <c r="Z836" i="12"/>
  <c r="Y838" i="12"/>
  <c r="Z837" i="12"/>
  <c r="Z838" i="12"/>
  <c r="Y839" i="12"/>
  <c r="Y840" i="12"/>
  <c r="Z839" i="12"/>
  <c r="Z840" i="12"/>
  <c r="Y841" i="12"/>
  <c r="Z841" i="12"/>
  <c r="Y842" i="12"/>
  <c r="Y843" i="12"/>
  <c r="Z842" i="12"/>
  <c r="Y844" i="12"/>
  <c r="Z843" i="12"/>
  <c r="Y845" i="12"/>
  <c r="Z844" i="12"/>
  <c r="Z845" i="12"/>
  <c r="Y846" i="12"/>
  <c r="Z846" i="12"/>
  <c r="Y847" i="12"/>
  <c r="Y848" i="12"/>
  <c r="Z847" i="12"/>
  <c r="Y849" i="12"/>
  <c r="Z848" i="12"/>
  <c r="Z849" i="12"/>
  <c r="Y850" i="12"/>
  <c r="Z850" i="12"/>
  <c r="Y851" i="12"/>
  <c r="Z851" i="12"/>
  <c r="Y852" i="12"/>
  <c r="Y853" i="12"/>
  <c r="Z852" i="12"/>
  <c r="Z853" i="12"/>
  <c r="Y854" i="12"/>
  <c r="Z854" i="12"/>
  <c r="Y855" i="12"/>
  <c r="Z855" i="12"/>
  <c r="Y856" i="12"/>
  <c r="Y857" i="12"/>
  <c r="Z856" i="12"/>
  <c r="Z857" i="12"/>
  <c r="Y858" i="12"/>
  <c r="Z858" i="12"/>
  <c r="Y859" i="12"/>
  <c r="Z859" i="12"/>
  <c r="Y860" i="12"/>
  <c r="Z860" i="12"/>
  <c r="Y861" i="12"/>
  <c r="Z861" i="12"/>
  <c r="Y862" i="12"/>
  <c r="Y863" i="12"/>
  <c r="Z862" i="12"/>
  <c r="Z863" i="12"/>
  <c r="Y864" i="12"/>
  <c r="Z864" i="12"/>
  <c r="Y865" i="12"/>
  <c r="Z865" i="12"/>
  <c r="Y866" i="12"/>
  <c r="Z866" i="12"/>
  <c r="Y867" i="12"/>
  <c r="Y868" i="12"/>
  <c r="Z867" i="12"/>
  <c r="Y869" i="12"/>
  <c r="Z868" i="12"/>
  <c r="Z869" i="12"/>
  <c r="Y870" i="12"/>
  <c r="Y871" i="12"/>
  <c r="Z870" i="12"/>
  <c r="Y872" i="12"/>
  <c r="Z871" i="12"/>
  <c r="Y873" i="12"/>
  <c r="Z872" i="12"/>
  <c r="Y874" i="12"/>
  <c r="Z873" i="12"/>
  <c r="Y875" i="12"/>
  <c r="Z874" i="12"/>
  <c r="Z875" i="12"/>
  <c r="Y876" i="12"/>
  <c r="Y877" i="12"/>
  <c r="Z876" i="12"/>
  <c r="Y878" i="12"/>
  <c r="Z877" i="12"/>
  <c r="Y879" i="12"/>
  <c r="Z878" i="12"/>
  <c r="Y880" i="12"/>
  <c r="Z879" i="12"/>
  <c r="Y881" i="12"/>
  <c r="Z880" i="12"/>
  <c r="Z881" i="12"/>
  <c r="Y882" i="12"/>
  <c r="Y883" i="12"/>
  <c r="Z882" i="12"/>
  <c r="Y884" i="12"/>
  <c r="Z883" i="12"/>
  <c r="Y885" i="12"/>
  <c r="Z884" i="12"/>
  <c r="Z885" i="12"/>
  <c r="Y886" i="12"/>
  <c r="Z886" i="12"/>
  <c r="Y887" i="12"/>
  <c r="Z887" i="12"/>
  <c r="Y888" i="12"/>
  <c r="Z888" i="12"/>
  <c r="Y889" i="12"/>
  <c r="Z889" i="12"/>
  <c r="Y890" i="12"/>
  <c r="Y891" i="12"/>
  <c r="Z890" i="12"/>
  <c r="Y892" i="12"/>
  <c r="Z891" i="12"/>
  <c r="Z892" i="12"/>
  <c r="Y893" i="12"/>
  <c r="Y894" i="12"/>
  <c r="Z893" i="12"/>
  <c r="Y895" i="12"/>
  <c r="Z894" i="12"/>
  <c r="Y896" i="12"/>
  <c r="Z895" i="12"/>
  <c r="Y897" i="12"/>
  <c r="Z896" i="12"/>
  <c r="Z897" i="12"/>
  <c r="Y898" i="12"/>
  <c r="Y899" i="12"/>
  <c r="Z898" i="12"/>
  <c r="Y900" i="12"/>
  <c r="Z899" i="12"/>
  <c r="Z900" i="12"/>
  <c r="Y901" i="12"/>
  <c r="Y902" i="12"/>
  <c r="Z901" i="12"/>
  <c r="Y903" i="12"/>
  <c r="Z902" i="12"/>
  <c r="Z903" i="12"/>
  <c r="Y904" i="12"/>
  <c r="Z904" i="12"/>
  <c r="Y905" i="12"/>
  <c r="Z905" i="12"/>
  <c r="Y906" i="12"/>
  <c r="Y907" i="12"/>
  <c r="Z906" i="12"/>
  <c r="Y908" i="12"/>
  <c r="Z907" i="12"/>
  <c r="Y909" i="12"/>
  <c r="Z908" i="12"/>
  <c r="Y910" i="12"/>
  <c r="Z909" i="12"/>
  <c r="Z910" i="12"/>
  <c r="Y911" i="12"/>
  <c r="Y912" i="12"/>
  <c r="Z911" i="12"/>
  <c r="Z912" i="12"/>
  <c r="Y913" i="12"/>
  <c r="Y914" i="12"/>
  <c r="Z913" i="12"/>
  <c r="Z914" i="12"/>
  <c r="Y915" i="12"/>
  <c r="Y916" i="12"/>
  <c r="Z915" i="12"/>
  <c r="Z916" i="12"/>
  <c r="Y917" i="12"/>
  <c r="Z917" i="12"/>
  <c r="Y918" i="12"/>
  <c r="Z918" i="12"/>
  <c r="Y919" i="12"/>
  <c r="Z919" i="12"/>
  <c r="Y920" i="12"/>
  <c r="Y921" i="12"/>
  <c r="Z920" i="12"/>
  <c r="Z921" i="12"/>
  <c r="Y922" i="12"/>
  <c r="Z922" i="12"/>
  <c r="Y923" i="12"/>
  <c r="Z923" i="12"/>
  <c r="Y924" i="12"/>
  <c r="Z924" i="12"/>
  <c r="Y925" i="12"/>
  <c r="Y926" i="12"/>
  <c r="Z925" i="12"/>
  <c r="Z926" i="12"/>
  <c r="Y927" i="12"/>
  <c r="Y928" i="12"/>
  <c r="Z927" i="12"/>
  <c r="Y929" i="12"/>
  <c r="Z928" i="12"/>
  <c r="Y930" i="12"/>
  <c r="Z929" i="12"/>
  <c r="Z930" i="12"/>
  <c r="Y931" i="12"/>
  <c r="Y932" i="12"/>
  <c r="Z931" i="12"/>
  <c r="Y933" i="12"/>
  <c r="Z932" i="12"/>
  <c r="Y934" i="12"/>
  <c r="Z933" i="12"/>
  <c r="Y935" i="12"/>
  <c r="Z934" i="12"/>
  <c r="Z935" i="12"/>
  <c r="Y936" i="12"/>
  <c r="Y937" i="12"/>
  <c r="Z936" i="12"/>
  <c r="Y938" i="12"/>
  <c r="Z937" i="12"/>
  <c r="Z938" i="12"/>
  <c r="Y939" i="12"/>
  <c r="Z939" i="12"/>
  <c r="Y940" i="12"/>
  <c r="Z940" i="12"/>
  <c r="Y941" i="12"/>
  <c r="Z941" i="12"/>
  <c r="Y942" i="12"/>
  <c r="Z942" i="12"/>
  <c r="Y943" i="12"/>
  <c r="Z943" i="12"/>
  <c r="Y944" i="12"/>
  <c r="Y945" i="12"/>
  <c r="Z944" i="12"/>
  <c r="Z945" i="12"/>
  <c r="Y946" i="12"/>
  <c r="Y947" i="12"/>
  <c r="Z946" i="12"/>
  <c r="Z947" i="12"/>
  <c r="Y948" i="12"/>
  <c r="Z948" i="12"/>
  <c r="Y949" i="12"/>
  <c r="Z949" i="12"/>
  <c r="Y950" i="12"/>
  <c r="Z950" i="12"/>
  <c r="Y951" i="12"/>
  <c r="Y952" i="12"/>
  <c r="Z951" i="12"/>
  <c r="Y953" i="12"/>
  <c r="Z952" i="12"/>
  <c r="Y954" i="12"/>
  <c r="Z953" i="12"/>
  <c r="Y955" i="12"/>
  <c r="Z954" i="12"/>
  <c r="Z955" i="12"/>
  <c r="Y956" i="12"/>
  <c r="Y957" i="12"/>
  <c r="Z956" i="12"/>
  <c r="Y958" i="12"/>
  <c r="Z957" i="12"/>
  <c r="Z958" i="12"/>
  <c r="Y959" i="12"/>
  <c r="Z959" i="12"/>
  <c r="Y960" i="12"/>
  <c r="Z960" i="12"/>
  <c r="Y961" i="12"/>
  <c r="Y962" i="12"/>
  <c r="Z961" i="12"/>
  <c r="Y963" i="12"/>
  <c r="Z962" i="12"/>
  <c r="Y964" i="12"/>
  <c r="Z963" i="12"/>
  <c r="Y965" i="12"/>
  <c r="Z964" i="12"/>
  <c r="Z965" i="12"/>
  <c r="Y966" i="12"/>
  <c r="Z966" i="12"/>
  <c r="Y967" i="12"/>
  <c r="Z967" i="12"/>
  <c r="Y968" i="12"/>
  <c r="Z968" i="12"/>
  <c r="Y969" i="12"/>
  <c r="Z969" i="12"/>
  <c r="Y970" i="12"/>
  <c r="Z970" i="12"/>
  <c r="Y971" i="12"/>
  <c r="Z971" i="12"/>
  <c r="Y972" i="12"/>
  <c r="Z972" i="12"/>
  <c r="Y973" i="12"/>
  <c r="Y974" i="12"/>
  <c r="Z973" i="12"/>
  <c r="Z974" i="12"/>
  <c r="Y975" i="12"/>
  <c r="Y976" i="12"/>
  <c r="Z975" i="12"/>
  <c r="Y977" i="12"/>
  <c r="Z976" i="12"/>
  <c r="Z977" i="12"/>
  <c r="Y978" i="12"/>
  <c r="Y979" i="12"/>
  <c r="Z978" i="12"/>
  <c r="Y980" i="12"/>
  <c r="Z979" i="12"/>
  <c r="Y981" i="12"/>
  <c r="Z980" i="12"/>
  <c r="Z981" i="12"/>
  <c r="Y982" i="12"/>
  <c r="Z982" i="12"/>
  <c r="Y983" i="12"/>
  <c r="Z983" i="12"/>
  <c r="Y984" i="12"/>
  <c r="Z984" i="12"/>
  <c r="Y985" i="12"/>
  <c r="Z985" i="12"/>
  <c r="Y986" i="12"/>
  <c r="Z986" i="12"/>
  <c r="Y987" i="12"/>
  <c r="Y988" i="12"/>
  <c r="Z987" i="12"/>
  <c r="Y989" i="12"/>
  <c r="Z988" i="12"/>
  <c r="Y990" i="12"/>
  <c r="Z989" i="12"/>
  <c r="Z990" i="12"/>
  <c r="Y991" i="12"/>
  <c r="Z991" i="12"/>
  <c r="Y992" i="12"/>
  <c r="Z992" i="12"/>
  <c r="Y993" i="12"/>
  <c r="Z993" i="12"/>
  <c r="Y994" i="12"/>
  <c r="Y995" i="12"/>
  <c r="Z994" i="12"/>
  <c r="Z995" i="12"/>
  <c r="Y996" i="12"/>
  <c r="Y997" i="12"/>
  <c r="Z996" i="12"/>
  <c r="Z997" i="12"/>
  <c r="Y998" i="12"/>
  <c r="Y999" i="12"/>
  <c r="Z998" i="12"/>
  <c r="Y1000" i="12"/>
  <c r="Z999" i="12"/>
  <c r="Y1001" i="12"/>
  <c r="Z1000" i="12"/>
  <c r="Y1002" i="12"/>
  <c r="Z1001" i="12"/>
  <c r="Y1003" i="12"/>
  <c r="Z1002" i="12"/>
  <c r="Z1003" i="12"/>
  <c r="Y1004" i="12"/>
  <c r="Z1004" i="12"/>
  <c r="Y1005" i="12"/>
  <c r="Y1006" i="12"/>
  <c r="Z1005" i="12"/>
  <c r="Y1007" i="12"/>
  <c r="Z1006" i="12"/>
  <c r="Z1007" i="12"/>
  <c r="Y1008" i="12"/>
  <c r="Z1008" i="12"/>
  <c r="Y1009" i="12"/>
  <c r="Y1010" i="12"/>
  <c r="Z1009" i="12"/>
  <c r="Z1010" i="12"/>
  <c r="Y1011" i="12"/>
  <c r="Z1011" i="12"/>
  <c r="Y1012" i="12"/>
  <c r="Z1012" i="12"/>
  <c r="Y1013" i="12"/>
  <c r="Y1014" i="12"/>
  <c r="Z1013" i="12"/>
  <c r="Y1015" i="12"/>
  <c r="Z1014" i="12"/>
  <c r="Z1015" i="12"/>
  <c r="Y1016" i="12"/>
  <c r="Y1017" i="12"/>
  <c r="Z1016" i="12"/>
  <c r="Z1017" i="12"/>
  <c r="Y1018" i="12"/>
  <c r="Y1019" i="12"/>
  <c r="Z1018" i="12"/>
  <c r="Z1019" i="12"/>
  <c r="Y1020" i="12"/>
  <c r="Y1021" i="12"/>
  <c r="Z1020" i="12"/>
  <c r="Y1022" i="12"/>
  <c r="Z1021" i="12"/>
  <c r="Z1022" i="12"/>
  <c r="Y1023" i="12"/>
  <c r="Z1023" i="12"/>
  <c r="Y1024" i="12"/>
  <c r="Z1024" i="12"/>
  <c r="Y1025" i="12"/>
  <c r="Y1026" i="12"/>
  <c r="Z1025" i="12"/>
  <c r="Y1027" i="12"/>
  <c r="Z1026" i="12"/>
  <c r="Z1027" i="12"/>
  <c r="Y1028" i="12"/>
  <c r="Y1029" i="12"/>
  <c r="Z1028" i="12"/>
  <c r="Z1029" i="12"/>
  <c r="Y1030" i="12"/>
  <c r="Y1031" i="12"/>
  <c r="Z1030" i="12"/>
  <c r="Z1031" i="12"/>
  <c r="Y1032" i="12"/>
  <c r="Y1033" i="12"/>
  <c r="Z1032" i="12"/>
  <c r="Y1034" i="12"/>
  <c r="Z1033" i="12"/>
  <c r="Y1035" i="12"/>
  <c r="Z1034" i="12"/>
  <c r="Y1036" i="12"/>
  <c r="Z1035" i="12"/>
  <c r="Y1037" i="12"/>
  <c r="Z1036" i="12"/>
  <c r="Y1038" i="12"/>
  <c r="Z1037" i="12"/>
  <c r="Y1039" i="12"/>
  <c r="Z1038" i="12"/>
  <c r="Y1040" i="12"/>
  <c r="Z1039" i="12"/>
  <c r="Z1040" i="12"/>
  <c r="Y1041" i="12"/>
  <c r="Y1042" i="12"/>
  <c r="Z1041" i="12"/>
  <c r="Z1042" i="12"/>
  <c r="Y1043" i="12"/>
  <c r="Z1043" i="12"/>
  <c r="Y1044" i="12"/>
  <c r="Y1045" i="12"/>
  <c r="Z1044" i="12"/>
  <c r="Y1046" i="12"/>
  <c r="Z1045" i="12"/>
  <c r="Y1047" i="12"/>
  <c r="Z1046" i="12"/>
  <c r="Y1048" i="12"/>
  <c r="Z1047" i="12"/>
  <c r="Z1048" i="12"/>
  <c r="Y1049" i="12"/>
  <c r="Y1050" i="12"/>
  <c r="Z1049" i="12"/>
  <c r="Z1050" i="12"/>
  <c r="Y1051" i="12"/>
  <c r="Y1052" i="12"/>
  <c r="Z1051" i="12"/>
  <c r="Y1053" i="12"/>
  <c r="Z1052" i="12"/>
  <c r="Z1053" i="12"/>
  <c r="Y1054" i="12"/>
  <c r="Z1054" i="12"/>
  <c r="Y1055" i="12"/>
  <c r="Z1055" i="12"/>
  <c r="Y1056" i="12"/>
  <c r="Y1057" i="12"/>
  <c r="Z1056" i="12"/>
  <c r="Y1058" i="12"/>
  <c r="Z1057" i="12"/>
  <c r="Z1058" i="12"/>
  <c r="Y1059" i="12"/>
  <c r="Y1060" i="12"/>
  <c r="Z1059" i="12"/>
  <c r="Z1060" i="12"/>
  <c r="Y1061" i="12"/>
  <c r="Y1062" i="12"/>
  <c r="Z1061" i="12"/>
  <c r="Y1063" i="12"/>
  <c r="Z1062" i="12"/>
  <c r="Y1064" i="12"/>
  <c r="Z1063" i="12"/>
  <c r="Z1064" i="12"/>
  <c r="Y1065" i="12"/>
  <c r="Y1066" i="12"/>
  <c r="Z1065" i="12"/>
  <c r="Z1066" i="12"/>
  <c r="Y1067" i="12"/>
  <c r="Z1067" i="12"/>
  <c r="Y1068" i="12"/>
  <c r="Z1068" i="12"/>
  <c r="Y1069" i="12"/>
  <c r="Y1070" i="12"/>
  <c r="Z1069" i="12"/>
  <c r="Y1071" i="12"/>
  <c r="Z1070" i="12"/>
  <c r="Z1071" i="12"/>
  <c r="Y1072" i="12"/>
  <c r="Z1072" i="12"/>
  <c r="Y1073" i="12"/>
  <c r="Y1074" i="12"/>
  <c r="Z1073" i="12"/>
  <c r="Z1074" i="12"/>
  <c r="Y1075" i="12"/>
  <c r="Z1075" i="12"/>
  <c r="Y1076" i="12"/>
  <c r="Z1076" i="12"/>
  <c r="Y1077" i="12"/>
  <c r="Y1078" i="12"/>
  <c r="Z1077" i="12"/>
  <c r="Z1078" i="12"/>
  <c r="Y1079" i="12"/>
  <c r="Z1079" i="12"/>
  <c r="Y1080" i="12"/>
  <c r="Y1081" i="12"/>
  <c r="Z1080" i="12"/>
  <c r="Z1081" i="12"/>
  <c r="Y1082" i="12"/>
  <c r="Y1083" i="12"/>
  <c r="Z1082" i="12"/>
  <c r="Y1084" i="12"/>
  <c r="Z1083" i="12"/>
  <c r="Y1085" i="12"/>
  <c r="Z1084" i="12"/>
  <c r="Z1085" i="12"/>
  <c r="Y1086" i="12"/>
  <c r="Y1087" i="12"/>
  <c r="Z1086" i="12"/>
  <c r="Y1088" i="12"/>
  <c r="Z1087" i="12"/>
  <c r="Y1089" i="12"/>
  <c r="Z1088" i="12"/>
  <c r="Z1089" i="12"/>
  <c r="Y1090" i="12"/>
  <c r="Y1091" i="12"/>
  <c r="Z1090" i="12"/>
  <c r="Y1092" i="12"/>
  <c r="Z1091" i="12"/>
  <c r="Z1092" i="12"/>
  <c r="Y1093" i="12"/>
  <c r="Z1093" i="12"/>
  <c r="Y1094" i="12"/>
  <c r="Z1094" i="12"/>
  <c r="Y1095" i="12"/>
  <c r="Y1096" i="12"/>
  <c r="Z1095" i="12"/>
  <c r="Z1096" i="12"/>
  <c r="Y1097" i="12"/>
  <c r="Z1097" i="12"/>
  <c r="Y1098" i="12"/>
  <c r="Y1099" i="12"/>
  <c r="Z1098" i="12"/>
  <c r="Z1099" i="12"/>
  <c r="Y1100" i="12"/>
  <c r="Z1100" i="12"/>
  <c r="Y1101" i="12"/>
  <c r="Z1101" i="12"/>
  <c r="Y1102" i="12"/>
  <c r="Z1102" i="12"/>
  <c r="Y1103" i="12"/>
  <c r="Z1103" i="12"/>
  <c r="Y1104" i="12"/>
  <c r="Y1105" i="12"/>
  <c r="Z1104" i="12"/>
  <c r="Y1106" i="12"/>
  <c r="Z1105" i="12"/>
  <c r="Z1106" i="12"/>
  <c r="Y1107" i="12"/>
  <c r="Z1107" i="12"/>
  <c r="Y1108" i="12"/>
  <c r="Y1109" i="12"/>
  <c r="Z1108" i="12"/>
  <c r="Y1110" i="12"/>
  <c r="Z1109" i="12"/>
  <c r="Y1111" i="12"/>
  <c r="Z1110" i="12"/>
  <c r="Z1111" i="12"/>
  <c r="Y1112" i="12"/>
  <c r="Z1112" i="12"/>
  <c r="Y1113" i="12"/>
  <c r="Y1114" i="12"/>
  <c r="Z1113" i="12"/>
  <c r="Y1115" i="12"/>
  <c r="Z1114" i="12"/>
  <c r="Y1116" i="12"/>
  <c r="Z1115" i="12"/>
  <c r="Z1116" i="12"/>
  <c r="Y1117" i="12"/>
  <c r="Z1117" i="12"/>
  <c r="Y1118" i="12"/>
  <c r="Z1118" i="12"/>
  <c r="Y1119" i="12"/>
  <c r="Z1119" i="12"/>
  <c r="Y1120" i="12"/>
  <c r="Z1120" i="12"/>
  <c r="Y1121" i="12"/>
  <c r="Y1122" i="12"/>
  <c r="Z1121" i="12"/>
  <c r="Z1122" i="12"/>
  <c r="Y1123" i="12"/>
  <c r="Y1124" i="12"/>
  <c r="Z1123" i="12"/>
  <c r="Y1125" i="12"/>
  <c r="Z1124" i="12"/>
  <c r="Y1126" i="12"/>
  <c r="Z1125" i="12"/>
  <c r="Y1127" i="12"/>
  <c r="Z1126" i="12"/>
  <c r="Z1127" i="12"/>
  <c r="Y1128" i="12"/>
  <c r="Y1129" i="12"/>
  <c r="Z1128" i="12"/>
  <c r="Y1130" i="12"/>
  <c r="Z1129" i="12"/>
  <c r="Y1131" i="12"/>
  <c r="Z1130" i="12"/>
  <c r="Z1131" i="12"/>
  <c r="Y1132" i="12"/>
  <c r="Z1132" i="12"/>
  <c r="Y1133" i="12"/>
  <c r="Z1133" i="12"/>
  <c r="Y1134" i="12"/>
  <c r="Z1134" i="12"/>
  <c r="Y1135" i="12"/>
  <c r="Y1136" i="12"/>
  <c r="Z1135" i="12"/>
  <c r="Y1137" i="12"/>
  <c r="Z1136" i="12"/>
  <c r="Z1137" i="12"/>
  <c r="Y1138" i="12"/>
  <c r="Y1139" i="12"/>
  <c r="Z1138" i="12"/>
  <c r="Z1139" i="12"/>
  <c r="Y1140" i="12"/>
  <c r="Y1141" i="12"/>
  <c r="Z1140" i="12"/>
  <c r="Y1142" i="12"/>
  <c r="Z1141" i="12"/>
  <c r="Y1143" i="12"/>
  <c r="Z1142" i="12"/>
  <c r="Z1143" i="12"/>
  <c r="Y1144" i="12"/>
  <c r="Z1144" i="12"/>
  <c r="Y1145" i="12"/>
  <c r="Z1145" i="12"/>
  <c r="Y1146" i="12"/>
  <c r="Y1147" i="12"/>
  <c r="Z1146" i="12"/>
  <c r="Y1148" i="12"/>
  <c r="Z1147" i="12"/>
  <c r="Y1149" i="12"/>
  <c r="Z1148" i="12"/>
  <c r="Z1149" i="12"/>
  <c r="Y1150" i="12"/>
  <c r="Y1151" i="12"/>
  <c r="Z1150" i="12"/>
  <c r="Z1151" i="12"/>
  <c r="Y1152" i="12"/>
  <c r="Y1153" i="12"/>
  <c r="Z1152" i="12"/>
  <c r="Z1153" i="12"/>
  <c r="Y1154" i="12"/>
  <c r="Y1155" i="12"/>
  <c r="Z1154" i="12"/>
  <c r="Z1155" i="12"/>
  <c r="Y1156" i="12"/>
  <c r="Y1157" i="12"/>
  <c r="Z1156" i="12"/>
  <c r="Y1158" i="12"/>
  <c r="Z1157" i="12"/>
  <c r="Y1159" i="12"/>
  <c r="Z1158" i="12"/>
  <c r="Y1160" i="12"/>
  <c r="Z1159" i="12"/>
  <c r="Y1161" i="12"/>
  <c r="Z1160" i="12"/>
  <c r="Y1162" i="12"/>
  <c r="Z1161" i="12"/>
  <c r="Z1162" i="12"/>
  <c r="Y1163" i="12"/>
  <c r="Z1163" i="12"/>
  <c r="Y1164" i="12"/>
  <c r="Z1164" i="12"/>
  <c r="Y1165" i="12"/>
  <c r="Z1165" i="12"/>
  <c r="Y1166" i="12"/>
  <c r="Z1166" i="12"/>
  <c r="Y1167" i="12"/>
  <c r="Y1168" i="12"/>
  <c r="Z1167" i="12"/>
  <c r="Y1169" i="12"/>
  <c r="Z1168" i="12"/>
  <c r="Z1169" i="12"/>
  <c r="Y1170" i="12"/>
  <c r="Y1171" i="12"/>
  <c r="Z1170" i="12"/>
  <c r="Z1171" i="12"/>
  <c r="Y1172" i="12"/>
  <c r="Z1172" i="12"/>
  <c r="Y1173" i="12"/>
  <c r="Y1174" i="12"/>
  <c r="Z1173" i="12"/>
  <c r="Z1174" i="12"/>
  <c r="Y1175" i="12"/>
  <c r="Y1176" i="12"/>
  <c r="Z1175" i="12"/>
  <c r="Y1177" i="12"/>
  <c r="Z1176" i="12"/>
  <c r="Z1177" i="12"/>
  <c r="Y1178" i="12"/>
  <c r="Y1179" i="12"/>
  <c r="Z1178" i="12"/>
  <c r="Z1179" i="12"/>
  <c r="Y1180" i="12"/>
  <c r="Y1181" i="12"/>
  <c r="Z1180" i="12"/>
  <c r="Y1182" i="12"/>
  <c r="Z1181" i="12"/>
  <c r="Z1182" i="12"/>
  <c r="Y1183" i="12"/>
  <c r="Z1183" i="12"/>
  <c r="Y1184" i="12"/>
  <c r="Z1184" i="12"/>
  <c r="Y1185" i="12"/>
  <c r="Z1185" i="12"/>
  <c r="Y1186" i="12"/>
  <c r="Y1187" i="12"/>
  <c r="Z1186" i="12"/>
  <c r="Z1187" i="12"/>
  <c r="Y1188" i="12"/>
  <c r="Z1188" i="12"/>
  <c r="Y1189" i="12"/>
  <c r="Y1190" i="12"/>
  <c r="Z1189" i="12"/>
  <c r="Y1191" i="12"/>
  <c r="Z1190" i="12"/>
  <c r="Y1192" i="12"/>
  <c r="Z1191" i="12"/>
  <c r="Y1193" i="12"/>
  <c r="Z1192" i="12"/>
  <c r="Y1194" i="12"/>
  <c r="Z1193" i="12"/>
  <c r="Z1194" i="12"/>
  <c r="Y1195" i="12"/>
  <c r="Y1196" i="12"/>
  <c r="Z1195" i="12"/>
  <c r="Z1196" i="12"/>
  <c r="Y1197" i="12"/>
  <c r="Y1198" i="12"/>
  <c r="Z1197" i="12"/>
  <c r="Z1198" i="12"/>
  <c r="Y1199" i="12"/>
  <c r="Y1200" i="12"/>
  <c r="Z1199" i="12"/>
  <c r="Z1200" i="12"/>
  <c r="Y1201" i="12"/>
  <c r="Y1202" i="12"/>
  <c r="Z1201" i="12"/>
  <c r="Y1203" i="12"/>
  <c r="Z1202" i="12"/>
  <c r="Y1204" i="12"/>
  <c r="Z1203" i="12"/>
  <c r="Z1204" i="12"/>
  <c r="Y1205" i="12"/>
  <c r="Z1205" i="12"/>
  <c r="Y1206" i="12"/>
  <c r="Y1207" i="12"/>
  <c r="Z1206" i="12"/>
  <c r="Z1207" i="12"/>
  <c r="Y1208" i="12"/>
  <c r="Z1208" i="12"/>
  <c r="Y1209" i="12"/>
  <c r="Y1210" i="12"/>
  <c r="Z1209" i="12"/>
  <c r="Z1210" i="12"/>
  <c r="Y1211" i="12"/>
  <c r="Z1211" i="12"/>
  <c r="Y1212" i="12"/>
  <c r="Y1213" i="12"/>
  <c r="Z1212" i="12"/>
  <c r="Y1214" i="12"/>
  <c r="Z1213" i="12"/>
  <c r="Y1215" i="12"/>
  <c r="Z1214" i="12"/>
  <c r="Z1215" i="12"/>
  <c r="Y1216" i="12"/>
  <c r="Z1216" i="12"/>
  <c r="Y1217" i="12"/>
  <c r="Z1217" i="12"/>
  <c r="Y1218" i="12"/>
  <c r="Y1219" i="12"/>
  <c r="Z1218" i="12"/>
  <c r="Y1220" i="12"/>
  <c r="Z1219" i="12"/>
  <c r="Y1221" i="12"/>
  <c r="Z1220" i="12"/>
  <c r="Z1221" i="12"/>
  <c r="Y1222" i="12"/>
  <c r="Z1222" i="12"/>
  <c r="Y1223" i="12"/>
  <c r="Y1224" i="12"/>
  <c r="Z1223" i="12"/>
  <c r="Y1225" i="12"/>
  <c r="Z1224" i="12"/>
  <c r="Y1226" i="12"/>
  <c r="Z1225" i="12"/>
  <c r="Y1227" i="12"/>
  <c r="Z1226" i="12"/>
  <c r="Z1227" i="12"/>
  <c r="Y1228" i="12"/>
  <c r="Y1229" i="12"/>
  <c r="Z1228" i="12"/>
  <c r="Y1230" i="12"/>
  <c r="Z1229" i="12"/>
  <c r="Y1231" i="12"/>
  <c r="Z1230" i="12"/>
  <c r="Z1231" i="12"/>
  <c r="Y1232" i="12"/>
  <c r="Y1233" i="12"/>
  <c r="Z1232" i="12"/>
  <c r="Z1233" i="12"/>
  <c r="Y1234" i="12"/>
  <c r="Y1235" i="12"/>
  <c r="Z1234" i="12"/>
  <c r="Z1235" i="12"/>
  <c r="Y1236" i="12"/>
  <c r="Z1236" i="12"/>
  <c r="Y1237" i="12"/>
  <c r="Z1237" i="12"/>
  <c r="Y1238" i="12"/>
  <c r="Y1239" i="12"/>
  <c r="Z1238" i="12"/>
  <c r="Y1240" i="12"/>
  <c r="Z1239" i="12"/>
  <c r="Y1241" i="12"/>
  <c r="Z1240" i="12"/>
  <c r="Y1242" i="12"/>
  <c r="Z1241" i="12"/>
  <c r="Z1242" i="12"/>
  <c r="Y1243" i="12"/>
  <c r="Y1244" i="12"/>
  <c r="Z1243" i="12"/>
  <c r="Y1245" i="12"/>
  <c r="Z1244" i="12"/>
  <c r="Z1245" i="12"/>
  <c r="Y1246" i="12"/>
  <c r="Z1246" i="12"/>
  <c r="Y1247" i="12"/>
  <c r="Z1247" i="12"/>
  <c r="Y1248" i="12"/>
  <c r="Y1249" i="12"/>
  <c r="Z1248" i="12"/>
  <c r="Y1250" i="12"/>
  <c r="Z1249" i="12"/>
  <c r="Y1251" i="12"/>
  <c r="Z1250" i="12"/>
  <c r="Z1251" i="12"/>
  <c r="Y1252" i="12"/>
  <c r="Y1253" i="12"/>
  <c r="Z1252" i="12"/>
  <c r="Y1254" i="12"/>
  <c r="Z1253" i="12"/>
  <c r="Z1254" i="12"/>
  <c r="Y1255" i="12"/>
  <c r="Z1255" i="12"/>
  <c r="Y1256" i="12"/>
  <c r="Y1257" i="12"/>
  <c r="Z1256" i="12"/>
  <c r="Z1257" i="12"/>
  <c r="Y1258" i="12"/>
  <c r="Z1258" i="12"/>
  <c r="Y1259" i="12"/>
  <c r="Y1260" i="12"/>
  <c r="Z1259" i="12"/>
  <c r="Y1261" i="12"/>
  <c r="Z1260" i="12"/>
  <c r="Y1262" i="12"/>
  <c r="Z1261" i="12"/>
  <c r="Y1263" i="12"/>
  <c r="Z1262" i="12"/>
  <c r="Z1263" i="12"/>
  <c r="Y1264" i="12"/>
  <c r="Z1264" i="12"/>
  <c r="Y1265" i="12"/>
  <c r="Y1266" i="12"/>
  <c r="Z1265" i="12"/>
  <c r="Y1267" i="12"/>
  <c r="Z1266" i="12"/>
  <c r="Z1267" i="12"/>
  <c r="Y1268" i="12"/>
  <c r="Y1269" i="12"/>
  <c r="Z1268" i="12"/>
  <c r="Z1269" i="12"/>
  <c r="Y1270" i="12"/>
  <c r="Z1270" i="12"/>
  <c r="Y1271" i="12"/>
  <c r="Y1272" i="12"/>
  <c r="Z1271" i="12"/>
  <c r="Y1273" i="12"/>
  <c r="Z1272" i="12"/>
  <c r="Z1273" i="12"/>
  <c r="Y1274" i="12"/>
  <c r="Y1275" i="12"/>
  <c r="Z1274" i="12"/>
  <c r="Y1276" i="12"/>
  <c r="Z1275" i="12"/>
  <c r="Y1277" i="12"/>
  <c r="Z1276" i="12"/>
  <c r="Z1277" i="12"/>
  <c r="Y1278" i="12"/>
  <c r="Y1279" i="12"/>
  <c r="Z1278" i="12"/>
  <c r="Y1280" i="12"/>
  <c r="Z1279" i="12"/>
  <c r="Y1281" i="12"/>
  <c r="Z1280" i="12"/>
  <c r="Z1281" i="12"/>
  <c r="Y1282" i="12"/>
  <c r="Y1283" i="12"/>
  <c r="Z1282" i="12"/>
  <c r="Y1284" i="12"/>
  <c r="Z1283" i="12"/>
  <c r="Y1285" i="12"/>
  <c r="Z1284" i="12"/>
  <c r="Y1286" i="12"/>
  <c r="Z1285" i="12"/>
  <c r="Z1286" i="12"/>
  <c r="Y1287" i="12"/>
  <c r="Y1288" i="12"/>
  <c r="Z1287" i="12"/>
  <c r="Z1288" i="12"/>
  <c r="Y1289" i="12"/>
  <c r="Y1290" i="12"/>
  <c r="Z1289" i="12"/>
  <c r="Y1291" i="12"/>
  <c r="Z1290" i="12"/>
  <c r="Z1291" i="12"/>
  <c r="Y1292" i="12"/>
  <c r="Z1292" i="12"/>
  <c r="Y1293" i="12"/>
  <c r="Z1293" i="12"/>
  <c r="Y1294" i="12"/>
  <c r="Z1294" i="12"/>
  <c r="Y1295" i="12"/>
  <c r="Y1296" i="12"/>
  <c r="Z1295" i="12"/>
  <c r="Y1297" i="12"/>
  <c r="Z1296" i="12"/>
  <c r="Z1297" i="12"/>
  <c r="Y1298" i="12"/>
  <c r="Y1299" i="12"/>
  <c r="Z1298" i="12"/>
  <c r="Y1300" i="12"/>
  <c r="Z1299" i="12"/>
  <c r="Z1300" i="12"/>
  <c r="Y1301" i="12"/>
  <c r="Z1301" i="12"/>
  <c r="Y1302" i="12"/>
  <c r="Z1302" i="12"/>
  <c r="Y1303" i="12"/>
  <c r="Y1304" i="12"/>
  <c r="Z1303" i="12"/>
  <c r="Z1304" i="12"/>
  <c r="Y1305" i="12"/>
  <c r="Y1306" i="12"/>
  <c r="Z1305" i="12"/>
  <c r="Y1307" i="12"/>
  <c r="Z1306" i="12"/>
  <c r="Y1308" i="12"/>
  <c r="Z1307" i="12"/>
  <c r="Y1309" i="12"/>
  <c r="Z1308" i="12"/>
  <c r="Y1310" i="12"/>
  <c r="Z1309" i="12"/>
  <c r="Y1311" i="12"/>
  <c r="Z1310" i="12"/>
  <c r="Y1312" i="12"/>
  <c r="Z1311" i="12"/>
  <c r="Z1312" i="12"/>
  <c r="Y1313" i="12"/>
  <c r="Y1314" i="12"/>
  <c r="Z1313" i="12"/>
  <c r="Z1314" i="12"/>
  <c r="Y1315" i="12"/>
  <c r="Y1316" i="12"/>
  <c r="Z1315" i="12"/>
  <c r="Y1317" i="12"/>
  <c r="Z1316" i="12"/>
  <c r="Y1318" i="12"/>
  <c r="Z1317" i="12"/>
  <c r="Z1318" i="12"/>
  <c r="Y1319" i="12"/>
  <c r="Z1319" i="12"/>
  <c r="Y1320" i="12"/>
  <c r="Z1320" i="12"/>
  <c r="Y1321" i="12"/>
  <c r="Y1322" i="12"/>
  <c r="Z1321" i="12"/>
  <c r="Y1323" i="12"/>
  <c r="Z1322" i="12"/>
  <c r="Z1323" i="12"/>
  <c r="Y1324" i="12"/>
  <c r="Z1324" i="12"/>
  <c r="Y1325" i="12"/>
  <c r="Z1325" i="12"/>
  <c r="Y1326" i="12"/>
  <c r="Z1326" i="12"/>
  <c r="Y1327" i="12"/>
  <c r="Y1328" i="12"/>
  <c r="Z1327" i="12"/>
  <c r="Y1329" i="12"/>
  <c r="Z1328" i="12"/>
  <c r="Z1329" i="12"/>
  <c r="Y1330" i="12"/>
  <c r="Z1330" i="12"/>
  <c r="Y1331" i="12"/>
  <c r="Y1332" i="12"/>
  <c r="Z1331" i="12"/>
  <c r="Y1333" i="12"/>
  <c r="Z1332" i="12"/>
  <c r="Z1333" i="12"/>
  <c r="Y1334" i="12"/>
  <c r="Y1335" i="12"/>
  <c r="Z1334" i="12"/>
  <c r="Z1335" i="12"/>
  <c r="Y1336" i="12"/>
  <c r="Z1336" i="12"/>
  <c r="Y1337" i="12"/>
  <c r="Z1337" i="12"/>
  <c r="Y1338" i="12"/>
  <c r="Z1338" i="12"/>
  <c r="Y1339" i="12"/>
  <c r="Z1339" i="12"/>
  <c r="Y1340" i="12"/>
  <c r="Y1341" i="12"/>
  <c r="Z1340" i="12"/>
  <c r="Z1341" i="12"/>
  <c r="Y1342" i="12"/>
  <c r="Z1342" i="12"/>
  <c r="Y1343" i="12"/>
  <c r="Z1343" i="12"/>
  <c r="Y1344" i="12"/>
  <c r="Z1344" i="12"/>
  <c r="Y1345" i="12"/>
  <c r="Z1345" i="12"/>
  <c r="Y1346" i="12"/>
  <c r="Y1347" i="12"/>
  <c r="Z1346" i="12"/>
  <c r="Z1347" i="12"/>
  <c r="Y1348" i="12"/>
  <c r="Z1348" i="12"/>
  <c r="Y1349" i="12"/>
  <c r="Y1350" i="12"/>
  <c r="Z1349" i="12"/>
  <c r="Y1351" i="12"/>
  <c r="Z1350" i="12"/>
  <c r="Y1352" i="12"/>
  <c r="Z1351" i="12"/>
  <c r="Y1353" i="12"/>
  <c r="Z1352" i="12"/>
  <c r="Z1353" i="12"/>
  <c r="Y1354" i="12"/>
  <c r="Y1355" i="12"/>
  <c r="Z1354" i="12"/>
  <c r="Y1356" i="12"/>
  <c r="Z1355" i="12"/>
  <c r="Y1357" i="12"/>
  <c r="Z1356" i="12"/>
  <c r="Y1358" i="12"/>
  <c r="Z1357" i="12"/>
  <c r="Z1358" i="12"/>
  <c r="Y1359" i="12"/>
  <c r="Z1359" i="12"/>
  <c r="Y1360" i="12"/>
  <c r="Z1360" i="12"/>
  <c r="Y1361" i="12"/>
  <c r="Z1361" i="12"/>
  <c r="Y1362" i="12"/>
  <c r="Y1363" i="12"/>
  <c r="Z1362" i="12"/>
  <c r="Z1363" i="12"/>
  <c r="Y1364" i="12"/>
  <c r="Z1364" i="12"/>
  <c r="Y1365" i="12"/>
  <c r="Z1365" i="12"/>
  <c r="Y1366" i="12"/>
  <c r="Y1367" i="12"/>
  <c r="Z1366" i="12"/>
  <c r="Z1367" i="12"/>
  <c r="Y1368" i="12"/>
  <c r="Z1368" i="12"/>
  <c r="Y1369" i="12"/>
  <c r="Z1369" i="12"/>
  <c r="Y1370" i="12"/>
  <c r="Z1370" i="12"/>
  <c r="Y1371" i="12"/>
  <c r="Z1371" i="12"/>
  <c r="Y1372" i="12"/>
  <c r="Y1373" i="12"/>
  <c r="Z1372" i="12"/>
  <c r="Z1373" i="12"/>
  <c r="Y1374" i="12"/>
  <c r="Z1374" i="12"/>
  <c r="Y1375" i="12"/>
  <c r="Z1375" i="12"/>
  <c r="Y1376" i="12"/>
  <c r="Y1377" i="12"/>
  <c r="Z1376" i="12"/>
  <c r="Y1378" i="12"/>
  <c r="Z1377" i="12"/>
  <c r="Y1379" i="12"/>
  <c r="Z1378" i="12"/>
  <c r="Y1380" i="12"/>
  <c r="Z1379" i="12"/>
  <c r="Z1380" i="12"/>
  <c r="Y1381" i="12"/>
  <c r="Z1381" i="12"/>
  <c r="Y1382" i="12"/>
  <c r="Z1382" i="12"/>
  <c r="Y1383" i="12"/>
  <c r="Z1383" i="12"/>
  <c r="Y1384" i="12"/>
  <c r="Z1384" i="12"/>
  <c r="Y1385" i="12"/>
  <c r="Y1386" i="12"/>
  <c r="Z1385" i="12"/>
  <c r="Y1387" i="12"/>
  <c r="Z1386" i="12"/>
  <c r="Z1387" i="12"/>
  <c r="Y1388" i="12"/>
  <c r="Y1389" i="12"/>
  <c r="Z1388" i="12"/>
  <c r="Y1390" i="12"/>
  <c r="Z1389" i="12"/>
  <c r="Y1391" i="12"/>
  <c r="Z1390" i="12"/>
  <c r="Z1391" i="12"/>
  <c r="Y1392" i="12"/>
  <c r="Y1393" i="12"/>
  <c r="Z1392" i="12"/>
  <c r="Z1393" i="12"/>
  <c r="Y1394" i="12"/>
  <c r="Y1395" i="12"/>
  <c r="Z1394" i="12"/>
  <c r="Y1396" i="12"/>
  <c r="Z1395" i="12"/>
  <c r="Z1396" i="12"/>
  <c r="Y1397" i="12"/>
  <c r="Y1398" i="12"/>
  <c r="Z1397" i="12"/>
  <c r="Y1399" i="12"/>
  <c r="Z1398" i="12"/>
  <c r="Z1399" i="12"/>
  <c r="Y1400" i="12"/>
  <c r="Z1400" i="12"/>
  <c r="Y1401" i="12"/>
  <c r="Z1401" i="12"/>
  <c r="Y1402" i="12"/>
  <c r="Z1402" i="12"/>
  <c r="Y1403" i="12"/>
  <c r="Y1404" i="12"/>
  <c r="Z1403" i="12"/>
  <c r="Z1404" i="12"/>
  <c r="Y1405" i="12"/>
  <c r="Z1405" i="12"/>
  <c r="Y1406" i="12"/>
  <c r="Z1406" i="12"/>
  <c r="Y1407" i="12"/>
  <c r="Z1407" i="12"/>
  <c r="Y1408" i="12"/>
  <c r="Y1409" i="12"/>
  <c r="Z1408" i="12"/>
  <c r="Y1410" i="12"/>
  <c r="Z1409" i="12"/>
  <c r="Z1410" i="12"/>
  <c r="Y1411" i="12"/>
  <c r="Z1411" i="12"/>
  <c r="Y1412" i="12"/>
  <c r="Y1413" i="12"/>
  <c r="Z1412" i="12"/>
  <c r="Y1414" i="12"/>
  <c r="Z1413" i="12"/>
  <c r="Y1415" i="12"/>
  <c r="Z1414" i="12"/>
  <c r="Y1416" i="12"/>
  <c r="Z1415" i="12"/>
  <c r="Z1416" i="12"/>
  <c r="Y1417" i="12"/>
  <c r="Y1418" i="12"/>
  <c r="Z1417" i="12"/>
  <c r="Z1418" i="12"/>
  <c r="Y1419" i="12"/>
  <c r="Y1420" i="12"/>
  <c r="Z1419" i="12"/>
  <c r="Z1420" i="12"/>
  <c r="Y1421" i="12"/>
  <c r="Y1422" i="12"/>
  <c r="Z1421" i="12"/>
  <c r="Y1423" i="12"/>
  <c r="Z1422" i="12"/>
  <c r="Z1423" i="12"/>
  <c r="Y1424" i="12"/>
  <c r="Z1424" i="12"/>
  <c r="Y1425" i="12"/>
  <c r="Y1426" i="12"/>
  <c r="Z1425" i="12"/>
  <c r="Y1427" i="12"/>
  <c r="Z1426" i="12"/>
  <c r="Y1428" i="12"/>
  <c r="Z1427" i="12"/>
  <c r="Z1428" i="12"/>
  <c r="Y1429" i="12"/>
  <c r="Z1429" i="12"/>
  <c r="Y1430" i="12"/>
  <c r="Y1431" i="12"/>
  <c r="Z1430" i="12"/>
  <c r="Z1431" i="12"/>
  <c r="Y1432" i="12"/>
  <c r="Y1433" i="12"/>
  <c r="Z1432" i="12"/>
  <c r="Y1434" i="12"/>
  <c r="Z1433" i="12"/>
  <c r="Y1435" i="12"/>
  <c r="Z1434" i="12"/>
  <c r="Y1436" i="12"/>
  <c r="Z1435" i="12"/>
  <c r="Y1437" i="12"/>
  <c r="Z1436" i="12"/>
  <c r="Z1437" i="12"/>
  <c r="Y1438" i="12"/>
  <c r="Z1438" i="12"/>
  <c r="Y1439" i="12"/>
  <c r="Y1440" i="12"/>
  <c r="Z1439" i="12"/>
  <c r="Y1441" i="12"/>
  <c r="Z1440" i="12"/>
  <c r="Z1441" i="12"/>
  <c r="Y1442" i="12"/>
  <c r="Z1442" i="12"/>
  <c r="Y1443" i="12"/>
  <c r="Y1444" i="12"/>
  <c r="Z1443" i="12"/>
  <c r="Z1444" i="12"/>
  <c r="Y1445" i="12"/>
  <c r="Z1445" i="12"/>
  <c r="Y1446" i="12"/>
  <c r="Z1446" i="12"/>
  <c r="Y1447" i="12"/>
  <c r="Y1448" i="12"/>
  <c r="Z1447" i="12"/>
  <c r="Y1449" i="12"/>
  <c r="Z1448" i="12"/>
  <c r="Y1450" i="12"/>
  <c r="Z1449" i="12"/>
  <c r="Y1451" i="12"/>
  <c r="Z1450" i="12"/>
  <c r="Y1452" i="12"/>
  <c r="Z1451" i="12"/>
  <c r="Z1452" i="12"/>
  <c r="Y1453" i="12"/>
  <c r="Y1454" i="12"/>
  <c r="Z1453" i="12"/>
  <c r="Y1455" i="12"/>
  <c r="Z1454" i="12"/>
  <c r="Z1455" i="12"/>
  <c r="Y1456" i="12"/>
  <c r="Z1456" i="12"/>
  <c r="Y1457" i="12"/>
  <c r="Y1458" i="12"/>
  <c r="Z1457" i="12"/>
  <c r="Y1459" i="12"/>
  <c r="Z1458" i="12"/>
  <c r="Z1459" i="12"/>
  <c r="Y1460" i="12"/>
  <c r="Y1461" i="12"/>
  <c r="Z1460" i="12"/>
  <c r="Z1461" i="12"/>
  <c r="Y1462" i="12"/>
  <c r="Z1462" i="12"/>
  <c r="Y1463" i="12"/>
  <c r="Z1463" i="12"/>
  <c r="Y1464" i="12"/>
  <c r="Z1464" i="12"/>
  <c r="Y1465" i="12"/>
  <c r="Y1466" i="12"/>
  <c r="Z1465" i="12"/>
  <c r="Y1467" i="12"/>
  <c r="Z1466" i="12"/>
  <c r="Y1468" i="12"/>
  <c r="Z1467" i="12"/>
  <c r="Y1469" i="12"/>
  <c r="Z1468" i="12"/>
  <c r="Z1469" i="12"/>
  <c r="Y1470" i="12"/>
  <c r="Z1470" i="12"/>
  <c r="Y1471" i="12"/>
  <c r="Y1472" i="12"/>
  <c r="Z1471" i="12"/>
  <c r="Z1472" i="12"/>
  <c r="Y1473" i="12"/>
  <c r="Z1473" i="12"/>
  <c r="Y1474" i="12"/>
  <c r="Z1474" i="12"/>
  <c r="Y1475" i="12"/>
  <c r="Z1475" i="12"/>
  <c r="Y1476" i="12"/>
  <c r="Z1476" i="12"/>
  <c r="Y1477" i="12"/>
  <c r="Z1477" i="12"/>
  <c r="Y1478" i="12"/>
  <c r="Y1479" i="12"/>
  <c r="Z1478" i="12"/>
  <c r="Z1479" i="12"/>
  <c r="Y1480" i="12"/>
  <c r="Z1480" i="12"/>
  <c r="Y1481" i="12"/>
  <c r="Y1482" i="12"/>
  <c r="Z1481" i="12"/>
  <c r="Z1482" i="12"/>
  <c r="Y1483" i="12"/>
  <c r="Z1483" i="12"/>
  <c r="Y1484" i="12"/>
  <c r="Y1485" i="12"/>
  <c r="Z1484" i="12"/>
  <c r="Z1485" i="12"/>
  <c r="Y1486" i="12"/>
  <c r="Y1487" i="12"/>
  <c r="Z1486" i="12"/>
  <c r="Z1487" i="12"/>
  <c r="Y1488" i="12"/>
  <c r="Z1488" i="12"/>
  <c r="Y1489" i="12"/>
  <c r="Z1489" i="12"/>
  <c r="Y1490" i="12"/>
  <c r="Y1491" i="12"/>
  <c r="Z1490" i="12"/>
  <c r="Y1492" i="12"/>
  <c r="Z1491" i="12"/>
  <c r="Z1492" i="12"/>
  <c r="Y1493" i="12"/>
  <c r="Z1493" i="12"/>
  <c r="Y1494" i="12"/>
  <c r="Z1494" i="12"/>
  <c r="Y1495" i="12"/>
  <c r="Y1496" i="12"/>
  <c r="Z1495" i="12"/>
  <c r="Y1497" i="12"/>
  <c r="Z1496" i="12"/>
  <c r="Z1497" i="12"/>
  <c r="Y1498" i="12"/>
  <c r="Z1498" i="12"/>
  <c r="Y1499" i="12"/>
  <c r="Z1499" i="12"/>
  <c r="Y1500" i="12"/>
  <c r="Z1500" i="12"/>
  <c r="Y1501" i="12"/>
  <c r="Z1501" i="12"/>
  <c r="Y1502" i="12"/>
  <c r="Y1503" i="12"/>
  <c r="Z1502" i="12"/>
  <c r="Y1504" i="12"/>
  <c r="Z1503" i="12"/>
  <c r="Y1505" i="12"/>
  <c r="Z1504" i="12"/>
  <c r="Z1505" i="12"/>
  <c r="Y1506" i="12"/>
  <c r="Z1506" i="12"/>
  <c r="Y1507" i="12"/>
  <c r="Y1508" i="12"/>
  <c r="Z1507" i="12"/>
  <c r="Z1508" i="12"/>
  <c r="Y1509" i="12"/>
  <c r="Y1510" i="12"/>
  <c r="Z1509" i="12"/>
  <c r="Z1510" i="12"/>
  <c r="Y1511" i="12"/>
  <c r="Y1512" i="12"/>
  <c r="Z1511" i="12"/>
  <c r="Y1513" i="12"/>
  <c r="Z1512" i="12"/>
  <c r="Z1513" i="12"/>
  <c r="Y1514" i="12"/>
  <c r="Y1515" i="12"/>
  <c r="Z1514" i="12"/>
  <c r="Y1516" i="12"/>
  <c r="Z1515" i="12"/>
  <c r="Y1517" i="12"/>
  <c r="Z1516" i="12"/>
  <c r="Z1517" i="12"/>
  <c r="Y1518" i="12"/>
  <c r="Z1518" i="12"/>
  <c r="Y1519" i="12"/>
  <c r="Y1520" i="12"/>
  <c r="Z1519" i="12"/>
  <c r="Z1520" i="12"/>
  <c r="Y1521" i="12"/>
  <c r="Z1521" i="12"/>
  <c r="Y1522" i="12"/>
  <c r="Y1523" i="12"/>
  <c r="Z1522" i="12"/>
  <c r="Y1524" i="12"/>
  <c r="Z1523" i="12"/>
  <c r="Z1524" i="12"/>
  <c r="Y1525" i="12"/>
  <c r="Z1525" i="12"/>
  <c r="Y1526" i="12"/>
  <c r="Z1526" i="12"/>
  <c r="Y1527" i="12"/>
  <c r="Z1527" i="12"/>
  <c r="Y1528" i="12"/>
  <c r="Z1528" i="12"/>
  <c r="Y1529" i="12"/>
  <c r="Y1530" i="12"/>
  <c r="Z1529" i="12"/>
  <c r="Y1531" i="12"/>
  <c r="Z1530" i="12"/>
  <c r="Y1532" i="12"/>
  <c r="Z1531" i="12"/>
  <c r="Z1532" i="12"/>
  <c r="Y1533" i="12"/>
  <c r="Z1533" i="12"/>
  <c r="Y1534" i="12"/>
  <c r="Z1534" i="12"/>
  <c r="Y1535" i="12"/>
  <c r="Z1535" i="12"/>
  <c r="Y1536" i="12"/>
  <c r="Z1536" i="12"/>
  <c r="Y1537" i="12"/>
  <c r="Z1537" i="12"/>
  <c r="Y1538" i="12"/>
  <c r="Y1539" i="12"/>
  <c r="Z1538" i="12"/>
  <c r="Y1540" i="12"/>
  <c r="Z1539" i="12"/>
  <c r="Y1541" i="12"/>
  <c r="Z1540" i="12"/>
  <c r="Z1541" i="12"/>
  <c r="Y1542" i="12"/>
  <c r="Z1542" i="12"/>
  <c r="Y1543" i="12"/>
  <c r="Z1543" i="12"/>
  <c r="Y1544" i="12"/>
  <c r="Y1545" i="12"/>
  <c r="Z1544" i="12"/>
  <c r="Y1546" i="12"/>
  <c r="Z1545" i="12"/>
  <c r="Y1547" i="12"/>
  <c r="Z1546" i="12"/>
  <c r="Y1548" i="12"/>
  <c r="Z1547" i="12"/>
  <c r="Z1548" i="12"/>
  <c r="Y1549" i="12"/>
  <c r="Z1549" i="12"/>
  <c r="Y1550" i="12"/>
  <c r="Z1550" i="12"/>
  <c r="Y1551" i="12"/>
  <c r="Z1551" i="12"/>
  <c r="Y1552" i="12"/>
  <c r="Y1553" i="12"/>
  <c r="Z1552" i="12"/>
  <c r="Y1554" i="12"/>
  <c r="Z1553" i="12"/>
  <c r="Y1555" i="12"/>
  <c r="Z1554" i="12"/>
  <c r="Z1555" i="12"/>
  <c r="Y1556" i="12"/>
  <c r="Z1556" i="12"/>
  <c r="Y1557" i="12"/>
  <c r="Z1557" i="12"/>
  <c r="Y1558" i="12"/>
  <c r="Z1558" i="12"/>
  <c r="Y1559" i="12"/>
  <c r="Z1559" i="12"/>
  <c r="Y1560" i="12"/>
  <c r="Z1560" i="12"/>
  <c r="Y1561" i="12"/>
  <c r="Z1561" i="12"/>
  <c r="Y1562" i="12"/>
  <c r="Y1563" i="12"/>
  <c r="Z1562" i="12"/>
  <c r="Z1563" i="12"/>
  <c r="Y1564" i="12"/>
  <c r="Y1565" i="12"/>
  <c r="Z1564" i="12"/>
  <c r="Z1565" i="12"/>
  <c r="Y1566" i="12"/>
  <c r="Z1566" i="12"/>
  <c r="Y1567" i="12"/>
  <c r="Z1567" i="12"/>
  <c r="Y1568" i="12"/>
  <c r="Z1568" i="12"/>
  <c r="Y1569" i="12"/>
  <c r="Z1569" i="12"/>
  <c r="Y1570" i="12"/>
  <c r="Y1571" i="12"/>
  <c r="Z1570" i="12"/>
  <c r="Z1571" i="12"/>
  <c r="Y1572" i="12"/>
  <c r="Y1573" i="12"/>
  <c r="Z1572" i="12"/>
  <c r="Z1573" i="12"/>
  <c r="Y1574" i="12"/>
  <c r="Y1575" i="12"/>
  <c r="Z1574" i="12"/>
  <c r="Z1575" i="12"/>
  <c r="Y1576" i="12"/>
  <c r="Y1577" i="12"/>
  <c r="Z1576" i="12"/>
  <c r="Y1578" i="12"/>
  <c r="Z1577" i="12"/>
  <c r="Y1579" i="12"/>
  <c r="Z1578" i="12"/>
  <c r="Y1580" i="12"/>
  <c r="Z1579" i="12"/>
  <c r="Y1581" i="12"/>
  <c r="Z1580" i="12"/>
  <c r="Z1581" i="12"/>
  <c r="Y1582" i="12"/>
  <c r="Z1582" i="12"/>
  <c r="Y1583" i="12"/>
  <c r="Y1584" i="12"/>
  <c r="Z1583" i="12"/>
  <c r="Z1584" i="12"/>
  <c r="Y1585" i="12"/>
  <c r="Z1585" i="12"/>
  <c r="Y1586" i="12"/>
  <c r="Z1586" i="12"/>
  <c r="Y1587" i="12"/>
  <c r="Z1587" i="12"/>
  <c r="Y1588" i="12"/>
  <c r="Z1588" i="12"/>
  <c r="Y1589" i="12"/>
  <c r="Z1589" i="12"/>
  <c r="Y1590" i="12"/>
  <c r="Z1590" i="12"/>
  <c r="Y1591" i="12"/>
  <c r="Y1592" i="12"/>
  <c r="Z1591" i="12"/>
  <c r="Z1592" i="12"/>
  <c r="Y1593" i="12"/>
  <c r="Y1594" i="12"/>
  <c r="Z1593" i="12"/>
  <c r="Y1595" i="12"/>
  <c r="Z1594" i="12"/>
  <c r="Y1596" i="12"/>
  <c r="Z1595" i="12"/>
  <c r="Y1597" i="12"/>
  <c r="Z1596" i="12"/>
  <c r="Z1597" i="12"/>
  <c r="Y1598" i="12"/>
  <c r="Z1598" i="12"/>
  <c r="Y1599" i="12"/>
  <c r="Z1599" i="12"/>
  <c r="Y1600" i="12"/>
  <c r="Z1600" i="12"/>
  <c r="Y1601" i="12"/>
  <c r="Y1602" i="12"/>
  <c r="Z1601" i="12"/>
  <c r="Z1602" i="12"/>
  <c r="Y1603" i="12"/>
  <c r="Y1604" i="12"/>
  <c r="Z1603" i="12"/>
  <c r="Z1604" i="12"/>
  <c r="Y1605" i="12"/>
  <c r="Z1605" i="12"/>
  <c r="Y1606" i="12"/>
  <c r="Z1606" i="12"/>
  <c r="Y1607" i="12"/>
  <c r="Z1607" i="12"/>
  <c r="Y1608" i="12"/>
  <c r="Z1608" i="12"/>
  <c r="Y1609" i="12"/>
  <c r="Z1609" i="12"/>
  <c r="Y1610" i="12"/>
  <c r="Z1610" i="12"/>
  <c r="Y1611" i="12"/>
  <c r="Z1611" i="12"/>
  <c r="Y1612" i="12"/>
  <c r="Y1613" i="12"/>
  <c r="Z1612" i="12"/>
  <c r="Y1614" i="12"/>
  <c r="Z1613" i="12"/>
  <c r="Y1615" i="12"/>
  <c r="Z1614" i="12"/>
  <c r="Z1615" i="12"/>
  <c r="Y1616" i="12"/>
  <c r="Y1617" i="12"/>
  <c r="Z1616" i="12"/>
  <c r="Z1617" i="12"/>
  <c r="Y1618" i="12"/>
  <c r="Y1619" i="12"/>
  <c r="Z1618" i="12"/>
  <c r="Z1619" i="12"/>
  <c r="Y1620" i="12"/>
  <c r="Z1620" i="12"/>
  <c r="Y1621" i="12"/>
  <c r="Y1622" i="12"/>
  <c r="Z1621" i="12"/>
  <c r="Y1623" i="12"/>
  <c r="Z1622" i="12"/>
  <c r="Y1624" i="12"/>
  <c r="Z1623" i="12"/>
  <c r="Z1624" i="12"/>
  <c r="Y1625" i="12"/>
  <c r="Z1625" i="12"/>
  <c r="Y1626" i="12"/>
  <c r="Z1626" i="12"/>
  <c r="Y1627" i="12"/>
  <c r="Z1627" i="12"/>
  <c r="Y1628" i="12"/>
  <c r="Z1628" i="12"/>
  <c r="Y1629" i="12"/>
  <c r="Z1629" i="12"/>
  <c r="Y1630" i="12"/>
  <c r="Z1630" i="12"/>
  <c r="Y1631" i="12"/>
  <c r="Y1632" i="12"/>
  <c r="Z1631" i="12"/>
  <c r="Y1633" i="12"/>
  <c r="Z1632" i="12"/>
  <c r="Y1634" i="12"/>
  <c r="Z1633" i="12"/>
  <c r="Y1635" i="12"/>
  <c r="Z1634" i="12"/>
  <c r="Z1635" i="12"/>
  <c r="Y1636" i="12"/>
  <c r="Z1636" i="12"/>
  <c r="Y1637" i="12"/>
  <c r="Z1637" i="12"/>
  <c r="Y1638" i="12"/>
  <c r="Z1638" i="12"/>
  <c r="Y1639" i="12"/>
  <c r="Z1639" i="12"/>
  <c r="Y1640" i="12"/>
  <c r="Y1641" i="12"/>
  <c r="Z1640" i="12"/>
  <c r="Y1642" i="12"/>
  <c r="Z1641" i="12"/>
  <c r="Z1642" i="12"/>
  <c r="Y1643" i="12"/>
  <c r="Y1644" i="12"/>
  <c r="Z1643" i="12"/>
  <c r="Z1644" i="12"/>
  <c r="Y1645" i="12"/>
  <c r="Y1646" i="12"/>
  <c r="Z1645" i="12"/>
  <c r="Y1647" i="12"/>
  <c r="Z1646" i="12"/>
  <c r="Z1647" i="12"/>
  <c r="Y1648" i="12"/>
  <c r="Y1649" i="12"/>
  <c r="Z1648" i="12"/>
  <c r="Y1650" i="12"/>
  <c r="Z1649" i="12"/>
  <c r="Y1651" i="12"/>
  <c r="Z1650" i="12"/>
  <c r="Z1651" i="12"/>
  <c r="Y1652" i="12"/>
  <c r="Z1652" i="12"/>
  <c r="Y1653" i="12"/>
  <c r="Z1653" i="12"/>
  <c r="Y1654" i="12"/>
  <c r="Y1655" i="12"/>
  <c r="Z1654" i="12"/>
  <c r="Z1655" i="12"/>
  <c r="Y1656" i="12"/>
  <c r="Y1657" i="12"/>
  <c r="Z1656" i="12"/>
  <c r="Y1658" i="12"/>
  <c r="Z1657" i="12"/>
  <c r="Y1659" i="12"/>
  <c r="Z1658" i="12"/>
  <c r="Y1660" i="12"/>
  <c r="Z1659" i="12"/>
  <c r="Y1661" i="12"/>
  <c r="Z1660" i="12"/>
  <c r="Y1662" i="12"/>
  <c r="Z1661" i="12"/>
  <c r="Z1662" i="12"/>
  <c r="Y1663" i="12"/>
  <c r="Z1663" i="12"/>
  <c r="Y1664" i="12"/>
  <c r="Y1665" i="12"/>
  <c r="Z1664" i="12"/>
  <c r="Z1665" i="12"/>
  <c r="Y1666" i="12"/>
  <c r="Z1666" i="12"/>
  <c r="Y1667" i="12"/>
  <c r="Z1667" i="12"/>
  <c r="Y1668" i="12"/>
  <c r="Z1668" i="12"/>
  <c r="Y1669" i="12"/>
  <c r="Y1670" i="12"/>
  <c r="Z1669" i="12"/>
  <c r="Z1670" i="12"/>
  <c r="Y1671" i="12"/>
  <c r="Z1671" i="12"/>
  <c r="Y1672" i="12"/>
  <c r="Z1672" i="12"/>
  <c r="Y1673" i="12"/>
  <c r="Z1673" i="12"/>
  <c r="Y1674" i="12"/>
  <c r="Y1675" i="12"/>
  <c r="Z1674" i="12"/>
  <c r="Y1676" i="12"/>
  <c r="Z1675" i="12"/>
  <c r="Z1676" i="12"/>
  <c r="Y1677" i="12"/>
  <c r="Z1677" i="12"/>
  <c r="Y1678" i="12"/>
  <c r="Y1679" i="12"/>
  <c r="Z1678" i="12"/>
  <c r="Z1679" i="12"/>
  <c r="Y1680" i="12"/>
  <c r="Z1680" i="12"/>
  <c r="Y1681" i="12"/>
  <c r="Z1681" i="12"/>
  <c r="Y1682" i="12"/>
  <c r="Z1682" i="12"/>
  <c r="Y1683" i="12"/>
  <c r="Z1683" i="12"/>
  <c r="Y1684" i="12"/>
  <c r="Y1685" i="12"/>
  <c r="Z1684" i="12"/>
  <c r="Z1685" i="12"/>
  <c r="Y1686" i="12"/>
  <c r="Z1686" i="12"/>
  <c r="Y1687" i="12"/>
  <c r="Y1688" i="12"/>
  <c r="Z1687" i="12"/>
  <c r="Y1689" i="12"/>
  <c r="Z1688" i="12"/>
  <c r="Y1690" i="12"/>
  <c r="Z1689" i="12"/>
  <c r="Y1691" i="12"/>
  <c r="Z1690" i="12"/>
  <c r="Y1692" i="12"/>
  <c r="Z1691" i="12"/>
  <c r="Z1692" i="12"/>
  <c r="Y1693" i="12"/>
  <c r="Y1694" i="12"/>
  <c r="Z1693" i="12"/>
  <c r="Y1695" i="12"/>
  <c r="Z1694" i="12"/>
  <c r="Y1696" i="12"/>
  <c r="Z1695" i="12"/>
  <c r="Z1696" i="12"/>
  <c r="Y1697" i="12"/>
  <c r="Z1697" i="12"/>
  <c r="Y1698" i="12"/>
  <c r="Z1698" i="12"/>
  <c r="Y1699" i="12"/>
  <c r="Y1700" i="12"/>
  <c r="Z1699" i="12"/>
  <c r="Y1701" i="12"/>
  <c r="Z1700" i="12"/>
  <c r="Y1702" i="12"/>
  <c r="Z1701" i="12"/>
  <c r="Z1702" i="12"/>
  <c r="Y1703" i="12"/>
  <c r="Y1704" i="12"/>
  <c r="Z1703" i="12"/>
  <c r="Z1704" i="12"/>
  <c r="Y1705" i="12"/>
  <c r="Z1705" i="12"/>
  <c r="Y1706" i="12"/>
  <c r="Y1707" i="12"/>
  <c r="Z1706" i="12"/>
  <c r="Y1708" i="12"/>
  <c r="Z1707" i="12"/>
  <c r="Z1708" i="12"/>
  <c r="Y1709" i="12"/>
  <c r="Y1710" i="12"/>
  <c r="Z1709" i="12"/>
  <c r="Z1710" i="12"/>
  <c r="Y1711" i="12"/>
  <c r="Z1711" i="12"/>
  <c r="Y1712" i="12"/>
  <c r="Y1713" i="12"/>
  <c r="Z1712" i="12"/>
  <c r="Y1714" i="12"/>
  <c r="Z1713" i="12"/>
  <c r="Z1714" i="12"/>
  <c r="Y1715" i="12"/>
  <c r="Y1716" i="12"/>
  <c r="Z1715" i="12"/>
  <c r="Z1716" i="12"/>
  <c r="Y1717" i="12"/>
  <c r="Z1717" i="12"/>
  <c r="Y1718" i="12"/>
  <c r="Y1719" i="12"/>
  <c r="Z1718" i="12"/>
  <c r="Y1720" i="12"/>
  <c r="Z1719" i="12"/>
  <c r="Z1720" i="12"/>
  <c r="Y1721" i="12"/>
  <c r="Z1721" i="12"/>
  <c r="Y1722" i="12"/>
  <c r="Z1722" i="12"/>
  <c r="Y1723" i="12"/>
  <c r="Y1724" i="12"/>
  <c r="Z1723" i="12"/>
  <c r="Z1724" i="12"/>
  <c r="Y1725" i="12"/>
  <c r="Y1726" i="12"/>
  <c r="Z1725" i="12"/>
  <c r="Y1727" i="12"/>
  <c r="Z1726" i="12"/>
  <c r="Z1727" i="12"/>
  <c r="Y1728" i="12"/>
  <c r="Y1729" i="12"/>
  <c r="Z1728" i="12"/>
  <c r="Z1729" i="12"/>
  <c r="Y1730" i="12"/>
  <c r="Y1731" i="12"/>
  <c r="Z1730" i="12"/>
  <c r="Y1732" i="12"/>
  <c r="Z1731" i="12"/>
  <c r="Y1733" i="12"/>
  <c r="Z1732" i="12"/>
  <c r="Y1734" i="12"/>
  <c r="Z1733" i="12"/>
  <c r="Y1735" i="12"/>
  <c r="Z1734" i="12"/>
  <c r="Z1735" i="12"/>
  <c r="Y1736" i="12"/>
  <c r="Z1736" i="12"/>
  <c r="Y1737" i="12"/>
  <c r="Z1737" i="12"/>
  <c r="Y1738" i="12"/>
  <c r="Y1739" i="12"/>
  <c r="Z1738" i="12"/>
  <c r="Z1739" i="12"/>
  <c r="Y1740" i="12"/>
  <c r="Z1740" i="12"/>
  <c r="Y1741" i="12"/>
  <c r="Z1741" i="12"/>
  <c r="Y1742" i="12"/>
  <c r="Y1743" i="12"/>
  <c r="Z1742" i="12"/>
  <c r="Y1744" i="12"/>
  <c r="Z1743" i="12"/>
  <c r="Y1745" i="12"/>
  <c r="Z1744" i="12"/>
  <c r="Y1746" i="12"/>
  <c r="Z1745" i="12"/>
  <c r="Y1747" i="12"/>
  <c r="Z1746" i="12"/>
  <c r="Z1747" i="12"/>
  <c r="Y1748" i="12"/>
  <c r="Z1748" i="12"/>
  <c r="Y1749" i="12"/>
  <c r="Y1750" i="12"/>
  <c r="Z1749" i="12"/>
  <c r="Y1751" i="12"/>
  <c r="Z1750" i="12"/>
  <c r="Y1752" i="12"/>
  <c r="Z1751" i="12"/>
  <c r="Y1753" i="12"/>
  <c r="Z1752" i="12"/>
  <c r="Z1753" i="12"/>
  <c r="Y1754" i="12"/>
  <c r="Z1754" i="12"/>
  <c r="Y1755" i="12"/>
  <c r="Y1756" i="12"/>
  <c r="Z1755" i="12"/>
  <c r="Y1757" i="12"/>
  <c r="Z1756" i="12"/>
  <c r="Y1758" i="12"/>
  <c r="Z1757" i="12"/>
  <c r="Z1758" i="12"/>
  <c r="Y1759" i="12"/>
  <c r="Y1760" i="12"/>
  <c r="Z1759" i="12"/>
  <c r="Y1761" i="12"/>
  <c r="Z1760" i="12"/>
  <c r="Z1761" i="12"/>
  <c r="Y1762" i="12"/>
  <c r="Y1763" i="12"/>
  <c r="Z1762" i="12"/>
  <c r="Y1764" i="12"/>
  <c r="Z1763" i="12"/>
  <c r="Y1765" i="12"/>
  <c r="Z1764" i="12"/>
  <c r="Z1765" i="12"/>
  <c r="Y1766" i="12"/>
  <c r="Z1766" i="12"/>
  <c r="Y1767" i="12"/>
  <c r="Z1767" i="12"/>
  <c r="Y1768" i="12"/>
  <c r="Z1768" i="12"/>
  <c r="Y1769" i="12"/>
  <c r="Z1769" i="12"/>
  <c r="Y1770" i="12"/>
  <c r="Y1771" i="12"/>
  <c r="Z1770" i="12"/>
  <c r="Z1771" i="12"/>
  <c r="Y1772" i="12"/>
  <c r="Y1773" i="12"/>
  <c r="Z1772" i="12"/>
  <c r="Y1774" i="12"/>
  <c r="Z1773" i="12"/>
  <c r="Y1775" i="12"/>
  <c r="Z1774" i="12"/>
  <c r="Z1775" i="12"/>
  <c r="Y1776" i="12"/>
  <c r="Z1776" i="12"/>
  <c r="Y1777" i="12"/>
  <c r="Z1777" i="12"/>
  <c r="Y1778" i="12"/>
  <c r="Y1779" i="12"/>
  <c r="Z1778" i="12"/>
  <c r="Z1779" i="12"/>
  <c r="Y1780" i="12"/>
  <c r="Y1781" i="12"/>
  <c r="Z1780" i="12"/>
  <c r="Z1781" i="12"/>
  <c r="Y1782" i="12"/>
  <c r="Y1783" i="12"/>
  <c r="Z1782" i="12"/>
  <c r="Z1783" i="12"/>
  <c r="Y1784" i="12"/>
  <c r="Z1784" i="12"/>
  <c r="Y1785" i="12"/>
  <c r="Z1785" i="12"/>
  <c r="Y1786" i="12"/>
  <c r="Z1786" i="12"/>
  <c r="Y1787" i="12"/>
  <c r="Y1788" i="12"/>
  <c r="Z1787" i="12"/>
  <c r="Z1788" i="12"/>
  <c r="Y1789" i="12"/>
  <c r="Z1789" i="12"/>
  <c r="Y1790" i="12"/>
  <c r="Y1791" i="12"/>
  <c r="Z1790" i="12"/>
  <c r="Y1792" i="12"/>
  <c r="Z1791" i="12"/>
  <c r="Y1793" i="12"/>
  <c r="Z1792" i="12"/>
  <c r="Z1793" i="12"/>
  <c r="Y1794" i="12"/>
  <c r="Z1794" i="12"/>
  <c r="Y1795" i="12"/>
  <c r="Y1796" i="12"/>
  <c r="Z1795" i="12"/>
  <c r="Z1796" i="12"/>
  <c r="Y1797" i="12"/>
  <c r="Z1797" i="12"/>
  <c r="Y1798" i="12"/>
  <c r="Y1799" i="12"/>
  <c r="Z1798" i="12"/>
  <c r="Y1800" i="12"/>
  <c r="Z1799" i="12"/>
  <c r="Y1801" i="12"/>
  <c r="Z1800" i="12"/>
  <c r="Z1801" i="12"/>
  <c r="Y1802" i="12"/>
  <c r="Z1802" i="12"/>
  <c r="Y1803" i="12"/>
  <c r="Y1804" i="12"/>
  <c r="Z1803" i="12"/>
  <c r="Y1805" i="12"/>
  <c r="Z1804" i="12"/>
  <c r="Z1805" i="12"/>
  <c r="Y1806" i="12"/>
  <c r="Y1807" i="12"/>
  <c r="Z1806" i="12"/>
  <c r="Y1808" i="12"/>
  <c r="Z1807" i="12"/>
  <c r="Y1809" i="12"/>
  <c r="Z1808" i="12"/>
  <c r="Y1810" i="12"/>
  <c r="Z1809" i="12"/>
  <c r="Y1811" i="12"/>
  <c r="Z1810" i="12"/>
  <c r="Z1811" i="12"/>
  <c r="Y1812" i="12"/>
  <c r="Y1813" i="12"/>
  <c r="Z1812" i="12"/>
  <c r="Z1813" i="12"/>
  <c r="Y1814" i="12"/>
  <c r="Y1815" i="12"/>
  <c r="Z1814" i="12"/>
  <c r="Z1815" i="12"/>
  <c r="Y1816" i="12"/>
  <c r="Z1816" i="12"/>
  <c r="Y1817" i="12"/>
  <c r="Z1817" i="12"/>
  <c r="Y1818" i="12"/>
  <c r="Y1819" i="12"/>
  <c r="Z1818" i="12"/>
  <c r="Y1820" i="12"/>
  <c r="Z1819" i="12"/>
  <c r="Y1821" i="12"/>
  <c r="Z1820" i="12"/>
  <c r="Z1821" i="12"/>
  <c r="Y1822" i="12"/>
  <c r="Z1822" i="12"/>
  <c r="Y1823" i="12"/>
  <c r="Z1823" i="12"/>
  <c r="Y1824" i="12"/>
  <c r="Z1824" i="12"/>
  <c r="Y1825" i="12"/>
  <c r="Y1826" i="12"/>
  <c r="Z1825" i="12"/>
  <c r="Z1826" i="12"/>
  <c r="Y1827" i="12"/>
  <c r="Z1827" i="12"/>
  <c r="Y1828" i="12"/>
  <c r="Y1829" i="12"/>
  <c r="Z1828" i="12"/>
  <c r="Y1830" i="12"/>
  <c r="Z1829" i="12"/>
  <c r="Z1830" i="12"/>
  <c r="Y1831" i="12"/>
  <c r="Z1831" i="12"/>
  <c r="Y1832" i="12"/>
  <c r="Y1833" i="12"/>
  <c r="Z1832" i="12"/>
  <c r="Z1833" i="12"/>
  <c r="Y1834" i="12"/>
  <c r="Y1835" i="12"/>
  <c r="Z1834" i="12"/>
  <c r="Z1835" i="12"/>
  <c r="Y1836" i="12"/>
  <c r="Y1837" i="12"/>
  <c r="Z1836" i="12"/>
  <c r="Y1838" i="12"/>
  <c r="Z1837" i="12"/>
  <c r="Z1838" i="12"/>
  <c r="Y1839" i="12"/>
  <c r="Z1839" i="12"/>
  <c r="Y1840" i="12"/>
  <c r="Y1841" i="12"/>
  <c r="Z1840" i="12"/>
  <c r="Z1841" i="12"/>
  <c r="Y1842" i="12"/>
  <c r="Y1843" i="12"/>
  <c r="Z1842" i="12"/>
  <c r="Z1843" i="12"/>
  <c r="Y1844" i="12"/>
  <c r="Y1845" i="12"/>
  <c r="Z1844" i="12"/>
  <c r="Y1846" i="12"/>
  <c r="Z1845" i="12"/>
  <c r="Z1846" i="12"/>
  <c r="Y1847" i="12"/>
  <c r="Z1847" i="12"/>
  <c r="Y1848" i="12"/>
  <c r="Y1849" i="12"/>
  <c r="Z1848" i="12"/>
  <c r="Y1850" i="12"/>
  <c r="Z1849" i="12"/>
  <c r="Y1851" i="12"/>
  <c r="Z1850" i="12"/>
  <c r="Z1851" i="12"/>
  <c r="Y1852" i="12"/>
  <c r="Y1853" i="12"/>
  <c r="Z1852" i="12"/>
  <c r="Z1853" i="12"/>
  <c r="Y1854" i="12"/>
  <c r="Y1855" i="12"/>
  <c r="Z1854" i="12"/>
  <c r="Z1855" i="12"/>
  <c r="Y1856" i="12"/>
  <c r="Y1857" i="12"/>
  <c r="Z1856" i="12"/>
  <c r="Y1858" i="12"/>
  <c r="Z1857" i="12"/>
  <c r="Z1858" i="12"/>
  <c r="Y1859" i="12"/>
  <c r="Z1859" i="12"/>
  <c r="Y1860" i="12"/>
  <c r="Y1861" i="12"/>
  <c r="Z1860" i="12"/>
  <c r="Z1861" i="12"/>
  <c r="Y1862" i="12"/>
  <c r="Y1863" i="12"/>
  <c r="Z1862" i="12"/>
  <c r="Z1863" i="12"/>
  <c r="Y1864" i="12"/>
  <c r="Y1865" i="12"/>
  <c r="Z1864" i="12"/>
  <c r="Z1865" i="12"/>
  <c r="Y1866" i="12"/>
  <c r="Y1867" i="12"/>
  <c r="Z1866" i="12"/>
  <c r="Y1868" i="12"/>
  <c r="Z1867" i="12"/>
  <c r="Z1868" i="12"/>
  <c r="Y1869" i="12"/>
  <c r="Y1870" i="12"/>
  <c r="Z1869" i="12"/>
  <c r="Y1871" i="12"/>
  <c r="Z1870" i="12"/>
  <c r="Y1872" i="12"/>
  <c r="Z1871" i="12"/>
  <c r="Z1872" i="12"/>
  <c r="Y1873" i="12"/>
  <c r="Y1874" i="12"/>
  <c r="Z1873" i="12"/>
  <c r="Z1874" i="12"/>
  <c r="Y1875" i="12"/>
  <c r="Y1876" i="12"/>
  <c r="Z1875" i="12"/>
  <c r="Y1877" i="12"/>
  <c r="Z1876" i="12"/>
  <c r="Y1878" i="12"/>
  <c r="Z1877" i="12"/>
  <c r="Z1878" i="12"/>
  <c r="Y1879" i="12"/>
  <c r="Y1880" i="12"/>
  <c r="Z1879" i="12"/>
  <c r="Y1881" i="12"/>
  <c r="Z1880" i="12"/>
  <c r="Y1882" i="12"/>
  <c r="Z1881" i="12"/>
  <c r="Z1882" i="12"/>
  <c r="Y1883" i="12"/>
  <c r="Z1883" i="12"/>
  <c r="Y1884" i="12"/>
  <c r="Z1884" i="12"/>
  <c r="Y1885" i="12"/>
  <c r="Z1885" i="12"/>
  <c r="Y1886" i="12"/>
  <c r="Z1886" i="12"/>
  <c r="Y1887" i="12"/>
  <c r="Y1888" i="12"/>
  <c r="Z1887" i="12"/>
  <c r="Y1889" i="12"/>
  <c r="Z1888" i="12"/>
  <c r="Z1889" i="12"/>
  <c r="Y1890" i="12"/>
  <c r="Z1890" i="12"/>
  <c r="Y1891" i="12"/>
  <c r="Z1891" i="12"/>
  <c r="Y1892" i="12"/>
  <c r="Y1893" i="12"/>
  <c r="Z1892" i="12"/>
  <c r="Y1894" i="12"/>
  <c r="Z1893" i="12"/>
  <c r="Y1895" i="12"/>
  <c r="Z1894" i="12"/>
  <c r="Y1896" i="12"/>
  <c r="Z1895" i="12"/>
  <c r="Y1897" i="12"/>
  <c r="Z1896" i="12"/>
  <c r="Y1898" i="12"/>
  <c r="Z1897" i="12"/>
  <c r="Z1898" i="12"/>
  <c r="Y1899" i="12"/>
  <c r="Y1900" i="12"/>
  <c r="Z1899" i="12"/>
  <c r="Y1901" i="12"/>
  <c r="Z1900" i="12"/>
  <c r="Z1901" i="12"/>
  <c r="Y1902" i="12"/>
  <c r="Z1902" i="12"/>
  <c r="Y1903" i="12"/>
  <c r="Y1904" i="12"/>
  <c r="Z1903" i="12"/>
  <c r="Z1904" i="12"/>
  <c r="Y1905" i="12"/>
  <c r="Z1905" i="12"/>
  <c r="Y1906" i="12"/>
  <c r="Z1906" i="12"/>
  <c r="Y1907" i="12"/>
  <c r="Z1907" i="12"/>
  <c r="Y1908" i="12"/>
  <c r="Z1908" i="12"/>
  <c r="Y1909" i="12"/>
  <c r="Y1910" i="12"/>
  <c r="Z1909" i="12"/>
  <c r="Z1910" i="12"/>
  <c r="Y1911" i="12"/>
  <c r="Z1911" i="12"/>
  <c r="Y1912" i="12"/>
  <c r="Z1912" i="12"/>
  <c r="Y1913" i="12"/>
  <c r="Y1914" i="12"/>
  <c r="Z1913" i="12"/>
  <c r="Z1914" i="12"/>
  <c r="Y1915" i="12"/>
  <c r="Z1915" i="12"/>
  <c r="Y1916" i="12"/>
  <c r="Y1917" i="12"/>
  <c r="Z1916" i="12"/>
  <c r="Y1918" i="12"/>
  <c r="Z1917" i="12"/>
  <c r="Y1919" i="12"/>
  <c r="Z1918" i="12"/>
  <c r="Z1919" i="12"/>
  <c r="Y1920" i="12"/>
  <c r="Y1921" i="12"/>
  <c r="Z1920" i="12"/>
  <c r="Z1921" i="12"/>
  <c r="Y1922" i="12"/>
  <c r="Z1922" i="12"/>
  <c r="Y1923" i="12"/>
  <c r="Y1924" i="12"/>
  <c r="Z1923" i="12"/>
  <c r="Y1925" i="12"/>
  <c r="Z1924" i="12"/>
  <c r="Y1926" i="12"/>
  <c r="Z1925" i="12"/>
  <c r="Z1926" i="12"/>
  <c r="Y1927" i="12"/>
  <c r="Z1927" i="12"/>
  <c r="Y1928" i="12"/>
  <c r="Y1929" i="12"/>
  <c r="Z1928" i="12"/>
  <c r="Y1930" i="12"/>
  <c r="Z1929" i="12"/>
  <c r="Y1931" i="12"/>
  <c r="Z1930" i="12"/>
  <c r="Z1931" i="12"/>
  <c r="Y1932" i="12"/>
  <c r="Z1932" i="12"/>
  <c r="Y1933" i="12"/>
  <c r="Y1934" i="12"/>
  <c r="Z1933" i="12"/>
  <c r="Y1935" i="12"/>
  <c r="Z1934" i="12"/>
  <c r="Z1935" i="12"/>
  <c r="Y1936" i="12"/>
  <c r="Y1937" i="12"/>
  <c r="Z1936" i="12"/>
  <c r="Y1938" i="12"/>
  <c r="Z1937" i="12"/>
  <c r="Y1939" i="12"/>
  <c r="Z1938" i="12"/>
  <c r="Z1939" i="12"/>
  <c r="Y1940" i="12"/>
  <c r="Z1940" i="12"/>
  <c r="Y1941" i="12"/>
  <c r="Z1941" i="12"/>
  <c r="Y1942" i="12"/>
  <c r="Y1943" i="12"/>
  <c r="Z1942" i="12"/>
  <c r="Y1944" i="12"/>
  <c r="Z1943" i="12"/>
  <c r="Y1945" i="12"/>
  <c r="Z1944" i="12"/>
  <c r="Y1946" i="12"/>
  <c r="Z1945" i="12"/>
  <c r="Y1947" i="12"/>
  <c r="Z1946" i="12"/>
  <c r="Y1948" i="12"/>
  <c r="Z1947" i="12"/>
  <c r="Z1948" i="12"/>
  <c r="Y1949" i="12"/>
  <c r="Z1949" i="12"/>
  <c r="Y1950" i="12"/>
  <c r="Z1950" i="12"/>
  <c r="Y1951" i="12"/>
  <c r="Z1951" i="12"/>
  <c r="Y1952" i="12"/>
  <c r="Z1952" i="12"/>
  <c r="Y1953" i="12"/>
  <c r="Z1953" i="12"/>
  <c r="Y1954" i="12"/>
  <c r="Y1955" i="12"/>
  <c r="Z1954" i="12"/>
  <c r="Y1956" i="12"/>
  <c r="Z1955" i="12"/>
  <c r="Y1957" i="12"/>
  <c r="Z1956" i="12"/>
  <c r="Z1957" i="12"/>
  <c r="Y1958" i="12"/>
  <c r="Z1958" i="12"/>
  <c r="Y1959" i="12"/>
  <c r="Y1960" i="12"/>
  <c r="Z1959" i="12"/>
  <c r="Z1960" i="12"/>
  <c r="Y1961" i="12"/>
  <c r="Z1961" i="12"/>
  <c r="Y1962" i="12"/>
  <c r="Y1963" i="12"/>
  <c r="Z1962" i="12"/>
  <c r="Y1964" i="12"/>
  <c r="Z1963" i="12"/>
  <c r="Y1965" i="12"/>
  <c r="Z1964" i="12"/>
  <c r="Z1965" i="12"/>
  <c r="Y1966" i="12"/>
  <c r="Z1966" i="12"/>
  <c r="Y1967" i="12"/>
  <c r="Y1968" i="12"/>
  <c r="Z1967" i="12"/>
  <c r="Y1969" i="12"/>
  <c r="Z1968" i="12"/>
  <c r="Y1970" i="12"/>
  <c r="Z1969" i="12"/>
  <c r="Z1970" i="12"/>
  <c r="Y1971" i="12"/>
  <c r="Z1971" i="12"/>
  <c r="Y1972" i="12"/>
  <c r="Y1973" i="12"/>
  <c r="Z1972" i="12"/>
  <c r="Z1973" i="12"/>
  <c r="Y1974" i="12"/>
  <c r="Z1974" i="12"/>
  <c r="Y1975" i="12"/>
  <c r="Y1976" i="12"/>
  <c r="Z1975" i="12"/>
  <c r="Z1976" i="12"/>
  <c r="Y1977" i="12"/>
  <c r="Y1978" i="12"/>
  <c r="Z1977" i="12"/>
  <c r="Y1979" i="12"/>
  <c r="Z1978" i="12"/>
  <c r="Y1980" i="12"/>
  <c r="Z1979" i="12"/>
  <c r="Y1981" i="12"/>
  <c r="Z1980" i="12"/>
  <c r="Y1982" i="12"/>
  <c r="Z1981" i="12"/>
  <c r="Z1982" i="12"/>
  <c r="Y1983" i="12"/>
  <c r="Y1984" i="12"/>
  <c r="Z1983" i="12"/>
  <c r="Z1984" i="12"/>
  <c r="Y1985" i="12"/>
  <c r="Y1986" i="12"/>
  <c r="Z1985" i="12"/>
  <c r="Y1987" i="12"/>
  <c r="Z1986" i="12"/>
  <c r="Z1987" i="12"/>
  <c r="Y1988" i="12"/>
  <c r="Z1988" i="12"/>
  <c r="Y1989" i="12"/>
  <c r="Z1989" i="12"/>
  <c r="Y1990" i="12"/>
  <c r="Z1990" i="12"/>
  <c r="Y1991" i="12"/>
  <c r="Y1992" i="12"/>
  <c r="Z1991" i="12"/>
  <c r="Z1992" i="12"/>
  <c r="Y1993" i="12"/>
  <c r="Y1994" i="12"/>
  <c r="Z1993" i="12"/>
  <c r="Z1994" i="12"/>
  <c r="Y1995" i="12"/>
  <c r="Y1996" i="12"/>
  <c r="Z1995" i="12"/>
  <c r="Y1997" i="12"/>
  <c r="Z1996" i="12"/>
  <c r="Y1998" i="12"/>
  <c r="Z1997" i="12"/>
  <c r="Z1998" i="12"/>
  <c r="Y1999" i="12"/>
  <c r="Z1999" i="12"/>
  <c r="Y2000" i="12"/>
  <c r="Z2000" i="12"/>
  <c r="Y2001" i="12"/>
  <c r="Z2001" i="12"/>
  <c r="Y2002" i="12"/>
  <c r="Z2002" i="12"/>
  <c r="Y2003" i="12"/>
  <c r="Y2004" i="12"/>
  <c r="Z2003" i="12"/>
  <c r="Z2004" i="12"/>
  <c r="Y2005" i="12"/>
  <c r="Y2006" i="12"/>
  <c r="Z2005" i="12"/>
  <c r="Y2007" i="12"/>
  <c r="Z2006" i="12"/>
  <c r="Z2007" i="12"/>
  <c r="Y2008" i="12"/>
  <c r="Z2008" i="12"/>
  <c r="Y2009" i="12"/>
  <c r="Z2009" i="12"/>
  <c r="Y2010" i="12"/>
  <c r="Y2011" i="12"/>
  <c r="Z2010" i="12"/>
  <c r="Y2012" i="12"/>
  <c r="Z2011" i="12"/>
  <c r="Z2012" i="12"/>
  <c r="Y2013" i="12"/>
  <c r="Z2013" i="12"/>
  <c r="Y2014" i="12"/>
  <c r="Y2015" i="12"/>
  <c r="Z2014" i="12"/>
  <c r="Z2015" i="12"/>
  <c r="Y2016" i="12"/>
  <c r="Z2016" i="12"/>
  <c r="Y2017" i="12"/>
  <c r="Z2017" i="12"/>
  <c r="Y2018" i="12"/>
  <c r="Z2018" i="12"/>
  <c r="Y2019" i="12"/>
  <c r="Y2020" i="12"/>
  <c r="Z2019" i="12"/>
  <c r="Y2021" i="12"/>
  <c r="Z2020" i="12"/>
  <c r="Y2022" i="12"/>
  <c r="Z2021" i="12"/>
  <c r="Z2022" i="12"/>
  <c r="Y2023" i="12"/>
  <c r="Y2024" i="12"/>
  <c r="Z2023" i="12"/>
  <c r="Y2025" i="12"/>
  <c r="Z2024" i="12"/>
  <c r="Y2026" i="12"/>
  <c r="Z2025" i="12"/>
  <c r="Z2026" i="12"/>
  <c r="Y2027" i="12"/>
  <c r="Z2027" i="12"/>
  <c r="Y2028" i="12"/>
  <c r="Z2028" i="12"/>
  <c r="Y2029" i="12"/>
  <c r="Y2030" i="12"/>
  <c r="Z2029" i="12"/>
  <c r="Y2031" i="12"/>
  <c r="Z2030" i="12"/>
  <c r="Y2032" i="12"/>
  <c r="Z2031" i="12"/>
  <c r="Y2033" i="12"/>
  <c r="Z2032" i="12"/>
  <c r="Z2033" i="12"/>
  <c r="Y2034" i="12"/>
  <c r="Y2035" i="12"/>
  <c r="Z2034" i="12"/>
  <c r="Z2035" i="12"/>
  <c r="Y2036" i="12"/>
  <c r="Z2036" i="12"/>
  <c r="Y2037" i="12"/>
  <c r="Y2038" i="12"/>
  <c r="Z2037" i="12"/>
  <c r="Z2038" i="12"/>
  <c r="Y2039" i="12"/>
  <c r="Z2039" i="12"/>
  <c r="Y2040" i="12"/>
  <c r="Y2041" i="12"/>
  <c r="Z2040" i="12"/>
  <c r="Y2042" i="12"/>
  <c r="Z2041" i="12"/>
  <c r="Z2042" i="12"/>
  <c r="Y2043" i="12"/>
  <c r="Y2044" i="12"/>
  <c r="Z2043" i="12"/>
  <c r="Y2045" i="12"/>
  <c r="Z2044" i="12"/>
  <c r="Z2045" i="12"/>
  <c r="Y2046" i="12"/>
  <c r="Z2046" i="12"/>
  <c r="Y2047" i="12"/>
  <c r="Z2047" i="12"/>
  <c r="Y2048" i="12"/>
  <c r="Y2049" i="12"/>
  <c r="Z2048" i="12"/>
  <c r="Z2049" i="12"/>
  <c r="Y2050" i="12"/>
  <c r="Z2050" i="12"/>
  <c r="Y2051" i="12"/>
  <c r="Y2052" i="12"/>
  <c r="Z2051" i="12"/>
  <c r="Z2052" i="12"/>
  <c r="Y2053" i="12"/>
  <c r="Y2054" i="12"/>
  <c r="Z2053" i="12"/>
  <c r="Z2054" i="12"/>
  <c r="Y2055" i="12"/>
  <c r="Z2055" i="12"/>
  <c r="Y2056" i="12"/>
  <c r="Z2056" i="12"/>
  <c r="Y2057" i="12"/>
  <c r="Z2057" i="12"/>
  <c r="Y2058" i="12"/>
  <c r="Y2059" i="12"/>
  <c r="Z2058" i="12"/>
  <c r="Y2060" i="12"/>
  <c r="Z2059" i="12"/>
  <c r="Z2060" i="12"/>
  <c r="Y2061" i="12"/>
  <c r="Z2061" i="12"/>
  <c r="Y2062" i="12"/>
  <c r="Y2063" i="12"/>
  <c r="Z2062" i="12"/>
  <c r="Z2063" i="12"/>
  <c r="Y2064" i="12"/>
  <c r="Z2064" i="12"/>
  <c r="Y2065" i="12"/>
  <c r="Y2066" i="12"/>
  <c r="Z2065" i="12"/>
  <c r="Z2066" i="12"/>
  <c r="Y2067" i="12"/>
  <c r="Y2068" i="12"/>
  <c r="Z2067" i="12"/>
  <c r="Z2068" i="12"/>
  <c r="Y2069" i="12"/>
  <c r="Z2069" i="12"/>
  <c r="Y2070" i="12"/>
  <c r="Z2070" i="12"/>
  <c r="Y2071" i="12"/>
  <c r="Z2071" i="12"/>
  <c r="Y2072" i="12"/>
  <c r="Z2072" i="12"/>
  <c r="Y2073" i="12"/>
  <c r="Y2074" i="12"/>
  <c r="Z2073" i="12"/>
  <c r="Y2075" i="12"/>
  <c r="Z2074" i="12"/>
  <c r="Z2075" i="12"/>
  <c r="Y2076" i="12"/>
  <c r="Z2076" i="12"/>
  <c r="Y2077" i="12"/>
  <c r="Z2077" i="12"/>
  <c r="Y2078" i="12"/>
  <c r="Z2078" i="12"/>
  <c r="Y2079" i="12"/>
  <c r="Z2079" i="12"/>
  <c r="Y2080" i="12"/>
  <c r="Y2081" i="12"/>
  <c r="Z2080" i="12"/>
  <c r="Z2081" i="12"/>
  <c r="Y2082" i="12"/>
  <c r="Z2082" i="12"/>
  <c r="Y2083" i="12"/>
  <c r="Z2083" i="12"/>
  <c r="Y2084" i="12"/>
  <c r="Y2085" i="12"/>
  <c r="Z2084" i="12"/>
  <c r="Y2086" i="12"/>
  <c r="Z2085" i="12"/>
  <c r="Y2087" i="12"/>
  <c r="Z2086" i="12"/>
  <c r="Z2087" i="12"/>
  <c r="Y2088" i="12"/>
  <c r="Y2089" i="12"/>
  <c r="Z2088" i="12"/>
  <c r="Z2089" i="12"/>
  <c r="Y2090" i="12"/>
  <c r="Y2091" i="12"/>
  <c r="Z2090" i="12"/>
  <c r="Y2092" i="12"/>
  <c r="Z2091" i="12"/>
  <c r="Y2093" i="12"/>
  <c r="Z2092" i="12"/>
  <c r="Z2093" i="12"/>
  <c r="Y2094" i="12"/>
  <c r="Y2095" i="12"/>
  <c r="Z2094" i="12"/>
  <c r="Y2096" i="12"/>
  <c r="Z2095" i="12"/>
  <c r="Y2097" i="12"/>
  <c r="Z2096" i="12"/>
  <c r="Y2098" i="12"/>
  <c r="Z2097" i="12"/>
  <c r="Y2099" i="12"/>
  <c r="Z2098" i="12"/>
  <c r="Z2099" i="12"/>
  <c r="Y2100" i="12"/>
  <c r="Y2101" i="12"/>
  <c r="Z2100" i="12"/>
  <c r="Z2101" i="12"/>
  <c r="Y2102" i="12"/>
  <c r="Z2102" i="12"/>
  <c r="Y2103" i="12"/>
  <c r="Z2103" i="12"/>
  <c r="Y2104" i="12"/>
  <c r="Y2105" i="12"/>
  <c r="Z2104" i="12"/>
  <c r="Y2106" i="12"/>
  <c r="Z2105" i="12"/>
  <c r="Y2107" i="12"/>
  <c r="Z2106" i="12"/>
  <c r="Z2107" i="12"/>
  <c r="Y2108" i="12"/>
  <c r="Z2108" i="12"/>
  <c r="Y2109" i="12"/>
  <c r="Y2110" i="12"/>
  <c r="Z2109" i="12"/>
  <c r="Y2111" i="12"/>
  <c r="Z2110" i="12"/>
  <c r="Z2111" i="12"/>
  <c r="Y2112" i="12"/>
  <c r="Z2112" i="12"/>
  <c r="Y2113" i="12"/>
  <c r="Y2114" i="12"/>
  <c r="Z2113" i="12"/>
  <c r="Y2115" i="12"/>
  <c r="Z2114" i="12"/>
  <c r="Z2115" i="12"/>
  <c r="Y2116" i="12"/>
  <c r="Y2117" i="12"/>
  <c r="Z2116" i="12"/>
  <c r="Z2117" i="12"/>
  <c r="Y2118" i="12"/>
  <c r="Y2119" i="12"/>
  <c r="Z2118" i="12"/>
  <c r="Y2120" i="12"/>
  <c r="Z2119" i="12"/>
  <c r="Y2121" i="12"/>
  <c r="Z2120" i="12"/>
  <c r="Z2121" i="12"/>
  <c r="Y2122" i="12"/>
  <c r="Y2123" i="12"/>
  <c r="Z2122" i="12"/>
  <c r="Y2124" i="12"/>
  <c r="Z2123" i="12"/>
  <c r="Z2124" i="12"/>
  <c r="Y2125" i="12"/>
  <c r="Z2125" i="12"/>
  <c r="Y2126" i="12"/>
  <c r="Z2126" i="12"/>
  <c r="Y2127" i="12"/>
  <c r="Y2128" i="12"/>
  <c r="Z2127" i="12"/>
  <c r="Z2128" i="12"/>
  <c r="Y2129" i="12"/>
  <c r="Y2130" i="12"/>
  <c r="Z2129" i="12"/>
  <c r="Z2130" i="12"/>
  <c r="Y2131" i="12"/>
  <c r="Z2131" i="12"/>
  <c r="Y2132" i="12"/>
  <c r="Z2132" i="12"/>
  <c r="Y2133" i="12"/>
  <c r="Z2133" i="12"/>
  <c r="Y2134" i="12"/>
  <c r="Z2134" i="12"/>
  <c r="Y2135" i="12"/>
  <c r="Z2135" i="12"/>
  <c r="Y2136" i="12"/>
  <c r="Z2136" i="12"/>
  <c r="Y2137" i="12"/>
  <c r="Y2138" i="12"/>
  <c r="Z2137" i="12"/>
  <c r="Y2139" i="12"/>
  <c r="Z2138" i="12"/>
  <c r="Y2140" i="12"/>
  <c r="Z2139" i="12"/>
  <c r="Z2140" i="12"/>
  <c r="Y2141" i="12"/>
  <c r="Z2141" i="12"/>
  <c r="Y2142" i="12"/>
  <c r="Y2143" i="12"/>
  <c r="Z2142" i="12"/>
  <c r="Z2143" i="12"/>
  <c r="Y2144" i="12"/>
  <c r="Z2144" i="12"/>
  <c r="Y2145" i="12"/>
  <c r="Z2145" i="12"/>
  <c r="Y2146" i="12"/>
  <c r="Z2146" i="12"/>
  <c r="Y2147" i="12"/>
  <c r="Y2148" i="12"/>
  <c r="Z2147" i="12"/>
  <c r="Z2148" i="12"/>
  <c r="Y2149" i="12"/>
  <c r="Z2149" i="12"/>
  <c r="Y2150" i="12"/>
  <c r="Z2150" i="12"/>
  <c r="Y2151" i="12"/>
  <c r="Y2152" i="12"/>
  <c r="Z2151" i="12"/>
  <c r="Y2153" i="12"/>
  <c r="Z2152" i="12"/>
  <c r="Z2153" i="12"/>
  <c r="Y2154" i="12"/>
  <c r="Z2154" i="12"/>
  <c r="Y2155" i="12"/>
  <c r="Z2155" i="12"/>
  <c r="Y2156" i="12"/>
  <c r="Y2157" i="12"/>
  <c r="Z2156" i="12"/>
  <c r="Y2158" i="12"/>
  <c r="Z2157" i="12"/>
  <c r="Y2159" i="12"/>
  <c r="Z2158" i="12"/>
  <c r="Y2160" i="12"/>
  <c r="Z2159" i="12"/>
  <c r="Y2161" i="12"/>
  <c r="Z2160" i="12"/>
  <c r="Y2162" i="12"/>
  <c r="Z2161" i="12"/>
  <c r="Z2162" i="12"/>
  <c r="Y2163" i="12"/>
  <c r="Z2163" i="12"/>
  <c r="Y2164" i="12"/>
  <c r="Z2164" i="12"/>
  <c r="Y2165" i="12"/>
  <c r="Z2165" i="12"/>
  <c r="Y2166" i="12"/>
  <c r="Z2166" i="12"/>
  <c r="Y2167" i="12"/>
  <c r="Y2168" i="12"/>
  <c r="Z2167" i="12"/>
  <c r="Y2169" i="12"/>
  <c r="Z2168" i="12"/>
  <c r="Z2169" i="12"/>
  <c r="Y2170" i="12"/>
  <c r="Y2171" i="12"/>
  <c r="Z2170" i="12"/>
  <c r="Z2171" i="12"/>
  <c r="Y2172" i="12"/>
  <c r="Y2173" i="12"/>
  <c r="Z2172" i="12"/>
  <c r="Z2173" i="12"/>
  <c r="Y2174" i="12"/>
  <c r="Z2174" i="12"/>
  <c r="Y2175" i="12"/>
  <c r="Y2176" i="12"/>
  <c r="Z2175" i="12"/>
  <c r="Z2176" i="12"/>
  <c r="Y2177" i="12"/>
  <c r="Z2177" i="12"/>
  <c r="Y2178" i="12"/>
  <c r="Y2179" i="12"/>
  <c r="Z2178" i="12"/>
  <c r="Y2180" i="12"/>
  <c r="Z2179" i="12"/>
  <c r="Z2180" i="12"/>
  <c r="Y2181" i="12"/>
  <c r="Z2181" i="12"/>
  <c r="Y2182" i="12"/>
  <c r="Z2182" i="12"/>
  <c r="Y2183" i="12"/>
  <c r="Y2184" i="12"/>
  <c r="Z2183" i="12"/>
  <c r="Y2185" i="12"/>
  <c r="Z2184" i="12"/>
  <c r="Y2186" i="12"/>
  <c r="Z2185" i="12"/>
  <c r="Y2187" i="12"/>
  <c r="Z2186" i="12"/>
  <c r="Y2188" i="12"/>
  <c r="Z2187" i="12"/>
  <c r="Z2188" i="12"/>
  <c r="Y2189" i="12"/>
  <c r="Y2190" i="12"/>
  <c r="Z2189" i="12"/>
  <c r="Z2190" i="12"/>
  <c r="Y2191" i="12"/>
  <c r="Z2191" i="12"/>
  <c r="Y2192" i="12"/>
  <c r="Y2193" i="12"/>
  <c r="Z2192" i="12"/>
  <c r="Z2193" i="12"/>
  <c r="Y2194" i="12"/>
  <c r="Y2195" i="12"/>
  <c r="Z2194" i="12"/>
  <c r="Z2195" i="12"/>
  <c r="Y2196" i="12"/>
  <c r="Y2197" i="12"/>
  <c r="Z2196" i="12"/>
  <c r="Y2198" i="12"/>
  <c r="Z2197" i="12"/>
  <c r="Z2198" i="12"/>
  <c r="Y2199" i="12"/>
  <c r="Y2200" i="12"/>
  <c r="Z2199" i="12"/>
  <c r="Y2201" i="12"/>
  <c r="Z2200" i="12"/>
  <c r="Y2202" i="12"/>
  <c r="Z2201" i="12"/>
  <c r="Y2203" i="12"/>
  <c r="Z2202" i="12"/>
  <c r="Y2204" i="12"/>
  <c r="Z2203" i="12"/>
  <c r="Z2204" i="12"/>
  <c r="Y2205" i="12"/>
  <c r="Z2205" i="12"/>
  <c r="Y2206" i="12"/>
  <c r="Z2206" i="12"/>
  <c r="Y2207" i="12"/>
  <c r="Z2207" i="12"/>
  <c r="Y2208" i="12"/>
  <c r="Y2209" i="12"/>
  <c r="Z2208" i="12"/>
  <c r="Z2209" i="12"/>
  <c r="Y2210" i="12"/>
  <c r="Z2210" i="12"/>
  <c r="Y2211" i="12"/>
  <c r="Z2211" i="12"/>
  <c r="Y2212" i="12"/>
  <c r="Y2213" i="12"/>
  <c r="Z2212" i="12"/>
  <c r="Z2213" i="12"/>
  <c r="Y2214" i="12"/>
  <c r="Z2214" i="12"/>
  <c r="Y2215" i="12"/>
  <c r="Z2215" i="12"/>
  <c r="Y2216" i="12"/>
  <c r="Z2216" i="12"/>
  <c r="Y2217" i="12"/>
  <c r="Z2217" i="12"/>
  <c r="Y2218" i="12"/>
  <c r="Y2219" i="12"/>
  <c r="Z2218" i="12"/>
  <c r="Z2219" i="12"/>
  <c r="Y2220" i="12"/>
  <c r="Z2220" i="12"/>
  <c r="Y2221" i="12"/>
  <c r="Z2221" i="12"/>
  <c r="Y2222" i="12"/>
  <c r="Y2223" i="12"/>
  <c r="Z2222" i="12"/>
  <c r="Y2224" i="12"/>
  <c r="Z2223" i="12"/>
  <c r="Z2224" i="12"/>
  <c r="Y2225" i="12"/>
  <c r="Y2226" i="12"/>
  <c r="Z2225" i="12"/>
  <c r="Y2227" i="12"/>
  <c r="Z2226" i="12"/>
  <c r="Y2228" i="12"/>
  <c r="Z2227" i="12"/>
  <c r="Z2228" i="12"/>
  <c r="Y2229" i="12"/>
  <c r="Z2229" i="12"/>
  <c r="Y2230" i="12"/>
  <c r="Z2230" i="12"/>
  <c r="Y2231" i="12"/>
  <c r="Z2231" i="12"/>
  <c r="Y2232" i="12"/>
  <c r="Y2233" i="12"/>
  <c r="Z2232" i="12"/>
  <c r="Z2233" i="12"/>
  <c r="Y2234" i="12"/>
  <c r="Y2235" i="12"/>
  <c r="Z2234" i="12"/>
  <c r="Z2235" i="12"/>
  <c r="Y2236" i="12"/>
  <c r="Z2236" i="12"/>
  <c r="Y2237" i="12"/>
  <c r="Y2238" i="12"/>
  <c r="Z2237" i="12"/>
  <c r="Z2238" i="12"/>
  <c r="Y2239" i="12"/>
  <c r="Y2240" i="12"/>
  <c r="Z2239" i="12"/>
  <c r="Y2241" i="12"/>
  <c r="Z2240" i="12"/>
  <c r="Y2242" i="12"/>
  <c r="Z2241" i="12"/>
  <c r="Z2242" i="12"/>
  <c r="Y2243" i="12"/>
  <c r="Z2243" i="12"/>
  <c r="Y2244" i="12"/>
  <c r="Y2245" i="12"/>
  <c r="Z2244" i="12"/>
  <c r="Y2246" i="12"/>
  <c r="Z2245" i="12"/>
  <c r="Z2246" i="12"/>
  <c r="Y2247" i="12"/>
  <c r="Z2247" i="12"/>
  <c r="Y2248" i="12"/>
  <c r="Z2248" i="12"/>
  <c r="Y2249" i="12"/>
  <c r="Z2249" i="12"/>
  <c r="Y2250" i="12"/>
  <c r="Z2250" i="12"/>
  <c r="Y2251" i="12"/>
  <c r="Z2251" i="12"/>
  <c r="Y2252" i="12"/>
  <c r="Z2252" i="12"/>
  <c r="Y2253" i="12"/>
  <c r="Z2253" i="12"/>
  <c r="Y2254" i="12"/>
  <c r="Y2255" i="12"/>
  <c r="Z2254" i="12"/>
  <c r="Y2256" i="12"/>
  <c r="Z2255" i="12"/>
  <c r="Y2257" i="12"/>
  <c r="Z2256" i="12"/>
  <c r="Z2257" i="12"/>
  <c r="Y2258" i="12"/>
  <c r="Z2258" i="12"/>
  <c r="Y2259" i="12"/>
  <c r="Z2259" i="12"/>
  <c r="Y2260" i="12"/>
  <c r="Y2261" i="12"/>
  <c r="Z2260" i="12"/>
  <c r="Y2262" i="12"/>
  <c r="Z2261" i="12"/>
  <c r="Z2262" i="12"/>
  <c r="Y2263" i="12"/>
  <c r="Y2264" i="12"/>
  <c r="Z2263" i="12"/>
  <c r="Y2265" i="12"/>
  <c r="Z2264" i="12"/>
  <c r="Z2265" i="12"/>
  <c r="Y2266" i="12"/>
  <c r="Y2267" i="12"/>
  <c r="Z2266" i="12"/>
  <c r="Z2267" i="12"/>
  <c r="Y2268" i="12"/>
  <c r="Y2269" i="12"/>
  <c r="Z2268" i="12"/>
  <c r="Z2269" i="12"/>
  <c r="Y2270" i="12"/>
  <c r="Y2271" i="12"/>
  <c r="Z2270" i="12"/>
  <c r="Z2271" i="12"/>
  <c r="Y2272" i="12"/>
  <c r="Z2272" i="12"/>
  <c r="Y2273" i="12"/>
  <c r="Z2273" i="12"/>
  <c r="Y2274" i="12"/>
  <c r="Y2275" i="12"/>
  <c r="Z2274" i="12"/>
  <c r="Z2275" i="12"/>
  <c r="Y2276" i="12"/>
  <c r="Z2276" i="12"/>
  <c r="Y2277" i="12"/>
  <c r="Z2277" i="12"/>
  <c r="Y2278" i="12"/>
  <c r="Y2279" i="12"/>
  <c r="Z2278" i="12"/>
  <c r="Z2279" i="12"/>
  <c r="Y2280" i="12"/>
  <c r="Y2281" i="12"/>
  <c r="Z2280" i="12"/>
  <c r="Z2281" i="12"/>
  <c r="Y2282" i="12"/>
  <c r="Z2282" i="12"/>
  <c r="Y2283" i="12"/>
  <c r="Y2284" i="12"/>
  <c r="Z2283" i="12"/>
  <c r="Z2284" i="12"/>
  <c r="Y2285" i="12"/>
  <c r="Z2285" i="12"/>
  <c r="Y2286" i="12"/>
  <c r="Y2287" i="12"/>
  <c r="Z2286" i="12"/>
  <c r="Z2287" i="12"/>
  <c r="Y2288" i="12"/>
  <c r="Y2289" i="12"/>
  <c r="Z2288" i="12"/>
  <c r="Z2289" i="12"/>
  <c r="Y2290" i="12"/>
  <c r="Y2291" i="12"/>
  <c r="Z2290" i="12"/>
  <c r="Z2291" i="12"/>
  <c r="Y2292" i="12"/>
  <c r="Y2293" i="12"/>
  <c r="Z2292" i="12"/>
  <c r="Z2293" i="12"/>
  <c r="Y2294" i="12"/>
  <c r="Z2294" i="12"/>
  <c r="Y2295" i="12"/>
  <c r="Y2296" i="12"/>
  <c r="Z2295" i="12"/>
  <c r="Z2296" i="12"/>
  <c r="Y2297" i="12"/>
  <c r="Y2298" i="12"/>
  <c r="Z2297" i="12"/>
  <c r="Z2298" i="12"/>
  <c r="Y2299" i="12"/>
  <c r="Y2300" i="12"/>
  <c r="Z2299" i="12"/>
  <c r="Y2301" i="12"/>
  <c r="Z2300" i="12"/>
  <c r="Y2302" i="12"/>
  <c r="Z2301" i="12"/>
  <c r="Z2302" i="12"/>
  <c r="Y2303" i="12"/>
  <c r="Y2304" i="12"/>
  <c r="Z2303" i="12"/>
  <c r="Y2305" i="12"/>
  <c r="Z2304" i="12"/>
  <c r="Y2306" i="12"/>
  <c r="Z2305" i="12"/>
  <c r="Y2307" i="12"/>
  <c r="Z2306" i="12"/>
  <c r="Z2307" i="12"/>
  <c r="Y2308" i="12"/>
  <c r="Y2309" i="12"/>
  <c r="Z2308" i="12"/>
  <c r="Y2310" i="12"/>
  <c r="Z2309" i="12"/>
  <c r="Y2311" i="12"/>
  <c r="Z2310" i="12"/>
  <c r="Y2312" i="12"/>
  <c r="Z2311" i="12"/>
  <c r="Z2312" i="12"/>
  <c r="Y2313" i="12"/>
  <c r="Y2314" i="12"/>
  <c r="Z2313" i="12"/>
  <c r="Z2314" i="12"/>
  <c r="Y2315" i="12"/>
  <c r="Z2315" i="12"/>
  <c r="Y2316" i="12"/>
  <c r="Z2316" i="12"/>
  <c r="Y2317" i="12"/>
  <c r="Y2318" i="12"/>
  <c r="Z2317" i="12"/>
  <c r="Y2319" i="12"/>
  <c r="Z2318" i="12"/>
  <c r="Y2320" i="12"/>
  <c r="Z2319" i="12"/>
  <c r="Z2320" i="12"/>
  <c r="Y2321" i="12"/>
  <c r="Z2321" i="12"/>
  <c r="Y2322" i="12"/>
  <c r="Z2322" i="12"/>
  <c r="Y2323" i="12"/>
  <c r="Y2324" i="12"/>
  <c r="Z2323" i="12"/>
  <c r="Y2325" i="12"/>
  <c r="Z2324" i="12"/>
  <c r="Z2325" i="12"/>
  <c r="Y2326" i="12"/>
  <c r="Z2326" i="12"/>
  <c r="Y2327" i="12"/>
  <c r="Y2328" i="12"/>
  <c r="Z2327" i="12"/>
  <c r="Z2328" i="12"/>
  <c r="Y2329" i="12"/>
  <c r="Y2330" i="12"/>
  <c r="Z2329" i="12"/>
  <c r="Z2330" i="12"/>
  <c r="Y2331" i="12"/>
  <c r="Z2331" i="12"/>
  <c r="Y2332" i="12"/>
  <c r="Y2333" i="12"/>
  <c r="Z2332" i="12"/>
  <c r="Z2333" i="12"/>
  <c r="Y2334" i="12"/>
  <c r="Y2335" i="12"/>
  <c r="Z2334" i="12"/>
  <c r="Z2335" i="12"/>
  <c r="Y2336" i="12"/>
  <c r="Z2336" i="12"/>
  <c r="Y2337" i="12"/>
  <c r="Y2338" i="12"/>
  <c r="Z2337" i="12"/>
  <c r="Z2338" i="12"/>
  <c r="Y2339" i="12"/>
  <c r="Y2340" i="12"/>
  <c r="Z2339" i="12"/>
  <c r="Z2340" i="12"/>
  <c r="Y2341" i="12"/>
  <c r="Z2341" i="12"/>
  <c r="Y2342" i="12"/>
  <c r="Z2342" i="12"/>
  <c r="Y2343" i="12"/>
  <c r="Y2344" i="12"/>
  <c r="Z2343" i="12"/>
  <c r="Y2345" i="12"/>
  <c r="Z2344" i="12"/>
  <c r="Y2346" i="12"/>
  <c r="Z2345" i="12"/>
  <c r="Y2347" i="12"/>
  <c r="Z2346" i="12"/>
  <c r="Z2347" i="12"/>
  <c r="Y2348" i="12"/>
  <c r="Z2348" i="12"/>
  <c r="Y2349" i="12"/>
  <c r="Y2350" i="12"/>
  <c r="Z2349" i="12"/>
  <c r="Y2351" i="12"/>
  <c r="Z2350" i="12"/>
  <c r="Z2351" i="12"/>
  <c r="Y2352" i="12"/>
  <c r="Z2352" i="12"/>
  <c r="Y2353" i="12"/>
  <c r="Z2353" i="12"/>
  <c r="Y2354" i="12"/>
  <c r="Y2355" i="12"/>
  <c r="Z2354" i="12"/>
  <c r="Z2355" i="12"/>
  <c r="Y2356" i="12"/>
  <c r="Y2357" i="12"/>
  <c r="Z2356" i="12"/>
  <c r="Y2358" i="12"/>
  <c r="Z2357" i="12"/>
  <c r="Z2358" i="12"/>
  <c r="Y2359" i="12"/>
  <c r="Y2360" i="12"/>
  <c r="Z2359" i="12"/>
  <c r="Z2360" i="12"/>
  <c r="Y2361" i="12"/>
  <c r="Y2362" i="12"/>
  <c r="Z2361" i="12"/>
  <c r="Z2362" i="12"/>
  <c r="Y2363" i="12"/>
  <c r="Y2364" i="12"/>
  <c r="Z2363" i="12"/>
  <c r="Z2364" i="12"/>
  <c r="Y2365" i="12"/>
  <c r="Y2366" i="12"/>
  <c r="Z2365" i="12"/>
  <c r="Z2366" i="12"/>
  <c r="Y2367" i="12"/>
  <c r="Z2367" i="12"/>
  <c r="Y2368" i="12"/>
  <c r="Z2368" i="12"/>
  <c r="Y2369" i="12"/>
  <c r="Y2370" i="12"/>
  <c r="Z2369" i="12"/>
  <c r="Z2370" i="12"/>
  <c r="Y2371" i="12"/>
  <c r="Y2372" i="12"/>
  <c r="Z2371" i="12"/>
  <c r="Y2373" i="12"/>
  <c r="Z2372" i="12"/>
  <c r="Y2374" i="12"/>
  <c r="Z2373" i="12"/>
  <c r="Z2374" i="12"/>
  <c r="Y2375" i="12"/>
  <c r="Z2375" i="12"/>
  <c r="Y2376" i="12"/>
  <c r="Z2376" i="12"/>
  <c r="Y2377" i="12"/>
  <c r="Z2377" i="12"/>
  <c r="Y2378" i="12"/>
  <c r="Z2378" i="12"/>
  <c r="Y2379" i="12"/>
  <c r="Y2380" i="12"/>
  <c r="Z2379" i="12"/>
  <c r="Z2380" i="12"/>
  <c r="Y2381" i="12"/>
  <c r="Z2381" i="12"/>
  <c r="Y2382" i="12"/>
  <c r="Y2383" i="12"/>
  <c r="Z2382" i="12"/>
  <c r="Y2384" i="12"/>
  <c r="Z2383" i="12"/>
  <c r="Z2384" i="12"/>
  <c r="Y2385" i="12"/>
  <c r="Z2385" i="12"/>
  <c r="Y2386" i="12"/>
  <c r="Y2387" i="12"/>
  <c r="Z2386" i="12"/>
  <c r="Y2388" i="12"/>
  <c r="Z2387" i="12"/>
  <c r="Y2389" i="12"/>
  <c r="Z2388" i="12"/>
  <c r="Y2390" i="12"/>
  <c r="Z2389" i="12"/>
  <c r="Z2390" i="12"/>
  <c r="Y2391" i="12"/>
  <c r="Y2392" i="12"/>
  <c r="Z2391" i="12"/>
  <c r="Y2393" i="12"/>
  <c r="Z2392" i="12"/>
  <c r="Z2393" i="12"/>
  <c r="Y2394" i="12"/>
  <c r="Z2394" i="12"/>
  <c r="Y2395" i="12"/>
  <c r="Y2396" i="12"/>
  <c r="Z2395" i="12"/>
  <c r="Y2397" i="12"/>
  <c r="Z2396" i="12"/>
  <c r="Z2397" i="12"/>
  <c r="Y2398" i="12"/>
  <c r="Z2398" i="12"/>
  <c r="Y2399" i="12"/>
  <c r="Y2400" i="12"/>
  <c r="Z2399" i="12"/>
  <c r="Y2401" i="12"/>
  <c r="Z2400" i="12"/>
  <c r="Y2402" i="12"/>
  <c r="Z2401" i="12"/>
  <c r="Z2402" i="12"/>
  <c r="Y2403" i="12"/>
  <c r="Z2403" i="12"/>
  <c r="Y2404" i="12"/>
  <c r="Z2404" i="12"/>
  <c r="Y2405" i="12"/>
  <c r="Z2405" i="12"/>
  <c r="Y2406" i="12"/>
  <c r="Z2406" i="12"/>
  <c r="Y2407" i="12"/>
  <c r="Z2407" i="12"/>
  <c r="Y2408" i="12"/>
  <c r="Z2408" i="12"/>
  <c r="Y2409" i="12"/>
  <c r="Z2409" i="12"/>
  <c r="Y2410" i="12"/>
  <c r="Z2410" i="12"/>
  <c r="Y2411" i="12"/>
  <c r="Y2412" i="12"/>
  <c r="Z2411" i="12"/>
  <c r="Y2413" i="12"/>
  <c r="Z2412" i="12"/>
  <c r="Y2414" i="12"/>
  <c r="Z2413" i="12"/>
  <c r="Z2414" i="12"/>
  <c r="Y2415" i="12"/>
  <c r="Z2415" i="12"/>
  <c r="Y2416" i="12"/>
  <c r="Z2416" i="12"/>
  <c r="Y2417" i="12"/>
  <c r="Y2418" i="12"/>
  <c r="Z2417" i="12"/>
  <c r="Z2418" i="12"/>
  <c r="Y2419" i="12"/>
  <c r="Y2420" i="12"/>
  <c r="Z2419" i="12"/>
  <c r="Z2420" i="12"/>
  <c r="Y2421" i="12"/>
  <c r="Y2422" i="12"/>
  <c r="Z2421" i="12"/>
  <c r="Y2423" i="12"/>
  <c r="Z2422" i="12"/>
  <c r="Y2424" i="12"/>
  <c r="Z2423" i="12"/>
  <c r="Z2424" i="12"/>
  <c r="Y2425" i="12"/>
  <c r="Z2425" i="12"/>
  <c r="Y2426" i="12"/>
  <c r="Y2427" i="12"/>
  <c r="Z2426" i="12"/>
  <c r="Z2427" i="12"/>
  <c r="Y2428" i="12"/>
  <c r="Z2428" i="12"/>
  <c r="Y2429" i="12"/>
  <c r="Z2429" i="12"/>
  <c r="Y2430" i="12"/>
  <c r="Z2430" i="12"/>
  <c r="Y2431" i="12"/>
  <c r="Y2432" i="12"/>
  <c r="Z2431" i="12"/>
  <c r="Y2433" i="12"/>
  <c r="Z2432" i="12"/>
  <c r="Y2434" i="12"/>
  <c r="Z2433" i="12"/>
  <c r="Y2435" i="12"/>
  <c r="Z2434" i="12"/>
  <c r="Y2436" i="12"/>
  <c r="Z2435" i="12"/>
  <c r="Z2436" i="12"/>
  <c r="Y2437" i="12"/>
  <c r="Y2438" i="12"/>
  <c r="Z2437" i="12"/>
  <c r="Y2439" i="12"/>
  <c r="Z2438" i="12"/>
  <c r="Y2440" i="12"/>
  <c r="Z2439" i="12"/>
  <c r="Y2441" i="12"/>
  <c r="Z2440" i="12"/>
  <c r="Z2441" i="12"/>
  <c r="Y2442" i="12"/>
  <c r="Y2443" i="12"/>
  <c r="Z2442" i="12"/>
  <c r="Y2444" i="12"/>
  <c r="Z2443" i="12"/>
  <c r="Y2445" i="12"/>
  <c r="Z2444" i="12"/>
  <c r="Z2445" i="12"/>
  <c r="Y2446" i="12"/>
  <c r="Y2447" i="12"/>
  <c r="Z2446" i="12"/>
  <c r="Y2448" i="12"/>
  <c r="Z2447" i="12"/>
  <c r="Y2449" i="12"/>
  <c r="Z2448" i="12"/>
  <c r="Y2450" i="12"/>
  <c r="Z2449" i="12"/>
  <c r="Y2451" i="12"/>
  <c r="Z2450" i="12"/>
  <c r="Z2451" i="12"/>
  <c r="Y2452" i="12"/>
  <c r="Y2453" i="12"/>
  <c r="Z2452" i="12"/>
  <c r="Z2453" i="12"/>
  <c r="Y2454" i="12"/>
  <c r="Z2454" i="12"/>
  <c r="Y2455" i="12"/>
  <c r="Z2455" i="12"/>
  <c r="Y2456" i="12"/>
  <c r="Z2456" i="12"/>
  <c r="Y2457" i="12"/>
  <c r="Z2457" i="12"/>
  <c r="Y2458" i="12"/>
  <c r="Z2458" i="12"/>
  <c r="Y2459" i="12"/>
  <c r="Z2459" i="12"/>
  <c r="Y2460" i="12"/>
  <c r="Y2461" i="12"/>
  <c r="Z2460" i="12"/>
  <c r="Y2462" i="12"/>
  <c r="Z2461" i="12"/>
  <c r="Z2462" i="12"/>
  <c r="Y2463" i="12"/>
  <c r="Y2464" i="12"/>
  <c r="Z2463" i="12"/>
  <c r="Z2464" i="12"/>
  <c r="Y2465" i="12"/>
  <c r="Y2466" i="12"/>
  <c r="Z2465" i="12"/>
  <c r="Y2467" i="12"/>
  <c r="Z2466" i="12"/>
  <c r="Z2467" i="12"/>
  <c r="Y2468" i="12"/>
  <c r="Y2469" i="12"/>
  <c r="Z2468" i="12"/>
  <c r="Z2469" i="12"/>
  <c r="Y2470" i="12"/>
  <c r="Z2470" i="12"/>
  <c r="Y2471" i="12"/>
  <c r="Y2472" i="12"/>
  <c r="Z2471" i="12"/>
  <c r="Z2472" i="12"/>
  <c r="Y2473" i="12"/>
  <c r="Z2473" i="12"/>
  <c r="Y2474" i="12"/>
  <c r="Z2474" i="12"/>
  <c r="Y2475" i="12"/>
  <c r="Z2475" i="12"/>
  <c r="Y2476" i="12"/>
  <c r="Z2476" i="12"/>
  <c r="Y2477" i="12"/>
  <c r="Z2477" i="12"/>
  <c r="Y2478" i="12"/>
  <c r="Y2479" i="12"/>
  <c r="Z2478" i="12"/>
  <c r="Z2479" i="12"/>
  <c r="Y2480" i="12"/>
  <c r="Z2480" i="12"/>
  <c r="Y2481" i="12"/>
  <c r="Y2482" i="12"/>
  <c r="Z2481" i="12"/>
  <c r="Z2482" i="12"/>
  <c r="Y2483" i="12"/>
  <c r="Z2483" i="12"/>
  <c r="Y2484" i="12"/>
  <c r="Y2485" i="12"/>
  <c r="Z2484" i="12"/>
  <c r="Z2485" i="12"/>
  <c r="Y2486" i="12"/>
  <c r="Y2487" i="12"/>
  <c r="Z2486" i="12"/>
  <c r="Z2487" i="12"/>
  <c r="Y2488" i="12"/>
  <c r="Y2489" i="12"/>
  <c r="Z2488" i="12"/>
  <c r="Z2489" i="12"/>
  <c r="Y2490" i="12"/>
  <c r="Y2491" i="12"/>
  <c r="Z2490" i="12"/>
  <c r="Y2492" i="12"/>
  <c r="Z2491" i="12"/>
  <c r="Y2493" i="12"/>
  <c r="Z2492" i="12"/>
  <c r="Y2494" i="12"/>
  <c r="Z2493" i="12"/>
  <c r="Y2495" i="12"/>
  <c r="Z2494" i="12"/>
  <c r="Y2496" i="12"/>
  <c r="Z2495" i="12"/>
  <c r="Y2497" i="12"/>
  <c r="Z2496" i="12"/>
  <c r="Y2498" i="12"/>
  <c r="Z2497" i="12"/>
  <c r="Z2498" i="12"/>
  <c r="Y2499" i="12"/>
  <c r="Z2499" i="12"/>
  <c r="Y2500" i="12"/>
  <c r="Z2500" i="12"/>
  <c r="Y2501" i="12"/>
  <c r="Z2501" i="12"/>
  <c r="Y2502" i="12"/>
  <c r="Z2502" i="12"/>
  <c r="Y2503" i="12"/>
  <c r="Z2503" i="12"/>
  <c r="Y2504" i="12"/>
  <c r="Z2504" i="12"/>
  <c r="Y2505" i="12"/>
  <c r="Z2505" i="12"/>
  <c r="Y2506" i="12"/>
  <c r="Y2507" i="12"/>
  <c r="Z2506" i="12"/>
  <c r="Y2508" i="12"/>
  <c r="Z2507" i="12"/>
  <c r="Y2509" i="12"/>
  <c r="Z2508" i="12"/>
  <c r="Y2510" i="12"/>
  <c r="Z2509" i="12"/>
  <c r="Z2510" i="12"/>
  <c r="Y2511" i="12"/>
  <c r="Y2512" i="12"/>
  <c r="Z2511" i="12"/>
  <c r="Y2513" i="12"/>
  <c r="Z2512" i="12"/>
  <c r="Y2514" i="12"/>
  <c r="Z2513" i="12"/>
  <c r="Y2515" i="12"/>
  <c r="Z2514" i="12"/>
  <c r="Z2515" i="12"/>
  <c r="Y2516" i="12"/>
  <c r="Y2517" i="12"/>
  <c r="Z2516" i="12"/>
  <c r="Y2518" i="12"/>
  <c r="Z2517" i="12"/>
  <c r="Y2519" i="12"/>
  <c r="Z2518" i="12"/>
  <c r="Z2519" i="12"/>
  <c r="Y2520" i="12"/>
  <c r="Y2521" i="12"/>
  <c r="Z2520" i="12"/>
  <c r="Z2521" i="12"/>
  <c r="Y2522" i="12"/>
  <c r="Y2523" i="12"/>
  <c r="Z2522" i="12"/>
  <c r="Z2523" i="12"/>
  <c r="Y2524" i="12"/>
  <c r="Z2524" i="12"/>
  <c r="Y2525" i="12"/>
  <c r="Z2525" i="12"/>
  <c r="Y2526" i="12"/>
  <c r="Y2527" i="12"/>
  <c r="Z2526" i="12"/>
  <c r="Z2527" i="12"/>
  <c r="Y2528" i="12"/>
  <c r="Y2529" i="12"/>
  <c r="Z2528" i="12"/>
  <c r="Z2529" i="12"/>
  <c r="Y2530" i="12"/>
  <c r="Z2530" i="12"/>
  <c r="Y2531" i="12"/>
  <c r="Z2531" i="12"/>
  <c r="Y2532" i="12"/>
  <c r="Y2533" i="12"/>
  <c r="Z2532" i="12"/>
  <c r="Y2534" i="12"/>
  <c r="Z2533" i="12"/>
  <c r="Z2534" i="12"/>
  <c r="Y2535" i="12"/>
  <c r="Z2535" i="12"/>
  <c r="Y2536" i="12"/>
  <c r="Y2537" i="12"/>
  <c r="Z2536" i="12"/>
  <c r="Y2538" i="12"/>
  <c r="Z2537" i="12"/>
  <c r="Z2538" i="12"/>
  <c r="Y2539" i="12"/>
  <c r="Z2539" i="12"/>
  <c r="Y2540" i="12"/>
  <c r="Y2541" i="12"/>
  <c r="Z2540" i="12"/>
  <c r="Z2541" i="12"/>
  <c r="Y2542" i="12"/>
  <c r="Z2542" i="12"/>
  <c r="Y2543" i="12"/>
  <c r="Y2544" i="12"/>
  <c r="Z2543" i="12"/>
  <c r="Y2545" i="12"/>
  <c r="Z2544" i="12"/>
  <c r="Y2546" i="12"/>
  <c r="Z2545" i="12"/>
  <c r="Y2547" i="12"/>
  <c r="Z2546" i="12"/>
  <c r="Y2548" i="12"/>
  <c r="Z2547" i="12"/>
  <c r="Z2548" i="12"/>
  <c r="Y2549" i="12"/>
  <c r="Z2549" i="12"/>
  <c r="Y2550" i="12"/>
  <c r="Y2551" i="12"/>
  <c r="Z2550" i="12"/>
  <c r="Y2552" i="12"/>
  <c r="Z2551" i="12"/>
  <c r="Z2552" i="12"/>
  <c r="Y2553" i="12"/>
  <c r="Z2553" i="12"/>
  <c r="Y2554" i="12"/>
  <c r="Y2555" i="12"/>
  <c r="Z2554" i="12"/>
  <c r="Y2556" i="12"/>
  <c r="Z2555" i="12"/>
  <c r="Y2557" i="12"/>
  <c r="Z2556" i="12"/>
  <c r="Z2557" i="12"/>
  <c r="Y2558" i="12"/>
  <c r="Y2559" i="12"/>
  <c r="Z2558" i="12"/>
  <c r="Z2559" i="12"/>
  <c r="Y2560" i="12"/>
  <c r="Z2560" i="12"/>
  <c r="Y2561" i="12"/>
  <c r="Z2561" i="12"/>
  <c r="Y2562" i="12"/>
  <c r="Z2562" i="12"/>
  <c r="Y2563" i="12"/>
  <c r="Y2564" i="12"/>
  <c r="Z2563" i="12"/>
  <c r="Z2564" i="12"/>
  <c r="Y2565" i="12"/>
  <c r="Z2565" i="12"/>
  <c r="Y2566" i="12"/>
  <c r="Y2567" i="12"/>
  <c r="Z2566" i="12"/>
  <c r="Y2568" i="12"/>
  <c r="Z2567" i="12"/>
  <c r="Y2569" i="12"/>
  <c r="Z2568" i="12"/>
  <c r="Y2570" i="12"/>
  <c r="Z2569" i="12"/>
  <c r="Z2570" i="12"/>
  <c r="Y2571" i="12"/>
  <c r="Y2572" i="12"/>
  <c r="Z2571" i="12"/>
  <c r="Y2573" i="12"/>
  <c r="Z2572" i="12"/>
  <c r="Y2574" i="12"/>
  <c r="Z2573" i="12"/>
  <c r="Z2574" i="12"/>
  <c r="Y2575" i="12"/>
  <c r="Z2575" i="12"/>
  <c r="Y2576" i="12"/>
  <c r="Z2576" i="12"/>
  <c r="Y2577" i="12"/>
  <c r="Z2577" i="12"/>
  <c r="Y2578" i="12"/>
  <c r="Y2579" i="12"/>
  <c r="Z2578" i="12"/>
  <c r="Z2579" i="12"/>
  <c r="Y2580" i="12"/>
  <c r="Z2580" i="12"/>
  <c r="Y2581" i="12"/>
  <c r="Y2582" i="12"/>
  <c r="Z2581" i="12"/>
  <c r="Y2583" i="12"/>
  <c r="Z2582" i="12"/>
  <c r="Z2583" i="12"/>
  <c r="Y2584" i="12"/>
  <c r="Z2584" i="12"/>
  <c r="Y2585" i="12"/>
  <c r="Z2585" i="12"/>
  <c r="Y2586" i="12"/>
  <c r="Z2586" i="12"/>
  <c r="Y2587" i="12"/>
  <c r="Y2588" i="12"/>
  <c r="Z2587" i="12"/>
  <c r="Z2588" i="12"/>
  <c r="Y2589" i="12"/>
  <c r="Y2590" i="12"/>
  <c r="Z2589" i="12"/>
  <c r="Z2590" i="12"/>
  <c r="Y2591" i="12"/>
  <c r="Z2591" i="12"/>
  <c r="Y2592" i="12"/>
  <c r="Z2592" i="12"/>
  <c r="Y2593" i="12"/>
  <c r="Z2593" i="12"/>
  <c r="Y2594" i="12"/>
  <c r="Y2595" i="12"/>
  <c r="Z2594" i="12"/>
  <c r="Y2596" i="12"/>
  <c r="Z2595" i="12"/>
  <c r="Z2596" i="12"/>
  <c r="Y2597" i="12"/>
  <c r="Y2598" i="12"/>
  <c r="Z2597" i="12"/>
  <c r="Y2599" i="12"/>
  <c r="Z2598" i="12"/>
  <c r="Y2600" i="12"/>
  <c r="Z2599" i="12"/>
  <c r="Y2601" i="12"/>
  <c r="Z2600" i="12"/>
  <c r="Z2601" i="12"/>
  <c r="Y2602" i="12"/>
  <c r="Z2602" i="12"/>
  <c r="Y2603" i="12"/>
  <c r="Y2604" i="12"/>
  <c r="Z2603" i="12"/>
  <c r="Y2605" i="12"/>
  <c r="Z2604" i="12"/>
  <c r="Z2605" i="12"/>
  <c r="Y2606" i="12"/>
  <c r="Y2607" i="12"/>
  <c r="Z2606" i="12"/>
  <c r="Y2608" i="12"/>
  <c r="Z2607" i="12"/>
  <c r="Y2609" i="12"/>
  <c r="Z2608" i="12"/>
  <c r="Y2610" i="12"/>
  <c r="Z2609" i="12"/>
  <c r="Z2610" i="12"/>
  <c r="Y2611" i="12"/>
  <c r="Z2611" i="12"/>
  <c r="Y2612" i="12"/>
  <c r="Y2613" i="12"/>
  <c r="Z2612" i="12"/>
  <c r="Y2614" i="12"/>
  <c r="Z2613" i="12"/>
  <c r="Y2615" i="12"/>
  <c r="Z2614" i="12"/>
  <c r="Z2615" i="12"/>
  <c r="Y2616" i="12"/>
  <c r="Z2616" i="12"/>
  <c r="Y2617" i="12"/>
  <c r="Y2618" i="12"/>
  <c r="Z2617" i="12"/>
  <c r="Z2618" i="12"/>
  <c r="Y2619" i="12"/>
  <c r="Y2620" i="12"/>
  <c r="Z2619" i="12"/>
  <c r="Z2620" i="12"/>
  <c r="Y2621" i="12"/>
  <c r="Z2621" i="12"/>
  <c r="Y2622" i="12"/>
  <c r="Y2623" i="12"/>
  <c r="Z2622" i="12"/>
  <c r="Z2623" i="12"/>
  <c r="Y2624" i="12"/>
  <c r="Y2625" i="12"/>
  <c r="Z2624" i="12"/>
  <c r="Y2626" i="12"/>
  <c r="Z2625" i="12"/>
  <c r="Y2627" i="12"/>
  <c r="Z2626" i="12"/>
  <c r="Y2628" i="12"/>
  <c r="Z2627" i="12"/>
  <c r="Y2629" i="12"/>
  <c r="Z2628" i="12"/>
  <c r="Z2629" i="12"/>
  <c r="Y2630" i="12"/>
  <c r="Z2630" i="12"/>
  <c r="Y2631" i="12"/>
  <c r="Y2632" i="12"/>
  <c r="Z2631" i="12"/>
  <c r="Y2633" i="12"/>
  <c r="Z2632" i="12"/>
  <c r="Z2633" i="12"/>
  <c r="Y2634" i="12"/>
  <c r="Z2634" i="12"/>
  <c r="Y2635" i="12"/>
  <c r="Z2635" i="12"/>
  <c r="Y2636" i="12"/>
  <c r="Y2637" i="12"/>
  <c r="Z2636" i="12"/>
  <c r="Y2638" i="12"/>
  <c r="Z2637" i="12"/>
  <c r="Z2638" i="12"/>
  <c r="Y2639" i="12"/>
  <c r="Z2639" i="12"/>
  <c r="Y2640" i="12"/>
  <c r="Z2640" i="12"/>
  <c r="Y2641" i="12"/>
  <c r="Z2641" i="12"/>
  <c r="Y2642" i="12"/>
  <c r="Z2642" i="12"/>
  <c r="Y2643" i="12"/>
  <c r="Z2643" i="12"/>
  <c r="Y2644" i="12"/>
  <c r="Y2645" i="12"/>
  <c r="Z2644" i="12"/>
  <c r="Z2645" i="12"/>
  <c r="Y2646" i="12"/>
  <c r="Z2646" i="12"/>
  <c r="Y2647" i="12"/>
  <c r="Y2648" i="12"/>
  <c r="Z2647" i="12"/>
  <c r="Z2648" i="12"/>
  <c r="Y2649" i="12"/>
  <c r="Y2650" i="12"/>
  <c r="Z2649" i="12"/>
  <c r="Z2650" i="12"/>
  <c r="Y2651" i="12"/>
  <c r="Y2652" i="12"/>
  <c r="Z2651" i="12"/>
  <c r="Z2652" i="12"/>
  <c r="Y2653" i="12"/>
  <c r="Y2654" i="12"/>
  <c r="Z2653" i="12"/>
  <c r="Z2654" i="12"/>
  <c r="Y2655" i="12"/>
  <c r="Y2656" i="12"/>
  <c r="Z2655" i="12"/>
  <c r="Y2657" i="12"/>
  <c r="Z2656" i="12"/>
  <c r="Z2657" i="12"/>
  <c r="Y2658" i="12"/>
  <c r="Z2658" i="12"/>
  <c r="Y2659" i="12"/>
  <c r="Y2660" i="12"/>
  <c r="Z2659" i="12"/>
  <c r="Y2661" i="12"/>
  <c r="Z2660" i="12"/>
  <c r="Y2662" i="12"/>
  <c r="Z2661" i="12"/>
  <c r="Y2663" i="12"/>
  <c r="Z2662" i="12"/>
  <c r="Y2664" i="12"/>
  <c r="Z2663" i="12"/>
  <c r="Z2664" i="12"/>
  <c r="Y2665" i="12"/>
  <c r="Z2665" i="12"/>
  <c r="Y2666" i="12"/>
  <c r="Y2667" i="12"/>
  <c r="Z2666" i="12"/>
  <c r="Y2668" i="12"/>
  <c r="Z2667" i="12"/>
  <c r="Z2668" i="12"/>
  <c r="Y2669" i="12"/>
  <c r="Z2669" i="12"/>
  <c r="Y2670" i="12"/>
  <c r="Z2670" i="12"/>
  <c r="Y2671" i="12"/>
  <c r="Y2672" i="12"/>
  <c r="Z2671" i="12"/>
  <c r="Y2673" i="12"/>
  <c r="Z2672" i="12"/>
  <c r="Y2674" i="12"/>
  <c r="Z2673" i="12"/>
  <c r="Y2675" i="12"/>
  <c r="Z2674" i="12"/>
  <c r="Y2676" i="12"/>
  <c r="Z2675" i="12"/>
  <c r="Y2677" i="12"/>
  <c r="Z2676" i="12"/>
  <c r="Z2677" i="12"/>
  <c r="Y2678" i="12"/>
  <c r="Z2678" i="12"/>
  <c r="Y2679" i="12"/>
  <c r="Y2680" i="12"/>
  <c r="Z2679" i="12"/>
  <c r="Y2681" i="12"/>
  <c r="Z2680" i="12"/>
  <c r="Z2681" i="12"/>
  <c r="Y2682" i="12"/>
  <c r="Z2682" i="12"/>
  <c r="Y2683" i="12"/>
  <c r="Y2684" i="12"/>
  <c r="Z2683" i="12"/>
  <c r="Z2684" i="12"/>
  <c r="Y2685" i="12"/>
  <c r="Z2685" i="12"/>
  <c r="Y2686" i="12"/>
  <c r="Z2686" i="12"/>
  <c r="Y2687" i="12"/>
  <c r="Y2688" i="12"/>
  <c r="Z2687" i="12"/>
  <c r="Y2689" i="12"/>
  <c r="Z2688" i="12"/>
  <c r="Y2690" i="12"/>
  <c r="Z2689" i="12"/>
  <c r="Y2691" i="12"/>
  <c r="Z2690" i="12"/>
  <c r="Y2692" i="12"/>
  <c r="Z2691" i="12"/>
  <c r="Y2693" i="12"/>
  <c r="Z2692" i="12"/>
  <c r="Z2693" i="12"/>
  <c r="Y2694" i="12"/>
  <c r="Z2694" i="12"/>
  <c r="Y2695" i="12"/>
  <c r="Z2695" i="12"/>
  <c r="Y2696" i="12"/>
  <c r="Y2697" i="12"/>
  <c r="Z2696" i="12"/>
  <c r="Y2698" i="12"/>
  <c r="Z2697" i="12"/>
  <c r="Y2699" i="12"/>
  <c r="Z2698" i="12"/>
  <c r="Y2700" i="12"/>
  <c r="Z2699" i="12"/>
  <c r="Y2701" i="12"/>
  <c r="Z2700" i="12"/>
  <c r="Z2701" i="12"/>
  <c r="Y2702" i="12"/>
  <c r="Y2703" i="12"/>
  <c r="Z2702" i="12"/>
  <c r="Z2703" i="12"/>
  <c r="Y2704" i="12"/>
  <c r="Y2705" i="12"/>
  <c r="Z2704" i="12"/>
  <c r="Z2705" i="12"/>
  <c r="Y2706" i="12"/>
  <c r="Y2707" i="12"/>
  <c r="Z2706" i="12"/>
  <c r="Y2708" i="12"/>
  <c r="Z2707" i="12"/>
  <c r="Z2708" i="12"/>
  <c r="Y2709" i="12"/>
  <c r="Z2709" i="12"/>
  <c r="Y2710" i="12"/>
  <c r="Z2710" i="12"/>
  <c r="Y2711" i="12"/>
  <c r="Y2712" i="12"/>
  <c r="Z2711" i="12"/>
  <c r="Y2713" i="12"/>
  <c r="Z2712" i="12"/>
  <c r="Z2713" i="12"/>
  <c r="Y2714" i="12"/>
  <c r="Y2715" i="12"/>
  <c r="Z2714" i="12"/>
  <c r="Z2715" i="12"/>
  <c r="Y2716" i="12"/>
  <c r="Y2717" i="12"/>
  <c r="Z2716" i="12"/>
  <c r="Z2717" i="12"/>
  <c r="Y2718" i="12"/>
  <c r="Y2719" i="12"/>
  <c r="Z2718" i="12"/>
  <c r="Z2719" i="12"/>
  <c r="Y2720" i="12"/>
  <c r="Z2720" i="12"/>
  <c r="Y2721" i="12"/>
  <c r="Y2722" i="12"/>
  <c r="Z2721" i="12"/>
  <c r="Z2722" i="12"/>
  <c r="Y2723" i="12"/>
  <c r="Y2724" i="12"/>
  <c r="Z2723" i="12"/>
  <c r="Y2725" i="12"/>
  <c r="Z2724" i="12"/>
  <c r="Y2726" i="12"/>
  <c r="Z2725" i="12"/>
  <c r="Y2727" i="12"/>
  <c r="Z2726" i="12"/>
  <c r="Y2728" i="12"/>
  <c r="Z2727" i="12"/>
  <c r="Y2729" i="12"/>
  <c r="Z2728" i="12"/>
  <c r="Z2729" i="12"/>
  <c r="Y2730" i="12"/>
  <c r="Y2731" i="12"/>
  <c r="Z2730" i="12"/>
  <c r="Y2732" i="12"/>
  <c r="Z2731" i="12"/>
  <c r="Z2732" i="12"/>
  <c r="Y2733" i="12"/>
  <c r="Z2733" i="12"/>
  <c r="Y2734" i="12"/>
  <c r="Z2734" i="12"/>
  <c r="Y2735" i="12"/>
  <c r="Z2735" i="12"/>
  <c r="Y2736" i="12"/>
  <c r="Z2736" i="12"/>
  <c r="Y2737" i="12"/>
  <c r="Z2737" i="12"/>
  <c r="Y2738" i="12"/>
  <c r="Z2738" i="12"/>
  <c r="Y2739" i="12"/>
  <c r="Z2739" i="12"/>
  <c r="Y2740" i="12"/>
  <c r="Y2741" i="12"/>
  <c r="Z2740" i="12"/>
  <c r="Z2741" i="12"/>
  <c r="Y2742" i="12"/>
  <c r="Z2742" i="12"/>
  <c r="Y2743" i="12"/>
  <c r="Z2743" i="12"/>
  <c r="Y2744" i="12"/>
  <c r="Z2744" i="12"/>
  <c r="Y2745" i="12"/>
  <c r="Z2745" i="12"/>
  <c r="Y2746" i="12"/>
  <c r="Y2747" i="12"/>
  <c r="Z2746" i="12"/>
  <c r="Z2747" i="12"/>
  <c r="Y2748" i="12"/>
  <c r="Y2749" i="12"/>
  <c r="Z2748" i="12"/>
  <c r="Y2750" i="12"/>
  <c r="Z2749" i="12"/>
  <c r="Y2751" i="12"/>
  <c r="Z2750" i="12"/>
  <c r="Y2752" i="12"/>
  <c r="Z2751" i="12"/>
  <c r="Z2752" i="12"/>
  <c r="Y2753" i="12"/>
  <c r="Z2753" i="12"/>
  <c r="Y2754" i="12"/>
  <c r="Y2755" i="12"/>
  <c r="Z2754" i="12"/>
  <c r="Y2756" i="12"/>
  <c r="Z2755" i="12"/>
  <c r="Y2757" i="12"/>
  <c r="Z2756" i="12"/>
  <c r="Y2758" i="12"/>
  <c r="Z2757" i="12"/>
  <c r="Z2758" i="12"/>
  <c r="Y2759" i="12"/>
  <c r="Z2759" i="12"/>
  <c r="Y2760" i="12"/>
  <c r="Y2761" i="12"/>
  <c r="Z2760" i="12"/>
  <c r="Y2762" i="12"/>
  <c r="Z2761" i="12"/>
  <c r="Y2763" i="12"/>
  <c r="Z2762" i="12"/>
  <c r="Z2763" i="12"/>
  <c r="Y2764" i="12"/>
  <c r="Z2764" i="12"/>
  <c r="Y2765" i="12"/>
  <c r="Z2765" i="12"/>
  <c r="Y2766" i="12"/>
  <c r="Y2767" i="12"/>
  <c r="Z2766" i="12"/>
  <c r="Y2768" i="12"/>
  <c r="Z2767" i="12"/>
  <c r="Y2769" i="12"/>
  <c r="Z2768" i="12"/>
  <c r="Y2770" i="12"/>
  <c r="Z2769" i="12"/>
  <c r="Y2771" i="12"/>
  <c r="Z2770" i="12"/>
  <c r="Z2771" i="12"/>
  <c r="Y2772" i="12"/>
  <c r="Y2773" i="12"/>
  <c r="Z2772" i="12"/>
  <c r="Z2773" i="12"/>
  <c r="Y2774" i="12"/>
  <c r="Y2775" i="12"/>
  <c r="Z2774" i="12"/>
  <c r="Z2775" i="12"/>
  <c r="Y2776" i="12"/>
  <c r="Z2776" i="12"/>
  <c r="Y2777" i="12"/>
  <c r="Z2777" i="12"/>
  <c r="Y2778" i="12"/>
  <c r="Y2779" i="12"/>
  <c r="Z2778" i="12"/>
  <c r="Z2779" i="12"/>
  <c r="Y2780" i="12"/>
  <c r="Z2780" i="12"/>
  <c r="Y2781" i="12"/>
  <c r="Z2781" i="12"/>
  <c r="Y2782" i="12"/>
  <c r="Z2782" i="12"/>
  <c r="Y2783" i="12"/>
  <c r="Z2783" i="12"/>
  <c r="Y2784" i="12"/>
  <c r="Z2784" i="12"/>
  <c r="Y2785" i="12"/>
  <c r="Z2785" i="12"/>
  <c r="Y2786" i="12"/>
  <c r="Y2787" i="12"/>
  <c r="Z2786" i="12"/>
  <c r="Z2787" i="12"/>
  <c r="Y2788" i="12"/>
  <c r="Z2788" i="12"/>
  <c r="Y2789" i="12"/>
  <c r="Y2790" i="12"/>
  <c r="Z2789" i="12"/>
  <c r="Y2791" i="12"/>
  <c r="Z2790" i="12"/>
  <c r="Y2792" i="12"/>
  <c r="Z2791" i="12"/>
  <c r="Z2792" i="12"/>
  <c r="Y2793" i="12"/>
  <c r="Y2794" i="12"/>
  <c r="Z2793" i="12"/>
  <c r="Z2794" i="12"/>
  <c r="Y2795" i="12"/>
  <c r="Y2796" i="12"/>
  <c r="Z2795" i="12"/>
  <c r="Y2797" i="12"/>
  <c r="Z2796" i="12"/>
  <c r="Y2798" i="12"/>
  <c r="Z2797" i="12"/>
  <c r="Y2799" i="12"/>
  <c r="Z2798" i="12"/>
  <c r="Y2800" i="12"/>
  <c r="Z2799" i="12"/>
  <c r="Z2800" i="12"/>
  <c r="Y2801" i="12"/>
  <c r="Z2801" i="12"/>
  <c r="Y2802" i="12"/>
  <c r="Y2803" i="12"/>
  <c r="Z2802" i="12"/>
  <c r="Y2804" i="12"/>
  <c r="Z2803" i="12"/>
  <c r="Y2805" i="12"/>
  <c r="Z2804" i="12"/>
  <c r="Z2805" i="12"/>
  <c r="Y2806" i="12"/>
  <c r="Y2807" i="12"/>
  <c r="Z2806" i="12"/>
  <c r="Z2807" i="12"/>
  <c r="Y2808" i="12"/>
  <c r="Z2808" i="12"/>
  <c r="Y2809" i="12"/>
  <c r="Y2810" i="12"/>
  <c r="Z2809" i="12"/>
  <c r="Y2811" i="12"/>
  <c r="Z2810" i="12"/>
  <c r="Z2811" i="12"/>
  <c r="Y2812" i="12"/>
  <c r="Z2812" i="12"/>
  <c r="Y2813" i="12"/>
  <c r="Y2814" i="12"/>
  <c r="Z2813" i="12"/>
  <c r="Y2815" i="12"/>
  <c r="Z2814" i="12"/>
  <c r="Z2815" i="12"/>
  <c r="Y2816" i="12"/>
  <c r="Z2816" i="12"/>
  <c r="Y2817" i="12"/>
  <c r="Y2818" i="12"/>
  <c r="Z2817" i="12"/>
  <c r="Z2818" i="12"/>
  <c r="Y2819" i="12"/>
  <c r="Y2820" i="12"/>
  <c r="Z2819" i="12"/>
  <c r="Y2821" i="12"/>
  <c r="Z2820" i="12"/>
  <c r="Y2822" i="12"/>
  <c r="Z2821" i="12"/>
  <c r="Y2823" i="12"/>
  <c r="Z2822" i="12"/>
  <c r="Z2823" i="12"/>
  <c r="Y2824" i="12"/>
  <c r="Z2824" i="12"/>
  <c r="Y2825" i="12"/>
  <c r="Z2825" i="12"/>
  <c r="Y2826" i="12"/>
  <c r="Y2827" i="12"/>
  <c r="Z2826" i="12"/>
  <c r="Y2828" i="12"/>
  <c r="Z2827" i="12"/>
  <c r="Z2828" i="12"/>
  <c r="Y2829" i="12"/>
  <c r="Y2830" i="12"/>
  <c r="Z2829" i="12"/>
  <c r="Z2830" i="12"/>
  <c r="Y2831" i="12"/>
  <c r="Z2831" i="12"/>
  <c r="Y2832" i="12"/>
  <c r="Y2833" i="12"/>
  <c r="Z2832" i="12"/>
  <c r="Y2834" i="12"/>
  <c r="Z2833" i="12"/>
  <c r="Y2835" i="12"/>
  <c r="Z2834" i="12"/>
  <c r="Z2835" i="12"/>
  <c r="Y2836" i="12"/>
  <c r="Z2836" i="12"/>
  <c r="Y2837" i="12"/>
  <c r="Z2837" i="12"/>
  <c r="Y2838" i="12"/>
  <c r="Z2838" i="12"/>
  <c r="Y2839" i="12"/>
  <c r="Z2839" i="12"/>
  <c r="Y2840" i="12"/>
  <c r="Y2841" i="12"/>
  <c r="Z2840" i="12"/>
  <c r="Z2841" i="12"/>
  <c r="Y2842" i="12"/>
  <c r="Z2842" i="12"/>
  <c r="Y2843" i="12"/>
  <c r="Z2843" i="12"/>
  <c r="Y2844" i="12"/>
  <c r="Y2845" i="12"/>
  <c r="Z2844" i="12"/>
  <c r="Y2846" i="12"/>
  <c r="Z2845" i="12"/>
  <c r="Y2847" i="12"/>
  <c r="Z2846" i="12"/>
  <c r="Z2847" i="12"/>
  <c r="Y2848" i="12"/>
  <c r="Y2849" i="12"/>
  <c r="Z2848" i="12"/>
  <c r="Y2850" i="12"/>
  <c r="Z2849" i="12"/>
  <c r="Z2850" i="12"/>
  <c r="Y2851" i="12"/>
  <c r="Z2851" i="12"/>
  <c r="Y2852" i="12"/>
  <c r="Z2852" i="12"/>
  <c r="Y2853" i="12"/>
  <c r="Z2853" i="12"/>
  <c r="Y2854" i="12"/>
  <c r="Z2854" i="12"/>
  <c r="Y2855" i="12"/>
  <c r="Z2855" i="12"/>
  <c r="Y2856" i="12"/>
  <c r="Y2857" i="12"/>
  <c r="Z2856" i="12"/>
  <c r="Y2858" i="12"/>
  <c r="Z2857" i="12"/>
  <c r="Y2859" i="12"/>
  <c r="Z2858" i="12"/>
  <c r="Y2860" i="12"/>
  <c r="Z2859" i="12"/>
  <c r="Y2861" i="12"/>
  <c r="Z2860" i="12"/>
  <c r="Z2861" i="12"/>
  <c r="Y2862" i="12"/>
  <c r="Z2862" i="12"/>
  <c r="Y2863" i="12"/>
  <c r="Z2863" i="12"/>
  <c r="Y2864" i="12"/>
  <c r="Z2864" i="12"/>
  <c r="Y2865" i="12"/>
  <c r="Z2865" i="12"/>
  <c r="Y2866" i="12"/>
  <c r="Y2867" i="12"/>
  <c r="Z2866" i="12"/>
  <c r="Y2868" i="12"/>
  <c r="Z2867" i="12"/>
  <c r="Z2868" i="12"/>
  <c r="Y2869" i="12"/>
  <c r="Z2869" i="12"/>
  <c r="Y2870" i="12"/>
  <c r="Z2870" i="12"/>
  <c r="Y2871" i="12"/>
  <c r="Y2872" i="12"/>
  <c r="Z2871" i="12"/>
  <c r="Y2873" i="12"/>
  <c r="Z2872" i="12"/>
  <c r="Z2873" i="12"/>
  <c r="Y2874" i="12"/>
  <c r="Z2874" i="12"/>
  <c r="Y2875" i="12"/>
  <c r="Z2875" i="12"/>
  <c r="Y2876" i="12"/>
  <c r="Z2876" i="12"/>
  <c r="Y2877" i="12"/>
  <c r="Z2877" i="12"/>
  <c r="Y2878" i="12"/>
  <c r="Y2879" i="12"/>
  <c r="Z2878" i="12"/>
  <c r="Z2879" i="12"/>
  <c r="Y2880" i="12"/>
  <c r="Y2881" i="12"/>
  <c r="Z2880" i="12"/>
  <c r="Y2882" i="12"/>
  <c r="Z2881" i="12"/>
  <c r="Z2882" i="12"/>
  <c r="Y2883" i="12"/>
  <c r="Z2883" i="12"/>
  <c r="Y2884" i="12"/>
  <c r="Z2884" i="12"/>
  <c r="Y2885" i="12"/>
  <c r="Y2886" i="12"/>
  <c r="Z2885" i="12"/>
  <c r="Y2887" i="12"/>
  <c r="Z2886" i="12"/>
  <c r="Z2887" i="12"/>
  <c r="Y2888" i="12"/>
  <c r="Y2889" i="12"/>
  <c r="Z2888" i="12"/>
  <c r="Z2889" i="12"/>
  <c r="Y2890" i="12"/>
  <c r="Y2891" i="12"/>
  <c r="Z2890" i="12"/>
  <c r="Y2892" i="12"/>
  <c r="Z2891" i="12"/>
  <c r="Z2892" i="12"/>
  <c r="Y2893" i="12"/>
  <c r="Y2894" i="12"/>
  <c r="Z2893" i="12"/>
  <c r="Y2895" i="12"/>
  <c r="Z2894" i="12"/>
  <c r="Y2896" i="12"/>
  <c r="Z2895" i="12"/>
  <c r="Y2897" i="12"/>
  <c r="Z2896" i="12"/>
  <c r="Y2898" i="12"/>
  <c r="Z2897" i="12"/>
  <c r="Z2898" i="12"/>
  <c r="Y2899" i="12"/>
  <c r="Y2900" i="12"/>
  <c r="Z2899" i="12"/>
  <c r="Z2900" i="12"/>
  <c r="Y2901" i="12"/>
  <c r="Z2901" i="12"/>
  <c r="Y2902" i="12"/>
  <c r="Y2903" i="12"/>
  <c r="Z2902" i="12"/>
  <c r="Z2903" i="12"/>
  <c r="Y2904" i="12"/>
  <c r="Y2905" i="12"/>
  <c r="Z2904" i="12"/>
  <c r="Y2906" i="12"/>
  <c r="Z2905" i="12"/>
  <c r="Y2907" i="12"/>
  <c r="Z2906" i="12"/>
  <c r="Y2908" i="12"/>
  <c r="Z2907" i="12"/>
  <c r="Y2909" i="12"/>
  <c r="Z2908" i="12"/>
  <c r="Z2909" i="12"/>
  <c r="Y2910" i="12"/>
  <c r="Y2911" i="12"/>
  <c r="Z2910" i="12"/>
  <c r="Y2912" i="12"/>
  <c r="Z2911" i="12"/>
  <c r="Z2912" i="12"/>
  <c r="Y2913" i="12"/>
  <c r="Y2914" i="12"/>
  <c r="Z2913" i="12"/>
  <c r="Y2915" i="12"/>
  <c r="Z2914" i="12"/>
  <c r="Y2916" i="12"/>
  <c r="Z2915" i="12"/>
  <c r="Y2917" i="12"/>
  <c r="Z2916" i="12"/>
  <c r="Y2918" i="12"/>
  <c r="Z2917" i="12"/>
  <c r="Y2919" i="12"/>
  <c r="Z2918" i="12"/>
  <c r="Z2919" i="12"/>
  <c r="Y2920" i="12"/>
  <c r="Y2921" i="12"/>
  <c r="Z2920" i="12"/>
  <c r="Y2922" i="12"/>
  <c r="Z2921" i="12"/>
  <c r="Y2923" i="12"/>
  <c r="Z2922" i="12"/>
  <c r="Y2924" i="12"/>
  <c r="Z2923" i="12"/>
  <c r="Y2925" i="12"/>
  <c r="Z2924" i="12"/>
  <c r="Y2926" i="12"/>
  <c r="Z2925" i="12"/>
  <c r="Z2926" i="12"/>
  <c r="Y2927" i="12"/>
  <c r="Z2927" i="12"/>
  <c r="Y2928" i="12"/>
  <c r="Y2929" i="12"/>
  <c r="Z2928" i="12"/>
  <c r="Z2929" i="12"/>
  <c r="Y2930" i="12"/>
  <c r="Y2931" i="12"/>
  <c r="Z2930" i="12"/>
  <c r="Z2931" i="12"/>
  <c r="Y2932" i="12"/>
  <c r="Z2932" i="12"/>
  <c r="Y2933" i="12"/>
  <c r="Y2934" i="12"/>
  <c r="Z2933" i="12"/>
  <c r="Y2935" i="12"/>
  <c r="Z2934" i="12"/>
  <c r="Z2935" i="12"/>
  <c r="Y2936" i="12"/>
  <c r="Y2937" i="12"/>
  <c r="Z2936" i="12"/>
  <c r="Z2937" i="12"/>
  <c r="Y2938" i="12"/>
  <c r="Z2938" i="12"/>
  <c r="Y2939" i="12"/>
  <c r="Y2940" i="12"/>
  <c r="Z2939" i="12"/>
  <c r="Z2940" i="12"/>
  <c r="Y2941" i="12"/>
  <c r="Y2942" i="12"/>
  <c r="Z2941" i="12"/>
  <c r="Z2942" i="12"/>
  <c r="Y2943" i="12"/>
  <c r="Y2944" i="12"/>
  <c r="Z2943" i="12"/>
  <c r="Y2945" i="12"/>
  <c r="Z2944" i="12"/>
  <c r="Y2946" i="12"/>
  <c r="Z2945" i="12"/>
  <c r="Z2946" i="12"/>
  <c r="Y2947" i="12"/>
  <c r="Z2947" i="12"/>
  <c r="Y2948" i="12"/>
  <c r="Z2948" i="12"/>
  <c r="Y2949" i="12"/>
  <c r="Y2950" i="12"/>
  <c r="Z2949" i="12"/>
  <c r="Y2951" i="12"/>
  <c r="Z2950" i="12"/>
  <c r="Y2952" i="12"/>
  <c r="Z2951" i="12"/>
  <c r="Y2953" i="12"/>
  <c r="Z2952" i="12"/>
  <c r="Z2953" i="12"/>
  <c r="Y2954" i="12"/>
  <c r="Z2954" i="12"/>
  <c r="Y2955" i="12"/>
  <c r="Y2956" i="12"/>
  <c r="Z2955" i="12"/>
  <c r="Y2957" i="12"/>
  <c r="Z2956" i="12"/>
  <c r="Y2958" i="12"/>
  <c r="Z2957" i="12"/>
  <c r="Z2958" i="12"/>
  <c r="Y2959" i="12"/>
  <c r="Z2959" i="12"/>
  <c r="Y2960" i="12"/>
  <c r="Y2961" i="12"/>
  <c r="Z2960" i="12"/>
  <c r="Z2961" i="12"/>
  <c r="Y2962" i="12"/>
  <c r="Y2963" i="12"/>
  <c r="Z2962" i="12"/>
  <c r="Z2963" i="12"/>
  <c r="Y2964" i="12"/>
  <c r="Y2965" i="12"/>
  <c r="Z2964" i="12"/>
  <c r="Y2966" i="12"/>
  <c r="Z2965" i="12"/>
  <c r="Y2967" i="12"/>
  <c r="Z2966" i="12"/>
  <c r="Y2968" i="12"/>
  <c r="Z2967" i="12"/>
  <c r="Z2968" i="12"/>
  <c r="Y2969" i="12"/>
  <c r="Z2969" i="12"/>
  <c r="Y2970" i="12"/>
  <c r="Z2970" i="12"/>
  <c r="Y2971" i="12"/>
  <c r="Y2972" i="12"/>
  <c r="Z2971" i="12"/>
  <c r="Z2972" i="12"/>
  <c r="Y2973" i="12"/>
  <c r="Y2974" i="12"/>
  <c r="Z2973" i="12"/>
  <c r="Y2975" i="12"/>
  <c r="Z2974" i="12"/>
  <c r="Z2975" i="12"/>
  <c r="Y2976" i="12"/>
  <c r="Y2977" i="12"/>
  <c r="Z2976" i="12"/>
  <c r="Y2978" i="12"/>
  <c r="Z2977" i="12"/>
  <c r="Z2978" i="12"/>
  <c r="Y2979" i="12"/>
  <c r="Z2979" i="12"/>
  <c r="Y2980" i="12"/>
  <c r="Y2981" i="12"/>
  <c r="Z2980" i="12"/>
  <c r="Z2981" i="12"/>
  <c r="Y2982" i="12"/>
  <c r="Z2982" i="12"/>
  <c r="Y2983" i="12"/>
  <c r="Z2983" i="12"/>
  <c r="Y2984" i="12"/>
  <c r="Y2985" i="12"/>
  <c r="Z2984" i="12"/>
  <c r="Z2985" i="12"/>
  <c r="Y2986" i="12"/>
  <c r="Z2986" i="12"/>
  <c r="Y2987" i="12"/>
  <c r="Z2987" i="12"/>
  <c r="Y2988" i="12"/>
  <c r="Z2988" i="12"/>
  <c r="Y2989" i="12"/>
  <c r="Y2990" i="12"/>
  <c r="Z2989" i="12"/>
  <c r="Z2990" i="12"/>
  <c r="Y2991" i="12"/>
  <c r="Z2991" i="12"/>
  <c r="Y2992" i="12"/>
  <c r="Y2993" i="12"/>
  <c r="Z2992" i="12"/>
  <c r="Z2993" i="12"/>
  <c r="Y2994" i="12"/>
  <c r="Y2995" i="12"/>
  <c r="Z2994" i="12"/>
  <c r="Z2995" i="12"/>
  <c r="Y2996" i="12"/>
  <c r="Z2996" i="12"/>
  <c r="Y2997" i="12"/>
  <c r="Z2997" i="12"/>
  <c r="Y2998" i="12"/>
  <c r="Z2998" i="12"/>
  <c r="Y2999" i="12"/>
  <c r="Y3000" i="12"/>
  <c r="Z2999" i="12"/>
  <c r="Z3000" i="12"/>
  <c r="Y3001" i="12"/>
  <c r="Y3002" i="12"/>
  <c r="Z3001" i="12"/>
  <c r="Z3002" i="12"/>
  <c r="Y3003" i="12"/>
  <c r="Z3003" i="12"/>
  <c r="Y3004" i="12"/>
  <c r="Y3005" i="12"/>
  <c r="Z3004" i="12"/>
  <c r="Y3006" i="12"/>
  <c r="Z3005" i="12"/>
  <c r="Z3006" i="12"/>
  <c r="Y3007" i="12"/>
  <c r="Y3008" i="12"/>
  <c r="Z3007" i="12"/>
  <c r="Z3008" i="12"/>
  <c r="Y3009" i="12"/>
  <c r="Z3009" i="12"/>
  <c r="Y3010" i="12"/>
  <c r="Y3011" i="12"/>
  <c r="Z3010" i="12"/>
  <c r="Y3012" i="12"/>
  <c r="Z3011" i="12"/>
  <c r="Z3012" i="12"/>
  <c r="Y3013" i="12"/>
  <c r="Y3014" i="12"/>
  <c r="Z3013" i="12"/>
  <c r="Y3015" i="12"/>
  <c r="Z3014" i="12"/>
  <c r="Z3015" i="12"/>
  <c r="Y3016" i="12"/>
  <c r="Y3017" i="12"/>
  <c r="Z3016" i="12"/>
  <c r="Z3017" i="12"/>
  <c r="Y3018" i="12"/>
  <c r="Z3018" i="12"/>
  <c r="Y3019" i="12"/>
  <c r="Y3020" i="12"/>
  <c r="Z3019" i="12"/>
  <c r="Y3021" i="12"/>
  <c r="Z3020" i="12"/>
  <c r="Y3022" i="12"/>
  <c r="Z3021" i="12"/>
  <c r="Y3023" i="12"/>
  <c r="Z3022" i="12"/>
  <c r="Y3024" i="12"/>
  <c r="Z3023" i="12"/>
  <c r="Z3024" i="12"/>
  <c r="Y3025" i="12"/>
  <c r="Y3026" i="12"/>
  <c r="Z3025" i="12"/>
  <c r="Z3026" i="12"/>
  <c r="Y3027" i="12"/>
  <c r="Z3027" i="12"/>
  <c r="Y3028" i="12"/>
  <c r="Z3028" i="12"/>
  <c r="Y3029" i="12"/>
  <c r="Y3030" i="12"/>
  <c r="Z3029" i="12"/>
  <c r="Z3030" i="12"/>
  <c r="Y3031" i="12"/>
  <c r="Y3032" i="12"/>
  <c r="Z3031" i="12"/>
  <c r="Y3033" i="12"/>
  <c r="Z3032" i="12"/>
  <c r="Z3033" i="12"/>
  <c r="Y3034" i="12"/>
  <c r="Y3035" i="12"/>
  <c r="Z3034" i="12"/>
  <c r="Z3035" i="12"/>
  <c r="Y3036" i="12"/>
  <c r="Y3037" i="12"/>
  <c r="Z3036" i="12"/>
  <c r="Y3038" i="12"/>
  <c r="Z3037" i="12"/>
  <c r="Y3039" i="12"/>
  <c r="Z3038" i="12"/>
  <c r="Z3039" i="12"/>
  <c r="Y3040" i="12"/>
  <c r="Z3040" i="12"/>
  <c r="Y3041" i="12"/>
  <c r="Y3042" i="12"/>
  <c r="Z3041" i="12"/>
  <c r="Y3043" i="12"/>
  <c r="Z3042" i="12"/>
  <c r="Z3043" i="12"/>
  <c r="Y3044" i="12"/>
  <c r="Z3044" i="12"/>
  <c r="Y3045" i="12"/>
  <c r="Z3045" i="12"/>
  <c r="Y3046" i="12"/>
  <c r="Y3047" i="12"/>
  <c r="Z3046" i="12"/>
  <c r="Z3047" i="12"/>
  <c r="Y3048" i="12"/>
  <c r="Y3049" i="12"/>
  <c r="Z3048" i="12"/>
  <c r="Y3050" i="12"/>
  <c r="Z3049" i="12"/>
  <c r="Z3050" i="12"/>
  <c r="Y3051" i="12"/>
  <c r="Y3052" i="12"/>
  <c r="Z3051" i="12"/>
  <c r="Y3053" i="12"/>
  <c r="Z3052" i="12"/>
  <c r="Z3053" i="12"/>
  <c r="Y3054" i="12"/>
  <c r="Y3055" i="12"/>
  <c r="Z3054" i="12"/>
  <c r="Z3055" i="12"/>
  <c r="Y3056" i="12"/>
  <c r="Z3056" i="12"/>
  <c r="Y3057" i="12"/>
  <c r="Z3057" i="12"/>
  <c r="Y3058" i="12"/>
  <c r="Y3059" i="12"/>
  <c r="Z3058" i="12"/>
  <c r="Y3060" i="12"/>
  <c r="Z3059" i="12"/>
  <c r="Y3061" i="12"/>
  <c r="Z3060" i="12"/>
  <c r="Z3061" i="12"/>
  <c r="Y3062" i="12"/>
  <c r="Y3063" i="12"/>
  <c r="Z3062" i="12"/>
  <c r="Z3063" i="12"/>
  <c r="Y3064" i="12"/>
  <c r="Y3065" i="12"/>
  <c r="Z3064" i="12"/>
  <c r="Y3066" i="12"/>
  <c r="Z3065" i="12"/>
  <c r="Y3067" i="12"/>
  <c r="Z3066" i="12"/>
  <c r="Y3068" i="12"/>
  <c r="Z3067" i="12"/>
  <c r="Z3068" i="12"/>
  <c r="Y3069" i="12"/>
  <c r="Y3070" i="12"/>
  <c r="Z3069" i="12"/>
  <c r="Y3071" i="12"/>
  <c r="Z3070" i="12"/>
  <c r="Z3071" i="12"/>
  <c r="Y3072" i="12"/>
  <c r="Y3073" i="12"/>
  <c r="Z3072" i="12"/>
  <c r="Y3074" i="12"/>
  <c r="Z3073" i="12"/>
  <c r="Y3075" i="12"/>
  <c r="Z3074" i="12"/>
  <c r="Z3075" i="12"/>
  <c r="Y3076" i="12"/>
  <c r="Z3076" i="12"/>
  <c r="Y3077" i="12"/>
  <c r="Z3077" i="12"/>
  <c r="Y3078" i="12"/>
  <c r="Y3079" i="12"/>
  <c r="Z3078" i="12"/>
  <c r="Y3080" i="12"/>
  <c r="Z3079" i="12"/>
  <c r="Z3080" i="12"/>
  <c r="Y3081" i="12"/>
  <c r="Y3082" i="12"/>
  <c r="Z3081" i="12"/>
  <c r="Y3083" i="12"/>
  <c r="Z3082" i="12"/>
  <c r="Y3084" i="12"/>
  <c r="Z3083" i="12"/>
  <c r="Z3084" i="12"/>
  <c r="Y3085" i="12"/>
  <c r="Z3085" i="12"/>
  <c r="Y3086" i="12"/>
  <c r="Z3086" i="12"/>
  <c r="Y3087" i="12"/>
  <c r="Z3087" i="12"/>
  <c r="Y3088" i="12"/>
  <c r="Y3089" i="12"/>
  <c r="Z3088" i="12"/>
  <c r="Y3090" i="12"/>
  <c r="Z3089" i="12"/>
  <c r="Y3091" i="12"/>
  <c r="Z3090" i="12"/>
  <c r="Z3091" i="12"/>
  <c r="Y3092" i="12"/>
  <c r="Y3093" i="12"/>
  <c r="Z3092" i="12"/>
  <c r="Y3094" i="12"/>
  <c r="Z3093" i="12"/>
  <c r="Z3094" i="12"/>
  <c r="Y3095" i="12"/>
  <c r="Y3096" i="12"/>
  <c r="Z3095" i="12"/>
  <c r="Y3097" i="12"/>
  <c r="Z3096" i="12"/>
  <c r="Z3097" i="12"/>
  <c r="Y3098" i="12"/>
  <c r="Z3098" i="12"/>
  <c r="Y3099" i="12"/>
  <c r="Y3100" i="12"/>
  <c r="Z3099" i="12"/>
  <c r="Y3101" i="12"/>
  <c r="Z3100" i="12"/>
  <c r="Y3102" i="12"/>
  <c r="Z3101" i="12"/>
  <c r="Z3102" i="12"/>
  <c r="Y3103" i="12"/>
  <c r="Y3104" i="12"/>
  <c r="Z3103" i="12"/>
  <c r="Z3104" i="12"/>
  <c r="Y3105" i="12"/>
  <c r="Z3105" i="12"/>
  <c r="Y3106" i="12"/>
  <c r="Y3107" i="12"/>
  <c r="Z3106" i="12"/>
  <c r="Y3108" i="12"/>
  <c r="Z3107" i="12"/>
  <c r="Y3109" i="12"/>
  <c r="Z3108" i="12"/>
  <c r="Y3110" i="12"/>
  <c r="Z3109" i="12"/>
  <c r="Y3111" i="12"/>
  <c r="Z3110" i="12"/>
  <c r="Z3111" i="12"/>
  <c r="Y3112" i="12"/>
  <c r="Y3113" i="12"/>
  <c r="Z3112" i="12"/>
  <c r="Z3113" i="12"/>
  <c r="Y3114" i="12"/>
  <c r="Y3115" i="12"/>
  <c r="Z3114" i="12"/>
  <c r="Z3115" i="12"/>
  <c r="Y3116" i="12"/>
  <c r="Z3116" i="12"/>
  <c r="Y3117" i="12"/>
  <c r="Y3118" i="12"/>
  <c r="Z3117" i="12"/>
  <c r="Z3118" i="12"/>
  <c r="Y3119" i="12"/>
  <c r="Y3120" i="12"/>
  <c r="Z3119" i="12"/>
  <c r="Y3121" i="12"/>
  <c r="Z3120" i="12"/>
  <c r="Y3122" i="12"/>
  <c r="Z3121" i="12"/>
  <c r="Z3122" i="12"/>
  <c r="Y3123" i="12"/>
  <c r="Y3124" i="12"/>
  <c r="Z3123" i="12"/>
  <c r="Z3124" i="12"/>
  <c r="Y3125" i="12"/>
  <c r="Y3126" i="12"/>
  <c r="Z3125" i="12"/>
  <c r="Y3127" i="12"/>
  <c r="Z3126" i="12"/>
  <c r="Y3128" i="12"/>
  <c r="Z3127" i="12"/>
  <c r="Y3129" i="12"/>
  <c r="Z3128" i="12"/>
  <c r="Y3130" i="12"/>
  <c r="Z3129" i="12"/>
  <c r="Y3131" i="12"/>
  <c r="Z3130" i="12"/>
  <c r="Y3132" i="12"/>
  <c r="Z3131" i="12"/>
  <c r="Y3133" i="12"/>
  <c r="Z3132" i="12"/>
  <c r="Y3134" i="12"/>
  <c r="Z3133" i="12"/>
  <c r="Y3135" i="12"/>
  <c r="Z3134" i="12"/>
  <c r="Z3135" i="12"/>
  <c r="Y3136" i="12"/>
  <c r="Y3137" i="12"/>
  <c r="Z3136" i="12"/>
  <c r="Z3137" i="12"/>
  <c r="Y3138" i="12"/>
  <c r="Y3139" i="12"/>
  <c r="Z3138" i="12"/>
  <c r="Y3140" i="12"/>
  <c r="Z3139" i="12"/>
  <c r="Y3141" i="12"/>
  <c r="Z3140" i="12"/>
  <c r="Y3142" i="12"/>
  <c r="Z3141" i="12"/>
  <c r="Y3143" i="12"/>
  <c r="Z3142" i="12"/>
  <c r="Z3143" i="12"/>
  <c r="Y3144" i="12"/>
  <c r="Y3145" i="12"/>
  <c r="Z3144" i="12"/>
  <c r="Y3146" i="12"/>
  <c r="Z3145" i="12"/>
  <c r="Z3146" i="12"/>
  <c r="Y3147" i="12"/>
  <c r="Z3147" i="12"/>
  <c r="Y3148" i="12"/>
  <c r="Z3148" i="12"/>
  <c r="Y3149" i="12"/>
  <c r="Y3150" i="12"/>
  <c r="Z3149" i="12"/>
  <c r="Y3151" i="12"/>
  <c r="Z3150" i="12"/>
  <c r="Y3152" i="12"/>
  <c r="Z3151" i="12"/>
  <c r="Z3152" i="12"/>
  <c r="Y3153" i="12"/>
  <c r="Y3154" i="12"/>
  <c r="Z3153" i="12"/>
  <c r="Y3155" i="12"/>
  <c r="Z3154" i="12"/>
  <c r="Y3156" i="12"/>
  <c r="Z3155" i="12"/>
  <c r="Z3156" i="12"/>
  <c r="Y3157" i="12"/>
  <c r="Z3157" i="12"/>
  <c r="Y3158" i="12"/>
  <c r="Y3159" i="12"/>
  <c r="Z3158" i="12"/>
  <c r="Z3159" i="12"/>
  <c r="Y3160" i="12"/>
  <c r="Z3160" i="12"/>
  <c r="Y3161" i="12"/>
  <c r="Y3162" i="12"/>
  <c r="Z3161" i="12"/>
  <c r="Y3163" i="12"/>
  <c r="Z3162" i="12"/>
  <c r="Z3163" i="12"/>
  <c r="Y3164" i="12"/>
  <c r="Y3165" i="12"/>
  <c r="Z3164" i="12"/>
  <c r="Z3165" i="12"/>
  <c r="Y3166" i="12"/>
  <c r="Z3166" i="12"/>
  <c r="Y3167" i="12"/>
  <c r="Y3168" i="12"/>
  <c r="Z3167" i="12"/>
  <c r="Z3168" i="12"/>
  <c r="Y3169" i="12"/>
  <c r="Z3169" i="12"/>
  <c r="Y3170" i="12"/>
  <c r="Z3170" i="12"/>
  <c r="Y3171" i="12"/>
  <c r="Y3172" i="12"/>
  <c r="Z3171" i="12"/>
  <c r="Y3173" i="12"/>
  <c r="Z3172" i="12"/>
  <c r="Z3173" i="12"/>
  <c r="Y3174" i="12"/>
  <c r="Y3175" i="12"/>
  <c r="Z3174" i="12"/>
  <c r="Z3175" i="12"/>
  <c r="Y3176" i="12"/>
  <c r="Y3177" i="12"/>
  <c r="Z3176" i="12"/>
  <c r="Y3178" i="12"/>
  <c r="Z3177" i="12"/>
  <c r="Z3178" i="12"/>
  <c r="Y3179" i="12"/>
  <c r="Z3179" i="12"/>
  <c r="Y3180" i="12"/>
  <c r="Y3181" i="12"/>
  <c r="Z3180" i="12"/>
  <c r="Z3181" i="12"/>
  <c r="Y3182" i="12"/>
  <c r="Y3183" i="12"/>
  <c r="Z3182" i="12"/>
  <c r="Y3184" i="12"/>
  <c r="Z3183" i="12"/>
  <c r="Y3185" i="12"/>
  <c r="Z3184" i="12"/>
  <c r="Y3186" i="12"/>
  <c r="Z3185" i="12"/>
  <c r="Z3186" i="12"/>
  <c r="Y3187" i="12"/>
  <c r="Y3188" i="12"/>
  <c r="Z3187" i="12"/>
  <c r="Z3188" i="12"/>
  <c r="Y3189" i="12"/>
  <c r="Y3190" i="12"/>
  <c r="Z3189" i="12"/>
  <c r="Y3191" i="12"/>
  <c r="Z3190" i="12"/>
  <c r="Y3192" i="12"/>
  <c r="Z3191" i="12"/>
  <c r="Y3193" i="12"/>
  <c r="Z3192" i="12"/>
  <c r="Z3193" i="12"/>
  <c r="Y3194" i="12"/>
  <c r="Y3195" i="12"/>
  <c r="Z3194" i="12"/>
  <c r="Z3195" i="12"/>
  <c r="Y3196" i="12"/>
  <c r="Z3196" i="12"/>
  <c r="Y3197" i="12"/>
  <c r="Y3198" i="12"/>
  <c r="Z3197" i="12"/>
  <c r="Y3199" i="12"/>
  <c r="Z3198" i="12"/>
  <c r="Z3199" i="12"/>
  <c r="Y3200" i="12"/>
  <c r="Y3201" i="12"/>
  <c r="Z3200" i="12"/>
  <c r="Z3201" i="12"/>
  <c r="Y3202" i="12"/>
  <c r="Z3202" i="12"/>
  <c r="Y3203" i="12"/>
  <c r="Z3203" i="12"/>
  <c r="Y3204" i="12"/>
  <c r="Y3205" i="12"/>
  <c r="Z3204" i="12"/>
  <c r="Z3205" i="12"/>
  <c r="Y3206" i="12"/>
  <c r="Z3206" i="12"/>
  <c r="Y3207" i="12"/>
  <c r="Z3207" i="12"/>
  <c r="Y3208" i="12"/>
  <c r="Z3208" i="12"/>
  <c r="Y3209" i="12"/>
  <c r="Z3209" i="12"/>
  <c r="Y3210" i="12"/>
  <c r="Y3211" i="12"/>
  <c r="Z3210" i="12"/>
  <c r="Y3212" i="12"/>
  <c r="Z3211" i="12"/>
  <c r="Z3212" i="12"/>
  <c r="Y3213" i="12"/>
  <c r="Z3213" i="12"/>
  <c r="Y3214" i="12"/>
  <c r="Y3215" i="12"/>
  <c r="Z3214" i="12"/>
  <c r="Z3215" i="12"/>
  <c r="Y3216" i="12"/>
  <c r="Z3216" i="12"/>
  <c r="Y3217" i="12"/>
  <c r="Y3218" i="12"/>
  <c r="Z3217" i="12"/>
  <c r="Y3219" i="12"/>
  <c r="Z3218" i="12"/>
  <c r="Y3220" i="12"/>
  <c r="Z3219" i="12"/>
  <c r="Y3221" i="12"/>
  <c r="Z3220" i="12"/>
  <c r="Z3221" i="12"/>
  <c r="Y3222" i="12"/>
  <c r="Y3223" i="12"/>
  <c r="Z3222" i="12"/>
  <c r="Z3223" i="12"/>
  <c r="Y3224" i="12"/>
  <c r="Z3224" i="12"/>
  <c r="Y3225" i="12"/>
  <c r="Z3225" i="12"/>
  <c r="Y3226" i="12"/>
  <c r="Z3226" i="12"/>
  <c r="Y3227" i="12"/>
  <c r="Z3227" i="12"/>
  <c r="Y3228" i="12"/>
  <c r="Y3229" i="12"/>
  <c r="Z3228" i="12"/>
  <c r="Y3230" i="12"/>
  <c r="Z3229" i="12"/>
  <c r="Y3231" i="12"/>
  <c r="Z3230" i="12"/>
  <c r="Z3231" i="12"/>
  <c r="Y3232" i="12"/>
  <c r="Z3232" i="12"/>
  <c r="Y3233" i="12"/>
  <c r="Z3233" i="12"/>
  <c r="Y3234" i="12"/>
  <c r="Z3234" i="12"/>
  <c r="Y3235" i="12"/>
  <c r="Z3235" i="12"/>
  <c r="Y3236" i="12"/>
  <c r="Z3236" i="12"/>
  <c r="Y3237" i="12"/>
  <c r="Z3237" i="12"/>
  <c r="Y3238" i="12"/>
  <c r="Y3239" i="12"/>
  <c r="Z3238" i="12"/>
  <c r="Y3240" i="12"/>
  <c r="Z3239" i="12"/>
  <c r="Z3240" i="12"/>
  <c r="Y3241" i="12"/>
  <c r="Z3241" i="12"/>
  <c r="Y3242" i="12"/>
  <c r="Z3242" i="12"/>
  <c r="Y3243" i="12"/>
  <c r="Y3244" i="12"/>
  <c r="Z3243" i="12"/>
  <c r="Y3245" i="12"/>
  <c r="Z3244" i="12"/>
  <c r="Z3245" i="12"/>
  <c r="Y3246" i="12"/>
  <c r="Y3247" i="12"/>
  <c r="Z3246" i="12"/>
  <c r="Y3248" i="12"/>
  <c r="Z3247" i="12"/>
  <c r="Y3249" i="12"/>
  <c r="Z3248" i="12"/>
  <c r="Y3250" i="12"/>
  <c r="Z3249" i="12"/>
  <c r="Z3250" i="12"/>
  <c r="Y3251" i="12"/>
  <c r="Y3252" i="12"/>
  <c r="Z3251" i="12"/>
  <c r="Y3253" i="12"/>
  <c r="Z3252" i="12"/>
  <c r="Y3254" i="12"/>
  <c r="Z3253" i="12"/>
  <c r="Z3254" i="12"/>
  <c r="Y3255" i="12"/>
  <c r="Z3255" i="12"/>
  <c r="Y3256" i="12"/>
  <c r="Y3257" i="12"/>
  <c r="Z3256" i="12"/>
  <c r="Y3258" i="12"/>
  <c r="Z3257" i="12"/>
  <c r="Z3258" i="12"/>
  <c r="Y3259" i="12"/>
  <c r="Y3260" i="12"/>
  <c r="Z3259" i="12"/>
  <c r="Y3261" i="12"/>
  <c r="Z3260" i="12"/>
  <c r="Y3262" i="12"/>
  <c r="Z3261" i="12"/>
  <c r="Y3263" i="12"/>
  <c r="Z3262" i="12"/>
  <c r="Y3264" i="12"/>
  <c r="Z3263" i="12"/>
  <c r="Z3264" i="12"/>
  <c r="Y3265" i="12"/>
  <c r="Y3266" i="12"/>
  <c r="Z3265" i="12"/>
  <c r="Y3267" i="12"/>
  <c r="Z3266" i="12"/>
  <c r="Y3268" i="12"/>
  <c r="Z3267" i="12"/>
  <c r="Z3268" i="12"/>
  <c r="Y3269" i="12"/>
  <c r="Z3269" i="12"/>
  <c r="Y3270" i="12"/>
  <c r="Z3270" i="12"/>
  <c r="Y3271" i="12"/>
  <c r="Y3272" i="12"/>
  <c r="Z3271" i="12"/>
  <c r="Y3273" i="12"/>
  <c r="Z3272" i="12"/>
  <c r="Z3273" i="12"/>
  <c r="Y3274" i="12"/>
  <c r="Y3275" i="12"/>
  <c r="Z3274" i="12"/>
  <c r="Z3275" i="12"/>
  <c r="Y3276" i="12"/>
  <c r="Y3277" i="12"/>
  <c r="Z3276" i="12"/>
  <c r="Y3278" i="12"/>
  <c r="Z3277" i="12"/>
  <c r="Y3279" i="12"/>
  <c r="Z3278" i="12"/>
  <c r="Y3280" i="12"/>
  <c r="Z3279" i="12"/>
  <c r="Y3281" i="12"/>
  <c r="Z3280" i="12"/>
  <c r="Z3281" i="12"/>
  <c r="Y3282" i="12"/>
  <c r="Z3282" i="12"/>
  <c r="Y3283" i="12"/>
  <c r="Y3284" i="12"/>
  <c r="Z3283" i="12"/>
  <c r="Y3285" i="12"/>
  <c r="Z3284" i="12"/>
  <c r="Z3285" i="12"/>
  <c r="Y3286" i="12"/>
  <c r="Z3286" i="12"/>
  <c r="Y3287" i="12"/>
  <c r="Y3288" i="12"/>
  <c r="Z3287" i="12"/>
  <c r="Z3288" i="12"/>
  <c r="Y3289" i="12"/>
  <c r="Z3289" i="12"/>
  <c r="Y3290" i="12"/>
  <c r="Z3290" i="12"/>
  <c r="Y3291" i="12"/>
  <c r="Z3291" i="12"/>
  <c r="Y3292" i="12"/>
  <c r="Y3293" i="12"/>
  <c r="Z3292" i="12"/>
  <c r="Z3293" i="12"/>
  <c r="Y3294" i="12"/>
  <c r="Y3295" i="12"/>
  <c r="Z3294" i="12"/>
  <c r="Z3295" i="12"/>
  <c r="Y3296" i="12"/>
  <c r="Y3297" i="12"/>
  <c r="Z3296" i="12"/>
  <c r="Y3298" i="12"/>
  <c r="Z3297" i="12"/>
  <c r="Z3298" i="12"/>
  <c r="Y3299" i="12"/>
  <c r="Z3299" i="12"/>
  <c r="Y3300" i="12"/>
  <c r="Y3301" i="12"/>
  <c r="Z3300" i="12"/>
  <c r="Z3301" i="12"/>
  <c r="Y3302" i="12"/>
  <c r="Y3303" i="12"/>
  <c r="Z3302" i="12"/>
  <c r="Z3303" i="12"/>
  <c r="Y3304" i="12"/>
  <c r="Y3305" i="12"/>
  <c r="Z3304" i="12"/>
  <c r="Y3306" i="12"/>
  <c r="Z3305" i="12"/>
  <c r="Z3306" i="12"/>
  <c r="Y3307" i="12"/>
  <c r="Z3307" i="12"/>
  <c r="Y3308" i="12"/>
  <c r="Y3309" i="12"/>
  <c r="Z3308" i="12"/>
  <c r="Y3310" i="12"/>
  <c r="Z3309" i="12"/>
  <c r="Y3311" i="12"/>
  <c r="Z3310" i="12"/>
  <c r="Z3311" i="12"/>
  <c r="Y3312" i="12"/>
  <c r="Y3313" i="12"/>
  <c r="Z3312" i="12"/>
  <c r="Y3314" i="12"/>
  <c r="Z3313" i="12"/>
  <c r="Y3315" i="12"/>
  <c r="Z3314" i="12"/>
  <c r="Y3316" i="12"/>
  <c r="Z3315" i="12"/>
  <c r="Y3317" i="12"/>
  <c r="Z3316" i="12"/>
  <c r="Y3318" i="12"/>
  <c r="Z3317" i="12"/>
  <c r="Y3319" i="12"/>
  <c r="Z3318" i="12"/>
  <c r="Y3320" i="12"/>
  <c r="Z3319" i="12"/>
  <c r="Z3320" i="12"/>
  <c r="Y3321" i="12"/>
  <c r="Y3322" i="12"/>
  <c r="Z3321" i="12"/>
  <c r="Z3322" i="12"/>
  <c r="Y3323" i="12"/>
  <c r="Y3324" i="12"/>
  <c r="Z3323" i="12"/>
  <c r="Z3324" i="12"/>
  <c r="Y3325" i="12"/>
  <c r="Y3326" i="12"/>
  <c r="Z3325" i="12"/>
  <c r="Y3327" i="12"/>
  <c r="Z3326" i="12"/>
  <c r="Z3327" i="12"/>
  <c r="Y3328" i="12"/>
  <c r="Z3328" i="12"/>
  <c r="Y3329" i="12"/>
  <c r="Z3329" i="12"/>
  <c r="Y3330" i="12"/>
  <c r="Z3330" i="12"/>
  <c r="Y3331" i="12"/>
  <c r="Y3332" i="12"/>
  <c r="Z3331" i="12"/>
  <c r="Y3333" i="12"/>
  <c r="Z3332" i="12"/>
  <c r="Y3334" i="12"/>
  <c r="Z3333" i="12"/>
  <c r="Z3334" i="12"/>
  <c r="Y3335" i="12"/>
  <c r="Z3335" i="12"/>
  <c r="Y3336" i="12"/>
  <c r="Y3337" i="12"/>
  <c r="Z3336" i="12"/>
  <c r="Z3337" i="12"/>
  <c r="Y3338" i="12"/>
  <c r="Y3339" i="12"/>
  <c r="Z3338" i="12"/>
  <c r="Y3340" i="12"/>
  <c r="Z3339" i="12"/>
  <c r="Z3340" i="12"/>
  <c r="Y3341" i="12"/>
  <c r="Y3342" i="12"/>
  <c r="Z3341" i="12"/>
  <c r="Z3342" i="12"/>
  <c r="Y3343" i="12"/>
  <c r="Y3344" i="12"/>
  <c r="Z3343" i="12"/>
  <c r="Z3344" i="12"/>
  <c r="Y3345" i="12"/>
  <c r="Z3345" i="12"/>
  <c r="Y3346" i="12"/>
  <c r="Y3347" i="12"/>
  <c r="Z3346" i="12"/>
  <c r="Z3347" i="12"/>
  <c r="Y3348" i="12"/>
  <c r="Z3348" i="12"/>
  <c r="Y3349" i="12"/>
  <c r="Y3350" i="12"/>
  <c r="Z3349" i="12"/>
  <c r="Y3351" i="12"/>
  <c r="Z3350" i="12"/>
  <c r="Y3352" i="12"/>
  <c r="Z3351" i="12"/>
  <c r="Y3353" i="12"/>
  <c r="Z3352" i="12"/>
  <c r="Y3354" i="12"/>
  <c r="Z3353" i="12"/>
  <c r="Y3355" i="12"/>
  <c r="Z3354" i="12"/>
  <c r="Y3356" i="12"/>
  <c r="Z3355" i="12"/>
  <c r="Y3357" i="12"/>
  <c r="Z3356" i="12"/>
  <c r="Y3358" i="12"/>
  <c r="Z3357" i="12"/>
  <c r="Z3358" i="12"/>
  <c r="Y3359" i="12"/>
  <c r="Y3360" i="12"/>
  <c r="Z3359" i="12"/>
  <c r="Y3361" i="12"/>
  <c r="Z3360" i="12"/>
  <c r="Y3362" i="12"/>
  <c r="Z3361" i="12"/>
  <c r="Y3363" i="12"/>
  <c r="Z3362" i="12"/>
  <c r="Z3363" i="12"/>
  <c r="Y3364" i="12"/>
  <c r="Z3364" i="12"/>
  <c r="Y3365" i="12"/>
  <c r="Z3365" i="12"/>
  <c r="Y3366" i="12"/>
  <c r="Y3367" i="12"/>
  <c r="Z3366" i="12"/>
  <c r="Y3368" i="12"/>
  <c r="Z3367" i="12"/>
  <c r="Y3369" i="12"/>
  <c r="Z3368" i="12"/>
  <c r="Z3369" i="12"/>
  <c r="Y3370" i="12"/>
  <c r="Z3370" i="12"/>
  <c r="Y3371" i="12"/>
  <c r="Y3372" i="12"/>
  <c r="Z3371" i="12"/>
  <c r="Y3373" i="12"/>
  <c r="Z3372" i="12"/>
  <c r="Z3373" i="12"/>
  <c r="Y3374" i="12"/>
  <c r="Y3375" i="12"/>
  <c r="Z3374" i="12"/>
  <c r="Z3375" i="12"/>
  <c r="Y3376" i="12"/>
  <c r="Y3377" i="12"/>
  <c r="Z3376" i="12"/>
  <c r="Z3377" i="12"/>
  <c r="Y3378" i="12"/>
  <c r="Y3379" i="12"/>
  <c r="Z3378" i="12"/>
  <c r="Y3380" i="12"/>
  <c r="Z3379" i="12"/>
  <c r="Y3381" i="12"/>
  <c r="Z3380" i="12"/>
  <c r="Z3381" i="12"/>
  <c r="Y3382" i="12"/>
  <c r="Z3382" i="12"/>
  <c r="Y3383" i="12"/>
  <c r="Y3384" i="12"/>
  <c r="Z3383" i="12"/>
  <c r="Z3384" i="12"/>
  <c r="Y3385" i="12"/>
  <c r="Y3386" i="12"/>
  <c r="Z3385" i="12"/>
  <c r="Z3386" i="12"/>
  <c r="Y3387" i="12"/>
  <c r="Z3387" i="12"/>
  <c r="Y3388" i="12"/>
  <c r="Z3388" i="12"/>
  <c r="Y3389" i="12"/>
  <c r="Z3389" i="12"/>
  <c r="Y3390" i="12"/>
  <c r="Y3391" i="12"/>
  <c r="Z3390" i="12"/>
  <c r="Z3391" i="12"/>
  <c r="Y3392" i="12"/>
  <c r="Z3392" i="12"/>
  <c r="Y3393" i="12"/>
  <c r="Y3394" i="12"/>
  <c r="Z3393" i="12"/>
  <c r="Y3395" i="12"/>
  <c r="Z3394" i="12"/>
  <c r="Y3396" i="12"/>
  <c r="Z3395" i="12"/>
  <c r="Y3397" i="12"/>
  <c r="Z3396" i="12"/>
  <c r="Y3398" i="12"/>
  <c r="Z3397" i="12"/>
  <c r="Z3398" i="12"/>
  <c r="Y3399" i="12"/>
  <c r="Y3400" i="12"/>
  <c r="Z3399" i="12"/>
  <c r="Y3401" i="12"/>
  <c r="Z3400" i="12"/>
  <c r="Y3402" i="12"/>
  <c r="Z3401" i="12"/>
  <c r="Y3403" i="12"/>
  <c r="Z3402" i="12"/>
  <c r="Y3404" i="12"/>
  <c r="Z3403" i="12"/>
  <c r="Y3405" i="12"/>
  <c r="Z3404" i="12"/>
  <c r="Y3406" i="12"/>
  <c r="Z3405" i="12"/>
  <c r="Z3406" i="12"/>
  <c r="Y3407" i="12"/>
  <c r="Z3407" i="12"/>
  <c r="Y3408" i="12"/>
  <c r="Z3408" i="12"/>
  <c r="Y3409" i="12"/>
  <c r="Z3409" i="12"/>
  <c r="Y3410" i="12"/>
  <c r="Y3411" i="12"/>
  <c r="Z3410" i="12"/>
  <c r="Z3411" i="12"/>
  <c r="Y3412" i="12"/>
  <c r="Y3413" i="12"/>
  <c r="Z3412" i="12"/>
  <c r="Y3414" i="12"/>
  <c r="Z3413" i="12"/>
  <c r="Z3414" i="12"/>
  <c r="Y3415" i="12"/>
  <c r="Y3416" i="12"/>
  <c r="Z3415" i="12"/>
  <c r="Z3416" i="12"/>
  <c r="Y3417" i="12"/>
  <c r="Y3418" i="12"/>
  <c r="Z3417" i="12"/>
  <c r="Y3419" i="12"/>
  <c r="Z3418" i="12"/>
  <c r="Z3419" i="12"/>
  <c r="Y3420" i="12"/>
  <c r="Y3421" i="12"/>
  <c r="Z3420" i="12"/>
  <c r="Z3421" i="12"/>
  <c r="Y3422" i="12"/>
  <c r="Z3422" i="12"/>
  <c r="Y3423" i="12"/>
  <c r="Z3423" i="12"/>
  <c r="Y3424" i="12"/>
  <c r="Y3425" i="12"/>
  <c r="Z3424" i="12"/>
  <c r="Y3426" i="12"/>
  <c r="Z3425" i="12"/>
  <c r="Z3426" i="12"/>
  <c r="Y3427" i="12"/>
  <c r="Z3427" i="12"/>
  <c r="Y3428" i="12"/>
  <c r="Y3429" i="12"/>
  <c r="Z3428" i="12"/>
  <c r="Z3429" i="12"/>
  <c r="Y3430" i="12"/>
  <c r="Z3430" i="12"/>
  <c r="Y3431" i="12"/>
  <c r="Y3432" i="12"/>
  <c r="Z3431" i="12"/>
  <c r="Z3432" i="12"/>
  <c r="Y3433" i="12"/>
  <c r="Y3434" i="12"/>
  <c r="Z3433" i="12"/>
  <c r="Z3434" i="12"/>
  <c r="Y3435" i="12"/>
  <c r="Y3436" i="12"/>
  <c r="Z3435" i="12"/>
  <c r="Y3437" i="12"/>
  <c r="Z3436" i="12"/>
  <c r="Y3438" i="12"/>
  <c r="Z3437" i="12"/>
  <c r="Y3439" i="12"/>
  <c r="Z3438" i="12"/>
  <c r="Z3439" i="12"/>
  <c r="Y3440" i="12"/>
  <c r="Y3441" i="12"/>
  <c r="Z3440" i="12"/>
  <c r="Z3441" i="12"/>
  <c r="Y3442" i="12"/>
  <c r="Z3442" i="12"/>
  <c r="Y3443" i="12"/>
  <c r="Y3444" i="12"/>
  <c r="Z3443" i="12"/>
  <c r="Y3445" i="12"/>
  <c r="Z3444" i="12"/>
  <c r="Y3446" i="12"/>
  <c r="Z3445" i="12"/>
  <c r="Z3446" i="12"/>
  <c r="Y3447" i="12"/>
  <c r="Z3447" i="12"/>
  <c r="Y3448" i="12"/>
  <c r="Y3449" i="12"/>
  <c r="Z3448" i="12"/>
  <c r="Z3449" i="12"/>
  <c r="Y3450" i="12"/>
  <c r="Z3450" i="12"/>
  <c r="Y3451" i="12"/>
  <c r="Z3451" i="12"/>
  <c r="Y3452" i="12"/>
  <c r="Y3453" i="12"/>
  <c r="Z3452" i="12"/>
  <c r="Y3454" i="12"/>
  <c r="Z3453" i="12"/>
  <c r="Y3455" i="12"/>
  <c r="Z3454" i="12"/>
  <c r="Z3455" i="12"/>
  <c r="Y3456" i="12"/>
  <c r="Y3457" i="12"/>
  <c r="Z3456" i="12"/>
  <c r="Z3457" i="12"/>
  <c r="Y3458" i="12"/>
  <c r="Z3458" i="12"/>
  <c r="Y3459" i="12"/>
  <c r="Z3459" i="12"/>
  <c r="Y3460" i="12"/>
  <c r="Z3460" i="12"/>
  <c r="Y3461" i="12"/>
  <c r="Z3461" i="12"/>
  <c r="Y3462" i="12"/>
  <c r="Z3462" i="12"/>
  <c r="Y3463" i="12"/>
  <c r="Z3463" i="12"/>
  <c r="Y3464" i="12"/>
  <c r="Y3465" i="12"/>
  <c r="Z3464" i="12"/>
  <c r="Z3465" i="12"/>
  <c r="Y3466" i="12"/>
  <c r="Y3467" i="12"/>
  <c r="Z3466" i="12"/>
  <c r="Y3468" i="12"/>
  <c r="Z3467" i="12"/>
  <c r="Y3469" i="12"/>
  <c r="Z3468" i="12"/>
  <c r="Z3469" i="12"/>
  <c r="Y3470" i="12"/>
  <c r="Y3471" i="12"/>
  <c r="Z3470" i="12"/>
  <c r="Y3472" i="12"/>
  <c r="Z3471" i="12"/>
  <c r="Z3472" i="12"/>
  <c r="Y3473" i="12"/>
  <c r="Z3473" i="12"/>
  <c r="Y3474" i="12"/>
  <c r="Z3474" i="12"/>
  <c r="Y3475" i="12"/>
  <c r="Z3475" i="12"/>
  <c r="Y3476" i="12"/>
  <c r="Y3477" i="12"/>
  <c r="Z3476" i="12"/>
  <c r="Y3478" i="12"/>
  <c r="Z3477" i="12"/>
  <c r="Y3479" i="12"/>
  <c r="Z3478" i="12"/>
  <c r="Z3479" i="12"/>
  <c r="Y3480" i="12"/>
  <c r="Z3480" i="12"/>
  <c r="Y3481" i="12"/>
  <c r="Z3481" i="12"/>
  <c r="Y3482" i="12"/>
  <c r="Y3483" i="12"/>
  <c r="Z3482" i="12"/>
  <c r="Z3483" i="12"/>
  <c r="Y3484" i="12"/>
  <c r="Z3484" i="12"/>
  <c r="Y3485" i="12"/>
  <c r="Y3486" i="12"/>
  <c r="Z3485" i="12"/>
  <c r="Z3486" i="12"/>
  <c r="Y3487" i="12"/>
  <c r="Z3487" i="12"/>
  <c r="Y3488" i="12"/>
  <c r="Z3488" i="12"/>
  <c r="Y3489" i="12"/>
  <c r="Z3489" i="12"/>
  <c r="Y3490" i="12"/>
  <c r="Y3491" i="12"/>
  <c r="Z3490" i="12"/>
  <c r="Y3492" i="12"/>
  <c r="Z3491" i="12"/>
  <c r="Z3492" i="12"/>
  <c r="Y3493" i="12"/>
  <c r="Z3493" i="12"/>
  <c r="Y3494" i="12"/>
  <c r="Y3495" i="12"/>
  <c r="Z3494" i="12"/>
  <c r="Y3496" i="12"/>
  <c r="Z3495" i="12"/>
  <c r="Z3496" i="12"/>
  <c r="Y3497" i="12"/>
  <c r="Z3497" i="12"/>
  <c r="Y3498" i="12"/>
  <c r="Y3499" i="12"/>
  <c r="Z3498" i="12"/>
  <c r="Z3499" i="12"/>
  <c r="Y3500" i="12"/>
  <c r="Y3501" i="12"/>
  <c r="Z3500" i="12"/>
  <c r="Y3502" i="12"/>
  <c r="Z3501" i="12"/>
  <c r="Z3502" i="12"/>
  <c r="Y3503" i="12"/>
  <c r="Y3504" i="12"/>
  <c r="Z3503" i="12"/>
  <c r="Z3504" i="12"/>
  <c r="Y3505" i="12"/>
  <c r="Z3505" i="12"/>
  <c r="Y3506" i="12"/>
  <c r="Z3506" i="12"/>
  <c r="Y3507" i="12"/>
  <c r="Y3508" i="12"/>
  <c r="Z3507" i="12"/>
  <c r="Y3509" i="12"/>
  <c r="Z3508" i="12"/>
  <c r="Z3509" i="12"/>
  <c r="Y3510" i="12"/>
  <c r="Z3510" i="12"/>
  <c r="Y3511" i="12"/>
  <c r="Y3512" i="12"/>
  <c r="Z3511" i="12"/>
  <c r="Y3513" i="12"/>
  <c r="Z3512" i="12"/>
  <c r="Z3513" i="12"/>
  <c r="Y3514" i="12"/>
  <c r="Z3514" i="12"/>
  <c r="Y3515" i="12"/>
  <c r="Y3516" i="12"/>
  <c r="Z3515" i="12"/>
  <c r="Z3516" i="12"/>
  <c r="Y3517" i="12"/>
  <c r="Y3518" i="12"/>
  <c r="Z3517" i="12"/>
  <c r="Y3519" i="12"/>
  <c r="Z3518" i="12"/>
  <c r="Y3520" i="12"/>
  <c r="Z3519" i="12"/>
  <c r="Y3521" i="12"/>
  <c r="Z3520" i="12"/>
  <c r="Z3521" i="12"/>
  <c r="Y3522" i="12"/>
  <c r="Y3523" i="12"/>
  <c r="Z3522" i="12"/>
  <c r="Y3524" i="12"/>
  <c r="Z3523" i="12"/>
  <c r="Z3524" i="12"/>
  <c r="Y3525" i="12"/>
  <c r="Z3525" i="12"/>
  <c r="Y3526" i="12"/>
  <c r="Z3526" i="12"/>
  <c r="Y3527" i="12"/>
  <c r="Z3527" i="12"/>
  <c r="Y3528" i="12"/>
  <c r="Z3528" i="12"/>
  <c r="Y3529" i="12"/>
  <c r="Y3530" i="12"/>
  <c r="Z3529" i="12"/>
  <c r="Y3531" i="12"/>
  <c r="Z3530" i="12"/>
  <c r="Z3531" i="12"/>
  <c r="Y3532" i="12"/>
  <c r="Y3533" i="12"/>
  <c r="Z3532" i="12"/>
  <c r="Z3533" i="12"/>
  <c r="Y3534" i="12"/>
  <c r="Z3534" i="12"/>
  <c r="Y3535" i="12"/>
  <c r="Y3536" i="12"/>
  <c r="Z3535" i="12"/>
  <c r="Y3537" i="12"/>
  <c r="Z3536" i="12"/>
  <c r="Z3537" i="12"/>
  <c r="Y3538" i="12"/>
  <c r="Y3539" i="12"/>
  <c r="Z3538" i="12"/>
  <c r="Y3540" i="12"/>
  <c r="Z3539" i="12"/>
  <c r="Z3540" i="12"/>
  <c r="Y3541" i="12"/>
  <c r="Y3542" i="12"/>
  <c r="Z3541" i="12"/>
  <c r="Y3543" i="12"/>
  <c r="Z3542" i="12"/>
  <c r="Y3544" i="12"/>
  <c r="Z3543" i="12"/>
  <c r="Y3545" i="12"/>
  <c r="Z3544" i="12"/>
  <c r="Y3546" i="12"/>
  <c r="Z3545" i="12"/>
  <c r="Z3546" i="12"/>
  <c r="Y3547" i="12"/>
  <c r="Y3548" i="12"/>
  <c r="Z3547" i="12"/>
  <c r="Z3548" i="12"/>
  <c r="Y3549" i="12"/>
  <c r="Y3550" i="12"/>
  <c r="Z3549" i="12"/>
  <c r="Z3550" i="12"/>
  <c r="Y3551" i="12"/>
  <c r="Y3552" i="12"/>
  <c r="Z3551" i="12"/>
  <c r="AA19" i="12" a="1"/>
  <c r="Z3552" i="12"/>
  <c r="AA237" i="12" l="1"/>
  <c r="AA872" i="12"/>
  <c r="AA2138" i="12"/>
  <c r="AA376" i="12"/>
  <c r="AA1166" i="12"/>
  <c r="AA2907" i="12"/>
  <c r="AA3212" i="12"/>
  <c r="AA1021" i="12"/>
  <c r="AA3015" i="12"/>
  <c r="AA223" i="12"/>
  <c r="AA574" i="12"/>
  <c r="AA2423" i="12"/>
  <c r="AA3478" i="12"/>
  <c r="AA2472" i="12"/>
  <c r="AA320" i="12"/>
  <c r="AA2992" i="12"/>
  <c r="AA1368" i="12"/>
  <c r="AA1082" i="12"/>
  <c r="AA386" i="12"/>
  <c r="AA168" i="12"/>
  <c r="AA3217" i="12"/>
  <c r="AA920" i="12"/>
  <c r="AA2191" i="12"/>
  <c r="AA1633" i="12"/>
  <c r="AA301" i="12"/>
  <c r="AA502" i="12"/>
  <c r="AA511" i="12"/>
  <c r="AA423" i="12"/>
  <c r="AA2513" i="12"/>
  <c r="AA1485" i="12"/>
  <c r="AA1646" i="12"/>
  <c r="AA3039" i="12"/>
  <c r="AA2481" i="12"/>
  <c r="AA1545" i="12"/>
  <c r="AA1802" i="12"/>
  <c r="AA1379" i="12"/>
  <c r="AA1745" i="12"/>
  <c r="AA1176" i="12"/>
  <c r="AA827" i="12"/>
  <c r="AA695" i="12"/>
  <c r="AA3109" i="12"/>
  <c r="AA2707" i="12"/>
  <c r="AA1451" i="12"/>
  <c r="AA1857" i="12"/>
  <c r="AA1118" i="12"/>
  <c r="AA3352" i="12"/>
  <c r="AA3422" i="12"/>
  <c r="AA719" i="12"/>
  <c r="AA3209" i="12"/>
  <c r="AA332" i="12"/>
  <c r="AA1816" i="12"/>
  <c r="AA2402" i="12"/>
  <c r="AA118" i="12"/>
  <c r="AA534" i="12"/>
  <c r="AA2437" i="12"/>
  <c r="AA1123" i="12"/>
  <c r="AA1983" i="12"/>
  <c r="AA690" i="12"/>
  <c r="AA3282" i="12"/>
  <c r="AA1389" i="12"/>
  <c r="AA1698" i="12"/>
  <c r="AA1792" i="12"/>
  <c r="AA2812" i="12"/>
  <c r="AA3170" i="12"/>
  <c r="AA640" i="12"/>
  <c r="AA2790" i="12"/>
  <c r="AA977" i="12"/>
  <c r="AA2343" i="12"/>
  <c r="AA448" i="12"/>
  <c r="AA2693" i="12"/>
  <c r="AA3462" i="12"/>
  <c r="AA3329" i="12"/>
  <c r="AA2657" i="12"/>
  <c r="AA1344" i="12"/>
  <c r="AA3079" i="12"/>
  <c r="AA1658" i="12"/>
  <c r="AA754" i="12"/>
  <c r="AA894" i="12"/>
  <c r="AA630" i="12"/>
  <c r="AA699" i="12"/>
  <c r="AA327" i="12"/>
  <c r="AA1650" i="12"/>
  <c r="AA2427" i="12"/>
  <c r="AA783" i="12"/>
  <c r="AA1771" i="12"/>
  <c r="AA1761" i="12"/>
  <c r="AA1529" i="12"/>
  <c r="AA1248" i="12"/>
  <c r="AA2953" i="12"/>
  <c r="AA2165" i="12"/>
  <c r="AA2618" i="12"/>
  <c r="AA1047" i="12"/>
  <c r="AA826" i="12"/>
  <c r="AA3335" i="12"/>
  <c r="AA1860" i="12"/>
  <c r="AA2632" i="12"/>
  <c r="AA1295" i="12"/>
  <c r="AA2969" i="12"/>
  <c r="AA3096" i="12"/>
  <c r="AA1178" i="12"/>
  <c r="AA1812" i="12"/>
  <c r="AA20" i="12"/>
  <c r="AA2964" i="12"/>
  <c r="AA3061" i="12"/>
  <c r="AA2114" i="12"/>
  <c r="AA885" i="12"/>
  <c r="AA2713" i="12"/>
  <c r="AA2892" i="12"/>
  <c r="AA808" i="12"/>
  <c r="AA1437" i="12"/>
  <c r="AA3035" i="12"/>
  <c r="AA1071" i="12"/>
  <c r="AA2366" i="12"/>
  <c r="AA3019" i="12"/>
  <c r="AA1029" i="12"/>
  <c r="AA2009" i="12"/>
  <c r="AA1285" i="12"/>
  <c r="AA3153" i="12"/>
  <c r="AA2823" i="12"/>
  <c r="AA1091" i="12"/>
  <c r="AA2032" i="12"/>
  <c r="AA3249" i="12"/>
  <c r="AA545" i="12"/>
  <c r="AA1585" i="12"/>
  <c r="AA1312" i="12"/>
  <c r="AA1580" i="12"/>
  <c r="AA2380" i="12"/>
  <c r="AA654" i="12"/>
  <c r="AA1638" i="12"/>
  <c r="AA3538" i="12"/>
  <c r="AA1775" i="12"/>
  <c r="AA462" i="12"/>
  <c r="AA1383" i="12"/>
  <c r="AA242" i="12"/>
  <c r="AA1871" i="12"/>
  <c r="AA1971" i="12"/>
  <c r="AA901" i="12"/>
  <c r="AA1160" i="12"/>
  <c r="AA588" i="12"/>
  <c r="AA1473" i="12"/>
  <c r="AA1172" i="12"/>
  <c r="AA2601" i="12"/>
  <c r="AA2860" i="12"/>
  <c r="AA3412" i="12"/>
  <c r="AA1492" i="12"/>
  <c r="AA2880" i="12"/>
  <c r="AA1562" i="12"/>
  <c r="AA3136" i="12"/>
  <c r="AA3273" i="12"/>
  <c r="AA2605" i="12"/>
  <c r="AA3377" i="12"/>
  <c r="AA1512" i="12"/>
  <c r="AA1259" i="12"/>
  <c r="AA2354" i="12"/>
  <c r="AA460" i="12"/>
  <c r="AA1679" i="12"/>
  <c r="AA1958" i="12"/>
  <c r="AA1671" i="12"/>
  <c r="AA3455" i="12"/>
  <c r="AA1215" i="12"/>
  <c r="AA2292" i="12"/>
  <c r="AA3530" i="12"/>
  <c r="AA2244" i="12"/>
  <c r="AA1536" i="12"/>
  <c r="AA1151" i="12"/>
  <c r="AA2545" i="12"/>
  <c r="AA2761" i="12"/>
  <c r="AA277" i="12"/>
  <c r="AA291" i="12"/>
  <c r="AA680" i="12"/>
  <c r="AA1304" i="12"/>
  <c r="AA2253" i="12"/>
  <c r="AA648" i="12"/>
  <c r="AA1187" i="12"/>
  <c r="AA3360" i="12"/>
  <c r="AA2930" i="12"/>
  <c r="AA1821" i="12"/>
  <c r="AA1657" i="12"/>
  <c r="AA3187" i="12"/>
  <c r="AA2201" i="12"/>
  <c r="AA2801" i="12"/>
  <c r="AA1331" i="12"/>
  <c r="AA1325" i="12"/>
  <c r="AA3151" i="12"/>
  <c r="AA2338" i="12"/>
  <c r="AA3084" i="12"/>
  <c r="AA1493" i="12"/>
  <c r="AA1354" i="12"/>
  <c r="AA706" i="12"/>
  <c r="AA1277" i="12"/>
  <c r="AA156" i="12"/>
  <c r="AA2272" i="12"/>
  <c r="AA2455" i="12"/>
  <c r="AA2186" i="12"/>
  <c r="AA1075" i="12"/>
  <c r="AA906" i="12"/>
  <c r="AA1296" i="12"/>
  <c r="AA601" i="12"/>
  <c r="AA2988" i="12"/>
  <c r="AA3094" i="12"/>
  <c r="AA2199" i="12"/>
  <c r="AA2140" i="12"/>
  <c r="AA261" i="12"/>
  <c r="AA1112" i="12"/>
  <c r="AA1725" i="12"/>
  <c r="AA2704" i="12"/>
  <c r="AA2157" i="12"/>
  <c r="AA831" i="12"/>
  <c r="AA1019" i="12"/>
  <c r="AA2376" i="12"/>
  <c r="AA447" i="12"/>
  <c r="AA1867" i="12"/>
  <c r="AA1687" i="12"/>
  <c r="AA1882" i="12"/>
  <c r="AA160" i="12"/>
  <c r="AA1119" i="12"/>
  <c r="AA3343" i="12"/>
  <c r="AA2672" i="12"/>
  <c r="AA1064" i="12"/>
  <c r="AA2692" i="12"/>
  <c r="AA1204" i="12"/>
  <c r="AA2645" i="12"/>
  <c r="AA882" i="12"/>
  <c r="AA3527" i="12"/>
  <c r="AA3312" i="12"/>
  <c r="AA529" i="12"/>
  <c r="AA685" i="12"/>
  <c r="AA950" i="12"/>
  <c r="AA3406" i="12"/>
  <c r="AA149" i="12"/>
  <c r="AA2405" i="12"/>
  <c r="AA3052" i="12"/>
  <c r="AA1900" i="12"/>
  <c r="AA3481" i="12"/>
  <c r="AA2572" i="12"/>
  <c r="AA747" i="12"/>
  <c r="AA2996" i="12"/>
  <c r="AA172" i="12"/>
  <c r="AA1872" i="12"/>
  <c r="AA2498" i="12"/>
  <c r="AA1079" i="12"/>
  <c r="AA2752" i="12"/>
  <c r="AA728" i="12"/>
  <c r="AA173" i="12"/>
  <c r="AA2268" i="12"/>
  <c r="AA1454" i="12"/>
  <c r="AA700" i="12"/>
  <c r="AA936" i="12"/>
  <c r="AA1128" i="12"/>
  <c r="AA2363" i="12"/>
  <c r="AA1583" i="12"/>
  <c r="AA439" i="12"/>
  <c r="AA2296" i="12"/>
  <c r="AA934" i="12"/>
  <c r="AA3533" i="12"/>
  <c r="AA1065" i="12"/>
  <c r="AA2019" i="12"/>
  <c r="AA127" i="12"/>
  <c r="AA3113" i="12"/>
  <c r="AA1930" i="12"/>
  <c r="AA1239" i="12"/>
  <c r="AA2630" i="12"/>
  <c r="AA24" i="12"/>
  <c r="AA1842" i="12"/>
  <c r="AA437" i="12"/>
  <c r="AA2598" i="12"/>
  <c r="AA692" i="12"/>
  <c r="AA2155" i="12"/>
  <c r="AA177" i="12"/>
  <c r="AA373" i="12"/>
  <c r="AA2377" i="12"/>
  <c r="AA329" i="12"/>
  <c r="AA1980" i="12"/>
  <c r="AA75" i="12"/>
  <c r="AA1211" i="12"/>
  <c r="AA1954" i="12"/>
  <c r="AA694" i="12"/>
  <c r="AA2051" i="12"/>
  <c r="AA2894" i="12"/>
  <c r="AA1260" i="12"/>
  <c r="AA2744" i="12"/>
  <c r="AA2414" i="12"/>
  <c r="AA3480" i="12"/>
  <c r="AA2401" i="12"/>
  <c r="AA1813" i="12"/>
  <c r="AA715" i="12"/>
  <c r="AA2071" i="12"/>
  <c r="AA1803" i="12"/>
  <c r="AA140" i="12"/>
  <c r="AA1431" i="12"/>
  <c r="AA1120" i="12"/>
  <c r="AA3228" i="12"/>
  <c r="AA2474" i="12"/>
  <c r="AA1815" i="12"/>
  <c r="AA239" i="12"/>
  <c r="AA879" i="12"/>
  <c r="AA1810" i="12"/>
  <c r="AA3306" i="12"/>
  <c r="AA2383" i="12"/>
  <c r="AA69" i="12"/>
  <c r="AA2815" i="12"/>
  <c r="AA1147" i="12"/>
  <c r="AA517" i="12"/>
  <c r="AA109" i="12"/>
  <c r="AA142" i="12"/>
  <c r="AA3528" i="12"/>
  <c r="AA979" i="12"/>
  <c r="AA467" i="12"/>
  <c r="AA2493" i="12"/>
  <c r="AA1918" i="12"/>
  <c r="AA84" i="12"/>
  <c r="AA547" i="12"/>
  <c r="AA3236" i="12"/>
  <c r="AA1033" i="12"/>
  <c r="AA797" i="12"/>
  <c r="AA468" i="12"/>
  <c r="AA469" i="12"/>
  <c r="AA3248" i="12"/>
  <c r="AA3507" i="12"/>
  <c r="AA919" i="12"/>
  <c r="AA380" i="12"/>
  <c r="AA463" i="12"/>
  <c r="AA2183" i="12"/>
  <c r="AA2596" i="12"/>
  <c r="AA2160" i="12"/>
  <c r="AA3234" i="12"/>
  <c r="AA1095" i="12"/>
  <c r="AA573" i="12"/>
  <c r="AA2304" i="12"/>
  <c r="AA546" i="12"/>
  <c r="AA3149" i="12"/>
  <c r="AA2094" i="12"/>
  <c r="AA949" i="12"/>
  <c r="AA1223" i="12"/>
  <c r="AA1488" i="12"/>
  <c r="AA1773" i="12"/>
  <c r="AA1264" i="12"/>
  <c r="AA1928" i="12"/>
  <c r="AA3421" i="12"/>
  <c r="AA515" i="12"/>
  <c r="AA2770" i="12"/>
  <c r="AA1824" i="12"/>
  <c r="AA46" i="12"/>
  <c r="AA1055" i="12"/>
  <c r="AA658" i="12"/>
  <c r="AA811" i="12"/>
  <c r="AA2532" i="12"/>
  <c r="AA1044" i="12"/>
  <c r="AA735" i="12"/>
  <c r="AA225" i="12"/>
  <c r="AA3091" i="12"/>
  <c r="AA3367" i="12"/>
  <c r="AA3407" i="12"/>
  <c r="AA619" i="12"/>
  <c r="AA3458" i="12"/>
  <c r="AA586" i="12"/>
  <c r="AA3117" i="12"/>
  <c r="AA1474" i="12"/>
  <c r="AA2091" i="12"/>
  <c r="AA2983" i="12"/>
  <c r="AA1895" i="12"/>
  <c r="AA3204" i="12"/>
  <c r="AA1683" i="12"/>
  <c r="AA861" i="12"/>
  <c r="AA1520" i="12"/>
  <c r="AA1806" i="12"/>
  <c r="AA1350" i="12"/>
  <c r="AA1335" i="12"/>
  <c r="AA1108" i="12"/>
  <c r="AA2305" i="12"/>
  <c r="AA3339" i="12"/>
  <c r="AA2356" i="12"/>
  <c r="AA1641" i="12"/>
  <c r="AA1364" i="12"/>
  <c r="AA1554" i="12"/>
  <c r="AA1746" i="12"/>
  <c r="AA2258" i="12"/>
  <c r="AA1800" i="12"/>
  <c r="AA2951" i="12"/>
  <c r="AA2047" i="12"/>
  <c r="AA1388" i="12"/>
  <c r="AA3400" i="12"/>
  <c r="AA3200" i="12"/>
  <c r="AA1299" i="12"/>
  <c r="AA3331" i="12"/>
  <c r="AA2408" i="12"/>
  <c r="AA474" i="12"/>
  <c r="AA996" i="12"/>
  <c r="AA2105" i="12"/>
  <c r="AA383" i="12"/>
  <c r="AA2396" i="12"/>
  <c r="AA1535" i="12"/>
  <c r="AA3522" i="12"/>
  <c r="AA2161" i="12"/>
  <c r="AA3548" i="12"/>
  <c r="AA2061" i="12"/>
  <c r="AA590" i="12"/>
  <c r="AA2720" i="12"/>
  <c r="AA786" i="12"/>
  <c r="AA2480" i="12"/>
  <c r="AA1859" i="12"/>
  <c r="AA2073" i="12"/>
  <c r="AA260" i="12"/>
  <c r="AA1086" i="12"/>
  <c r="AA3413" i="12"/>
  <c r="AA64" i="12"/>
  <c r="AA1779" i="12"/>
  <c r="AA1891" i="12"/>
  <c r="AA1229" i="12"/>
  <c r="AA3468" i="12"/>
  <c r="AA2927" i="12"/>
  <c r="AA3526" i="12"/>
  <c r="AA1693" i="12"/>
  <c r="AA801" i="12"/>
  <c r="AA2952" i="12"/>
  <c r="AA639" i="12"/>
  <c r="AA220" i="12"/>
  <c r="AA3144" i="12"/>
  <c r="AA2750" i="12"/>
  <c r="AA1766" i="12"/>
  <c r="AA2703" i="12"/>
  <c r="AA1741" i="12"/>
  <c r="AA3506" i="12"/>
  <c r="AA1836" i="12"/>
  <c r="AA79" i="12"/>
  <c r="AA1649" i="12"/>
  <c r="AA2331" i="12"/>
  <c r="AA2095" i="12"/>
  <c r="AA2970" i="12"/>
  <c r="AA2521" i="12"/>
  <c r="AA473" i="12"/>
  <c r="AA2886" i="12"/>
  <c r="AA158" i="12"/>
  <c r="AA657" i="12"/>
  <c r="AA1152" i="12"/>
  <c r="AA1153" i="12"/>
  <c r="AA2279" i="12"/>
  <c r="AA1132" i="12"/>
  <c r="AA2583" i="12"/>
  <c r="AA1041" i="12"/>
  <c r="AA2651" i="12"/>
  <c r="AA105" i="12"/>
  <c r="AA1297" i="12"/>
  <c r="AA1890" i="12"/>
  <c r="AA254" i="12"/>
  <c r="AA3283" i="12"/>
  <c r="AA184" i="12"/>
  <c r="AA1252" i="12"/>
  <c r="AA1662" i="12"/>
  <c r="AA2920" i="12"/>
  <c r="AA171" i="12"/>
  <c r="AA3319" i="12"/>
  <c r="AA2832" i="12"/>
  <c r="AA1182" i="12"/>
  <c r="AA603" i="12"/>
  <c r="AA1402" i="12"/>
  <c r="AA526" i="12"/>
  <c r="AA1442" i="12"/>
  <c r="AA969" i="12"/>
  <c r="AA3140" i="12"/>
  <c r="AA3552" i="12"/>
  <c r="AA2490" i="12"/>
  <c r="AA3158" i="12"/>
  <c r="AA2527" i="12"/>
  <c r="AA145" i="12"/>
  <c r="AA1310" i="12"/>
  <c r="AA1139" i="12"/>
  <c r="AA1188" i="12"/>
  <c r="AA1883" i="12"/>
  <c r="AA988" i="12"/>
  <c r="AA2775" i="12"/>
  <c r="AA2857" i="12"/>
  <c r="AA2636" i="12"/>
  <c r="AA378" i="12"/>
  <c r="AA2738" i="12"/>
  <c r="AA863" i="12"/>
  <c r="AA1605" i="12"/>
  <c r="AA1026" i="12"/>
  <c r="AA2954" i="12"/>
  <c r="AA2928" i="12"/>
  <c r="AA3188" i="12"/>
  <c r="AA3295" i="12"/>
  <c r="AA3111" i="12"/>
  <c r="AA1966" i="12"/>
  <c r="AA3233" i="12"/>
  <c r="AA2600" i="12"/>
  <c r="AA2642" i="12"/>
  <c r="AA2242" i="12"/>
  <c r="AA3362" i="12"/>
  <c r="AA2887" i="12"/>
  <c r="AA1920" i="12"/>
  <c r="AA2106" i="12"/>
  <c r="AA457" i="12"/>
  <c r="AA275" i="12"/>
  <c r="AA2908" i="12"/>
  <c r="AA2587" i="12"/>
  <c r="AA897" i="12"/>
  <c r="AA935" i="12"/>
  <c r="AA1519" i="12"/>
  <c r="AA3215" i="12"/>
  <c r="AA645" i="12"/>
  <c r="AA2712" i="12"/>
  <c r="AA2025" i="12"/>
  <c r="AA3047" i="12"/>
  <c r="AA1870" i="12"/>
  <c r="AA841" i="12"/>
  <c r="AA2249" i="12"/>
  <c r="AA3230" i="12"/>
  <c r="AA1939" i="12"/>
  <c r="AA868" i="12"/>
  <c r="AA3211" i="12"/>
  <c r="AA664" i="12"/>
  <c r="AA999" i="12"/>
  <c r="AA1113" i="12"/>
  <c r="AA2265" i="12"/>
  <c r="AA1040" i="12"/>
  <c r="AA3098" i="12"/>
  <c r="AA3322" i="12"/>
  <c r="AA1074" i="12"/>
  <c r="AA2627" i="12"/>
  <c r="AA1134" i="12"/>
  <c r="AA25" i="12"/>
  <c r="AA1322" i="12"/>
  <c r="AA1607" i="12"/>
  <c r="AA3515" i="12"/>
  <c r="AA1001" i="12"/>
  <c r="AA1169" i="12"/>
  <c r="AA1207" i="12"/>
  <c r="AA1839" i="12"/>
  <c r="AA2362" i="12"/>
  <c r="AA2684" i="12"/>
  <c r="AA1609" i="12"/>
  <c r="AA359" i="12"/>
  <c r="AA3108" i="12"/>
  <c r="AA134" i="12"/>
  <c r="AA2780" i="12"/>
  <c r="AA1010" i="12"/>
  <c r="AA2604" i="12"/>
  <c r="AA2285" i="12"/>
  <c r="AA1589" i="12"/>
  <c r="AA442" i="12"/>
  <c r="AA54" i="12"/>
  <c r="AA3498" i="12"/>
  <c r="AA3441" i="12"/>
  <c r="AA1921" i="12"/>
  <c r="AA2866" i="12"/>
  <c r="AA1963" i="12"/>
  <c r="AA904" i="12"/>
  <c r="AA2198" i="12"/>
  <c r="AA1456" i="12"/>
  <c r="AA1997" i="12"/>
  <c r="AA3220" i="12"/>
  <c r="AA3038" i="12"/>
  <c r="AA3371" i="12"/>
  <c r="AA3137" i="12"/>
  <c r="AA3305" i="12"/>
  <c r="AA2593" i="12"/>
  <c r="AA336" i="12"/>
  <c r="AA2399" i="12"/>
  <c r="AA451" i="12"/>
  <c r="AA53" i="12"/>
  <c r="AA80" i="12"/>
  <c r="AA364" i="12"/>
  <c r="AA1489" i="12"/>
  <c r="AA2447" i="12"/>
  <c r="AA3318" i="12"/>
  <c r="AA2637" i="12"/>
  <c r="AA3361" i="12"/>
  <c r="AA3392" i="12"/>
  <c r="AA716" i="12"/>
  <c r="AA2571" i="12"/>
  <c r="AA398" i="12"/>
  <c r="AA2602" i="12"/>
  <c r="AA2195" i="12"/>
  <c r="AA2379" i="12"/>
  <c r="AA3171" i="12"/>
  <c r="AA2341" i="12"/>
  <c r="AA1432" i="12"/>
  <c r="AA2428" i="12"/>
  <c r="AA1200" i="12"/>
  <c r="AA1315" i="12"/>
  <c r="AA3516" i="12"/>
  <c r="AA3044" i="12"/>
  <c r="AA2531" i="12"/>
  <c r="AA3369" i="12"/>
  <c r="AA3454" i="12"/>
  <c r="AA1873" i="12"/>
  <c r="AA3393" i="12"/>
  <c r="AA3250" i="12"/>
  <c r="AA2912" i="12"/>
  <c r="AA2179" i="12"/>
  <c r="AA1844" i="12"/>
  <c r="AA637" i="12"/>
  <c r="AA1286" i="12"/>
  <c r="AA3447" i="12"/>
  <c r="AA519" i="12"/>
  <c r="AA3128" i="12"/>
  <c r="AA2280" i="12"/>
  <c r="AA1378" i="12"/>
  <c r="AA1224" i="12"/>
  <c r="AA918" i="12"/>
  <c r="AA1855" i="12"/>
  <c r="AA2708" i="12"/>
  <c r="AA36" i="12"/>
  <c r="AA3354" i="12"/>
  <c r="AA2757" i="12"/>
  <c r="AA1624" i="12"/>
  <c r="AA101" i="12"/>
  <c r="AA402" i="12"/>
  <c r="AA68" i="12"/>
  <c r="AA2588" i="12"/>
  <c r="AA2629" i="12"/>
  <c r="AA167" i="12"/>
  <c r="AA1217" i="12"/>
  <c r="AA2763" i="12"/>
  <c r="AA137" i="12"/>
  <c r="AA185" i="12"/>
  <c r="AA2306" i="12"/>
  <c r="AA928" i="12"/>
  <c r="AA3222" i="12"/>
  <c r="AA305" i="12"/>
  <c r="AA671" i="12"/>
  <c r="AA1328" i="12"/>
  <c r="AA1769" i="12"/>
  <c r="AA1878" i="12"/>
  <c r="AA3363" i="12"/>
  <c r="AA2668" i="12"/>
  <c r="AA924" i="12"/>
  <c r="AA2766" i="12"/>
  <c r="AA2771" i="12"/>
  <c r="AA2054" i="12"/>
  <c r="AA662" i="12"/>
  <c r="AA1477" i="12"/>
  <c r="AA2585" i="12"/>
  <c r="AA337" i="12"/>
  <c r="AA1072" i="12"/>
  <c r="AA400" i="12"/>
  <c r="AA2688" i="12"/>
  <c r="AA2843" i="12"/>
  <c r="AA449" i="12"/>
  <c r="AA2310" i="12"/>
  <c r="AA3485" i="12"/>
  <c r="AA2710" i="12"/>
  <c r="AA531" i="12"/>
  <c r="AA1879" i="12"/>
  <c r="AA1951" i="12"/>
  <c r="AA738" i="12"/>
  <c r="AA3198" i="12"/>
  <c r="AA201" i="12"/>
  <c r="AA483" i="12"/>
  <c r="AA1465" i="12"/>
  <c r="AA1278" i="12"/>
  <c r="AA1049" i="12"/>
  <c r="AA3196" i="12"/>
  <c r="AA1945" i="12"/>
  <c r="AA3102" i="12"/>
  <c r="AA1249" i="12"/>
  <c r="AA582" i="12"/>
  <c r="AA1348" i="12"/>
  <c r="AA813" i="12"/>
  <c r="AA19" i="12"/>
  <c r="AA2655" i="12"/>
  <c r="AA2209" i="12"/>
  <c r="AA1739" i="12"/>
  <c r="AA3446" i="12"/>
  <c r="AA496" i="12"/>
  <c r="AA577" i="12"/>
  <c r="AA670" i="12"/>
  <c r="AA2433" i="12"/>
  <c r="AA1398" i="12"/>
  <c r="AA2221" i="12"/>
  <c r="AA93" i="12"/>
  <c r="AA3411" i="12"/>
  <c r="AA3182" i="12"/>
  <c r="AA3357" i="12"/>
  <c r="AA2168" i="12"/>
  <c r="AA3482" i="12"/>
  <c r="AA3281" i="12"/>
  <c r="AA3388" i="12"/>
  <c r="AA55" i="12"/>
  <c r="AA1100" i="12"/>
  <c r="AA3423" i="12"/>
  <c r="AA3302" i="12"/>
  <c r="AA2263" i="12"/>
  <c r="AA3237" i="12"/>
  <c r="AA2717" i="12"/>
  <c r="AA1509" i="12"/>
  <c r="AA1429" i="12"/>
  <c r="AA2791" i="12"/>
  <c r="AA454" i="12"/>
  <c r="AA2569" i="12"/>
  <c r="AA1433" i="12"/>
  <c r="AA3264" i="12"/>
  <c r="AA2758" i="12"/>
  <c r="AA164" i="12"/>
  <c r="AA804" i="12"/>
  <c r="AA930" i="12"/>
  <c r="AA1121" i="12"/>
  <c r="AA1333" i="12"/>
  <c r="AA684" i="12"/>
  <c r="AA1862" i="12"/>
  <c r="AA1458" i="12"/>
  <c r="AA1077" i="12"/>
  <c r="AA95" i="12"/>
  <c r="AA1346" i="12"/>
  <c r="AA1856" i="12"/>
  <c r="AA464" i="12"/>
  <c r="AA1694" i="12"/>
  <c r="AA495" i="12"/>
  <c r="AA2224" i="12"/>
  <c r="AA1438" i="12"/>
  <c r="AA2313" i="12"/>
  <c r="AA1409" i="12"/>
  <c r="AA1949" i="12"/>
  <c r="AA2085" i="12"/>
  <c r="AA571" i="12"/>
  <c r="AA2142" i="12"/>
  <c r="AA1484" i="12"/>
  <c r="AA48" i="12"/>
  <c r="AA2219" i="12"/>
  <c r="AA1184" i="12"/>
  <c r="AA1927" i="12"/>
  <c r="AA2973" i="12"/>
  <c r="AA2013" i="12"/>
  <c r="AA598" i="12"/>
  <c r="AA1652" i="12"/>
  <c r="AA1932" i="12"/>
  <c r="AA2745" i="12"/>
  <c r="AA2107" i="12"/>
  <c r="AA1756" i="12"/>
  <c r="AA1471" i="12"/>
  <c r="AA597" i="12"/>
  <c r="AA1584" i="12"/>
  <c r="AA3301" i="12"/>
  <c r="AA1051" i="12"/>
  <c r="AA576" i="12"/>
  <c r="AA3134" i="12"/>
  <c r="AA858" i="12"/>
  <c r="AA2805" i="12"/>
  <c r="AA233" i="12"/>
  <c r="AA2070" i="12"/>
  <c r="AA1903" i="12"/>
  <c r="AA2081" i="12"/>
  <c r="AA2792" i="12"/>
  <c r="AA2906" i="12"/>
  <c r="AA259" i="12"/>
  <c r="AA2096" i="12"/>
  <c r="AA516" i="12"/>
  <c r="AA1103" i="12"/>
  <c r="AA1495" i="12"/>
  <c r="AA2309" i="12"/>
  <c r="AA2485" i="12"/>
  <c r="AA1587" i="12"/>
  <c r="AA2576" i="12"/>
  <c r="AA1601" i="12"/>
  <c r="AA2810" i="12"/>
  <c r="AA1785" i="12"/>
  <c r="AA2344" i="12"/>
  <c r="AA3347" i="12"/>
  <c r="AA3057" i="12"/>
  <c r="AA1893" i="12"/>
  <c r="AA580" i="12"/>
  <c r="AA2817" i="12"/>
  <c r="AA1864" i="12"/>
  <c r="AA1999" i="12"/>
  <c r="AA2159" i="12"/>
  <c r="AA3186" i="12"/>
  <c r="AA450" i="12"/>
  <c r="AA1247" i="12"/>
  <c r="AA789" i="12"/>
  <c r="AA2026" i="12"/>
  <c r="AA193" i="12"/>
  <c r="AA1012" i="12"/>
  <c r="AA587" i="12"/>
  <c r="AA114" i="12"/>
  <c r="AA420" i="12"/>
  <c r="AA3299" i="12"/>
  <c r="AA1069" i="12"/>
  <c r="AA2634" i="12"/>
  <c r="AA362" i="12"/>
  <c r="AA421" i="12"/>
  <c r="AA2097" i="12"/>
  <c r="AA1038" i="12"/>
  <c r="AA330" i="12"/>
  <c r="AA2875" i="12"/>
  <c r="AA711" i="12"/>
  <c r="AA27" i="12"/>
  <c r="AA1192" i="12"/>
  <c r="AA208" i="12"/>
  <c r="AA2885" i="12"/>
  <c r="AA3466" i="12"/>
  <c r="AA2725" i="12"/>
  <c r="AA2010" i="12"/>
  <c r="AA26" i="12"/>
  <c r="AA942" i="12"/>
  <c r="AA100" i="12"/>
  <c r="AA1137" i="12"/>
  <c r="AA1058" i="12"/>
  <c r="AA1374" i="12"/>
  <c r="AA2839" i="12"/>
  <c r="AA1287" i="12"/>
  <c r="AA1833" i="12"/>
  <c r="AA2620" i="12"/>
  <c r="AA2218" i="12"/>
  <c r="AA512" i="12"/>
  <c r="AA1496" i="12"/>
  <c r="AA475" i="12"/>
  <c r="AA284" i="12"/>
  <c r="AA1753" i="12"/>
  <c r="AA1572" i="12"/>
  <c r="AA2205" i="12"/>
  <c r="AA2034" i="12"/>
  <c r="AA1576" i="12"/>
  <c r="AA2984" i="12"/>
  <c r="AA3207" i="12"/>
  <c r="AA2482" i="12"/>
  <c r="AA387" i="12"/>
  <c r="AA1130" i="12"/>
  <c r="AA1914" i="12"/>
  <c r="AA2121" i="12"/>
  <c r="AA1907" i="12"/>
  <c r="AA2795" i="12"/>
  <c r="AA578" i="12"/>
  <c r="AA3490" i="12"/>
  <c r="AA724" i="12"/>
  <c r="AA1240" i="12"/>
  <c r="AA2017" i="12"/>
  <c r="AA214" i="12"/>
  <c r="AA1042" i="12"/>
  <c r="AA3210" i="12"/>
  <c r="AA1266" i="12"/>
  <c r="AA1502" i="12"/>
  <c r="AA1218" i="12"/>
  <c r="AA1289" i="12"/>
  <c r="AA1236" i="12"/>
  <c r="AA1515" i="12"/>
  <c r="AA1837" i="12"/>
  <c r="AA3285" i="12"/>
  <c r="AA2524" i="12"/>
  <c r="AA2435" i="12"/>
  <c r="AA631" i="12"/>
  <c r="AA3308" i="12"/>
  <c r="AA157" i="12"/>
  <c r="AA2375" i="12"/>
  <c r="AA266" i="12"/>
  <c r="AA227" i="12"/>
  <c r="AA1186" i="12"/>
  <c r="AA2470" i="12"/>
  <c r="AA912" i="12"/>
  <c r="AA2062" i="12"/>
  <c r="AA3267" i="12"/>
  <c r="AA2131" i="12"/>
  <c r="AA731" i="12"/>
  <c r="AA593" i="12"/>
  <c r="AA1129" i="12"/>
  <c r="AA520" i="12"/>
  <c r="AA3419" i="12"/>
  <c r="AA39" i="12"/>
  <c r="AA331" i="12"/>
  <c r="AA3203" i="12"/>
  <c r="AA2743" i="12"/>
  <c r="AA271" i="12"/>
  <c r="AA931" i="12"/>
  <c r="AA730" i="12"/>
  <c r="AA677" i="12"/>
  <c r="AA1690" i="12"/>
  <c r="AA119" i="12"/>
  <c r="AA2314" i="12"/>
  <c r="AA2614" i="12"/>
  <c r="AA2404" i="12"/>
  <c r="AA2862" i="12"/>
  <c r="AA2507" i="12"/>
  <c r="AA2854" i="12"/>
  <c r="AA3262" i="12"/>
  <c r="AA848" i="12"/>
  <c r="AA528" i="12"/>
  <c r="AA842" i="12"/>
  <c r="AA3433" i="12"/>
  <c r="AA1194" i="12"/>
  <c r="AA33" i="12"/>
  <c r="AA1016" i="12"/>
  <c r="AA3456" i="12"/>
  <c r="AA3132" i="12"/>
  <c r="AA973" i="12"/>
  <c r="AA1263" i="12"/>
  <c r="AA1570" i="12"/>
  <c r="AA1854" i="12"/>
  <c r="AA1561" i="12"/>
  <c r="AA1706" i="12"/>
  <c r="AA2772" i="12"/>
  <c r="AA3059" i="12"/>
  <c r="AA2751" i="12"/>
  <c r="AA907" i="12"/>
  <c r="AA1311" i="12"/>
  <c r="AA3325" i="12"/>
  <c r="AA986" i="12"/>
  <c r="AA867" i="12"/>
  <c r="AA832" i="12"/>
  <c r="AA627" i="12"/>
  <c r="AA614" i="12"/>
  <c r="AA244" i="12"/>
  <c r="AA948" i="12"/>
  <c r="AA1600" i="12"/>
  <c r="AA1575" i="12"/>
  <c r="AA732" i="12"/>
  <c r="AA2171" i="12"/>
  <c r="AA3268" i="12"/>
  <c r="AA2523" i="12"/>
  <c r="AA549" i="12"/>
  <c r="AA1428" i="12"/>
  <c r="AA2667" i="12"/>
  <c r="AA2479" i="12"/>
  <c r="AA2800" i="12"/>
  <c r="AA1618" i="12"/>
  <c r="AA1167" i="12"/>
  <c r="AA1144" i="12"/>
  <c r="AA218" i="12"/>
  <c r="AA59" i="12"/>
  <c r="AA647" i="12"/>
  <c r="AA50" i="12"/>
  <c r="AA1681" i="12"/>
  <c r="AA2980" i="12"/>
  <c r="AA3292" i="12"/>
  <c r="AA2230" i="12"/>
  <c r="AA2126" i="12"/>
  <c r="AA1004" i="12"/>
  <c r="AA367" i="12"/>
  <c r="AA686" i="12"/>
  <c r="AA2236" i="12"/>
  <c r="AA1268" i="12"/>
  <c r="AA3256" i="12"/>
  <c r="AA1447" i="12"/>
  <c r="AA2702" i="12"/>
  <c r="AA1905" i="12"/>
  <c r="AA3293" i="12"/>
  <c r="AA634" i="12"/>
  <c r="AA850" i="12"/>
  <c r="AA3531" i="12"/>
  <c r="AA51" i="12"/>
  <c r="AA419" i="12"/>
  <c r="AA401" i="12"/>
  <c r="AA652" i="12"/>
  <c r="AA1339" i="12"/>
  <c r="AA1929" i="12"/>
  <c r="AA2125" i="12"/>
  <c r="AA2284" i="12"/>
  <c r="AA3026" i="12"/>
  <c r="AA382" i="12"/>
  <c r="AA1222" i="12"/>
  <c r="AA2754" i="12"/>
  <c r="AA3076" i="12"/>
  <c r="AA3065" i="12"/>
  <c r="AA3100" i="12"/>
  <c r="AA316" i="12"/>
  <c r="AA1670" i="12"/>
  <c r="AA1472" i="12"/>
  <c r="AA348" i="12"/>
  <c r="AA2652" i="12"/>
  <c r="AA143" i="12"/>
  <c r="AA1161" i="12"/>
  <c r="AA2623" i="12"/>
  <c r="AA3053" i="12"/>
  <c r="AA927" i="12"/>
  <c r="AA2030" i="12"/>
  <c r="AA1553" i="12"/>
  <c r="AA1308" i="12"/>
  <c r="AA3002" i="12"/>
  <c r="AA1320" i="12"/>
  <c r="AA2685" i="12"/>
  <c r="AA1602" i="12"/>
  <c r="AA2225" i="12"/>
  <c r="AA1238" i="12"/>
  <c r="AA2153" i="12"/>
  <c r="AA611" i="12"/>
  <c r="AA2322" i="12"/>
  <c r="AA3337" i="12"/>
  <c r="AA817" i="12"/>
  <c r="AA317" i="12"/>
  <c r="AA1353" i="12"/>
  <c r="AA559" i="12"/>
  <c r="AA3535" i="12"/>
  <c r="AA248" i="12"/>
  <c r="AA2144" i="12"/>
  <c r="AA1757" i="12"/>
  <c r="AA2248" i="12"/>
  <c r="AA478" i="12"/>
  <c r="AA2697" i="12"/>
  <c r="AA678" i="12"/>
  <c r="AA3092" i="12"/>
  <c r="AA1387" i="12"/>
  <c r="AA1625" i="12"/>
  <c r="AA1876" i="12"/>
  <c r="AA2475" i="12"/>
  <c r="AA923" i="12"/>
  <c r="AA1543" i="12"/>
  <c r="AA2238" i="12"/>
  <c r="AA838" i="12"/>
  <c r="AA3383" i="12"/>
  <c r="AA3401" i="12"/>
  <c r="AA1418" i="12"/>
  <c r="AA3164" i="12"/>
  <c r="AA3135" i="12"/>
  <c r="AA1884" i="12"/>
  <c r="AA1138" i="12"/>
  <c r="AA2039" i="12"/>
  <c r="AA1035" i="12"/>
  <c r="AA2353" i="12"/>
  <c r="AA3444" i="12"/>
  <c r="AA335" i="12"/>
  <c r="AA1450" i="12"/>
  <c r="AA3173" i="12"/>
  <c r="AA2526" i="12"/>
  <c r="AA3042" i="12"/>
  <c r="AA592" i="12"/>
  <c r="AA621" i="12"/>
  <c r="AA989" i="12"/>
  <c r="AA2934" i="12"/>
  <c r="AA3278" i="12"/>
  <c r="AA379" i="12"/>
  <c r="AA176" i="12"/>
  <c r="AA753" i="12"/>
  <c r="AA537" i="12"/>
  <c r="AA1724" i="12"/>
  <c r="AA917" i="12"/>
  <c r="AA3003" i="12"/>
  <c r="AA607" i="12"/>
  <c r="AA1363" i="12"/>
  <c r="AA1827" i="12"/>
  <c r="AA2804" i="12"/>
  <c r="AA2192" i="12"/>
  <c r="AA779" i="12"/>
  <c r="AA200" i="12"/>
  <c r="AA972" i="12"/>
  <c r="AA3297" i="12"/>
  <c r="AA1245" i="12"/>
  <c r="AA922" i="12"/>
  <c r="AA1085" i="12"/>
  <c r="AA130" i="12"/>
  <c r="AA3390" i="12"/>
  <c r="AA294" i="12"/>
  <c r="AA1588" i="12"/>
  <c r="AA2446" i="12"/>
  <c r="AA3479" i="12"/>
  <c r="AA2501" i="12"/>
  <c r="AA231" i="12"/>
  <c r="AA1468" i="12"/>
  <c r="AA2115" i="12"/>
  <c r="AA795" i="12"/>
  <c r="AA2872" i="12"/>
  <c r="AA1953" i="12"/>
  <c r="AA794" i="12"/>
  <c r="AA1684" i="12"/>
  <c r="AA3514" i="12"/>
  <c r="AA3451" i="12"/>
  <c r="AA2626" i="12"/>
  <c r="AA3382" i="12"/>
  <c r="AA3395" i="12"/>
  <c r="AA2154" i="12"/>
  <c r="AA2290" i="12"/>
  <c r="AA2675" i="12"/>
  <c r="AA3131" i="12"/>
  <c r="AA3349" i="12"/>
  <c r="AA3518" i="12"/>
  <c r="AA2208" i="12"/>
  <c r="AA541" i="12"/>
  <c r="AA1740" i="12"/>
  <c r="AA1940" i="12"/>
  <c r="AA718" i="12"/>
  <c r="AA3414" i="12"/>
  <c r="AA1715" i="12"/>
  <c r="AA3534" i="12"/>
  <c r="AA3263" i="12"/>
  <c r="AA3179" i="12"/>
  <c r="AA1967" i="12"/>
  <c r="AA2676" i="12"/>
  <c r="AA2633" i="12"/>
  <c r="AA2492" i="12"/>
  <c r="AA2829" i="12"/>
  <c r="AA981" i="12"/>
  <c r="AA2874" i="12"/>
  <c r="AA568" i="12"/>
  <c r="AA962" i="12"/>
  <c r="AA3464" i="12"/>
  <c r="AA1765" i="12"/>
  <c r="AA810" i="12"/>
  <c r="AA3118" i="12"/>
  <c r="AA3206" i="12"/>
  <c r="AA1982" i="12"/>
  <c r="AA2811" i="12"/>
  <c r="AA148" i="12"/>
  <c r="AA3214" i="12"/>
  <c r="AA799" i="12"/>
  <c r="AA2194" i="12"/>
  <c r="AA3216" i="12"/>
  <c r="AA1396" i="12"/>
  <c r="AA2769" i="12"/>
  <c r="AA1057" i="12"/>
  <c r="AA178" i="12"/>
  <c r="AA2254" i="12"/>
  <c r="AA595" i="12"/>
  <c r="AA2169" i="12"/>
  <c r="AA3071" i="12"/>
  <c r="AA3351" i="12"/>
  <c r="AA3258" i="12"/>
  <c r="AA2978" i="12"/>
  <c r="AA865" i="12"/>
  <c r="AA1539" i="12"/>
  <c r="AA1550" i="12"/>
  <c r="AA608" i="12"/>
  <c r="AA1141" i="12"/>
  <c r="AA643" i="12"/>
  <c r="AA375" i="12"/>
  <c r="AA3310" i="12"/>
  <c r="AA3195" i="12"/>
  <c r="AA3024" i="12"/>
  <c r="AA760" i="12"/>
  <c r="AA3470" i="12"/>
  <c r="AA303" i="12"/>
  <c r="AA899" i="12"/>
  <c r="AA274" i="12"/>
  <c r="AA777" i="12"/>
  <c r="AA676" i="12"/>
  <c r="AA844" i="12"/>
  <c r="AA2671" i="12"/>
  <c r="AA1962" i="12"/>
  <c r="AA666" i="12"/>
  <c r="AA1569" i="12"/>
  <c r="AA876" i="12"/>
  <c r="AA3442" i="12"/>
  <c r="AA2251" i="12"/>
  <c r="AA2838" i="12"/>
  <c r="AA877" i="12"/>
  <c r="AA1828" i="12"/>
  <c r="AA3324" i="12"/>
  <c r="AA2696" i="12"/>
  <c r="AA2152" i="12"/>
  <c r="AA2824" i="12"/>
  <c r="AA3037" i="12"/>
  <c r="AA2808" i="12"/>
  <c r="AA1565" i="12"/>
  <c r="AA548" i="12"/>
  <c r="AA2412" i="12"/>
  <c r="AA1170" i="12"/>
  <c r="AA1257" i="12"/>
  <c r="AA281" i="12"/>
  <c r="AA974" i="12"/>
  <c r="AA3183" i="12"/>
  <c r="AA1096" i="12"/>
  <c r="AA2409" i="12"/>
  <c r="AA1360" i="12"/>
  <c r="AA1750" i="12"/>
  <c r="AA3520" i="12"/>
  <c r="AA2307" i="12"/>
  <c r="AA2232" i="12"/>
  <c r="AA120" i="12"/>
  <c r="AA2916" i="12"/>
  <c r="AA1598" i="12"/>
  <c r="AA2893" i="12"/>
  <c r="AA1384" i="12"/>
  <c r="AA708" i="12"/>
  <c r="AA558" i="12"/>
  <c r="AA673" i="12"/>
  <c r="AA1944" i="12"/>
  <c r="AA674" i="12"/>
  <c r="AA2389" i="12"/>
  <c r="AA3356" i="12"/>
  <c r="AA2816" i="12"/>
  <c r="AA2286" i="12"/>
  <c r="AA3062" i="12"/>
  <c r="AA217" i="12"/>
  <c r="AA1744" i="12"/>
  <c r="AA313" i="12"/>
  <c r="AA2256" i="12"/>
  <c r="AA741" i="12"/>
  <c r="AA211" i="12"/>
  <c r="AA2424" i="12"/>
  <c r="AA862" i="12"/>
  <c r="AA216" i="12"/>
  <c r="AA2788" i="12"/>
  <c r="AA557" i="12"/>
  <c r="AA61" i="12"/>
  <c r="AA518" i="12"/>
  <c r="AA1056" i="12"/>
  <c r="AA1408" i="12"/>
  <c r="AA3439" i="12"/>
  <c r="AA1612" i="12"/>
  <c r="AA3489" i="12"/>
  <c r="AA1279" i="12"/>
  <c r="AA356" i="12"/>
  <c r="AA1369" i="12"/>
  <c r="AA1776" i="12"/>
  <c r="AA1034" i="12"/>
  <c r="AA1241" i="12"/>
  <c r="AA3524" i="12"/>
  <c r="AA358" i="12"/>
  <c r="AA407" i="12"/>
  <c r="AA926" i="12"/>
  <c r="AA2855" i="12"/>
  <c r="AA1122" i="12"/>
  <c r="AA2120" i="12"/>
  <c r="AA1258" i="12"/>
  <c r="AA2053" i="12"/>
  <c r="AA1302" i="12"/>
  <c r="AA2869" i="12"/>
  <c r="AA1168" i="12"/>
  <c r="AA638" i="12"/>
  <c r="AA1080" i="12"/>
  <c r="AA2784" i="12"/>
  <c r="AA864" i="12"/>
  <c r="AA2283" i="12"/>
  <c r="AA1996" i="12"/>
  <c r="AA371" i="12"/>
  <c r="AA3043" i="12"/>
  <c r="AA2864" i="12"/>
  <c r="AA957" i="12"/>
  <c r="AA796" i="12"/>
  <c r="AA2499" i="12"/>
  <c r="AA3251" i="12"/>
  <c r="AA880" i="12"/>
  <c r="AA310" i="12"/>
  <c r="AA2612" i="12"/>
  <c r="AA3475" i="12"/>
  <c r="AA3023" i="12"/>
  <c r="AA2243" i="12"/>
  <c r="AA1052" i="12"/>
  <c r="AA3168" i="12"/>
  <c r="AA1852" i="12"/>
  <c r="AA778" i="12"/>
  <c r="AA762" i="12"/>
  <c r="AA1571" i="12"/>
  <c r="AA1734" i="12"/>
  <c r="AA2820" i="12"/>
  <c r="AA3133" i="12"/>
  <c r="AA1111" i="12"/>
  <c r="AA3260" i="12"/>
  <c r="AA3341" i="12"/>
  <c r="AA1826" i="12"/>
  <c r="AA2876" i="12"/>
  <c r="AA1228" i="12"/>
  <c r="AA2706" i="12"/>
  <c r="AA1267" i="12"/>
  <c r="AA2083" i="12"/>
  <c r="AA1780" i="12"/>
  <c r="AA1947" i="12"/>
  <c r="AA1037" i="12"/>
  <c r="AA2487" i="12"/>
  <c r="AA1586" i="12"/>
  <c r="AA3191" i="12"/>
  <c r="AA552" i="12"/>
  <c r="AA221" i="12"/>
  <c r="AA2903" i="12"/>
  <c r="AA153" i="12"/>
  <c r="AA1088" i="12"/>
  <c r="AA1577" i="12"/>
  <c r="AA1594" i="12"/>
  <c r="AA1181" i="12"/>
  <c r="AA210" i="12"/>
  <c r="AA2895" i="12"/>
  <c r="AA3254" i="12"/>
  <c r="AA961" i="12"/>
  <c r="AA2040" i="12"/>
  <c r="AA2727" i="12"/>
  <c r="AA314" i="12"/>
  <c r="AA1011" i="12"/>
  <c r="AA2112" i="12"/>
  <c r="AA493" i="12"/>
  <c r="AA3082" i="12"/>
  <c r="AA2510" i="12"/>
  <c r="AA174" i="12"/>
  <c r="AA3303" i="12"/>
  <c r="AA1226" i="12"/>
  <c r="AA29" i="12"/>
  <c r="AA136" i="12"/>
  <c r="AA896" i="12"/>
  <c r="AA2538" i="12"/>
  <c r="AA2108" i="12"/>
  <c r="AA2319" i="12"/>
  <c r="AA1770" i="12"/>
  <c r="AA1425" i="12"/>
  <c r="AA2397" i="12"/>
  <c r="AA1688" i="12"/>
  <c r="AA2731" i="12"/>
  <c r="AA2884" i="12"/>
  <c r="AA117" i="12"/>
  <c r="AA2426" i="12"/>
  <c r="AA542" i="12"/>
  <c r="AA530" i="12"/>
  <c r="AA3307" i="12"/>
  <c r="AA338" i="12"/>
  <c r="AA2660" i="12"/>
  <c r="AA2782" i="12"/>
  <c r="AA870" i="12"/>
  <c r="AA2658" i="12"/>
  <c r="AA622" i="12"/>
  <c r="AA2075" i="12"/>
  <c r="AA1453" i="12"/>
  <c r="AA1778" i="12"/>
  <c r="AA1293" i="12"/>
  <c r="AA2990" i="12"/>
  <c r="AA925" i="12"/>
  <c r="AA2422" i="12"/>
  <c r="AA2646" i="12"/>
  <c r="AA1533" i="12"/>
  <c r="AA429" i="12"/>
  <c r="AA1262" i="12"/>
  <c r="AA2007" i="12"/>
  <c r="AA1039" i="12"/>
  <c r="AA414" i="12"/>
  <c r="AA937" i="12"/>
  <c r="AA2819" i="12"/>
  <c r="AA1544" i="12"/>
  <c r="AA1964" i="12"/>
  <c r="AA2941" i="12"/>
  <c r="AA3020" i="12"/>
  <c r="AA1415" i="12"/>
  <c r="AA2429" i="12"/>
  <c r="AA1691" i="12"/>
  <c r="AA1528" i="12"/>
  <c r="AA2635" i="12"/>
  <c r="AA2939" i="12"/>
  <c r="AA2551" i="12"/>
  <c r="AA2747" i="12"/>
  <c r="AA824" i="12"/>
  <c r="AA1720" i="12"/>
  <c r="AA1254" i="12"/>
  <c r="AA3240" i="12"/>
  <c r="AA1048" i="12"/>
  <c r="AA319" i="12"/>
  <c r="AA1347" i="12"/>
  <c r="AA1220" i="12"/>
  <c r="AA1162" i="12"/>
  <c r="AA2124" i="12"/>
  <c r="AA1094" i="12"/>
  <c r="AA3508" i="12"/>
  <c r="AA2505" i="12"/>
  <c r="AA2028" i="12"/>
  <c r="AA2035" i="12"/>
  <c r="AA352" i="12"/>
  <c r="AA1735" i="12"/>
  <c r="AA507" i="12"/>
  <c r="AA3058" i="12"/>
  <c r="AA104" i="12"/>
  <c r="AA489" i="12"/>
  <c r="AA183" i="12"/>
  <c r="AA2197" i="12"/>
  <c r="AA2044" i="12"/>
  <c r="AA3029" i="12"/>
  <c r="AA3374" i="12"/>
  <c r="AA1534" i="12"/>
  <c r="AA416" i="12"/>
  <c r="AA994" i="12"/>
  <c r="AA556" i="12"/>
  <c r="AA2361" i="12"/>
  <c r="AA3494" i="12"/>
  <c r="AA3227" i="12"/>
  <c r="AA1592" i="12"/>
  <c r="AA3025" i="12"/>
  <c r="AA83" i="12"/>
  <c r="AA3177" i="12"/>
  <c r="AA219" i="12"/>
  <c r="AA2924" i="12"/>
  <c r="AA3460" i="12"/>
  <c r="AA616" i="12"/>
  <c r="AA2188" i="12"/>
  <c r="AA1461" i="12"/>
  <c r="AA2873" i="12"/>
  <c r="AA2543" i="12"/>
  <c r="AA350" i="12"/>
  <c r="AA1960" i="12"/>
  <c r="AA1711" i="12"/>
  <c r="AA2060" i="12"/>
  <c r="AA2929" i="12"/>
  <c r="AA3449" i="12"/>
  <c r="AA3007" i="12"/>
  <c r="AA2567" i="12"/>
  <c r="AA102" i="12"/>
  <c r="AA2257" i="12"/>
  <c r="AA2016" i="12"/>
  <c r="AA713" i="12"/>
  <c r="AA3018" i="12"/>
  <c r="AA404" i="12"/>
  <c r="AA228" i="12"/>
  <c r="AA2949" i="12"/>
  <c r="AA2163" i="12"/>
  <c r="AA2555" i="12"/>
  <c r="AA1073" i="12"/>
  <c r="AA286" i="12"/>
  <c r="AA1591" i="12"/>
  <c r="AA405" i="12"/>
  <c r="AA2491" i="12"/>
  <c r="AA2411" i="12"/>
  <c r="AA2202" i="12"/>
  <c r="AA1730" i="12"/>
  <c r="AA3008" i="12"/>
  <c r="AA2995" i="12"/>
  <c r="AA3253" i="12"/>
  <c r="AA2878" i="12"/>
  <c r="AA2211" i="12"/>
  <c r="AA2910" i="12"/>
  <c r="AA1199" i="12"/>
  <c r="AA1621" i="12"/>
  <c r="AA1985" i="12"/>
  <c r="AA2822" i="12"/>
  <c r="AA2067" i="12"/>
  <c r="AA840" i="12"/>
  <c r="AA452" i="12"/>
  <c r="AA2228" i="12"/>
  <c r="AA1196" i="12"/>
  <c r="AA2299" i="12"/>
  <c r="AA1125" i="12"/>
  <c r="AA2273" i="12"/>
  <c r="AA1230" i="12"/>
  <c r="AA2425" i="12"/>
  <c r="AA1595" i="12"/>
  <c r="AA967" i="12"/>
  <c r="AA328" i="12"/>
  <c r="AA2336" i="12"/>
  <c r="AA132" i="12"/>
  <c r="AA2064" i="12"/>
  <c r="AA2722" i="12"/>
  <c r="AA2103" i="12"/>
  <c r="AA2557" i="12"/>
  <c r="AA2647" i="12"/>
  <c r="AA1342" i="12"/>
  <c r="AA391" i="12"/>
  <c r="AA3386" i="12"/>
  <c r="AA2098" i="12"/>
  <c r="AA312" i="12"/>
  <c r="AA2328" i="12"/>
  <c r="AA1784" i="12"/>
  <c r="AA2223" i="12"/>
  <c r="AA411" i="12"/>
  <c r="AA2494" i="12"/>
  <c r="AA206" i="12"/>
  <c r="AA2333" i="12"/>
  <c r="AA2972" i="12"/>
  <c r="AA539" i="12"/>
  <c r="AA2089" i="12"/>
  <c r="AA2622" i="12"/>
  <c r="AA2985" i="12"/>
  <c r="AA205" i="12"/>
  <c r="AA1677" i="12"/>
  <c r="AA743" i="12"/>
  <c r="AA2226" i="12"/>
  <c r="AA2172" i="12"/>
  <c r="AA3296" i="12"/>
  <c r="AA2368" i="12"/>
  <c r="AA1686" i="12"/>
  <c r="AA729" i="12"/>
  <c r="AA2798" i="12"/>
  <c r="AA1059" i="12"/>
  <c r="AA230" i="12"/>
  <c r="AA551" i="12"/>
  <c r="AA755" i="12"/>
  <c r="AA1243" i="12"/>
  <c r="AA1531" i="12"/>
  <c r="AA2818" i="12"/>
  <c r="AA3036" i="12"/>
  <c r="AA236" i="12"/>
  <c r="AA162" i="12"/>
  <c r="AA1674" i="12"/>
  <c r="AA1136" i="12"/>
  <c r="AA355" i="12"/>
  <c r="AA1579" i="12"/>
  <c r="AA2439" i="12"/>
  <c r="AA484" i="12"/>
  <c r="AA575" i="12"/>
  <c r="AA2592" i="12"/>
  <c r="AA2478" i="12"/>
  <c r="AA115" i="12"/>
  <c r="AA1768" i="12"/>
  <c r="AA2358" i="12"/>
  <c r="AA1717" i="12"/>
  <c r="AA2164" i="12"/>
  <c r="AA1448" i="12"/>
  <c r="AA1573" i="12"/>
  <c r="AA47" i="12"/>
  <c r="AA3418" i="12"/>
  <c r="AA820" i="12"/>
  <c r="AA2649" i="12"/>
  <c r="AA2993" i="12"/>
  <c r="AA44" i="12"/>
  <c r="AA2821" i="12"/>
  <c r="AA2525" i="12"/>
  <c r="AA3033" i="12"/>
  <c r="AA487" i="12"/>
  <c r="AA2936" i="12"/>
  <c r="AA1020" i="12"/>
  <c r="AA123" i="12"/>
  <c r="AA682" i="12"/>
  <c r="AA1340" i="12"/>
  <c r="AA91" i="12"/>
  <c r="AA1729" i="12"/>
  <c r="AA3505" i="12"/>
  <c r="AA1700" i="12"/>
  <c r="AA323" i="12"/>
  <c r="AA2735" i="12"/>
  <c r="AA2937" i="12"/>
  <c r="AA138" i="12"/>
  <c r="AA2261" i="12"/>
  <c r="AA3274" i="12"/>
  <c r="AA3279" i="12"/>
  <c r="AA2301" i="12"/>
  <c r="AA1466" i="12"/>
  <c r="AA3396" i="12"/>
  <c r="AA1265" i="12"/>
  <c r="AA3348" i="12"/>
  <c r="AA3221" i="12"/>
  <c r="AA1081" i="12"/>
  <c r="AA1434" i="12"/>
  <c r="AA2018" i="12"/>
  <c r="AA585" i="12"/>
  <c r="AA393" i="12"/>
  <c r="AA3542" i="12"/>
  <c r="AA2005" i="12"/>
  <c r="AA1840" i="12"/>
  <c r="AA1843" i="12"/>
  <c r="AA641" i="12"/>
  <c r="AA1673" i="12"/>
  <c r="AA1362" i="12"/>
  <c r="AA263" i="12"/>
  <c r="AA2277" i="12"/>
  <c r="AA2852" i="12"/>
  <c r="AA3315" i="12"/>
  <c r="AA3521" i="12"/>
  <c r="AA623" i="12"/>
  <c r="AA1272" i="12"/>
  <c r="AA2799" i="12"/>
  <c r="AA1002" i="12"/>
  <c r="AA3430" i="12"/>
  <c r="AA1950" i="12"/>
  <c r="AA3428" i="12"/>
  <c r="AA1619" i="12"/>
  <c r="AA224" i="12"/>
  <c r="AA2100" i="12"/>
  <c r="AA3437" i="12"/>
  <c r="AA3290" i="12"/>
  <c r="AA57" i="12"/>
  <c r="AA2369" i="12"/>
  <c r="AA22" i="12"/>
  <c r="AA781" i="12"/>
  <c r="AA1470" i="12"/>
  <c r="AA2327" i="12"/>
  <c r="AA968" i="12"/>
  <c r="AA388" i="12"/>
  <c r="AA1015" i="12"/>
  <c r="AA2465" i="12"/>
  <c r="AA3415" i="12"/>
  <c r="AA1494" i="12"/>
  <c r="AA3255" i="12"/>
  <c r="AA929" i="12"/>
  <c r="AA2282" i="12"/>
  <c r="AA2603" i="12"/>
  <c r="AA2057" i="12"/>
  <c r="AA1718" i="12"/>
  <c r="AA1405" i="12"/>
  <c r="AA1490" i="12"/>
  <c r="AA2132" i="12"/>
  <c r="AA1697" i="12"/>
  <c r="AA2037" i="12"/>
  <c r="AA1376" i="12"/>
  <c r="AA1006" i="12"/>
  <c r="AA128" i="12"/>
  <c r="AA1608" i="12"/>
  <c r="AA1400" i="12"/>
  <c r="AA504" i="12"/>
  <c r="AA874" i="12"/>
  <c r="AA2146" i="12"/>
  <c r="AA3160" i="12"/>
  <c r="AA2759" i="12"/>
  <c r="AA1355" i="12"/>
  <c r="AA1733" i="12"/>
  <c r="AA1281" i="12"/>
  <c r="AA1797" i="12"/>
  <c r="AA1319" i="12"/>
  <c r="AA238" i="12"/>
  <c r="AA3289" i="12"/>
  <c r="AA523" i="12"/>
  <c r="AA2762" i="12"/>
  <c r="AA2002" i="12"/>
  <c r="AA188" i="12"/>
  <c r="AA767" i="12"/>
  <c r="AA3130" i="12"/>
  <c r="AA932" i="12"/>
  <c r="AA2748" i="12"/>
  <c r="AA615" i="12"/>
  <c r="AA3358" i="12"/>
  <c r="AA2176" i="12"/>
  <c r="AA2190" i="12"/>
  <c r="AA1007" i="12"/>
  <c r="AA1788" i="12"/>
  <c r="AA2393" i="12"/>
  <c r="AA1045" i="12"/>
  <c r="AA632" i="12"/>
  <c r="AA344" i="12"/>
  <c r="AA1298" i="12"/>
  <c r="AA2901" i="12"/>
  <c r="AA2288" i="12"/>
  <c r="AA3073" i="12"/>
  <c r="AA1906" i="12"/>
  <c r="AA296" i="12"/>
  <c r="AA2207" i="12"/>
  <c r="AA340" i="12"/>
  <c r="AA1731" i="12"/>
  <c r="AA3333" i="12"/>
  <c r="AA3355" i="12"/>
  <c r="AA3309" i="12"/>
  <c r="AA2213" i="12"/>
  <c r="AA893" i="12"/>
  <c r="AA1710" i="12"/>
  <c r="AA2266" i="12"/>
  <c r="AA1367" i="12"/>
  <c r="AA1407" i="12"/>
  <c r="AA2076" i="12"/>
  <c r="AA722" i="12"/>
  <c r="AA3368" i="12"/>
  <c r="AA2644" i="12"/>
  <c r="AA1280" i="12"/>
  <c r="AA3326" i="12"/>
  <c r="AA2742" i="12"/>
  <c r="AA3291" i="12"/>
  <c r="AA3313" i="12"/>
  <c r="AA3328" i="12"/>
  <c r="AA3380" i="12"/>
  <c r="AA146" i="12"/>
  <c r="AA1850" i="12"/>
  <c r="AA2638" i="12"/>
  <c r="AA1581" i="12"/>
  <c r="AA406" i="12"/>
  <c r="AA418" i="12"/>
  <c r="AA3472" i="12"/>
  <c r="AA3122" i="12"/>
  <c r="AA1089" i="12"/>
  <c r="AA1165" i="12"/>
  <c r="AA2794" i="12"/>
  <c r="AA353" i="12"/>
  <c r="AA465" i="12"/>
  <c r="AA3231" i="12"/>
  <c r="AA895" i="12"/>
  <c r="AA2504" i="12"/>
  <c r="AA433" i="12"/>
  <c r="AA1527" i="12"/>
  <c r="AA2275" i="12"/>
  <c r="AA1838" i="12"/>
  <c r="AA2981" i="12"/>
  <c r="AA2958" i="12"/>
  <c r="AA1557" i="12"/>
  <c r="AA2417" i="12"/>
  <c r="AA2079" i="12"/>
  <c r="AA2877" i="12"/>
  <c r="AA1426" i="12"/>
  <c r="AA1976" i="12"/>
  <c r="AA67" i="12"/>
  <c r="AA1814" i="12"/>
  <c r="AA655" i="12"/>
  <c r="AA1629" i="12"/>
  <c r="AA784" i="12"/>
  <c r="AA1703" i="12"/>
  <c r="AA1701" i="12"/>
  <c r="AA2586" i="12"/>
  <c r="AA591" i="12"/>
  <c r="AA2935" i="12"/>
  <c r="AA1849" i="12"/>
  <c r="AA1104" i="12"/>
  <c r="AA1682" i="12"/>
  <c r="AA99" i="12"/>
  <c r="AA1372" i="12"/>
  <c r="AA1910" i="12"/>
  <c r="AA1672" i="12"/>
  <c r="AA1660" i="12"/>
  <c r="AA1256" i="12"/>
  <c r="AA304" i="12"/>
  <c r="AA3075" i="12"/>
  <c r="AA3225" i="12"/>
  <c r="AA2398" i="12"/>
  <c r="AA3049" i="12"/>
  <c r="AA3257" i="12"/>
  <c r="AA1712" i="12"/>
  <c r="AA2454" i="12"/>
  <c r="AA3365" i="12"/>
  <c r="AA2989" i="12"/>
  <c r="AA2517" i="12"/>
  <c r="AA1991" i="12"/>
  <c r="AA1092" i="12"/>
  <c r="AA1110" i="12"/>
  <c r="AA3275" i="12"/>
  <c r="AA1497" i="12"/>
  <c r="AA1986" i="12"/>
  <c r="AA2200" i="12"/>
  <c r="AA2110" i="12"/>
  <c r="AA2117" i="12"/>
  <c r="AA2346" i="12"/>
  <c r="AA1173" i="12"/>
  <c r="AA2027" i="12"/>
  <c r="AA1329" i="12"/>
  <c r="AA192" i="12"/>
  <c r="AA1790" i="12"/>
  <c r="AA476" i="12"/>
  <c r="AA3477" i="12"/>
  <c r="AA809" i="12"/>
  <c r="AA295" i="12"/>
  <c r="AA1422" i="12"/>
  <c r="AA426" i="12"/>
  <c r="AA3397" i="12"/>
  <c r="AA2109" i="12"/>
  <c r="AA2150" i="12"/>
  <c r="AA2056" i="12"/>
  <c r="AA1452" i="12"/>
  <c r="AA2210" i="12"/>
  <c r="AA2483" i="12"/>
  <c r="AA1309" i="12"/>
  <c r="AA3330" i="12"/>
  <c r="AA2308" i="12"/>
  <c r="AA215" i="12"/>
  <c r="AA1548" i="12"/>
  <c r="AA485" i="12"/>
  <c r="AA1524" i="12"/>
  <c r="AA3405" i="12"/>
  <c r="AA1255" i="12"/>
  <c r="AA3224" i="12"/>
  <c r="AA3141" i="12"/>
  <c r="AA1742" i="12"/>
  <c r="AA2933" i="12"/>
  <c r="AA990" i="12"/>
  <c r="AA3083" i="12"/>
  <c r="AA2802" i="12"/>
  <c r="AA1459" i="12"/>
  <c r="AA2287" i="12"/>
  <c r="AA2004" i="12"/>
  <c r="AA1791" i="12"/>
  <c r="AA987" i="12"/>
  <c r="AA2786" i="12"/>
  <c r="AA2055" i="12"/>
  <c r="AA1990" i="12"/>
  <c r="AA2962" i="12"/>
  <c r="AA1861" i="12"/>
  <c r="AA1351" i="12"/>
  <c r="AA1736" i="12"/>
  <c r="AA1829" i="12"/>
  <c r="AA2881" i="12"/>
  <c r="AA2613" i="12"/>
  <c r="AA1114" i="12"/>
  <c r="AA2778" i="12"/>
  <c r="AA2514" i="12"/>
  <c r="AA3032" i="12"/>
  <c r="AA2374" i="12"/>
  <c r="AA163" i="12"/>
  <c r="AA540" i="12"/>
  <c r="AA1975" i="12"/>
  <c r="AA1692" i="12"/>
  <c r="AA2250" i="12"/>
  <c r="AA1358" i="12"/>
  <c r="AA2162" i="12"/>
  <c r="AA1781" i="12"/>
  <c r="AA3123" i="12"/>
  <c r="AA2295" i="12"/>
  <c r="AA2212" i="12"/>
  <c r="AA3549" i="12"/>
  <c r="AA3286" i="12"/>
  <c r="AA2888" i="12"/>
  <c r="AA1933" i="12"/>
  <c r="AA1481" i="12"/>
  <c r="AA3127" i="12"/>
  <c r="AA1060" i="12"/>
  <c r="AA2923" i="12"/>
  <c r="AA2324" i="12"/>
  <c r="AA759" i="12"/>
  <c r="AA3051" i="12"/>
  <c r="AA1237" i="12"/>
  <c r="AA1158" i="12"/>
  <c r="AA2879" i="12"/>
  <c r="AA199" i="12"/>
  <c r="AA2842" i="12"/>
  <c r="AA3277" i="12"/>
  <c r="AA2767" i="12"/>
  <c r="AA3148" i="12"/>
  <c r="AA308" i="12"/>
  <c r="AA209" i="12"/>
  <c r="AA3443" i="12"/>
  <c r="AA3138" i="12"/>
  <c r="AA3010" i="12"/>
  <c r="AA3431" i="12"/>
  <c r="AA829" i="12"/>
  <c r="AA602" i="12"/>
  <c r="AA985" i="12"/>
  <c r="AA1794" i="12"/>
  <c r="AA2560" i="12"/>
  <c r="AA77" i="12"/>
  <c r="AA3476" i="12"/>
  <c r="AA2793" i="12"/>
  <c r="AA697" i="12"/>
  <c r="AA596" i="12"/>
  <c r="AA2289" i="12"/>
  <c r="AA807" i="12"/>
  <c r="AA3090" i="12"/>
  <c r="AA293" i="12"/>
  <c r="AA3298" i="12"/>
  <c r="AA2991" i="12"/>
  <c r="AA1197" i="12"/>
  <c r="AA2175" i="12"/>
  <c r="AA2082" i="12"/>
  <c r="AA3235" i="12"/>
  <c r="AA2033" i="12"/>
  <c r="AA2724" i="12"/>
  <c r="AA1406" i="12"/>
  <c r="AA3403" i="12"/>
  <c r="AA2957" i="12"/>
  <c r="AA2831" i="12"/>
  <c r="AA2130" i="12"/>
  <c r="AA3146" i="12"/>
  <c r="AA1772" i="12"/>
  <c r="AA2086" i="12"/>
  <c r="AA3066" i="12"/>
  <c r="AA3045" i="12"/>
  <c r="AA860" i="12"/>
  <c r="AA2046" i="12"/>
  <c r="AA2036" i="12"/>
  <c r="AA1643" i="12"/>
  <c r="AA1126" i="12"/>
  <c r="AA2764" i="12"/>
  <c r="AA1606" i="12"/>
  <c r="AA66" i="12"/>
  <c r="AA1392" i="12"/>
  <c r="AA324" i="12"/>
  <c r="AA620" i="12"/>
  <c r="AA775" i="12"/>
  <c r="AA769" i="12"/>
  <c r="AA1820" i="12"/>
  <c r="AA1053" i="12"/>
  <c r="AA1596" i="12"/>
  <c r="AA1622" i="12"/>
  <c r="AA636" i="12"/>
  <c r="AA2721" i="12"/>
  <c r="AA370" i="12"/>
  <c r="AA2519" i="12"/>
  <c r="AA1225" i="12"/>
  <c r="AA3145" i="12"/>
  <c r="AA835" i="12"/>
  <c r="AA1208" i="12"/>
  <c r="AA1523" i="12"/>
  <c r="AA151" i="12"/>
  <c r="AA903" i="12"/>
  <c r="AA2023" i="12"/>
  <c r="AA1663" i="12"/>
  <c r="AA869" i="12"/>
  <c r="AA2922" i="12"/>
  <c r="AA265" i="12"/>
  <c r="AA34" i="12"/>
  <c r="AA581" i="12"/>
  <c r="AA2431" i="12"/>
  <c r="AA2574" i="12"/>
  <c r="AA1476" i="12"/>
  <c r="AA698" i="12"/>
  <c r="AA2848" i="12"/>
  <c r="AA2608" i="12"/>
  <c r="AA2611" i="12"/>
  <c r="AA2365" i="12"/>
  <c r="AA113" i="12"/>
  <c r="AA2836" i="12"/>
  <c r="AA744" i="12"/>
  <c r="AA2891" i="12"/>
  <c r="AA2666" i="12"/>
  <c r="AA2367" i="12"/>
  <c r="AA1972" i="12"/>
  <c r="AA1440" i="12"/>
  <c r="AA1751" i="12"/>
  <c r="AA791" i="12"/>
  <c r="AA1636" i="12"/>
  <c r="AA1000" i="12"/>
  <c r="AA2102" i="12"/>
  <c r="AA62" i="12"/>
  <c r="AA770" i="12"/>
  <c r="AA2859" i="12"/>
  <c r="AA343" i="12"/>
  <c r="AA2847" i="12"/>
  <c r="AA1807" i="12"/>
  <c r="AA830" i="12"/>
  <c r="AA910" i="12"/>
  <c r="AA3364" i="12"/>
  <c r="AA843" i="12"/>
  <c r="AA3323" i="12"/>
  <c r="AA2739" i="12"/>
  <c r="AA1115" i="12"/>
  <c r="AA1090" i="12"/>
  <c r="AA1324" i="12"/>
  <c r="AA2909" i="12"/>
  <c r="AA707" i="12"/>
  <c r="AA2080" i="12"/>
  <c r="AA1276" i="12"/>
  <c r="AA3021" i="12"/>
  <c r="AA1546" i="12"/>
  <c r="AA613" i="12"/>
  <c r="AA1066" i="12"/>
  <c r="AA2129" i="12"/>
  <c r="AA3486" i="12"/>
  <c r="AA2143" i="12"/>
  <c r="AA3116" i="12"/>
  <c r="AA727" i="12"/>
  <c r="AA679" i="12"/>
  <c r="AA2898" i="12"/>
  <c r="AA818" i="12"/>
  <c r="AA2974" i="12"/>
  <c r="AA2069" i="12"/>
  <c r="AA49" i="12"/>
  <c r="AA2853" i="12"/>
  <c r="AA2607" i="12"/>
  <c r="AA1291" i="12"/>
  <c r="AA3334" i="12"/>
  <c r="AA45" i="12"/>
  <c r="AA3346" i="12"/>
  <c r="AA202" i="12"/>
  <c r="AA2382" i="12"/>
  <c r="AA1174" i="12"/>
  <c r="AA1808" i="12"/>
  <c r="AA1375" i="12"/>
  <c r="AA1189" i="12"/>
  <c r="AA2247" i="12"/>
  <c r="AA1722" i="12"/>
  <c r="AA2753" i="12"/>
  <c r="AA3450" i="12"/>
  <c r="AA165" i="12"/>
  <c r="AA785" i="12"/>
  <c r="AA413" i="12"/>
  <c r="AA3519" i="12"/>
  <c r="AA3165" i="12"/>
  <c r="AA2581" i="12"/>
  <c r="AA2508" i="12"/>
  <c r="AA1530" i="12"/>
  <c r="AA2267" i="12"/>
  <c r="AA675" i="12"/>
  <c r="AA1654" i="12"/>
  <c r="AA2851" i="12"/>
  <c r="AA2222" i="12"/>
  <c r="AA1321" i="12"/>
  <c r="AA1301" i="12"/>
  <c r="AA1303" i="12"/>
  <c r="AA2020" i="12"/>
  <c r="AA701" i="12"/>
  <c r="AA2726" i="12"/>
  <c r="AA2737" i="12"/>
  <c r="AA2303" i="12"/>
  <c r="AA3162" i="12"/>
  <c r="AA2669" i="12"/>
  <c r="AA1942" i="12"/>
  <c r="AA3157" i="12"/>
  <c r="AA2104" i="12"/>
  <c r="AA1979" i="12"/>
  <c r="AA1028" i="12"/>
  <c r="AA1709" i="12"/>
  <c r="AA3483" i="12"/>
  <c r="AA354" i="12"/>
  <c r="AA2012" i="12"/>
  <c r="AA661" i="12"/>
  <c r="AA3465" i="12"/>
  <c r="AA991" i="12"/>
  <c r="AA2919" i="12"/>
  <c r="AA2654" i="12"/>
  <c r="AA76" i="12"/>
  <c r="AA1610" i="12"/>
  <c r="AA65" i="12"/>
  <c r="AA3379" i="12"/>
  <c r="AA2410" i="12"/>
  <c r="AA1935" i="12"/>
  <c r="AA1685" i="12"/>
  <c r="AA2174" i="12"/>
  <c r="AA2326" i="12"/>
  <c r="AA2670" i="12"/>
  <c r="AA3336" i="12"/>
  <c r="AA3438" i="12"/>
  <c r="AA273" i="12"/>
  <c r="AA550" i="12"/>
  <c r="AA629" i="12"/>
  <c r="AA873" i="12"/>
  <c r="AA3391" i="12"/>
  <c r="AA2149" i="12"/>
  <c r="AA2235" i="12"/>
  <c r="AA1024" i="12"/>
  <c r="AA169" i="12"/>
  <c r="AA3077" i="12"/>
  <c r="AA2628" i="12"/>
  <c r="AA2065" i="12"/>
  <c r="AA644" i="12"/>
  <c r="AA90" i="12"/>
  <c r="AA3012" i="12"/>
  <c r="AA3523" i="12"/>
  <c r="AA2345" i="12"/>
  <c r="AA2575" i="12"/>
  <c r="AA3373" i="12"/>
  <c r="AA2323" i="12"/>
  <c r="AA466" i="12"/>
  <c r="AA2641" i="12"/>
  <c r="AA1919" i="12"/>
  <c r="AA1142" i="12"/>
  <c r="AA2291" i="12"/>
  <c r="AA1390" i="12"/>
  <c r="AA2733" i="12"/>
  <c r="AA1145" i="12"/>
  <c r="AA3496" i="12"/>
  <c r="AA1713" i="12"/>
  <c r="AA538" i="12"/>
  <c r="AA1759" i="12"/>
  <c r="AA347" i="12"/>
  <c r="AA3185" i="12"/>
  <c r="AA2661" i="12"/>
  <c r="AA2394" i="12"/>
  <c r="AA635" i="12"/>
  <c r="AA1018" i="12"/>
  <c r="AA155" i="12"/>
  <c r="AA2682" i="12"/>
  <c r="AA1205" i="12"/>
  <c r="AA2231" i="12"/>
  <c r="AA2741" i="12"/>
  <c r="AA2432" i="12"/>
  <c r="AA3353" i="12"/>
  <c r="AA1316" i="12"/>
  <c r="AA60" i="12"/>
  <c r="AA2467" i="12"/>
  <c r="AA1219" i="12"/>
  <c r="AA669" i="12"/>
  <c r="AA2384" i="12"/>
  <c r="AA3080" i="12"/>
  <c r="AA2488" i="12"/>
  <c r="AA3300" i="12"/>
  <c r="AA394" i="12"/>
  <c r="AA915" i="12"/>
  <c r="AA1758" i="12"/>
  <c r="AA1908" i="12"/>
  <c r="AA1754" i="12"/>
  <c r="AA1352" i="12"/>
  <c r="AA1380" i="12"/>
  <c r="AA583" i="12"/>
  <c r="AA761" i="12"/>
  <c r="AA2471" i="12"/>
  <c r="AA435" i="12"/>
  <c r="AA1818" i="12"/>
  <c r="AA2370" i="12"/>
  <c r="AA2705" i="12"/>
  <c r="AA410" i="12"/>
  <c r="AA1499" i="12"/>
  <c r="AA665" i="12"/>
  <c r="AA431" i="12"/>
  <c r="AA933" i="12"/>
  <c r="AA2564" i="12"/>
  <c r="AA3487" i="12"/>
  <c r="AA1500" i="12"/>
  <c r="AA2518" i="12"/>
  <c r="AA235" i="12"/>
  <c r="AA1155" i="12"/>
  <c r="AA884" i="12"/>
  <c r="AA3271" i="12"/>
  <c r="AA2342" i="12"/>
  <c r="AA1937" i="12"/>
  <c r="AA3394" i="12"/>
  <c r="AA1330" i="12"/>
  <c r="AA2943" i="12"/>
  <c r="AA2918" i="12"/>
  <c r="AA955" i="12"/>
  <c r="AA2663" i="12"/>
  <c r="AA2229" i="12"/>
  <c r="AA2495" i="12"/>
  <c r="AA203" i="12"/>
  <c r="AA1702" i="12"/>
  <c r="AA609" i="12"/>
  <c r="AA1274" i="12"/>
  <c r="AA1582" i="12"/>
  <c r="AA2459" i="12"/>
  <c r="AA2300" i="12"/>
  <c r="AA179" i="12"/>
  <c r="AA2116" i="12"/>
  <c r="AA195" i="12"/>
  <c r="AA2863" i="12"/>
  <c r="AA2699" i="12"/>
  <c r="AA782" i="12"/>
  <c r="AA229" i="12"/>
  <c r="AA3461" i="12"/>
  <c r="AA1449" i="12"/>
  <c r="AA96" i="12"/>
  <c r="AA3270" i="12"/>
  <c r="AA2340" i="12"/>
  <c r="AA3261" i="12"/>
  <c r="AA2520" i="12"/>
  <c r="AA194" i="12"/>
  <c r="AA1943" i="12"/>
  <c r="AA1620" i="12"/>
  <c r="AA757" i="12"/>
  <c r="AA2659" i="12"/>
  <c r="AA1419" i="12"/>
  <c r="AA2530" i="12"/>
  <c r="AA624" i="12"/>
  <c r="AA3272" i="12"/>
  <c r="AA1896" i="12"/>
  <c r="AA618" i="12"/>
  <c r="AA2552" i="12"/>
  <c r="AA1427" i="12"/>
  <c r="AA3241" i="12"/>
  <c r="AA1063" i="12"/>
  <c r="AA2648" i="12"/>
  <c r="AA971" i="12"/>
  <c r="AA703" i="12"/>
  <c r="AA443" i="12"/>
  <c r="AA2536" i="12"/>
  <c r="AA1399" i="12"/>
  <c r="AA2865" i="12"/>
  <c r="AA2378" i="12"/>
  <c r="AA161" i="12"/>
  <c r="AA1777" i="12"/>
  <c r="AA86" i="12"/>
  <c r="AA351" i="12"/>
  <c r="AA107" i="12"/>
  <c r="AA368" i="12"/>
  <c r="AA1549" i="12"/>
  <c r="AA3344" i="12"/>
  <c r="AA1282" i="12"/>
  <c r="AA3424" i="12"/>
  <c r="AA1623" i="12"/>
  <c r="AA943" i="12"/>
  <c r="AA1027" i="12"/>
  <c r="AA1008" i="12"/>
  <c r="AA2926" i="12"/>
  <c r="AA253" i="12"/>
  <c r="AA2092" i="12"/>
  <c r="AA1760" i="12"/>
  <c r="AA525" i="12"/>
  <c r="AA714" i="12"/>
  <c r="AA2360" i="12"/>
  <c r="AA1695" i="12"/>
  <c r="AA1183" i="12"/>
  <c r="AA3544" i="12"/>
  <c r="AA1084" i="12"/>
  <c r="AA1574" i="12"/>
  <c r="AA3504" i="12"/>
  <c r="AA2961" i="12"/>
  <c r="AA723" i="12"/>
  <c r="AA3088" i="12"/>
  <c r="AA28" i="12"/>
  <c r="AA2701" i="12"/>
  <c r="AA1825" i="12"/>
  <c r="AA1157" i="12"/>
  <c r="AA2897" i="12"/>
  <c r="AA1193" i="12"/>
  <c r="AA154" i="12"/>
  <c r="AA1869" i="12"/>
  <c r="AA1271" i="12"/>
  <c r="AA3321" i="12"/>
  <c r="AA3064" i="12"/>
  <c r="AA283" i="12"/>
  <c r="AA2000" i="12"/>
  <c r="AA2837" i="12"/>
  <c r="AA2041" i="12"/>
  <c r="AA1680" i="12"/>
  <c r="AA1261" i="12"/>
  <c r="AA2128" i="12"/>
  <c r="AA2975" i="12"/>
  <c r="AA2549" i="12"/>
  <c r="AA1343" i="12"/>
  <c r="AA3078" i="12"/>
  <c r="AA1597" i="12"/>
  <c r="AA1628" i="12"/>
  <c r="AA2187" i="12"/>
  <c r="AA2568" i="12"/>
  <c r="AA693" i="12"/>
  <c r="AA1106" i="12"/>
  <c r="AA74" i="12"/>
  <c r="AA2597" i="12"/>
  <c r="AA1941" i="12"/>
  <c r="AA954" i="12"/>
  <c r="AA803" i="12"/>
  <c r="AA2021" i="12"/>
  <c r="AA2170" i="12"/>
  <c r="AA1179" i="12"/>
  <c r="AA1904" i="12"/>
  <c r="AA3457" i="12"/>
  <c r="AA1848" i="12"/>
  <c r="AA3239" i="12"/>
  <c r="AA306" i="12"/>
  <c r="AA2297" i="12"/>
  <c r="AA198" i="12"/>
  <c r="AA1332" i="12"/>
  <c r="AA1150" i="12"/>
  <c r="AA1642" i="12"/>
  <c r="AA2237" i="12"/>
  <c r="AA668" i="12"/>
  <c r="AA1420" i="12"/>
  <c r="AA2718" i="12"/>
  <c r="AA566" i="12"/>
  <c r="AA2252" i="12"/>
  <c r="AA1631" i="12"/>
  <c r="AA3304" i="12"/>
  <c r="AA3072" i="12"/>
  <c r="AA444" i="12"/>
  <c r="AA866" i="12"/>
  <c r="AA2332" i="12"/>
  <c r="AA890" i="12"/>
  <c r="AA1912" i="12"/>
  <c r="AA1221" i="12"/>
  <c r="AA2134" i="12"/>
  <c r="AA1915" i="12"/>
  <c r="AA1704" i="12"/>
  <c r="AA1639" i="12"/>
  <c r="AA2599" i="12"/>
  <c r="AA1446" i="12"/>
  <c r="AA1946" i="12"/>
  <c r="AA2400" i="12"/>
  <c r="AA453" i="12"/>
  <c r="AA1699" i="12"/>
  <c r="AA2534" i="12"/>
  <c r="AA612" i="12"/>
  <c r="AA427" i="12"/>
  <c r="AA3172" i="12"/>
  <c r="AA3101" i="12"/>
  <c r="AA2559" i="12"/>
  <c r="AA2204" i="12"/>
  <c r="AA2293" i="12"/>
  <c r="AA32" i="12"/>
  <c r="AA1738" i="12"/>
  <c r="AA1503" i="12"/>
  <c r="AA1361" i="12"/>
  <c r="AA2347" i="12"/>
  <c r="AA438" i="12"/>
  <c r="AA288" i="12"/>
  <c r="AA3495" i="12"/>
  <c r="AA952" i="12"/>
  <c r="AA2556" i="12"/>
  <c r="AA1834" i="12"/>
  <c r="AA297" i="12"/>
  <c r="AA2946" i="12"/>
  <c r="AA3509" i="12"/>
  <c r="AA2461" i="12"/>
  <c r="AA232" i="12"/>
  <c r="AA1902" i="12"/>
  <c r="AA3152" i="12"/>
  <c r="AA2774" i="12"/>
  <c r="AA240" i="12"/>
  <c r="AA1559" i="12"/>
  <c r="AA3471" i="12"/>
  <c r="AA3155" i="12"/>
  <c r="AA139" i="12"/>
  <c r="AA1124" i="12"/>
  <c r="AA3398" i="12"/>
  <c r="AA1067" i="12"/>
  <c r="AA2547" i="12"/>
  <c r="AA94" i="12"/>
  <c r="AA2562" i="12"/>
  <c r="AA73" i="12"/>
  <c r="AA272" i="12"/>
  <c r="AA3067" i="12"/>
  <c r="AA2462" i="12"/>
  <c r="AA417" i="12"/>
  <c r="AA3434" i="12"/>
  <c r="AA2386" i="12"/>
  <c r="AA984" i="12"/>
  <c r="AA2315" i="12"/>
  <c r="AA506" i="12"/>
  <c r="AA1107" i="12"/>
  <c r="AA2260" i="12"/>
  <c r="AA3013" i="12"/>
  <c r="AA1968" i="12"/>
  <c r="AA87" i="12"/>
  <c r="AA1334" i="12"/>
  <c r="AA2925" i="12"/>
  <c r="AA1899" i="12"/>
  <c r="AA2088" i="12"/>
  <c r="AA78" i="12"/>
  <c r="AA1762" i="12"/>
  <c r="AA510" i="12"/>
  <c r="AA2746" i="12"/>
  <c r="AA412" i="12"/>
  <c r="AA1726" i="12"/>
  <c r="AA1003" i="12"/>
  <c r="AA1614" i="12"/>
  <c r="AA377" i="12"/>
  <c r="AA2421" i="12"/>
  <c r="AA3142" i="12"/>
  <c r="AA2014" i="12"/>
  <c r="AA2976" i="12"/>
  <c r="AA434" i="12"/>
  <c r="AA470" i="12"/>
  <c r="AA1411" i="12"/>
  <c r="AA2269" i="12"/>
  <c r="AA1526" i="12"/>
  <c r="AA197" i="12"/>
  <c r="AA941" i="12"/>
  <c r="AA3276" i="12"/>
  <c r="AA1397" i="12"/>
  <c r="AA204" i="12"/>
  <c r="AA1377" i="12"/>
  <c r="AA325" i="12"/>
  <c r="AA3199" i="12"/>
  <c r="AA2781" i="12"/>
  <c r="AA1538" i="12"/>
  <c r="AA672" i="12"/>
  <c r="AA1956" i="12"/>
  <c r="AA2716" i="12"/>
  <c r="AA1521" i="12"/>
  <c r="AA1424" i="12"/>
  <c r="AA1796" i="12"/>
  <c r="AA212" i="12"/>
  <c r="AA1542" i="12"/>
  <c r="AA2351" i="12"/>
  <c r="AA2234" i="12"/>
  <c r="AA251" i="12"/>
  <c r="AA2997" i="12"/>
  <c r="AA898" i="12"/>
  <c r="AA3087" i="12"/>
  <c r="AA683" i="12"/>
  <c r="AA2045" i="12"/>
  <c r="AA318" i="12"/>
  <c r="AA1214" i="12"/>
  <c r="AA567" i="12"/>
  <c r="AA3488" i="12"/>
  <c r="AA2994" i="12"/>
  <c r="AA491" i="12"/>
  <c r="AA956" i="12"/>
  <c r="AA764" i="12"/>
  <c r="AA2241" i="12"/>
  <c r="AA3068" i="12"/>
  <c r="AA2355" i="12"/>
  <c r="AA886" i="12"/>
  <c r="AA2558" i="12"/>
  <c r="AA2840" i="12"/>
  <c r="AA1154" i="12"/>
  <c r="AA742" i="12"/>
  <c r="AA3294" i="12"/>
  <c r="AA2084" i="12"/>
  <c r="AA966" i="12"/>
  <c r="AA1251" i="12"/>
  <c r="AA1336" i="12"/>
  <c r="AA2262" i="12"/>
  <c r="AA3046" i="12"/>
  <c r="AA3247" i="12"/>
  <c r="AA458" i="12"/>
  <c r="AA425" i="12"/>
  <c r="AA3375" i="12"/>
  <c r="AA2452" i="12"/>
  <c r="AA854" i="12"/>
  <c r="AA2968" i="12"/>
  <c r="AA397" i="12"/>
  <c r="AA2807" i="12"/>
  <c r="AA834" i="12"/>
  <c r="AA3022" i="12"/>
  <c r="AA1511" i="12"/>
  <c r="AA3340" i="12"/>
  <c r="AA290" i="12"/>
  <c r="AA3093" i="12"/>
  <c r="AA663" i="12"/>
  <c r="AA2451" i="12"/>
  <c r="AA2113" i="12"/>
  <c r="AA2029" i="12"/>
  <c r="AA441" i="12"/>
  <c r="AA853" i="12"/>
  <c r="AA2430" i="12"/>
  <c r="AA2570" i="12"/>
  <c r="AA2274" i="12"/>
  <c r="AA2711" i="12"/>
  <c r="AA721" i="12"/>
  <c r="AA2619" i="12"/>
  <c r="AA3017" i="12"/>
  <c r="AA2173" i="12"/>
  <c r="AA3252" i="12"/>
  <c r="AA3453" i="12"/>
  <c r="AA1025" i="12"/>
  <c r="AA2729" i="12"/>
  <c r="AA1061" i="12"/>
  <c r="AA187" i="12"/>
  <c r="AA1924" i="12"/>
  <c r="AA1501" i="12"/>
  <c r="AA3060" i="12"/>
  <c r="AA563" i="12"/>
  <c r="AA385" i="12"/>
  <c r="AA3063" i="12"/>
  <c r="AA2959" i="12"/>
  <c r="AA3452" i="12"/>
  <c r="AA3147" i="12"/>
  <c r="AA960" i="12"/>
  <c r="AA1880" i="12"/>
  <c r="AA1993" i="12"/>
  <c r="AA1916" i="12"/>
  <c r="AA346" i="12"/>
  <c r="AA3372" i="12"/>
  <c r="AA1195" i="12"/>
  <c r="AA946" i="12"/>
  <c r="AA289" i="12"/>
  <c r="AA2890" i="12"/>
  <c r="AA527" i="12"/>
  <c r="AA482" i="12"/>
  <c r="AA1464" i="12"/>
  <c r="AA2797" i="12"/>
  <c r="AA279" i="12"/>
  <c r="AA2889" i="12"/>
  <c r="AA2049" i="12"/>
  <c r="AA2058" i="12"/>
  <c r="AA1801" i="12"/>
  <c r="AA1851" i="12"/>
  <c r="AA522" i="12"/>
  <c r="AA909" i="12"/>
  <c r="AA89" i="12"/>
  <c r="AA3525" i="12"/>
  <c r="AA3501" i="12"/>
  <c r="AA1131" i="12"/>
  <c r="AA1743" i="12"/>
  <c r="AA147" i="12"/>
  <c r="AA2068" i="12"/>
  <c r="AA384" i="12"/>
  <c r="AA2166" i="12"/>
  <c r="AA3491" i="12"/>
  <c r="AA900" i="12"/>
  <c r="AA1273" i="12"/>
  <c r="AA765" i="12"/>
  <c r="AA3410" i="12"/>
  <c r="AA696" i="12"/>
  <c r="AA1371" i="12"/>
  <c r="AA1675" i="12"/>
  <c r="AA1435" i="12"/>
  <c r="AA459" i="12"/>
  <c r="AA1630" i="12"/>
  <c r="AA252" i="12"/>
  <c r="AA3000" i="12"/>
  <c r="AA1436" i="12"/>
  <c r="AA2443" i="12"/>
  <c r="AA1365" i="12"/>
  <c r="AA480" i="12"/>
  <c r="AA2420" i="12"/>
  <c r="AA965" i="12"/>
  <c r="AA1046" i="12"/>
  <c r="AA2294" i="12"/>
  <c r="AA3163" i="12"/>
  <c r="AA513" i="12"/>
  <c r="AA3085" i="12"/>
  <c r="AA1853" i="12"/>
  <c r="AA456" i="12"/>
  <c r="AA3190" i="12"/>
  <c r="AA2691" i="12"/>
  <c r="AA41" i="12"/>
  <c r="AA1062" i="12"/>
  <c r="AA878" i="12"/>
  <c r="AA1323" i="12"/>
  <c r="AA3316" i="12"/>
  <c r="AA905" i="12"/>
  <c r="AA2509" i="12"/>
  <c r="AA3445" i="12"/>
  <c r="AA2945" i="12"/>
  <c r="AA1098" i="12"/>
  <c r="AA733" i="12"/>
  <c r="AA1998" i="12"/>
  <c r="AA2066" i="12"/>
  <c r="AA3359" i="12"/>
  <c r="AA2905" i="12"/>
  <c r="AA333" i="12"/>
  <c r="AA1887" i="12"/>
  <c r="AA2828" i="12"/>
  <c r="AA1626" i="12"/>
  <c r="AA562" i="12"/>
  <c r="AA1611" i="12"/>
  <c r="AA3320" i="12"/>
  <c r="AA3167" i="12"/>
  <c r="AA2489" i="12"/>
  <c r="AA2998" i="12"/>
  <c r="AA1101" i="12"/>
  <c r="AA2683" i="12"/>
  <c r="AA1540" i="12"/>
  <c r="AA814" i="12"/>
  <c r="AA2320" i="12"/>
  <c r="AA3342" i="12"/>
  <c r="AA3512" i="12"/>
  <c r="AA773" i="12"/>
  <c r="AA2206" i="12"/>
  <c r="AA1507" i="12"/>
  <c r="AA945" i="12"/>
  <c r="AA3048" i="12"/>
  <c r="AA1294" i="12"/>
  <c r="AA1288" i="12"/>
  <c r="AA2938" i="12"/>
  <c r="AA1140" i="12"/>
  <c r="AA2565" i="12"/>
  <c r="AA3497" i="12"/>
  <c r="AA1209" i="12"/>
  <c r="AA2350" i="12"/>
  <c r="AA2911" i="12"/>
  <c r="AA3500" i="12"/>
  <c r="AA3124" i="12"/>
  <c r="AA1653" i="12"/>
  <c r="AA37" i="12"/>
  <c r="AA3287" i="12"/>
  <c r="AA2466" i="12"/>
  <c r="AA270" i="12"/>
  <c r="AA1242" i="12"/>
  <c r="AA3150" i="12"/>
  <c r="AA726" i="12"/>
  <c r="AA2522" i="12"/>
  <c r="AA2563" i="12"/>
  <c r="AA3184" i="12"/>
  <c r="AA2932" i="12"/>
  <c r="AA436" i="12"/>
  <c r="AA3159" i="12"/>
  <c r="AA2077" i="12"/>
  <c r="AA2193" i="12"/>
  <c r="AA1613" i="12"/>
  <c r="AA2950" i="12"/>
  <c r="AA751" i="12"/>
  <c r="AA3427" i="12"/>
  <c r="AA1143" i="12"/>
  <c r="AA280" i="12"/>
  <c r="AA2349" i="12"/>
  <c r="AA315" i="12"/>
  <c r="AA2776" i="12"/>
  <c r="AA2678" i="12"/>
  <c r="AA983" i="12"/>
  <c r="AA3161" i="12"/>
  <c r="AA72" i="12"/>
  <c r="AA2184" i="12"/>
  <c r="AA3436" i="12"/>
  <c r="AA309" i="12"/>
  <c r="AA2052" i="12"/>
  <c r="AA2059" i="12"/>
  <c r="AA501" i="12"/>
  <c r="AA2457" i="12"/>
  <c r="AA1463" i="12"/>
  <c r="AA849" i="12"/>
  <c r="AA2419" i="12"/>
  <c r="AA1191" i="12"/>
  <c r="AA2537" i="12"/>
  <c r="AA52" i="12"/>
  <c r="AA2450" i="12"/>
  <c r="AA3242" i="12"/>
  <c r="AA2486" i="12"/>
  <c r="AA3338" i="12"/>
  <c r="AA3028" i="12"/>
  <c r="AA776" i="12"/>
  <c r="AA445" i="12"/>
  <c r="AA1313" i="12"/>
  <c r="AA2122" i="12"/>
  <c r="AA1599" i="12"/>
  <c r="AA1617" i="12"/>
  <c r="AA1568" i="12"/>
  <c r="AA1341" i="12"/>
  <c r="AA2390" i="12"/>
  <c r="AA3197" i="12"/>
  <c r="AA3041" i="12"/>
  <c r="AA1253" i="12"/>
  <c r="AA82" i="12"/>
  <c r="AA2900" i="12"/>
  <c r="AA998" i="12"/>
  <c r="AA2756" i="12"/>
  <c r="AA71" i="12"/>
  <c r="AA2392" i="12"/>
  <c r="AA3244" i="12"/>
  <c r="AA947" i="12"/>
  <c r="AA2845" i="12"/>
  <c r="AA1755" i="12"/>
  <c r="AA2011" i="12"/>
  <c r="AA2589" i="12"/>
  <c r="AA1338" i="12"/>
  <c r="AA1747" i="12"/>
  <c r="AA2317" i="12"/>
  <c r="AA825" i="12"/>
  <c r="AA2940" i="12"/>
  <c r="AA1732" i="12"/>
  <c r="AA424" i="12"/>
  <c r="AA432" i="12"/>
  <c r="AA3202" i="12"/>
  <c r="AA1811" i="12"/>
  <c r="AA1373" i="12"/>
  <c r="AA1083" i="12"/>
  <c r="AA543" i="12"/>
  <c r="AA2441" i="12"/>
  <c r="AA2749" i="12"/>
  <c r="AA758" i="12"/>
  <c r="AA3181" i="12"/>
  <c r="AA2921" i="12"/>
  <c r="AA3201" i="12"/>
  <c r="AA360" i="12"/>
  <c r="AA584" i="12"/>
  <c r="AA1269" i="12"/>
  <c r="AA560" i="12"/>
  <c r="AA911" i="12"/>
  <c r="AA768" i="12"/>
  <c r="AA1149" i="12"/>
  <c r="AA1926" i="12"/>
  <c r="AA2689" i="12"/>
  <c r="AA3399" i="12"/>
  <c r="AA399" i="12"/>
  <c r="AA745" i="12"/>
  <c r="AA2217" i="12"/>
  <c r="AA1022" i="12"/>
  <c r="AA234" i="12"/>
  <c r="AA3178" i="12"/>
  <c r="AA2529" i="12"/>
  <c r="AA3074" i="12"/>
  <c r="AA3517" i="12"/>
  <c r="AA1475" i="12"/>
  <c r="AA2967" i="12"/>
  <c r="AA2387" i="12"/>
  <c r="AA2133" i="12"/>
  <c r="AA56" i="12"/>
  <c r="AA2468" i="12"/>
  <c r="AA2147" i="12"/>
  <c r="AA914" i="12"/>
  <c r="AA2882" i="12"/>
  <c r="AA2677" i="12"/>
  <c r="AA1486" i="12"/>
  <c r="AA2673" i="12"/>
  <c r="AA42" i="12"/>
  <c r="AA3154" i="12"/>
  <c r="AA1961" i="12"/>
  <c r="AA334" i="12"/>
  <c r="AA2643" i="12"/>
  <c r="AA1370" i="12"/>
  <c r="AA2418" i="12"/>
  <c r="AA2063" i="12"/>
  <c r="AA2850" i="12"/>
  <c r="AA1888" i="12"/>
  <c r="AA106" i="12"/>
  <c r="AA3474" i="12"/>
  <c r="AA2189" i="12"/>
  <c r="AA1877" i="12"/>
  <c r="AA258" i="12"/>
  <c r="AA363" i="12"/>
  <c r="AA3156" i="12"/>
  <c r="AA1423" i="12"/>
  <c r="AA821" i="12"/>
  <c r="AA390" i="12"/>
  <c r="AA1923" i="12"/>
  <c r="AA3547" i="12"/>
  <c r="AA1823" i="12"/>
  <c r="AA553" i="12"/>
  <c r="AA58" i="12"/>
  <c r="AA1439" i="12"/>
  <c r="AA207" i="12"/>
  <c r="AA357" i="12"/>
  <c r="AA739" i="12"/>
  <c r="AA1868" i="12"/>
  <c r="AA341" i="12"/>
  <c r="AA533" i="12"/>
  <c r="AA653" i="12"/>
  <c r="AA133" i="12"/>
  <c r="AA2015" i="12"/>
  <c r="AA3011" i="12"/>
  <c r="AA2137" i="12"/>
  <c r="AA494" i="12"/>
  <c r="AA486" i="12"/>
  <c r="AA2580" i="12"/>
  <c r="AA2955" i="12"/>
  <c r="AA780" i="12"/>
  <c r="AA1356" i="12"/>
  <c r="AA3404" i="12"/>
  <c r="AA798" i="12"/>
  <c r="AA264" i="12"/>
  <c r="AA617" i="12"/>
  <c r="AA856" i="12"/>
  <c r="AA2846" i="12"/>
  <c r="AA646" i="12"/>
  <c r="AA1897" i="12"/>
  <c r="AA625" i="12"/>
  <c r="AA3121" i="12"/>
  <c r="AA23" i="12"/>
  <c r="AA250" i="12"/>
  <c r="AA403" i="12"/>
  <c r="AA1234" i="12"/>
  <c r="AA2809" i="12"/>
  <c r="AA1382" i="12"/>
  <c r="AA125" i="12"/>
  <c r="AA2177" i="12"/>
  <c r="AA498" i="12"/>
  <c r="AA3050" i="12"/>
  <c r="AA3176" i="12"/>
  <c r="AA2512" i="12"/>
  <c r="AA1510" i="12"/>
  <c r="AA766" i="12"/>
  <c r="AA1522" i="12"/>
  <c r="AA3513" i="12"/>
  <c r="AA2615" i="12"/>
  <c r="AA2550" i="12"/>
  <c r="AA521" i="12"/>
  <c r="AA446" i="12"/>
  <c r="AA2463" i="12"/>
  <c r="AA1467" i="12"/>
  <c r="AA2830" i="12"/>
  <c r="AA851" i="12"/>
  <c r="AA3499" i="12"/>
  <c r="AA752" i="12"/>
  <c r="AA2031" i="12"/>
  <c r="AA2640" i="12"/>
  <c r="AA1555" i="12"/>
  <c r="AA3175" i="12"/>
  <c r="AA1922" i="12"/>
  <c r="AA246" i="12"/>
  <c r="AA1498" i="12"/>
  <c r="AA2511" i="12"/>
  <c r="AA2515" i="12"/>
  <c r="AA369" i="12"/>
  <c r="AA790" i="12"/>
  <c r="AA1917" i="12"/>
  <c r="AA1337" i="12"/>
  <c r="AA1300" i="12"/>
  <c r="AA2590" i="12"/>
  <c r="AA30" i="12"/>
  <c r="AA3055" i="12"/>
  <c r="AA1707" i="12"/>
  <c r="AA3440" i="12"/>
  <c r="AA2999" i="12"/>
  <c r="AA2352" i="12"/>
  <c r="AA2694" i="12"/>
  <c r="AA21" i="12"/>
  <c r="AA875" i="12"/>
  <c r="AA1970" i="12"/>
  <c r="AA3540" i="12"/>
  <c r="AA1984" i="12"/>
  <c r="AA944" i="12"/>
  <c r="AA705" i="12"/>
  <c r="AA3317" i="12"/>
  <c r="AA938" i="12"/>
  <c r="AA2281" i="12"/>
  <c r="AA1190" i="12"/>
  <c r="AA3511" i="12"/>
  <c r="AA213" i="12"/>
  <c r="AA2803" i="12"/>
  <c r="AA3366" i="12"/>
  <c r="AA1858" i="12"/>
  <c r="AA2631" i="12"/>
  <c r="AA1955" i="12"/>
  <c r="AA2003" i="12"/>
  <c r="AA1886" i="12"/>
  <c r="AA1865" i="12"/>
  <c r="AA702" i="12"/>
  <c r="AA1421" i="12"/>
  <c r="AA63" i="12"/>
  <c r="AA2434" i="12"/>
  <c r="AA1885" i="12"/>
  <c r="AA1210" i="12"/>
  <c r="AA349" i="12"/>
  <c r="AA1480" i="12"/>
  <c r="AA2796" i="12"/>
  <c r="AA855" i="12"/>
  <c r="AA1410" i="12"/>
  <c r="AA3550" i="12"/>
  <c r="AA3112" i="12"/>
  <c r="AA749" i="12"/>
  <c r="AA1957" i="12"/>
  <c r="AA2841" i="12"/>
  <c r="AA1401" i="12"/>
  <c r="AA1558" i="12"/>
  <c r="AA2730" i="12"/>
  <c r="AA561" i="12"/>
  <c r="AA712" i="12"/>
  <c r="AA1977" i="12"/>
  <c r="AA3459" i="12"/>
  <c r="AA2473" i="12"/>
  <c r="AA3463" i="12"/>
  <c r="AA2458" i="12"/>
  <c r="AA2695" i="12"/>
  <c r="AA35" i="12"/>
  <c r="AA3139" i="12"/>
  <c r="AA342" i="12"/>
  <c r="AA2148" i="12"/>
  <c r="AA2001" i="12"/>
  <c r="AA771" i="12"/>
  <c r="AA1416" i="12"/>
  <c r="AA845" i="12"/>
  <c r="AA3106" i="12"/>
  <c r="AA1948" i="12"/>
  <c r="AA2833" i="12"/>
  <c r="AA1749" i="12"/>
  <c r="AA1246" i="12"/>
  <c r="AA2438" i="12"/>
  <c r="AA3469" i="12"/>
  <c r="AA1460" i="12"/>
  <c r="AA2914" i="12"/>
  <c r="AA2728" i="12"/>
  <c r="AA503" i="12"/>
  <c r="AA181" i="12"/>
  <c r="AA628" i="12"/>
  <c r="AA2544" i="12"/>
  <c r="AA2151" i="12"/>
  <c r="AA1863" i="12"/>
  <c r="AA2915" i="12"/>
  <c r="AA1054" i="12"/>
  <c r="AA3389" i="12"/>
  <c r="AA190" i="12"/>
  <c r="AA2178" i="12"/>
  <c r="AA2579" i="12"/>
  <c r="AA2546" i="12"/>
  <c r="AA2625" i="12"/>
  <c r="AA2416" i="12"/>
  <c r="AA3099" i="12"/>
  <c r="AA226" i="12"/>
  <c r="AA788" i="12"/>
  <c r="AA606" i="12"/>
  <c r="AA2167" i="12"/>
  <c r="AA2139" i="12"/>
  <c r="AA1696" i="12"/>
  <c r="AA846" i="12"/>
  <c r="AA1441" i="12"/>
  <c r="AA2453" i="12"/>
  <c r="AA2371" i="12"/>
  <c r="AA1590" i="12"/>
  <c r="AA1404" i="12"/>
  <c r="AA2871" i="12"/>
  <c r="AA1036" i="12"/>
  <c r="AA2246" i="12"/>
  <c r="AA1532" i="12"/>
  <c r="AA2773" i="12"/>
  <c r="AA564" i="12"/>
  <c r="AA2381" i="12"/>
  <c r="AA2732" i="12"/>
  <c r="AA2867" i="12"/>
  <c r="AA1866" i="12"/>
  <c r="AA2674" i="12"/>
  <c r="AA3311" i="12"/>
  <c r="AA2500" i="12"/>
  <c r="AA477" i="12"/>
  <c r="AA2072" i="12"/>
  <c r="AA415" i="12"/>
  <c r="AA2624" i="12"/>
  <c r="AA1669" i="12"/>
  <c r="AA1233" i="12"/>
  <c r="AA3284" i="12"/>
  <c r="AA1403" i="12"/>
  <c r="AA3416" i="12"/>
  <c r="AA2979" i="12"/>
  <c r="AA1564" i="12"/>
  <c r="AA2947" i="12"/>
  <c r="AA2573" i="12"/>
  <c r="AA3425" i="12"/>
  <c r="AA1479" i="12"/>
  <c r="AA2359" i="12"/>
  <c r="AA1102" i="12"/>
  <c r="AA2577" i="12"/>
  <c r="AA913" i="12"/>
  <c r="AA43" i="12"/>
  <c r="AA535" i="12"/>
  <c r="AA1763" i="12"/>
  <c r="AA847" i="12"/>
  <c r="AA299" i="12"/>
  <c r="AA497" i="12"/>
  <c r="AA1385" i="12"/>
  <c r="AA1552" i="12"/>
  <c r="AA1819" i="12"/>
  <c r="AA816" i="12"/>
  <c r="AA3245" i="12"/>
  <c r="AA2255" i="12"/>
  <c r="AA1327" i="12"/>
  <c r="AA514" i="12"/>
  <c r="AA1283" i="12"/>
  <c r="AA2617" i="12"/>
  <c r="AA594" i="12"/>
  <c r="AA1846" i="12"/>
  <c r="AA997" i="12"/>
  <c r="AA649" i="12"/>
  <c r="AA1469" i="12"/>
  <c r="AA2714" i="12"/>
  <c r="AA2506" i="12"/>
  <c r="AA887" i="12"/>
  <c r="AA3180" i="12"/>
  <c r="AA709" i="12"/>
  <c r="AA2656" i="12"/>
  <c r="AA180" i="12"/>
  <c r="AA2185" i="12"/>
  <c r="AA891" i="12"/>
  <c r="AA2329" i="12"/>
  <c r="AA3129" i="12"/>
  <c r="AA1177" i="12"/>
  <c r="AA2825" i="12"/>
  <c r="AA85" i="12"/>
  <c r="AA802" i="12"/>
  <c r="AA734" i="12"/>
  <c r="AA2357" i="12"/>
  <c r="AA2239" i="12"/>
  <c r="AA1832" i="12"/>
  <c r="AA1043" i="12"/>
  <c r="AA1517" i="12"/>
  <c r="AA1133" i="12"/>
  <c r="AA1014" i="12"/>
  <c r="AA1793" i="12"/>
  <c r="AA3350" i="12"/>
  <c r="AA1386" i="12"/>
  <c r="AA1146" i="12"/>
  <c r="AA2321" i="12"/>
  <c r="AA3266" i="12"/>
  <c r="AA2904" i="12"/>
  <c r="AA1615" i="12"/>
  <c r="AA2403" i="12"/>
  <c r="AA667" i="12"/>
  <c r="AA1655" i="12"/>
  <c r="AA2216" i="12"/>
  <c r="AA112" i="12"/>
  <c r="AA2653" i="12"/>
  <c r="AA3208" i="12"/>
  <c r="AA1640" i="12"/>
  <c r="AA298" i="12"/>
  <c r="AA610" i="12"/>
  <c r="AA2662" i="12"/>
  <c r="AA3107" i="12"/>
  <c r="AA2259" i="12"/>
  <c r="AA2783" i="12"/>
  <c r="AA1284" i="12"/>
  <c r="AA720" i="12"/>
  <c r="AA532" i="12"/>
  <c r="AA1664" i="12"/>
  <c r="AA2639" i="12"/>
  <c r="AA959" i="12"/>
  <c r="AA3448" i="12"/>
  <c r="AA257" i="12"/>
  <c r="AA372" i="12"/>
  <c r="AA381" i="12"/>
  <c r="AA189" i="12"/>
  <c r="AA1148" i="12"/>
  <c r="AA3081" i="12"/>
  <c r="AA500" i="12"/>
  <c r="AA2078" i="12"/>
  <c r="AA3269" i="12"/>
  <c r="AA2977" i="12"/>
  <c r="AA479" i="12"/>
  <c r="AA2330" i="12"/>
  <c r="AA1659" i="12"/>
  <c r="AA1737" i="12"/>
  <c r="AA1455" i="12"/>
  <c r="AA70" i="12"/>
  <c r="AA1175" i="12"/>
  <c r="AA748" i="12"/>
  <c r="AA3229" i="12"/>
  <c r="AA1603" i="12"/>
  <c r="AA3104" i="12"/>
  <c r="AA1525" i="12"/>
  <c r="AA2844" i="12"/>
  <c r="AA1093" i="12"/>
  <c r="AA3030" i="12"/>
  <c r="AA1566" i="12"/>
  <c r="AA150" i="12"/>
  <c r="AA3387" i="12"/>
  <c r="AA276" i="12"/>
  <c r="AA2777" i="12"/>
  <c r="AA3193" i="12"/>
  <c r="AA166" i="12"/>
  <c r="AA2391" i="12"/>
  <c r="AA1030" i="12"/>
  <c r="AA3014" i="12"/>
  <c r="AA3243" i="12"/>
  <c r="AA3103" i="12"/>
  <c r="AA2043" i="12"/>
  <c r="AA2050" i="12"/>
  <c r="AA307" i="12"/>
  <c r="AA3069" i="12"/>
  <c r="AA1414" i="12"/>
  <c r="AA980" i="12"/>
  <c r="AA3219" i="12"/>
  <c r="AA1795" i="12"/>
  <c r="AA408" i="12"/>
  <c r="AA1478" i="12"/>
  <c r="AA2719" i="12"/>
  <c r="AA660" i="12"/>
  <c r="AA2496" i="12"/>
  <c r="AA2856" i="12"/>
  <c r="AA1560" i="12"/>
  <c r="AA1412" i="12"/>
  <c r="AA3016" i="12"/>
  <c r="AA1988" i="12"/>
  <c r="AA339" i="12"/>
  <c r="AA1938" i="12"/>
  <c r="AA859" i="12"/>
  <c r="AA2264" i="12"/>
  <c r="AA2364" i="12"/>
  <c r="AA31" i="12"/>
  <c r="AA2388" i="12"/>
  <c r="AA3223" i="12"/>
  <c r="AA1969" i="12"/>
  <c r="AA2311" i="12"/>
  <c r="AA889" i="12"/>
  <c r="AA2541" i="12"/>
  <c r="AA3484" i="12"/>
  <c r="AA2584" i="12"/>
  <c r="AA687" i="12"/>
  <c r="AA366" i="12"/>
  <c r="AA1159" i="12"/>
  <c r="AA2444" i="12"/>
  <c r="AA978" i="12"/>
  <c r="AA3435" i="12"/>
  <c r="AA3120" i="12"/>
  <c r="AA2337" i="12"/>
  <c r="AA249" i="12"/>
  <c r="AA3280" i="12"/>
  <c r="AA81" i="12"/>
  <c r="AA1676" i="12"/>
  <c r="AA2948" i="12"/>
  <c r="AA2806" i="12"/>
  <c r="AA2595" i="12"/>
  <c r="AA2883" i="12"/>
  <c r="AA255" i="12"/>
  <c r="AA505" i="12"/>
  <c r="AA2621" i="12"/>
  <c r="AA1105" i="12"/>
  <c r="AA819" i="12"/>
  <c r="AA262" i="12"/>
  <c r="AA1875" i="12"/>
  <c r="AA3194" i="12"/>
  <c r="AA1537" i="12"/>
  <c r="AA815" i="12"/>
  <c r="AA921" i="12"/>
  <c r="AA152" i="12"/>
  <c r="AA1632" i="12"/>
  <c r="AA2986" i="12"/>
  <c r="AA1171" i="12"/>
  <c r="AA2686" i="12"/>
  <c r="AA916" i="12"/>
  <c r="AA2944" i="12"/>
  <c r="AA2610" i="12"/>
  <c r="AA1232" i="12"/>
  <c r="AA1212" i="12"/>
  <c r="AA1874" i="12"/>
  <c r="AA993" i="12"/>
  <c r="AA1789" i="12"/>
  <c r="AA3125" i="12"/>
  <c r="AA1992" i="12"/>
  <c r="AA1216" i="12"/>
  <c r="AA3426" i="12"/>
  <c r="AA2680" i="12"/>
  <c r="AA3510" i="12"/>
  <c r="AA3502" i="12"/>
  <c r="AA2650" i="12"/>
  <c r="AA2956" i="12"/>
  <c r="AA1835" i="12"/>
  <c r="AA805" i="12"/>
  <c r="AA2008" i="12"/>
  <c r="AA3004" i="12"/>
  <c r="AA2861" i="12"/>
  <c r="AA1156" i="12"/>
  <c r="AA3056" i="12"/>
  <c r="AA1097" i="12"/>
  <c r="AA3097" i="12"/>
  <c r="AA396" i="12"/>
  <c r="AA544" i="12"/>
  <c r="AA3378" i="12"/>
  <c r="AA1719" i="12"/>
  <c r="AA3089" i="12"/>
  <c r="AA1391" i="12"/>
  <c r="AA1326" i="12"/>
  <c r="AA1634" i="12"/>
  <c r="AA691" i="12"/>
  <c r="AA2785" i="12"/>
  <c r="AA1593" i="12"/>
  <c r="AA3095" i="12"/>
  <c r="AA186" i="12"/>
  <c r="AA1667" i="12"/>
  <c r="AA247" i="12"/>
  <c r="AA2413" i="12"/>
  <c r="AA1164" i="12"/>
  <c r="AA1934" i="12"/>
  <c r="AA1931" i="12"/>
  <c r="AA651" i="12"/>
  <c r="AA871" i="12"/>
  <c r="AA2335" i="12"/>
  <c r="AA2765" i="12"/>
  <c r="AA182" i="12"/>
  <c r="AA704" i="12"/>
  <c r="AA763" i="12"/>
  <c r="AA642" i="12"/>
  <c r="AA2271" i="12"/>
  <c r="AA689" i="12"/>
  <c r="AA633" i="12"/>
  <c r="AA1668" i="12"/>
  <c r="AA3115" i="12"/>
  <c r="AA2982" i="12"/>
  <c r="AA1417" i="12"/>
  <c r="AA725" i="12"/>
  <c r="AA736" i="12"/>
  <c r="AA1198" i="12"/>
  <c r="AA710" i="12"/>
  <c r="AA1201" i="12"/>
  <c r="AA1547" i="12"/>
  <c r="AA1394" i="12"/>
  <c r="AA737" i="12"/>
  <c r="AA1764" i="12"/>
  <c r="AA953" i="12"/>
  <c r="AA2456" i="12"/>
  <c r="AA2270" i="12"/>
  <c r="AA3034" i="12"/>
  <c r="AA3473" i="12"/>
  <c r="AA278" i="12"/>
  <c r="AA2048" i="12"/>
  <c r="AA1678" i="12"/>
  <c r="AA2182" i="12"/>
  <c r="AA2566" i="12"/>
  <c r="AA1894" i="12"/>
  <c r="AA116" i="12"/>
  <c r="AA1705" i="12"/>
  <c r="AA1578" i="12"/>
  <c r="AA409" i="12"/>
  <c r="AA2334" i="12"/>
  <c r="AA3218" i="12"/>
  <c r="AA939" i="12"/>
  <c r="AA2963" i="12"/>
  <c r="AA958" i="12"/>
  <c r="AA822" i="12"/>
  <c r="AA565" i="12"/>
  <c r="AA1783" i="12"/>
  <c r="AA196" i="12"/>
  <c r="AA1651" i="12"/>
  <c r="AA1505" i="12"/>
  <c r="AA1395" i="12"/>
  <c r="AA1290" i="12"/>
  <c r="AA1847" i="12"/>
  <c r="AA2302" i="12"/>
  <c r="AA2436" i="12"/>
  <c r="AA1911" i="12"/>
  <c r="AA1627" i="12"/>
  <c r="AA2553" i="12"/>
  <c r="AA3027" i="12"/>
  <c r="AA1462" i="12"/>
  <c r="AA883" i="12"/>
  <c r="AA2127" i="12"/>
  <c r="AA1491" i="12"/>
  <c r="AA2203" i="12"/>
  <c r="AA292" i="12"/>
  <c r="AA1987" i="12"/>
  <c r="AA1809" i="12"/>
  <c r="AA3541" i="12"/>
  <c r="AA1127" i="12"/>
  <c r="AA2476" i="12"/>
  <c r="AA1881" i="12"/>
  <c r="AA2540" i="12"/>
  <c r="AA3192" i="12"/>
  <c r="AA2415" i="12"/>
  <c r="AA2325" i="12"/>
  <c r="AA2445" i="12"/>
  <c r="AA2736" i="12"/>
  <c r="AA1978" i="12"/>
  <c r="AA365" i="12"/>
  <c r="AA1487" i="12"/>
  <c r="AA1551" i="12"/>
  <c r="AA2449" i="12"/>
  <c r="AA2022" i="12"/>
  <c r="AA2245" i="12"/>
  <c r="AA1306" i="12"/>
  <c r="AA579" i="12"/>
  <c r="AA2099" i="12"/>
  <c r="AA3040" i="12"/>
  <c r="AA1050" i="12"/>
  <c r="AA1689" i="12"/>
  <c r="AA2698" i="12"/>
  <c r="AA750" i="12"/>
  <c r="AA1798" i="12"/>
  <c r="AA2789" i="12"/>
  <c r="AA3529" i="12"/>
  <c r="AA604" i="12"/>
  <c r="AA2687" i="12"/>
  <c r="AA1563" i="12"/>
  <c r="AA600" i="12"/>
  <c r="AA3105" i="12"/>
  <c r="AA1648" i="12"/>
  <c r="AA2679" i="12"/>
  <c r="AA422" i="12"/>
  <c r="AA2516" i="12"/>
  <c r="AA1936" i="12"/>
  <c r="AA3054" i="12"/>
  <c r="AA852" i="12"/>
  <c r="AA2101" i="12"/>
  <c r="AA1567" i="12"/>
  <c r="AA508" i="12"/>
  <c r="AA267" i="12"/>
  <c r="AA490" i="12"/>
  <c r="AA241" i="12"/>
  <c r="AA3174" i="12"/>
  <c r="AA3493" i="12"/>
  <c r="AA2145" i="12"/>
  <c r="AA2042" i="12"/>
  <c r="AA1445" i="12"/>
  <c r="AA3429" i="12"/>
  <c r="AA823" i="12"/>
  <c r="AA2548" i="12"/>
  <c r="AA1483" i="12"/>
  <c r="AA2931" i="12"/>
  <c r="AA2090" i="12"/>
  <c r="AA2768" i="12"/>
  <c r="AA2196" i="12"/>
  <c r="AA392" i="12"/>
  <c r="AA1443" i="12"/>
  <c r="AA2373" i="12"/>
  <c r="AA659" i="12"/>
  <c r="AA440" i="12"/>
  <c r="AA2484" i="12"/>
  <c r="AA2554" i="12"/>
  <c r="AA1845" i="12"/>
  <c r="AA1366" i="12"/>
  <c r="AA3110" i="12"/>
  <c r="AA2442" i="12"/>
  <c r="AA1805" i="12"/>
  <c r="AA3409" i="12"/>
  <c r="AA1799" i="12"/>
  <c r="AA2497" i="12"/>
  <c r="AA2395" i="12"/>
  <c r="AA1413" i="12"/>
  <c r="AA1637" i="12"/>
  <c r="AA524" i="12"/>
  <c r="AA1087" i="12"/>
  <c r="AA2917" i="12"/>
  <c r="AA2709" i="12"/>
  <c r="AA3537" i="12"/>
  <c r="AA98" i="12"/>
  <c r="AA111" i="12"/>
  <c r="AA2715" i="12"/>
  <c r="AA793" i="12"/>
  <c r="AA1616" i="12"/>
  <c r="AA2913" i="12"/>
  <c r="AA3503" i="12"/>
  <c r="AA572" i="12"/>
  <c r="AA2606" i="12"/>
  <c r="AA1716" i="12"/>
  <c r="AA3070" i="12"/>
  <c r="AA2460" i="12"/>
  <c r="AA3126" i="12"/>
  <c r="AA2227" i="12"/>
  <c r="AA488" i="12"/>
  <c r="AA892" i="12"/>
  <c r="AA430" i="12"/>
  <c r="AA322" i="12"/>
  <c r="AA1099" i="12"/>
  <c r="AA3259" i="12"/>
  <c r="AA3238" i="12"/>
  <c r="AA976" i="12"/>
  <c r="AA2664" i="12"/>
  <c r="AA472" i="12"/>
  <c r="AA2700" i="12"/>
  <c r="AA1109" i="12"/>
  <c r="AA1909" i="12"/>
  <c r="AA38" i="12"/>
  <c r="AA3006" i="12"/>
  <c r="AA1508" i="12"/>
  <c r="AA1831" i="12"/>
  <c r="AA1135" i="12"/>
  <c r="AA326" i="12"/>
  <c r="AA1516" i="12"/>
  <c r="AA3314" i="12"/>
  <c r="AA2609" i="12"/>
  <c r="AA2074" i="12"/>
  <c r="AA1965" i="12"/>
  <c r="AA569" i="12"/>
  <c r="AA191" i="12"/>
  <c r="AA1317" i="12"/>
  <c r="AA1952" i="12"/>
  <c r="AA2616" i="12"/>
  <c r="AA2158" i="12"/>
  <c r="AA135" i="12"/>
  <c r="AA1244" i="12"/>
  <c r="AA2760" i="12"/>
  <c r="AA888" i="12"/>
  <c r="AA2440" i="12"/>
  <c r="AA2214" i="12"/>
  <c r="AA3001" i="12"/>
  <c r="AA1901" i="12"/>
  <c r="AA97" i="12"/>
  <c r="AA1457" i="12"/>
  <c r="AA688" i="12"/>
  <c r="AA902" i="12"/>
  <c r="AA2502" i="12"/>
  <c r="AA1227" i="12"/>
  <c r="AA2578" i="12"/>
  <c r="AA243" i="12"/>
  <c r="AA321" i="12"/>
  <c r="AA2339" i="12"/>
  <c r="AA108" i="12"/>
  <c r="AA92" i="12"/>
  <c r="AA2965" i="12"/>
  <c r="AA746" i="12"/>
  <c r="AA3169" i="12"/>
  <c r="AA509" i="12"/>
  <c r="AA1393" i="12"/>
  <c r="AA599" i="12"/>
  <c r="AA3551" i="12"/>
  <c r="AA2464" i="12"/>
  <c r="AA3420" i="12"/>
  <c r="AA2024" i="12"/>
  <c r="AA2119" i="12"/>
  <c r="AA1023" i="12"/>
  <c r="AA1068" i="12"/>
  <c r="AA2787" i="12"/>
  <c r="AA1482" i="12"/>
  <c r="AA756" i="12"/>
  <c r="AA833" i="12"/>
  <c r="AA2868" i="12"/>
  <c r="AA141" i="12"/>
  <c r="AA2826" i="12"/>
  <c r="AA1514" i="12"/>
  <c r="AA3166" i="12"/>
  <c r="AA131" i="12"/>
  <c r="AA772" i="12"/>
  <c r="AA2006" i="12"/>
  <c r="AA2181" i="12"/>
  <c r="AA828" i="12"/>
  <c r="AA2503" i="12"/>
  <c r="AA1974" i="12"/>
  <c r="AA2960" i="12"/>
  <c r="AA3009" i="12"/>
  <c r="AA1665" i="12"/>
  <c r="AA908" i="12"/>
  <c r="AA2215" i="12"/>
  <c r="AA2533" i="12"/>
  <c r="AA970" i="12"/>
  <c r="AA268" i="12"/>
  <c r="AA3189" i="12"/>
  <c r="AA3492" i="12"/>
  <c r="AA124" i="12"/>
  <c r="AA717" i="12"/>
  <c r="AA3385" i="12"/>
  <c r="AA2858" i="12"/>
  <c r="AA975" i="12"/>
  <c r="AA2111" i="12"/>
  <c r="AA1430" i="12"/>
  <c r="AA1504" i="12"/>
  <c r="AA1752" i="12"/>
  <c r="AA1830" i="12"/>
  <c r="AA122" i="12"/>
  <c r="AA1913" i="12"/>
  <c r="AA2477" i="12"/>
  <c r="AA1892" i="12"/>
  <c r="AA3031" i="12"/>
  <c r="AA2902" i="12"/>
  <c r="AA1444" i="12"/>
  <c r="AA1723" i="12"/>
  <c r="AA2316" i="12"/>
  <c r="AA1357" i="12"/>
  <c r="AA3205" i="12"/>
  <c r="AA1925" i="12"/>
  <c r="AA2220" i="12"/>
  <c r="AA2827" i="12"/>
  <c r="AA1307" i="12"/>
  <c r="AA2835" i="12"/>
  <c r="AA2987" i="12"/>
  <c r="AA940" i="12"/>
  <c r="AA1989" i="12"/>
  <c r="AA1116" i="12"/>
  <c r="AA2118" i="12"/>
  <c r="AA2528" i="12"/>
  <c r="AA345" i="12"/>
  <c r="AA1203" i="12"/>
  <c r="AA2093" i="12"/>
  <c r="AA3370" i="12"/>
  <c r="AA175" i="12"/>
  <c r="AA3532" i="12"/>
  <c r="AA1748" i="12"/>
  <c r="AA554" i="12"/>
  <c r="AA837" i="12"/>
  <c r="AA2407" i="12"/>
  <c r="AA1708" i="12"/>
  <c r="AA3226" i="12"/>
  <c r="AA1506" i="12"/>
  <c r="AA2156" i="12"/>
  <c r="AA287" i="12"/>
  <c r="AA1656" i="12"/>
  <c r="AA492" i="12"/>
  <c r="AA1973" i="12"/>
  <c r="AA1206" i="12"/>
  <c r="AA2814" i="12"/>
  <c r="AA269" i="12"/>
  <c r="AA2870" i="12"/>
  <c r="AA1995" i="12"/>
  <c r="AA3384" i="12"/>
  <c r="AA1305" i="12"/>
  <c r="AA1727" i="12"/>
  <c r="AA1078" i="12"/>
  <c r="AA395" i="12"/>
  <c r="AA1817" i="12"/>
  <c r="AA2136" i="12"/>
  <c r="AA311" i="12"/>
  <c r="AA455" i="12"/>
  <c r="AA2734" i="12"/>
  <c r="AA836" i="12"/>
  <c r="AA1076" i="12"/>
  <c r="AA256" i="12"/>
  <c r="AA88" i="12"/>
  <c r="AA3332" i="12"/>
  <c r="AA2123" i="12"/>
  <c r="AA1767" i="12"/>
  <c r="AA951" i="12"/>
  <c r="AA1009" i="12"/>
  <c r="AA1202" i="12"/>
  <c r="AA1787" i="12"/>
  <c r="AA2318" i="12"/>
  <c r="AA3213" i="12"/>
  <c r="AA2539" i="12"/>
  <c r="AA2591" i="12"/>
  <c r="AA1645" i="12"/>
  <c r="AA1345" i="12"/>
  <c r="AA1017" i="12"/>
  <c r="AA1714" i="12"/>
  <c r="AA964" i="12"/>
  <c r="AA740" i="12"/>
  <c r="AA2665" i="12"/>
  <c r="AA1644" i="12"/>
  <c r="AA2141" i="12"/>
  <c r="AA650" i="12"/>
  <c r="AA2966" i="12"/>
  <c r="AA1318" i="12"/>
  <c r="AA103" i="12"/>
  <c r="AA2942" i="12"/>
  <c r="AA2899" i="12"/>
  <c r="AA1013" i="12"/>
  <c r="AA1070" i="12"/>
  <c r="AA2038" i="12"/>
  <c r="AA428" i="12"/>
  <c r="AA806" i="12"/>
  <c r="AA3265" i="12"/>
  <c r="AA3086" i="12"/>
  <c r="AA222" i="12"/>
  <c r="AA656" i="12"/>
  <c r="AA3543" i="12"/>
  <c r="AA1314" i="12"/>
  <c r="AA1728" i="12"/>
  <c r="AA1213" i="12"/>
  <c r="AA774" i="12"/>
  <c r="AA681" i="12"/>
  <c r="AA121" i="12"/>
  <c r="AA2971" i="12"/>
  <c r="AA2849" i="12"/>
  <c r="AA3327" i="12"/>
  <c r="AA144" i="12"/>
  <c r="AA2278" i="12"/>
  <c r="AA1804" i="12"/>
  <c r="AA605" i="12"/>
  <c r="AA555" i="12"/>
  <c r="AA2542" i="12"/>
  <c r="AA2582" i="12"/>
  <c r="AA2406" i="12"/>
  <c r="AA3376" i="12"/>
  <c r="AA2233" i="12"/>
  <c r="AA839" i="12"/>
  <c r="AA2298" i="12"/>
  <c r="AA2348" i="12"/>
  <c r="AA3381" i="12"/>
  <c r="AA536" i="12"/>
  <c r="AA1721" i="12"/>
  <c r="AA1774" i="12"/>
  <c r="AA963" i="12"/>
  <c r="AA1541" i="12"/>
  <c r="AA2469" i="12"/>
  <c r="AA995" i="12"/>
  <c r="AA589" i="12"/>
  <c r="AA374" i="12"/>
  <c r="AA1117" i="12"/>
  <c r="AA1185" i="12"/>
  <c r="AA1275" i="12"/>
  <c r="AA1981" i="12"/>
  <c r="AA2448" i="12"/>
  <c r="AA1889" i="12"/>
  <c r="AA2385" i="12"/>
  <c r="AA3417" i="12"/>
  <c r="AA3114" i="12"/>
  <c r="AA1518" i="12"/>
  <c r="AA2594" i="12"/>
  <c r="AA3546" i="12"/>
  <c r="AA1005" i="12"/>
  <c r="AA1349" i="12"/>
  <c r="AA792" i="12"/>
  <c r="AA1270" i="12"/>
  <c r="AA1163" i="12"/>
  <c r="AA3402" i="12"/>
  <c r="AA1635" i="12"/>
  <c r="AA1959" i="12"/>
  <c r="AA3432" i="12"/>
  <c r="AA1031" i="12"/>
  <c r="AA1782" i="12"/>
  <c r="AA1513" i="12"/>
  <c r="AA1381" i="12"/>
  <c r="AA3119" i="12"/>
  <c r="AA2312" i="12"/>
  <c r="AA499" i="12"/>
  <c r="AA2276" i="12"/>
  <c r="AA1235" i="12"/>
  <c r="AA481" i="12"/>
  <c r="AA2135" i="12"/>
  <c r="AA1786" i="12"/>
  <c r="AA2240" i="12"/>
  <c r="AA857" i="12"/>
  <c r="AA2372" i="12"/>
  <c r="AA2561" i="12"/>
  <c r="AA1180" i="12"/>
  <c r="AA2690" i="12"/>
  <c r="AA2813" i="12"/>
  <c r="AA3288" i="12"/>
  <c r="AA3408" i="12"/>
  <c r="AA992" i="12"/>
  <c r="AA170" i="12"/>
  <c r="AA2723" i="12"/>
  <c r="AA2896" i="12"/>
  <c r="AA1661" i="12"/>
  <c r="AA1250" i="12"/>
  <c r="AA2681" i="12"/>
  <c r="AA1032" i="12"/>
  <c r="AA471" i="12"/>
  <c r="AA159" i="12"/>
  <c r="AA1666" i="12"/>
  <c r="AA3467" i="12"/>
  <c r="AA40" i="12"/>
  <c r="AA1231" i="12"/>
  <c r="AA245" i="12"/>
  <c r="AA110" i="12"/>
  <c r="AA389" i="12"/>
  <c r="AA3539" i="12"/>
  <c r="AA626" i="12"/>
  <c r="AA2779" i="12"/>
  <c r="AA300" i="12"/>
  <c r="AA3345" i="12"/>
  <c r="AA126" i="12"/>
  <c r="AA1822" i="12"/>
  <c r="AA129" i="12"/>
  <c r="AA2834" i="12"/>
  <c r="AA2755" i="12"/>
  <c r="AA3143" i="12"/>
  <c r="AA2087" i="12"/>
  <c r="AA3545" i="12"/>
  <c r="AA3005" i="12"/>
  <c r="AA812" i="12"/>
  <c r="AA1994" i="12"/>
  <c r="AA1604" i="12"/>
  <c r="AA570" i="12"/>
  <c r="AA285" i="12"/>
  <c r="AA461" i="12"/>
  <c r="AA2740" i="12"/>
  <c r="AA2180" i="12"/>
  <c r="AA1841" i="12"/>
  <c r="AA1292" i="12"/>
  <c r="AA302" i="12"/>
  <c r="AA1647" i="12"/>
  <c r="AA282" i="12"/>
  <c r="AA787" i="12"/>
  <c r="AA1898" i="12"/>
  <c r="AA881" i="12"/>
  <c r="AA3232" i="12"/>
  <c r="AA361" i="12"/>
  <c r="AA3246" i="12"/>
  <c r="AA1556" i="12"/>
  <c r="AA1359" i="12"/>
  <c r="AA3536" i="12"/>
  <c r="AA982" i="12"/>
  <c r="AA2535" i="12"/>
  <c r="AA800" i="12"/>
  <c r="U42" i="12"/>
  <c r="U58" i="12"/>
  <c r="U306" i="12"/>
  <c r="U174" i="12"/>
  <c r="U119" i="12"/>
  <c r="U83" i="12"/>
  <c r="U144" i="12"/>
  <c r="U323" i="12"/>
  <c r="U344" i="12"/>
  <c r="U107" i="12"/>
  <c r="U401" i="12"/>
  <c r="U361" i="12"/>
  <c r="U195" i="12"/>
  <c r="U48" i="12"/>
  <c r="U313" i="12"/>
  <c r="U222" i="12"/>
  <c r="U213" i="12"/>
  <c r="U322" i="12"/>
  <c r="U46" i="12"/>
  <c r="U256" i="12"/>
  <c r="U102" i="12"/>
  <c r="U278" i="12"/>
  <c r="U61" i="12"/>
  <c r="U66" i="12"/>
  <c r="U47" i="12"/>
  <c r="U286" i="12"/>
  <c r="U41" i="12"/>
  <c r="U359" i="12"/>
  <c r="U317" i="12"/>
  <c r="U44" i="12"/>
  <c r="U155" i="12"/>
  <c r="U71" i="12"/>
  <c r="U131" i="12"/>
  <c r="U296" i="12"/>
  <c r="U225" i="12"/>
  <c r="U175" i="12"/>
  <c r="U234" i="12"/>
  <c r="U254" i="12"/>
  <c r="U263" i="12"/>
  <c r="U196" i="12"/>
  <c r="U178" i="12"/>
  <c r="U111" i="12"/>
  <c r="U309" i="12"/>
  <c r="U134" i="12"/>
  <c r="U52" i="12"/>
  <c r="U371" i="12"/>
  <c r="U291" i="12"/>
  <c r="U224" i="12"/>
  <c r="U321" i="12"/>
  <c r="U271" i="12"/>
  <c r="U152" i="12"/>
  <c r="U249" i="12"/>
  <c r="U112" i="12"/>
  <c r="U150" i="12"/>
  <c r="U293" i="12"/>
  <c r="U304" i="12"/>
  <c r="U255" i="12"/>
  <c r="U192" i="12"/>
  <c r="U177" i="12"/>
  <c r="U259" i="12"/>
  <c r="U199" i="12"/>
  <c r="U171" i="12"/>
  <c r="U347" i="12"/>
  <c r="U95" i="12"/>
  <c r="U336" i="12"/>
  <c r="U328" i="12"/>
  <c r="U179" i="12"/>
  <c r="U267" i="12"/>
  <c r="U129" i="12"/>
  <c r="U239" i="12"/>
  <c r="U70" i="12"/>
  <c r="U230" i="12"/>
  <c r="U59" i="12"/>
  <c r="U348" i="12"/>
  <c r="U388" i="12"/>
  <c r="U352" i="12"/>
  <c r="U43" i="12"/>
  <c r="U136" i="12"/>
  <c r="U333" i="12"/>
  <c r="U238" i="12"/>
  <c r="U329" i="12"/>
  <c r="U311" i="12"/>
  <c r="U79" i="12"/>
  <c r="U210" i="12"/>
  <c r="U168" i="12"/>
  <c r="U277" i="12"/>
  <c r="U284" i="12"/>
  <c r="U363" i="12"/>
  <c r="U51" i="12"/>
  <c r="U69" i="12"/>
  <c r="U292" i="12"/>
  <c r="U176" i="12"/>
  <c r="U280" i="12"/>
  <c r="U374" i="12"/>
  <c r="U343" i="12"/>
  <c r="U365" i="12"/>
  <c r="U143" i="12"/>
  <c r="U264" i="12"/>
  <c r="U212" i="12"/>
  <c r="U198" i="12"/>
  <c r="U158" i="12"/>
  <c r="U206" i="12"/>
  <c r="U300" i="12"/>
  <c r="U240" i="12"/>
  <c r="U395" i="12"/>
  <c r="U82" i="12"/>
  <c r="U141" i="12"/>
  <c r="U397" i="12"/>
  <c r="U243" i="12"/>
  <c r="U337" i="12"/>
  <c r="U248" i="12"/>
  <c r="U68" i="12"/>
  <c r="U93" i="12"/>
  <c r="U350" i="12"/>
  <c r="U275" i="12"/>
  <c r="U281" i="12"/>
  <c r="U53" i="12"/>
  <c r="U209" i="12"/>
  <c r="U326" i="12"/>
  <c r="U399" i="12"/>
  <c r="U135" i="12"/>
  <c r="U123" i="12"/>
  <c r="U307" i="12"/>
  <c r="U110" i="12"/>
  <c r="U89" i="12"/>
  <c r="U49" i="12"/>
  <c r="U218" i="12"/>
  <c r="U376" i="12"/>
  <c r="U116" i="12"/>
  <c r="U287" i="12"/>
  <c r="U92" i="12"/>
  <c r="U242" i="12"/>
  <c r="U99" i="12"/>
  <c r="U50" i="12"/>
  <c r="U204" i="12"/>
  <c r="U74" i="12"/>
  <c r="U273" i="12"/>
  <c r="U157" i="12"/>
  <c r="U130" i="12"/>
  <c r="U310" i="12"/>
  <c r="U229" i="12"/>
  <c r="U81" i="12"/>
  <c r="U56" i="12"/>
  <c r="U319" i="12"/>
  <c r="U341" i="12"/>
  <c r="U114" i="12"/>
  <c r="U191" i="12"/>
  <c r="U164" i="12"/>
  <c r="U160" i="12"/>
  <c r="U312" i="12"/>
  <c r="U128" i="12"/>
  <c r="U151" i="12"/>
  <c r="U63" i="12"/>
  <c r="U109" i="12"/>
  <c r="U201" i="12"/>
  <c r="U133" i="12"/>
  <c r="U272" i="12"/>
  <c r="U383" i="12"/>
  <c r="U208" i="12"/>
  <c r="U386" i="12"/>
  <c r="U156" i="12"/>
  <c r="U173" i="12"/>
  <c r="U370" i="12"/>
  <c r="U96" i="12"/>
  <c r="U335" i="12"/>
  <c r="U355" i="12"/>
  <c r="U217" i="12"/>
  <c r="U190" i="12"/>
  <c r="U67" i="12"/>
  <c r="U163" i="12"/>
  <c r="U113" i="12"/>
  <c r="U227" i="12"/>
  <c r="U166" i="12"/>
  <c r="U247" i="12"/>
  <c r="U373" i="12"/>
  <c r="U369" i="12"/>
  <c r="U80" i="12"/>
  <c r="V78" i="12" s="1"/>
  <c r="U122" i="12"/>
  <c r="U197" i="12"/>
  <c r="U351" i="12"/>
  <c r="U268" i="12"/>
  <c r="U64" i="12"/>
  <c r="U184" i="12"/>
  <c r="U172" i="12"/>
  <c r="U62" i="12"/>
  <c r="U316" i="12"/>
  <c r="U391" i="12"/>
  <c r="U301" i="12"/>
  <c r="U45" i="12"/>
  <c r="U358" i="12"/>
  <c r="U39" i="12"/>
  <c r="U342" i="12"/>
  <c r="U165" i="12"/>
  <c r="U75" i="12"/>
  <c r="U117" i="12"/>
  <c r="U55" i="12"/>
  <c r="U169" i="12"/>
  <c r="U372" i="12"/>
  <c r="U137" i="12"/>
  <c r="U193" i="12"/>
  <c r="U57" i="12"/>
  <c r="U104" i="12"/>
  <c r="U94" i="12"/>
  <c r="U258" i="12"/>
  <c r="U125" i="12"/>
  <c r="U396" i="12"/>
  <c r="U40" i="12"/>
  <c r="U185" i="12"/>
  <c r="U115" i="12"/>
  <c r="U159" i="12"/>
  <c r="U387" i="12"/>
  <c r="U330" i="12"/>
  <c r="U85" i="12"/>
  <c r="U364" i="12"/>
  <c r="U223" i="12"/>
  <c r="U91" i="12"/>
  <c r="U282" i="12"/>
  <c r="U338" i="12"/>
  <c r="U265" i="12"/>
  <c r="U54" i="12"/>
  <c r="U381" i="12"/>
  <c r="U103" i="12"/>
  <c r="U124" i="12"/>
  <c r="U368" i="12"/>
  <c r="U327" i="12"/>
  <c r="U72" i="12"/>
  <c r="U279" i="12"/>
  <c r="U382" i="12"/>
  <c r="U266" i="12"/>
  <c r="U186" i="12"/>
  <c r="U366" i="12"/>
  <c r="U298" i="12"/>
  <c r="U289" i="12"/>
  <c r="U147" i="12"/>
  <c r="U346" i="12"/>
  <c r="U120" i="12"/>
  <c r="U73" i="12"/>
  <c r="U189" i="12"/>
  <c r="U332" i="12"/>
  <c r="U97" i="12"/>
  <c r="U252" i="12"/>
  <c r="U294" i="12"/>
  <c r="U231" i="12"/>
  <c r="U320" i="12"/>
  <c r="U394" i="12"/>
  <c r="U250" i="12"/>
  <c r="U88" i="12"/>
  <c r="U288" i="12"/>
  <c r="U324" i="12"/>
  <c r="U226" i="12"/>
  <c r="U270" i="12"/>
  <c r="U105" i="12"/>
  <c r="U65" i="12"/>
  <c r="U100" i="12"/>
  <c r="U260" i="12"/>
  <c r="U340" i="12"/>
  <c r="U121" i="12"/>
  <c r="U214" i="12"/>
  <c r="U303" i="12"/>
  <c r="U390" i="12"/>
  <c r="U356" i="12"/>
  <c r="U380" i="12"/>
  <c r="U233" i="12"/>
  <c r="U299" i="12"/>
  <c r="U228" i="12"/>
  <c r="U188" i="12"/>
  <c r="U205" i="12"/>
  <c r="U389" i="12"/>
  <c r="U276" i="12"/>
  <c r="U261" i="12"/>
  <c r="U245" i="12"/>
  <c r="U153" i="12"/>
  <c r="U203" i="12"/>
  <c r="U149" i="12"/>
  <c r="U170" i="12"/>
  <c r="U200" i="12"/>
  <c r="U334" i="12"/>
  <c r="U167" i="12"/>
  <c r="U378" i="12"/>
  <c r="U377" i="12"/>
  <c r="U215" i="12"/>
  <c r="U60" i="12"/>
  <c r="Z26" i="12"/>
  <c r="AB19" i="12" s="1" a="1"/>
  <c r="AB71" i="12" l="1"/>
  <c r="AB733" i="12"/>
  <c r="AB1952" i="12"/>
  <c r="AB875" i="12"/>
  <c r="AB3055" i="12"/>
  <c r="AB47" i="12"/>
  <c r="AB2313" i="12"/>
  <c r="AB1647" i="12"/>
  <c r="AB1679" i="12"/>
  <c r="AB3443" i="12"/>
  <c r="AB86" i="12"/>
  <c r="AB3191" i="12"/>
  <c r="AB3403" i="12"/>
  <c r="AB2261" i="12"/>
  <c r="AB1495" i="12"/>
  <c r="AB2384" i="12"/>
  <c r="AB3273" i="12"/>
  <c r="AB1540" i="12"/>
  <c r="AB2982" i="12"/>
  <c r="AB2786" i="12"/>
  <c r="AB3079" i="12"/>
  <c r="AB1204" i="12"/>
  <c r="AB338" i="12"/>
  <c r="AB1613" i="12"/>
  <c r="AB375" i="12"/>
  <c r="AB3505" i="12"/>
  <c r="AB124" i="12"/>
  <c r="AB2065" i="12"/>
  <c r="AB3157" i="12"/>
  <c r="AB3357" i="12"/>
  <c r="AB189" i="12"/>
  <c r="AB2093" i="12"/>
  <c r="AB144" i="12"/>
  <c r="AB302" i="12"/>
  <c r="AB2718" i="12"/>
  <c r="AB2923" i="12"/>
  <c r="AB75" i="12"/>
  <c r="AB1398" i="12"/>
  <c r="AB428" i="12"/>
  <c r="AB1278" i="12"/>
  <c r="AB714" i="12"/>
  <c r="AB2948" i="12"/>
  <c r="AB3321" i="12"/>
  <c r="AB3462" i="12"/>
  <c r="AB64" i="12"/>
  <c r="AB542" i="12"/>
  <c r="AB2170" i="12"/>
  <c r="AB1959" i="12"/>
  <c r="AB1667" i="12"/>
  <c r="AB2062" i="12"/>
  <c r="AB2889" i="12"/>
  <c r="AB2684" i="12"/>
  <c r="AB2087" i="12"/>
  <c r="AB515" i="12"/>
  <c r="AB1426" i="12"/>
  <c r="AB2708" i="12"/>
  <c r="AB1887" i="12"/>
  <c r="AB242" i="12"/>
  <c r="AB592" i="12"/>
  <c r="AB1385" i="12"/>
  <c r="AB1093" i="12"/>
  <c r="AB2633" i="12"/>
  <c r="AB551" i="12"/>
  <c r="AB1185" i="12"/>
  <c r="AB3544" i="12"/>
  <c r="AB298" i="12"/>
  <c r="AB527" i="12"/>
  <c r="AB2016" i="12"/>
  <c r="AB1319" i="12"/>
  <c r="AB3075" i="12"/>
  <c r="AB2705" i="12"/>
  <c r="AB2117" i="12"/>
  <c r="AB1451" i="12"/>
  <c r="AB826" i="12"/>
  <c r="AB1623" i="12"/>
  <c r="AB2688" i="12"/>
  <c r="AB954" i="12"/>
  <c r="AB1795" i="12"/>
  <c r="AB2067" i="12"/>
  <c r="AB2032" i="12"/>
  <c r="AB596" i="12"/>
  <c r="AB1832" i="12"/>
  <c r="AB1714" i="12"/>
  <c r="AB417" i="12"/>
  <c r="AB146" i="12"/>
  <c r="AB324" i="12"/>
  <c r="AB2354" i="12"/>
  <c r="AB3260" i="12"/>
  <c r="AB383" i="12"/>
  <c r="AB3261" i="12"/>
  <c r="AB1878" i="12"/>
  <c r="AB3497" i="12"/>
  <c r="AB1087" i="12"/>
  <c r="AB1529" i="12"/>
  <c r="AB2455" i="12"/>
  <c r="AB833" i="12"/>
  <c r="AB1702" i="12"/>
  <c r="AB2801" i="12"/>
  <c r="AB2949" i="12"/>
  <c r="AB873" i="12"/>
  <c r="AB641" i="12"/>
  <c r="AB1578" i="12"/>
  <c r="AB1526" i="12"/>
  <c r="AB924" i="12"/>
  <c r="AB3180" i="12"/>
  <c r="AB2888" i="12"/>
  <c r="AB133" i="12"/>
  <c r="AB1592" i="12"/>
  <c r="AB1534" i="12"/>
  <c r="AB2500" i="12"/>
  <c r="AB2458" i="12"/>
  <c r="AB2381" i="12"/>
  <c r="AB138" i="12"/>
  <c r="AB2859" i="12"/>
  <c r="AB220" i="12"/>
  <c r="AB3097" i="12"/>
  <c r="AB3344" i="12"/>
  <c r="AB1810" i="12"/>
  <c r="AB3256" i="12"/>
  <c r="AB595" i="12"/>
  <c r="AB519" i="12"/>
  <c r="AB2348" i="12"/>
  <c r="AB702" i="12"/>
  <c r="AB3111" i="12"/>
  <c r="AB859" i="12"/>
  <c r="AB1532" i="12"/>
  <c r="AB713" i="12"/>
  <c r="AB2416" i="12"/>
  <c r="AB3425" i="12"/>
  <c r="AB1970" i="12"/>
  <c r="AB2183" i="12"/>
  <c r="AB3145" i="12"/>
  <c r="AB2139" i="12"/>
  <c r="AB2267" i="12"/>
  <c r="AB2792" i="12"/>
  <c r="AB2435" i="12"/>
  <c r="AB85" i="12"/>
  <c r="AB1211" i="12"/>
  <c r="AB1790" i="12"/>
  <c r="AB1542" i="12"/>
  <c r="AB3222" i="12"/>
  <c r="AB2259" i="12"/>
  <c r="AB2226" i="12"/>
  <c r="AB1097" i="12"/>
  <c r="AB35" i="12"/>
  <c r="AB2726" i="12"/>
  <c r="AB1870" i="12"/>
  <c r="AB2101" i="12"/>
  <c r="AB2652" i="12"/>
  <c r="AB1239" i="12"/>
  <c r="AB2282" i="12"/>
  <c r="AB2317" i="12"/>
  <c r="AB3204" i="12"/>
  <c r="AB2892" i="12"/>
  <c r="AB1134" i="12"/>
  <c r="AB3005" i="12"/>
  <c r="AB304" i="12"/>
  <c r="AB2099" i="12"/>
  <c r="AB1622" i="12"/>
  <c r="AB1846" i="12"/>
  <c r="AB2713" i="12"/>
  <c r="AB2531" i="12"/>
  <c r="AB3368" i="12"/>
  <c r="AB2549" i="12"/>
  <c r="AB1577" i="12"/>
  <c r="AB101" i="12"/>
  <c r="AB1149" i="12"/>
  <c r="AB164" i="12"/>
  <c r="AB1364" i="12"/>
  <c r="AB2134" i="12"/>
  <c r="AB3051" i="12"/>
  <c r="AB48" i="12"/>
  <c r="AB616" i="12"/>
  <c r="AB1456" i="12"/>
  <c r="AB2638" i="12"/>
  <c r="AB1139" i="12"/>
  <c r="AB1851" i="12"/>
  <c r="AB2392" i="12"/>
  <c r="AB1394" i="12"/>
  <c r="AB2974" i="12"/>
  <c r="AB3105" i="12"/>
  <c r="AB1567" i="12"/>
  <c r="AB2322" i="12"/>
  <c r="AB1365" i="12"/>
  <c r="AB1973" i="12"/>
  <c r="AB2113" i="12"/>
  <c r="AB1442" i="12"/>
  <c r="AB3452" i="12"/>
  <c r="AB820" i="12"/>
  <c r="AB830" i="12"/>
  <c r="AB1965" i="12"/>
  <c r="AB3155" i="12"/>
  <c r="AB489" i="12"/>
  <c r="AB2854" i="12"/>
  <c r="AB2766" i="12"/>
  <c r="AB1926" i="12"/>
  <c r="AB2230" i="12"/>
  <c r="AB2059" i="12"/>
  <c r="AB495" i="12"/>
  <c r="AB3504" i="12"/>
  <c r="AB41" i="12"/>
  <c r="AB1573" i="12"/>
  <c r="AB471" i="12"/>
  <c r="AB1646" i="12"/>
  <c r="AB2211" i="12"/>
  <c r="AB3171" i="12"/>
  <c r="AB3526" i="12"/>
  <c r="AB1663" i="12"/>
  <c r="AB923" i="12"/>
  <c r="AB593" i="12"/>
  <c r="AB1799" i="12"/>
  <c r="AB934" i="12"/>
  <c r="AB1739" i="12"/>
  <c r="AB3248" i="12"/>
  <c r="AB1685" i="12"/>
  <c r="AB1825" i="12"/>
  <c r="AB29" i="12"/>
  <c r="AB2665" i="12"/>
  <c r="AB2591" i="12"/>
  <c r="AB1643" i="12"/>
  <c r="AB1520" i="12"/>
  <c r="AB1982" i="12"/>
  <c r="AB1308" i="12"/>
  <c r="AB2614" i="12"/>
  <c r="AB1252" i="12"/>
  <c r="AB1483" i="12"/>
  <c r="AB2167" i="12"/>
  <c r="AB2387" i="12"/>
  <c r="AB251" i="12"/>
  <c r="AB3015" i="12"/>
  <c r="AB2866" i="12"/>
  <c r="AB609" i="12"/>
  <c r="AB761" i="12"/>
  <c r="AB3068" i="12"/>
  <c r="AB1008" i="12"/>
  <c r="AB728" i="12"/>
  <c r="AB357" i="12"/>
  <c r="AB3482" i="12"/>
  <c r="AB3513" i="12"/>
  <c r="AB229" i="12"/>
  <c r="AB797" i="12"/>
  <c r="AB1461" i="12"/>
  <c r="AB1069" i="12"/>
  <c r="AB866" i="12"/>
  <c r="AB3391" i="12"/>
  <c r="AB1729" i="12"/>
  <c r="AB2817" i="12"/>
  <c r="AB126" i="12"/>
  <c r="AB955" i="12"/>
  <c r="AB1932" i="12"/>
  <c r="AB1485" i="12"/>
  <c r="AB1371" i="12"/>
  <c r="AB2723" i="12"/>
  <c r="AB1491" i="12"/>
  <c r="AB2137" i="12"/>
  <c r="AB1537" i="12"/>
  <c r="AB2004" i="12"/>
  <c r="AB2572" i="12"/>
  <c r="AB1877" i="12"/>
  <c r="AB2975" i="12"/>
  <c r="AB433" i="12"/>
  <c r="AB451" i="12"/>
  <c r="AB3298" i="12"/>
  <c r="AB3006" i="12"/>
  <c r="AB3499" i="12"/>
  <c r="AB654" i="12"/>
  <c r="AB1482" i="12"/>
  <c r="AB1876" i="12"/>
  <c r="AB660" i="12"/>
  <c r="AB196" i="12"/>
  <c r="AB3240" i="12"/>
  <c r="AB2232" i="12"/>
  <c r="AB3010" i="12"/>
  <c r="AB3123" i="12"/>
  <c r="AB2493" i="12"/>
  <c r="AB2912" i="12"/>
  <c r="AB1607" i="12"/>
  <c r="AB583" i="12"/>
  <c r="AB1933" i="12"/>
  <c r="AB525" i="12"/>
  <c r="AB463" i="12"/>
  <c r="AB3538" i="12"/>
  <c r="AB2709" i="12"/>
  <c r="AB816" i="12"/>
  <c r="AB1361" i="12"/>
  <c r="AB739" i="12"/>
  <c r="AB2516" i="12"/>
  <c r="AB2874" i="12"/>
  <c r="AB927" i="12"/>
  <c r="AB3475" i="12"/>
  <c r="AB1181" i="12"/>
  <c r="AB1505" i="12"/>
  <c r="AB1362" i="12"/>
  <c r="AB2624" i="12"/>
  <c r="AB1909" i="12"/>
  <c r="AB1779" i="12"/>
  <c r="AB1208" i="12"/>
  <c r="AB1158" i="12"/>
  <c r="AB1763" i="12"/>
  <c r="AB3264" i="12"/>
  <c r="AB2006" i="12"/>
  <c r="AB158" i="12"/>
  <c r="AB165" i="12"/>
  <c r="AB2508" i="12"/>
  <c r="AB1635" i="12"/>
  <c r="AB2671" i="12"/>
  <c r="AB3267" i="12"/>
  <c r="AB1669" i="12"/>
  <c r="AB1227" i="12"/>
  <c r="AB2055" i="12"/>
  <c r="AB3392" i="12"/>
  <c r="AB1748" i="12"/>
  <c r="AB386" i="12"/>
  <c r="AB439" i="12"/>
  <c r="AB944" i="12"/>
  <c r="AB180" i="12"/>
  <c r="AB222" i="12"/>
  <c r="AB2908" i="12"/>
  <c r="AB1367" i="12"/>
  <c r="AB412" i="12"/>
  <c r="AB3182" i="12"/>
  <c r="AB3088" i="12"/>
  <c r="AB3426" i="12"/>
  <c r="AB2593" i="12"/>
  <c r="AB636" i="12"/>
  <c r="AB638" i="12"/>
  <c r="AB2547" i="12"/>
  <c r="AB2757" i="12"/>
  <c r="AB554" i="12"/>
  <c r="AB367" i="12"/>
  <c r="AB2785" i="12"/>
  <c r="AB3319" i="12"/>
  <c r="AB547" i="12"/>
  <c r="AB1125" i="12"/>
  <c r="AB2770" i="12"/>
  <c r="AB2166" i="12"/>
  <c r="AB1569" i="12"/>
  <c r="AB1260" i="12"/>
  <c r="AB679" i="12"/>
  <c r="AB2013" i="12"/>
  <c r="AB32" i="12"/>
  <c r="AB2761" i="12"/>
  <c r="AB2560" i="12"/>
  <c r="AB3011" i="12"/>
  <c r="AB2565" i="12"/>
  <c r="AB1306" i="12"/>
  <c r="AB1421" i="12"/>
  <c r="AB779" i="12"/>
  <c r="AB3327" i="12"/>
  <c r="AB3115" i="12"/>
  <c r="AB2805" i="12"/>
  <c r="AB1336" i="12"/>
  <c r="AB1761" i="12"/>
  <c r="AB2037" i="12"/>
  <c r="AB488" i="12"/>
  <c r="AB1395" i="12"/>
  <c r="AB1354" i="12"/>
  <c r="AB2337" i="12"/>
  <c r="AB2371" i="12"/>
  <c r="AB3070" i="12"/>
  <c r="AB2564" i="12"/>
  <c r="AB252" i="12"/>
  <c r="AB1842" i="12"/>
  <c r="AB2574" i="12"/>
  <c r="AB3348" i="12"/>
  <c r="AB1780" i="12"/>
  <c r="AB1225" i="12"/>
  <c r="AB1899" i="12"/>
  <c r="AB2485" i="12"/>
  <c r="AB879" i="12"/>
  <c r="AB2844" i="12"/>
  <c r="AB275" i="12"/>
  <c r="AB2864" i="12"/>
  <c r="AB1966" i="12"/>
  <c r="AB272" i="12"/>
  <c r="AB1011" i="12"/>
  <c r="AB2803" i="12"/>
  <c r="AB3251" i="12"/>
  <c r="AB2027" i="12"/>
  <c r="AB1273" i="12"/>
  <c r="AB1888" i="12"/>
  <c r="AB786" i="12"/>
  <c r="AB682" i="12"/>
  <c r="AB2372" i="12"/>
  <c r="AB3356" i="12"/>
  <c r="AB3324" i="12"/>
  <c r="AB2266" i="12"/>
  <c r="AB2473" i="12"/>
  <c r="AB1026" i="12"/>
  <c r="AB2744" i="12"/>
  <c r="AB2347" i="12"/>
  <c r="AB43" i="12"/>
  <c r="AB2120" i="12"/>
  <c r="AB2773" i="12"/>
  <c r="AB3369" i="12"/>
  <c r="AB869" i="12"/>
  <c r="AB534" i="12"/>
  <c r="AB3071" i="12"/>
  <c r="AB3345" i="12"/>
  <c r="AB154" i="12"/>
  <c r="AB2396" i="12"/>
  <c r="AB1274" i="12"/>
  <c r="AB1856" i="12"/>
  <c r="AB2406" i="12"/>
  <c r="AB2985" i="12"/>
  <c r="AB768" i="12"/>
  <c r="AB1732" i="12"/>
  <c r="AB1956" i="12"/>
  <c r="AB621" i="12"/>
  <c r="AB346" i="12"/>
  <c r="AB705" i="12"/>
  <c r="AB1231" i="12"/>
  <c r="AB337" i="12"/>
  <c r="AB1617" i="12"/>
  <c r="AB2428" i="12"/>
  <c r="AB1171" i="12"/>
  <c r="AB729" i="12"/>
  <c r="AB3393" i="12"/>
  <c r="AB1148" i="12"/>
  <c r="AB845" i="12"/>
  <c r="AB892" i="12"/>
  <c r="AB3269" i="12"/>
  <c r="AB2244" i="12"/>
  <c r="AB2608" i="12"/>
  <c r="AB2327" i="12"/>
  <c r="AB3245" i="12"/>
  <c r="AB1954" i="12"/>
  <c r="AB143" i="12"/>
  <c r="AB857" i="12"/>
  <c r="AB2205" i="12"/>
  <c r="AB1568" i="12"/>
  <c r="AB1103" i="12"/>
  <c r="AB155" i="12"/>
  <c r="AB1892" i="12"/>
  <c r="AB2863" i="12"/>
  <c r="AB1035" i="12"/>
  <c r="AB355" i="12"/>
  <c r="AB2404" i="12"/>
  <c r="AB491" i="12"/>
  <c r="AB3429" i="12"/>
  <c r="AB2913" i="12"/>
  <c r="AB3000" i="12"/>
  <c r="AB952" i="12"/>
  <c r="AB969" i="12"/>
  <c r="AB120" i="12"/>
  <c r="AB465" i="12"/>
  <c r="AB1003" i="12"/>
  <c r="AB396" i="12"/>
  <c r="AB1402" i="12"/>
  <c r="AB2969" i="12"/>
  <c r="AB1455" i="12"/>
  <c r="AB851" i="12"/>
  <c r="AB904" i="12"/>
  <c r="AB1837" i="12"/>
  <c r="AB174" i="12"/>
  <c r="AB3110" i="12"/>
  <c r="AB2363" i="12"/>
  <c r="AB107" i="12"/>
  <c r="AB2321" i="12"/>
  <c r="AB2779" i="12"/>
  <c r="AB976" i="12"/>
  <c r="AB3112" i="12"/>
  <c r="AB245" i="12"/>
  <c r="AB1824" i="12"/>
  <c r="AB345" i="12"/>
  <c r="AB2853" i="12"/>
  <c r="AB2014" i="12"/>
  <c r="AB629" i="12"/>
  <c r="AB2075" i="12"/>
  <c r="AB537" i="12"/>
  <c r="AB2548" i="12"/>
  <c r="AB2841" i="12"/>
  <c r="AB3092" i="12"/>
  <c r="AB1186" i="12"/>
  <c r="AB38" i="12"/>
  <c r="AB971" i="12"/>
  <c r="AB3235" i="12"/>
  <c r="AB312" i="12"/>
  <c r="AB231" i="12"/>
  <c r="AB936" i="12"/>
  <c r="AB182" i="12"/>
  <c r="AB1024" i="12"/>
  <c r="AB1173" i="12"/>
  <c r="AB3244" i="12"/>
  <c r="AB1570" i="12"/>
  <c r="AB1422" i="12"/>
  <c r="AB3292" i="12"/>
  <c r="AB1498" i="12"/>
  <c r="AB2625" i="12"/>
  <c r="AB2344" i="12"/>
  <c r="AB1934" i="12"/>
  <c r="AB3490" i="12"/>
  <c r="AB2868" i="12"/>
  <c r="AB722" i="12"/>
  <c r="AB2518" i="12"/>
  <c r="AB211" i="12"/>
  <c r="AB2270" i="12"/>
  <c r="AB2398" i="12"/>
  <c r="AB712" i="12"/>
  <c r="AB692" i="12"/>
  <c r="AB1950" i="12"/>
  <c r="AB2063" i="12"/>
  <c r="AB3227" i="12"/>
  <c r="AB610" i="12"/>
  <c r="AB455" i="12"/>
  <c r="AB2606" i="12"/>
  <c r="AB487" i="12"/>
  <c r="AB1430" i="12"/>
  <c r="AB2925" i="12"/>
  <c r="AB2845" i="12"/>
  <c r="AB3198" i="12"/>
  <c r="AB1080" i="12"/>
  <c r="AB1389" i="12"/>
  <c r="AB3028" i="12"/>
  <c r="AB771" i="12"/>
  <c r="AB1822" i="12"/>
  <c r="AB1536" i="12"/>
  <c r="AB3301" i="12"/>
  <c r="AB1182" i="12"/>
  <c r="AB2787" i="12"/>
  <c r="AB2203" i="12"/>
  <c r="AB1156" i="12"/>
  <c r="AB503" i="12"/>
  <c r="AB716" i="12"/>
  <c r="AB2029" i="12"/>
  <c r="AB1995" i="12"/>
  <c r="AB1558" i="12"/>
  <c r="AB1546" i="12"/>
  <c r="AB1081" i="12"/>
  <c r="AB1333" i="12"/>
  <c r="AB3531" i="12"/>
  <c r="AB193" i="12"/>
  <c r="AB2727" i="12"/>
  <c r="AB3223" i="12"/>
  <c r="AB2186" i="12"/>
  <c r="AB52" i="12"/>
  <c r="AB504" i="12"/>
  <c r="AB2585" i="12"/>
  <c r="AB3441" i="12"/>
  <c r="AB2192" i="12"/>
  <c r="AB2478" i="12"/>
  <c r="AB1863" i="12"/>
  <c r="AB931" i="12"/>
  <c r="AB484" i="12"/>
  <c r="AB1765" i="12"/>
  <c r="AB387" i="12"/>
  <c r="AB1041" i="12"/>
  <c r="AB3412" i="12"/>
  <c r="AB1110" i="12"/>
  <c r="AB1347" i="12"/>
  <c r="AB570" i="12"/>
  <c r="AB2942" i="12"/>
  <c r="AB996" i="12"/>
  <c r="AB1433" i="12"/>
  <c r="AB1098" i="12"/>
  <c r="AB755" i="12"/>
  <c r="AB1895" i="12"/>
  <c r="AB215" i="12"/>
  <c r="AB683" i="12"/>
  <c r="AB3523" i="12"/>
  <c r="AB3543" i="12"/>
  <c r="AB2963" i="12"/>
  <c r="AB2754" i="12"/>
  <c r="AB134" i="12"/>
  <c r="AB3126" i="12"/>
  <c r="AB689" i="12"/>
  <c r="AB2601" i="12"/>
  <c r="AB2462" i="12"/>
  <c r="AB781" i="12"/>
  <c r="AB1014" i="12"/>
  <c r="AB2511" i="12"/>
  <c r="AB3478" i="12"/>
  <c r="AB1349" i="12"/>
  <c r="AB743" i="12"/>
  <c r="AB3229" i="12"/>
  <c r="AB1869" i="12"/>
  <c r="AB1872" i="12"/>
  <c r="AB3377" i="12"/>
  <c r="AB1077" i="12"/>
  <c r="AB391" i="12"/>
  <c r="AB1340" i="12"/>
  <c r="AB3446" i="12"/>
  <c r="AB1637" i="12"/>
  <c r="AB54" i="12"/>
  <c r="AB2349" i="12"/>
  <c r="AB195" i="12"/>
  <c r="AB2449" i="12"/>
  <c r="AB1720" i="12"/>
  <c r="AB418" i="12"/>
  <c r="AB1991" i="12"/>
  <c r="AB1504" i="12"/>
  <c r="AB2456" i="12"/>
  <c r="AB2935" i="12"/>
  <c r="AB2622" i="12"/>
  <c r="AB2071" i="12"/>
  <c r="AB2175" i="12"/>
  <c r="AB419" i="12"/>
  <c r="AB941" i="12"/>
  <c r="AB736" i="12"/>
  <c r="AB2675" i="12"/>
  <c r="AB2083" i="12"/>
  <c r="AB1275" i="12"/>
  <c r="AB3046" i="12"/>
  <c r="AB127" i="12"/>
  <c r="AB1138" i="12"/>
  <c r="AB1724" i="12"/>
  <c r="AB176" i="12"/>
  <c r="AB2804" i="12"/>
  <c r="AB1705" i="12"/>
  <c r="AB256" i="12"/>
  <c r="AB1137" i="12"/>
  <c r="AB3534" i="12"/>
  <c r="AB1390" i="12"/>
  <c r="AB2100" i="12"/>
  <c r="AB284" i="12"/>
  <c r="AB3102" i="12"/>
  <c r="AB3196" i="12"/>
  <c r="AB291" i="12"/>
  <c r="AB953" i="12"/>
  <c r="AB1764" i="12"/>
  <c r="AB2022" i="12"/>
  <c r="AB1291" i="12"/>
  <c r="AB2000" i="12"/>
  <c r="AB2096" i="12"/>
  <c r="AB2036" i="12"/>
  <c r="AB1415" i="12"/>
  <c r="AB1915" i="12"/>
  <c r="AB1106" i="12"/>
  <c r="AB696" i="12"/>
  <c r="AB681" i="12"/>
  <c r="AB1108" i="12"/>
  <c r="AB1481" i="12"/>
  <c r="AB2397" i="12"/>
  <c r="AB3133" i="12"/>
  <c r="AB2959" i="12"/>
  <c r="AB3177" i="12"/>
  <c r="AB2460" i="12"/>
  <c r="AB1450" i="12"/>
  <c r="AB270" i="12"/>
  <c r="AB2605" i="12"/>
  <c r="AB295" i="12"/>
  <c r="AB1145" i="12"/>
  <c r="AB2295" i="12"/>
  <c r="AB22" i="12"/>
  <c r="AB2966" i="12"/>
  <c r="AB461" i="12"/>
  <c r="AB2033" i="12"/>
  <c r="AB3206" i="12"/>
  <c r="AB1261" i="12"/>
  <c r="AB1425" i="12"/>
  <c r="AB2225" i="12"/>
  <c r="AB2615" i="12"/>
  <c r="AB2028" i="12"/>
  <c r="AB524" i="12"/>
  <c r="AB3210" i="12"/>
  <c r="AB2095" i="12"/>
  <c r="AB2903" i="12"/>
  <c r="AB3382" i="12"/>
  <c r="AB1986" i="12"/>
  <c r="AB3510" i="12"/>
  <c r="AB3040" i="12"/>
  <c r="AB545" i="12"/>
  <c r="AB823" i="12"/>
  <c r="AB3404" i="12"/>
  <c r="AB3192" i="12"/>
  <c r="AB3184" i="12"/>
  <c r="AB3316" i="12"/>
  <c r="AB453" i="12"/>
  <c r="AB3486" i="12"/>
  <c r="AB991" i="12"/>
  <c r="AB502" i="12"/>
  <c r="AB2936" i="12"/>
  <c r="AB2772" i="12"/>
  <c r="AB2830" i="12"/>
  <c r="AB860" i="12"/>
  <c r="AB232" i="12"/>
  <c r="AB625" i="12"/>
  <c r="AB2583" i="12"/>
  <c r="AB3042" i="12"/>
  <c r="AB212" i="12"/>
  <c r="AB707" i="12"/>
  <c r="AB586" i="12"/>
  <c r="AB1659" i="12"/>
  <c r="AB325" i="12"/>
  <c r="AB2077" i="12"/>
  <c r="AB2216" i="12"/>
  <c r="AB130" i="12"/>
  <c r="AB2567" i="12"/>
  <c r="AB3532" i="12"/>
  <c r="AB2734" i="12"/>
  <c r="AB762" i="12"/>
  <c r="AB1162" i="12"/>
  <c r="AB3093" i="12"/>
  <c r="AB371" i="12"/>
  <c r="AB2600" i="12"/>
  <c r="AB3212" i="12"/>
  <c r="AB482" i="12"/>
  <c r="AB2559" i="12"/>
  <c r="AB3095" i="12"/>
  <c r="AB3241" i="12"/>
  <c r="AB3009" i="12"/>
  <c r="AB1315" i="12"/>
  <c r="AB2017" i="12"/>
  <c r="AB140" i="12"/>
  <c r="AB277" i="12"/>
  <c r="AB2154" i="12"/>
  <c r="AB2048" i="12"/>
  <c r="AB314" i="12"/>
  <c r="AB1117" i="12"/>
  <c r="AB821" i="12"/>
  <c r="AB3089" i="12"/>
  <c r="AB1297" i="12"/>
  <c r="AB2846" i="12"/>
  <c r="AB3455" i="12"/>
  <c r="AB1998" i="12"/>
  <c r="AB2436" i="12"/>
  <c r="AB590" i="12"/>
  <c r="AB2736" i="12"/>
  <c r="AB350" i="12"/>
  <c r="AB2445" i="12"/>
  <c r="AB2664" i="12"/>
  <c r="AB1826" i="12"/>
  <c r="AB3533" i="12"/>
  <c r="AB3058" i="12"/>
  <c r="AB585" i="12"/>
  <c r="AB2446" i="12"/>
  <c r="AB2138" i="12"/>
  <c r="AB1999" i="12"/>
  <c r="AB218" i="12"/>
  <c r="AB796" i="12"/>
  <c r="AB2901" i="12"/>
  <c r="AB933" i="12"/>
  <c r="AB1796" i="12"/>
  <c r="AB2007" i="12"/>
  <c r="AB3444" i="12"/>
  <c r="AB3353" i="12"/>
  <c r="AB2666" i="12"/>
  <c r="AB3018" i="12"/>
  <c r="AB909" i="12"/>
  <c r="AB1286" i="12"/>
  <c r="AB2018" i="12"/>
  <c r="AB2763" i="12"/>
  <c r="AB3501" i="12"/>
  <c r="AB1600" i="12"/>
  <c r="AB2800" i="12"/>
  <c r="AB3339" i="12"/>
  <c r="AB2993" i="12"/>
  <c r="AB2989" i="12"/>
  <c r="AB3291" i="12"/>
  <c r="AB2035" i="12"/>
  <c r="AB1731" i="12"/>
  <c r="AB986" i="12"/>
  <c r="AB2209" i="12"/>
  <c r="AB3387" i="12"/>
  <c r="AB1638" i="12"/>
  <c r="AB1753" i="12"/>
  <c r="AB1435" i="12"/>
  <c r="AB177" i="12"/>
  <c r="AB1311" i="12"/>
  <c r="AB3517" i="12"/>
  <c r="AB1105" i="12"/>
  <c r="AB2208" i="12"/>
  <c r="AB1906" i="12"/>
  <c r="AB2747" i="12"/>
  <c r="AB1651" i="12"/>
  <c r="AB3268" i="12"/>
  <c r="AB3084" i="12"/>
  <c r="AB1467" i="12"/>
  <c r="AB538" i="12"/>
  <c r="AB2368" i="12"/>
  <c r="AB2586" i="12"/>
  <c r="AB3326" i="12"/>
  <c r="AB1682" i="12"/>
  <c r="AB2720" i="12"/>
  <c r="AB2414" i="12"/>
  <c r="AB633" i="12"/>
  <c r="AB1928" i="12"/>
  <c r="AB2418" i="12"/>
  <c r="AB2703" i="12"/>
  <c r="AB2630" i="12"/>
  <c r="AB1866" i="12"/>
  <c r="AB351" i="12"/>
  <c r="AB3004" i="12"/>
  <c r="AB2934" i="12"/>
  <c r="AB3487" i="12"/>
  <c r="AB498" i="12"/>
  <c r="AB1082" i="12"/>
  <c r="AB3146" i="12"/>
  <c r="AB2268" i="12"/>
  <c r="AB102" i="12"/>
  <c r="AB2607" i="12"/>
  <c r="AB3471" i="12"/>
  <c r="AB2636" i="12"/>
  <c r="AB1527" i="12"/>
  <c r="AB179" i="12"/>
  <c r="AB642" i="12"/>
  <c r="AB1464" i="12"/>
  <c r="AB3457" i="12"/>
  <c r="AB1898" i="12"/>
  <c r="AB475" i="12"/>
  <c r="AB1756" i="12"/>
  <c r="AB3340" i="12"/>
  <c r="AB2448" i="12"/>
  <c r="AB822" i="12"/>
  <c r="AB812" i="12"/>
  <c r="AB3225" i="12"/>
  <c r="AB1655" i="12"/>
  <c r="AB1378" i="12"/>
  <c r="AB2346" i="12"/>
  <c r="AB3488" i="12"/>
  <c r="AB1192" i="12"/>
  <c r="AB912" i="12"/>
  <c r="AB2976" i="12"/>
  <c r="AB602" i="12"/>
  <c r="AB1013" i="12"/>
  <c r="AB2106" i="12"/>
  <c r="AB257" i="12"/>
  <c r="AB740" i="12"/>
  <c r="AB335" i="12"/>
  <c r="AB1774" i="12"/>
  <c r="AB2049" i="12"/>
  <c r="AB2045" i="12"/>
  <c r="AB686" i="12"/>
  <c r="AB1596" i="12"/>
  <c r="AB540" i="12"/>
  <c r="AB1341" i="12"/>
  <c r="AB598" i="12"/>
  <c r="AB478" i="12"/>
  <c r="AB1776" i="12"/>
  <c r="AB790" i="12"/>
  <c r="AB730" i="12"/>
  <c r="AB2297" i="12"/>
  <c r="AB486" i="12"/>
  <c r="AB1758" i="12"/>
  <c r="AB1196" i="12"/>
  <c r="AB1650" i="12"/>
  <c r="AB3343" i="12"/>
  <c r="AB2320" i="12"/>
  <c r="AB244" i="12"/>
  <c r="AB3189" i="12"/>
  <c r="AB1074" i="12"/>
  <c r="AB1050" i="12"/>
  <c r="AB2861" i="12"/>
  <c r="AB1005" i="12"/>
  <c r="AB3247" i="12"/>
  <c r="AB1268" i="12"/>
  <c r="AB1358" i="12"/>
  <c r="AB635" i="12"/>
  <c r="AB2357" i="12"/>
  <c r="AB3408" i="12"/>
  <c r="AB2835" i="12"/>
  <c r="AB2085" i="12"/>
  <c r="AB2489" i="12"/>
  <c r="AB1383" i="12"/>
  <c r="AB2938" i="12"/>
  <c r="AB3019" i="12"/>
  <c r="AB500" i="12"/>
  <c r="AB2025" i="12"/>
  <c r="AB2594" i="12"/>
  <c r="AB426" i="12"/>
  <c r="AB2152" i="12"/>
  <c r="AB580" i="12"/>
  <c r="AB2024" i="12"/>
  <c r="AB501" i="12"/>
  <c r="AB778" i="12"/>
  <c r="AB3395" i="12"/>
  <c r="AB46" i="12"/>
  <c r="AB3156" i="12"/>
  <c r="AB2902" i="12"/>
  <c r="AB1681" i="12"/>
  <c r="AB3144" i="12"/>
  <c r="AB2351" i="12"/>
  <c r="AB1169" i="12"/>
  <c r="AB1629" i="12"/>
  <c r="AB3416" i="12"/>
  <c r="AB2421" i="12"/>
  <c r="AB2712" i="12"/>
  <c r="AB2580" i="12"/>
  <c r="AB2806" i="12"/>
  <c r="AB2274" i="12"/>
  <c r="AB657" i="12"/>
  <c r="AB427" i="12"/>
  <c r="AB1626" i="12"/>
  <c r="AB2977" i="12"/>
  <c r="AB2556" i="12"/>
  <c r="AB807" i="12"/>
  <c r="AB1963" i="12"/>
  <c r="AB3453" i="12"/>
  <c r="AB125" i="12"/>
  <c r="AB2229" i="12"/>
  <c r="AB3252" i="12"/>
  <c r="AB119" i="12"/>
  <c r="AB2741" i="12"/>
  <c r="AB846" i="12"/>
  <c r="AB2038" i="12"/>
  <c r="AB903" i="12"/>
  <c r="AB1146" i="12"/>
  <c r="AB3337" i="12"/>
  <c r="AB3053" i="12"/>
  <c r="AB2496" i="12"/>
  <c r="AB1625" i="12"/>
  <c r="AB1379" i="12"/>
  <c r="AB1119" i="12"/>
  <c r="AB37" i="12"/>
  <c r="AB3275" i="12"/>
  <c r="AB2753" i="12"/>
  <c r="AB2740" i="12"/>
  <c r="AB2481" i="12"/>
  <c r="AB2896" i="12"/>
  <c r="AB2616" i="12"/>
  <c r="AB2849" i="12"/>
  <c r="AB1707" i="12"/>
  <c r="AB132" i="12"/>
  <c r="AB2411" i="12"/>
  <c r="AB1834" i="12"/>
  <c r="AB416" i="12"/>
  <c r="AB1285" i="12"/>
  <c r="AB381" i="12"/>
  <c r="AB3379" i="12"/>
  <c r="AB1854" i="12"/>
  <c r="AB2543" i="12"/>
  <c r="AB1190" i="12"/>
  <c r="AB1488" i="12"/>
  <c r="AB322" i="12"/>
  <c r="AB1218" i="12"/>
  <c r="AB623" i="12"/>
  <c r="AB2361" i="12"/>
  <c r="AB2088" i="12"/>
  <c r="AB2506" i="12"/>
  <c r="AB2512" i="12"/>
  <c r="AB3203" i="12"/>
  <c r="AB3087" i="12"/>
  <c r="AB34" i="12"/>
  <c r="AB2188" i="12"/>
  <c r="AB1153" i="12"/>
  <c r="AB1279" i="12"/>
  <c r="AB1112" i="12"/>
  <c r="AB404" i="12"/>
  <c r="AB832" i="12"/>
  <c r="AB1236" i="12"/>
  <c r="AB2774" i="12"/>
  <c r="AB2424" i="12"/>
  <c r="AB1071" i="12"/>
  <c r="AB877" i="12"/>
  <c r="AB2862" i="12"/>
  <c r="AB1088" i="12"/>
  <c r="AB1170" i="12"/>
  <c r="AB380" i="12"/>
  <c r="AB2410" i="12"/>
  <c r="AB1653" i="12"/>
  <c r="AB2542" i="12"/>
  <c r="AB42" i="12"/>
  <c r="AB319" i="12"/>
  <c r="AB2695" i="12"/>
  <c r="AB448" i="12"/>
  <c r="AB1348" i="12"/>
  <c r="AB939" i="12"/>
  <c r="AB1977" i="12"/>
  <c r="AB429" i="12"/>
  <c r="AB1500" i="12"/>
  <c r="AB670" i="12"/>
  <c r="AB3094" i="12"/>
  <c r="AB1996" i="12"/>
  <c r="AB3540" i="12"/>
  <c r="AB2659" i="12"/>
  <c r="AB51" i="12"/>
  <c r="AB470" i="12"/>
  <c r="AB3140" i="12"/>
  <c r="AB224" i="12"/>
  <c r="AB365" i="12"/>
  <c r="AB1631" i="12"/>
  <c r="AB1523" i="12"/>
  <c r="AB323" i="12"/>
  <c r="AB3166" i="12"/>
  <c r="AB2795" i="12"/>
  <c r="AB208" i="12"/>
  <c r="AB2165" i="12"/>
  <c r="AB25" i="12"/>
  <c r="AB152" i="12"/>
  <c r="AB677" i="12"/>
  <c r="AB844" i="12"/>
  <c r="AB1128" i="12"/>
  <c r="AB1059" i="12"/>
  <c r="AB3048" i="12"/>
  <c r="AB1387" i="12"/>
  <c r="AB2878" i="12"/>
  <c r="AB1519" i="12"/>
  <c r="AB2509" i="12"/>
  <c r="AB2459" i="12"/>
  <c r="AB1778" i="12"/>
  <c r="AB2771" i="12"/>
  <c r="AB793" i="12"/>
  <c r="AB1517" i="12"/>
  <c r="AB2999" i="12"/>
  <c r="AB2514" i="12"/>
  <c r="AB1355" i="12"/>
  <c r="AB2135" i="12"/>
  <c r="AB2278" i="12"/>
  <c r="AB685" i="12"/>
  <c r="AB39" i="12"/>
  <c r="AB2988" i="12"/>
  <c r="AB2891" i="12"/>
  <c r="AB1819" i="12"/>
  <c r="AB1992" i="12"/>
  <c r="AB3231" i="12"/>
  <c r="AB1109" i="12"/>
  <c r="AB2528" i="12"/>
  <c r="AB1309" i="12"/>
  <c r="AB315" i="12"/>
  <c r="AB3168" i="12"/>
  <c r="AB382" i="12"/>
  <c r="AB269" i="12"/>
  <c r="AB3169" i="12"/>
  <c r="AB2118" i="12"/>
  <c r="AB643" i="12"/>
  <c r="AB3049" i="12"/>
  <c r="AB1984" i="12"/>
  <c r="AB56" i="12"/>
  <c r="AB2732" i="12"/>
  <c r="AB1489" i="12"/>
  <c r="AB2568" i="12"/>
  <c r="AB518" i="12"/>
  <c r="AB2669" i="12"/>
  <c r="AB3186" i="12"/>
  <c r="AB2144" i="12"/>
  <c r="AB2009" i="12"/>
  <c r="AB363" i="12"/>
  <c r="AB1070" i="12"/>
  <c r="AB2750" i="12"/>
  <c r="AB587" i="12"/>
  <c r="AB521" i="12"/>
  <c r="AB3066" i="12"/>
  <c r="AB663" i="12"/>
  <c r="AB334" i="12"/>
  <c r="AB65" i="12"/>
  <c r="AB576" i="12"/>
  <c r="AB2467" i="12"/>
  <c r="AB3376" i="12"/>
  <c r="AB240" i="12"/>
  <c r="AB2141" i="12"/>
  <c r="AB178" i="12"/>
  <c r="AB1654" i="12"/>
  <c r="AB2047" i="12"/>
  <c r="AB2323" i="12"/>
  <c r="AB1687" i="12"/>
  <c r="AB3029" i="12"/>
  <c r="AB40" i="12"/>
  <c r="AB2656" i="12"/>
  <c r="AB1099" i="12"/>
  <c r="AB399" i="12"/>
  <c r="AB1427" i="12"/>
  <c r="AB1012" i="12"/>
  <c r="AB2339" i="12"/>
  <c r="AB2857" i="12"/>
  <c r="AB446" i="12"/>
  <c r="AB1444" i="12"/>
  <c r="AB1432" i="12"/>
  <c r="AB2003" i="12"/>
  <c r="AB153" i="12"/>
  <c r="AB494" i="12"/>
  <c r="AB2900" i="12"/>
  <c r="AB3522" i="12"/>
  <c r="AB30" i="12"/>
  <c r="AB1574" i="12"/>
  <c r="AB2073" i="12"/>
  <c r="AB978" i="12"/>
  <c r="AB2430" i="12"/>
  <c r="AB2442" i="12"/>
  <c r="AB369" i="12"/>
  <c r="AB3023" i="12"/>
  <c r="AB3119" i="12"/>
  <c r="AB434" i="12"/>
  <c r="AB175" i="12"/>
  <c r="AB1627" i="12"/>
  <c r="AB1032" i="12"/>
  <c r="AB2920" i="12"/>
  <c r="AB2887" i="12"/>
  <c r="AB1475" i="12"/>
  <c r="AB3135" i="12"/>
  <c r="AB3545" i="12"/>
  <c r="AB995" i="12"/>
  <c r="AB1342" i="12"/>
  <c r="AB485" i="12"/>
  <c r="AB1981" i="12"/>
  <c r="AB344" i="12"/>
  <c r="AB2815" i="12"/>
  <c r="AB254" i="12"/>
  <c r="AB3295" i="12"/>
  <c r="AB1388" i="12"/>
  <c r="AB2385" i="12"/>
  <c r="AB1092" i="12"/>
  <c r="AB769" i="12"/>
  <c r="AB123" i="12"/>
  <c r="AB2768" i="12"/>
  <c r="AB421" i="12"/>
  <c r="AB2358" i="12"/>
  <c r="AB313" i="12"/>
  <c r="AB2316" i="12"/>
  <c r="AB191" i="12"/>
  <c r="AB2272" i="12"/>
  <c r="AB2610" i="12"/>
  <c r="AB3255" i="12"/>
  <c r="AB918" i="12"/>
  <c r="AB2535" i="12"/>
  <c r="AB1295" i="12"/>
  <c r="AB73" i="12"/>
  <c r="AB2057" i="12"/>
  <c r="AB329" i="12"/>
  <c r="AB2393" i="12"/>
  <c r="AB2824" i="12"/>
  <c r="AB1759" i="12"/>
  <c r="AB2570" i="12"/>
  <c r="AB1419" i="12"/>
  <c r="AB233" i="12"/>
  <c r="AB1715" i="12"/>
  <c r="AB2222" i="12"/>
  <c r="AB3080" i="12"/>
  <c r="AB3076" i="12"/>
  <c r="AB788" i="12"/>
  <c r="AB2341" i="12"/>
  <c r="AB1317" i="12"/>
  <c r="AB1220" i="12"/>
  <c r="AB1701" i="12"/>
  <c r="AB227" i="12"/>
  <c r="AB3258" i="12"/>
  <c r="AB1640" i="12"/>
  <c r="AB2132" i="12"/>
  <c r="AB2218" i="12"/>
  <c r="AB2147" i="12"/>
  <c r="AB3535" i="12"/>
  <c r="AB1821" i="12"/>
  <c r="AB987" i="12"/>
  <c r="AB2789" i="12"/>
  <c r="AB1853" i="12"/>
  <c r="AB1634" i="12"/>
  <c r="AB3409" i="12"/>
  <c r="AB1576" i="12"/>
  <c r="AB2987" i="12"/>
  <c r="AB1581" i="12"/>
  <c r="AB1749" i="12"/>
  <c r="AB166" i="12"/>
  <c r="AB965" i="12"/>
  <c r="AB1691" i="12"/>
  <c r="AB2663" i="12"/>
  <c r="AB2904" i="12"/>
  <c r="AB1809" i="12"/>
  <c r="AB690" i="12"/>
  <c r="AB977" i="12"/>
  <c r="AB1499" i="12"/>
  <c r="AB1230" i="12"/>
  <c r="AB1980" i="12"/>
  <c r="AB2245" i="12"/>
  <c r="AB2533" i="12"/>
  <c r="AB3346" i="12"/>
  <c r="AB1864" i="12"/>
  <c r="AB1893" i="12"/>
  <c r="AB1424" i="12"/>
  <c r="AB2870" i="12"/>
  <c r="AB2052" i="12"/>
  <c r="AB3541" i="12"/>
  <c r="AB2345" i="12"/>
  <c r="AB664" i="12"/>
  <c r="AB1931" i="12"/>
  <c r="AB2873" i="12"/>
  <c r="AB1058" i="12"/>
  <c r="AB1051" i="12"/>
  <c r="AB2123" i="12"/>
  <c r="AB1803" i="12"/>
  <c r="AB3360" i="12"/>
  <c r="AB185" i="12"/>
  <c r="AB2290" i="12"/>
  <c r="AB114" i="12"/>
  <c r="AB3472" i="12"/>
  <c r="AB31" i="12"/>
  <c r="AB1642" i="12"/>
  <c r="AB942" i="12"/>
  <c r="AB791" i="12"/>
  <c r="AB2660" i="12"/>
  <c r="AB1844" i="12"/>
  <c r="AB1266" i="12"/>
  <c r="AB2402" i="12"/>
  <c r="AB620" i="12"/>
  <c r="AB163" i="12"/>
  <c r="AB473" i="12"/>
  <c r="AB2285" i="12"/>
  <c r="AB2645" i="12"/>
  <c r="AB1723" i="12"/>
  <c r="AB870" i="12"/>
  <c r="AB117" i="12"/>
  <c r="AB1020" i="12"/>
  <c r="AB1407" i="12"/>
  <c r="AB2094" i="12"/>
  <c r="AB1911" i="12"/>
  <c r="AB1599" i="12"/>
  <c r="AB1588" i="12"/>
  <c r="AB2733" i="12"/>
  <c r="AB183" i="12"/>
  <c r="AB408" i="12"/>
  <c r="AB3384" i="12"/>
  <c r="AB794" i="12"/>
  <c r="AB1563" i="12"/>
  <c r="AB1179" i="12"/>
  <c r="AB2280" i="12"/>
  <c r="AB2491" i="12"/>
  <c r="AB2390" i="12"/>
  <c r="AB680" i="12"/>
  <c r="AB1314" i="12"/>
  <c r="AB2629" i="12"/>
  <c r="AB543" i="12"/>
  <c r="AB407" i="12"/>
  <c r="AB94" i="12"/>
  <c r="AB724" i="12"/>
  <c r="AB328" i="12"/>
  <c r="AB3479" i="12"/>
  <c r="AB563" i="12"/>
  <c r="AB26" i="12"/>
  <c r="AB441" i="12"/>
  <c r="AB1697" i="12"/>
  <c r="AB3012" i="12"/>
  <c r="AB2984" i="12"/>
  <c r="AB1290" i="12"/>
  <c r="AB353" i="12"/>
  <c r="AB3456" i="12"/>
  <c r="AB2872" i="12"/>
  <c r="AB128" i="12"/>
  <c r="AB1028" i="12"/>
  <c r="AB780" i="12"/>
  <c r="AB608" i="12"/>
  <c r="AB1936" i="12"/>
  <c r="AB3448" i="12"/>
  <c r="AB2412" i="12"/>
  <c r="AB1264" i="12"/>
  <c r="AB1052" i="12"/>
  <c r="AB1151" i="12"/>
  <c r="AB1287" i="12"/>
  <c r="AB2869" i="12"/>
  <c r="AB430" i="12"/>
  <c r="AB1894" i="12"/>
  <c r="AB300" i="12"/>
  <c r="AB354" i="12"/>
  <c r="AB2177" i="12"/>
  <c r="AB3524" i="12"/>
  <c r="AB55" i="12"/>
  <c r="AB1616" i="12"/>
  <c r="AB74" i="12"/>
  <c r="AB1503" i="12"/>
  <c r="AB2326" i="12"/>
  <c r="AB1533" i="12"/>
  <c r="AB1978" i="12"/>
  <c r="AB599" i="12"/>
  <c r="AB2197" i="12"/>
  <c r="AB409" i="12"/>
  <c r="AB2552" i="12"/>
  <c r="AB1917" i="12"/>
  <c r="AB1666" i="12"/>
  <c r="AB3491" i="12"/>
  <c r="AB248" i="12"/>
  <c r="AB1251" i="12"/>
  <c r="AB3008" i="12"/>
  <c r="AB3433" i="12"/>
  <c r="AB69" i="12"/>
  <c r="AB914" i="12"/>
  <c r="AB880" i="12"/>
  <c r="AB1288" i="12"/>
  <c r="AB413" i="12"/>
  <c r="AB1246" i="12"/>
  <c r="AB2497" i="12"/>
  <c r="AB776" i="12"/>
  <c r="AB1209" i="12"/>
  <c r="AB3450" i="12"/>
  <c r="AB2839" i="12"/>
  <c r="AB3162" i="12"/>
  <c r="AB2692" i="12"/>
  <c r="AB3217" i="12"/>
  <c r="AB2265" i="12"/>
  <c r="AB1564" i="12"/>
  <c r="AB2477" i="12"/>
  <c r="AB3254" i="12"/>
  <c r="AB1518" i="12"/>
  <c r="AB2911" i="12"/>
  <c r="AB1184" i="12"/>
  <c r="AB160" i="12"/>
  <c r="AB1678" i="12"/>
  <c r="AB811" i="12"/>
  <c r="AB815" i="12"/>
  <c r="AB2258" i="12"/>
  <c r="AB274" i="12"/>
  <c r="AB3423" i="12"/>
  <c r="AB1305" i="12"/>
  <c r="AB1047" i="12"/>
  <c r="AB3401" i="12"/>
  <c r="AB2041" i="12"/>
  <c r="AB1327" i="12"/>
  <c r="AB1994" i="12"/>
  <c r="AB97" i="12"/>
  <c r="AB2069" i="12"/>
  <c r="AB1330" i="12"/>
  <c r="AB1652" i="12"/>
  <c r="AB2403" i="12"/>
  <c r="AB352" i="12"/>
  <c r="AB564" i="12"/>
  <c r="AB2814" i="12"/>
  <c r="AB1027" i="12"/>
  <c r="AB1612" i="12"/>
  <c r="AB2289" i="12"/>
  <c r="AB2034" i="12"/>
  <c r="AB1630" i="12"/>
  <c r="AB282" i="12"/>
  <c r="AB1884" i="12"/>
  <c r="AB2954" i="12"/>
  <c r="AB481" i="12"/>
  <c r="AB2308" i="12"/>
  <c r="AB1437" i="12"/>
  <c r="AB3317" i="12"/>
  <c r="AB2905" i="12"/>
  <c r="AB945" i="12"/>
  <c r="AB1160" i="12"/>
  <c r="AB2091" i="12"/>
  <c r="AB964" i="12"/>
  <c r="AB1579" i="12"/>
  <c r="AB1322" i="12"/>
  <c r="AB96" i="12"/>
  <c r="AB3548" i="12"/>
  <c r="AB2961" i="12"/>
  <c r="AB1913" i="12"/>
  <c r="AB3236" i="12"/>
  <c r="AB2807" i="12"/>
  <c r="AB591" i="12"/>
  <c r="AB841" i="12"/>
  <c r="AB2883" i="12"/>
  <c r="AB135" i="12"/>
  <c r="AB855" i="12"/>
  <c r="AB136" i="12"/>
  <c r="AB3283" i="12"/>
  <c r="AB493" i="12"/>
  <c r="AB3153" i="12"/>
  <c r="AB893" i="12"/>
  <c r="AB2802" i="12"/>
  <c r="AB1466" i="12"/>
  <c r="AB948" i="12"/>
  <c r="AB1721" i="12"/>
  <c r="AB2131" i="12"/>
  <c r="AB171" i="12"/>
  <c r="AB1465" i="12"/>
  <c r="AB2447" i="12"/>
  <c r="AB3419" i="12"/>
  <c r="AB3242" i="12"/>
  <c r="AB1555" i="12"/>
  <c r="AB992" i="12"/>
  <c r="AB406" i="12"/>
  <c r="AB3371" i="12"/>
  <c r="AB2823" i="12"/>
  <c r="AB516" i="12"/>
  <c r="AB959" i="12"/>
  <c r="AB3349" i="12"/>
  <c r="AB2980" i="12"/>
  <c r="AB2156" i="12"/>
  <c r="AB1539" i="12"/>
  <c r="AB3090" i="12"/>
  <c r="AB467" i="12"/>
  <c r="AB1686" i="12"/>
  <c r="AB3383" i="12"/>
  <c r="AB234" i="12"/>
  <c r="AB684" i="12"/>
  <c r="AB3083" i="12"/>
  <c r="AB541" i="12"/>
  <c r="AB1007" i="12"/>
  <c r="AB1085" i="12"/>
  <c r="AB1039" i="12"/>
  <c r="AB858" i="12"/>
  <c r="AB2281" i="12"/>
  <c r="AB659" i="12"/>
  <c r="AB3031" i="12"/>
  <c r="AB1301" i="12"/>
  <c r="AB3417" i="12"/>
  <c r="AB91" i="12"/>
  <c r="AB1585" i="12"/>
  <c r="AB1683" i="12"/>
  <c r="AB474" i="12"/>
  <c r="AB1253" i="12"/>
  <c r="AB311" i="12"/>
  <c r="AB3065" i="12"/>
  <c r="AB825" i="12"/>
  <c r="AB1766" i="12"/>
  <c r="AB2525" i="12"/>
  <c r="AB1619" i="12"/>
  <c r="AB2350" i="12"/>
  <c r="AB674" i="12"/>
  <c r="AB1968" i="12"/>
  <c r="AB1346" i="12"/>
  <c r="AB2673" i="12"/>
  <c r="AB1879" i="12"/>
  <c r="AB2996" i="12"/>
  <c r="AB2468" i="12"/>
  <c r="AB1490" i="12"/>
  <c r="AB622" i="12"/>
  <c r="AB3290" i="12"/>
  <c r="AB2818" i="12"/>
  <c r="AB3038" i="12"/>
  <c r="AB887" i="12"/>
  <c r="AB255" i="12"/>
  <c r="AB3149" i="12"/>
  <c r="AB3281" i="12"/>
  <c r="AB1132" i="12"/>
  <c r="AB2451" i="12"/>
  <c r="AB3125" i="12"/>
  <c r="AB1718" i="12"/>
  <c r="AB57" i="12"/>
  <c r="AB3421" i="12"/>
  <c r="AB2906" i="12"/>
  <c r="AB2148" i="12"/>
  <c r="AB885" i="12"/>
  <c r="AB3341" i="12"/>
  <c r="AB1979" i="12"/>
  <c r="AB2179" i="12"/>
  <c r="AB799" i="12"/>
  <c r="AB1272" i="12"/>
  <c r="AB2811" i="12"/>
  <c r="AB2698" i="12"/>
  <c r="AB2620" i="12"/>
  <c r="AB2202" i="12"/>
  <c r="AB1912" i="12"/>
  <c r="AB458" i="12"/>
  <c r="AB3325" i="12"/>
  <c r="AB2010" i="12"/>
  <c r="AB1924" i="12"/>
  <c r="AB3307" i="12"/>
  <c r="AB1263" i="12"/>
  <c r="AB1351" i="12"/>
  <c r="AB2124" i="12"/>
  <c r="AB3334" i="12"/>
  <c r="AB2142" i="12"/>
  <c r="AB672" i="12"/>
  <c r="AB3470" i="12"/>
  <c r="AB2110" i="12"/>
  <c r="AB2370" i="12"/>
  <c r="AB1801" i="12"/>
  <c r="AB2678" i="12"/>
  <c r="AB2587" i="12"/>
  <c r="AB2089" i="12"/>
  <c r="AB267" i="12"/>
  <c r="AB2279" i="12"/>
  <c r="AB2296" i="12"/>
  <c r="AB506" i="12"/>
  <c r="AB2103" i="12"/>
  <c r="AB1372" i="12"/>
  <c r="AB1553" i="12"/>
  <c r="AB3137" i="12"/>
  <c r="AB1608" i="12"/>
  <c r="AB2539" i="12"/>
  <c r="AB1374" i="12"/>
  <c r="AB782" i="12"/>
  <c r="AB925" i="12"/>
  <c r="AB3536" i="12"/>
  <c r="AB2092" i="12"/>
  <c r="AB2875" i="12"/>
  <c r="AB929" i="12"/>
  <c r="AB2960" i="12"/>
  <c r="AB2119" i="12"/>
  <c r="AB2967" i="12"/>
  <c r="AB2060" i="12"/>
  <c r="AB710" i="12"/>
  <c r="AB2176" i="12"/>
  <c r="AB2185" i="12"/>
  <c r="AB3378" i="12"/>
  <c r="AB1789" i="12"/>
  <c r="AB1391" i="12"/>
  <c r="AB1710" i="12"/>
  <c r="AB3372" i="12"/>
  <c r="AB201" i="12"/>
  <c r="AB1544" i="12"/>
  <c r="AB3216" i="12"/>
  <c r="AB938" i="12"/>
  <c r="AB1318" i="12"/>
  <c r="AB897" i="12"/>
  <c r="AB999" i="12"/>
  <c r="AB137" i="12"/>
  <c r="AB1861" i="12"/>
  <c r="AB508" i="12"/>
  <c r="AB3272" i="12"/>
  <c r="AB2962" i="12"/>
  <c r="AB239" i="12"/>
  <c r="AB477" i="12"/>
  <c r="AB1445" i="12"/>
  <c r="AB1177" i="12"/>
  <c r="AB1987" i="12"/>
  <c r="AB1141" i="12"/>
  <c r="AB2820" i="12"/>
  <c r="AB3288" i="12"/>
  <c r="AB2927" i="12"/>
  <c r="AB667" i="12"/>
  <c r="AB2972" i="12"/>
  <c r="AB63" i="12"/>
  <c r="AB3278" i="12"/>
  <c r="AB2522" i="12"/>
  <c r="AB1777" i="12"/>
  <c r="AB1951" i="12"/>
  <c r="AB950" i="12"/>
  <c r="AB3142" i="12"/>
  <c r="AB3187" i="12"/>
  <c r="AB3516" i="12"/>
  <c r="AB459" i="12"/>
  <c r="AB3498" i="12"/>
  <c r="AB1249" i="12"/>
  <c r="AB445" i="12"/>
  <c r="AB389" i="12"/>
  <c r="AB2304" i="12"/>
  <c r="AB2190" i="12"/>
  <c r="AB2715" i="12"/>
  <c r="AB2373" i="12"/>
  <c r="AB3436" i="12"/>
  <c r="AB634" i="12"/>
  <c r="AB1800" i="12"/>
  <c r="AB574" i="12"/>
  <c r="AB2143" i="12"/>
  <c r="AB1339" i="12"/>
  <c r="AB3103" i="12"/>
  <c r="AB3420" i="12"/>
  <c r="AB3489" i="12"/>
  <c r="AB2711" i="12"/>
  <c r="AB3209" i="12"/>
  <c r="AB560" i="12"/>
  <c r="AB1334" i="12"/>
  <c r="AB3056" i="12"/>
  <c r="AB309" i="12"/>
  <c r="AB937" i="12"/>
  <c r="AB2537" i="12"/>
  <c r="AB1923" i="12"/>
  <c r="AB973" i="12"/>
  <c r="AB2530" i="12"/>
  <c r="AB307" i="12"/>
  <c r="AB1692" i="12"/>
  <c r="AB3312" i="12"/>
  <c r="AB1762" i="12"/>
  <c r="AB398" i="12"/>
  <c r="AB139" i="12"/>
  <c r="AB3032" i="12"/>
  <c r="AB1448" i="12"/>
  <c r="AB2546" i="12"/>
  <c r="AB3109" i="12"/>
  <c r="AB288" i="12"/>
  <c r="AB2146" i="12"/>
  <c r="AB3294" i="12"/>
  <c r="AB1187" i="12"/>
  <c r="AB1741" i="12"/>
  <c r="AB1271" i="12"/>
  <c r="AB951" i="12"/>
  <c r="AB2647" i="12"/>
  <c r="AB1632" i="12"/>
  <c r="AB2206" i="12"/>
  <c r="AB1593" i="12"/>
  <c r="AB3434" i="12"/>
  <c r="AB3069" i="12"/>
  <c r="AB1436" i="12"/>
  <c r="AB3176" i="12"/>
  <c r="AB2169" i="12"/>
  <c r="AB1174" i="12"/>
  <c r="AB1737" i="12"/>
  <c r="AB1338" i="12"/>
  <c r="AB2097" i="12"/>
  <c r="AB2860" i="12"/>
  <c r="AB2324" i="12"/>
  <c r="AB283" i="12"/>
  <c r="AB1016" i="12"/>
  <c r="AB2693" i="12"/>
  <c r="AB2246" i="12"/>
  <c r="AB3390" i="12"/>
  <c r="AB3331" i="12"/>
  <c r="AB1492" i="12"/>
  <c r="AB1166" i="12"/>
  <c r="AB3152" i="12"/>
  <c r="AB1883" i="12"/>
  <c r="AB2066" i="12"/>
  <c r="AB472" i="12"/>
  <c r="AB2237" i="12"/>
  <c r="AB1662" i="12"/>
  <c r="AB3506" i="12"/>
  <c r="AB415" i="12"/>
  <c r="AB2233" i="12"/>
  <c r="AB3427" i="12"/>
  <c r="AB831" i="12"/>
  <c r="AB2637" i="12"/>
  <c r="AB695" i="12"/>
  <c r="AB2470" i="12"/>
  <c r="AB1538" i="12"/>
  <c r="AB1345" i="12"/>
  <c r="AB1399" i="12"/>
  <c r="AB266" i="12"/>
  <c r="AB1404" i="12"/>
  <c r="AB624" i="12"/>
  <c r="AB864" i="12"/>
  <c r="AB1684" i="12"/>
  <c r="AB377" i="12"/>
  <c r="AB2174" i="12"/>
  <c r="AB1603" i="12"/>
  <c r="AB2253" i="12"/>
  <c r="AB3474" i="12"/>
  <c r="AB2781" i="12"/>
  <c r="AB548" i="12"/>
  <c r="AB1233" i="12"/>
  <c r="AB2951" i="12"/>
  <c r="AB1197" i="12"/>
  <c r="AB2628" i="12"/>
  <c r="AB2931" i="12"/>
  <c r="AB2919" i="12"/>
  <c r="AB3375" i="12"/>
  <c r="AB2374" i="12"/>
  <c r="AB2617" i="12"/>
  <c r="AB627" i="12"/>
  <c r="AB921" i="12"/>
  <c r="AB968" i="12"/>
  <c r="AB393" i="12"/>
  <c r="AB523" i="12"/>
  <c r="AB1480" i="12"/>
  <c r="AB2419" i="12"/>
  <c r="AB946" i="12"/>
  <c r="AB1140" i="12"/>
  <c r="AB2479" i="12"/>
  <c r="AB2661" i="12"/>
  <c r="AB184" i="12"/>
  <c r="AB2826" i="12"/>
  <c r="AB1858" i="12"/>
  <c r="AB1343" i="12"/>
  <c r="AB1045" i="12"/>
  <c r="AB1228" i="12"/>
  <c r="AB3234" i="12"/>
  <c r="AB919" i="12"/>
  <c r="AB2217" i="12"/>
  <c r="AB1947" i="12"/>
  <c r="AB582" i="12"/>
  <c r="AB1350" i="12"/>
  <c r="AB2940" i="12"/>
  <c r="AB2394" i="12"/>
  <c r="AB1930" i="12"/>
  <c r="AB805" i="12"/>
  <c r="AB1167" i="12"/>
  <c r="AB853" i="12"/>
  <c r="AB3318" i="12"/>
  <c r="AB2928" i="12"/>
  <c r="AB2364" i="12"/>
  <c r="AB1880" i="12"/>
  <c r="AB1814" i="12"/>
  <c r="AB1168" i="12"/>
  <c r="AB2240" i="12"/>
  <c r="AB2997" i="12"/>
  <c r="AB2395" i="12"/>
  <c r="AB268" i="12"/>
  <c r="AB2355" i="12"/>
  <c r="AB1386" i="12"/>
  <c r="AB1867" i="12"/>
  <c r="AB1560" i="12"/>
  <c r="AB1672" i="12"/>
  <c r="AB1019" i="12"/>
  <c r="AB3202" i="12"/>
  <c r="AB3030" i="12"/>
  <c r="AB1303" i="12"/>
  <c r="AB2377" i="12"/>
  <c r="AB1289" i="12"/>
  <c r="AB99" i="12"/>
  <c r="AB3170" i="12"/>
  <c r="AB1062" i="12"/>
  <c r="AB1769" i="12"/>
  <c r="AB1232" i="12"/>
  <c r="AB1084" i="12"/>
  <c r="AB400" i="12"/>
  <c r="AB131" i="12"/>
  <c r="AB83" i="12"/>
  <c r="AB2252" i="12"/>
  <c r="AB372" i="12"/>
  <c r="AB169" i="12"/>
  <c r="AB2783" i="12"/>
  <c r="AB3495" i="12"/>
  <c r="AB1971" i="12"/>
  <c r="AB2360" i="12"/>
  <c r="AB1676" i="12"/>
  <c r="AB2592" i="12"/>
  <c r="AB129" i="12"/>
  <c r="AB3101" i="12"/>
  <c r="AB2127" i="12"/>
  <c r="AB247" i="12"/>
  <c r="AB2336" i="12"/>
  <c r="AB913" i="12"/>
  <c r="AB2432" i="12"/>
  <c r="AB2465" i="12"/>
  <c r="AB1068" i="12"/>
  <c r="AB2480" i="12"/>
  <c r="AB862" i="12"/>
  <c r="AB531" i="12"/>
  <c r="AB3287" i="12"/>
  <c r="AB1591" i="12"/>
  <c r="AB889" i="12"/>
  <c r="AB3021" i="12"/>
  <c r="AB1443" i="12"/>
  <c r="AB557" i="12"/>
  <c r="AB2882" i="12"/>
  <c r="AB883" i="12"/>
  <c r="AB490" i="12"/>
  <c r="AB2367" i="12"/>
  <c r="AB1180" i="12"/>
  <c r="AB1868" i="12"/>
  <c r="AB3415" i="12"/>
  <c r="AB1507" i="12"/>
  <c r="AB1459" i="12"/>
  <c r="AB1044" i="12"/>
  <c r="AB3500" i="12"/>
  <c r="AB906" i="12"/>
  <c r="AB78" i="12"/>
  <c r="AB2690" i="12"/>
  <c r="AB562" i="12"/>
  <c r="AB2002" i="12"/>
  <c r="AB3300" i="12"/>
  <c r="AB121" i="12"/>
  <c r="AB1668" i="12"/>
  <c r="AB3374" i="12"/>
  <c r="AB1237" i="12"/>
  <c r="AB347" i="12"/>
  <c r="AB141" i="12"/>
  <c r="AB849" i="12"/>
  <c r="AB2311" i="12"/>
  <c r="AB77" i="12"/>
  <c r="AB2880" i="12"/>
  <c r="AB318" i="12"/>
  <c r="AB1447" i="12"/>
  <c r="AB763" i="12"/>
  <c r="AB61" i="12"/>
  <c r="AB3502" i="12"/>
  <c r="AB800" i="12"/>
  <c r="AB3422" i="12"/>
  <c r="AB287" i="12"/>
  <c r="AB1694" i="12"/>
  <c r="AB2519" i="12"/>
  <c r="AB2276" i="12"/>
  <c r="AB230" i="12"/>
  <c r="AB44" i="12"/>
  <c r="AB1675" i="12"/>
  <c r="AB3449" i="12"/>
  <c r="AB499" i="12"/>
  <c r="AB2214" i="12"/>
  <c r="AB2163" i="12"/>
  <c r="AB1725" i="12"/>
  <c r="AB3183" i="12"/>
  <c r="AB2670" i="12"/>
  <c r="AB2378" i="12"/>
  <c r="AB2626" i="12"/>
  <c r="AB2686" i="12"/>
  <c r="AB3351" i="12"/>
  <c r="AB1034" i="12"/>
  <c r="AB1075" i="12"/>
  <c r="AB2453" i="12"/>
  <c r="AB673" i="12"/>
  <c r="AB3280" i="12"/>
  <c r="AB20" i="12"/>
  <c r="AB2236" i="12"/>
  <c r="AB1516" i="12"/>
  <c r="AB364" i="12"/>
  <c r="AB2717" i="12"/>
  <c r="AB2829" i="12"/>
  <c r="AB983" i="12"/>
  <c r="AB286" i="12"/>
  <c r="AB1586" i="12"/>
  <c r="AB930" i="12"/>
  <c r="AB1155" i="12"/>
  <c r="AB1957" i="12"/>
  <c r="AB2286" i="12"/>
  <c r="AB349" i="12"/>
  <c r="AB1453" i="12"/>
  <c r="AB1511" i="12"/>
  <c r="AB691" i="12"/>
  <c r="AB444" i="12"/>
  <c r="AB1468" i="12"/>
  <c r="AB3520" i="12"/>
  <c r="AB1582" i="12"/>
  <c r="AB1046" i="12"/>
  <c r="AB1693" i="12"/>
  <c r="AB93" i="12"/>
  <c r="AB3380" i="12"/>
  <c r="AB647" i="12"/>
  <c r="AB452" i="12"/>
  <c r="AB511" i="12"/>
  <c r="AB3077" i="12"/>
  <c r="AB2746" i="12"/>
  <c r="AB3514" i="12"/>
  <c r="AB2231" i="12"/>
  <c r="AB1847" i="12"/>
  <c r="AB2731" i="12"/>
  <c r="AB630" i="12"/>
  <c r="AB145" i="12"/>
  <c r="AB1267" i="12"/>
  <c r="AB1063" i="12"/>
  <c r="AB838" i="12"/>
  <c r="AB271" i="12"/>
  <c r="AB1501" i="12"/>
  <c r="AB2239" i="12"/>
  <c r="AB770" i="12"/>
  <c r="AB1102" i="12"/>
  <c r="AB2784" i="12"/>
  <c r="AB2658" i="12"/>
  <c r="AB2293" i="12"/>
  <c r="AB1937" i="12"/>
  <c r="AB21" i="12"/>
  <c r="AB264" i="12"/>
  <c r="AB1241" i="12"/>
  <c r="AB1357" i="12"/>
  <c r="AB2819" i="12"/>
  <c r="AB3469" i="12"/>
  <c r="AB2130" i="12"/>
  <c r="AB492" i="12"/>
  <c r="AB1905" i="12"/>
  <c r="AB2529" i="12"/>
  <c r="AB2991" i="12"/>
  <c r="AB3333" i="12"/>
  <c r="AB2325" i="12"/>
  <c r="AB403" i="12"/>
  <c r="AB1009" i="12"/>
  <c r="AB2084" i="12"/>
  <c r="AB80" i="12"/>
  <c r="AB2051" i="12"/>
  <c r="AB2725" i="12"/>
  <c r="AB3328" i="12"/>
  <c r="AB2851" i="12"/>
  <c r="AB321" i="12"/>
  <c r="AB2825" i="12"/>
  <c r="AB2129" i="12"/>
  <c r="AB2241" i="12"/>
  <c r="AB2550" i="12"/>
  <c r="AB3507" i="12"/>
  <c r="AB289" i="12"/>
  <c r="AB3480" i="12"/>
  <c r="AB3323" i="12"/>
  <c r="AB2619" i="12"/>
  <c r="AB1429" i="12"/>
  <c r="AB60" i="12"/>
  <c r="AB2382" i="12"/>
  <c r="AB3435" i="12"/>
  <c r="AB1368" i="12"/>
  <c r="AB3389" i="12"/>
  <c r="AB2743" i="12"/>
  <c r="AB1262" i="12"/>
  <c r="AB2596" i="12"/>
  <c r="AB3121" i="12"/>
  <c r="AB1760" i="12"/>
  <c r="AB1477" i="12"/>
  <c r="AB517" i="12"/>
  <c r="AB2865" i="12"/>
  <c r="AB3064" i="12"/>
  <c r="AB2579" i="12"/>
  <c r="AB1056" i="12"/>
  <c r="AB2515" i="12"/>
  <c r="AB100" i="12"/>
  <c r="AB1571" i="12"/>
  <c r="AB1925" i="12"/>
  <c r="AB2306" i="12"/>
  <c r="AB1462" i="12"/>
  <c r="AB3238" i="12"/>
  <c r="AB2115" i="12"/>
  <c r="AB932" i="12"/>
  <c r="AB2764" i="12"/>
  <c r="AB1410" i="12"/>
  <c r="AB3243" i="12"/>
  <c r="AB3304" i="12"/>
  <c r="AB1805" i="12"/>
  <c r="AB1221" i="12"/>
  <c r="AB1509" i="12"/>
  <c r="AB1240" i="12"/>
  <c r="AB801" i="12"/>
  <c r="AB1583" i="12"/>
  <c r="AB752" i="12"/>
  <c r="AB3017" i="12"/>
  <c r="AB3430" i="12"/>
  <c r="AB3396" i="12"/>
  <c r="AB190" i="12"/>
  <c r="AB1786" i="12"/>
  <c r="AB3359" i="12"/>
  <c r="AB1535" i="12"/>
  <c r="AB1409" i="12"/>
  <c r="AB205" i="12"/>
  <c r="AB2791" i="12"/>
  <c r="AB718" i="12"/>
  <c r="AB1194" i="12"/>
  <c r="AB1321" i="12"/>
  <c r="AB1304" i="12"/>
  <c r="AB2443" i="12"/>
  <c r="AB2816" i="12"/>
  <c r="AB894" i="12"/>
  <c r="AB726" i="12"/>
  <c r="AB581" i="12"/>
  <c r="AB1359" i="12"/>
  <c r="AB2422" i="12"/>
  <c r="AB2551" i="12"/>
  <c r="AB902" i="12"/>
  <c r="AB1773" i="12"/>
  <c r="AB2749" i="12"/>
  <c r="AB3078" i="12"/>
  <c r="AB3039" i="12"/>
  <c r="AB1178" i="12"/>
  <c r="AB469" i="12"/>
  <c r="AB2682" i="12"/>
  <c r="AB662" i="12"/>
  <c r="AB2026" i="12"/>
  <c r="AB2641" i="12"/>
  <c r="AB3496" i="12"/>
  <c r="AB981" i="12"/>
  <c r="AB2876" i="12"/>
  <c r="AB3284" i="12"/>
  <c r="AB1896" i="12"/>
  <c r="AB956" i="12"/>
  <c r="AB2210" i="12"/>
  <c r="AB1018" i="12"/>
  <c r="AB646" i="12"/>
  <c r="AB2074" i="12"/>
  <c r="AB737" i="12"/>
  <c r="AB241" i="12"/>
  <c r="AB1508" i="12"/>
  <c r="AB1060" i="12"/>
  <c r="AB2383" i="12"/>
  <c r="AB3494" i="12"/>
  <c r="AB36" i="12"/>
  <c r="AB2777" i="12"/>
  <c r="AB1976" i="12"/>
  <c r="AB2831" i="12"/>
  <c r="AB1531" i="12"/>
  <c r="AB1226" i="12"/>
  <c r="AB2046" i="12"/>
  <c r="AB2234" i="12"/>
  <c r="AB732" i="12"/>
  <c r="AB2881" i="12"/>
  <c r="AB1816" i="12"/>
  <c r="AB2425" i="12"/>
  <c r="AB2635" i="12"/>
  <c r="AB2194" i="12"/>
  <c r="AB278" i="12"/>
  <c r="AB3181" i="12"/>
  <c r="AB1057" i="12"/>
  <c r="AB600" i="12"/>
  <c r="AB1740" i="12"/>
  <c r="AB1076" i="12"/>
  <c r="AB2729" i="12"/>
  <c r="AB111" i="12"/>
  <c r="AB2788" i="12"/>
  <c r="AB1299" i="12"/>
  <c r="AB1159" i="12"/>
  <c r="AB1360" i="12"/>
  <c r="AB3286" i="12"/>
  <c r="AB1699" i="12"/>
  <c r="AB1129" i="12"/>
  <c r="AB2340" i="12"/>
  <c r="AB118" i="12"/>
  <c r="AB1048" i="12"/>
  <c r="AB1990" i="12"/>
  <c r="AB1369" i="12"/>
  <c r="AB1460" i="12"/>
  <c r="AB1412" i="12"/>
  <c r="AB980" i="12"/>
  <c r="AB464" i="12"/>
  <c r="AB3406" i="12"/>
  <c r="AB1521" i="12"/>
  <c r="AB2714" i="12"/>
  <c r="AB3299" i="12"/>
  <c r="AB3233" i="12"/>
  <c r="AB1624" i="12"/>
  <c r="AB1494" i="12"/>
  <c r="AB423" i="12"/>
  <c r="AB157" i="12"/>
  <c r="AB1830" i="12"/>
  <c r="AB66" i="12"/>
  <c r="AB3107" i="12"/>
  <c r="AB758" i="12"/>
  <c r="AB3386" i="12"/>
  <c r="AB734" i="12"/>
  <c r="AB1656" i="12"/>
  <c r="AB1808" i="12"/>
  <c r="AB1833" i="12"/>
  <c r="AB3239" i="12"/>
  <c r="AB2724" i="12"/>
  <c r="AB2283" i="12"/>
  <c r="AB1096" i="12"/>
  <c r="AB856" i="12"/>
  <c r="AB2114" i="12"/>
  <c r="AB764" i="12"/>
  <c r="AB3164" i="12"/>
  <c r="AB3310" i="12"/>
  <c r="AB3440" i="12"/>
  <c r="AB1993" i="12"/>
  <c r="AB2917" i="12"/>
  <c r="AB1000" i="12"/>
  <c r="AB1463" i="12"/>
  <c r="AB530" i="12"/>
  <c r="AB605" i="12"/>
  <c r="AB2922" i="12"/>
  <c r="AB2030" i="12"/>
  <c r="AB3226" i="12"/>
  <c r="AB1243" i="12"/>
  <c r="AB2521" i="12"/>
  <c r="AB2012" i="12"/>
  <c r="AB653" i="12"/>
  <c r="AB2760" i="12"/>
  <c r="AB1827" i="12"/>
  <c r="AB2301" i="12"/>
  <c r="AB3116" i="12"/>
  <c r="AB2555" i="12"/>
  <c r="AB1254" i="12"/>
  <c r="AB1751" i="12"/>
  <c r="AB766" i="12"/>
  <c r="AB2440" i="12"/>
  <c r="AB3050" i="12"/>
  <c r="AB3476" i="12"/>
  <c r="AB2182" i="12"/>
  <c r="AB2540" i="12"/>
  <c r="AB1696" i="12"/>
  <c r="AB1198" i="12"/>
  <c r="AB2328" i="12"/>
  <c r="AB2064" i="12"/>
  <c r="AB2758" i="12"/>
  <c r="AB2079" i="12"/>
  <c r="AB1595" i="12"/>
  <c r="AB1792" i="12"/>
  <c r="AB863" i="12"/>
  <c r="AB1671" i="12"/>
  <c r="AB645" i="12"/>
  <c r="AB2204" i="12"/>
  <c r="AB1967" i="12"/>
  <c r="AB1428" i="12"/>
  <c r="AB2674" i="12"/>
  <c r="AB2745" i="12"/>
  <c r="AB2685" i="12"/>
  <c r="AB785" i="12"/>
  <c r="AB3091" i="12"/>
  <c r="AB3026" i="12"/>
  <c r="AB33" i="12"/>
  <c r="AB749" i="12"/>
  <c r="AB1798" i="12"/>
  <c r="AB2250" i="12"/>
  <c r="AB1281" i="12"/>
  <c r="AB3253" i="12"/>
  <c r="AB3364" i="12"/>
  <c r="AB717" i="12"/>
  <c r="AB2704" i="12"/>
  <c r="AB2299" i="12"/>
  <c r="AB2956" i="12"/>
  <c r="AB1121" i="12"/>
  <c r="AB3277" i="12"/>
  <c r="AB1401" i="12"/>
  <c r="AB2198" i="12"/>
  <c r="AB1328" i="12"/>
  <c r="AB3552" i="12"/>
  <c r="AB79" i="12"/>
  <c r="AB2504" i="12"/>
  <c r="AB2632" i="12"/>
  <c r="AB2031" i="12"/>
  <c r="AB1944" i="12"/>
  <c r="AB402" i="12"/>
  <c r="AB704" i="12"/>
  <c r="AB905" i="12"/>
  <c r="AB553" i="12"/>
  <c r="AB1352" i="12"/>
  <c r="AB2576" i="12"/>
  <c r="AB2915" i="12"/>
  <c r="AB1584" i="12"/>
  <c r="AB2742" i="12"/>
  <c r="AB840" i="12"/>
  <c r="AB142" i="12"/>
  <c r="AB3465" i="12"/>
  <c r="AB699" i="12"/>
  <c r="AB483" i="12"/>
  <c r="AB3034" i="12"/>
  <c r="AB437" i="12"/>
  <c r="AB787" i="12"/>
  <c r="AB3293" i="12"/>
  <c r="AB1165" i="12"/>
  <c r="AB628" i="12"/>
  <c r="AB2918" i="12"/>
  <c r="AB436" i="12"/>
  <c r="AB1191" i="12"/>
  <c r="AB431" i="12"/>
  <c r="AB225" i="12"/>
  <c r="AB1794" i="12"/>
  <c r="AB2228" i="12"/>
  <c r="AB2808" i="12"/>
  <c r="AB865" i="12"/>
  <c r="AB1940" i="12"/>
  <c r="AB210" i="12"/>
  <c r="AB2434" i="12"/>
  <c r="AB678" i="12"/>
  <c r="AB1259" i="12"/>
  <c r="AB1234" i="12"/>
  <c r="AB888" i="12"/>
  <c r="AB2759" i="12"/>
  <c r="AB2408" i="12"/>
  <c r="AB1107" i="12"/>
  <c r="AB1745" i="12"/>
  <c r="AB2898" i="12"/>
  <c r="AB2263" i="12"/>
  <c r="AB891" i="12"/>
  <c r="AB1176" i="12"/>
  <c r="AB2196" i="12"/>
  <c r="AB1216" i="12"/>
  <c r="AB1606" i="12"/>
  <c r="AB2072" i="12"/>
  <c r="AB2335" i="12"/>
  <c r="AB217" i="12"/>
  <c r="AB1375" i="12"/>
  <c r="AB1337" i="12"/>
  <c r="AB3035" i="12"/>
  <c r="AB1943" i="12"/>
  <c r="AB1885" i="12"/>
  <c r="AB1353" i="12"/>
  <c r="AB1061" i="12"/>
  <c r="AB960" i="12"/>
  <c r="AB330" i="12"/>
  <c r="AB575" i="12"/>
  <c r="AB170" i="12"/>
  <c r="AB1528" i="12"/>
  <c r="AB1935" i="12"/>
  <c r="AB998" i="12"/>
  <c r="AB81" i="12"/>
  <c r="AB1157" i="12"/>
  <c r="AB1549" i="12"/>
  <c r="AB757" i="12"/>
  <c r="AB3527" i="12"/>
  <c r="AB1594" i="12"/>
  <c r="AB68" i="12"/>
  <c r="AB424" i="12"/>
  <c r="AB2389" i="12"/>
  <c r="AB908" i="12"/>
  <c r="AB181" i="12"/>
  <c r="AB3411" i="12"/>
  <c r="AB3509" i="12"/>
  <c r="AB3515" i="12"/>
  <c r="AB3398" i="12"/>
  <c r="AB82" i="12"/>
  <c r="AB292" i="12"/>
  <c r="AB2943" i="12"/>
  <c r="AB2634" i="12"/>
  <c r="AB2990" i="12"/>
  <c r="AB310" i="12"/>
  <c r="AB2852" i="12"/>
  <c r="AB1921" i="12"/>
  <c r="AB3418" i="12"/>
  <c r="AB1030" i="12"/>
  <c r="AB1713" i="12"/>
  <c r="AB2490" i="12"/>
  <c r="AB1212" i="12"/>
  <c r="AB2739" i="12"/>
  <c r="AB1875" i="12"/>
  <c r="AB614" i="12"/>
  <c r="AB2181" i="12"/>
  <c r="AB1791" i="12"/>
  <c r="AB2762" i="12"/>
  <c r="AB817" i="12"/>
  <c r="AB1136" i="12"/>
  <c r="AB1644" i="12"/>
  <c r="AB3211" i="12"/>
  <c r="AB767" i="12"/>
  <c r="AB3302" i="12"/>
  <c r="AB420" i="12"/>
  <c r="AB2563" i="12"/>
  <c r="AB756" i="12"/>
  <c r="AB159" i="12"/>
  <c r="AB89" i="12"/>
  <c r="AB2058" i="12"/>
  <c r="AB3424" i="12"/>
  <c r="AB2847" i="12"/>
  <c r="AB2894" i="12"/>
  <c r="AB1310" i="12"/>
  <c r="AB2238" i="12"/>
  <c r="AB3314" i="12"/>
  <c r="AB2008" i="12"/>
  <c r="AB1665" i="12"/>
  <c r="AB290" i="12"/>
  <c r="AB555" i="12"/>
  <c r="AB1147" i="12"/>
  <c r="AB3271" i="12"/>
  <c r="AB3336" i="12"/>
  <c r="AB1423" i="12"/>
  <c r="AB2855" i="12"/>
  <c r="AB1439" i="12"/>
  <c r="AB2271" i="12"/>
  <c r="AB460" i="12"/>
  <c r="AB2173" i="12"/>
  <c r="AB2454" i="12"/>
  <c r="AB1975" i="12"/>
  <c r="AB658" i="12"/>
  <c r="AB2981" i="12"/>
  <c r="AB568" i="12"/>
  <c r="AB106" i="12"/>
  <c r="AB783" i="12"/>
  <c r="AB759" i="12"/>
  <c r="AB3022" i="12"/>
  <c r="AB1633" i="12"/>
  <c r="AB750" i="12"/>
  <c r="AB2150" i="12"/>
  <c r="AB1738" i="12"/>
  <c r="AB3342" i="12"/>
  <c r="AB510" i="12"/>
  <c r="AB1771" i="12"/>
  <c r="AB1942" i="12"/>
  <c r="AB1250" i="12"/>
  <c r="AB818" i="12"/>
  <c r="AB1767" i="12"/>
  <c r="AB2168" i="12"/>
  <c r="AB2520" i="12"/>
  <c r="AB204" i="12"/>
  <c r="AB806" i="12"/>
  <c r="AB2513" i="12"/>
  <c r="AB2973" i="12"/>
  <c r="AB1850" i="12"/>
  <c r="AB341" i="12"/>
  <c r="AB3539" i="12"/>
  <c r="AB3201" i="12"/>
  <c r="AB1142" i="12"/>
  <c r="AB258" i="12"/>
  <c r="AB1506" i="12"/>
  <c r="AB2926" i="12"/>
  <c r="AB2260" i="12"/>
  <c r="AB3060" i="12"/>
  <c r="AB549" i="12"/>
  <c r="AB1609" i="12"/>
  <c r="AB2799" i="12"/>
  <c r="AB1127" i="12"/>
  <c r="AB1811" i="12"/>
  <c r="AB1543" i="12"/>
  <c r="AB852" i="12"/>
  <c r="AB754" i="12"/>
  <c r="AB3214" i="12"/>
  <c r="AB3086" i="12"/>
  <c r="AB200" i="12"/>
  <c r="AB3163" i="12"/>
  <c r="AB2893" i="12"/>
  <c r="AB1782" i="12"/>
  <c r="AB261" i="12"/>
  <c r="AB2886" i="12"/>
  <c r="AB512" i="12"/>
  <c r="AB792" i="12"/>
  <c r="AB3221" i="12"/>
  <c r="AB3263" i="12"/>
  <c r="AB1828" i="12"/>
  <c r="AB2662" i="12"/>
  <c r="AB1017" i="12"/>
  <c r="AB958" i="12"/>
  <c r="AB108" i="12"/>
  <c r="AB317" i="12"/>
  <c r="AB1224" i="12"/>
  <c r="AB228" i="12"/>
  <c r="AB2195" i="12"/>
  <c r="AB2856" i="12"/>
  <c r="AB1078" i="12"/>
  <c r="AB23" i="12"/>
  <c r="AB3518" i="12"/>
  <c r="AB3309" i="12"/>
  <c r="AB1214" i="12"/>
  <c r="AB1079" i="12"/>
  <c r="AB1316" i="12"/>
  <c r="AB1636" i="12"/>
  <c r="AB3127" i="12"/>
  <c r="AB1418" i="12"/>
  <c r="AB214" i="12"/>
  <c r="AB928" i="12"/>
  <c r="AB1510" i="12"/>
  <c r="AB2621" i="12"/>
  <c r="AB2842" i="12"/>
  <c r="AB2569" i="12"/>
  <c r="AB1133" i="12"/>
  <c r="AB1472" i="12"/>
  <c r="AB1818" i="12"/>
  <c r="AB1449" i="12"/>
  <c r="AB639" i="12"/>
  <c r="AB3073" i="12"/>
  <c r="AB1396" i="12"/>
  <c r="AB198" i="12"/>
  <c r="AB2644" i="12"/>
  <c r="AB2907" i="12"/>
  <c r="AB2553" i="12"/>
  <c r="AB1335" i="12"/>
  <c r="AB2015" i="12"/>
  <c r="AB2104" i="12"/>
  <c r="AB1089" i="12"/>
  <c r="AB3335" i="12"/>
  <c r="AB2356" i="12"/>
  <c r="AB706" i="12"/>
  <c r="AB2423" i="12"/>
  <c r="AB829" i="12"/>
  <c r="AB606" i="12"/>
  <c r="AB1114" i="12"/>
  <c r="AB3550" i="12"/>
  <c r="AB2474" i="12"/>
  <c r="AB668" i="12"/>
  <c r="AB2314" i="12"/>
  <c r="AB2284" i="12"/>
  <c r="AB3027" i="12"/>
  <c r="AB3547" i="12"/>
  <c r="AB1175" i="12"/>
  <c r="AB2492" i="12"/>
  <c r="AB3388" i="12"/>
  <c r="AB2639" i="12"/>
  <c r="AB2342" i="12"/>
  <c r="AB949" i="12"/>
  <c r="AB3141" i="12"/>
  <c r="AB84" i="12"/>
  <c r="AB76" i="12"/>
  <c r="AB2171" i="12"/>
  <c r="AB1363" i="12"/>
  <c r="AB148" i="12"/>
  <c r="AB539" i="12"/>
  <c r="AB985" i="12"/>
  <c r="AB1090" i="12"/>
  <c r="AB1332" i="12"/>
  <c r="AB1712" i="12"/>
  <c r="AB1689" i="12"/>
  <c r="AB1324" i="12"/>
  <c r="AB2366" i="12"/>
  <c r="AB167" i="12"/>
  <c r="AB2598" i="12"/>
  <c r="AB1886" i="12"/>
  <c r="AB1265" i="12"/>
  <c r="AB900" i="12"/>
  <c r="AB3132" i="12"/>
  <c r="AB378" i="12"/>
  <c r="AB1985" i="12"/>
  <c r="AB3361" i="12"/>
  <c r="AB675" i="12"/>
  <c r="AB2471" i="12"/>
  <c r="AB789" i="12"/>
  <c r="AB2329" i="12"/>
  <c r="AB884" i="12"/>
  <c r="AB1562" i="12"/>
  <c r="AB3503" i="12"/>
  <c r="AB112" i="12"/>
  <c r="AB2578" i="12"/>
  <c r="AB3508" i="12"/>
  <c r="AB1282" i="12"/>
  <c r="AB113" i="12"/>
  <c r="AB1855" i="12"/>
  <c r="AB273" i="12"/>
  <c r="AB2121" i="12"/>
  <c r="AB2798" i="12"/>
  <c r="AB940" i="12"/>
  <c r="AB2256" i="12"/>
  <c r="AB3285" i="12"/>
  <c r="AB1095" i="12"/>
  <c r="AB970" i="12"/>
  <c r="AB3485" i="12"/>
  <c r="AB1820" i="12"/>
  <c r="AB2499" i="12"/>
  <c r="AB3007" i="12"/>
  <c r="AB1615" i="12"/>
  <c r="AB2649" i="12"/>
  <c r="AB1067" i="12"/>
  <c r="AB1242" i="12"/>
  <c r="AB213" i="12"/>
  <c r="AB2683" i="12"/>
  <c r="AB2365" i="12"/>
  <c r="AB3003" i="12"/>
  <c r="AB1454" i="12"/>
  <c r="AB110" i="12"/>
  <c r="AB379" i="12"/>
  <c r="AB1431" i="12"/>
  <c r="AB3373" i="12"/>
  <c r="AB70" i="12"/>
  <c r="AB1152" i="12"/>
  <c r="AB2554" i="12"/>
  <c r="AB147" i="12"/>
  <c r="AB804" i="12"/>
  <c r="AB1207" i="12"/>
  <c r="AB2116" i="12"/>
  <c r="AB3205" i="12"/>
  <c r="AB2495" i="12"/>
  <c r="AB425" i="12"/>
  <c r="AB203" i="12"/>
  <c r="AB824" i="12"/>
  <c r="AB2482" i="12"/>
  <c r="AB827" i="12"/>
  <c r="AB2738" i="12"/>
  <c r="AB835" i="12"/>
  <c r="AB1202" i="12"/>
  <c r="AB2005" i="12"/>
  <c r="AB637" i="12"/>
  <c r="AB3352" i="12"/>
  <c r="AB2937" i="12"/>
  <c r="AB3473" i="12"/>
  <c r="AB1120" i="12"/>
  <c r="AB3213" i="12"/>
  <c r="AB1195" i="12"/>
  <c r="AB151" i="12"/>
  <c r="AB3481" i="12"/>
  <c r="AB2020" i="12"/>
  <c r="AB655" i="12"/>
  <c r="AB3117" i="12"/>
  <c r="AB3367" i="12"/>
  <c r="AB2303" i="12"/>
  <c r="AB3147" i="12"/>
  <c r="AB1257" i="12"/>
  <c r="AB2140" i="12"/>
  <c r="AB2697" i="12"/>
  <c r="AB526" i="12"/>
  <c r="AB161" i="12"/>
  <c r="AB1458" i="12"/>
  <c r="AB1373" i="12"/>
  <c r="AB3062" i="12"/>
  <c r="AB2429" i="12"/>
  <c r="AB3224" i="12"/>
  <c r="AB834" i="12"/>
  <c r="AB3315" i="12"/>
  <c r="AB3194" i="12"/>
  <c r="AB1941" i="12"/>
  <c r="AB447" i="12"/>
  <c r="AB1298" i="12"/>
  <c r="AB3270" i="12"/>
  <c r="AB819" i="12"/>
  <c r="AB2426" i="12"/>
  <c r="AB2953" i="12"/>
  <c r="AB1641" i="12"/>
  <c r="AB2650" i="12"/>
  <c r="AB2850" i="12"/>
  <c r="AB206" i="12"/>
  <c r="AB1598" i="12"/>
  <c r="AB3120" i="12"/>
  <c r="AB1384" i="12"/>
  <c r="AB2111" i="12"/>
  <c r="AB1736" i="12"/>
  <c r="AB2475" i="12"/>
  <c r="AB3399" i="12"/>
  <c r="AB2557" i="12"/>
  <c r="AB3525" i="12"/>
  <c r="AB651" i="12"/>
  <c r="AB1845" i="12"/>
  <c r="AB414" i="12"/>
  <c r="AB3549" i="12"/>
  <c r="AB723" i="12"/>
  <c r="AB1229" i="12"/>
  <c r="AB3002" i="12"/>
  <c r="AB665" i="12"/>
  <c r="AB296" i="12"/>
  <c r="AB2667" i="12"/>
  <c r="AB962" i="12"/>
  <c r="AB435" i="12"/>
  <c r="AB2897" i="12"/>
  <c r="AB2136" i="12"/>
  <c r="AB1604" i="12"/>
  <c r="AB442" i="12"/>
  <c r="AB2822" i="12"/>
  <c r="AB1817" i="12"/>
  <c r="AB1807" i="12"/>
  <c r="AB1831" i="12"/>
  <c r="AB276" i="12"/>
  <c r="AB373" i="12"/>
  <c r="AB2212" i="12"/>
  <c r="AB1512" i="12"/>
  <c r="AB3178" i="12"/>
  <c r="AB1163" i="12"/>
  <c r="AB813" i="12"/>
  <c r="AB644" i="12"/>
  <c r="AB362" i="12"/>
  <c r="AB1522" i="12"/>
  <c r="AB2895" i="12"/>
  <c r="AB1222" i="12"/>
  <c r="AB652" i="12"/>
  <c r="AB390" i="12"/>
  <c r="AB2262" i="12"/>
  <c r="AB2930" i="12"/>
  <c r="AB3173" i="12"/>
  <c r="AB3363" i="12"/>
  <c r="AB1066" i="12"/>
  <c r="AB2722" i="12"/>
  <c r="AB2833" i="12"/>
  <c r="AB3296" i="12"/>
  <c r="AB584" i="12"/>
  <c r="AB2964" i="12"/>
  <c r="AB601" i="12"/>
  <c r="AB1474" i="12"/>
  <c r="AB2483" i="12"/>
  <c r="AB3014" i="12"/>
  <c r="AB3113" i="12"/>
  <c r="AB2809" i="12"/>
  <c r="AB1815" i="12"/>
  <c r="AB3122" i="12"/>
  <c r="AB2955" i="12"/>
  <c r="AB1903" i="12"/>
  <c r="AB202" i="12"/>
  <c r="AB1144" i="12"/>
  <c r="AB1073" i="12"/>
  <c r="AB1033" i="12"/>
  <c r="AB1247" i="12"/>
  <c r="AB916" i="12"/>
  <c r="AB1645" i="12"/>
  <c r="AB2602" i="12"/>
  <c r="AB1413" i="12"/>
  <c r="AB2707" i="12"/>
  <c r="AB3303" i="12"/>
  <c r="AB332" i="12"/>
  <c r="AB45" i="12"/>
  <c r="AB2309" i="12"/>
  <c r="AB2858" i="12"/>
  <c r="AB2929" i="12"/>
  <c r="AB1920" i="12"/>
  <c r="AB3362" i="12"/>
  <c r="AB1938" i="12"/>
  <c r="AB2369" i="12"/>
  <c r="AB3442" i="12"/>
  <c r="AB3128" i="12"/>
  <c r="AB3036" i="12"/>
  <c r="AB87" i="12"/>
  <c r="AB715" i="12"/>
  <c r="AB2172" i="12"/>
  <c r="AB2755" i="12"/>
  <c r="AB1836" i="12"/>
  <c r="AB496" i="12"/>
  <c r="AB1248" i="12"/>
  <c r="AB2909" i="12"/>
  <c r="AB2532" i="12"/>
  <c r="AB1416" i="12"/>
  <c r="AB947" i="12"/>
  <c r="AB1235" i="12"/>
  <c r="AB1370" i="12"/>
  <c r="AB1552" i="12"/>
  <c r="AB2813" i="12"/>
  <c r="AB1040" i="12"/>
  <c r="AB3308" i="12"/>
  <c r="AB3096" i="12"/>
  <c r="AB839" i="12"/>
  <c r="AB2677" i="12"/>
  <c r="AB709" i="12"/>
  <c r="AB1072" i="12"/>
  <c r="AB2502" i="12"/>
  <c r="AB1882" i="12"/>
  <c r="AB3477" i="12"/>
  <c r="AB719" i="12"/>
  <c r="AB192" i="12"/>
  <c r="AB262" i="12"/>
  <c r="AB3207" i="12"/>
  <c r="AB2679" i="12"/>
  <c r="AB1276" i="12"/>
  <c r="AB2157" i="12"/>
  <c r="AB2400" i="12"/>
  <c r="AB207" i="12"/>
  <c r="AB577" i="12"/>
  <c r="AB59" i="12"/>
  <c r="AB2501" i="12"/>
  <c r="AB3167" i="12"/>
  <c r="AB2840" i="12"/>
  <c r="AB2752" i="12"/>
  <c r="AB2526" i="12"/>
  <c r="AB3405" i="12"/>
  <c r="AB235" i="12"/>
  <c r="AB1848" i="12"/>
  <c r="AB3460" i="12"/>
  <c r="AB2582" i="12"/>
  <c r="AB3428" i="12"/>
  <c r="AB1660" i="12"/>
  <c r="AB1406" i="12"/>
  <c r="AB1213" i="12"/>
  <c r="AB2102" i="12"/>
  <c r="AB795" i="12"/>
  <c r="AB1865" i="12"/>
  <c r="AB1889" i="12"/>
  <c r="AB2312" i="12"/>
  <c r="AB1742" i="12"/>
  <c r="AB1143" i="12"/>
  <c r="AB550" i="12"/>
  <c r="AB2737" i="12"/>
  <c r="AB3099" i="12"/>
  <c r="AB3468" i="12"/>
  <c r="AB1860" i="12"/>
  <c r="AB1479" i="12"/>
  <c r="AB917" i="12"/>
  <c r="AB1874" i="12"/>
  <c r="AB603" i="12"/>
  <c r="AB2264" i="12"/>
  <c r="AB579" i="12"/>
  <c r="AB2420" i="12"/>
  <c r="AB1064" i="12"/>
  <c r="AB3197" i="12"/>
  <c r="AB1901" i="12"/>
  <c r="AB3551" i="12"/>
  <c r="AB3232" i="12"/>
  <c r="AB2405" i="12"/>
  <c r="AB466" i="12"/>
  <c r="AB1206" i="12"/>
  <c r="AB2562" i="12"/>
  <c r="AB2588" i="12"/>
  <c r="AB2612" i="12"/>
  <c r="AB1183" i="12"/>
  <c r="AB3024" i="12"/>
  <c r="AB2251" i="12"/>
  <c r="AB1025" i="12"/>
  <c r="AB615" i="12"/>
  <c r="AB2952" i="12"/>
  <c r="AB2319" i="12"/>
  <c r="AB2437" i="12"/>
  <c r="AB3100" i="12"/>
  <c r="AB727" i="12"/>
  <c r="AB836" i="12"/>
  <c r="AB3463" i="12"/>
  <c r="AB3020" i="12"/>
  <c r="AB3219" i="12"/>
  <c r="AB1091" i="12"/>
  <c r="AB2388" i="12"/>
  <c r="AB3519" i="12"/>
  <c r="AB803" i="12"/>
  <c r="AB1021" i="12"/>
  <c r="AB2797" i="12"/>
  <c r="AB3057" i="12"/>
  <c r="AB961" i="12"/>
  <c r="AB2843" i="12"/>
  <c r="AB567" i="12"/>
  <c r="AB2056" i="12"/>
  <c r="AB3437" i="12"/>
  <c r="AB3394" i="12"/>
  <c r="AB250" i="12"/>
  <c r="AB1958" i="12"/>
  <c r="AB2484" i="12"/>
  <c r="AB2719" i="12"/>
  <c r="AB2994" i="12"/>
  <c r="AB2599" i="12"/>
  <c r="AB2161" i="12"/>
  <c r="AB331" i="12"/>
  <c r="AB1784" i="12"/>
  <c r="AB578" i="12"/>
  <c r="AB514" i="12"/>
  <c r="AB2676" i="12"/>
  <c r="AB1302" i="12"/>
  <c r="AB2207" i="12"/>
  <c r="AB774" i="12"/>
  <c r="AB3106" i="12"/>
  <c r="AB2417" i="12"/>
  <c r="AB2575" i="12"/>
  <c r="AB2431" i="12"/>
  <c r="AB1698" i="12"/>
  <c r="AB1393" i="12"/>
  <c r="AB1123" i="12"/>
  <c r="AB2254" i="12"/>
  <c r="AB1589" i="12"/>
  <c r="AB3172" i="12"/>
  <c r="AB2767" i="12"/>
  <c r="AB359" i="12"/>
  <c r="AB2796" i="12"/>
  <c r="AB533" i="12"/>
  <c r="AB1704" i="12"/>
  <c r="AB2716" i="12"/>
  <c r="AB194" i="12"/>
  <c r="AB1331" i="12"/>
  <c r="AB1677" i="12"/>
  <c r="AB3445" i="12"/>
  <c r="AB809" i="12"/>
  <c r="AB1258" i="12"/>
  <c r="AB2778" i="12"/>
  <c r="AB2595" i="12"/>
  <c r="AB2215" i="12"/>
  <c r="AB2464" i="12"/>
  <c r="AB1256" i="12"/>
  <c r="AB2790" i="12"/>
  <c r="AB3104" i="12"/>
  <c r="AB1852" i="12"/>
  <c r="AB3492" i="12"/>
  <c r="AB1840" i="12"/>
  <c r="AB1055" i="12"/>
  <c r="AB2380" i="12"/>
  <c r="AB2042" i="12"/>
  <c r="AB2040" i="12"/>
  <c r="AB479" i="12"/>
  <c r="AB808" i="12"/>
  <c r="AB882" i="12"/>
  <c r="AB2541" i="12"/>
  <c r="AB2958" i="12"/>
  <c r="AB2680" i="12"/>
  <c r="AB1513" i="12"/>
  <c r="AB384" i="12"/>
  <c r="AB1838" i="12"/>
  <c r="AB990" i="12"/>
  <c r="AB2577" i="12"/>
  <c r="AB3185" i="12"/>
  <c r="AB2199" i="12"/>
  <c r="AB2415" i="12"/>
  <c r="AB772" i="12"/>
  <c r="AB105" i="12"/>
  <c r="AB552" i="12"/>
  <c r="AB385" i="12"/>
  <c r="AB2300" i="12"/>
  <c r="AB1131" i="12"/>
  <c r="AB3385" i="12"/>
  <c r="AB1283" i="12"/>
  <c r="AB619" i="12"/>
  <c r="AB2728" i="12"/>
  <c r="AB88" i="12"/>
  <c r="AB360" i="12"/>
  <c r="AB3467" i="12"/>
  <c r="AB1031" i="12"/>
  <c r="AB2631" i="12"/>
  <c r="AB2223" i="12"/>
  <c r="AB671" i="12"/>
  <c r="AB1329" i="12"/>
  <c r="AB907" i="12"/>
  <c r="AB3218" i="12"/>
  <c r="AB1550" i="12"/>
  <c r="AB3432" i="12"/>
  <c r="AB1775" i="12"/>
  <c r="AB1744" i="12"/>
  <c r="AB1587" i="12"/>
  <c r="AB3013" i="12"/>
  <c r="AB3130" i="12"/>
  <c r="AB890" i="12"/>
  <c r="AB188" i="12"/>
  <c r="AB1296" i="12"/>
  <c r="AB3542" i="12"/>
  <c r="AB3322" i="12"/>
  <c r="AB594" i="12"/>
  <c r="AB2242" i="12"/>
  <c r="AB432" i="12"/>
  <c r="AB828" i="12"/>
  <c r="AB997" i="12"/>
  <c r="AB1897" i="12"/>
  <c r="AB221" i="12"/>
  <c r="AB2507" i="12"/>
  <c r="AB3370" i="12"/>
  <c r="AB1910" i="12"/>
  <c r="AB1172" i="12"/>
  <c r="AB1115" i="12"/>
  <c r="AB1100" i="12"/>
  <c r="AB2597" i="12"/>
  <c r="AB3179" i="12"/>
  <c r="AB2946" i="12"/>
  <c r="AB2108" i="12"/>
  <c r="AB2503" i="12"/>
  <c r="AB701" i="12"/>
  <c r="AB1614" i="12"/>
  <c r="AB2756" i="12"/>
  <c r="AB2979" i="12"/>
  <c r="AB3134" i="12"/>
  <c r="AB1320" i="12"/>
  <c r="AB3431" i="12"/>
  <c r="AB1086" i="12"/>
  <c r="AB1557" i="12"/>
  <c r="AB1559" i="12"/>
  <c r="AB3188" i="12"/>
  <c r="AB751" i="12"/>
  <c r="AB3274" i="12"/>
  <c r="AB2947" i="12"/>
  <c r="AB1006" i="12"/>
  <c r="AB2735" i="12"/>
  <c r="AB2333" i="12"/>
  <c r="AB2643" i="12"/>
  <c r="AB1403" i="12"/>
  <c r="AB3124" i="12"/>
  <c r="AB2836" i="12"/>
  <c r="AB814" i="12"/>
  <c r="AB1728" i="12"/>
  <c r="AB1610" i="12"/>
  <c r="AB1101" i="12"/>
  <c r="AB979" i="12"/>
  <c r="AB2248" i="12"/>
  <c r="AB3175" i="12"/>
  <c r="AB1126" i="12"/>
  <c r="AB3410" i="12"/>
  <c r="AB2019" i="12"/>
  <c r="AB1122" i="12"/>
  <c r="AB1597" i="12"/>
  <c r="AB1049" i="12"/>
  <c r="AB2941" i="12"/>
  <c r="AB2249" i="12"/>
  <c r="AB1381" i="12"/>
  <c r="AB2838" i="12"/>
  <c r="AB2494" i="12"/>
  <c r="AB3148" i="12"/>
  <c r="AB2986" i="12"/>
  <c r="AB881" i="12"/>
  <c r="AB3350" i="12"/>
  <c r="AB1969" i="12"/>
  <c r="AB1497" i="12"/>
  <c r="AB2243" i="12"/>
  <c r="AB2353" i="12"/>
  <c r="AB3250" i="12"/>
  <c r="AB1752" i="12"/>
  <c r="AB765" i="12"/>
  <c r="AB1904" i="12"/>
  <c r="AB842" i="12"/>
  <c r="AB2386" i="12"/>
  <c r="AB3143" i="12"/>
  <c r="AB2407" i="12"/>
  <c r="AB2080" i="12"/>
  <c r="AB1457" i="12"/>
  <c r="AB3400" i="12"/>
  <c r="AB2362" i="12"/>
  <c r="AB1823" i="12"/>
  <c r="AB1747" i="12"/>
  <c r="AB2082" i="12"/>
  <c r="AB2105" i="12"/>
  <c r="AB1929" i="12"/>
  <c r="AB1907" i="12"/>
  <c r="AB3199" i="12"/>
  <c r="AB1572" i="12"/>
  <c r="AB738" i="12"/>
  <c r="AB1804" i="12"/>
  <c r="AB2992" i="12"/>
  <c r="AB861" i="12"/>
  <c r="AB3483" i="12"/>
  <c r="AB2589" i="12"/>
  <c r="AB1277" i="12"/>
  <c r="AB28" i="12"/>
  <c r="AB3366" i="12"/>
  <c r="AB149" i="12"/>
  <c r="AB497" i="12"/>
  <c r="AB1380" i="12"/>
  <c r="AB1962" i="12"/>
  <c r="AB3160" i="12"/>
  <c r="AB1300" i="12"/>
  <c r="AB943" i="12"/>
  <c r="AB1377" i="12"/>
  <c r="AB1843" i="12"/>
  <c r="AB3381" i="12"/>
  <c r="AB281" i="12"/>
  <c r="AB1674" i="12"/>
  <c r="AB649" i="12"/>
  <c r="AB173" i="12"/>
  <c r="AB1293" i="12"/>
  <c r="AB3037" i="12"/>
  <c r="AB1690" i="12"/>
  <c r="AB2200" i="12"/>
  <c r="AB3138" i="12"/>
  <c r="AB556" i="12"/>
  <c r="AB1323" i="12"/>
  <c r="AB374" i="12"/>
  <c r="AB370" i="12"/>
  <c r="AB2623" i="12"/>
  <c r="AB3332" i="12"/>
  <c r="AB1703" i="12"/>
  <c r="AB3313" i="12"/>
  <c r="AB422" i="12"/>
  <c r="AB3451" i="12"/>
  <c r="AB2273" i="12"/>
  <c r="AB2780" i="12"/>
  <c r="AB1545" i="12"/>
  <c r="AB1514" i="12"/>
  <c r="AB327" i="12"/>
  <c r="AB150" i="12"/>
  <c r="AB572" i="12"/>
  <c r="AB1524" i="12"/>
  <c r="AB1735" i="12"/>
  <c r="AB1829" i="12"/>
  <c r="AB3246" i="12"/>
  <c r="AB886" i="12"/>
  <c r="AB867" i="12"/>
  <c r="AB1841" i="12"/>
  <c r="AB394" i="12"/>
  <c r="AB223" i="12"/>
  <c r="AB249" i="12"/>
  <c r="AB676" i="12"/>
  <c r="AB2081" i="12"/>
  <c r="AB1135" i="12"/>
  <c r="AB3033" i="12"/>
  <c r="AB1812" i="12"/>
  <c r="AB3059" i="12"/>
  <c r="AB2604" i="12"/>
  <c r="AB1556" i="12"/>
  <c r="AB2125" i="12"/>
  <c r="AB238" i="12"/>
  <c r="AB1525" i="12"/>
  <c r="AB1890" i="12"/>
  <c r="AB3279" i="12"/>
  <c r="AB2294" i="12"/>
  <c r="AB95" i="12"/>
  <c r="AB3067" i="12"/>
  <c r="AB2748" i="12"/>
  <c r="AB1746" i="12"/>
  <c r="AB339" i="12"/>
  <c r="AB109" i="12"/>
  <c r="AB253" i="12"/>
  <c r="AB456" i="12"/>
  <c r="AB1857" i="12"/>
  <c r="AB746" i="12"/>
  <c r="AB872" i="12"/>
  <c r="AB989" i="12"/>
  <c r="AB868" i="12"/>
  <c r="AB2668" i="12"/>
  <c r="AB2488" i="12"/>
  <c r="AB1700" i="12"/>
  <c r="AB915" i="12"/>
  <c r="AB528" i="12"/>
  <c r="AB1664" i="12"/>
  <c r="AB2221" i="12"/>
  <c r="AB1094" i="12"/>
  <c r="AB1029" i="12"/>
  <c r="AB1487" i="12"/>
  <c r="AB243" i="12"/>
  <c r="AB2538" i="12"/>
  <c r="AB1065" i="12"/>
  <c r="AB2090" i="12"/>
  <c r="AB1611" i="12"/>
  <c r="AB348" i="12"/>
  <c r="AB666" i="12"/>
  <c r="AB721" i="12"/>
  <c r="AB2438" i="12"/>
  <c r="AB299" i="12"/>
  <c r="AB246" i="12"/>
  <c r="AB1292" i="12"/>
  <c r="AB2681" i="12"/>
  <c r="AB1620" i="12"/>
  <c r="AB747" i="12"/>
  <c r="AB2122" i="12"/>
  <c r="AB3459" i="12"/>
  <c r="AB966" i="12"/>
  <c r="AB279" i="12"/>
  <c r="AB1312" i="12"/>
  <c r="AB3338" i="12"/>
  <c r="AB898" i="12"/>
  <c r="AB2879" i="12"/>
  <c r="AB1706" i="12"/>
  <c r="AB1547" i="12"/>
  <c r="AB901" i="12"/>
  <c r="AB843" i="12"/>
  <c r="AB2310" i="12"/>
  <c r="AB2995" i="12"/>
  <c r="AB604" i="12"/>
  <c r="AB1473" i="12"/>
  <c r="AB3397" i="12"/>
  <c r="AB2944" i="12"/>
  <c r="AB401" i="12"/>
  <c r="AB2534" i="12"/>
  <c r="AB2159" i="12"/>
  <c r="AB2510" i="12"/>
  <c r="AB711" i="12"/>
  <c r="AB611" i="12"/>
  <c r="AB116" i="12"/>
  <c r="AB3082" i="12"/>
  <c r="AB1770" i="12"/>
  <c r="AB2730" i="12"/>
  <c r="AB1772" i="12"/>
  <c r="AB1590" i="12"/>
  <c r="AB3257" i="12"/>
  <c r="AB1688" i="12"/>
  <c r="AB3347" i="12"/>
  <c r="AB1785" i="12"/>
  <c r="AB1548" i="12"/>
  <c r="AB3150" i="12"/>
  <c r="AB1551" i="12"/>
  <c r="AB449" i="12"/>
  <c r="AB2133" i="12"/>
  <c r="AB994" i="12"/>
  <c r="AB2657" i="12"/>
  <c r="AB922" i="12"/>
  <c r="AB2151" i="12"/>
  <c r="AB2998" i="12"/>
  <c r="AB694" i="12"/>
  <c r="AB2571" i="12"/>
  <c r="AB3493" i="12"/>
  <c r="AB1781" i="12"/>
  <c r="AB2359" i="12"/>
  <c r="AB410" i="12"/>
  <c r="AB162" i="12"/>
  <c r="AB1193" i="12"/>
  <c r="AB1223" i="12"/>
  <c r="AB303" i="12"/>
  <c r="AB703" i="12"/>
  <c r="AB358" i="12"/>
  <c r="AB876" i="12"/>
  <c r="AB263" i="12"/>
  <c r="AB411" i="12"/>
  <c r="AB1733" i="12"/>
  <c r="AB3047" i="12"/>
  <c r="AB294" i="12"/>
  <c r="AB2288" i="12"/>
  <c r="AB546" i="12"/>
  <c r="AB293" i="12"/>
  <c r="AB2968" i="12"/>
  <c r="AB1400" i="12"/>
  <c r="AB2189" i="12"/>
  <c r="AB1493" i="12"/>
  <c r="AB3276" i="12"/>
  <c r="AB760" i="12"/>
  <c r="AB3129" i="12"/>
  <c r="AB741" i="12"/>
  <c r="AB2109" i="12"/>
  <c r="AB1023" i="12"/>
  <c r="AB2160" i="12"/>
  <c r="AB1150" i="12"/>
  <c r="AB2331" i="12"/>
  <c r="AB2039" i="12"/>
  <c r="AB1344" i="12"/>
  <c r="AB2220" i="12"/>
  <c r="AB3118" i="12"/>
  <c r="AB742" i="12"/>
  <c r="AB2126" i="12"/>
  <c r="AB1496" i="12"/>
  <c r="AB1788" i="12"/>
  <c r="AB1916" i="12"/>
  <c r="AB558" i="12"/>
  <c r="AB1628" i="12"/>
  <c r="AB1541" i="12"/>
  <c r="AB1757" i="12"/>
  <c r="AB301" i="12"/>
  <c r="AB1280" i="12"/>
  <c r="AB1001" i="12"/>
  <c r="AB2338" i="12"/>
  <c r="AB462" i="12"/>
  <c r="AB3407" i="12"/>
  <c r="AB1113" i="12"/>
  <c r="AB2885" i="12"/>
  <c r="AB356" i="12"/>
  <c r="AB2950" i="12"/>
  <c r="AB957" i="12"/>
  <c r="AB3402" i="12"/>
  <c r="AB3237" i="12"/>
  <c r="AB1813" i="12"/>
  <c r="AB3354" i="12"/>
  <c r="AB454" i="12"/>
  <c r="AB2827" i="12"/>
  <c r="AB3259" i="12"/>
  <c r="AB340" i="12"/>
  <c r="AB2573" i="12"/>
  <c r="AB895" i="12"/>
  <c r="AB1734" i="12"/>
  <c r="AB3458" i="12"/>
  <c r="AB1471" i="12"/>
  <c r="AB1116" i="12"/>
  <c r="AB3063" i="12"/>
  <c r="AB2640" i="12"/>
  <c r="AB2155" i="12"/>
  <c r="AB536" i="12"/>
  <c r="AB2318" i="12"/>
  <c r="AB2618" i="12"/>
  <c r="AB2834" i="12"/>
  <c r="AB1200" i="12"/>
  <c r="AB2277" i="12"/>
  <c r="AB1918" i="12"/>
  <c r="AB260" i="12"/>
  <c r="AB104" i="12"/>
  <c r="AB1037" i="12"/>
  <c r="AB617" i="12"/>
  <c r="AB2584" i="12"/>
  <c r="AB2769" i="12"/>
  <c r="AB648" i="12"/>
  <c r="AB3159" i="12"/>
  <c r="AB597" i="12"/>
  <c r="AB2498" i="12"/>
  <c r="AB2450" i="12"/>
  <c r="AB1036" i="12"/>
  <c r="AB1408" i="12"/>
  <c r="AB3043" i="12"/>
  <c r="AB2164" i="12"/>
  <c r="AB2812" i="12"/>
  <c r="AB1849" i="12"/>
  <c r="AB2914" i="12"/>
  <c r="AB2899" i="12"/>
  <c r="AB2642" i="12"/>
  <c r="AB1908" i="12"/>
  <c r="AB2343" i="12"/>
  <c r="AB871" i="12"/>
  <c r="AB2247" i="12"/>
  <c r="AB2710" i="12"/>
  <c r="AB3438" i="12"/>
  <c r="AB3529" i="12"/>
  <c r="AB1946" i="12"/>
  <c r="AB963" i="12"/>
  <c r="AB656" i="12"/>
  <c r="AB2978" i="12"/>
  <c r="AB522" i="12"/>
  <c r="AB3330" i="12"/>
  <c r="AB2334" i="12"/>
  <c r="AB3161" i="12"/>
  <c r="AB1680" i="12"/>
  <c r="AB612" i="12"/>
  <c r="AB2505" i="12"/>
  <c r="AB640" i="12"/>
  <c r="AB2837" i="12"/>
  <c r="AB532" i="12"/>
  <c r="AB1440" i="12"/>
  <c r="AB3131" i="12"/>
  <c r="AB2701" i="12"/>
  <c r="AB2945" i="12"/>
  <c r="AB2487" i="12"/>
  <c r="AB896" i="12"/>
  <c r="AB308" i="12"/>
  <c r="AB2307" i="12"/>
  <c r="AB920" i="12"/>
  <c r="AB2877" i="12"/>
  <c r="AB2444" i="12"/>
  <c r="AB1859" i="12"/>
  <c r="AB899" i="12"/>
  <c r="AB3200" i="12"/>
  <c r="AB2053" i="12"/>
  <c r="AB1161" i="12"/>
  <c r="AB2590" i="12"/>
  <c r="AB62" i="12"/>
  <c r="AB320" i="12"/>
  <c r="AB2376" i="12"/>
  <c r="AB2227" i="12"/>
  <c r="AB1743" i="12"/>
  <c r="AB1939" i="12"/>
  <c r="AB1797" i="12"/>
  <c r="AB588" i="12"/>
  <c r="AB3081" i="12"/>
  <c r="AB535" i="12"/>
  <c r="AB3365" i="12"/>
  <c r="AB2193" i="12"/>
  <c r="AB1270" i="12"/>
  <c r="AB725" i="12"/>
  <c r="AB2603" i="12"/>
  <c r="AB1621" i="12"/>
  <c r="AB199" i="12"/>
  <c r="AB802" i="12"/>
  <c r="AB1960" i="12"/>
  <c r="AB1215" i="12"/>
  <c r="AB1750" i="12"/>
  <c r="AB3139" i="12"/>
  <c r="AB565" i="12"/>
  <c r="AB1649" i="12"/>
  <c r="AB1441" i="12"/>
  <c r="AB3114" i="12"/>
  <c r="AB2178" i="12"/>
  <c r="AB438" i="12"/>
  <c r="AB1010" i="12"/>
  <c r="AB392" i="12"/>
  <c r="AB468" i="12"/>
  <c r="AB2375" i="12"/>
  <c r="AB3230" i="12"/>
  <c r="AB2441" i="12"/>
  <c r="AB613" i="12"/>
  <c r="AB2782" i="12"/>
  <c r="AB3136" i="12"/>
  <c r="AB1605" i="12"/>
  <c r="AB376" i="12"/>
  <c r="AB2257" i="12"/>
  <c r="AB2544" i="12"/>
  <c r="AB3158" i="12"/>
  <c r="AB1727" i="12"/>
  <c r="AB3044" i="12"/>
  <c r="AB2965" i="12"/>
  <c r="AB1964" i="12"/>
  <c r="AB1783" i="12"/>
  <c r="AB2219" i="12"/>
  <c r="AB669" i="12"/>
  <c r="AB2158" i="12"/>
  <c r="AB1839" i="12"/>
  <c r="AB2224" i="12"/>
  <c r="AB1053" i="12"/>
  <c r="AB1469" i="12"/>
  <c r="AB2694" i="12"/>
  <c r="AB1561" i="12"/>
  <c r="AB3546" i="12"/>
  <c r="AB1768" i="12"/>
  <c r="AB854" i="12"/>
  <c r="AB2910" i="12"/>
  <c r="AB1639" i="12"/>
  <c r="AB935" i="12"/>
  <c r="AB2187" i="12"/>
  <c r="AB509" i="12"/>
  <c r="AB388" i="12"/>
  <c r="AB2463" i="12"/>
  <c r="AB1891" i="12"/>
  <c r="AB3249" i="12"/>
  <c r="AB2689" i="12"/>
  <c r="AB589" i="12"/>
  <c r="AB366" i="12"/>
  <c r="AB49" i="12"/>
  <c r="AB2776" i="12"/>
  <c r="AB1602" i="12"/>
  <c r="AB1673" i="12"/>
  <c r="AB1307" i="12"/>
  <c r="AB1083" i="12"/>
  <c r="AB2409" i="12"/>
  <c r="AB2461" i="12"/>
  <c r="AB2305" i="12"/>
  <c r="AB316" i="12"/>
  <c r="AB1476" i="12"/>
  <c r="AB1420" i="12"/>
  <c r="AB2775" i="12"/>
  <c r="AB1164" i="12"/>
  <c r="AB1397" i="12"/>
  <c r="AB720" i="12"/>
  <c r="AB2524" i="12"/>
  <c r="AB2330" i="12"/>
  <c r="AB2611" i="12"/>
  <c r="AB3358" i="12"/>
  <c r="AB1414" i="12"/>
  <c r="AB967" i="12"/>
  <c r="AB2821" i="12"/>
  <c r="AB1719" i="12"/>
  <c r="AB368" i="12"/>
  <c r="AB1708" i="12"/>
  <c r="AB2486" i="12"/>
  <c r="AB1717" i="12"/>
  <c r="AB607" i="12"/>
  <c r="AB3413" i="12"/>
  <c r="AB2054" i="12"/>
  <c r="AB1955" i="12"/>
  <c r="AB1002" i="12"/>
  <c r="AB3311" i="12"/>
  <c r="AB573" i="12"/>
  <c r="AB3054" i="12"/>
  <c r="AB236" i="12"/>
  <c r="AB3190" i="12"/>
  <c r="AB336" i="12"/>
  <c r="AB1670" i="12"/>
  <c r="AB1730" i="12"/>
  <c r="AB1726" i="12"/>
  <c r="AB698" i="12"/>
  <c r="AB50" i="12"/>
  <c r="AB2566" i="12"/>
  <c r="AB226" i="12"/>
  <c r="AB186" i="12"/>
  <c r="AB2613" i="12"/>
  <c r="AB2021" i="12"/>
  <c r="AB1042" i="12"/>
  <c r="AB618" i="12"/>
  <c r="AB513" i="12"/>
  <c r="AB777" i="12"/>
  <c r="AB2001" i="12"/>
  <c r="AB1530" i="12"/>
  <c r="AB3041" i="12"/>
  <c r="AB2828" i="12"/>
  <c r="AB2255" i="12"/>
  <c r="AB1754" i="12"/>
  <c r="AB1015" i="12"/>
  <c r="AB993" i="12"/>
  <c r="AB2070" i="12"/>
  <c r="AB984" i="12"/>
  <c r="AB450" i="12"/>
  <c r="AB2648" i="12"/>
  <c r="AB2884" i="12"/>
  <c r="AB1657" i="12"/>
  <c r="AB1130" i="12"/>
  <c r="AB168" i="12"/>
  <c r="AB1188" i="12"/>
  <c r="AB3484" i="12"/>
  <c r="AB219" i="12"/>
  <c r="AB2765" i="12"/>
  <c r="AB1154" i="12"/>
  <c r="AB529" i="12"/>
  <c r="AB1919" i="12"/>
  <c r="AB3052" i="12"/>
  <c r="AB1787" i="12"/>
  <c r="AB3414" i="12"/>
  <c r="AB197" i="12"/>
  <c r="AB1245" i="12"/>
  <c r="AB3461" i="12"/>
  <c r="AB1618" i="12"/>
  <c r="AB1922" i="12"/>
  <c r="AB1417" i="12"/>
  <c r="AB2646" i="12"/>
  <c r="AB2180" i="12"/>
  <c r="AB2627" i="12"/>
  <c r="AB297" i="12"/>
  <c r="AB259" i="12"/>
  <c r="AB2213" i="12"/>
  <c r="AB975" i="12"/>
  <c r="AB2581" i="12"/>
  <c r="AB1580" i="12"/>
  <c r="AB2983" i="12"/>
  <c r="AB2932" i="12"/>
  <c r="AB2235" i="12"/>
  <c r="AB24" i="12"/>
  <c r="AB1199" i="12"/>
  <c r="AB3512" i="12"/>
  <c r="AB1835" i="12"/>
  <c r="AB1927" i="12"/>
  <c r="AB3045" i="12"/>
  <c r="AB744" i="12"/>
  <c r="AB3266" i="12"/>
  <c r="AB237" i="12"/>
  <c r="AB561" i="12"/>
  <c r="AB3025" i="12"/>
  <c r="AB1871" i="12"/>
  <c r="AB2128" i="12"/>
  <c r="AB847" i="12"/>
  <c r="AB1900" i="12"/>
  <c r="AB2848" i="12"/>
  <c r="AB2924" i="12"/>
  <c r="AB982" i="12"/>
  <c r="AB1709" i="12"/>
  <c r="AB1953" i="12"/>
  <c r="AB343" i="12"/>
  <c r="AB2466" i="12"/>
  <c r="AB745" i="12"/>
  <c r="AB2145" i="12"/>
  <c r="AB3530" i="12"/>
  <c r="AB3154" i="12"/>
  <c r="AB2523" i="12"/>
  <c r="AB103" i="12"/>
  <c r="AB2153" i="12"/>
  <c r="AB1722" i="12"/>
  <c r="AB3447" i="12"/>
  <c r="AB1054" i="12"/>
  <c r="AB1648" i="12"/>
  <c r="AB19" i="12"/>
  <c r="AB3262" i="12"/>
  <c r="AB265" i="12"/>
  <c r="AB280" i="12"/>
  <c r="AB2068" i="12"/>
  <c r="AB3215" i="12"/>
  <c r="AB1038" i="12"/>
  <c r="AB798" i="12"/>
  <c r="AB650" i="12"/>
  <c r="AB2794" i="12"/>
  <c r="AB1515" i="12"/>
  <c r="AB3439" i="12"/>
  <c r="AB1219" i="12"/>
  <c r="AB476" i="12"/>
  <c r="AB697" i="12"/>
  <c r="AB3061" i="12"/>
  <c r="AB3208" i="12"/>
  <c r="AB688" i="12"/>
  <c r="AB3528" i="12"/>
  <c r="AB1356" i="12"/>
  <c r="AB3195" i="12"/>
  <c r="AB2023" i="12"/>
  <c r="AB2149" i="12"/>
  <c r="AB1452" i="12"/>
  <c r="AB2298" i="12"/>
  <c r="AB1974" i="12"/>
  <c r="AB405" i="12"/>
  <c r="AB2086" i="12"/>
  <c r="AB2545" i="12"/>
  <c r="AB2939" i="12"/>
  <c r="AB2721" i="12"/>
  <c r="AB1565" i="12"/>
  <c r="AB1948" i="12"/>
  <c r="AB708" i="12"/>
  <c r="AB1255" i="12"/>
  <c r="AB3174" i="12"/>
  <c r="AB1486" i="12"/>
  <c r="AB2472" i="12"/>
  <c r="AB3521" i="12"/>
  <c r="AB748" i="12"/>
  <c r="AB2469" i="12"/>
  <c r="AB187" i="12"/>
  <c r="AB972" i="12"/>
  <c r="AB1269" i="12"/>
  <c r="AB571" i="12"/>
  <c r="AB1434" i="12"/>
  <c r="AB1478" i="12"/>
  <c r="AB2517" i="12"/>
  <c r="AB2352" i="12"/>
  <c r="AB544" i="12"/>
  <c r="AB1914" i="12"/>
  <c r="AB1502" i="12"/>
  <c r="AB1658" i="12"/>
  <c r="AB505" i="12"/>
  <c r="AB1566" i="12"/>
  <c r="AB2558" i="12"/>
  <c r="AB480" i="12"/>
  <c r="AB1961" i="12"/>
  <c r="AB2793" i="12"/>
  <c r="AB2957" i="12"/>
  <c r="AB2162" i="12"/>
  <c r="AB566" i="12"/>
  <c r="AB3016" i="12"/>
  <c r="AB3297" i="12"/>
  <c r="AB2867" i="12"/>
  <c r="AB1411" i="12"/>
  <c r="AB1205" i="12"/>
  <c r="AB1210" i="12"/>
  <c r="AB361" i="12"/>
  <c r="AB878" i="12"/>
  <c r="AB2098" i="12"/>
  <c r="AB1104" i="12"/>
  <c r="AB3537" i="12"/>
  <c r="AB156" i="12"/>
  <c r="AB1484" i="12"/>
  <c r="AB850" i="12"/>
  <c r="AB848" i="12"/>
  <c r="AB2452" i="12"/>
  <c r="AB3282" i="12"/>
  <c r="AB122" i="12"/>
  <c r="AB1203" i="12"/>
  <c r="AB632" i="12"/>
  <c r="AB507" i="12"/>
  <c r="AB1873" i="12"/>
  <c r="AB2011" i="12"/>
  <c r="AB2107" i="12"/>
  <c r="AB3265" i="12"/>
  <c r="AB1326" i="12"/>
  <c r="AB457" i="12"/>
  <c r="AB2379" i="12"/>
  <c r="AB1284" i="12"/>
  <c r="AB2654" i="12"/>
  <c r="AB1793" i="12"/>
  <c r="AB3355" i="12"/>
  <c r="AB2061" i="12"/>
  <c r="AB53" i="12"/>
  <c r="AB520" i="12"/>
  <c r="AB2201" i="12"/>
  <c r="AB2043" i="12"/>
  <c r="AB1949" i="12"/>
  <c r="AB1661" i="12"/>
  <c r="AB2050" i="12"/>
  <c r="AB2292" i="12"/>
  <c r="AB1695" i="12"/>
  <c r="AB773" i="12"/>
  <c r="AB735" i="12"/>
  <c r="AB810" i="12"/>
  <c r="AB2457" i="12"/>
  <c r="AB1802" i="12"/>
  <c r="AB2691" i="12"/>
  <c r="AB1601" i="12"/>
  <c r="AB3165" i="12"/>
  <c r="AB700" i="12"/>
  <c r="AB209" i="12"/>
  <c r="AB3001" i="12"/>
  <c r="AB395" i="12"/>
  <c r="AB911" i="12"/>
  <c r="AB1392" i="12"/>
  <c r="AB342" i="12"/>
  <c r="AB2315" i="12"/>
  <c r="AB440" i="12"/>
  <c r="AB2970" i="12"/>
  <c r="AB2655" i="12"/>
  <c r="AB2700" i="12"/>
  <c r="AB2399" i="12"/>
  <c r="AB67" i="12"/>
  <c r="AB569" i="12"/>
  <c r="AB285" i="12"/>
  <c r="AB3454" i="12"/>
  <c r="AB1711" i="12"/>
  <c r="AB775" i="12"/>
  <c r="AB661" i="12"/>
  <c r="AB1189" i="12"/>
  <c r="AB2696" i="12"/>
  <c r="AB1124" i="12"/>
  <c r="AB2706" i="12"/>
  <c r="AB1438" i="12"/>
  <c r="AB1022" i="12"/>
  <c r="AB2699" i="12"/>
  <c r="AB1716" i="12"/>
  <c r="AB2651" i="12"/>
  <c r="AB687" i="12"/>
  <c r="AB2332" i="12"/>
  <c r="AB3108" i="12"/>
  <c r="AB2401" i="12"/>
  <c r="AB753" i="12"/>
  <c r="AB974" i="12"/>
  <c r="AB1294" i="12"/>
  <c r="AB2269" i="12"/>
  <c r="AB2275" i="12"/>
  <c r="AB2191" i="12"/>
  <c r="AB92" i="12"/>
  <c r="AB1313" i="12"/>
  <c r="AB2413" i="12"/>
  <c r="AB2527" i="12"/>
  <c r="AB1366" i="12"/>
  <c r="AB2609" i="12"/>
  <c r="AB3306" i="12"/>
  <c r="AB559" i="12"/>
  <c r="AB2302" i="12"/>
  <c r="AB2921" i="12"/>
  <c r="AB731" i="12"/>
  <c r="AB1382" i="12"/>
  <c r="AB397" i="12"/>
  <c r="AB3085" i="12"/>
  <c r="AB1118" i="12"/>
  <c r="AB172" i="12"/>
  <c r="AB2971" i="12"/>
  <c r="AB2391" i="12"/>
  <c r="AB2916" i="12"/>
  <c r="AB2832" i="12"/>
  <c r="AB1554" i="12"/>
  <c r="AB3228" i="12"/>
  <c r="AB1244" i="12"/>
  <c r="AB926" i="12"/>
  <c r="AB72" i="12"/>
  <c r="AB784" i="12"/>
  <c r="AB2561" i="12"/>
  <c r="AB1575" i="12"/>
  <c r="AB3466" i="12"/>
  <c r="AB115" i="12"/>
  <c r="AB2871" i="12"/>
  <c r="AB1988" i="12"/>
  <c r="AB333" i="12"/>
  <c r="AB2112" i="12"/>
  <c r="AB1862" i="12"/>
  <c r="AB326" i="12"/>
  <c r="AB1989" i="12"/>
  <c r="AB1806" i="12"/>
  <c r="AB90" i="12"/>
  <c r="AB98" i="12"/>
  <c r="AB837" i="12"/>
  <c r="AB1201" i="12"/>
  <c r="AB3072" i="12"/>
  <c r="AB2536" i="12"/>
  <c r="AB2287" i="12"/>
  <c r="AB3193" i="12"/>
  <c r="AB2044" i="12"/>
  <c r="AB2687" i="12"/>
  <c r="AB693" i="12"/>
  <c r="AB58" i="12"/>
  <c r="AB3320" i="12"/>
  <c r="AB1325" i="12"/>
  <c r="AB3511" i="12"/>
  <c r="AB3464" i="12"/>
  <c r="AB631" i="12"/>
  <c r="AB2427" i="12"/>
  <c r="AB2291" i="12"/>
  <c r="AB2439" i="12"/>
  <c r="AB1945" i="12"/>
  <c r="AB910" i="12"/>
  <c r="AB2184" i="12"/>
  <c r="AB1972" i="12"/>
  <c r="AB2702" i="12"/>
  <c r="AB1238" i="12"/>
  <c r="AB1881" i="12"/>
  <c r="AB1470" i="12"/>
  <c r="AB2078" i="12"/>
  <c r="AB1111" i="12"/>
  <c r="AB988" i="12"/>
  <c r="AB2751" i="12"/>
  <c r="AB1983" i="12"/>
  <c r="AB305" i="12"/>
  <c r="AB2076" i="12"/>
  <c r="AB1997" i="12"/>
  <c r="AB3098" i="12"/>
  <c r="AB3329" i="12"/>
  <c r="AB1043" i="12"/>
  <c r="AB2810" i="12"/>
  <c r="AB2433" i="12"/>
  <c r="AB3305" i="12"/>
  <c r="AB443" i="12"/>
  <c r="AB3289" i="12"/>
  <c r="AB27" i="12"/>
  <c r="AB3074" i="12"/>
  <c r="AB2476" i="12"/>
  <c r="AB2672" i="12"/>
  <c r="AB1376" i="12"/>
  <c r="AB216" i="12"/>
  <c r="AB1902" i="12"/>
  <c r="AB626" i="12"/>
  <c r="AB2933" i="12"/>
  <c r="AB874" i="12"/>
  <c r="AB1217" i="12"/>
  <c r="AB1446" i="12"/>
  <c r="AB1755" i="12"/>
  <c r="AB3220" i="12"/>
  <c r="AB306" i="12"/>
  <c r="AB1004" i="12"/>
  <c r="AB3151" i="12"/>
  <c r="AB2653" i="12"/>
  <c r="AB1405" i="12"/>
  <c r="AB2890" i="12"/>
  <c r="V44" i="12"/>
  <c r="D27" i="6" l="1"/>
  <c r="D28" i="6"/>
  <c r="K10" i="12"/>
  <c r="J10" i="12"/>
  <c r="H10" i="12"/>
  <c r="G10" i="12"/>
  <c r="I10" i="12"/>
  <c r="K14" i="12"/>
  <c r="J14" i="12"/>
  <c r="H14" i="12"/>
  <c r="G14" i="12"/>
  <c r="I14" i="12"/>
  <c r="K4" i="12"/>
  <c r="J4" i="12"/>
  <c r="H4" i="12"/>
  <c r="G4" i="12"/>
  <c r="I4" i="12"/>
  <c r="J6" i="12"/>
  <c r="G6" i="12"/>
  <c r="K6" i="12"/>
  <c r="H6" i="12"/>
  <c r="I6" i="12"/>
  <c r="J11" i="12"/>
  <c r="G11" i="12"/>
  <c r="J3" i="12"/>
  <c r="G3" i="12"/>
  <c r="J12" i="12"/>
  <c r="G12" i="12"/>
  <c r="J5" i="12"/>
  <c r="G5" i="12"/>
  <c r="K11" i="12"/>
  <c r="H11" i="12"/>
  <c r="I11" i="12"/>
  <c r="K13" i="12"/>
  <c r="J13" i="12"/>
  <c r="H13" i="12"/>
  <c r="G13" i="12"/>
  <c r="I13" i="12"/>
  <c r="K12" i="12"/>
  <c r="H12" i="12"/>
  <c r="I12" i="12"/>
  <c r="K7" i="12"/>
  <c r="J7" i="12"/>
  <c r="H7" i="12"/>
  <c r="G7" i="12"/>
  <c r="I7" i="12"/>
  <c r="K5" i="12"/>
  <c r="H5" i="12"/>
  <c r="I5" i="12"/>
  <c r="K3" i="12"/>
  <c r="H3" i="12"/>
  <c r="I3" i="12"/>
  <c r="J15" i="12"/>
  <c r="G15" i="12"/>
  <c r="K15" i="12"/>
  <c r="H15" i="12"/>
  <c r="I15" i="12"/>
  <c r="K8" i="12"/>
  <c r="J8" i="12"/>
  <c r="H8" i="12"/>
  <c r="G8" i="12"/>
  <c r="I8" i="12"/>
  <c r="K16" i="12"/>
  <c r="J16" i="12"/>
  <c r="H16" i="12"/>
  <c r="G16" i="12"/>
  <c r="I16" i="12"/>
  <c r="J9" i="12"/>
  <c r="G9" i="12"/>
  <c r="K9" i="12"/>
  <c r="H9" i="12"/>
  <c r="I9"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<sst xmlns="http://schemas.openxmlformats.org/spreadsheetml/2006/main" count="1919" uniqueCount="166">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</sst>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1" fillId="0" borderId="0" applyFont="0" applyFill="0" applyBorder="0" applyAlignment="0" applyProtection="0"/>
    <xf numFmtId="177" fontId="21" fillId="0" borderId="0" applyFont="0" applyFill="0" applyBorder="0" applyAlignment="0" applyProtection="0"/>
  </cellStyleXfs>
  <cellXfs count="31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2" fillId="2" borderId="13" xfId="1" applyFont="1" applyFill="1" applyBorder="1"/>
    <xf numFmtId="0" fontId="2" fillId="2" borderId="12"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4" xfId="1" applyFont="1" applyFill="1" applyBorder="1"/>
    <xf numFmtId="0" fontId="2" fillId="2" borderId="15"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6" xfId="1" applyNumberFormat="1" applyFont="1" applyFill="1" applyBorder="1" applyAlignment="1">
      <alignment horizontal="left"/>
    </xf>
    <xf numFmtId="172" fontId="2" fillId="2" borderId="26" xfId="1" applyNumberFormat="1" applyFont="1" applyFill="1" applyBorder="1" applyAlignment="1"/>
    <xf numFmtId="0" fontId="3" fillId="2" borderId="11" xfId="1" applyFont="1" applyFill="1" applyBorder="1" applyAlignment="1">
      <alignment horizontal="center"/>
    </xf>
    <xf numFmtId="0" fontId="2" fillId="2" borderId="16" xfId="1" applyFont="1" applyFill="1" applyBorder="1" applyAlignment="1">
      <alignment horizontal="center"/>
    </xf>
    <xf numFmtId="0" fontId="3" fillId="2" borderId="11"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6" xfId="1" applyFont="1" applyFill="1" applyBorder="1"/>
    <xf numFmtId="0" fontId="1" fillId="2" borderId="12" xfId="1" applyFill="1" applyBorder="1"/>
    <xf numFmtId="0" fontId="1" fillId="2" borderId="13" xfId="1" applyFill="1" applyBorder="1"/>
    <xf numFmtId="0" fontId="1" fillId="2" borderId="14" xfId="1" applyFill="1" applyBorder="1"/>
    <xf numFmtId="0" fontId="17" fillId="2" borderId="15"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6"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2" xfId="1" applyFont="1" applyFill="1" applyBorder="1"/>
    <xf numFmtId="0" fontId="12" fillId="2" borderId="13" xfId="1" applyFont="1" applyFill="1" applyBorder="1"/>
    <xf numFmtId="0" fontId="12" fillId="2" borderId="14" xfId="1" applyFont="1" applyFill="1" applyBorder="1"/>
    <xf numFmtId="15" fontId="12" fillId="2" borderId="15" xfId="1" applyNumberFormat="1" applyFont="1" applyFill="1" applyBorder="1"/>
    <xf numFmtId="0" fontId="12" fillId="5" borderId="9" xfId="1" applyNumberFormat="1" applyFont="1" applyFill="1" applyBorder="1"/>
    <xf numFmtId="0" fontId="12" fillId="2" borderId="16" xfId="1" applyFont="1" applyFill="1" applyBorder="1"/>
    <xf numFmtId="170" fontId="12" fillId="4" borderId="10" xfId="1" quotePrefix="1" applyNumberFormat="1" applyFont="1" applyFill="1" applyBorder="1" applyAlignment="1" applyProtection="1">
      <alignment horizontal="left"/>
    </xf>
    <xf numFmtId="0" fontId="12" fillId="2" borderId="15" xfId="1" applyFont="1" applyFill="1" applyBorder="1"/>
    <xf numFmtId="0" fontId="12" fillId="2" borderId="0" xfId="1" applyFont="1" applyFill="1" applyBorder="1"/>
    <xf numFmtId="0" fontId="5" fillId="0" borderId="0" xfId="1" applyFont="1" applyAlignment="1">
      <alignment horizontal="left"/>
    </xf>
    <xf numFmtId="0" fontId="2" fillId="2" borderId="31" xfId="1" applyFont="1" applyFill="1" applyBorder="1" applyAlignment="1">
      <alignment horizontal="left"/>
    </xf>
    <xf numFmtId="0" fontId="2" fillId="2" borderId="31" xfId="1" applyFont="1" applyFill="1" applyBorder="1"/>
    <xf numFmtId="0" fontId="11" fillId="4" borderId="4"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8" xfId="1" applyNumberFormat="1" applyFont="1" applyFill="1" applyBorder="1" applyAlignment="1" applyProtection="1">
      <alignment horizontal="center" vertical="center"/>
    </xf>
    <xf numFmtId="0" fontId="13" fillId="2" borderId="28" xfId="1" applyFont="1" applyFill="1" applyBorder="1" applyAlignment="1">
      <alignment horizontal="center" vertical="center"/>
    </xf>
    <xf numFmtId="0" fontId="3" fillId="2" borderId="28"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8" xfId="1" applyFont="1" applyFill="1" applyBorder="1" applyAlignment="1">
      <alignment horizontal="center"/>
    </xf>
    <xf numFmtId="0" fontId="2" fillId="2" borderId="29"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1" fillId="0" borderId="0" xfId="1" applyAlignment="1">
      <alignment horizontal="left"/>
    </xf>
    <xf numFmtId="0" fontId="2" fillId="2" borderId="12" xfId="1" applyFont="1" applyFill="1" applyBorder="1" applyAlignment="1">
      <alignment horizontal="left"/>
    </xf>
    <xf numFmtId="0" fontId="2" fillId="2" borderId="13" xfId="1" applyFont="1" applyFill="1" applyBorder="1" applyAlignment="1">
      <alignment horizontal="left"/>
    </xf>
    <xf numFmtId="0" fontId="19" fillId="2" borderId="15"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6" xfId="1" applyFont="1" applyFill="1" applyBorder="1" applyAlignment="1"/>
    <xf numFmtId="165" fontId="2" fillId="2" borderId="9" xfId="1" applyNumberFormat="1" applyFont="1" applyFill="1" applyBorder="1" applyAlignment="1"/>
    <xf numFmtId="0" fontId="2" fillId="2" borderId="26" xfId="1" applyFont="1" applyFill="1" applyBorder="1" applyAlignment="1">
      <alignment horizontal="center"/>
    </xf>
    <xf numFmtId="0" fontId="2" fillId="2" borderId="9" xfId="1" applyNumberFormat="1" applyFont="1" applyFill="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xf numFmtId="0" fontId="2" fillId="0" borderId="15" xfId="1" applyFont="1" applyBorder="1" applyAlignment="1">
      <alignment horizontal="center"/>
    </xf>
    <xf numFmtId="0" fontId="2" fillId="0" borderId="0" xfId="1" applyFont="1" applyBorder="1" applyAlignment="1">
      <alignment horizontal="center"/>
    </xf>
    <xf numFmtId="0" fontId="2" fillId="0" borderId="16" xfId="1" applyFont="1" applyBorder="1"/>
    <xf numFmtId="0" fontId="2" fillId="0" borderId="29" xfId="1" applyFont="1" applyBorder="1" applyAlignment="1">
      <alignment horizontal="center"/>
    </xf>
    <xf numFmtId="0" fontId="2" fillId="0" borderId="32" xfId="1" applyFont="1" applyBorder="1" applyAlignment="1">
      <alignment horizontal="center"/>
    </xf>
    <xf numFmtId="0" fontId="2" fillId="0" borderId="30" xfId="1" applyFont="1" applyBorder="1"/>
    <xf numFmtId="0" fontId="2" fillId="2" borderId="9" xfId="1" applyFont="1" applyFill="1" applyBorder="1" applyAlignment="1">
      <alignment horizontal="center"/>
    </xf>
    <xf numFmtId="0" fontId="20" fillId="2" borderId="15"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29" xfId="1" applyFont="1" applyFill="1" applyBorder="1"/>
    <xf numFmtId="0" fontId="2" fillId="2" borderId="30" xfId="1" applyFont="1" applyFill="1" applyBorder="1" applyAlignment="1">
      <alignment horizontal="left"/>
    </xf>
    <xf numFmtId="0" fontId="2" fillId="10" borderId="0" xfId="3" applyFont="1" applyFill="1"/>
    <xf numFmtId="0" fontId="5" fillId="10" borderId="0" xfId="3" applyFill="1"/>
    <xf numFmtId="0" fontId="2" fillId="11" borderId="30" xfId="3" applyFont="1" applyFill="1" applyBorder="1"/>
    <xf numFmtId="0" fontId="2" fillId="11" borderId="29" xfId="3" applyFont="1" applyFill="1" applyBorder="1"/>
    <xf numFmtId="0" fontId="2" fillId="11" borderId="16" xfId="3" applyFont="1" applyFill="1" applyBorder="1"/>
    <xf numFmtId="0" fontId="2" fillId="11" borderId="15" xfId="3" applyFont="1" applyFill="1" applyBorder="1"/>
    <xf numFmtId="0" fontId="2" fillId="11" borderId="14" xfId="3" applyFont="1" applyFill="1" applyBorder="1"/>
    <xf numFmtId="0" fontId="2" fillId="11" borderId="12" xfId="3" applyFont="1" applyFill="1" applyBorder="1"/>
    <xf numFmtId="0" fontId="2" fillId="2" borderId="26" xfId="1" applyNumberFormat="1" applyFont="1" applyFill="1" applyBorder="1" applyAlignment="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4" xfId="1" applyNumberFormat="1" applyFont="1" applyBorder="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165" fontId="6" fillId="0" borderId="15" xfId="1" applyNumberFormat="1" applyFont="1" applyBorder="1"/>
    <xf numFmtId="165" fontId="6" fillId="0" borderId="13" xfId="10" applyNumberFormat="1" applyFont="1" applyBorder="1"/>
    <xf numFmtId="165" fontId="6" fillId="0" borderId="12" xfId="1" applyNumberFormat="1" applyFont="1" applyBorder="1"/>
    <xf numFmtId="0" fontId="7" fillId="12"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165" fontId="6" fillId="0" borderId="13"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3"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24"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0" fontId="6" fillId="0" borderId="12"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22" fillId="14" borderId="5" xfId="0" applyFont="1" applyFill="1" applyBorder="1"/>
    <xf numFmtId="0" fontId="22" fillId="14" borderId="45" xfId="0" applyFont="1" applyFill="1" applyBorder="1"/>
    <xf numFmtId="0" fontId="22"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22" fillId="14" borderId="27" xfId="0" applyNumberFormat="1" applyFont="1" applyFill="1" applyBorder="1"/>
    <xf numFmtId="10" fontId="22"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6" fillId="0" borderId="0" xfId="1" applyNumberFormat="1" applyFont="1"/>
    <xf numFmtId="165" fontId="2" fillId="2" borderId="28" xfId="1" applyNumberFormat="1" applyFont="1" applyFill="1" applyBorder="1" applyAlignment="1"/>
    <xf numFmtId="0" fontId="2" fillId="2" borderId="28" xfId="1" applyFont="1" applyFill="1" applyBorder="1" applyAlignment="1"/>
    <xf numFmtId="0" fontId="2" fillId="2" borderId="28" xfId="1" applyNumberFormat="1" applyFont="1" applyFill="1" applyBorder="1" applyAlignment="1"/>
    <xf numFmtId="0" fontId="12" fillId="4" borderId="28" xfId="1" applyNumberFormat="1" applyFont="1" applyFill="1" applyBorder="1" applyAlignment="1" applyProtection="1">
      <alignment horizontal="left" vertical="center"/>
    </xf>
    <xf numFmtId="0" fontId="2" fillId="2" borderId="27" xfId="1" applyFont="1" applyFill="1" applyBorder="1" applyAlignment="1">
      <alignment horizontal="center"/>
    </xf>
    <xf numFmtId="165" fontId="2" fillId="2" borderId="27" xfId="1" applyNumberFormat="1" applyFont="1" applyFill="1" applyBorder="1" applyAlignment="1"/>
    <xf numFmtId="0" fontId="2" fillId="2" borderId="27" xfId="1" applyFont="1" applyFill="1" applyBorder="1" applyAlignment="1"/>
    <xf numFmtId="0" fontId="2" fillId="2" borderId="27" xfId="1" applyNumberFormat="1" applyFont="1" applyFill="1" applyBorder="1" applyAlignment="1"/>
    <xf numFmtId="0" fontId="12" fillId="4" borderId="27" xfId="1" applyNumberFormat="1" applyFont="1" applyFill="1" applyBorder="1" applyAlignment="1" applyProtection="1">
      <alignment horizontal="left" vertical="center"/>
    </xf>
    <xf numFmtId="0" fontId="2" fillId="2" borderId="26" xfId="1" applyNumberFormat="1" applyFont="1" applyFill="1" applyBorder="1" applyAlignment="1">
      <alignment horizontal="center"/>
    </xf>
    <xf numFmtId="165" fontId="2" fillId="2" borderId="26" xfId="1" applyNumberFormat="1" applyFont="1" applyFill="1" applyBorder="1" applyAlignment="1"/>
    <xf numFmtId="0" fontId="12" fillId="4" borderId="26" xfId="1" applyNumberFormat="1" applyFont="1" applyFill="1" applyBorder="1" applyAlignment="1" applyProtection="1">
      <alignment horizontal="left" vertical="center"/>
    </xf>
    <xf numFmtId="165" fontId="1" fillId="0" borderId="0" xfId="10"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3" xfId="1" applyFont="1" applyBorder="1" applyAlignment="1">
      <alignment horizontal="right" vertical="center"/>
    </xf>
    <xf numFmtId="0" fontId="7" fillId="13" borderId="36" xfId="1" applyFont="1" applyFill="1" applyBorder="1" applyAlignment="1">
      <alignment horizontal="center"/>
    </xf>
    <xf numFmtId="0" fontId="6" fillId="0" borderId="32" xfId="1" applyFont="1" applyBorder="1"/>
    <xf numFmtId="167" fontId="6" fillId="0" borderId="32" xfId="1" applyNumberFormat="1" applyFont="1" applyBorder="1"/>
    <xf numFmtId="165" fontId="6" fillId="0" borderId="32" xfId="2" applyNumberFormat="1" applyFont="1" applyBorder="1"/>
    <xf numFmtId="165" fontId="6" fillId="0" borderId="32" xfId="10" applyNumberFormat="1" applyFont="1" applyBorder="1"/>
    <xf numFmtId="0" fontId="6" fillId="0" borderId="30" xfId="1" applyFont="1" applyBorder="1"/>
    <xf numFmtId="0" fontId="6" fillId="11" borderId="0" xfId="1" applyFont="1" applyFill="1" applyBorder="1" applyAlignment="1">
      <alignment horizontal="left"/>
    </xf>
    <xf numFmtId="165" fontId="6" fillId="11" borderId="0" xfId="2" applyNumberFormat="1" applyFont="1" applyFill="1" applyBorder="1" applyAlignment="1">
      <alignment horizontal="right"/>
    </xf>
    <xf numFmtId="0" fontId="6" fillId="11" borderId="0" xfId="1" applyFont="1" applyFill="1" applyBorder="1" applyAlignment="1">
      <alignment horizontal="center"/>
    </xf>
    <xf numFmtId="167" fontId="6" fillId="11" borderId="0" xfId="1" applyNumberFormat="1" applyFont="1" applyFill="1" applyBorder="1" applyAlignment="1">
      <alignment horizontal="right"/>
    </xf>
    <xf numFmtId="167" fontId="6" fillId="11" borderId="4" xfId="1" applyNumberFormat="1" applyFont="1" applyFill="1" applyBorder="1" applyAlignment="1">
      <alignment horizontal="right"/>
    </xf>
    <xf numFmtId="0" fontId="6" fillId="11" borderId="7" xfId="1" applyFont="1" applyFill="1" applyBorder="1" applyAlignment="1">
      <alignment horizontal="left"/>
    </xf>
    <xf numFmtId="165" fontId="6" fillId="11" borderId="7" xfId="2" applyNumberFormat="1" applyFont="1" applyFill="1" applyBorder="1" applyAlignment="1">
      <alignment horizontal="right"/>
    </xf>
    <xf numFmtId="0" fontId="6" fillId="11" borderId="7" xfId="1" applyFont="1" applyFill="1" applyBorder="1" applyAlignment="1">
      <alignment horizontal="center"/>
    </xf>
    <xf numFmtId="167" fontId="6" fillId="11" borderId="7" xfId="1" applyNumberFormat="1" applyFont="1" applyFill="1" applyBorder="1" applyAlignment="1">
      <alignment horizontal="right"/>
    </xf>
    <xf numFmtId="167" fontId="6" fillId="11" borderId="6" xfId="1" applyNumberFormat="1" applyFont="1" applyFill="1" applyBorder="1" applyAlignment="1">
      <alignment horizontal="right"/>
    </xf>
    <xf numFmtId="10" fontId="6" fillId="0" borderId="15" xfId="1" applyNumberFormat="1" applyFont="1" applyBorder="1" applyAlignment="1">
      <alignment horizontal="right"/>
    </xf>
    <xf numFmtId="10" fontId="6" fillId="0" borderId="12" xfId="1" applyNumberFormat="1" applyFont="1" applyBorder="1" applyAlignment="1">
      <alignment horizontal="right"/>
    </xf>
    <xf numFmtId="10" fontId="6" fillId="0" borderId="29" xfId="1" applyNumberFormat="1" applyFont="1" applyBorder="1" applyAlignment="1">
      <alignment horizontal="right"/>
    </xf>
    <xf numFmtId="0" fontId="6" fillId="0" borderId="46" xfId="0" applyFont="1" applyBorder="1"/>
    <xf numFmtId="0" fontId="6" fillId="0" borderId="47" xfId="0" applyFont="1" applyBorder="1"/>
    <xf numFmtId="0" fontId="6" fillId="0" borderId="36" xfId="0" applyFont="1" applyBorder="1"/>
    <xf numFmtId="0" fontId="6" fillId="0" borderId="37" xfId="1" applyFont="1" applyBorder="1" applyAlignment="1">
      <alignment horizontal="center"/>
    </xf>
    <xf numFmtId="0" fontId="7" fillId="13" borderId="36" xfId="1" applyFont="1" applyFill="1" applyBorder="1" applyAlignment="1">
      <alignment horizontal="center" wrapText="1"/>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Monitor!$AA$19:$AA$3552</c:f>
              <c:numCache>
                <c:formatCode>0.0000%</c:formatCode>
                <c:ptCount val="3534"/>
                <c:pt idx="0">
                  <c:v>2.0219999995714638E-3</c:v>
                </c:pt>
                <c:pt idx="1">
                  <c:v>2.0230037230451713E-3</c:v>
                </c:pt>
                <c:pt idx="2">
                  <c:v>2.024062884734354E-3</c:v>
                </c:pt>
                <c:pt idx="3">
                  <c:v>2.025104339886306E-3</c:v>
                </c:pt>
                <c:pt idx="4">
                  <c:v>2.0261289949754808E-3</c:v>
                </c:pt>
                <c:pt idx="5">
                  <c:v>2.0290592440729417E-3</c:v>
                </c:pt>
                <c:pt idx="6">
                  <c:v>2.0300777442782696E-3</c:v>
                </c:pt>
                <c:pt idx="7">
                  <c:v>2.0310319962520622E-3</c:v>
                </c:pt>
                <c:pt idx="8">
                  <c:v>2.0319748870566124E-3</c:v>
                </c:pt>
                <c:pt idx="9">
                  <c:v>2.0329073231809469E-3</c:v>
                </c:pt>
                <c:pt idx="10">
                  <c:v>2.0355627711449837E-3</c:v>
                </c:pt>
                <c:pt idx="11">
                  <c:v>2.0365506507321993E-3</c:v>
                </c:pt>
                <c:pt idx="12">
                  <c:v>2.0374444108619723E-3</c:v>
                </c:pt>
                <c:pt idx="13">
                  <c:v>2.0383331552849999E-3</c:v>
                </c:pt>
                <c:pt idx="14">
                  <c:v>2.0392177905040011E-3</c:v>
                </c:pt>
                <c:pt idx="15">
                  <c:v>2.0418198013817746E-3</c:v>
                </c:pt>
                <c:pt idx="16">
                  <c:v>2.0427333694245744E-3</c:v>
                </c:pt>
                <c:pt idx="17">
                  <c:v>2.0436110562021951E-3</c:v>
                </c:pt>
                <c:pt idx="18">
                  <c:v>2.0444900728194795E-3</c:v>
                </c:pt>
                <c:pt idx="19">
                  <c:v>2.0454035769521444E-3</c:v>
                </c:pt>
                <c:pt idx="20">
                  <c:v>2.0481395595007947E-3</c:v>
                </c:pt>
                <c:pt idx="21">
                  <c:v>2.0490655335090339E-3</c:v>
                </c:pt>
                <c:pt idx="22">
                  <c:v>2.0500000000096968E-3</c:v>
                </c:pt>
                <c:pt idx="23">
                  <c:v>2.0509435404853379E-3</c:v>
                </c:pt>
                <c:pt idx="24">
                  <c:v>2.0518954561516297E-3</c:v>
                </c:pt>
                <c:pt idx="25">
                  <c:v>2.0547912657674651E-3</c:v>
                </c:pt>
                <c:pt idx="26">
                  <c:v>2.0557664936588743E-3</c:v>
                </c:pt>
                <c:pt idx="27">
                  <c:v>2.0567450024612109E-3</c:v>
                </c:pt>
                <c:pt idx="28">
                  <c:v>2.057725773313875E-3</c:v>
                </c:pt>
                <c:pt idx="29">
                  <c:v>2.0587077873514348E-3</c:v>
                </c:pt>
                <c:pt idx="30">
                  <c:v>2.0616510999112662E-3</c:v>
                </c:pt>
                <c:pt idx="31">
                  <c:v>2.0626278980134501E-3</c:v>
                </c:pt>
                <c:pt idx="32">
                  <c:v>2.0636008449518503E-3</c:v>
                </c:pt>
                <c:pt idx="33">
                  <c:v>2.0645689218509338E-3</c:v>
                </c:pt>
                <c:pt idx="34">
                  <c:v>2.0655311098325317E-3</c:v>
                </c:pt>
                <c:pt idx="35">
                  <c:v>2.0683721514652515E-3</c:v>
                </c:pt>
                <c:pt idx="36">
                  <c:v>2.0693005949600843E-3</c:v>
                </c:pt>
                <c:pt idx="37">
                  <c:v>2.0702180551197963E-3</c:v>
                </c:pt>
                <c:pt idx="38">
                  <c:v>2.0746049447287348E-3</c:v>
                </c:pt>
                <c:pt idx="39">
                  <c:v>2.0754351081572844E-3</c:v>
                </c:pt>
                <c:pt idx="40">
                  <c:v>2.0761652613450528E-3</c:v>
                </c:pt>
                <c:pt idx="41">
                  <c:v>2.0778075548877587E-3</c:v>
                </c:pt>
                <c:pt idx="42">
                  <c:v>2.0799999998527005E-3</c:v>
                </c:pt>
                <c:pt idx="43">
                  <c:v>2.0808571934241558E-3</c:v>
                </c:pt>
                <c:pt idx="44">
                  <c:v>2.0815621311522361E-3</c:v>
                </c:pt>
                <c:pt idx="45">
                  <c:v>2.0822409872864153E-3</c:v>
                </c:pt>
                <c:pt idx="46">
                  <c:v>2.082893536971421E-3</c:v>
                </c:pt>
                <c:pt idx="47">
                  <c:v>2.0842532978412359E-3</c:v>
                </c:pt>
                <c:pt idx="48">
                  <c:v>2.0852361741429625E-3</c:v>
                </c:pt>
                <c:pt idx="49">
                  <c:v>2.0857538187821593E-3</c:v>
                </c:pt>
                <c:pt idx="50">
                  <c:v>2.0862438078573303E-3</c:v>
                </c:pt>
                <c:pt idx="51">
                  <c:v>2.0867059165198261E-3</c:v>
                </c:pt>
                <c:pt idx="52">
                  <c:v>2.0872426743638213E-3</c:v>
                </c:pt>
                <c:pt idx="53">
                  <c:v>2.0882710500899765E-3</c:v>
                </c:pt>
                <c:pt idx="54">
                  <c:v>2.0885903839832276E-3</c:v>
                </c:pt>
                <c:pt idx="55">
                  <c:v>2.088880488388698E-3</c:v>
                </c:pt>
                <c:pt idx="56">
                  <c:v>2.0891411384648061E-3</c:v>
                </c:pt>
                <c:pt idx="57">
                  <c:v>2.0888914305639606E-3</c:v>
                </c:pt>
                <c:pt idx="58">
                  <c:v>2.0898846986762199E-3</c:v>
                </c:pt>
                <c:pt idx="59">
                  <c:v>2.0899947045175619E-3</c:v>
                </c:pt>
                <c:pt idx="60">
                  <c:v>2.0900739070038995E-3</c:v>
                </c:pt>
                <c:pt idx="61">
                  <c:v>2.089202149835372E-3</c:v>
                </c:pt>
                <c:pt idx="62">
                  <c:v>2.0891228699516152E-3</c:v>
                </c:pt>
                <c:pt idx="63">
                  <c:v>2.0900000000000675E-3</c:v>
                </c:pt>
                <c:pt idx="64">
                  <c:v>2.0898899192581975E-3</c:v>
                </c:pt>
                <c:pt idx="65">
                  <c:v>2.0897490114357709E-3</c:v>
                </c:pt>
                <c:pt idx="66">
                  <c:v>2.0895786017847396E-3</c:v>
                </c:pt>
                <c:pt idx="67">
                  <c:v>2.087952800441762E-3</c:v>
                </c:pt>
                <c:pt idx="68">
                  <c:v>2.0886284499473098E-3</c:v>
                </c:pt>
                <c:pt idx="69">
                  <c:v>2.0883304099497666E-3</c:v>
                </c:pt>
                <c:pt idx="70">
                  <c:v>2.0880108196446073E-3</c:v>
                </c:pt>
                <c:pt idx="71">
                  <c:v>2.0876710042868761E-3</c:v>
                </c:pt>
                <c:pt idx="72">
                  <c:v>2.0857508806515247E-3</c:v>
                </c:pt>
                <c:pt idx="73">
                  <c:v>2.0861359974001939E-3</c:v>
                </c:pt>
                <c:pt idx="74">
                  <c:v>2.0857149355778789E-3</c:v>
                </c:pt>
                <c:pt idx="75">
                  <c:v>2.0852816002177978E-3</c:v>
                </c:pt>
                <c:pt idx="76">
                  <c:v>2.0848373165705779E-3</c:v>
                </c:pt>
                <c:pt idx="77">
                  <c:v>2.0829692110153545E-3</c:v>
                </c:pt>
                <c:pt idx="78">
                  <c:v>2.0829772040667723E-3</c:v>
                </c:pt>
                <c:pt idx="79">
                  <c:v>2.082498057693366E-3</c:v>
                </c:pt>
                <c:pt idx="80">
                  <c:v>2.082015914509204E-3</c:v>
                </c:pt>
                <c:pt idx="81">
                  <c:v>2.0809939181704851E-3</c:v>
                </c:pt>
                <c:pt idx="82">
                  <c:v>2.0802381544272946E-3</c:v>
                </c:pt>
                <c:pt idx="83">
                  <c:v>2.0799999999998116E-3</c:v>
                </c:pt>
                <c:pt idx="84">
                  <c:v>2.0797754519670353E-3</c:v>
                </c:pt>
                <c:pt idx="85">
                  <c:v>2.0805238139786466E-3</c:v>
                </c:pt>
                <c:pt idx="86">
                  <c:v>2.0798874454974331E-3</c:v>
                </c:pt>
                <c:pt idx="87">
                  <c:v>2.0788632657761049E-3</c:v>
                </c:pt>
                <c:pt idx="88">
                  <c:v>2.0787236283353644E-3</c:v>
                </c:pt>
                <c:pt idx="89">
                  <c:v>2.0785984871618535E-3</c:v>
                </c:pt>
                <c:pt idx="90">
                  <c:v>2.080297929763658E-3</c:v>
                </c:pt>
                <c:pt idx="91">
                  <c:v>2.0793265820591459E-3</c:v>
                </c:pt>
                <c:pt idx="92">
                  <c:v>2.0781936703761087E-3</c:v>
                </c:pt>
                <c:pt idx="93">
                  <c:v>2.0781575738516435E-3</c:v>
                </c:pt>
                <c:pt idx="94">
                  <c:v>2.0781366626128161E-3</c:v>
                </c:pt>
                <c:pt idx="95">
                  <c:v>2.0804493870104023E-3</c:v>
                </c:pt>
                <c:pt idx="96">
                  <c:v>2.079318243124414E-3</c:v>
                </c:pt>
                <c:pt idx="97">
                  <c:v>2.0782633308343798E-3</c:v>
                </c:pt>
                <c:pt idx="98">
                  <c:v>2.078335598396749E-3</c:v>
                </c:pt>
                <c:pt idx="99">
                  <c:v>2.0784237402779343E-3</c:v>
                </c:pt>
                <c:pt idx="100">
                  <c:v>2.0810115856627655E-3</c:v>
                </c:pt>
                <c:pt idx="101">
                  <c:v>2.0798960088688504E-3</c:v>
                </c:pt>
                <c:pt idx="102">
                  <c:v>2.0791060097071481E-3</c:v>
                </c:pt>
                <c:pt idx="103">
                  <c:v>2.0780538110529933E-3</c:v>
                </c:pt>
                <c:pt idx="104">
                  <c:v>2.0782706653173747E-3</c:v>
                </c:pt>
                <c:pt idx="105">
                  <c:v>2.0785077455272648E-3</c:v>
                </c:pt>
                <c:pt idx="106">
                  <c:v>2.0799999999998233E-3</c:v>
                </c:pt>
                <c:pt idx="107">
                  <c:v>2.0803601495261999E-3</c:v>
                </c:pt>
                <c:pt idx="108">
                  <c:v>2.0807390283985195E-3</c:v>
                </c:pt>
                <c:pt idx="109">
                  <c:v>2.0829794133389785E-3</c:v>
                </c:pt>
                <c:pt idx="110">
                  <c:v>2.0824000278021121E-3</c:v>
                </c:pt>
                <c:pt idx="111">
                  <c:v>2.082841196234171E-3</c:v>
                </c:pt>
                <c:pt idx="112">
                  <c:v>2.0832885511335251E-3</c:v>
                </c:pt>
                <c:pt idx="113">
                  <c:v>2.0837400020145749E-3</c:v>
                </c:pt>
                <c:pt idx="114">
                  <c:v>2.0854549243610955E-3</c:v>
                </c:pt>
                <c:pt idx="115">
                  <c:v>2.0855449555808561E-3</c:v>
                </c:pt>
                <c:pt idx="116">
                  <c:v>2.0859855290221918E-3</c:v>
                </c:pt>
                <c:pt idx="117">
                  <c:v>2.0864176554927548E-3</c:v>
                </c:pt>
                <c:pt idx="118">
                  <c:v>2.0868392444934043E-3</c:v>
                </c:pt>
                <c:pt idx="119">
                  <c:v>2.0878595051865771E-3</c:v>
                </c:pt>
                <c:pt idx="120">
                  <c:v>2.0883784157717041E-3</c:v>
                </c:pt>
                <c:pt idx="121">
                  <c:v>2.0887159598920089E-3</c:v>
                </c:pt>
                <c:pt idx="122">
                  <c:v>2.0890304235222264E-3</c:v>
                </c:pt>
                <c:pt idx="123">
                  <c:v>2.0893197161544804E-3</c:v>
                </c:pt>
                <c:pt idx="124">
                  <c:v>2.090000000000051E-3</c:v>
                </c:pt>
                <c:pt idx="125">
                  <c:v>2.0900786384657902E-3</c:v>
                </c:pt>
                <c:pt idx="126">
                  <c:v>2.0901241958427913E-3</c:v>
                </c:pt>
                <c:pt idx="127">
                  <c:v>2.0893779627291719E-3</c:v>
                </c:pt>
                <c:pt idx="128">
                  <c:v>2.0897281628324948E-3</c:v>
                </c:pt>
                <c:pt idx="129">
                  <c:v>2.089961972770425E-3</c:v>
                </c:pt>
                <c:pt idx="130">
                  <c:v>2.0898727674538132E-3</c:v>
                </c:pt>
                <c:pt idx="131">
                  <c:v>2.0897717223341502E-3</c:v>
                </c:pt>
                <c:pt idx="132">
                  <c:v>2.0886593426912873E-3</c:v>
                </c:pt>
                <c:pt idx="133">
                  <c:v>2.0890423536453254E-3</c:v>
                </c:pt>
                <c:pt idx="134">
                  <c:v>2.0891951061224154E-3</c:v>
                </c:pt>
                <c:pt idx="135">
                  <c:v>2.0890867460345566E-3</c:v>
                </c:pt>
                <c:pt idx="136">
                  <c:v>2.0889877874210789E-3</c:v>
                </c:pt>
                <c:pt idx="137">
                  <c:v>2.088124013907405E-3</c:v>
                </c:pt>
                <c:pt idx="138">
                  <c:v>2.088455948252757E-3</c:v>
                </c:pt>
                <c:pt idx="139">
                  <c:v>2.0887402227531826E-3</c:v>
                </c:pt>
                <c:pt idx="140">
                  <c:v>2.0887613967592094E-3</c:v>
                </c:pt>
                <c:pt idx="141">
                  <c:v>2.088813213500542E-3</c:v>
                </c:pt>
                <c:pt idx="142">
                  <c:v>2.0888016184020699E-3</c:v>
                </c:pt>
                <c:pt idx="143">
                  <c:v>2.0890041484830481E-3</c:v>
                </c:pt>
                <c:pt idx="144">
                  <c:v>2.0895117532873427E-3</c:v>
                </c:pt>
                <c:pt idx="145">
                  <c:v>2.0897321942210463E-3</c:v>
                </c:pt>
                <c:pt idx="146">
                  <c:v>2.0900000002991252E-3</c:v>
                </c:pt>
                <c:pt idx="147">
                  <c:v>2.0903175733956881E-3</c:v>
                </c:pt>
                <c:pt idx="148">
                  <c:v>2.0916426714057915E-3</c:v>
                </c:pt>
                <c:pt idx="149">
                  <c:v>2.0920751474767158E-3</c:v>
                </c:pt>
                <c:pt idx="150">
                  <c:v>2.0926321413773357E-3</c:v>
                </c:pt>
                <c:pt idx="151">
                  <c:v>2.0932344874214168E-3</c:v>
                </c:pt>
                <c:pt idx="152">
                  <c:v>2.093881341609117E-3</c:v>
                </c:pt>
                <c:pt idx="153">
                  <c:v>2.096377788496002E-3</c:v>
                </c:pt>
                <c:pt idx="154">
                  <c:v>2.096896959857346E-3</c:v>
                </c:pt>
                <c:pt idx="155">
                  <c:v>2.0977536948214109E-3</c:v>
                </c:pt>
                <c:pt idx="156">
                  <c:v>2.0986498739623623E-3</c:v>
                </c:pt>
                <c:pt idx="157">
                  <c:v>2.0995846532895304E-3</c:v>
                </c:pt>
                <c:pt idx="158">
                  <c:v>2.1028732922909444E-3</c:v>
                </c:pt>
                <c:pt idx="159">
                  <c:v>2.1036928926744958E-3</c:v>
                </c:pt>
                <c:pt idx="160">
                  <c:v>2.1048080130954164E-3</c:v>
                </c:pt>
                <c:pt idx="161">
                  <c:v>2.1059566697698927E-3</c:v>
                </c:pt>
                <c:pt idx="162">
                  <c:v>2.1108609177238908E-3</c:v>
                </c:pt>
                <c:pt idx="163">
                  <c:v>2.1108428180079213E-3</c:v>
                </c:pt>
                <c:pt idx="164">
                  <c:v>2.1121734573075492E-3</c:v>
                </c:pt>
                <c:pt idx="165">
                  <c:v>2.114736418447978E-3</c:v>
                </c:pt>
                <c:pt idx="166">
                  <c:v>2.1195941477399186E-3</c:v>
                </c:pt>
                <c:pt idx="167">
                  <c:v>2.1197788197140927E-3</c:v>
                </c:pt>
                <c:pt idx="168">
                  <c:v>2.11999999999963E-3</c:v>
                </c:pt>
                <c:pt idx="169">
                  <c:v>2.123155841268644E-3</c:v>
                </c:pt>
                <c:pt idx="170">
                  <c:v>2.1246402106708203E-3</c:v>
                </c:pt>
                <c:pt idx="171">
                  <c:v>2.1261491010460751E-3</c:v>
                </c:pt>
                <c:pt idx="172">
                  <c:v>2.1296455453007602E-3</c:v>
                </c:pt>
                <c:pt idx="173">
                  <c:v>2.1302054550091333E-3</c:v>
                </c:pt>
                <c:pt idx="174">
                  <c:v>2.1340187708223488E-3</c:v>
                </c:pt>
                <c:pt idx="175">
                  <c:v>2.1356492289730149E-3</c:v>
                </c:pt>
                <c:pt idx="176">
                  <c:v>2.1372956887119963E-3</c:v>
                </c:pt>
                <c:pt idx="177">
                  <c:v>2.1405475156676514E-3</c:v>
                </c:pt>
                <c:pt idx="178">
                  <c:v>2.1414132390003967E-3</c:v>
                </c:pt>
                <c:pt idx="179">
                  <c:v>2.1457254136870094E-3</c:v>
                </c:pt>
                <c:pt idx="180">
                  <c:v>2.1474423243749781E-3</c:v>
                </c:pt>
                <c:pt idx="181">
                  <c:v>2.1491667170870777E-3</c:v>
                </c:pt>
                <c:pt idx="182">
                  <c:v>2.1521101962509734E-3</c:v>
                </c:pt>
                <c:pt idx="183">
                  <c:v>2.1532244542948557E-3</c:v>
                </c:pt>
                <c:pt idx="184">
                  <c:v>2.1578583124748363E-3</c:v>
                </c:pt>
                <c:pt idx="185">
                  <c:v>2.1596020381504269E-3</c:v>
                </c:pt>
                <c:pt idx="186">
                  <c:v>2.1613447260822138E-3</c:v>
                </c:pt>
                <c:pt idx="187">
                  <c:v>2.1626339947408749E-3</c:v>
                </c:pt>
                <c:pt idx="188">
                  <c:v>2.1639518881452617E-3</c:v>
                </c:pt>
                <c:pt idx="189">
                  <c:v>2.1699999999997932E-3</c:v>
                </c:pt>
                <c:pt idx="190">
                  <c:v>2.1717112103084631E-3</c:v>
                </c:pt>
                <c:pt idx="191">
                  <c:v>2.1734147148102707E-3</c:v>
                </c:pt>
                <c:pt idx="192">
                  <c:v>2.1756318765770422E-3</c:v>
                </c:pt>
                <c:pt idx="193">
                  <c:v>2.1770521931462729E-3</c:v>
                </c:pt>
                <c:pt idx="194">
                  <c:v>2.1818388670599592E-3</c:v>
                </c:pt>
                <c:pt idx="195">
                  <c:v>2.1835094668567192E-3</c:v>
                </c:pt>
                <c:pt idx="196">
                  <c:v>2.1851768042457438E-3</c:v>
                </c:pt>
                <c:pt idx="197">
                  <c:v>2.187367874776107E-3</c:v>
                </c:pt>
                <c:pt idx="198">
                  <c:v>2.1887708333947248E-3</c:v>
                </c:pt>
                <c:pt idx="199">
                  <c:v>2.1934867724545141E-3</c:v>
                </c:pt>
                <c:pt idx="200">
                  <c:v>2.1951478658547349E-3</c:v>
                </c:pt>
                <c:pt idx="201">
                  <c:v>2.1968101403536523E-3</c:v>
                </c:pt>
                <c:pt idx="202">
                  <c:v>2.1993575242179775E-3</c:v>
                </c:pt>
                <c:pt idx="203">
                  <c:v>2.2005993599149344E-3</c:v>
                </c:pt>
                <c:pt idx="204">
                  <c:v>2.2051614472292599E-3</c:v>
                </c:pt>
                <c:pt idx="205">
                  <c:v>2.2068441390929333E-3</c:v>
                </c:pt>
                <c:pt idx="206">
                  <c:v>2.2085324556668689E-3</c:v>
                </c:pt>
                <c:pt idx="207">
                  <c:v>2.2118162262101965E-3</c:v>
                </c:pt>
                <c:pt idx="208">
                  <c:v>2.2127543343861932E-3</c:v>
                </c:pt>
                <c:pt idx="209">
                  <c:v>2.2152233533738572E-3</c:v>
                </c:pt>
                <c:pt idx="210">
                  <c:v>2.2168124812800456E-3</c:v>
                </c:pt>
                <c:pt idx="211">
                  <c:v>2.2184044828971734E-3</c:v>
                </c:pt>
                <c:pt idx="212">
                  <c:v>2.2200000000002257E-3</c:v>
                </c:pt>
                <c:pt idx="213">
                  <c:v>2.2215997059832899E-3</c:v>
                </c:pt>
                <c:pt idx="214">
                  <c:v>2.2264320824062602E-3</c:v>
                </c:pt>
                <c:pt idx="215">
                  <c:v>2.2280567323527027E-3</c:v>
                </c:pt>
                <c:pt idx="216">
                  <c:v>2.2296896970322231E-3</c:v>
                </c:pt>
                <c:pt idx="217">
                  <c:v>2.2313318079484785E-3</c:v>
                </c:pt>
                <c:pt idx="218">
                  <c:v>2.2329838966068834E-3</c:v>
                </c:pt>
                <c:pt idx="219">
                  <c:v>2.2380083441334905E-3</c:v>
                </c:pt>
                <c:pt idx="220">
                  <c:v>2.2397086588752417E-3</c:v>
                </c:pt>
                <c:pt idx="221">
                  <c:v>2.24142310893145E-3</c:v>
                </c:pt>
                <c:pt idx="222">
                  <c:v>2.2431525258264158E-3</c:v>
                </c:pt>
                <c:pt idx="223">
                  <c:v>2.2448977410866352E-3</c:v>
                </c:pt>
                <c:pt idx="224">
                  <c:v>2.2502364923843838E-3</c:v>
                </c:pt>
                <c:pt idx="225">
                  <c:v>2.2520532164456812E-3</c:v>
                </c:pt>
                <c:pt idx="226">
                  <c:v>2.2538898965596132E-3</c:v>
                </c:pt>
                <c:pt idx="227">
                  <c:v>2.2557473642733188E-3</c:v>
                </c:pt>
                <c:pt idx="228">
                  <c:v>2.2663224481933942E-3</c:v>
                </c:pt>
                <c:pt idx="229">
                  <c:v>2.265614589583726E-3</c:v>
                </c:pt>
                <c:pt idx="230">
                  <c:v>2.2653756212891647E-3</c:v>
                </c:pt>
                <c:pt idx="231">
                  <c:v>2.2696014875640074E-3</c:v>
                </c:pt>
                <c:pt idx="232">
                  <c:v>2.2716302482434585E-3</c:v>
                </c:pt>
                <c:pt idx="233">
                  <c:v>2.2780904113154457E-3</c:v>
                </c:pt>
                <c:pt idx="234">
                  <c:v>2.2799999997582679E-3</c:v>
                </c:pt>
                <c:pt idx="235">
                  <c:v>2.2821603654002752E-3</c:v>
                </c:pt>
                <c:pt idx="236">
                  <c:v>2.2843502021214113E-3</c:v>
                </c:pt>
                <c:pt idx="237">
                  <c:v>2.286570564931745E-3</c:v>
                </c:pt>
                <c:pt idx="238">
                  <c:v>2.2930307960182506E-3</c:v>
                </c:pt>
                <c:pt idx="239">
                  <c:v>2.2957366123889629E-3</c:v>
                </c:pt>
                <c:pt idx="240">
                  <c:v>2.298092946965165E-3</c:v>
                </c:pt>
                <c:pt idx="241">
                  <c:v>2.3004726800712567E-3</c:v>
                </c:pt>
                <c:pt idx="242">
                  <c:v>2.3028745464225308E-3</c:v>
                </c:pt>
                <c:pt idx="243">
                  <c:v>2.3091038955333804E-3</c:v>
                </c:pt>
                <c:pt idx="244">
                  <c:v>2.3126780383577157E-3</c:v>
                </c:pt>
                <c:pt idx="245">
                  <c:v>2.3151715914467544E-3</c:v>
                </c:pt>
                <c:pt idx="246">
                  <c:v>2.317679685945618E-3</c:v>
                </c:pt>
                <c:pt idx="247">
                  <c:v>2.3202010565281017E-3</c:v>
                </c:pt>
                <c:pt idx="248">
                  <c:v>2.3259376647020462E-3</c:v>
                </c:pt>
                <c:pt idx="249">
                  <c:v>2.3303939929473802E-3</c:v>
                </c:pt>
                <c:pt idx="250">
                  <c:v>2.3329627638316898E-3</c:v>
                </c:pt>
                <c:pt idx="251">
                  <c:v>2.3355372187082923E-3</c:v>
                </c:pt>
                <c:pt idx="252">
                  <c:v>2.3381160922064294E-3</c:v>
                </c:pt>
                <c:pt idx="253">
                  <c:v>2.339401920337152E-3</c:v>
                </c:pt>
                <c:pt idx="254">
                  <c:v>2.3473491376723543E-3</c:v>
                </c:pt>
                <c:pt idx="255">
                  <c:v>2.3499999999993643E-3</c:v>
                </c:pt>
                <c:pt idx="256">
                  <c:v>2.3526506828488425E-3</c:v>
                </c:pt>
                <c:pt idx="257">
                  <c:v>2.355304224284655E-3</c:v>
                </c:pt>
                <c:pt idx="258">
                  <c:v>2.3579610270905429E-3</c:v>
                </c:pt>
                <c:pt idx="259">
                  <c:v>2.3659458279154727E-3</c:v>
                </c:pt>
                <c:pt idx="260">
                  <c:v>2.3686105003752999E-3</c:v>
                </c:pt>
                <c:pt idx="261">
                  <c:v>2.3712758462784062E-3</c:v>
                </c:pt>
                <c:pt idx="262">
                  <c:v>2.3739413480317905E-3</c:v>
                </c:pt>
                <c:pt idx="263">
                  <c:v>2.3766064880384984E-3</c:v>
                </c:pt>
                <c:pt idx="264">
                  <c:v>2.3845945615747605E-3</c:v>
                </c:pt>
                <c:pt idx="265">
                  <c:v>2.3872530785760274E-3</c:v>
                </c:pt>
                <c:pt idx="266">
                  <c:v>2.389908645807196E-3</c:v>
                </c:pt>
                <c:pt idx="267">
                  <c:v>2.3925607456554998E-3</c:v>
                </c:pt>
                <c:pt idx="268">
                  <c:v>2.3952088605046599E-3</c:v>
                </c:pt>
                <c:pt idx="269">
                  <c:v>2.4031241188602242E-3</c:v>
                </c:pt>
                <c:pt idx="270">
                  <c:v>2.4057511175012616E-3</c:v>
                </c:pt>
                <c:pt idx="271">
                  <c:v>2.4083715430231072E-3</c:v>
                </c:pt>
                <c:pt idx="272">
                  <c:v>2.4109848777945486E-3</c:v>
                </c:pt>
                <c:pt idx="273">
                  <c:v>2.4135906041795412E-3</c:v>
                </c:pt>
                <c:pt idx="274">
                  <c:v>2.4221528308567067E-3</c:v>
                </c:pt>
                <c:pt idx="275">
                  <c:v>2.4247745781175258E-3</c:v>
                </c:pt>
                <c:pt idx="276">
                  <c:v>2.4273904727685823E-3</c:v>
                </c:pt>
                <c:pt idx="277">
                  <c:v>2.4299999999998234E-3</c:v>
                </c:pt>
                <c:pt idx="278">
                  <c:v>2.4348456858573658E-3</c:v>
                </c:pt>
                <c:pt idx="279">
                  <c:v>2.4403729529602286E-3</c:v>
                </c:pt>
                <c:pt idx="280">
                  <c:v>2.4429513222134136E-3</c:v>
                </c:pt>
                <c:pt idx="281">
                  <c:v>2.4455243669694719E-3</c:v>
                </c:pt>
                <c:pt idx="282">
                  <c:v>2.4480923987807162E-3</c:v>
                </c:pt>
                <c:pt idx="283">
                  <c:v>2.4535672442741975E-3</c:v>
                </c:pt>
                <c:pt idx="284">
                  <c:v>2.4583206276701428E-3</c:v>
                </c:pt>
                <c:pt idx="285">
                  <c:v>2.4608682680922638E-3</c:v>
                </c:pt>
                <c:pt idx="286">
                  <c:v>2.4634127649153423E-3</c:v>
                </c:pt>
                <c:pt idx="287">
                  <c:v>2.4659544297026131E-3</c:v>
                </c:pt>
                <c:pt idx="288">
                  <c:v>2.4717910357917624E-3</c:v>
                </c:pt>
                <c:pt idx="289">
                  <c:v>2.476098999820763E-3</c:v>
                </c:pt>
                <c:pt idx="290">
                  <c:v>2.4786311779377867E-3</c:v>
                </c:pt>
                <c:pt idx="291">
                  <c:v>2.4811623934333517E-3</c:v>
                </c:pt>
                <c:pt idx="292">
                  <c:v>2.4836929578816139E-3</c:v>
                </c:pt>
                <c:pt idx="293">
                  <c:v>2.4938149367598468E-3</c:v>
                </c:pt>
                <c:pt idx="294">
                  <c:v>2.4963469196511768E-3</c:v>
                </c:pt>
                <c:pt idx="295">
                  <c:v>2.4988801209776955E-3</c:v>
                </c:pt>
                <c:pt idx="296">
                  <c:v>2.4997507947617042E-3</c:v>
                </c:pt>
                <c:pt idx="297">
                  <c:v>2.5100000000000612E-3</c:v>
                </c:pt>
                <c:pt idx="298">
                  <c:v>2.5125766209245946E-3</c:v>
                </c:pt>
                <c:pt idx="299">
                  <c:v>2.5151593173509883E-3</c:v>
                </c:pt>
                <c:pt idx="300">
                  <c:v>2.5177481036945237E-3</c:v>
                </c:pt>
                <c:pt idx="301">
                  <c:v>2.5203429943704832E-3</c:v>
                </c:pt>
                <c:pt idx="302">
                  <c:v>2.5281644365452889E-3</c:v>
                </c:pt>
                <c:pt idx="303">
                  <c:v>2.5307838887042061E-3</c:v>
                </c:pt>
                <c:pt idx="304">
                  <c:v>2.533409517274154E-3</c:v>
                </c:pt>
                <c:pt idx="305">
                  <c:v>2.5360413366704148E-3</c:v>
                </c:pt>
                <c:pt idx="306">
                  <c:v>2.5386793613091495E-3</c:v>
                </c:pt>
                <c:pt idx="307">
                  <c:v>2.5466308108431195E-3</c:v>
                </c:pt>
                <c:pt idx="308">
                  <c:v>2.54929380061599E-3</c:v>
                </c:pt>
                <c:pt idx="309">
                  <c:v>2.5519630677143332E-3</c:v>
                </c:pt>
                <c:pt idx="310">
                  <c:v>2.5546386265543094E-3</c:v>
                </c:pt>
                <c:pt idx="311">
                  <c:v>2.5573204915542757E-3</c:v>
                </c:pt>
                <c:pt idx="312">
                  <c:v>2.565404067682746E-3</c:v>
                </c:pt>
                <c:pt idx="313">
                  <c:v>2.5681113014939397E-3</c:v>
                </c:pt>
                <c:pt idx="314">
                  <c:v>2.5708249135520749E-3</c:v>
                </c:pt>
                <c:pt idx="315">
                  <c:v>2.5735449182750694E-3</c:v>
                </c:pt>
                <c:pt idx="316">
                  <c:v>2.57627133008084E-3</c:v>
                </c:pt>
                <c:pt idx="317">
                  <c:v>2.584489152180573E-3</c:v>
                </c:pt>
                <c:pt idx="318">
                  <c:v>2.587241336502333E-3</c:v>
                </c:pt>
                <c:pt idx="319">
                  <c:v>2.589999999999531E-3</c:v>
                </c:pt>
                <c:pt idx="320">
                  <c:v>2.5927651644310256E-3</c:v>
                </c:pt>
                <c:pt idx="321">
                  <c:v>2.5955368809115332E-3</c:v>
                </c:pt>
                <c:pt idx="322">
                  <c:v>2.603891927203715E-3</c:v>
                </c:pt>
                <c:pt idx="323">
                  <c:v>2.6066904364381721E-3</c:v>
                </c:pt>
                <c:pt idx="324">
                  <c:v>2.6094957900021283E-3</c:v>
                </c:pt>
                <c:pt idx="325">
                  <c:v>2.6123080463525583E-3</c:v>
                </c:pt>
                <c:pt idx="326">
                  <c:v>2.6151272639473168E-3</c:v>
                </c:pt>
                <c:pt idx="327">
                  <c:v>2.6236272687804934E-3</c:v>
                </c:pt>
                <c:pt idx="328">
                  <c:v>2.6264749159372529E-3</c:v>
                </c:pt>
                <c:pt idx="329">
                  <c:v>2.6293298166324419E-3</c:v>
                </c:pt>
                <c:pt idx="330">
                  <c:v>2.6321920293261103E-3</c:v>
                </c:pt>
                <c:pt idx="331">
                  <c:v>2.635061612479186E-3</c:v>
                </c:pt>
                <c:pt idx="332">
                  <c:v>2.6437151693045825E-3</c:v>
                </c:pt>
                <c:pt idx="333">
                  <c:v>2.6466148189076477E-3</c:v>
                </c:pt>
                <c:pt idx="334">
                  <c:v>2.649522131278715E-3</c:v>
                </c:pt>
                <c:pt idx="335">
                  <c:v>2.6524371648809094E-3</c:v>
                </c:pt>
                <c:pt idx="336">
                  <c:v>2.6553599781777948E-3</c:v>
                </c:pt>
                <c:pt idx="337">
                  <c:v>2.6670117852022482E-3</c:v>
                </c:pt>
                <c:pt idx="338">
                  <c:v>2.670113810930273E-3</c:v>
                </c:pt>
                <c:pt idx="339">
                  <c:v>2.6732311645242309E-3</c:v>
                </c:pt>
                <c:pt idx="340">
                  <c:v>2.6799999999998509E-3</c:v>
                </c:pt>
                <c:pt idx="341">
                  <c:v>2.6813768065501236E-3</c:v>
                </c:pt>
                <c:pt idx="342">
                  <c:v>2.6891056898949708E-3</c:v>
                </c:pt>
                <c:pt idx="343">
                  <c:v>2.6923540464613115E-3</c:v>
                </c:pt>
                <c:pt idx="344">
                  <c:v>2.6956250350174127E-3</c:v>
                </c:pt>
                <c:pt idx="345">
                  <c:v>2.7036696192081397E-3</c:v>
                </c:pt>
                <c:pt idx="346">
                  <c:v>2.7046404172990394E-3</c:v>
                </c:pt>
                <c:pt idx="347">
                  <c:v>2.7122562201178082E-3</c:v>
                </c:pt>
                <c:pt idx="348">
                  <c:v>2.7156250579365151E-3</c:v>
                </c:pt>
                <c:pt idx="349">
                  <c:v>2.7190038800772864E-3</c:v>
                </c:pt>
                <c:pt idx="350">
                  <c:v>2.7278307460957166E-3</c:v>
                </c:pt>
                <c:pt idx="351">
                  <c:v>2.7285264877373685E-3</c:v>
                </c:pt>
                <c:pt idx="352">
                  <c:v>2.7359845151475122E-3</c:v>
                </c:pt>
                <c:pt idx="353">
                  <c:v>2.7393852987691787E-3</c:v>
                </c:pt>
                <c:pt idx="354">
                  <c:v>2.7427834184461279E-3</c:v>
                </c:pt>
                <c:pt idx="355">
                  <c:v>2.7518702746140698E-3</c:v>
                </c:pt>
                <c:pt idx="356">
                  <c:v>2.7630150038674469E-3</c:v>
                </c:pt>
                <c:pt idx="357">
                  <c:v>2.7663438807702728E-3</c:v>
                </c:pt>
                <c:pt idx="358">
                  <c:v>2.7668404762340587E-3</c:v>
                </c:pt>
                <c:pt idx="359">
                  <c:v>2.7757003328719972E-3</c:v>
                </c:pt>
                <c:pt idx="360">
                  <c:v>2.7800000000011331E-3</c:v>
                </c:pt>
                <c:pt idx="361">
                  <c:v>2.783240770139063E-3</c:v>
                </c:pt>
                <c:pt idx="362">
                  <c:v>2.786463361467715E-3</c:v>
                </c:pt>
                <c:pt idx="363">
                  <c:v>2.7896709674692897E-3</c:v>
                </c:pt>
                <c:pt idx="364">
                  <c:v>2.7979510840841302E-3</c:v>
                </c:pt>
                <c:pt idx="365">
                  <c:v>2.8024131013331777E-3</c:v>
                </c:pt>
                <c:pt idx="366">
                  <c:v>2.8055919532191612E-3</c:v>
                </c:pt>
                <c:pt idx="367">
                  <c:v>2.8087742889247162E-3</c:v>
                </c:pt>
                <c:pt idx="368">
                  <c:v>2.8119631867122965E-3</c:v>
                </c:pt>
                <c:pt idx="369">
                  <c:v>2.8198763775732212E-3</c:v>
                </c:pt>
                <c:pt idx="370">
                  <c:v>2.8248459645915255E-3</c:v>
                </c:pt>
                <c:pt idx="371">
                  <c:v>2.828113847402218E-3</c:v>
                </c:pt>
                <c:pt idx="372">
                  <c:v>2.8314067622850631E-3</c:v>
                </c:pt>
                <c:pt idx="373">
                  <c:v>2.8347277876453513E-3</c:v>
                </c:pt>
                <c:pt idx="374">
                  <c:v>2.8425270405050937E-3</c:v>
                </c:pt>
                <c:pt idx="375">
                  <c:v>2.8483545627355231E-3</c:v>
                </c:pt>
                <c:pt idx="376">
                  <c:v>2.8518623173416479E-3</c:v>
                </c:pt>
                <c:pt idx="377">
                  <c:v>2.8554166533322051E-3</c:v>
                </c:pt>
                <c:pt idx="378">
                  <c:v>2.8590206492780357E-3</c:v>
                </c:pt>
                <c:pt idx="379">
                  <c:v>2.8669475668888691E-3</c:v>
                </c:pt>
                <c:pt idx="380">
                  <c:v>2.8761090514325843E-3</c:v>
                </c:pt>
                <c:pt idx="381">
                  <c:v>2.8799999999998393E-3</c:v>
                </c:pt>
                <c:pt idx="382">
                  <c:v>2.8839586160886808E-3</c:v>
                </c:pt>
                <c:pt idx="383">
                  <c:v>2.8921444184814766E-3</c:v>
                </c:pt>
                <c:pt idx="384">
                  <c:v>2.8941434550681612E-3</c:v>
                </c:pt>
                <c:pt idx="385">
                  <c:v>2.9046375615047002E-3</c:v>
                </c:pt>
                <c:pt idx="386">
                  <c:v>2.908921057930522E-3</c:v>
                </c:pt>
                <c:pt idx="387">
                  <c:v>2.913243968103827E-3</c:v>
                </c:pt>
                <c:pt idx="388">
                  <c:v>2.9216558789877814E-3</c:v>
                </c:pt>
                <c:pt idx="389">
                  <c:v>2.924012890830126E-3</c:v>
                </c:pt>
                <c:pt idx="390">
                  <c:v>2.9353023910659525E-3</c:v>
                </c:pt>
                <c:pt idx="391">
                  <c:v>2.9397733827437071E-3</c:v>
                </c:pt>
                <c:pt idx="392">
                  <c:v>2.9442543208303756E-3</c:v>
                </c:pt>
                <c:pt idx="393">
                  <c:v>2.9526752233131844E-3</c:v>
                </c:pt>
                <c:pt idx="394">
                  <c:v>2.9551904490569265E-3</c:v>
                </c:pt>
                <c:pt idx="395">
                  <c:v>2.96666086410334E-3</c:v>
                </c:pt>
                <c:pt idx="396">
                  <c:v>2.9711130741274711E-3</c:v>
                </c:pt>
                <c:pt idx="397">
                  <c:v>2.9755457613634337E-3</c:v>
                </c:pt>
                <c:pt idx="398">
                  <c:v>2.9837740262253945E-3</c:v>
                </c:pt>
                <c:pt idx="399">
                  <c:v>2.9862399833679339E-3</c:v>
                </c:pt>
                <c:pt idx="400">
                  <c:v>2.9972690031045196E-3</c:v>
                </c:pt>
                <c:pt idx="401">
                  <c:v>2.9996159767443978E-3</c:v>
                </c:pt>
                <c:pt idx="402">
                  <c:v>3.0038005077550577E-3</c:v>
                </c:pt>
                <c:pt idx="403">
                  <c:v>3.0079314878695409E-3</c:v>
                </c:pt>
                <c:pt idx="404">
                  <c:v>3.0157252567527462E-3</c:v>
                </c:pt>
                <c:pt idx="405">
                  <c:v>3.0238677693582958E-3</c:v>
                </c:pt>
                <c:pt idx="406">
                  <c:v>3.0277120817912735E-3</c:v>
                </c:pt>
                <c:pt idx="407">
                  <c:v>3.0315063644367258E-3</c:v>
                </c:pt>
                <c:pt idx="408">
                  <c:v>3.0352536142883436E-3</c:v>
                </c:pt>
                <c:pt idx="409">
                  <c:v>3.0426188185704714E-3</c:v>
                </c:pt>
                <c:pt idx="410">
                  <c:v>3.0498322265309998E-3</c:v>
                </c:pt>
                <c:pt idx="411">
                  <c:v>3.0533892682138393E-3</c:v>
                </c:pt>
                <c:pt idx="412">
                  <c:v>3.0569172595935321E-3</c:v>
                </c:pt>
                <c:pt idx="413">
                  <c:v>3.0604191978358727E-3</c:v>
                </c:pt>
                <c:pt idx="414">
                  <c:v>3.0675286730609298E-3</c:v>
                </c:pt>
                <c:pt idx="415">
                  <c:v>3.0742263635024011E-3</c:v>
                </c:pt>
                <c:pt idx="416">
                  <c:v>3.0776429943018828E-3</c:v>
                </c:pt>
                <c:pt idx="417">
                  <c:v>3.0810515554117492E-3</c:v>
                </c:pt>
                <c:pt idx="418">
                  <c:v>3.0844550441489291E-3</c:v>
                </c:pt>
                <c:pt idx="419">
                  <c:v>3.0932767642586415E-3</c:v>
                </c:pt>
                <c:pt idx="420">
                  <c:v>3.0980782224008644E-3</c:v>
                </c:pt>
                <c:pt idx="421">
                  <c:v>3.101501309730957E-3</c:v>
                </c:pt>
                <c:pt idx="422">
                  <c:v>3.1049373090167075E-3</c:v>
                </c:pt>
                <c:pt idx="423">
                  <c:v>3.1083892177205031E-3</c:v>
                </c:pt>
                <c:pt idx="424">
                  <c:v>3.1154650083137377E-3</c:v>
                </c:pt>
                <c:pt idx="425">
                  <c:v>3.1242161410240657E-3</c:v>
                </c:pt>
                <c:pt idx="426">
                  <c:v>3.1277908900499878E-3</c:v>
                </c:pt>
                <c:pt idx="427">
                  <c:v>3.1313964354179086E-3</c:v>
                </c:pt>
                <c:pt idx="428">
                  <c:v>3.1386228215759104E-3</c:v>
                </c:pt>
                <c:pt idx="429">
                  <c:v>3.1404939768400202E-3</c:v>
                </c:pt>
                <c:pt idx="430">
                  <c:v>3.149886480486429E-3</c:v>
                </c:pt>
                <c:pt idx="431">
                  <c:v>3.1536770277868185E-3</c:v>
                </c:pt>
                <c:pt idx="432">
                  <c:v>3.1574984460695007E-3</c:v>
                </c:pt>
                <c:pt idx="433">
                  <c:v>3.16491659542617E-3</c:v>
                </c:pt>
                <c:pt idx="434">
                  <c:v>3.1670148288703882E-3</c:v>
                </c:pt>
                <c:pt idx="435">
                  <c:v>3.1770689756981051E-3</c:v>
                </c:pt>
                <c:pt idx="436">
                  <c:v>3.1810758439826635E-3</c:v>
                </c:pt>
                <c:pt idx="437">
                  <c:v>3.1851136579658344E-3</c:v>
                </c:pt>
                <c:pt idx="438">
                  <c:v>3.1927133011242213E-3</c:v>
                </c:pt>
                <c:pt idx="439">
                  <c:v>3.1950444998360616E-3</c:v>
                </c:pt>
                <c:pt idx="440">
                  <c:v>3.2057672872170375E-3</c:v>
                </c:pt>
                <c:pt idx="441">
                  <c:v>3.2099909997259117E-3</c:v>
                </c:pt>
                <c:pt idx="442">
                  <c:v>3.2142457327257448E-3</c:v>
                </c:pt>
                <c:pt idx="443">
                  <c:v>3.2220165623576508E-3</c:v>
                </c:pt>
                <c:pt idx="444">
                  <c:v>3.2263259381235601E-3</c:v>
                </c:pt>
                <c:pt idx="445">
                  <c:v>3.2359850793234096E-3</c:v>
                </c:pt>
                <c:pt idx="446">
                  <c:v>3.2404261598306676E-3</c:v>
                </c:pt>
                <c:pt idx="447">
                  <c:v>3.2448983356981251E-3</c:v>
                </c:pt>
                <c:pt idx="448">
                  <c:v>3.252829408555639E-3</c:v>
                </c:pt>
                <c:pt idx="449">
                  <c:v>3.2556400660030001E-3</c:v>
                </c:pt>
                <c:pt idx="450">
                  <c:v>3.2676504605483568E-3</c:v>
                </c:pt>
                <c:pt idx="451">
                  <c:v>3.2722544257422228E-3</c:v>
                </c:pt>
                <c:pt idx="452">
                  <c:v>3.276867799740694E-3</c:v>
                </c:pt>
                <c:pt idx="453">
                  <c:v>3.2848510926973503E-3</c:v>
                </c:pt>
                <c:pt idx="454">
                  <c:v>3.2877845889020259E-3</c:v>
                </c:pt>
                <c:pt idx="455">
                  <c:v>3.2999492292001592E-3</c:v>
                </c:pt>
                <c:pt idx="456">
                  <c:v>3.3045431119882456E-3</c:v>
                </c:pt>
                <c:pt idx="457">
                  <c:v>3.3091210885847501E-3</c:v>
                </c:pt>
                <c:pt idx="458">
                  <c:v>3.3169837133416266E-3</c:v>
                </c:pt>
                <c:pt idx="459">
                  <c:v>3.3198616560450433E-3</c:v>
                </c:pt>
                <c:pt idx="460">
                  <c:v>3.3316457978199471E-3</c:v>
                </c:pt>
                <c:pt idx="461">
                  <c:v>3.3360523882907259E-3</c:v>
                </c:pt>
                <c:pt idx="462">
                  <c:v>3.3404177559467779E-3</c:v>
                </c:pt>
                <c:pt idx="463">
                  <c:v>3.348000126456916E-3</c:v>
                </c:pt>
                <c:pt idx="464">
                  <c:v>3.3506374910999268E-3</c:v>
                </c:pt>
                <c:pt idx="465">
                  <c:v>3.3598802476407989E-3</c:v>
                </c:pt>
                <c:pt idx="466">
                  <c:v>3.3623080400045314E-3</c:v>
                </c:pt>
                <c:pt idx="467">
                  <c:v>3.364673350060722E-3</c:v>
                </c:pt>
                <c:pt idx="468">
                  <c:v>3.3685779705696322E-3</c:v>
                </c:pt>
                <c:pt idx="469">
                  <c:v>3.3724074240881201E-3</c:v>
                </c:pt>
                <c:pt idx="470">
                  <c:v>3.3850244479495728E-3</c:v>
                </c:pt>
                <c:pt idx="471">
                  <c:v>3.3869014058946949E-3</c:v>
                </c:pt>
                <c:pt idx="472">
                  <c:v>3.3903094945060179E-3</c:v>
                </c:pt>
                <c:pt idx="473">
                  <c:v>3.3936368514595177E-3</c:v>
                </c:pt>
                <c:pt idx="474">
                  <c:v>3.3968880482161947E-3</c:v>
                </c:pt>
                <c:pt idx="475">
                  <c:v>3.4078761339045066E-3</c:v>
                </c:pt>
                <c:pt idx="476">
                  <c:v>3.4092226637899847E-3</c:v>
                </c:pt>
                <c:pt idx="477">
                  <c:v>3.4121616327604945E-3</c:v>
                </c:pt>
                <c:pt idx="478">
                  <c:v>3.4150518710544938E-3</c:v>
                </c:pt>
                <c:pt idx="479">
                  <c:v>3.4178979503710241E-3</c:v>
                </c:pt>
                <c:pt idx="480">
                  <c:v>3.4279103409749572E-3</c:v>
                </c:pt>
                <c:pt idx="481">
                  <c:v>3.4289321128815674E-3</c:v>
                </c:pt>
                <c:pt idx="482">
                  <c:v>3.4316259738125772E-3</c:v>
                </c:pt>
                <c:pt idx="483">
                  <c:v>3.4343031065530412E-3</c:v>
                </c:pt>
                <c:pt idx="484">
                  <c:v>3.4369680829927879E-3</c:v>
                </c:pt>
                <c:pt idx="485">
                  <c:v>3.4466865701859436E-3</c:v>
                </c:pt>
                <c:pt idx="486">
                  <c:v>3.4475978643754113E-3</c:v>
                </c:pt>
                <c:pt idx="487">
                  <c:v>3.4502706384998659E-3</c:v>
                </c:pt>
                <c:pt idx="488">
                  <c:v>3.4529586881717773E-3</c:v>
                </c:pt>
                <c:pt idx="489">
                  <c:v>3.4574512178984977E-3</c:v>
                </c:pt>
                <c:pt idx="490">
                  <c:v>3.4657643872812666E-3</c:v>
                </c:pt>
                <c:pt idx="491">
                  <c:v>3.468605348676631E-3</c:v>
                </c:pt>
                <c:pt idx="492">
                  <c:v>3.4714879044166675E-3</c:v>
                </c:pt>
                <c:pt idx="493">
                  <c:v>3.47441191846997E-3</c:v>
                </c:pt>
                <c:pt idx="494">
                  <c:v>3.4773763181688696E-3</c:v>
                </c:pt>
                <c:pt idx="495">
                  <c:v>3.4865011044079978E-3</c:v>
                </c:pt>
                <c:pt idx="496">
                  <c:v>3.4896163199361731E-3</c:v>
                </c:pt>
                <c:pt idx="497">
                  <c:v>3.4927665577096714E-3</c:v>
                </c:pt>
                <c:pt idx="498">
                  <c:v>3.4959507450366685E-3</c:v>
                </c:pt>
                <c:pt idx="499">
                  <c:v>3.5067557412994349E-3</c:v>
                </c:pt>
                <c:pt idx="500">
                  <c:v>3.5109157982762046E-3</c:v>
                </c:pt>
                <c:pt idx="501">
                  <c:v>3.512343380301259E-3</c:v>
                </c:pt>
                <c:pt idx="502">
                  <c:v>3.5157087380721774E-3</c:v>
                </c:pt>
                <c:pt idx="503">
                  <c:v>3.5191005363851596E-3</c:v>
                </c:pt>
                <c:pt idx="504">
                  <c:v>3.5225177025009448E-3</c:v>
                </c:pt>
                <c:pt idx="505">
                  <c:v>3.5329106801723817E-3</c:v>
                </c:pt>
                <c:pt idx="506">
                  <c:v>3.5364185899736996E-3</c:v>
                </c:pt>
                <c:pt idx="507">
                  <c:v>3.5399465037813812E-3</c:v>
                </c:pt>
                <c:pt idx="508">
                  <c:v>3.5434933488157593E-3</c:v>
                </c:pt>
                <c:pt idx="509">
                  <c:v>3.5470580522896991E-3</c:v>
                </c:pt>
                <c:pt idx="510">
                  <c:v>3.5519056451763309E-3</c:v>
                </c:pt>
                <c:pt idx="511">
                  <c:v>3.561473994588935E-3</c:v>
                </c:pt>
                <c:pt idx="512">
                  <c:v>3.5631169832745406E-3</c:v>
                </c:pt>
                <c:pt idx="513">
                  <c:v>3.5667610967800786E-3</c:v>
                </c:pt>
                <c:pt idx="514">
                  <c:v>3.5704157386434701E-3</c:v>
                </c:pt>
                <c:pt idx="515">
                  <c:v>3.5834627271665413E-3</c:v>
                </c:pt>
                <c:pt idx="516">
                  <c:v>3.5851377927977927E-3</c:v>
                </c:pt>
                <c:pt idx="517">
                  <c:v>3.5888441782981838E-3</c:v>
                </c:pt>
                <c:pt idx="518">
                  <c:v>3.6150786492504935E-3</c:v>
                </c:pt>
                <c:pt idx="519">
                  <c:v>3.6418202363503304E-3</c:v>
                </c:pt>
                <c:pt idx="520">
                  <c:v>3.6712098401997335E-3</c:v>
                </c:pt>
                <c:pt idx="521">
                  <c:v>3.6990022339465681E-3</c:v>
                </c:pt>
                <c:pt idx="522">
                  <c:v>3.7273018151818939E-3</c:v>
                </c:pt>
                <c:pt idx="523">
                  <c:v>3.7561086056228442E-3</c:v>
                </c:pt>
                <c:pt idx="524">
                  <c:v>3.7896517527148512E-3</c:v>
                </c:pt>
                <c:pt idx="525">
                  <c:v>3.8172167379046697E-3</c:v>
                </c:pt>
                <c:pt idx="526">
                  <c:v>3.8475811997618257E-3</c:v>
                </c:pt>
                <c:pt idx="527">
                  <c:v>3.8784529552099833E-3</c:v>
                </c:pt>
                <c:pt idx="528">
                  <c:v>3.9098320278104061E-3</c:v>
                </c:pt>
                <c:pt idx="529">
                  <c:v>3.941718441513439E-3</c:v>
                </c:pt>
                <c:pt idx="530">
                  <c:v>3.9741122206549745E-3</c:v>
                </c:pt>
                <c:pt idx="531">
                  <c:v>4.0070133899604262E-3</c:v>
                </c:pt>
                <c:pt idx="532">
                  <c:v>4.0404219745407595E-3</c:v>
                </c:pt>
                <c:pt idx="533">
                  <c:v>4.0874807169555627E-3</c:v>
                </c:pt>
                <c:pt idx="534">
                  <c:v>4.1220874379618404E-3</c:v>
                </c:pt>
                <c:pt idx="535">
                  <c:v>4.1572017074526487E-3</c:v>
                </c:pt>
                <c:pt idx="536">
                  <c:v>4.1928235529715479E-3</c:v>
                </c:pt>
                <c:pt idx="537">
                  <c:v>4.2206168696278992E-3</c:v>
                </c:pt>
                <c:pt idx="538">
                  <c:v>4.2571438727672219E-3</c:v>
                </c:pt>
                <c:pt idx="539">
                  <c:v>4.2941785013979128E-3</c:v>
                </c:pt>
                <c:pt idx="540">
                  <c:v>4.3317207841034461E-3</c:v>
                </c:pt>
                <c:pt idx="541">
                  <c:v>4.3697707498569303E-3</c:v>
                </c:pt>
                <c:pt idx="542">
                  <c:v>4.4172151271169805E-3</c:v>
                </c:pt>
                <c:pt idx="543">
                  <c:v>4.4563840277904217E-3</c:v>
                </c:pt>
                <c:pt idx="544">
                  <c:v>4.4960402469552286E-3</c:v>
                </c:pt>
                <c:pt idx="545">
                  <c:v>4.5361694697997005E-3</c:v>
                </c:pt>
                <c:pt idx="546">
                  <c:v>4.567481351188037E-3</c:v>
                </c:pt>
                <c:pt idx="547">
                  <c:v>4.6084298143730992E-3</c:v>
                </c:pt>
                <c:pt idx="548">
                  <c:v>4.6498132675615225E-3</c:v>
                </c:pt>
                <c:pt idx="549">
                  <c:v>4.6916171576824282E-3</c:v>
                </c:pt>
                <c:pt idx="550">
                  <c:v>4.7338269307048301E-3</c:v>
                </c:pt>
                <c:pt idx="551">
                  <c:v>4.7860761454107574E-3</c:v>
                </c:pt>
                <c:pt idx="552">
                  <c:v>4.8291155050594527E-3</c:v>
                </c:pt>
                <c:pt idx="553">
                  <c:v>4.8725133171247147E-3</c:v>
                </c:pt>
                <c:pt idx="554">
                  <c:v>4.9162552581411174E-3</c:v>
                </c:pt>
                <c:pt idx="555">
                  <c:v>4.9603270035378857E-3</c:v>
                </c:pt>
                <c:pt idx="556">
                  <c:v>5.0047142276139628E-3</c:v>
                </c:pt>
                <c:pt idx="557">
                  <c:v>5.0494026035143779E-3</c:v>
                </c:pt>
                <c:pt idx="558">
                  <c:v>5.0943778032070371E-3</c:v>
                </c:pt>
                <c:pt idx="559">
                  <c:v>5.1228844872007627E-3</c:v>
                </c:pt>
                <c:pt idx="560">
                  <c:v>5.1683269233166801E-3</c:v>
                </c:pt>
                <c:pt idx="561">
                  <c:v>5.2140163683122454E-3</c:v>
                </c:pt>
                <c:pt idx="562">
                  <c:v>5.2599380937669877E-3</c:v>
                </c:pt>
                <c:pt idx="563">
                  <c:v>5.3060773699885235E-3</c:v>
                </c:pt>
                <c:pt idx="564">
                  <c:v>5.3558235820584743E-3</c:v>
                </c:pt>
                <c:pt idx="565">
                  <c:v>5.4023640736882593E-3</c:v>
                </c:pt>
                <c:pt idx="566">
                  <c:v>5.4490776739070457E-3</c:v>
                </c:pt>
                <c:pt idx="567">
                  <c:v>5.4959497286030641E-3</c:v>
                </c:pt>
                <c:pt idx="568">
                  <c:v>5.5395213821929912E-3</c:v>
                </c:pt>
                <c:pt idx="569">
                  <c:v>5.5866581140592364E-3</c:v>
                </c:pt>
                <c:pt idx="570">
                  <c:v>5.6339219004060102E-3</c:v>
                </c:pt>
                <c:pt idx="571">
                  <c:v>5.6813127430462261E-3</c:v>
                </c:pt>
                <c:pt idx="572">
                  <c:v>5.732314117710453E-3</c:v>
                </c:pt>
                <c:pt idx="573">
                  <c:v>5.7799689388370462E-3</c:v>
                </c:pt>
                <c:pt idx="574">
                  <c:v>5.8277508523341126E-3</c:v>
                </c:pt>
                <c:pt idx="575">
                  <c:v>5.8756598673297368E-3</c:v>
                </c:pt>
                <c:pt idx="576">
                  <c:v>5.9305686735542035E-3</c:v>
                </c:pt>
                <c:pt idx="577">
                  <c:v>5.9752159167466958E-3</c:v>
                </c:pt>
                <c:pt idx="578">
                  <c:v>6.0235145676141759E-3</c:v>
                </c:pt>
                <c:pt idx="579">
                  <c:v>6.0719403487927964E-3</c:v>
                </c:pt>
                <c:pt idx="580">
                  <c:v>6.1204932694840361E-3</c:v>
                </c:pt>
                <c:pt idx="581">
                  <c:v>6.169173338913223E-3</c:v>
                </c:pt>
                <c:pt idx="582">
                  <c:v>6.2179805663295342E-3</c:v>
                </c:pt>
                <c:pt idx="583">
                  <c:v>6.2669149610077588E-3</c:v>
                </c:pt>
                <c:pt idx="584">
                  <c:v>6.31597653224477E-3</c:v>
                </c:pt>
                <c:pt idx="585">
                  <c:v>6.3796252716367347E-3</c:v>
                </c:pt>
                <c:pt idx="586">
                  <c:v>6.4289810772932476E-3</c:v>
                </c:pt>
                <c:pt idx="587">
                  <c:v>6.4784641263612441E-3</c:v>
                </c:pt>
                <c:pt idx="588">
                  <c:v>6.5280744284529259E-3</c:v>
                </c:pt>
                <c:pt idx="589">
                  <c:v>6.5989673648374787E-3</c:v>
                </c:pt>
                <c:pt idx="590">
                  <c:v>6.627676830275416E-3</c:v>
                </c:pt>
                <c:pt idx="591">
                  <c:v>6.6776689493546386E-3</c:v>
                </c:pt>
                <c:pt idx="592">
                  <c:v>6.7277883601526492E-3</c:v>
                </c:pt>
                <c:pt idx="593">
                  <c:v>6.7780350724047939E-3</c:v>
                </c:pt>
                <c:pt idx="594">
                  <c:v>6.8284090958732101E-3</c:v>
                </c:pt>
                <c:pt idx="595">
                  <c:v>6.8789093179827858E-3</c:v>
                </c:pt>
                <c:pt idx="596">
                  <c:v>6.9295301365142909E-3</c:v>
                </c:pt>
                <c:pt idx="597">
                  <c:v>6.9802648262708936E-3</c:v>
                </c:pt>
                <c:pt idx="598">
                  <c:v>7.0311066613760898E-3</c:v>
                </c:pt>
                <c:pt idx="599">
                  <c:v>7.0820489152724061E-3</c:v>
                </c:pt>
                <c:pt idx="600">
                  <c:v>7.1330848607131922E-3</c:v>
                </c:pt>
                <c:pt idx="601">
                  <c:v>7.1842077697639121E-3</c:v>
                </c:pt>
                <c:pt idx="602">
                  <c:v>7.2354109137965335E-3</c:v>
                </c:pt>
                <c:pt idx="603">
                  <c:v>7.2866875634877964E-3</c:v>
                </c:pt>
                <c:pt idx="604">
                  <c:v>7.3380309888148908E-3</c:v>
                </c:pt>
                <c:pt idx="605">
                  <c:v>7.389434459054163E-3</c:v>
                </c:pt>
                <c:pt idx="606">
                  <c:v>7.4408912427798169E-3</c:v>
                </c:pt>
                <c:pt idx="607">
                  <c:v>7.492394607860893E-3</c:v>
                </c:pt>
                <c:pt idx="608">
                  <c:v>7.5439378214595355E-3</c:v>
                </c:pt>
                <c:pt idx="609">
                  <c:v>7.5955141500284032E-3</c:v>
                </c:pt>
                <c:pt idx="610">
                  <c:v>7.6471168593123971E-3</c:v>
                </c:pt>
                <c:pt idx="611">
                  <c:v>7.6836581030283266E-3</c:v>
                </c:pt>
                <c:pt idx="612">
                  <c:v>7.7352974724369441E-3</c:v>
                </c:pt>
                <c:pt idx="613">
                  <c:v>7.7869442407292782E-3</c:v>
                </c:pt>
                <c:pt idx="614">
                  <c:v>7.8385915226469958E-3</c:v>
                </c:pt>
                <c:pt idx="615">
                  <c:v>7.893997176418862E-3</c:v>
                </c:pt>
                <c:pt idx="616">
                  <c:v>7.9456228040220497E-3</c:v>
                </c:pt>
                <c:pt idx="617">
                  <c:v>7.9972281243542078E-3</c:v>
                </c:pt>
                <c:pt idx="618">
                  <c:v>8.063837401627626E-3</c:v>
                </c:pt>
                <c:pt idx="619">
                  <c:v>8.1003504406689311E-3</c:v>
                </c:pt>
                <c:pt idx="620">
                  <c:v>8.1481003360380187E-3</c:v>
                </c:pt>
                <c:pt idx="621">
                  <c:v>8.1995585804522965E-3</c:v>
                </c:pt>
                <c:pt idx="622">
                  <c:v>8.250966256714478E-3</c:v>
                </c:pt>
                <c:pt idx="623">
                  <c:v>8.3023232704925055E-3</c:v>
                </c:pt>
                <c:pt idx="624">
                  <c:v>8.3573732417854974E-3</c:v>
                </c:pt>
                <c:pt idx="625">
                  <c:v>8.4086264897424452E-3</c:v>
                </c:pt>
                <c:pt idx="626">
                  <c:v>8.4598290690933789E-3</c:v>
                </c:pt>
                <c:pt idx="627">
                  <c:v>8.5109809758511599E-3</c:v>
                </c:pt>
                <c:pt idx="628">
                  <c:v>8.5727679671577239E-3</c:v>
                </c:pt>
                <c:pt idx="629">
                  <c:v>8.634996047205315E-3</c:v>
                </c:pt>
                <c:pt idx="630">
                  <c:v>8.68597418914825E-3</c:v>
                </c:pt>
                <c:pt idx="631">
                  <c:v>8.7369016408923323E-3</c:v>
                </c:pt>
                <c:pt idx="632">
                  <c:v>8.7877783984706276E-3</c:v>
                </c:pt>
                <c:pt idx="633">
                  <c:v>8.8386044579232253E-3</c:v>
                </c:pt>
                <c:pt idx="634">
                  <c:v>8.8893798152910944E-3</c:v>
                </c:pt>
                <c:pt idx="635">
                  <c:v>8.9401044666222312E-3</c:v>
                </c:pt>
                <c:pt idx="636">
                  <c:v>8.9907784079659506E-3</c:v>
                </c:pt>
                <c:pt idx="637">
                  <c:v>9.0488241076819055E-3</c:v>
                </c:pt>
                <c:pt idx="638">
                  <c:v>9.0993919139142655E-3</c:v>
                </c:pt>
                <c:pt idx="639">
                  <c:v>9.1499090093402034E-3</c:v>
                </c:pt>
                <c:pt idx="640">
                  <c:v>9.2003753899828969E-3</c:v>
                </c:pt>
                <c:pt idx="641">
                  <c:v>9.2470892702168888E-3</c:v>
                </c:pt>
                <c:pt idx="642">
                  <c:v>9.2974565387341276E-3</c:v>
                </c:pt>
                <c:pt idx="643">
                  <c:v>9.3477730751447621E-3</c:v>
                </c:pt>
                <c:pt idx="644">
                  <c:v>9.4123912133388908E-3</c:v>
                </c:pt>
                <c:pt idx="645">
                  <c:v>9.4482539358905181E-3</c:v>
                </c:pt>
                <c:pt idx="646">
                  <c:v>9.5021084980180352E-3</c:v>
                </c:pt>
                <c:pt idx="647">
                  <c:v>9.5522248856604961E-3</c:v>
                </c:pt>
                <c:pt idx="648">
                  <c:v>9.6023093229896904E-3</c:v>
                </c:pt>
                <c:pt idx="649">
                  <c:v>9.6523764268881089E-3</c:v>
                </c:pt>
                <c:pt idx="650">
                  <c:v>9.6987421985946665E-3</c:v>
                </c:pt>
                <c:pt idx="651">
                  <c:v>9.7488117867401865E-3</c:v>
                </c:pt>
                <c:pt idx="652">
                  <c:v>9.7989062153633569E-3</c:v>
                </c:pt>
                <c:pt idx="653">
                  <c:v>9.8490401866359028E-3</c:v>
                </c:pt>
                <c:pt idx="654">
                  <c:v>9.9067005036548861E-3</c:v>
                </c:pt>
                <c:pt idx="655">
                  <c:v>9.9532337814539403E-3</c:v>
                </c:pt>
                <c:pt idx="656">
                  <c:v>1.0003588949278549E-2</c:v>
                </c:pt>
                <c:pt idx="657">
                  <c:v>1.0054043772452781E-2</c:v>
                </c:pt>
                <c:pt idx="658">
                  <c:v>1.0104612881334869E-2</c:v>
                </c:pt>
                <c:pt idx="659">
                  <c:v>1.0155310907804431E-2</c:v>
                </c:pt>
                <c:pt idx="660">
                  <c:v>1.0206152485272037E-2</c:v>
                </c:pt>
                <c:pt idx="661">
                  <c:v>1.0257152248690071E-2</c:v>
                </c:pt>
                <c:pt idx="662">
                  <c:v>1.0308324834565319E-2</c:v>
                </c:pt>
                <c:pt idx="663">
                  <c:v>1.0351898091652151E-2</c:v>
                </c:pt>
                <c:pt idx="664">
                  <c:v>1.0403415408604342E-2</c:v>
                </c:pt>
                <c:pt idx="665">
                  <c:v>1.0455148151060781E-2</c:v>
                </c:pt>
                <c:pt idx="666">
                  <c:v>1.0507111121375975E-2</c:v>
                </c:pt>
                <c:pt idx="667">
                  <c:v>1.056330456734072E-2</c:v>
                </c:pt>
                <c:pt idx="668">
                  <c:v>1.0615796969280637E-2</c:v>
                </c:pt>
                <c:pt idx="669">
                  <c:v>1.0668564356641218E-2</c:v>
                </c:pt>
                <c:pt idx="670">
                  <c:v>1.0721621458192797E-2</c:v>
                </c:pt>
                <c:pt idx="671">
                  <c:v>1.0774983004407516E-2</c:v>
                </c:pt>
                <c:pt idx="672">
                  <c:v>1.0824552866853982E-2</c:v>
                </c:pt>
                <c:pt idx="673">
                  <c:v>1.0878539571999E-2</c:v>
                </c:pt>
                <c:pt idx="674">
                  <c:v>1.0932860194947316E-2</c:v>
                </c:pt>
                <c:pt idx="675">
                  <c:v>1.0987514762979088E-2</c:v>
                </c:pt>
                <c:pt idx="676">
                  <c:v>1.1046716195190716E-2</c:v>
                </c:pt>
                <c:pt idx="677">
                  <c:v>1.1102064294814638E-2</c:v>
                </c:pt>
                <c:pt idx="678">
                  <c:v>1.1157746443162982E-2</c:v>
                </c:pt>
                <c:pt idx="679">
                  <c:v>1.1213762668354891E-2</c:v>
                </c:pt>
                <c:pt idx="680">
                  <c:v>1.1273871406687537E-2</c:v>
                </c:pt>
                <c:pt idx="681">
                  <c:v>1.1330577960155821E-2</c:v>
                </c:pt>
                <c:pt idx="682">
                  <c:v>1.1387618658453275E-2</c:v>
                </c:pt>
                <c:pt idx="683">
                  <c:v>1.1444993530230823E-2</c:v>
                </c:pt>
                <c:pt idx="684">
                  <c:v>1.1502702604305859E-2</c:v>
                </c:pt>
                <c:pt idx="685">
                  <c:v>1.1560745909665739E-2</c:v>
                </c:pt>
                <c:pt idx="686">
                  <c:v>1.1619123475464727E-2</c:v>
                </c:pt>
                <c:pt idx="687">
                  <c:v>1.1677835331027059E-2</c:v>
                </c:pt>
                <c:pt idx="688">
                  <c:v>1.1736881505844309E-2</c:v>
                </c:pt>
                <c:pt idx="689">
                  <c:v>1.180536562732677E-2</c:v>
                </c:pt>
                <c:pt idx="690">
                  <c:v>1.18651322246293E-2</c:v>
                </c:pt>
                <c:pt idx="691">
                  <c:v>1.1925233276822567E-2</c:v>
                </c:pt>
                <c:pt idx="692">
                  <c:v>1.1985668814429983E-2</c:v>
                </c:pt>
                <c:pt idx="693">
                  <c:v>1.2041782253216605E-2</c:v>
                </c:pt>
                <c:pt idx="694">
                  <c:v>1.2102860911448717E-2</c:v>
                </c:pt>
                <c:pt idx="695">
                  <c:v>1.2181882209075626E-2</c:v>
                </c:pt>
                <c:pt idx="696">
                  <c:v>1.2243725608237992E-2</c:v>
                </c:pt>
                <c:pt idx="697">
                  <c:v>1.2305903632763402E-2</c:v>
                </c:pt>
                <c:pt idx="698">
                  <c:v>1.2382804130869231E-2</c:v>
                </c:pt>
                <c:pt idx="699">
                  <c:v>1.2445711411499454E-2</c:v>
                </c:pt>
                <c:pt idx="700">
                  <c:v>1.2508918157093041E-2</c:v>
                </c:pt>
                <c:pt idx="701">
                  <c:v>1.2572405373065164E-2</c:v>
                </c:pt>
                <c:pt idx="702">
                  <c:v>1.2621534368852902E-2</c:v>
                </c:pt>
                <c:pt idx="703">
                  <c:v>1.2685485170343102E-2</c:v>
                </c:pt>
                <c:pt idx="704">
                  <c:v>1.2749665842827674E-2</c:v>
                </c:pt>
                <c:pt idx="705">
                  <c:v>1.2828778966110893E-2</c:v>
                </c:pt>
                <c:pt idx="706">
                  <c:v>1.2893383531936947E-2</c:v>
                </c:pt>
                <c:pt idx="707">
                  <c:v>1.2958154550349339E-2</c:v>
                </c:pt>
                <c:pt idx="708">
                  <c:v>1.3023073009799173E-2</c:v>
                </c:pt>
                <c:pt idx="709">
                  <c:v>1.3088119896239769E-2</c:v>
                </c:pt>
                <c:pt idx="710">
                  <c:v>1.3138495435236413E-2</c:v>
                </c:pt>
                <c:pt idx="711">
                  <c:v>1.3218522881326482E-2</c:v>
                </c:pt>
                <c:pt idx="712">
                  <c:v>1.3283840939268677E-2</c:v>
                </c:pt>
                <c:pt idx="713">
                  <c:v>1.3349211342777032E-2</c:v>
                </c:pt>
                <c:pt idx="714">
                  <c:v>1.3399865258201504E-2</c:v>
                </c:pt>
                <c:pt idx="715">
                  <c:v>1.3455473310287324E-2</c:v>
                </c:pt>
                <c:pt idx="716">
                  <c:v>1.3520917530911693E-2</c:v>
                </c:pt>
                <c:pt idx="717">
                  <c:v>1.358634197888183E-2</c:v>
                </c:pt>
                <c:pt idx="718">
                  <c:v>1.3651727095852514E-2</c:v>
                </c:pt>
                <c:pt idx="719">
                  <c:v>1.372193769926436E-2</c:v>
                </c:pt>
                <c:pt idx="720">
                  <c:v>1.3787176720379357E-2</c:v>
                </c:pt>
                <c:pt idx="721">
                  <c:v>1.3852317328017866E-2</c:v>
                </c:pt>
                <c:pt idx="722">
                  <c:v>1.3917340060243645E-2</c:v>
                </c:pt>
                <c:pt idx="723">
                  <c:v>1.3982225452598522E-2</c:v>
                </c:pt>
                <c:pt idx="724">
                  <c:v>1.4042116334553646E-2</c:v>
                </c:pt>
                <c:pt idx="725">
                  <c:v>1.4106685140213186E-2</c:v>
                </c:pt>
                <c:pt idx="726">
                  <c:v>1.4171083207604563E-2</c:v>
                </c:pt>
                <c:pt idx="727">
                  <c:v>1.4235310520126689E-2</c:v>
                </c:pt>
                <c:pt idx="728">
                  <c:v>1.4304166138092224E-2</c:v>
                </c:pt>
                <c:pt idx="729">
                  <c:v>1.4368042224258144E-2</c:v>
                </c:pt>
                <c:pt idx="730">
                  <c:v>1.4431747509271063E-2</c:v>
                </c:pt>
                <c:pt idx="731">
                  <c:v>1.4495281976618037E-2</c:v>
                </c:pt>
                <c:pt idx="732">
                  <c:v>1.4553885181705674E-2</c:v>
                </c:pt>
                <c:pt idx="733">
                  <c:v>1.4617087618829109E-2</c:v>
                </c:pt>
                <c:pt idx="734">
                  <c:v>1.4680119186097263E-2</c:v>
                </c:pt>
                <c:pt idx="735">
                  <c:v>1.4742979867257059E-2</c:v>
                </c:pt>
                <c:pt idx="736">
                  <c:v>1.4805669646101792E-2</c:v>
                </c:pt>
                <c:pt idx="737">
                  <c:v>1.4868188506466715E-2</c:v>
                </c:pt>
                <c:pt idx="738">
                  <c:v>1.4930536432231242E-2</c:v>
                </c:pt>
                <c:pt idx="739">
                  <c:v>1.4992713407318507E-2</c:v>
                </c:pt>
                <c:pt idx="740">
                  <c:v>1.5054719415694487E-2</c:v>
                </c:pt>
                <c:pt idx="741">
                  <c:v>1.5139914684913472E-2</c:v>
                </c:pt>
                <c:pt idx="742">
                  <c:v>1.5201530559617843E-2</c:v>
                </c:pt>
                <c:pt idx="743">
                  <c:v>1.526297543033275E-2</c:v>
                </c:pt>
                <c:pt idx="744">
                  <c:v>1.5324249280774874E-2</c:v>
                </c:pt>
                <c:pt idx="745">
                  <c:v>1.5371453851548164E-2</c:v>
                </c:pt>
                <c:pt idx="746">
                  <c:v>1.543241447908948E-2</c:v>
                </c:pt>
                <c:pt idx="747">
                  <c:v>1.5493204032495829E-2</c:v>
                </c:pt>
                <c:pt idx="748">
                  <c:v>1.5553822495917594E-2</c:v>
                </c:pt>
                <c:pt idx="749">
                  <c:v>1.561426985354753E-2</c:v>
                </c:pt>
                <c:pt idx="750">
                  <c:v>1.5688299746427686E-2</c:v>
                </c:pt>
                <c:pt idx="751">
                  <c:v>1.5748372089176475E-2</c:v>
                </c:pt>
                <c:pt idx="752">
                  <c:v>1.580826466902779E-2</c:v>
                </c:pt>
                <c:pt idx="753">
                  <c:v>1.5867972444473778E-2</c:v>
                </c:pt>
                <c:pt idx="754">
                  <c:v>1.5913872507654945E-2</c:v>
                </c:pt>
                <c:pt idx="755">
                  <c:v>1.597323420542298E-2</c:v>
                </c:pt>
                <c:pt idx="756">
                  <c:v>1.6032397690516325E-2</c:v>
                </c:pt>
                <c:pt idx="757">
                  <c:v>1.6091357837967862E-2</c:v>
                </c:pt>
                <c:pt idx="758">
                  <c:v>1.6163562763680608E-2</c:v>
                </c:pt>
                <c:pt idx="759">
                  <c:v>1.6222055809821494E-2</c:v>
                </c:pt>
                <c:pt idx="760">
                  <c:v>1.628032874550521E-2</c:v>
                </c:pt>
                <c:pt idx="761">
                  <c:v>1.6338376524859217E-2</c:v>
                </c:pt>
                <c:pt idx="762">
                  <c:v>1.6396194101488383E-2</c:v>
                </c:pt>
                <c:pt idx="763">
                  <c:v>1.6453776428485303E-2</c:v>
                </c:pt>
                <c:pt idx="764">
                  <c:v>1.6511118458429858E-2</c:v>
                </c:pt>
                <c:pt idx="765">
                  <c:v>1.6568215143401691E-2</c:v>
                </c:pt>
                <c:pt idx="766">
                  <c:v>1.6625061434981478E-2</c:v>
                </c:pt>
                <c:pt idx="767">
                  <c:v>1.665996992220968E-2</c:v>
                </c:pt>
                <c:pt idx="768">
                  <c:v>1.6716391349635935E-2</c:v>
                </c:pt>
                <c:pt idx="769">
                  <c:v>1.6772548352834704E-2</c:v>
                </c:pt>
                <c:pt idx="770">
                  <c:v>1.6828435744514064E-2</c:v>
                </c:pt>
                <c:pt idx="771">
                  <c:v>1.6888314119883275E-2</c:v>
                </c:pt>
                <c:pt idx="772">
                  <c:v>1.6943627788828235E-2</c:v>
                </c:pt>
                <c:pt idx="773">
                  <c:v>1.6998656165395778E-2</c:v>
                </c:pt>
                <c:pt idx="774">
                  <c:v>1.7053394088462511E-2</c:v>
                </c:pt>
                <c:pt idx="775">
                  <c:v>1.7107836396464949E-2</c:v>
                </c:pt>
                <c:pt idx="776">
                  <c:v>1.7157807708650507E-2</c:v>
                </c:pt>
                <c:pt idx="777">
                  <c:v>1.7211663819755404E-2</c:v>
                </c:pt>
                <c:pt idx="778">
                  <c:v>1.726521470894626E-2</c:v>
                </c:pt>
                <c:pt idx="779">
                  <c:v>1.7318460351704791E-2</c:v>
                </c:pt>
                <c:pt idx="780">
                  <c:v>1.737549391873313E-2</c:v>
                </c:pt>
                <c:pt idx="781">
                  <c:v>1.7428109717607883E-2</c:v>
                </c:pt>
                <c:pt idx="782">
                  <c:v>1.7480420188489422E-2</c:v>
                </c:pt>
                <c:pt idx="783">
                  <c:v>1.7532425307292834E-2</c:v>
                </c:pt>
                <c:pt idx="784">
                  <c:v>1.7584125050073313E-2</c:v>
                </c:pt>
                <c:pt idx="785">
                  <c:v>1.763152267766465E-2</c:v>
                </c:pt>
                <c:pt idx="786">
                  <c:v>1.7682630920568723E-2</c:v>
                </c:pt>
                <c:pt idx="787">
                  <c:v>1.7733433725905405E-2</c:v>
                </c:pt>
                <c:pt idx="788">
                  <c:v>1.7783931070410205E-2</c:v>
                </c:pt>
                <c:pt idx="789">
                  <c:v>1.7834122930958204E-2</c:v>
                </c:pt>
                <c:pt idx="790">
                  <c:v>1.7884009284564028E-2</c:v>
                </c:pt>
                <c:pt idx="791">
                  <c:v>1.7933590108382302E-2</c:v>
                </c:pt>
                <c:pt idx="792">
                  <c:v>1.7982865379705889E-2</c:v>
                </c:pt>
                <c:pt idx="793">
                  <c:v>1.8051027075637289E-2</c:v>
                </c:pt>
                <c:pt idx="794">
                  <c:v>1.8099594149933718E-2</c:v>
                </c:pt>
                <c:pt idx="795">
                  <c:v>1.814785555237243E-2</c:v>
                </c:pt>
                <c:pt idx="796">
                  <c:v>1.8195811260240408E-2</c:v>
                </c:pt>
                <c:pt idx="797">
                  <c:v>1.8232184299682139E-2</c:v>
                </c:pt>
                <c:pt idx="798">
                  <c:v>1.8279586896596083E-2</c:v>
                </c:pt>
                <c:pt idx="799">
                  <c:v>1.8326683764301084E-2</c:v>
                </c:pt>
                <c:pt idx="800">
                  <c:v>1.8373474880987267E-2</c:v>
                </c:pt>
                <c:pt idx="801">
                  <c:v>1.8419960224986712E-2</c:v>
                </c:pt>
                <c:pt idx="802">
                  <c:v>1.8477124722705678E-2</c:v>
                </c:pt>
                <c:pt idx="803">
                  <c:v>1.8522941036009356E-2</c:v>
                </c:pt>
                <c:pt idx="804">
                  <c:v>1.8568454263982868E-2</c:v>
                </c:pt>
                <c:pt idx="805">
                  <c:v>1.8613666158176945E-2</c:v>
                </c:pt>
                <c:pt idx="806">
                  <c:v>1.8647820956559872E-2</c:v>
                </c:pt>
                <c:pt idx="807">
                  <c:v>1.8692490710997347E-2</c:v>
                </c:pt>
                <c:pt idx="808">
                  <c:v>1.8736863811652626E-2</c:v>
                </c:pt>
                <c:pt idx="809">
                  <c:v>1.8780942040311797E-2</c:v>
                </c:pt>
                <c:pt idx="810">
                  <c:v>1.8824727179052293E-2</c:v>
                </c:pt>
                <c:pt idx="811">
                  <c:v>1.8878707638751272E-2</c:v>
                </c:pt>
                <c:pt idx="812">
                  <c:v>1.8921859265093544E-2</c:v>
                </c:pt>
                <c:pt idx="813">
                  <c:v>1.896472358077797E-2</c:v>
                </c:pt>
                <c:pt idx="814">
                  <c:v>1.900730233999403E-2</c:v>
                </c:pt>
                <c:pt idx="815">
                  <c:v>1.9049597297212277E-2</c:v>
                </c:pt>
                <c:pt idx="816">
                  <c:v>1.9091610207180882E-2</c:v>
                </c:pt>
                <c:pt idx="817">
                  <c:v>1.9133342824922638E-2</c:v>
                </c:pt>
                <c:pt idx="818">
                  <c:v>1.9174796905733239E-2</c:v>
                </c:pt>
                <c:pt idx="819">
                  <c:v>1.9199174190953579E-2</c:v>
                </c:pt>
                <c:pt idx="820">
                  <c:v>1.9240159881235678E-2</c:v>
                </c:pt>
                <c:pt idx="821">
                  <c:v>1.9280871965917726E-2</c:v>
                </c:pt>
                <c:pt idx="822">
                  <c:v>1.9321312250250029E-2</c:v>
                </c:pt>
                <c:pt idx="823">
                  <c:v>1.9361482539743471E-2</c:v>
                </c:pt>
                <c:pt idx="824">
                  <c:v>1.9404664703218583E-2</c:v>
                </c:pt>
                <c:pt idx="825">
                  <c:v>1.9444283977103946E-2</c:v>
                </c:pt>
                <c:pt idx="826">
                  <c:v>1.9483638693209668E-2</c:v>
                </c:pt>
                <c:pt idx="827">
                  <c:v>1.9522730648062637E-2</c:v>
                </c:pt>
                <c:pt idx="828">
                  <c:v>1.9558347275170411E-2</c:v>
                </c:pt>
                <c:pt idx="829">
                  <c:v>1.9596935221748154E-2</c:v>
                </c:pt>
                <c:pt idx="830">
                  <c:v>1.9635263996838528E-2</c:v>
                </c:pt>
                <c:pt idx="831">
                  <c:v>1.9673333585577407E-2</c:v>
                </c:pt>
                <c:pt idx="832">
                  <c:v>1.9714292567115252E-2</c:v>
                </c:pt>
                <c:pt idx="833">
                  <c:v>1.9751827268663452E-2</c:v>
                </c:pt>
                <c:pt idx="834">
                  <c:v>1.9789102728534295E-2</c:v>
                </c:pt>
                <c:pt idx="835">
                  <c:v>1.9826118932190842E-2</c:v>
                </c:pt>
                <c:pt idx="836">
                  <c:v>1.9862875865197163E-2</c:v>
                </c:pt>
                <c:pt idx="837">
                  <c:v>1.9896307384801502E-2</c:v>
                </c:pt>
                <c:pt idx="838">
                  <c:v>1.993256226127528E-2</c:v>
                </c:pt>
                <c:pt idx="839">
                  <c:v>1.996855783608693E-2</c:v>
                </c:pt>
                <c:pt idx="840">
                  <c:v>2.0004294095274579E-2</c:v>
                </c:pt>
                <c:pt idx="841">
                  <c:v>2.0039771024976161E-2</c:v>
                </c:pt>
                <c:pt idx="842">
                  <c:v>2.0074988611431203E-2</c:v>
                </c:pt>
                <c:pt idx="843">
                  <c:v>2.0109946840978134E-2</c:v>
                </c:pt>
                <c:pt idx="844">
                  <c:v>2.0144645700057424E-2</c:v>
                </c:pt>
                <c:pt idx="845">
                  <c:v>2.0193738245161449E-2</c:v>
                </c:pt>
                <c:pt idx="846">
                  <c:v>2.0227835191275752E-2</c:v>
                </c:pt>
                <c:pt idx="847">
                  <c:v>2.026167266553186E-2</c:v>
                </c:pt>
                <c:pt idx="848">
                  <c:v>2.029525065444121E-2</c:v>
                </c:pt>
                <c:pt idx="849">
                  <c:v>2.0319981502494991E-2</c:v>
                </c:pt>
                <c:pt idx="850">
                  <c:v>2.0353090512945867E-2</c:v>
                </c:pt>
                <c:pt idx="851">
                  <c:v>2.0385940035803365E-2</c:v>
                </c:pt>
                <c:pt idx="852">
                  <c:v>2.0418530058183365E-2</c:v>
                </c:pt>
                <c:pt idx="853">
                  <c:v>2.0450860567303521E-2</c:v>
                </c:pt>
                <c:pt idx="854">
                  <c:v>2.0491268729176445E-2</c:v>
                </c:pt>
                <c:pt idx="855">
                  <c:v>2.0523032687097577E-2</c:v>
                </c:pt>
                <c:pt idx="856">
                  <c:v>2.0554545321063513E-2</c:v>
                </c:pt>
                <c:pt idx="857">
                  <c:v>2.0585812404847109E-2</c:v>
                </c:pt>
                <c:pt idx="858">
                  <c:v>2.0608682692213283E-2</c:v>
                </c:pt>
                <c:pt idx="859">
                  <c:v>2.0639515639485358E-2</c:v>
                </c:pt>
                <c:pt idx="860">
                  <c:v>2.0670118388893162E-2</c:v>
                </c:pt>
                <c:pt idx="861">
                  <c:v>2.070049680991996E-2</c:v>
                </c:pt>
                <c:pt idx="862">
                  <c:v>2.0730656772484948E-2</c:v>
                </c:pt>
                <c:pt idx="863">
                  <c:v>2.076858174259915E-2</c:v>
                </c:pt>
                <c:pt idx="864">
                  <c:v>2.0798291678850112E-2</c:v>
                </c:pt>
                <c:pt idx="865">
                  <c:v>2.0827802271226332E-2</c:v>
                </c:pt>
                <c:pt idx="866">
                  <c:v>2.0857119297432149E-2</c:v>
                </c:pt>
                <c:pt idx="867">
                  <c:v>2.0886248535578026E-2</c:v>
                </c:pt>
                <c:pt idx="868">
                  <c:v>2.0915195764173673E-2</c:v>
                </c:pt>
                <c:pt idx="869">
                  <c:v>2.0943966762123765E-2</c:v>
                </c:pt>
                <c:pt idx="870">
                  <c:v>2.0972567308721466E-2</c:v>
                </c:pt>
                <c:pt idx="871">
                  <c:v>2.0990643979782196E-2</c:v>
                </c:pt>
                <c:pt idx="872">
                  <c:v>2.1018949430276889E-2</c:v>
                </c:pt>
                <c:pt idx="873">
                  <c:v>2.1047100762540873E-2</c:v>
                </c:pt>
                <c:pt idx="874">
                  <c:v>2.1075103883261601E-2</c:v>
                </c:pt>
                <c:pt idx="875">
                  <c:v>2.1102964699491057E-2</c:v>
                </c:pt>
                <c:pt idx="876">
                  <c:v>2.1133246251695676E-2</c:v>
                </c:pt>
                <c:pt idx="877">
                  <c:v>2.1160834006170422E-2</c:v>
                </c:pt>
                <c:pt idx="878">
                  <c:v>2.1188297275488561E-2</c:v>
                </c:pt>
                <c:pt idx="879">
                  <c:v>2.1215641936134524E-2</c:v>
                </c:pt>
                <c:pt idx="880">
                  <c:v>2.1240340985140615E-2</c:v>
                </c:pt>
                <c:pt idx="881">
                  <c:v>2.1267471421766243E-2</c:v>
                </c:pt>
                <c:pt idx="882">
                  <c:v>2.1294495841242527E-2</c:v>
                </c:pt>
                <c:pt idx="883">
                  <c:v>2.1321414242133251E-2</c:v>
                </c:pt>
                <c:pt idx="884">
                  <c:v>2.135073555346249E-2</c:v>
                </c:pt>
                <c:pt idx="885">
                  <c:v>2.1377435906286935E-2</c:v>
                </c:pt>
                <c:pt idx="886">
                  <c:v>2.1404030223087261E-2</c:v>
                </c:pt>
                <c:pt idx="887">
                  <c:v>2.1430518499599784E-2</c:v>
                </c:pt>
                <c:pt idx="888">
                  <c:v>2.1458176910746505E-2</c:v>
                </c:pt>
                <c:pt idx="889">
                  <c:v>2.1484443961085713E-2</c:v>
                </c:pt>
                <c:pt idx="890">
                  <c:v>2.151060496255194E-2</c:v>
                </c:pt>
                <c:pt idx="891">
                  <c:v>2.1536659910974022E-2</c:v>
                </c:pt>
                <c:pt idx="892">
                  <c:v>2.1562608802197031E-2</c:v>
                </c:pt>
                <c:pt idx="893">
                  <c:v>2.158845163208363E-2</c:v>
                </c:pt>
                <c:pt idx="894">
                  <c:v>2.161418839651227E-2</c:v>
                </c:pt>
                <c:pt idx="895">
                  <c:v>2.1639819091378985E-2</c:v>
                </c:pt>
                <c:pt idx="896">
                  <c:v>2.1665343712596936E-2</c:v>
                </c:pt>
                <c:pt idx="897">
                  <c:v>2.1698049988662954E-2</c:v>
                </c:pt>
                <c:pt idx="898">
                  <c:v>2.1723344267349239E-2</c:v>
                </c:pt>
                <c:pt idx="899">
                  <c:v>2.1748532445519476E-2</c:v>
                </c:pt>
                <c:pt idx="900">
                  <c:v>2.1773614519090878E-2</c:v>
                </c:pt>
                <c:pt idx="901">
                  <c:v>2.1808012314569612E-2</c:v>
                </c:pt>
                <c:pt idx="902">
                  <c:v>2.1823460336192001E-2</c:v>
                </c:pt>
                <c:pt idx="903">
                  <c:v>2.1848224071641699E-2</c:v>
                </c:pt>
                <c:pt idx="904">
                  <c:v>2.1872881686332515E-2</c:v>
                </c:pt>
                <c:pt idx="905">
                  <c:v>2.1897433176267647E-2</c:v>
                </c:pt>
                <c:pt idx="906">
                  <c:v>2.1929951211200872E-2</c:v>
                </c:pt>
                <c:pt idx="907">
                  <c:v>2.1954250294210935E-2</c:v>
                </c:pt>
                <c:pt idx="908">
                  <c:v>2.1978440427190261E-2</c:v>
                </c:pt>
                <c:pt idx="909">
                  <c:v>2.200251941527543E-2</c:v>
                </c:pt>
                <c:pt idx="910">
                  <c:v>2.2024140265084372E-2</c:v>
                </c:pt>
                <c:pt idx="911">
                  <c:v>2.2047997854498787E-2</c:v>
                </c:pt>
                <c:pt idx="912">
                  <c:v>2.2071737971241612E-2</c:v>
                </c:pt>
                <c:pt idx="913">
                  <c:v>2.2095358408300132E-2</c:v>
                </c:pt>
                <c:pt idx="914">
                  <c:v>2.2123482992303819E-2</c:v>
                </c:pt>
                <c:pt idx="915">
                  <c:v>2.2144536377797956E-2</c:v>
                </c:pt>
                <c:pt idx="916">
                  <c:v>2.2167775888245287E-2</c:v>
                </c:pt>
                <c:pt idx="917">
                  <c:v>2.219088669183614E-2</c:v>
                </c:pt>
                <c:pt idx="918">
                  <c:v>2.2213866592962907E-2</c:v>
                </c:pt>
                <c:pt idx="919">
                  <c:v>2.2236713395938912E-2</c:v>
                </c:pt>
                <c:pt idx="920">
                  <c:v>2.2259424905007104E-2</c:v>
                </c:pt>
                <c:pt idx="921">
                  <c:v>2.2281998924333093E-2</c:v>
                </c:pt>
                <c:pt idx="922">
                  <c:v>2.2304433258012991E-2</c:v>
                </c:pt>
                <c:pt idx="923">
                  <c:v>2.2322263001075027E-2</c:v>
                </c:pt>
                <c:pt idx="924">
                  <c:v>2.2344431170500868E-2</c:v>
                </c:pt>
                <c:pt idx="925">
                  <c:v>2.2366453274872595E-2</c:v>
                </c:pt>
                <c:pt idx="926">
                  <c:v>2.2388327094265737E-2</c:v>
                </c:pt>
                <c:pt idx="927">
                  <c:v>2.2410050408694347E-2</c:v>
                </c:pt>
                <c:pt idx="928">
                  <c:v>2.2431620998108342E-2</c:v>
                </c:pt>
                <c:pt idx="929">
                  <c:v>2.2453036642397475E-2</c:v>
                </c:pt>
                <c:pt idx="930">
                  <c:v>2.2476455869525243E-2</c:v>
                </c:pt>
                <c:pt idx="931">
                  <c:v>2.249539421486501E-2</c:v>
                </c:pt>
                <c:pt idx="932">
                  <c:v>2.2516331702533469E-2</c:v>
                </c:pt>
                <c:pt idx="933">
                  <c:v>2.2537105733269988E-2</c:v>
                </c:pt>
                <c:pt idx="934">
                  <c:v>2.2557715932764302E-2</c:v>
                </c:pt>
                <c:pt idx="935">
                  <c:v>2.2578162295948827E-2</c:v>
                </c:pt>
                <c:pt idx="936">
                  <c:v>2.259844481779593E-2</c:v>
                </c:pt>
                <c:pt idx="937">
                  <c:v>2.2618563493318831E-2</c:v>
                </c:pt>
                <c:pt idx="938">
                  <c:v>2.2638518317569405E-2</c:v>
                </c:pt>
                <c:pt idx="939">
                  <c:v>2.2658309285640364E-2</c:v>
                </c:pt>
                <c:pt idx="940">
                  <c:v>2.267867104709172E-2</c:v>
                </c:pt>
                <c:pt idx="941">
                  <c:v>2.269812136492674E-2</c:v>
                </c:pt>
                <c:pt idx="942">
                  <c:v>2.27174078210018E-2</c:v>
                </c:pt>
                <c:pt idx="943">
                  <c:v>2.2736530410600669E-2</c:v>
                </c:pt>
                <c:pt idx="944">
                  <c:v>2.2755489129047308E-2</c:v>
                </c:pt>
                <c:pt idx="945">
                  <c:v>2.2774283971704546E-2</c:v>
                </c:pt>
                <c:pt idx="946">
                  <c:v>2.2792914933976279E-2</c:v>
                </c:pt>
                <c:pt idx="947">
                  <c:v>2.2811382011306152E-2</c:v>
                </c:pt>
                <c:pt idx="948">
                  <c:v>2.2829685199177555E-2</c:v>
                </c:pt>
                <c:pt idx="949">
                  <c:v>2.2853705055526547E-2</c:v>
                </c:pt>
                <c:pt idx="950">
                  <c:v>2.28716487266051E-2</c:v>
                </c:pt>
                <c:pt idx="951">
                  <c:v>2.2889428465558394E-2</c:v>
                </c:pt>
                <c:pt idx="952">
                  <c:v>2.290704426796604E-2</c:v>
                </c:pt>
                <c:pt idx="953">
                  <c:v>2.2922579234133093E-2</c:v>
                </c:pt>
                <c:pt idx="954">
                  <c:v>2.2939877765777147E-2</c:v>
                </c:pt>
                <c:pt idx="955">
                  <c:v>2.2957012357733151E-2</c:v>
                </c:pt>
                <c:pt idx="956">
                  <c:v>2.2978801649606462E-2</c:v>
                </c:pt>
                <c:pt idx="957">
                  <c:v>2.3001681065769497E-2</c:v>
                </c:pt>
                <c:pt idx="958">
                  <c:v>2.3017736604974234E-2</c:v>
                </c:pt>
                <c:pt idx="959">
                  <c:v>2.3034136543208766E-2</c:v>
                </c:pt>
                <c:pt idx="960">
                  <c:v>2.3050372489868999E-2</c:v>
                </c:pt>
                <c:pt idx="961">
                  <c:v>2.3060961358310622E-2</c:v>
                </c:pt>
                <c:pt idx="962">
                  <c:v>2.3076901407211987E-2</c:v>
                </c:pt>
                <c:pt idx="963">
                  <c:v>2.3092677482542456E-2</c:v>
                </c:pt>
                <c:pt idx="964">
                  <c:v>2.3108289580399143E-2</c:v>
                </c:pt>
                <c:pt idx="965">
                  <c:v>2.3129092208166845E-2</c:v>
                </c:pt>
                <c:pt idx="966">
                  <c:v>2.3144344121126533E-2</c:v>
                </c:pt>
                <c:pt idx="967">
                  <c:v>2.315943201481193E-2</c:v>
                </c:pt>
                <c:pt idx="968">
                  <c:v>2.3174355885430369E-2</c:v>
                </c:pt>
                <c:pt idx="969">
                  <c:v>2.3189115729231734E-2</c:v>
                </c:pt>
                <c:pt idx="970">
                  <c:v>2.3198518427246975E-2</c:v>
                </c:pt>
                <c:pt idx="971">
                  <c:v>2.3218143321582604E-2</c:v>
                </c:pt>
                <c:pt idx="972">
                  <c:v>2.3232411062836009E-2</c:v>
                </c:pt>
                <c:pt idx="973">
                  <c:v>2.3246514762679714E-2</c:v>
                </c:pt>
                <c:pt idx="974">
                  <c:v>2.3255390968666426E-2</c:v>
                </c:pt>
                <c:pt idx="975">
                  <c:v>2.3265840275510118E-2</c:v>
                </c:pt>
                <c:pt idx="976">
                  <c:v>2.3279506029907384E-2</c:v>
                </c:pt>
                <c:pt idx="977">
                  <c:v>2.329300778035125E-2</c:v>
                </c:pt>
                <c:pt idx="978">
                  <c:v>2.3306345523538281E-2</c:v>
                </c:pt>
                <c:pt idx="979">
                  <c:v>2.3321155724381357E-2</c:v>
                </c:pt>
                <c:pt idx="980">
                  <c:v>2.3334154564949687E-2</c:v>
                </c:pt>
                <c:pt idx="981">
                  <c:v>2.3346989378262503E-2</c:v>
                </c:pt>
                <c:pt idx="982">
                  <c:v>2.3359660161162768E-2</c:v>
                </c:pt>
                <c:pt idx="983">
                  <c:v>2.3372166910532979E-2</c:v>
                </c:pt>
                <c:pt idx="984">
                  <c:v>2.3382927650394871E-2</c:v>
                </c:pt>
                <c:pt idx="985">
                  <c:v>2.33951172536867E-2</c:v>
                </c:pt>
                <c:pt idx="986">
                  <c:v>2.3407142824745431E-2</c:v>
                </c:pt>
                <c:pt idx="987">
                  <c:v>2.3419004360629762E-2</c:v>
                </c:pt>
                <c:pt idx="988">
                  <c:v>2.3432240048192027E-2</c:v>
                </c:pt>
                <c:pt idx="989">
                  <c:v>2.344376253319904E-2</c:v>
                </c:pt>
                <c:pt idx="990">
                  <c:v>2.3455120963990564E-2</c:v>
                </c:pt>
                <c:pt idx="991">
                  <c:v>2.3472638463481535E-2</c:v>
                </c:pt>
                <c:pt idx="992">
                  <c:v>2.3477415351393964E-2</c:v>
                </c:pt>
                <c:pt idx="993">
                  <c:v>2.3486728677598791E-2</c:v>
                </c:pt>
                <c:pt idx="994">
                  <c:v>2.3497441888266996E-2</c:v>
                </c:pt>
                <c:pt idx="995">
                  <c:v>2.3507991041672838E-2</c:v>
                </c:pt>
                <c:pt idx="996">
                  <c:v>2.3518376135234515E-2</c:v>
                </c:pt>
                <c:pt idx="997">
                  <c:v>2.3528597166412625E-2</c:v>
                </c:pt>
                <c:pt idx="998">
                  <c:v>2.3538654132706185E-2</c:v>
                </c:pt>
                <c:pt idx="999">
                  <c:v>2.3548547031655286E-2</c:v>
                </c:pt>
                <c:pt idx="1000">
                  <c:v>2.3558275860840198E-2</c:v>
                </c:pt>
                <c:pt idx="1001">
                  <c:v>2.3574804282857128E-2</c:v>
                </c:pt>
                <c:pt idx="1002">
                  <c:v>2.3584149407107909E-2</c:v>
                </c:pt>
                <c:pt idx="1003">
                  <c:v>2.3593330401533261E-2</c:v>
                </c:pt>
                <c:pt idx="1004">
                  <c:v>2.360234726382535E-2</c:v>
                </c:pt>
                <c:pt idx="1005">
                  <c:v>2.3607158346721044E-2</c:v>
                </c:pt>
                <c:pt idx="1006">
                  <c:v>2.361588040486912E-2</c:v>
                </c:pt>
                <c:pt idx="1007">
                  <c:v>2.3624438356150954E-2</c:v>
                </c:pt>
                <c:pt idx="1008">
                  <c:v>2.3632832198449777E-2</c:v>
                </c:pt>
                <c:pt idx="1009">
                  <c:v>2.3641061929689431E-2</c:v>
                </c:pt>
                <c:pt idx="1010">
                  <c:v>2.3653002052965791E-2</c:v>
                </c:pt>
                <c:pt idx="1011">
                  <c:v>2.3660874645483033E-2</c:v>
                </c:pt>
                <c:pt idx="1012">
                  <c:v>2.3668592188286992E-2</c:v>
                </c:pt>
                <c:pt idx="1013">
                  <c:v>2.3676159579220233E-2</c:v>
                </c:pt>
                <c:pt idx="1014">
                  <c:v>2.3679820925234296E-2</c:v>
                </c:pt>
                <c:pt idx="1015">
                  <c:v>2.3687126629164636E-2</c:v>
                </c:pt>
                <c:pt idx="1016">
                  <c:v>2.3694295238316607E-2</c:v>
                </c:pt>
                <c:pt idx="1017">
                  <c:v>2.3705025584901035E-2</c:v>
                </c:pt>
                <c:pt idx="1018">
                  <c:v>2.3711915687874792E-2</c:v>
                </c:pt>
                <c:pt idx="1019">
                  <c:v>2.3718685028238748E-2</c:v>
                </c:pt>
                <c:pt idx="1020">
                  <c:v>2.3725338504538552E-2</c:v>
                </c:pt>
                <c:pt idx="1021">
                  <c:v>2.373188101540925E-2</c:v>
                </c:pt>
                <c:pt idx="1022">
                  <c:v>2.3734706655623737E-2</c:v>
                </c:pt>
                <c:pt idx="1023">
                  <c:v>2.3744652735816961E-2</c:v>
                </c:pt>
                <c:pt idx="1024">
                  <c:v>2.3750891743036202E-2</c:v>
                </c:pt>
                <c:pt idx="1025">
                  <c:v>2.3757039380183077E-2</c:v>
                </c:pt>
                <c:pt idx="1026">
                  <c:v>2.37595362367349E-2</c:v>
                </c:pt>
                <c:pt idx="1027">
                  <c:v>2.3763154599435621E-2</c:v>
                </c:pt>
                <c:pt idx="1028">
                  <c:v>2.376907228476699E-2</c:v>
                </c:pt>
                <c:pt idx="1029">
                  <c:v>2.377491717598906E-2</c:v>
                </c:pt>
                <c:pt idx="1030">
                  <c:v>2.3780694306119361E-2</c:v>
                </c:pt>
                <c:pt idx="1031">
                  <c:v>2.3787583424143721E-2</c:v>
                </c:pt>
                <c:pt idx="1032">
                  <c:v>2.3793237829965525E-2</c:v>
                </c:pt>
                <c:pt idx="1033">
                  <c:v>2.3798839673465803E-2</c:v>
                </c:pt>
                <c:pt idx="1034">
                  <c:v>2.3804393960583075E-2</c:v>
                </c:pt>
                <c:pt idx="1035">
                  <c:v>2.3809905697314712E-2</c:v>
                </c:pt>
                <c:pt idx="1036">
                  <c:v>2.3814215941326676E-2</c:v>
                </c:pt>
                <c:pt idx="1037">
                  <c:v>2.3819657910025108E-2</c:v>
                </c:pt>
                <c:pt idx="1038">
                  <c:v>2.3825065911993563E-2</c:v>
                </c:pt>
                <c:pt idx="1039">
                  <c:v>2.3830439946959544E-2</c:v>
                </c:pt>
                <c:pt idx="1040">
                  <c:v>2.3836935656678666E-2</c:v>
                </c:pt>
                <c:pt idx="1041">
                  <c:v>2.384223967965949E-2</c:v>
                </c:pt>
                <c:pt idx="1042">
                  <c:v>2.3847509732647341E-2</c:v>
                </c:pt>
                <c:pt idx="1043">
                  <c:v>2.3852745815373864E-2</c:v>
                </c:pt>
                <c:pt idx="1044">
                  <c:v>2.3856800607278437E-2</c:v>
                </c:pt>
                <c:pt idx="1045">
                  <c:v>2.3861970834570919E-2</c:v>
                </c:pt>
                <c:pt idx="1046">
                  <c:v>2.3867107092991485E-2</c:v>
                </c:pt>
                <c:pt idx="1047">
                  <c:v>2.3872209382279574E-2</c:v>
                </c:pt>
                <c:pt idx="1048">
                  <c:v>2.3877277702177711E-2</c:v>
                </c:pt>
                <c:pt idx="1049">
                  <c:v>2.3882312052428422E-2</c:v>
                </c:pt>
                <c:pt idx="1050">
                  <c:v>2.3887312432777322E-2</c:v>
                </c:pt>
                <c:pt idx="1051">
                  <c:v>2.3892278842970474E-2</c:v>
                </c:pt>
                <c:pt idx="1052">
                  <c:v>2.3897211282757028E-2</c:v>
                </c:pt>
                <c:pt idx="1053">
                  <c:v>2.3907750577377453E-2</c:v>
                </c:pt>
                <c:pt idx="1054">
                  <c:v>2.3912604544742706E-2</c:v>
                </c:pt>
                <c:pt idx="1055">
                  <c:v>2.3917424529976011E-2</c:v>
                </c:pt>
                <c:pt idx="1056">
                  <c:v>2.3922210532826817E-2</c:v>
                </c:pt>
                <c:pt idx="1057">
                  <c:v>2.3923603830135452E-2</c:v>
                </c:pt>
                <c:pt idx="1058">
                  <c:v>2.3928328213245746E-2</c:v>
                </c:pt>
                <c:pt idx="1059">
                  <c:v>2.3933018619835645E-2</c:v>
                </c:pt>
                <c:pt idx="1060">
                  <c:v>2.3937675049664906E-2</c:v>
                </c:pt>
                <c:pt idx="1061">
                  <c:v>2.3942297502494592E-2</c:v>
                </c:pt>
                <c:pt idx="1062">
                  <c:v>2.3950212906066359E-2</c:v>
                </c:pt>
                <c:pt idx="1063">
                  <c:v>2.3954761025362162E-2</c:v>
                </c:pt>
                <c:pt idx="1064">
                  <c:v>2.3959275160332073E-2</c:v>
                </c:pt>
                <c:pt idx="1065">
                  <c:v>2.3963755310740579E-2</c:v>
                </c:pt>
                <c:pt idx="1066">
                  <c:v>2.3964900103436083E-2</c:v>
                </c:pt>
                <c:pt idx="1067">
                  <c:v>2.3969318689361648E-2</c:v>
                </c:pt>
                <c:pt idx="1068">
                  <c:v>2.3973703296668383E-2</c:v>
                </c:pt>
                <c:pt idx="1069">
                  <c:v>2.3978053925131776E-2</c:v>
                </c:pt>
                <c:pt idx="1070">
                  <c:v>2.3985646286274375E-2</c:v>
                </c:pt>
                <c:pt idx="1071">
                  <c:v>2.3989922524483929E-2</c:v>
                </c:pt>
                <c:pt idx="1072">
                  <c:v>2.3994164776537659E-2</c:v>
                </c:pt>
                <c:pt idx="1073">
                  <c:v>2.3998373042215092E-2</c:v>
                </c:pt>
                <c:pt idx="1074">
                  <c:v>2.4002547321296627E-2</c:v>
                </c:pt>
                <c:pt idx="1075">
                  <c:v>2.4006687613564795E-2</c:v>
                </c:pt>
                <c:pt idx="1076">
                  <c:v>2.4010793918805576E-2</c:v>
                </c:pt>
                <c:pt idx="1077">
                  <c:v>2.4014866236803663E-2</c:v>
                </c:pt>
                <c:pt idx="1078">
                  <c:v>2.4018904567348037E-2</c:v>
                </c:pt>
                <c:pt idx="1079">
                  <c:v>2.4018618477948818E-2</c:v>
                </c:pt>
                <c:pt idx="1080">
                  <c:v>2.4022597488160685E-2</c:v>
                </c:pt>
                <c:pt idx="1081">
                  <c:v>2.4026542519195278E-2</c:v>
                </c:pt>
                <c:pt idx="1082">
                  <c:v>2.4030453570852321E-2</c:v>
                </c:pt>
                <c:pt idx="1083">
                  <c:v>2.4035394823422328E-2</c:v>
                </c:pt>
                <c:pt idx="1084">
                  <c:v>2.4039235743469042E-2</c:v>
                </c:pt>
                <c:pt idx="1085">
                  <c:v>2.4047280403602003E-2</c:v>
                </c:pt>
                <c:pt idx="1086">
                  <c:v>2.4046815636770046E-2</c:v>
                </c:pt>
                <c:pt idx="1087">
                  <c:v>2.4050554609635573E-2</c:v>
                </c:pt>
                <c:pt idx="1088">
                  <c:v>2.4053206302819392E-2</c:v>
                </c:pt>
                <c:pt idx="1089">
                  <c:v>2.4056879493349594E-2</c:v>
                </c:pt>
                <c:pt idx="1090">
                  <c:v>2.4060518702957105E-2</c:v>
                </c:pt>
                <c:pt idx="1091">
                  <c:v>2.4064123931455701E-2</c:v>
                </c:pt>
                <c:pt idx="1092">
                  <c:v>2.4068739728511673E-2</c:v>
                </c:pt>
                <c:pt idx="1093">
                  <c:v>2.40722748018928E-2</c:v>
                </c:pt>
                <c:pt idx="1094">
                  <c:v>2.4075775891382815E-2</c:v>
                </c:pt>
                <c:pt idx="1095">
                  <c:v>2.407924299680219E-2</c:v>
                </c:pt>
                <c:pt idx="1096">
                  <c:v>2.408267611797402E-2</c:v>
                </c:pt>
                <c:pt idx="1097">
                  <c:v>2.408504168901255E-2</c:v>
                </c:pt>
                <c:pt idx="1098">
                  <c:v>2.4088409044709248E-2</c:v>
                </c:pt>
                <c:pt idx="1099">
                  <c:v>2.4091742417876632E-2</c:v>
                </c:pt>
                <c:pt idx="1100">
                  <c:v>2.4095041808346037E-2</c:v>
                </c:pt>
                <c:pt idx="1101">
                  <c:v>2.4098307215949254E-2</c:v>
                </c:pt>
                <c:pt idx="1102">
                  <c:v>2.4101538640519379E-2</c:v>
                </c:pt>
                <c:pt idx="1103">
                  <c:v>2.4104736081892588E-2</c:v>
                </c:pt>
                <c:pt idx="1104">
                  <c:v>2.4107899539905494E-2</c:v>
                </c:pt>
                <c:pt idx="1105">
                  <c:v>2.411509150849895E-2</c:v>
                </c:pt>
                <c:pt idx="1106">
                  <c:v>2.4118178111466576E-2</c:v>
                </c:pt>
                <c:pt idx="1107">
                  <c:v>2.4121230721603285E-2</c:v>
                </c:pt>
                <c:pt idx="1108">
                  <c:v>2.4124249338750497E-2</c:v>
                </c:pt>
                <c:pt idx="1109">
                  <c:v>2.4124214049029008E-2</c:v>
                </c:pt>
                <c:pt idx="1110">
                  <c:v>2.4127171373062316E-2</c:v>
                </c:pt>
                <c:pt idx="1111">
                  <c:v>2.4130094710393648E-2</c:v>
                </c:pt>
                <c:pt idx="1112">
                  <c:v>2.4132984060873178E-2</c:v>
                </c:pt>
                <c:pt idx="1113">
                  <c:v>2.4135839424352826E-2</c:v>
                </c:pt>
                <c:pt idx="1114">
                  <c:v>2.4141647180176935E-2</c:v>
                </c:pt>
                <c:pt idx="1115">
                  <c:v>2.414442784209658E-2</c:v>
                </c:pt>
                <c:pt idx="1116">
                  <c:v>2.414717450981952E-2</c:v>
                </c:pt>
                <c:pt idx="1117">
                  <c:v>2.4149887183202646E-2</c:v>
                </c:pt>
                <c:pt idx="1118">
                  <c:v>2.4149606431697661E-2</c:v>
                </c:pt>
                <c:pt idx="1119">
                  <c:v>2.4152257870168843E-2</c:v>
                </c:pt>
                <c:pt idx="1120">
                  <c:v>2.4154875320653395E-2</c:v>
                </c:pt>
                <c:pt idx="1121">
                  <c:v>2.4157458783017213E-2</c:v>
                </c:pt>
                <c:pt idx="1122">
                  <c:v>2.4160008257127944E-2</c:v>
                </c:pt>
                <c:pt idx="1123">
                  <c:v>2.4165449334580515E-2</c:v>
                </c:pt>
                <c:pt idx="1124">
                  <c:v>2.4167924043729947E-2</c:v>
                </c:pt>
                <c:pt idx="1125">
                  <c:v>2.4170364757459564E-2</c:v>
                </c:pt>
                <c:pt idx="1126">
                  <c:v>2.417277147564259E-2</c:v>
                </c:pt>
                <c:pt idx="1127">
                  <c:v>2.4175144198153531E-2</c:v>
                </c:pt>
                <c:pt idx="1128">
                  <c:v>2.4177482924869046E-2</c:v>
                </c:pt>
                <c:pt idx="1129">
                  <c:v>2.4179787655666651E-2</c:v>
                </c:pt>
                <c:pt idx="1130">
                  <c:v>2.4182058390427304E-2</c:v>
                </c:pt>
                <c:pt idx="1131">
                  <c:v>2.4179509090015507E-2</c:v>
                </c:pt>
                <c:pt idx="1132">
                  <c:v>2.4181723234705865E-2</c:v>
                </c:pt>
                <c:pt idx="1133">
                  <c:v>2.4183903394329968E-2</c:v>
                </c:pt>
                <c:pt idx="1134">
                  <c:v>2.4186049568778289E-2</c:v>
                </c:pt>
                <c:pt idx="1135">
                  <c:v>2.4188161757940869E-2</c:v>
                </c:pt>
                <c:pt idx="1136">
                  <c:v>2.4191186098385276E-2</c:v>
                </c:pt>
                <c:pt idx="1137">
                  <c:v>2.4193228025490916E-2</c:v>
                </c:pt>
                <c:pt idx="1138">
                  <c:v>2.4195235964729972E-2</c:v>
                </c:pt>
                <c:pt idx="1139">
                  <c:v>2.4197209915999666E-2</c:v>
                </c:pt>
                <c:pt idx="1140">
                  <c:v>2.419821292079935E-2</c:v>
                </c:pt>
                <c:pt idx="1141">
                  <c:v>2.4200121196067098E-2</c:v>
                </c:pt>
                <c:pt idx="1142">
                  <c:v>2.420199548533674E-2</c:v>
                </c:pt>
                <c:pt idx="1143">
                  <c:v>2.4203835788514212E-2</c:v>
                </c:pt>
                <c:pt idx="1144">
                  <c:v>2.4206569849357273E-2</c:v>
                </c:pt>
                <c:pt idx="1145">
                  <c:v>2.4208339870763203E-2</c:v>
                </c:pt>
                <c:pt idx="1146">
                  <c:v>2.421007590353217E-2</c:v>
                </c:pt>
                <c:pt idx="1147">
                  <c:v>2.4211777947576774E-2</c:v>
                </c:pt>
                <c:pt idx="1148">
                  <c:v>2.4213681521812597E-2</c:v>
                </c:pt>
                <c:pt idx="1149">
                  <c:v>2.421439488935917E-2</c:v>
                </c:pt>
                <c:pt idx="1150">
                  <c:v>2.4215992432125091E-2</c:v>
                </c:pt>
                <c:pt idx="1151">
                  <c:v>2.421755598808957E-2</c:v>
                </c:pt>
                <c:pt idx="1152">
                  <c:v>2.4219085557172674E-2</c:v>
                </c:pt>
                <c:pt idx="1153">
                  <c:v>2.4220581139298002E-2</c:v>
                </c:pt>
                <c:pt idx="1154">
                  <c:v>2.4222042734389587E-2</c:v>
                </c:pt>
                <c:pt idx="1155">
                  <c:v>2.4223470342373238E-2</c:v>
                </c:pt>
                <c:pt idx="1156">
                  <c:v>2.4224863963176527E-2</c:v>
                </c:pt>
                <c:pt idx="1157">
                  <c:v>2.4229811342046579E-2</c:v>
                </c:pt>
                <c:pt idx="1158">
                  <c:v>2.4231127629722193E-2</c:v>
                </c:pt>
                <c:pt idx="1159">
                  <c:v>2.4232409920916499E-2</c:v>
                </c:pt>
                <c:pt idx="1160">
                  <c:v>2.4233658215562528E-2</c:v>
                </c:pt>
                <c:pt idx="1161">
                  <c:v>2.4233779060000255E-2</c:v>
                </c:pt>
                <c:pt idx="1162">
                  <c:v>2.4236052814953089E-2</c:v>
                </c:pt>
                <c:pt idx="1163">
                  <c:v>2.4237199119574043E-2</c:v>
                </c:pt>
                <c:pt idx="1164">
                  <c:v>2.4238311427399132E-2</c:v>
                </c:pt>
                <c:pt idx="1165">
                  <c:v>2.4239389738370459E-2</c:v>
                </c:pt>
                <c:pt idx="1166">
                  <c:v>2.4240434052432709E-2</c:v>
                </c:pt>
                <c:pt idx="1167">
                  <c:v>2.4241444310388272E-2</c:v>
                </c:pt>
                <c:pt idx="1168">
                  <c:v>2.4242420216468111E-2</c:v>
                </c:pt>
                <c:pt idx="1169">
                  <c:v>2.4243361415762183E-2</c:v>
                </c:pt>
                <c:pt idx="1170">
                  <c:v>2.4244267553361298E-2</c:v>
                </c:pt>
                <c:pt idx="1171">
                  <c:v>2.424513827435671E-2</c:v>
                </c:pt>
                <c:pt idx="1172">
                  <c:v>2.4245973223841831E-2</c:v>
                </c:pt>
                <c:pt idx="1173">
                  <c:v>2.424677204691093E-2</c:v>
                </c:pt>
                <c:pt idx="1174">
                  <c:v>2.4247534388659144E-2</c:v>
                </c:pt>
                <c:pt idx="1175">
                  <c:v>2.4248259894184637E-2</c:v>
                </c:pt>
                <c:pt idx="1176">
                  <c:v>2.4248948208585142E-2</c:v>
                </c:pt>
                <c:pt idx="1177">
                  <c:v>2.4249598976962272E-2</c:v>
                </c:pt>
                <c:pt idx="1178">
                  <c:v>2.4250211844416787E-2</c:v>
                </c:pt>
                <c:pt idx="1179">
                  <c:v>2.425078645605333E-2</c:v>
                </c:pt>
                <c:pt idx="1180">
                  <c:v>2.4251322456976976E-2</c:v>
                </c:pt>
                <c:pt idx="1181">
                  <c:v>2.4251819492294963E-2</c:v>
                </c:pt>
                <c:pt idx="1182">
                  <c:v>2.4252277207117114E-2</c:v>
                </c:pt>
                <c:pt idx="1183">
                  <c:v>2.4249376385338861E-2</c:v>
                </c:pt>
                <c:pt idx="1184">
                  <c:v>2.4249766370318861E-2</c:v>
                </c:pt>
                <c:pt idx="1185">
                  <c:v>2.425011604704224E-2</c:v>
                </c:pt>
                <c:pt idx="1186">
                  <c:v>2.4250425052881941E-2</c:v>
                </c:pt>
                <c:pt idx="1187">
                  <c:v>2.425151104342059E-2</c:v>
                </c:pt>
                <c:pt idx="1188">
                  <c:v>2.425173456139439E-2</c:v>
                </c:pt>
                <c:pt idx="1189">
                  <c:v>2.4251916308995099E-2</c:v>
                </c:pt>
                <c:pt idx="1190">
                  <c:v>2.4255288574876587E-2</c:v>
                </c:pt>
                <c:pt idx="1191">
                  <c:v>2.4252153050479973E-2</c:v>
                </c:pt>
                <c:pt idx="1192">
                  <c:v>2.4251404692511469E-2</c:v>
                </c:pt>
                <c:pt idx="1193">
                  <c:v>2.4251418860066994E-2</c:v>
                </c:pt>
                <c:pt idx="1194">
                  <c:v>2.4251389667766264E-2</c:v>
                </c:pt>
                <c:pt idx="1195">
                  <c:v>2.4251317110853741E-2</c:v>
                </c:pt>
                <c:pt idx="1196">
                  <c:v>2.4251991415578468E-2</c:v>
                </c:pt>
                <c:pt idx="1197">
                  <c:v>2.4251829021115754E-2</c:v>
                </c:pt>
                <c:pt idx="1198">
                  <c:v>2.4251623259161907E-2</c:v>
                </c:pt>
                <c:pt idx="1199">
                  <c:v>2.425137412972922E-2</c:v>
                </c:pt>
                <c:pt idx="1200">
                  <c:v>2.4248612894483518E-2</c:v>
                </c:pt>
                <c:pt idx="1201">
                  <c:v>2.4250588550894708E-2</c:v>
                </c:pt>
                <c:pt idx="1202">
                  <c:v>2.4250190733105446E-2</c:v>
                </c:pt>
                <c:pt idx="1203">
                  <c:v>2.42497495479309E-2</c:v>
                </c:pt>
                <c:pt idx="1204">
                  <c:v>2.4249264995399613E-2</c:v>
                </c:pt>
                <c:pt idx="1205">
                  <c:v>2.4248737075542773E-2</c:v>
                </c:pt>
                <c:pt idx="1206">
                  <c:v>2.4248165788395074E-2</c:v>
                </c:pt>
                <c:pt idx="1207">
                  <c:v>2.4247551133993853E-2</c:v>
                </c:pt>
                <c:pt idx="1208">
                  <c:v>2.4246893112379073E-2</c:v>
                </c:pt>
                <c:pt idx="1209">
                  <c:v>2.4247687408406861E-2</c:v>
                </c:pt>
                <c:pt idx="1210">
                  <c:v>2.4246936356661714E-2</c:v>
                </c:pt>
                <c:pt idx="1211">
                  <c:v>2.4246141932044756E-2</c:v>
                </c:pt>
                <c:pt idx="1212">
                  <c:v>2.4245304134607678E-2</c:v>
                </c:pt>
                <c:pt idx="1213">
                  <c:v>2.4243687865612779E-2</c:v>
                </c:pt>
                <c:pt idx="1214">
                  <c:v>2.4242766482416155E-2</c:v>
                </c:pt>
                <c:pt idx="1215">
                  <c:v>2.4241801729468899E-2</c:v>
                </c:pt>
                <c:pt idx="1216">
                  <c:v>2.4240497605943663E-2</c:v>
                </c:pt>
                <c:pt idx="1217">
                  <c:v>2.4239742114577148E-2</c:v>
                </c:pt>
                <c:pt idx="1218">
                  <c:v>2.4239366524043151E-2</c:v>
                </c:pt>
                <c:pt idx="1219">
                  <c:v>2.4238225118565195E-2</c:v>
                </c:pt>
                <c:pt idx="1220">
                  <c:v>2.4237040340788003E-2</c:v>
                </c:pt>
                <c:pt idx="1221">
                  <c:v>2.4235812190788044E-2</c:v>
                </c:pt>
                <c:pt idx="1222">
                  <c:v>2.4233834111467026E-2</c:v>
                </c:pt>
                <c:pt idx="1223">
                  <c:v>2.4232522403020249E-2</c:v>
                </c:pt>
                <c:pt idx="1224">
                  <c:v>2.4231167325492031E-2</c:v>
                </c:pt>
                <c:pt idx="1225">
                  <c:v>2.4229768878970603E-2</c:v>
                </c:pt>
                <c:pt idx="1226">
                  <c:v>2.422971438257953E-2</c:v>
                </c:pt>
                <c:pt idx="1227">
                  <c:v>2.4227532478839377E-2</c:v>
                </c:pt>
                <c:pt idx="1228">
                  <c:v>2.422600072570244E-2</c:v>
                </c:pt>
                <c:pt idx="1229">
                  <c:v>2.4224425601068238E-2</c:v>
                </c:pt>
                <c:pt idx="1230">
                  <c:v>2.4222807105040604E-2</c:v>
                </c:pt>
                <c:pt idx="1231">
                  <c:v>2.4221145237725974E-2</c:v>
                </c:pt>
                <c:pt idx="1232">
                  <c:v>2.4219439999232952E-2</c:v>
                </c:pt>
                <c:pt idx="1233">
                  <c:v>2.4217691389674501E-2</c:v>
                </c:pt>
                <c:pt idx="1234">
                  <c:v>2.4215899409164E-2</c:v>
                </c:pt>
                <c:pt idx="1235">
                  <c:v>2.4212733945119445E-2</c:v>
                </c:pt>
                <c:pt idx="1236">
                  <c:v>2.4210861669173734E-2</c:v>
                </c:pt>
                <c:pt idx="1237">
                  <c:v>2.4208946028398497E-2</c:v>
                </c:pt>
                <c:pt idx="1238">
                  <c:v>2.4206987022917147E-2</c:v>
                </c:pt>
                <c:pt idx="1239">
                  <c:v>2.4204984652858811E-2</c:v>
                </c:pt>
                <c:pt idx="1240">
                  <c:v>2.4202938918351742E-2</c:v>
                </c:pt>
                <c:pt idx="1241">
                  <c:v>2.4201495634805056E-2</c:v>
                </c:pt>
                <c:pt idx="1242">
                  <c:v>2.4198717356528551E-2</c:v>
                </c:pt>
                <c:pt idx="1243">
                  <c:v>2.4196541529486935E-2</c:v>
                </c:pt>
                <c:pt idx="1244">
                  <c:v>2.4194322338545154E-2</c:v>
                </c:pt>
                <c:pt idx="1245">
                  <c:v>2.4192059783849029E-2</c:v>
                </c:pt>
                <c:pt idx="1246">
                  <c:v>2.4189753865544377E-2</c:v>
                </c:pt>
                <c:pt idx="1247">
                  <c:v>2.4187404583781845E-2</c:v>
                </c:pt>
                <c:pt idx="1248">
                  <c:v>2.4185011938713398E-2</c:v>
                </c:pt>
                <c:pt idx="1249">
                  <c:v>2.4182575930494082E-2</c:v>
                </c:pt>
                <c:pt idx="1250">
                  <c:v>2.4180096559283763E-2</c:v>
                </c:pt>
                <c:pt idx="1251">
                  <c:v>2.4177573825242316E-2</c:v>
                </c:pt>
                <c:pt idx="1252">
                  <c:v>2.4174027769042705E-2</c:v>
                </c:pt>
                <c:pt idx="1253">
                  <c:v>2.4171415386862516E-2</c:v>
                </c:pt>
                <c:pt idx="1254">
                  <c:v>2.4168759645238111E-2</c:v>
                </c:pt>
                <c:pt idx="1255">
                  <c:v>2.4166060544341735E-2</c:v>
                </c:pt>
                <c:pt idx="1256">
                  <c:v>2.4163318084346946E-2</c:v>
                </c:pt>
                <c:pt idx="1257">
                  <c:v>2.4160532265431724E-2</c:v>
                </c:pt>
                <c:pt idx="1258">
                  <c:v>2.4157703087775817E-2</c:v>
                </c:pt>
                <c:pt idx="1259">
                  <c:v>2.4154830551562503E-2</c:v>
                </c:pt>
                <c:pt idx="1260">
                  <c:v>2.4151914656976387E-2</c:v>
                </c:pt>
                <c:pt idx="1261">
                  <c:v>2.4150695396029102E-2</c:v>
                </c:pt>
                <c:pt idx="1262">
                  <c:v>2.4147682891879053E-2</c:v>
                </c:pt>
                <c:pt idx="1263">
                  <c:v>2.4144627021376756E-2</c:v>
                </c:pt>
                <c:pt idx="1264">
                  <c:v>2.4141527784722484E-2</c:v>
                </c:pt>
                <c:pt idx="1265">
                  <c:v>2.4137818684154128E-2</c:v>
                </c:pt>
                <c:pt idx="1266">
                  <c:v>2.4134636025425215E-2</c:v>
                </c:pt>
                <c:pt idx="1267">
                  <c:v>2.4130480319059521E-2</c:v>
                </c:pt>
                <c:pt idx="1268">
                  <c:v>2.4127198545929113E-2</c:v>
                </c:pt>
                <c:pt idx="1269">
                  <c:v>2.4124498197547074E-2</c:v>
                </c:pt>
                <c:pt idx="1270">
                  <c:v>2.4122150949451186E-2</c:v>
                </c:pt>
                <c:pt idx="1271">
                  <c:v>2.4118729115184066E-2</c:v>
                </c:pt>
                <c:pt idx="1272">
                  <c:v>2.4115263910861443E-2</c:v>
                </c:pt>
                <c:pt idx="1273">
                  <c:v>2.411013925165683E-2</c:v>
                </c:pt>
                <c:pt idx="1274">
                  <c:v>2.4106597308638605E-2</c:v>
                </c:pt>
                <c:pt idx="1275">
                  <c:v>2.4103012004765799E-2</c:v>
                </c:pt>
                <c:pt idx="1276">
                  <c:v>2.4099383340272982E-2</c:v>
                </c:pt>
                <c:pt idx="1277">
                  <c:v>2.4097287346562798E-2</c:v>
                </c:pt>
                <c:pt idx="1278">
                  <c:v>2.4093561926838262E-2</c:v>
                </c:pt>
                <c:pt idx="1279">
                  <c:v>2.4089793138728281E-2</c:v>
                </c:pt>
                <c:pt idx="1280">
                  <c:v>2.4085980982484271E-2</c:v>
                </c:pt>
                <c:pt idx="1281">
                  <c:v>2.4082125458358503E-2</c:v>
                </c:pt>
                <c:pt idx="1282">
                  <c:v>2.4076700793763072E-2</c:v>
                </c:pt>
                <c:pt idx="1283">
                  <c:v>2.4074284307490545E-2</c:v>
                </c:pt>
                <c:pt idx="1284">
                  <c:v>2.4070298681268799E-2</c:v>
                </c:pt>
                <c:pt idx="1285">
                  <c:v>2.4066269688207038E-2</c:v>
                </c:pt>
                <c:pt idx="1286">
                  <c:v>2.4060711914783803E-2</c:v>
                </c:pt>
                <c:pt idx="1287">
                  <c:v>2.4056113931159688E-2</c:v>
                </c:pt>
                <c:pt idx="1288">
                  <c:v>2.4051968330792085E-2</c:v>
                </c:pt>
                <c:pt idx="1289">
                  <c:v>2.4047779375918121E-2</c:v>
                </c:pt>
                <c:pt idx="1290">
                  <c:v>2.4043547066811426E-2</c:v>
                </c:pt>
                <c:pt idx="1291">
                  <c:v>2.4039750266388177E-2</c:v>
                </c:pt>
                <c:pt idx="1292">
                  <c:v>2.4035427866137559E-2</c:v>
                </c:pt>
                <c:pt idx="1293">
                  <c:v>2.4031062109681756E-2</c:v>
                </c:pt>
                <c:pt idx="1294">
                  <c:v>2.4026652997306008E-2</c:v>
                </c:pt>
                <c:pt idx="1295">
                  <c:v>2.4022200529298605E-2</c:v>
                </c:pt>
                <c:pt idx="1296">
                  <c:v>2.4017242788860017E-2</c:v>
                </c:pt>
                <c:pt idx="1297">
                  <c:v>2.4012707007975066E-2</c:v>
                </c:pt>
                <c:pt idx="1298">
                  <c:v>2.4008127875135562E-2</c:v>
                </c:pt>
                <c:pt idx="1299">
                  <c:v>2.4003505390638849E-2</c:v>
                </c:pt>
                <c:pt idx="1300">
                  <c:v>2.3999287865064476E-2</c:v>
                </c:pt>
                <c:pt idx="1301">
                  <c:v>2.3994575269474648E-2</c:v>
                </c:pt>
                <c:pt idx="1302">
                  <c:v>2.3989819320347668E-2</c:v>
                </c:pt>
                <c:pt idx="1303">
                  <c:v>2.3982258094916539E-2</c:v>
                </c:pt>
                <c:pt idx="1304">
                  <c:v>2.3979047845390025E-2</c:v>
                </c:pt>
                <c:pt idx="1305">
                  <c:v>2.3974860115868187E-2</c:v>
                </c:pt>
                <c:pt idx="1306">
                  <c:v>2.3969934178336469E-2</c:v>
                </c:pt>
                <c:pt idx="1307">
                  <c:v>2.3964964891629508E-2</c:v>
                </c:pt>
                <c:pt idx="1308">
                  <c:v>2.3959952256069252E-2</c:v>
                </c:pt>
                <c:pt idx="1309">
                  <c:v>2.395489627198159E-2</c:v>
                </c:pt>
                <c:pt idx="1310">
                  <c:v>2.3949796939695928E-2</c:v>
                </c:pt>
                <c:pt idx="1311">
                  <c:v>2.3944654259541676E-2</c:v>
                </c:pt>
                <c:pt idx="1312">
                  <c:v>2.3939468231854829E-2</c:v>
                </c:pt>
                <c:pt idx="1313">
                  <c:v>2.3935852110532545E-2</c:v>
                </c:pt>
                <c:pt idx="1314">
                  <c:v>2.3930565607176612E-2</c:v>
                </c:pt>
                <c:pt idx="1315">
                  <c:v>2.3925235746259266E-2</c:v>
                </c:pt>
                <c:pt idx="1316">
                  <c:v>2.3919862528133776E-2</c:v>
                </c:pt>
                <c:pt idx="1317">
                  <c:v>2.39132778771287E-2</c:v>
                </c:pt>
                <c:pt idx="1318">
                  <c:v>2.3907828315604913E-2</c:v>
                </c:pt>
                <c:pt idx="1319">
                  <c:v>2.3902335406211565E-2</c:v>
                </c:pt>
                <c:pt idx="1320">
                  <c:v>2.3896799149308159E-2</c:v>
                </c:pt>
                <c:pt idx="1321">
                  <c:v>2.3891219545256366E-2</c:v>
                </c:pt>
                <c:pt idx="1322">
                  <c:v>2.388671273819748E-2</c:v>
                </c:pt>
                <c:pt idx="1323">
                  <c:v>2.3881036029768134E-2</c:v>
                </c:pt>
                <c:pt idx="1324">
                  <c:v>2.3875315967065495E-2</c:v>
                </c:pt>
                <c:pt idx="1325">
                  <c:v>2.3869552550469481E-2</c:v>
                </c:pt>
                <c:pt idx="1326">
                  <c:v>2.3862671330622129E-2</c:v>
                </c:pt>
                <c:pt idx="1327">
                  <c:v>2.3856831651431643E-2</c:v>
                </c:pt>
                <c:pt idx="1328">
                  <c:v>2.3850948627703147E-2</c:v>
                </c:pt>
                <c:pt idx="1329">
                  <c:v>2.3845022259821463E-2</c:v>
                </c:pt>
                <c:pt idx="1330">
                  <c:v>2.384008517258589E-2</c:v>
                </c:pt>
                <c:pt idx="1331">
                  <c:v>2.3834061640767179E-2</c:v>
                </c:pt>
                <c:pt idx="1332">
                  <c:v>2.3827994757794405E-2</c:v>
                </c:pt>
                <c:pt idx="1333">
                  <c:v>2.3821884524069827E-2</c:v>
                </c:pt>
                <c:pt idx="1334">
                  <c:v>2.3815730939999998E-2</c:v>
                </c:pt>
                <c:pt idx="1335">
                  <c:v>2.3809534005993199E-2</c:v>
                </c:pt>
                <c:pt idx="1336">
                  <c:v>2.3803293722461136E-2</c:v>
                </c:pt>
                <c:pt idx="1337">
                  <c:v>2.3797010089817678E-2</c:v>
                </c:pt>
                <c:pt idx="1338">
                  <c:v>2.3790683108479694E-2</c:v>
                </c:pt>
                <c:pt idx="1339">
                  <c:v>2.3782747768197308E-2</c:v>
                </c:pt>
                <c:pt idx="1340">
                  <c:v>2.3776351672104765E-2</c:v>
                </c:pt>
                <c:pt idx="1341">
                  <c:v>2.3769912242095435E-2</c:v>
                </c:pt>
                <c:pt idx="1342">
                  <c:v>2.3763429478584456E-2</c:v>
                </c:pt>
                <c:pt idx="1343">
                  <c:v>2.3757202950558973E-2</c:v>
                </c:pt>
                <c:pt idx="1344">
                  <c:v>2.3750629995069193E-2</c:v>
                </c:pt>
                <c:pt idx="1345">
                  <c:v>2.3744013704651675E-2</c:v>
                </c:pt>
                <c:pt idx="1346">
                  <c:v>2.373735407973597E-2</c:v>
                </c:pt>
                <c:pt idx="1347">
                  <c:v>2.373065112075514E-2</c:v>
                </c:pt>
                <c:pt idx="1348">
                  <c:v>2.3723622917651652E-2</c:v>
                </c:pt>
                <c:pt idx="1349">
                  <c:v>2.3716836831518848E-2</c:v>
                </c:pt>
                <c:pt idx="1350">
                  <c:v>2.3710007415314135E-2</c:v>
                </c:pt>
                <c:pt idx="1351">
                  <c:v>2.3703134669478272E-2</c:v>
                </c:pt>
                <c:pt idx="1352">
                  <c:v>2.3696486330209498E-2</c:v>
                </c:pt>
                <c:pt idx="1353">
                  <c:v>2.36895233760793E-2</c:v>
                </c:pt>
                <c:pt idx="1354">
                  <c:v>2.3682517090991818E-2</c:v>
                </c:pt>
                <c:pt idx="1355">
                  <c:v>2.3675467475400756E-2</c:v>
                </c:pt>
                <c:pt idx="1356">
                  <c:v>2.3668374529764648E-2</c:v>
                </c:pt>
                <c:pt idx="1357">
                  <c:v>2.3660988297283157E-2</c:v>
                </c:pt>
                <c:pt idx="1358">
                  <c:v>2.36538122566229E-2</c:v>
                </c:pt>
                <c:pt idx="1359">
                  <c:v>2.3646592889963059E-2</c:v>
                </c:pt>
                <c:pt idx="1360">
                  <c:v>2.3639330197769117E-2</c:v>
                </c:pt>
                <c:pt idx="1361">
                  <c:v>2.3632024180510976E-2</c:v>
                </c:pt>
                <c:pt idx="1362">
                  <c:v>2.3624674838660743E-2</c:v>
                </c:pt>
                <c:pt idx="1363">
                  <c:v>2.3617282172692738E-2</c:v>
                </c:pt>
                <c:pt idx="1364">
                  <c:v>2.3609846183085249E-2</c:v>
                </c:pt>
                <c:pt idx="1365">
                  <c:v>2.3603470409299609E-2</c:v>
                </c:pt>
                <c:pt idx="1366">
                  <c:v>2.3595929845592833E-2</c:v>
                </c:pt>
                <c:pt idx="1367">
                  <c:v>2.3588345946541283E-2</c:v>
                </c:pt>
                <c:pt idx="1368">
                  <c:v>2.3580718712649929E-2</c:v>
                </c:pt>
                <c:pt idx="1369">
                  <c:v>2.3572430099960975E-2</c:v>
                </c:pt>
                <c:pt idx="1370">
                  <c:v>2.3564726987611022E-2</c:v>
                </c:pt>
                <c:pt idx="1371">
                  <c:v>2.3556980549804183E-2</c:v>
                </c:pt>
                <c:pt idx="1372">
                  <c:v>2.3549190787046283E-2</c:v>
                </c:pt>
                <c:pt idx="1373">
                  <c:v>2.3541357699847523E-2</c:v>
                </c:pt>
                <c:pt idx="1374">
                  <c:v>2.353404530621301E-2</c:v>
                </c:pt>
                <c:pt idx="1375">
                  <c:v>2.3526114742779096E-2</c:v>
                </c:pt>
                <c:pt idx="1376">
                  <c:v>2.3518140848635842E-2</c:v>
                </c:pt>
                <c:pt idx="1377">
                  <c:v>2.3510123624314001E-2</c:v>
                </c:pt>
                <c:pt idx="1378">
                  <c:v>2.3501542415228963E-2</c:v>
                </c:pt>
                <c:pt idx="1379">
                  <c:v>2.3493449392221366E-2</c:v>
                </c:pt>
                <c:pt idx="1380">
                  <c:v>2.3485313048413271E-2</c:v>
                </c:pt>
                <c:pt idx="1381">
                  <c:v>2.3477133384335835E-2</c:v>
                </c:pt>
                <c:pt idx="1382">
                  <c:v>2.346891040052328E-2</c:v>
                </c:pt>
                <c:pt idx="1383">
                  <c:v>2.346111037461987E-2</c:v>
                </c:pt>
                <c:pt idx="1384">
                  <c:v>2.3452789854105996E-2</c:v>
                </c:pt>
                <c:pt idx="1385">
                  <c:v>2.3444426007750714E-2</c:v>
                </c:pt>
                <c:pt idx="1386">
                  <c:v>2.3436018836110135E-2</c:v>
                </c:pt>
                <c:pt idx="1387">
                  <c:v>2.3427568339742529E-2</c:v>
                </c:pt>
                <c:pt idx="1388">
                  <c:v>2.3419074519207869E-2</c:v>
                </c:pt>
                <c:pt idx="1389">
                  <c:v>2.3410537375070872E-2</c:v>
                </c:pt>
                <c:pt idx="1390">
                  <c:v>2.3401956907897963E-2</c:v>
                </c:pt>
                <c:pt idx="1391">
                  <c:v>2.3392699949693927E-2</c:v>
                </c:pt>
                <c:pt idx="1392">
                  <c:v>2.3384051103440384E-2</c:v>
                </c:pt>
                <c:pt idx="1393">
                  <c:v>2.3375358948615085E-2</c:v>
                </c:pt>
                <c:pt idx="1394">
                  <c:v>2.3366623485778903E-2</c:v>
                </c:pt>
                <c:pt idx="1395">
                  <c:v>2.3357844715496699E-2</c:v>
                </c:pt>
                <c:pt idx="1396">
                  <c:v>2.3349131672326405E-2</c:v>
                </c:pt>
                <c:pt idx="1397">
                  <c:v>2.3340262623889201E-2</c:v>
                </c:pt>
                <c:pt idx="1398">
                  <c:v>2.3331350267182062E-2</c:v>
                </c:pt>
                <c:pt idx="1399">
                  <c:v>2.3322394602784298E-2</c:v>
                </c:pt>
                <c:pt idx="1400">
                  <c:v>2.3313301272338646E-2</c:v>
                </c:pt>
                <c:pt idx="1401">
                  <c:v>2.3304262669385702E-2</c:v>
                </c:pt>
                <c:pt idx="1402">
                  <c:v>2.3295180763015334E-2</c:v>
                </c:pt>
                <c:pt idx="1403">
                  <c:v>2.328605555381447E-2</c:v>
                </c:pt>
                <c:pt idx="1404">
                  <c:v>2.327696668589542E-2</c:v>
                </c:pt>
                <c:pt idx="1405">
                  <c:v>2.3267751187668922E-2</c:v>
                </c:pt>
                <c:pt idx="1406">
                  <c:v>2.3258492385883001E-2</c:v>
                </c:pt>
                <c:pt idx="1407">
                  <c:v>2.3249190281138938E-2</c:v>
                </c:pt>
                <c:pt idx="1408">
                  <c:v>2.3239844874041085E-2</c:v>
                </c:pt>
                <c:pt idx="1409">
                  <c:v>2.3230394972362282E-2</c:v>
                </c:pt>
                <c:pt idx="1410">
                  <c:v>2.3220966660006028E-2</c:v>
                </c:pt>
                <c:pt idx="1411">
                  <c:v>2.3211495049612795E-2</c:v>
                </c:pt>
                <c:pt idx="1412">
                  <c:v>2.3201980141794688E-2</c:v>
                </c:pt>
                <c:pt idx="1413">
                  <c:v>2.3192421937166467E-2</c:v>
                </c:pt>
                <c:pt idx="1414">
                  <c:v>2.3182820436345095E-2</c:v>
                </c:pt>
                <c:pt idx="1415">
                  <c:v>2.3173175639951072E-2</c:v>
                </c:pt>
                <c:pt idx="1416">
                  <c:v>2.3163487548607101E-2</c:v>
                </c:pt>
                <c:pt idx="1417">
                  <c:v>2.3153910336337909E-2</c:v>
                </c:pt>
                <c:pt idx="1418">
                  <c:v>2.3144117065929525E-2</c:v>
                </c:pt>
                <c:pt idx="1419">
                  <c:v>2.3134280490171296E-2</c:v>
                </c:pt>
                <c:pt idx="1420">
                  <c:v>2.3124400609715608E-2</c:v>
                </c:pt>
                <c:pt idx="1421">
                  <c:v>2.3114430650213121E-2</c:v>
                </c:pt>
                <c:pt idx="1422">
                  <c:v>2.3104475347556129E-2</c:v>
                </c:pt>
                <c:pt idx="1423">
                  <c:v>2.3094476749503452E-2</c:v>
                </c:pt>
                <c:pt idx="1424">
                  <c:v>2.3084434856708559E-2</c:v>
                </c:pt>
                <c:pt idx="1425">
                  <c:v>2.307434966982666E-2</c:v>
                </c:pt>
                <c:pt idx="1426">
                  <c:v>2.3064211994358506E-2</c:v>
                </c:pt>
                <c:pt idx="1427">
                  <c:v>2.3054030047692062E-2</c:v>
                </c:pt>
                <c:pt idx="1428">
                  <c:v>2.3043807968684726E-2</c:v>
                </c:pt>
                <c:pt idx="1429">
                  <c:v>2.3033547974880927E-2</c:v>
                </c:pt>
                <c:pt idx="1430">
                  <c:v>2.302329837734321E-2</c:v>
                </c:pt>
                <c:pt idx="1431">
                  <c:v>2.3012976343295608E-2</c:v>
                </c:pt>
                <c:pt idx="1432">
                  <c:v>2.3002622283573651E-2</c:v>
                </c:pt>
                <c:pt idx="1433">
                  <c:v>2.2992238451462987E-2</c:v>
                </c:pt>
                <c:pt idx="1434">
                  <c:v>2.2981827100202523E-2</c:v>
                </c:pt>
                <c:pt idx="1435">
                  <c:v>2.2971315978229975E-2</c:v>
                </c:pt>
                <c:pt idx="1436">
                  <c:v>2.2960852668349085E-2</c:v>
                </c:pt>
                <c:pt idx="1437">
                  <c:v>2.295036918240952E-2</c:v>
                </c:pt>
                <c:pt idx="1438">
                  <c:v>2.2939867737546145E-2</c:v>
                </c:pt>
                <c:pt idx="1439">
                  <c:v>2.292935055084569E-2</c:v>
                </c:pt>
                <c:pt idx="1440">
                  <c:v>2.2918819839348896E-2</c:v>
                </c:pt>
                <c:pt idx="1441">
                  <c:v>2.2908277820049235E-2</c:v>
                </c:pt>
                <c:pt idx="1442">
                  <c:v>2.2897726709891188E-2</c:v>
                </c:pt>
                <c:pt idx="1443">
                  <c:v>2.2887318201658017E-2</c:v>
                </c:pt>
                <c:pt idx="1444">
                  <c:v>2.2876755613222291E-2</c:v>
                </c:pt>
                <c:pt idx="1445">
                  <c:v>2.2866190085272738E-2</c:v>
                </c:pt>
                <c:pt idx="1446">
                  <c:v>2.285562389509093E-2</c:v>
                </c:pt>
                <c:pt idx="1447">
                  <c:v>2.2845059319911615E-2</c:v>
                </c:pt>
                <c:pt idx="1448">
                  <c:v>2.2834469485965344E-2</c:v>
                </c:pt>
                <c:pt idx="1449">
                  <c:v>2.2823915337837147E-2</c:v>
                </c:pt>
                <c:pt idx="1450">
                  <c:v>2.2813369676276882E-2</c:v>
                </c:pt>
                <c:pt idx="1451">
                  <c:v>2.2802834765956514E-2</c:v>
                </c:pt>
                <c:pt idx="1452">
                  <c:v>2.2792340368897008E-2</c:v>
                </c:pt>
                <c:pt idx="1453">
                  <c:v>2.278183306397253E-2</c:v>
                </c:pt>
                <c:pt idx="1454">
                  <c:v>2.2771341360415767E-2</c:v>
                </c:pt>
                <c:pt idx="1455">
                  <c:v>2.2760865259089668E-2</c:v>
                </c:pt>
                <c:pt idx="1456">
                  <c:v>2.2750379082791022E-2</c:v>
                </c:pt>
                <c:pt idx="1457">
                  <c:v>2.273993464346926E-2</c:v>
                </c:pt>
                <c:pt idx="1458">
                  <c:v>2.2729505806911413E-2</c:v>
                </c:pt>
                <c:pt idx="1459">
                  <c:v>2.2719092572874161E-2</c:v>
                </c:pt>
                <c:pt idx="1460">
                  <c:v>2.2707210838790071E-2</c:v>
                </c:pt>
                <c:pt idx="1461">
                  <c:v>2.2696854344613986E-2</c:v>
                </c:pt>
                <c:pt idx="1462">
                  <c:v>2.2686489680742952E-2</c:v>
                </c:pt>
                <c:pt idx="1463">
                  <c:v>2.2676140617133335E-2</c:v>
                </c:pt>
                <c:pt idx="1464">
                  <c:v>2.2665807153543556E-2</c:v>
                </c:pt>
                <c:pt idx="1465">
                  <c:v>2.2655489289736017E-2</c:v>
                </c:pt>
                <c:pt idx="1466">
                  <c:v>2.2645187025469141E-2</c:v>
                </c:pt>
                <c:pt idx="1467">
                  <c:v>2.2634900360505771E-2</c:v>
                </c:pt>
                <c:pt idx="1468">
                  <c:v>2.2624629294605219E-2</c:v>
                </c:pt>
                <c:pt idx="1469">
                  <c:v>2.2614295881050912E-2</c:v>
                </c:pt>
                <c:pt idx="1470">
                  <c:v>2.2604057912394285E-2</c:v>
                </c:pt>
                <c:pt idx="1471">
                  <c:v>2.2593835547063852E-2</c:v>
                </c:pt>
                <c:pt idx="1472">
                  <c:v>2.2577821071448369E-2</c:v>
                </c:pt>
                <c:pt idx="1473">
                  <c:v>2.2573490295520977E-2</c:v>
                </c:pt>
                <c:pt idx="1474">
                  <c:v>2.2563262068612228E-2</c:v>
                </c:pt>
                <c:pt idx="1475">
                  <c:v>2.2553102114167771E-2</c:v>
                </c:pt>
                <c:pt idx="1476">
                  <c:v>2.2542957761841828E-2</c:v>
                </c:pt>
                <c:pt idx="1477">
                  <c:v>2.2532829011393297E-2</c:v>
                </c:pt>
                <c:pt idx="1478">
                  <c:v>2.2522715862581505E-2</c:v>
                </c:pt>
                <c:pt idx="1479">
                  <c:v>2.2512618315166648E-2</c:v>
                </c:pt>
                <c:pt idx="1480">
                  <c:v>2.250253636890891E-2</c:v>
                </c:pt>
                <c:pt idx="1481">
                  <c:v>2.2492470023570216E-2</c:v>
                </c:pt>
                <c:pt idx="1482">
                  <c:v>2.2482419278910325E-2</c:v>
                </c:pt>
                <c:pt idx="1483">
                  <c:v>2.2472384134692019E-2</c:v>
                </c:pt>
                <c:pt idx="1484">
                  <c:v>2.2462364590676791E-2</c:v>
                </c:pt>
                <c:pt idx="1485">
                  <c:v>2.2452360646626559E-2</c:v>
                </c:pt>
                <c:pt idx="1486">
                  <c:v>2.2442372302304107E-2</c:v>
                </c:pt>
                <c:pt idx="1487">
                  <c:v>2.243239955747308E-2</c:v>
                </c:pt>
                <c:pt idx="1488">
                  <c:v>2.2422442411895838E-2</c:v>
                </c:pt>
                <c:pt idx="1489">
                  <c:v>2.2412500865337318E-2</c:v>
                </c:pt>
                <c:pt idx="1490">
                  <c:v>2.2402574917560741E-2</c:v>
                </c:pt>
                <c:pt idx="1491">
                  <c:v>2.2392664568331049E-2</c:v>
                </c:pt>
                <c:pt idx="1492">
                  <c:v>2.2382769817413623E-2</c:v>
                </c:pt>
                <c:pt idx="1493">
                  <c:v>2.2372890664572539E-2</c:v>
                </c:pt>
                <c:pt idx="1494">
                  <c:v>2.2363027109574475E-2</c:v>
                </c:pt>
                <c:pt idx="1495">
                  <c:v>2.2353199289762725E-2</c:v>
                </c:pt>
                <c:pt idx="1496">
                  <c:v>2.2343365408865442E-2</c:v>
                </c:pt>
                <c:pt idx="1497">
                  <c:v>2.2333547121476619E-2</c:v>
                </c:pt>
                <c:pt idx="1498">
                  <c:v>2.2323744427366995E-2</c:v>
                </c:pt>
                <c:pt idx="1499">
                  <c:v>2.2313943294046543E-2</c:v>
                </c:pt>
                <c:pt idx="1500">
                  <c:v>2.2304173321203692E-2</c:v>
                </c:pt>
                <c:pt idx="1501">
                  <c:v>2.2294415390196984E-2</c:v>
                </c:pt>
                <c:pt idx="1502">
                  <c:v>2.2284680163923355E-2</c:v>
                </c:pt>
                <c:pt idx="1503">
                  <c:v>2.2274956979023534E-2</c:v>
                </c:pt>
                <c:pt idx="1504">
                  <c:v>2.2265255708790035E-2</c:v>
                </c:pt>
                <c:pt idx="1505">
                  <c:v>2.2255562161250433E-2</c:v>
                </c:pt>
                <c:pt idx="1506">
                  <c:v>2.2245884205169941E-2</c:v>
                </c:pt>
                <c:pt idx="1507">
                  <c:v>2.2236221840323249E-2</c:v>
                </c:pt>
                <c:pt idx="1508">
                  <c:v>2.2226575066484604E-2</c:v>
                </c:pt>
                <c:pt idx="1509">
                  <c:v>2.2216945367486536E-2</c:v>
                </c:pt>
                <c:pt idx="1510">
                  <c:v>2.2207331346400277E-2</c:v>
                </c:pt>
                <c:pt idx="1511">
                  <c:v>2.2197732919228497E-2</c:v>
                </c:pt>
                <c:pt idx="1512">
                  <c:v>2.2184041043973046E-2</c:v>
                </c:pt>
                <c:pt idx="1513">
                  <c:v>2.2174478903115902E-2</c:v>
                </c:pt>
                <c:pt idx="1514">
                  <c:v>2.2164932351825758E-2</c:v>
                </c:pt>
                <c:pt idx="1515">
                  <c:v>2.2155401389880813E-2</c:v>
                </c:pt>
                <c:pt idx="1516">
                  <c:v>2.2145886017057071E-2</c:v>
                </c:pt>
                <c:pt idx="1517">
                  <c:v>2.2136386233133607E-2</c:v>
                </c:pt>
                <c:pt idx="1518">
                  <c:v>2.2126902037887308E-2</c:v>
                </c:pt>
                <c:pt idx="1519">
                  <c:v>2.2117433431098565E-2</c:v>
                </c:pt>
                <c:pt idx="1520">
                  <c:v>2.2107980412545584E-2</c:v>
                </c:pt>
                <c:pt idx="1521">
                  <c:v>2.2098557108746246E-2</c:v>
                </c:pt>
                <c:pt idx="1522">
                  <c:v>2.208913634297963E-2</c:v>
                </c:pt>
                <c:pt idx="1523">
                  <c:v>2.2079731167145834E-2</c:v>
                </c:pt>
                <c:pt idx="1524">
                  <c:v>2.2070341581023299E-2</c:v>
                </c:pt>
                <c:pt idx="1525">
                  <c:v>2.2060958333804077E-2</c:v>
                </c:pt>
                <c:pt idx="1526">
                  <c:v>2.2051599383175389E-2</c:v>
                </c:pt>
                <c:pt idx="1527">
                  <c:v>2.2039589351253847E-2</c:v>
                </c:pt>
                <c:pt idx="1528">
                  <c:v>2.2032928245321218E-2</c:v>
                </c:pt>
                <c:pt idx="1529">
                  <c:v>2.2023616057656743E-2</c:v>
                </c:pt>
                <c:pt idx="1530">
                  <c:v>2.2013004700849135E-2</c:v>
                </c:pt>
                <c:pt idx="1531">
                  <c:v>2.2003726463385154E-2</c:v>
                </c:pt>
                <c:pt idx="1532">
                  <c:v>2.1994463813839089E-2</c:v>
                </c:pt>
                <c:pt idx="1533">
                  <c:v>2.1985216751991978E-2</c:v>
                </c:pt>
                <c:pt idx="1534">
                  <c:v>2.1975971016463938E-2</c:v>
                </c:pt>
                <c:pt idx="1535">
                  <c:v>2.1966754575408354E-2</c:v>
                </c:pt>
                <c:pt idx="1536">
                  <c:v>2.1957553720235518E-2</c:v>
                </c:pt>
                <c:pt idx="1537">
                  <c:v>2.1948368450729651E-2</c:v>
                </c:pt>
                <c:pt idx="1538">
                  <c:v>2.1939231788740271E-2</c:v>
                </c:pt>
                <c:pt idx="1539">
                  <c:v>2.1930061710407612E-2</c:v>
                </c:pt>
                <c:pt idx="1540">
                  <c:v>2.1920923756368508E-2</c:v>
                </c:pt>
                <c:pt idx="1541">
                  <c:v>2.1911801388294096E-2</c:v>
                </c:pt>
                <c:pt idx="1542">
                  <c:v>2.1902694605969334E-2</c:v>
                </c:pt>
                <c:pt idx="1543">
                  <c:v>2.1893603409178741E-2</c:v>
                </c:pt>
                <c:pt idx="1544">
                  <c:v>2.1884527797707699E-2</c:v>
                </c:pt>
                <c:pt idx="1545">
                  <c:v>2.1875467771343346E-2</c:v>
                </c:pt>
                <c:pt idx="1546">
                  <c:v>2.1866423329870627E-2</c:v>
                </c:pt>
                <c:pt idx="1547">
                  <c:v>2.1857329980195354E-2</c:v>
                </c:pt>
                <c:pt idx="1548">
                  <c:v>2.1848315001306882E-2</c:v>
                </c:pt>
                <c:pt idx="1549">
                  <c:v>2.1839315603226217E-2</c:v>
                </c:pt>
                <c:pt idx="1550">
                  <c:v>2.1830331785745342E-2</c:v>
                </c:pt>
                <c:pt idx="1551">
                  <c:v>2.1821387272727404E-2</c:v>
                </c:pt>
                <c:pt idx="1552">
                  <c:v>2.1812435189128156E-2</c:v>
                </c:pt>
                <c:pt idx="1553">
                  <c:v>2.1803498686647722E-2</c:v>
                </c:pt>
                <c:pt idx="1554">
                  <c:v>2.1794577765077476E-2</c:v>
                </c:pt>
                <c:pt idx="1555">
                  <c:v>2.1785672424209236E-2</c:v>
                </c:pt>
                <c:pt idx="1556">
                  <c:v>2.1776756061794821E-2</c:v>
                </c:pt>
                <c:pt idx="1557">
                  <c:v>2.1767881302691746E-2</c:v>
                </c:pt>
                <c:pt idx="1558">
                  <c:v>2.1759022122530124E-2</c:v>
                </c:pt>
                <c:pt idx="1559">
                  <c:v>2.1750178521105033E-2</c:v>
                </c:pt>
                <c:pt idx="1560">
                  <c:v>2.1741379423141898E-2</c:v>
                </c:pt>
                <c:pt idx="1561">
                  <c:v>2.1732567562135749E-2</c:v>
                </c:pt>
                <c:pt idx="1562">
                  <c:v>2.1723771280385287E-2</c:v>
                </c:pt>
                <c:pt idx="1563">
                  <c:v>2.1714990577684522E-2</c:v>
                </c:pt>
                <c:pt idx="1564">
                  <c:v>2.1704943215086057E-2</c:v>
                </c:pt>
                <c:pt idx="1565">
                  <c:v>2.1696195307122076E-2</c:v>
                </c:pt>
                <c:pt idx="1566">
                  <c:v>2.168746297643635E-2</c:v>
                </c:pt>
                <c:pt idx="1567">
                  <c:v>2.1678746222826603E-2</c:v>
                </c:pt>
                <c:pt idx="1568">
                  <c:v>2.1670045046090131E-2</c:v>
                </c:pt>
                <c:pt idx="1569">
                  <c:v>2.166135944602466E-2</c:v>
                </c:pt>
                <c:pt idx="1570">
                  <c:v>2.1652689422429247E-2</c:v>
                </c:pt>
                <c:pt idx="1571">
                  <c:v>2.1644034975102509E-2</c:v>
                </c:pt>
                <c:pt idx="1572">
                  <c:v>2.1635396103843497E-2</c:v>
                </c:pt>
                <c:pt idx="1573">
                  <c:v>2.1626883038948729E-2</c:v>
                </c:pt>
                <c:pt idx="1574">
                  <c:v>2.1618277114738512E-2</c:v>
                </c:pt>
                <c:pt idx="1575">
                  <c:v>2.1609686769353049E-2</c:v>
                </c:pt>
                <c:pt idx="1576">
                  <c:v>2.1601112002589892E-2</c:v>
                </c:pt>
                <c:pt idx="1577">
                  <c:v>2.1592513610743269E-2</c:v>
                </c:pt>
                <c:pt idx="1578">
                  <c:v>2.1582750067213323E-2</c:v>
                </c:pt>
                <c:pt idx="1579">
                  <c:v>2.1574223656141055E-2</c:v>
                </c:pt>
                <c:pt idx="1580">
                  <c:v>2.1565712821743164E-2</c:v>
                </c:pt>
                <c:pt idx="1581">
                  <c:v>2.1557217563818717E-2</c:v>
                </c:pt>
                <c:pt idx="1582">
                  <c:v>2.154886501321716E-2</c:v>
                </c:pt>
                <c:pt idx="1583">
                  <c:v>2.154040273450757E-2</c:v>
                </c:pt>
                <c:pt idx="1584">
                  <c:v>2.1531956035002568E-2</c:v>
                </c:pt>
                <c:pt idx="1585">
                  <c:v>2.1523524914500176E-2</c:v>
                </c:pt>
                <c:pt idx="1586">
                  <c:v>2.151497491433935E-2</c:v>
                </c:pt>
                <c:pt idx="1587">
                  <c:v>2.1506573111084483E-2</c:v>
                </c:pt>
                <c:pt idx="1588">
                  <c:v>2.149818688291575E-2</c:v>
                </c:pt>
                <c:pt idx="1589">
                  <c:v>2.1489956218506079E-2</c:v>
                </c:pt>
                <c:pt idx="1590">
                  <c:v>2.1481602990010076E-2</c:v>
                </c:pt>
                <c:pt idx="1591">
                  <c:v>2.1473265339316778E-2</c:v>
                </c:pt>
                <c:pt idx="1592">
                  <c:v>2.1464943266226773E-2</c:v>
                </c:pt>
                <c:pt idx="1593">
                  <c:v>2.1456636770542371E-2</c:v>
                </c:pt>
                <c:pt idx="1594">
                  <c:v>2.1448196579725663E-2</c:v>
                </c:pt>
                <c:pt idx="1595">
                  <c:v>2.1440070510595738E-2</c:v>
                </c:pt>
                <c:pt idx="1596">
                  <c:v>2.1431810745938983E-2</c:v>
                </c:pt>
                <c:pt idx="1597">
                  <c:v>2.1423566557897497E-2</c:v>
                </c:pt>
                <c:pt idx="1598">
                  <c:v>2.1415181187876619E-2</c:v>
                </c:pt>
                <c:pt idx="1599">
                  <c:v>2.1406860824704579E-2</c:v>
                </c:pt>
                <c:pt idx="1600">
                  <c:v>2.1398660227637752E-2</c:v>
                </c:pt>
                <c:pt idx="1601">
                  <c:v>2.139047520094509E-2</c:v>
                </c:pt>
                <c:pt idx="1602">
                  <c:v>2.1382305744437127E-2</c:v>
                </c:pt>
                <c:pt idx="1603">
                  <c:v>2.137420706656442E-2</c:v>
                </c:pt>
                <c:pt idx="1604">
                  <c:v>2.1366069381499278E-2</c:v>
                </c:pt>
                <c:pt idx="1605">
                  <c:v>2.1357947267138862E-2</c:v>
                </c:pt>
                <c:pt idx="1606">
                  <c:v>2.1349840723292993E-2</c:v>
                </c:pt>
                <c:pt idx="1607">
                  <c:v>2.1341749749772373E-2</c:v>
                </c:pt>
                <c:pt idx="1608">
                  <c:v>2.1333615968674523E-2</c:v>
                </c:pt>
                <c:pt idx="1609">
                  <c:v>2.1325555498171313E-2</c:v>
                </c:pt>
                <c:pt idx="1610">
                  <c:v>2.1317510596345495E-2</c:v>
                </c:pt>
                <c:pt idx="1611">
                  <c:v>2.1309481263012034E-2</c:v>
                </c:pt>
                <c:pt idx="1612">
                  <c:v>2.1301528430462069E-2</c:v>
                </c:pt>
                <c:pt idx="1613">
                  <c:v>2.1293530874944011E-2</c:v>
                </c:pt>
                <c:pt idx="1614">
                  <c:v>2.1285548888438411E-2</c:v>
                </c:pt>
                <c:pt idx="1615">
                  <c:v>2.1277582470758595E-2</c:v>
                </c:pt>
                <c:pt idx="1616">
                  <c:v>2.1269568117210123E-2</c:v>
                </c:pt>
                <c:pt idx="1617">
                  <c:v>2.126163219092627E-2</c:v>
                </c:pt>
                <c:pt idx="1618">
                  <c:v>2.1253711831837684E-2</c:v>
                </c:pt>
                <c:pt idx="1619">
                  <c:v>2.1245807039760645E-2</c:v>
                </c:pt>
                <c:pt idx="1620">
                  <c:v>2.1237917814511873E-2</c:v>
                </c:pt>
                <c:pt idx="1621">
                  <c:v>2.1230044155907207E-2</c:v>
                </c:pt>
                <c:pt idx="1622">
                  <c:v>2.1222186063765577E-2</c:v>
                </c:pt>
                <c:pt idx="1623">
                  <c:v>2.1214343537903704E-2</c:v>
                </c:pt>
                <c:pt idx="1624">
                  <c:v>2.1206516578139635E-2</c:v>
                </c:pt>
                <c:pt idx="1625">
                  <c:v>2.1199052610546731E-2</c:v>
                </c:pt>
                <c:pt idx="1626">
                  <c:v>2.1191260060342051E-2</c:v>
                </c:pt>
                <c:pt idx="1627">
                  <c:v>2.1183483081017439E-2</c:v>
                </c:pt>
                <c:pt idx="1628">
                  <c:v>2.1175721672386811E-2</c:v>
                </c:pt>
                <c:pt idx="1629">
                  <c:v>2.116775929453199E-2</c:v>
                </c:pt>
                <c:pt idx="1630">
                  <c:v>2.1160027046850074E-2</c:v>
                </c:pt>
                <c:pt idx="1631">
                  <c:v>2.1152310366124406E-2</c:v>
                </c:pt>
                <c:pt idx="1632">
                  <c:v>2.1144609252175022E-2</c:v>
                </c:pt>
                <c:pt idx="1633">
                  <c:v>2.1136923704821082E-2</c:v>
                </c:pt>
                <c:pt idx="1634">
                  <c:v>2.1129480194844261E-2</c:v>
                </c:pt>
                <c:pt idx="1635">
                  <c:v>2.1121827775913048E-2</c:v>
                </c:pt>
                <c:pt idx="1636">
                  <c:v>2.1114190926205593E-2</c:v>
                </c:pt>
                <c:pt idx="1637">
                  <c:v>2.110656964554054E-2</c:v>
                </c:pt>
                <c:pt idx="1638">
                  <c:v>2.1098729460682947E-2</c:v>
                </c:pt>
                <c:pt idx="1639">
                  <c:v>2.109113730912808E-2</c:v>
                </c:pt>
                <c:pt idx="1640">
                  <c:v>2.1083560722913702E-2</c:v>
                </c:pt>
                <c:pt idx="1641">
                  <c:v>2.1075999701862913E-2</c:v>
                </c:pt>
                <c:pt idx="1642">
                  <c:v>2.1068696771500639E-2</c:v>
                </c:pt>
                <c:pt idx="1643">
                  <c:v>2.1061168901286141E-2</c:v>
                </c:pt>
                <c:pt idx="1644">
                  <c:v>2.1053656598849679E-2</c:v>
                </c:pt>
                <c:pt idx="1645">
                  <c:v>2.1046159864012037E-2</c:v>
                </c:pt>
                <c:pt idx="1646">
                  <c:v>2.103867869659444E-2</c:v>
                </c:pt>
                <c:pt idx="1647">
                  <c:v>2.103121309641896E-2</c:v>
                </c:pt>
                <c:pt idx="1648">
                  <c:v>2.1023763063307249E-2</c:v>
                </c:pt>
                <c:pt idx="1649">
                  <c:v>2.1016328597082239E-2</c:v>
                </c:pt>
                <c:pt idx="1650">
                  <c:v>2.1008909697566015E-2</c:v>
                </c:pt>
                <c:pt idx="1651">
                  <c:v>2.1001071994614408E-2</c:v>
                </c:pt>
                <c:pt idx="1652">
                  <c:v>2.0993680813190162E-2</c:v>
                </c:pt>
                <c:pt idx="1653">
                  <c:v>2.0986305192744276E-2</c:v>
                </c:pt>
                <c:pt idx="1654">
                  <c:v>2.0978945133105841E-2</c:v>
                </c:pt>
                <c:pt idx="1655">
                  <c:v>2.0971690107788089E-2</c:v>
                </c:pt>
                <c:pt idx="1656">
                  <c:v>2.0964361856119301E-2</c:v>
                </c:pt>
                <c:pt idx="1657">
                  <c:v>2.0957049165783392E-2</c:v>
                </c:pt>
                <c:pt idx="1658">
                  <c:v>2.0949752036610394E-2</c:v>
                </c:pt>
                <c:pt idx="1659">
                  <c:v>2.0942470468428571E-2</c:v>
                </c:pt>
                <c:pt idx="1660">
                  <c:v>2.0935111542698073E-2</c:v>
                </c:pt>
                <c:pt idx="1661">
                  <c:v>2.0927860403952715E-2</c:v>
                </c:pt>
                <c:pt idx="1662">
                  <c:v>2.0920624824658101E-2</c:v>
                </c:pt>
                <c:pt idx="1663">
                  <c:v>2.0913404804647737E-2</c:v>
                </c:pt>
                <c:pt idx="1664">
                  <c:v>2.0906296036473163E-2</c:v>
                </c:pt>
                <c:pt idx="1665">
                  <c:v>2.0899107830690909E-2</c:v>
                </c:pt>
                <c:pt idx="1666">
                  <c:v>2.0891935184719677E-2</c:v>
                </c:pt>
                <c:pt idx="1667">
                  <c:v>2.088477809839169E-2</c:v>
                </c:pt>
                <c:pt idx="1668">
                  <c:v>2.0877636571540487E-2</c:v>
                </c:pt>
                <c:pt idx="1669">
                  <c:v>2.0870411420191633E-2</c:v>
                </c:pt>
                <c:pt idx="1670">
                  <c:v>2.0863300310498496E-2</c:v>
                </c:pt>
                <c:pt idx="1671">
                  <c:v>2.0856204758759402E-2</c:v>
                </c:pt>
                <c:pt idx="1672">
                  <c:v>2.0849124764809619E-2</c:v>
                </c:pt>
                <c:pt idx="1673">
                  <c:v>2.0842060328485738E-2</c:v>
                </c:pt>
                <c:pt idx="1674">
                  <c:v>2.0835011449622153E-2</c:v>
                </c:pt>
                <c:pt idx="1675">
                  <c:v>2.0827978128057222E-2</c:v>
                </c:pt>
                <c:pt idx="1676">
                  <c:v>2.0820960363626653E-2</c:v>
                </c:pt>
                <c:pt idx="1677">
                  <c:v>2.0814482989203652E-2</c:v>
                </c:pt>
                <c:pt idx="1678">
                  <c:v>2.0807499887089891E-2</c:v>
                </c:pt>
                <c:pt idx="1679">
                  <c:v>2.0800532346707389E-2</c:v>
                </c:pt>
                <c:pt idx="1680">
                  <c:v>2.0793580367888968E-2</c:v>
                </c:pt>
                <c:pt idx="1681">
                  <c:v>2.0786320298658449E-2</c:v>
                </c:pt>
                <c:pt idx="1682">
                  <c:v>2.0779397300799095E-2</c:v>
                </c:pt>
                <c:pt idx="1683">
                  <c:v>2.077248986096936E-2</c:v>
                </c:pt>
                <c:pt idx="1684">
                  <c:v>2.0765597979006314E-2</c:v>
                </c:pt>
                <c:pt idx="1685">
                  <c:v>2.0758721654749214E-2</c:v>
                </c:pt>
                <c:pt idx="1686">
                  <c:v>2.0752195300633665E-2</c:v>
                </c:pt>
                <c:pt idx="1687">
                  <c:v>2.0745352684699587E-2</c:v>
                </c:pt>
                <c:pt idx="1688">
                  <c:v>2.0738526743298225E-2</c:v>
                </c:pt>
                <c:pt idx="1689">
                  <c:v>2.0731718185346387E-2</c:v>
                </c:pt>
                <c:pt idx="1690">
                  <c:v>2.0724581932978325E-2</c:v>
                </c:pt>
                <c:pt idx="1691">
                  <c:v>2.0717806748092635E-2</c:v>
                </c:pt>
                <c:pt idx="1692">
                  <c:v>2.0711050825594914E-2</c:v>
                </c:pt>
                <c:pt idx="1693">
                  <c:v>2.0704314885870226E-2</c:v>
                </c:pt>
                <c:pt idx="1694">
                  <c:v>2.0697599649293585E-2</c:v>
                </c:pt>
                <c:pt idx="1695">
                  <c:v>2.0691271588129969E-2</c:v>
                </c:pt>
                <c:pt idx="1696">
                  <c:v>2.0684604563161312E-2</c:v>
                </c:pt>
                <c:pt idx="1697">
                  <c:v>2.0677960592628865E-2</c:v>
                </c:pt>
                <c:pt idx="1698">
                  <c:v>2.0671340385366478E-2</c:v>
                </c:pt>
                <c:pt idx="1699">
                  <c:v>2.066474465019769E-2</c:v>
                </c:pt>
                <c:pt idx="1700">
                  <c:v>2.0658174095938304E-2</c:v>
                </c:pt>
                <c:pt idx="1701">
                  <c:v>2.0651629431394664E-2</c:v>
                </c:pt>
                <c:pt idx="1702">
                  <c:v>2.0645111365365381E-2</c:v>
                </c:pt>
                <c:pt idx="1703">
                  <c:v>2.0638077555665581E-2</c:v>
                </c:pt>
                <c:pt idx="1704">
                  <c:v>2.0631607024926679E-2</c:v>
                </c:pt>
                <c:pt idx="1705">
                  <c:v>2.0625165087487369E-2</c:v>
                </c:pt>
                <c:pt idx="1706">
                  <c:v>2.0618752467538474E-2</c:v>
                </c:pt>
                <c:pt idx="1707">
                  <c:v>2.0612369889263345E-2</c:v>
                </c:pt>
                <c:pt idx="1708">
                  <c:v>2.0606163556860506E-2</c:v>
                </c:pt>
                <c:pt idx="1709">
                  <c:v>2.0599845306565525E-2</c:v>
                </c:pt>
                <c:pt idx="1710">
                  <c:v>2.059355928424559E-2</c:v>
                </c:pt>
                <c:pt idx="1711">
                  <c:v>2.058730621013375E-2</c:v>
                </c:pt>
                <c:pt idx="1712">
                  <c:v>2.0580932968874716E-2</c:v>
                </c:pt>
                <c:pt idx="1713">
                  <c:v>2.0574745727319571E-2</c:v>
                </c:pt>
                <c:pt idx="1714">
                  <c:v>2.0568592872058238E-2</c:v>
                </c:pt>
                <c:pt idx="1715">
                  <c:v>2.056247440277361E-2</c:v>
                </c:pt>
                <c:pt idx="1716">
                  <c:v>2.0556552584700391E-2</c:v>
                </c:pt>
                <c:pt idx="1717">
                  <c:v>2.0550504999000851E-2</c:v>
                </c:pt>
                <c:pt idx="1718">
                  <c:v>2.0544491800366743E-2</c:v>
                </c:pt>
                <c:pt idx="1719">
                  <c:v>2.0538512988486191E-2</c:v>
                </c:pt>
                <c:pt idx="1720">
                  <c:v>2.0532568563048182E-2</c:v>
                </c:pt>
                <c:pt idx="1721">
                  <c:v>2.0526485675017473E-2</c:v>
                </c:pt>
                <c:pt idx="1722">
                  <c:v>2.0520607898828189E-2</c:v>
                </c:pt>
                <c:pt idx="1723">
                  <c:v>2.0514764506139788E-2</c:v>
                </c:pt>
                <c:pt idx="1724">
                  <c:v>2.0508955496650091E-2</c:v>
                </c:pt>
                <c:pt idx="1725">
                  <c:v>2.0503180870060436E-2</c:v>
                </c:pt>
                <c:pt idx="1726">
                  <c:v>2.0497440626071728E-2</c:v>
                </c:pt>
                <c:pt idx="1727">
                  <c:v>2.049173476438881E-2</c:v>
                </c:pt>
                <c:pt idx="1728">
                  <c:v>2.0486063284716541E-2</c:v>
                </c:pt>
                <c:pt idx="1729">
                  <c:v>2.0481187004411316E-2</c:v>
                </c:pt>
                <c:pt idx="1730">
                  <c:v>2.0475592844924274E-2</c:v>
                </c:pt>
                <c:pt idx="1731">
                  <c:v>2.0470033074617769E-2</c:v>
                </c:pt>
                <c:pt idx="1732">
                  <c:v>2.046450769319913E-2</c:v>
                </c:pt>
                <c:pt idx="1733">
                  <c:v>2.0458420060814251E-2</c:v>
                </c:pt>
                <c:pt idx="1734">
                  <c:v>2.0452957014012431E-2</c:v>
                </c:pt>
                <c:pt idx="1735">
                  <c:v>2.0447528349216048E-2</c:v>
                </c:pt>
                <c:pt idx="1736">
                  <c:v>2.0442134066142491E-2</c:v>
                </c:pt>
                <c:pt idx="1737">
                  <c:v>2.0436774164512204E-2</c:v>
                </c:pt>
                <c:pt idx="1738">
                  <c:v>2.0431110338125447E-2</c:v>
                </c:pt>
                <c:pt idx="1739">
                  <c:v>2.0425828425258578E-2</c:v>
                </c:pt>
                <c:pt idx="1740">
                  <c:v>2.0420580896962578E-2</c:v>
                </c:pt>
                <c:pt idx="1741">
                  <c:v>2.0415367752961773E-2</c:v>
                </c:pt>
                <c:pt idx="1742">
                  <c:v>2.041018899298265E-2</c:v>
                </c:pt>
                <c:pt idx="1743">
                  <c:v>2.040504461675343E-2</c:v>
                </c:pt>
                <c:pt idx="1744">
                  <c:v>2.0399934624004488E-2</c:v>
                </c:pt>
                <c:pt idx="1745">
                  <c:v>2.0394859014468362E-2</c:v>
                </c:pt>
                <c:pt idx="1746">
                  <c:v>2.0389817787878028E-2</c:v>
                </c:pt>
                <c:pt idx="1747">
                  <c:v>2.0384810943969905E-2</c:v>
                </c:pt>
                <c:pt idx="1748">
                  <c:v>2.0379838482480858E-2</c:v>
                </c:pt>
                <c:pt idx="1749">
                  <c:v>2.0374900403149904E-2</c:v>
                </c:pt>
                <c:pt idx="1750">
                  <c:v>2.0369996705719089E-2</c:v>
                </c:pt>
                <c:pt idx="1751">
                  <c:v>2.0365127389930019E-2</c:v>
                </c:pt>
                <c:pt idx="1752">
                  <c:v>2.0360292455528204E-2</c:v>
                </c:pt>
                <c:pt idx="1753">
                  <c:v>2.0355491902259572E-2</c:v>
                </c:pt>
                <c:pt idx="1754">
                  <c:v>2.0350725729873082E-2</c:v>
                </c:pt>
                <c:pt idx="1755">
                  <c:v>2.0345007661406702E-2</c:v>
                </c:pt>
                <c:pt idx="1756">
                  <c:v>2.0340301485646004E-2</c:v>
                </c:pt>
                <c:pt idx="1757">
                  <c:v>2.0335629682121197E-2</c:v>
                </c:pt>
                <c:pt idx="1758">
                  <c:v>2.0330992250591141E-2</c:v>
                </c:pt>
                <c:pt idx="1759">
                  <c:v>2.0326644206707673E-2</c:v>
                </c:pt>
                <c:pt idx="1760">
                  <c:v>2.0322077717046541E-2</c:v>
                </c:pt>
                <c:pt idx="1761">
                  <c:v>2.0317545600643055E-2</c:v>
                </c:pt>
                <c:pt idx="1762">
                  <c:v>2.0314096532550469E-2</c:v>
                </c:pt>
                <c:pt idx="1763">
                  <c:v>2.0308584486676145E-2</c:v>
                </c:pt>
                <c:pt idx="1764">
                  <c:v>2.0303889460115142E-2</c:v>
                </c:pt>
                <c:pt idx="1765">
                  <c:v>2.0299492625989186E-2</c:v>
                </c:pt>
                <c:pt idx="1766">
                  <c:v>2.029513016200532E-2</c:v>
                </c:pt>
                <c:pt idx="1767">
                  <c:v>2.0290802067938311E-2</c:v>
                </c:pt>
                <c:pt idx="1768">
                  <c:v>2.0286783217617971E-2</c:v>
                </c:pt>
                <c:pt idx="1769">
                  <c:v>2.028252607900799E-2</c:v>
                </c:pt>
                <c:pt idx="1770">
                  <c:v>2.0278303311614211E-2</c:v>
                </c:pt>
                <c:pt idx="1771">
                  <c:v>2.0274114915220982E-2</c:v>
                </c:pt>
                <c:pt idx="1772">
                  <c:v>2.0267337672410735E-2</c:v>
                </c:pt>
                <c:pt idx="1773">
                  <c:v>2.0264086189672074E-2</c:v>
                </c:pt>
                <c:pt idx="1774">
                  <c:v>2.026001563507451E-2</c:v>
                </c:pt>
                <c:pt idx="1775">
                  <c:v>2.0255979450533194E-2</c:v>
                </c:pt>
                <c:pt idx="1776">
                  <c:v>2.0251977635839066E-2</c:v>
                </c:pt>
                <c:pt idx="1777">
                  <c:v>2.0248010190786578E-2</c:v>
                </c:pt>
                <c:pt idx="1778">
                  <c:v>2.0244077115170178E-2</c:v>
                </c:pt>
                <c:pt idx="1779">
                  <c:v>2.024017840878739E-2</c:v>
                </c:pt>
                <c:pt idx="1780">
                  <c:v>2.0236314071436622E-2</c:v>
                </c:pt>
                <c:pt idx="1781">
                  <c:v>2.023309437769941E-2</c:v>
                </c:pt>
                <c:pt idx="1782">
                  <c:v>2.0229303263673223E-2</c:v>
                </c:pt>
                <c:pt idx="1783">
                  <c:v>2.0225546521980713E-2</c:v>
                </c:pt>
                <c:pt idx="1784">
                  <c:v>2.0221824152425075E-2</c:v>
                </c:pt>
                <c:pt idx="1785">
                  <c:v>2.0217821920651365E-2</c:v>
                </c:pt>
                <c:pt idx="1786">
                  <c:v>2.0214166043947046E-2</c:v>
                </c:pt>
                <c:pt idx="1787">
                  <c:v>2.0210544536859828E-2</c:v>
                </c:pt>
                <c:pt idx="1788">
                  <c:v>2.0205938815454256E-2</c:v>
                </c:pt>
                <c:pt idx="1789">
                  <c:v>2.0203404630787115E-2</c:v>
                </c:pt>
                <c:pt idx="1790">
                  <c:v>2.0200211739230766E-2</c:v>
                </c:pt>
                <c:pt idx="1791">
                  <c:v>2.0196729969301004E-2</c:v>
                </c:pt>
                <c:pt idx="1792">
                  <c:v>2.0193282570006275E-2</c:v>
                </c:pt>
                <c:pt idx="1793">
                  <c:v>2.0189869541165424E-2</c:v>
                </c:pt>
                <c:pt idx="1794">
                  <c:v>2.0186156320974997E-2</c:v>
                </c:pt>
                <c:pt idx="1795">
                  <c:v>2.0182809764212144E-2</c:v>
                </c:pt>
                <c:pt idx="1796">
                  <c:v>2.0179497575439711E-2</c:v>
                </c:pt>
                <c:pt idx="1797">
                  <c:v>2.0176219754486906E-2</c:v>
                </c:pt>
                <c:pt idx="1798">
                  <c:v>2.0173663824316613E-2</c:v>
                </c:pt>
                <c:pt idx="1799">
                  <c:v>2.0170113137826049E-2</c:v>
                </c:pt>
                <c:pt idx="1800">
                  <c:v>2.0166940697284044E-2</c:v>
                </c:pt>
                <c:pt idx="1801">
                  <c:v>2.0163802625822229E-2</c:v>
                </c:pt>
                <c:pt idx="1802">
                  <c:v>2.0160698923278129E-2</c:v>
                </c:pt>
                <c:pt idx="1803">
                  <c:v>2.0157629589488826E-2</c:v>
                </c:pt>
                <c:pt idx="1804">
                  <c:v>2.0154594624294447E-2</c:v>
                </c:pt>
                <c:pt idx="1805">
                  <c:v>2.0151594027536864E-2</c:v>
                </c:pt>
                <c:pt idx="1806">
                  <c:v>2.0148627799059675E-2</c:v>
                </c:pt>
                <c:pt idx="1807">
                  <c:v>2.0144967770854554E-2</c:v>
                </c:pt>
                <c:pt idx="1808">
                  <c:v>2.0142065691948135E-2</c:v>
                </c:pt>
                <c:pt idx="1809">
                  <c:v>2.0139197977013166E-2</c:v>
                </c:pt>
                <c:pt idx="1810">
                  <c:v>2.0136364625900755E-2</c:v>
                </c:pt>
                <c:pt idx="1811">
                  <c:v>2.0133565638464645E-2</c:v>
                </c:pt>
                <c:pt idx="1812">
                  <c:v>2.0131176467070019E-2</c:v>
                </c:pt>
                <c:pt idx="1813">
                  <c:v>2.0128070754046837E-2</c:v>
                </c:pt>
                <c:pt idx="1814">
                  <c:v>2.0125374856781411E-2</c:v>
                </c:pt>
                <c:pt idx="1815">
                  <c:v>2.0122713322625704E-2</c:v>
                </c:pt>
                <c:pt idx="1816">
                  <c:v>2.012008615144225E-2</c:v>
                </c:pt>
                <c:pt idx="1817">
                  <c:v>2.0117493343096201E-2</c:v>
                </c:pt>
                <c:pt idx="1818">
                  <c:v>2.0114934897452728E-2</c:v>
                </c:pt>
                <c:pt idx="1819">
                  <c:v>2.0112410814380945E-2</c:v>
                </c:pt>
                <c:pt idx="1820">
                  <c:v>2.0109921093749088E-2</c:v>
                </c:pt>
                <c:pt idx="1821">
                  <c:v>2.0107465735430225E-2</c:v>
                </c:pt>
                <c:pt idx="1822">
                  <c:v>2.0105044739296987E-2</c:v>
                </c:pt>
                <c:pt idx="1823">
                  <c:v>2.0102658105225078E-2</c:v>
                </c:pt>
                <c:pt idx="1824">
                  <c:v>2.0099569292062469E-2</c:v>
                </c:pt>
                <c:pt idx="1825">
                  <c:v>2.0097253964784942E-2</c:v>
                </c:pt>
                <c:pt idx="1826">
                  <c:v>2.0094972997271511E-2</c:v>
                </c:pt>
                <c:pt idx="1827">
                  <c:v>2.0092726389407348E-2</c:v>
                </c:pt>
                <c:pt idx="1828">
                  <c:v>2.0090514141075422E-2</c:v>
                </c:pt>
                <c:pt idx="1829">
                  <c:v>2.008833625216223E-2</c:v>
                </c:pt>
                <c:pt idx="1830">
                  <c:v>2.0086192722557367E-2</c:v>
                </c:pt>
                <c:pt idx="1831">
                  <c:v>2.0084083552149537E-2</c:v>
                </c:pt>
                <c:pt idx="1832">
                  <c:v>2.0082008740831426E-2</c:v>
                </c:pt>
                <c:pt idx="1833">
                  <c:v>2.0081241931596695E-2</c:v>
                </c:pt>
                <c:pt idx="1834">
                  <c:v>2.007924286792992E-2</c:v>
                </c:pt>
                <c:pt idx="1835">
                  <c:v>2.0077278168769603E-2</c:v>
                </c:pt>
                <c:pt idx="1836">
                  <c:v>2.007534783401365E-2</c:v>
                </c:pt>
                <c:pt idx="1837">
                  <c:v>2.0073017690683724E-2</c:v>
                </c:pt>
                <c:pt idx="1838">
                  <c:v>2.0070627485432951E-2</c:v>
                </c:pt>
                <c:pt idx="1839">
                  <c:v>2.0068807707967623E-2</c:v>
                </c:pt>
                <c:pt idx="1840">
                  <c:v>2.0067022292579194E-2</c:v>
                </c:pt>
                <c:pt idx="1841">
                  <c:v>2.0065913335024086E-2</c:v>
                </c:pt>
                <c:pt idx="1842">
                  <c:v>2.006489514040459E-2</c:v>
                </c:pt>
                <c:pt idx="1843">
                  <c:v>2.0063219895267569E-2</c:v>
                </c:pt>
                <c:pt idx="1844">
                  <c:v>2.0061579017568477E-2</c:v>
                </c:pt>
                <c:pt idx="1845">
                  <c:v>2.0058610643616248E-2</c:v>
                </c:pt>
                <c:pt idx="1846">
                  <c:v>2.0057031398808319E-2</c:v>
                </c:pt>
                <c:pt idx="1847">
                  <c:v>2.0055486515466191E-2</c:v>
                </c:pt>
                <c:pt idx="1848">
                  <c:v>2.0053975993510807E-2</c:v>
                </c:pt>
                <c:pt idx="1849">
                  <c:v>2.0053890137681288E-2</c:v>
                </c:pt>
                <c:pt idx="1850">
                  <c:v>2.0052455462856757E-2</c:v>
                </c:pt>
                <c:pt idx="1851">
                  <c:v>2.0051055154903723E-2</c:v>
                </c:pt>
                <c:pt idx="1852">
                  <c:v>2.0049689213747411E-2</c:v>
                </c:pt>
                <c:pt idx="1853">
                  <c:v>2.0048357639315617E-2</c:v>
                </c:pt>
                <c:pt idx="1854">
                  <c:v>2.0045634446621954E-2</c:v>
                </c:pt>
                <c:pt idx="1855">
                  <c:v>2.0045797590347105E-2</c:v>
                </c:pt>
                <c:pt idx="1856">
                  <c:v>2.0044569115675866E-2</c:v>
                </c:pt>
                <c:pt idx="1857">
                  <c:v>2.0043375007458831E-2</c:v>
                </c:pt>
                <c:pt idx="1858">
                  <c:v>2.0040760633835156E-2</c:v>
                </c:pt>
                <c:pt idx="1859">
                  <c:v>2.0038654777109428E-2</c:v>
                </c:pt>
                <c:pt idx="1860">
                  <c:v>2.0037551799727514E-2</c:v>
                </c:pt>
                <c:pt idx="1861">
                  <c:v>2.0036483179047833E-2</c:v>
                </c:pt>
                <c:pt idx="1862">
                  <c:v>2.0035448915015623E-2</c:v>
                </c:pt>
                <c:pt idx="1863">
                  <c:v>2.0034945120684749E-2</c:v>
                </c:pt>
                <c:pt idx="1864">
                  <c:v>2.0033981970491742E-2</c:v>
                </c:pt>
                <c:pt idx="1865">
                  <c:v>2.0033053178693108E-2</c:v>
                </c:pt>
                <c:pt idx="1866">
                  <c:v>2.0032158745242726E-2</c:v>
                </c:pt>
                <c:pt idx="1867">
                  <c:v>2.0031298670091846E-2</c:v>
                </c:pt>
                <c:pt idx="1868">
                  <c:v>2.0029964817565873E-2</c:v>
                </c:pt>
                <c:pt idx="1869">
                  <c:v>2.0029171048677467E-2</c:v>
                </c:pt>
                <c:pt idx="1870">
                  <c:v>2.0028411636060697E-2</c:v>
                </c:pt>
                <c:pt idx="1871">
                  <c:v>2.0027686579677146E-2</c:v>
                </c:pt>
                <c:pt idx="1872">
                  <c:v>2.0027513667363463E-2</c:v>
                </c:pt>
                <c:pt idx="1873">
                  <c:v>2.0026859741148307E-2</c:v>
                </c:pt>
                <c:pt idx="1874">
                  <c:v>2.0026240172960785E-2</c:v>
                </c:pt>
                <c:pt idx="1875">
                  <c:v>2.0025335982971969E-2</c:v>
                </c:pt>
                <c:pt idx="1876">
                  <c:v>2.0024500405201068E-2</c:v>
                </c:pt>
                <c:pt idx="1877">
                  <c:v>2.0024057720313865E-2</c:v>
                </c:pt>
                <c:pt idx="1878">
                  <c:v>2.0023573156619946E-2</c:v>
                </c:pt>
                <c:pt idx="1879">
                  <c:v>2.00231229489106E-2</c:v>
                </c:pt>
                <c:pt idx="1880">
                  <c:v>2.0022707097162865E-2</c:v>
                </c:pt>
                <c:pt idx="1881">
                  <c:v>2.0022325601356871E-2</c:v>
                </c:pt>
                <c:pt idx="1882">
                  <c:v>2.0021978461470975E-2</c:v>
                </c:pt>
                <c:pt idx="1883">
                  <c:v>2.0021665677487508E-2</c:v>
                </c:pt>
                <c:pt idx="1884">
                  <c:v>2.0021387249391901E-2</c:v>
                </c:pt>
                <c:pt idx="1885">
                  <c:v>2.0023892552085983E-2</c:v>
                </c:pt>
                <c:pt idx="1886">
                  <c:v>2.0023695051028325E-2</c:v>
                </c:pt>
                <c:pt idx="1887">
                  <c:v>2.0023531915325528E-2</c:v>
                </c:pt>
                <c:pt idx="1888">
                  <c:v>2.002340314496771E-2</c:v>
                </c:pt>
                <c:pt idx="1889">
                  <c:v>2.0021628999786805E-2</c:v>
                </c:pt>
                <c:pt idx="1890">
                  <c:v>2.0021561607291724E-2</c:v>
                </c:pt>
                <c:pt idx="1891">
                  <c:v>2.0021528574423478E-2</c:v>
                </c:pt>
                <c:pt idx="1892">
                  <c:v>2.0021529901179013E-2</c:v>
                </c:pt>
                <c:pt idx="1893">
                  <c:v>2.0021565587560079E-2</c:v>
                </c:pt>
                <c:pt idx="1894">
                  <c:v>2.002335219482812E-2</c:v>
                </c:pt>
                <c:pt idx="1895">
                  <c:v>2.0023463981801774E-2</c:v>
                </c:pt>
                <c:pt idx="1896">
                  <c:v>2.0023610134117402E-2</c:v>
                </c:pt>
                <c:pt idx="1897">
                  <c:v>2.0023790651782735E-2</c:v>
                </c:pt>
                <c:pt idx="1898">
                  <c:v>2.0022259413961876E-2</c:v>
                </c:pt>
                <c:pt idx="1899">
                  <c:v>2.0022501258192636E-2</c:v>
                </c:pt>
                <c:pt idx="1900">
                  <c:v>2.0022777462098285E-2</c:v>
                </c:pt>
                <c:pt idx="1901">
                  <c:v>2.0024856376159868E-2</c:v>
                </c:pt>
                <c:pt idx="1902">
                  <c:v>2.0025208720752939E-2</c:v>
                </c:pt>
                <c:pt idx="1903">
                  <c:v>2.002559543078038E-2</c:v>
                </c:pt>
                <c:pt idx="1904">
                  <c:v>2.002601650626239E-2</c:v>
                </c:pt>
                <c:pt idx="1905">
                  <c:v>2.0026471947220886E-2</c:v>
                </c:pt>
                <c:pt idx="1906">
                  <c:v>2.0025156239636948E-2</c:v>
                </c:pt>
                <c:pt idx="1907">
                  <c:v>2.002748592566618E-2</c:v>
                </c:pt>
                <c:pt idx="1908">
                  <c:v>2.002804446320584E-2</c:v>
                </c:pt>
                <c:pt idx="1909">
                  <c:v>2.0028637366329424E-2</c:v>
                </c:pt>
                <c:pt idx="1910">
                  <c:v>2.0029264635067882E-2</c:v>
                </c:pt>
                <c:pt idx="1911">
                  <c:v>2.0027469697037621E-2</c:v>
                </c:pt>
                <c:pt idx="1912">
                  <c:v>2.0028155726408953E-2</c:v>
                </c:pt>
                <c:pt idx="1913">
                  <c:v>2.0028876113875556E-2</c:v>
                </c:pt>
                <c:pt idx="1914">
                  <c:v>2.0029630859473006E-2</c:v>
                </c:pt>
                <c:pt idx="1915">
                  <c:v>2.0031043695683565E-2</c:v>
                </c:pt>
                <c:pt idx="1916">
                  <c:v>2.0031869657552083E-2</c:v>
                </c:pt>
                <c:pt idx="1917">
                  <c:v>2.0035247540381398E-2</c:v>
                </c:pt>
                <c:pt idx="1918">
                  <c:v>2.0033624661816404E-2</c:v>
                </c:pt>
                <c:pt idx="1919">
                  <c:v>2.0034553704303931E-2</c:v>
                </c:pt>
                <c:pt idx="1920">
                  <c:v>2.0034880856123604E-2</c:v>
                </c:pt>
                <c:pt idx="1921">
                  <c:v>2.0035876109831624E-2</c:v>
                </c:pt>
                <c:pt idx="1922">
                  <c:v>2.0036905722031519E-2</c:v>
                </c:pt>
                <c:pt idx="1923">
                  <c:v>2.003796969277731E-2</c:v>
                </c:pt>
                <c:pt idx="1924">
                  <c:v>2.0039714322270991E-2</c:v>
                </c:pt>
                <c:pt idx="1925">
                  <c:v>2.0040849527344976E-2</c:v>
                </c:pt>
                <c:pt idx="1926">
                  <c:v>2.0042019093046096E-2</c:v>
                </c:pt>
                <c:pt idx="1927">
                  <c:v>2.0043223019434623E-2</c:v>
                </c:pt>
                <c:pt idx="1928">
                  <c:v>2.0043804926675585E-2</c:v>
                </c:pt>
                <c:pt idx="1929">
                  <c:v>2.0045075049910745E-2</c:v>
                </c:pt>
                <c:pt idx="1930">
                  <c:v>2.0046379532112562E-2</c:v>
                </c:pt>
                <c:pt idx="1931">
                  <c:v>2.0047718373349118E-2</c:v>
                </c:pt>
                <c:pt idx="1932">
                  <c:v>2.0049091573689372E-2</c:v>
                </c:pt>
                <c:pt idx="1933">
                  <c:v>2.0050499133204027E-2</c:v>
                </c:pt>
                <c:pt idx="1934">
                  <c:v>2.0051941051965123E-2</c:v>
                </c:pt>
                <c:pt idx="1935">
                  <c:v>2.005341733004776E-2</c:v>
                </c:pt>
                <c:pt idx="1936">
                  <c:v>2.0054927967527919E-2</c:v>
                </c:pt>
                <c:pt idx="1937">
                  <c:v>2.005919125728264E-2</c:v>
                </c:pt>
                <c:pt idx="1938">
                  <c:v>2.0060780783283785E-2</c:v>
                </c:pt>
                <c:pt idx="1939">
                  <c:v>2.0062404676593499E-2</c:v>
                </c:pt>
                <c:pt idx="1940">
                  <c:v>2.0064062937299024E-2</c:v>
                </c:pt>
                <c:pt idx="1941">
                  <c:v>2.0063685899285092E-2</c:v>
                </c:pt>
                <c:pt idx="1942">
                  <c:v>2.0065405244478963E-2</c:v>
                </c:pt>
                <c:pt idx="1943">
                  <c:v>2.0067158951573259E-2</c:v>
                </c:pt>
                <c:pt idx="1944">
                  <c:v>2.0068947020660151E-2</c:v>
                </c:pt>
                <c:pt idx="1945">
                  <c:v>2.0070769451830495E-2</c:v>
                </c:pt>
                <c:pt idx="1946">
                  <c:v>2.0074734193133274E-2</c:v>
                </c:pt>
                <c:pt idx="1947">
                  <c:v>2.0076632459631674E-2</c:v>
                </c:pt>
                <c:pt idx="1948">
                  <c:v>2.0078563643130379E-2</c:v>
                </c:pt>
                <c:pt idx="1949">
                  <c:v>2.008052682027037E-2</c:v>
                </c:pt>
                <c:pt idx="1950">
                  <c:v>2.0080385921034827E-2</c:v>
                </c:pt>
                <c:pt idx="1951">
                  <c:v>2.0082404373077276E-2</c:v>
                </c:pt>
                <c:pt idx="1952">
                  <c:v>2.0084452361610571E-2</c:v>
                </c:pt>
                <c:pt idx="1953">
                  <c:v>2.0086528948286737E-2</c:v>
                </c:pt>
                <c:pt idx="1954">
                  <c:v>2.0088633194748622E-2</c:v>
                </c:pt>
                <c:pt idx="1955">
                  <c:v>2.009292604118618E-2</c:v>
                </c:pt>
                <c:pt idx="1956">
                  <c:v>2.0095087319569108E-2</c:v>
                </c:pt>
                <c:pt idx="1957">
                  <c:v>2.0097273204633032E-2</c:v>
                </c:pt>
                <c:pt idx="1958">
                  <c:v>2.0099482772996578E-2</c:v>
                </c:pt>
                <c:pt idx="1959">
                  <c:v>2.0101715101273215E-2</c:v>
                </c:pt>
                <c:pt idx="1960">
                  <c:v>2.0103969266073413E-2</c:v>
                </c:pt>
                <c:pt idx="1961">
                  <c:v>2.0106244344004189E-2</c:v>
                </c:pt>
                <c:pt idx="1962">
                  <c:v>2.0108539411669138E-2</c:v>
                </c:pt>
                <c:pt idx="1963">
                  <c:v>2.0107200325657108E-2</c:v>
                </c:pt>
                <c:pt idx="1964">
                  <c:v>2.0109527521836517E-2</c:v>
                </c:pt>
                <c:pt idx="1965">
                  <c:v>2.0111872136684424E-2</c:v>
                </c:pt>
                <c:pt idx="1966">
                  <c:v>2.0114233221542658E-2</c:v>
                </c:pt>
                <c:pt idx="1967">
                  <c:v>2.0116609827747753E-2</c:v>
                </c:pt>
                <c:pt idx="1968">
                  <c:v>2.011973616815111E-2</c:v>
                </c:pt>
                <c:pt idx="1969">
                  <c:v>2.0122141839048324E-2</c:v>
                </c:pt>
                <c:pt idx="1970">
                  <c:v>2.0124560170361107E-2</c:v>
                </c:pt>
                <c:pt idx="1971">
                  <c:v>2.0126990218570357E-2</c:v>
                </c:pt>
                <c:pt idx="1972">
                  <c:v>2.0128692475465899E-2</c:v>
                </c:pt>
                <c:pt idx="1973">
                  <c:v>2.0131142445708492E-2</c:v>
                </c:pt>
                <c:pt idx="1974">
                  <c:v>2.0133602245265461E-2</c:v>
                </c:pt>
                <c:pt idx="1975">
                  <c:v>2.0136071874173468E-2</c:v>
                </c:pt>
                <c:pt idx="1976">
                  <c:v>2.0139293254335024E-2</c:v>
                </c:pt>
                <c:pt idx="1977">
                  <c:v>2.0141783382764192E-2</c:v>
                </c:pt>
                <c:pt idx="1978">
                  <c:v>2.0144283341220703E-2</c:v>
                </c:pt>
                <c:pt idx="1979">
                  <c:v>2.0146793129740572E-2</c:v>
                </c:pt>
                <c:pt idx="1980">
                  <c:v>2.014931274836157E-2</c:v>
                </c:pt>
                <c:pt idx="1981">
                  <c:v>2.0151096066026958E-2</c:v>
                </c:pt>
                <c:pt idx="1982">
                  <c:v>2.0153634501413269E-2</c:v>
                </c:pt>
                <c:pt idx="1983">
                  <c:v>2.0156182766443858E-2</c:v>
                </c:pt>
                <c:pt idx="1984">
                  <c:v>2.0158740861156713E-2</c:v>
                </c:pt>
                <c:pt idx="1985">
                  <c:v>2.0161308785589364E-2</c:v>
                </c:pt>
                <c:pt idx="1986">
                  <c:v>2.0163886539779356E-2</c:v>
                </c:pt>
                <c:pt idx="1987">
                  <c:v>2.0166474123764669E-2</c:v>
                </c:pt>
                <c:pt idx="1988">
                  <c:v>2.0169071537582399E-2</c:v>
                </c:pt>
                <c:pt idx="1989">
                  <c:v>2.0175444348096722E-2</c:v>
                </c:pt>
                <c:pt idx="1990">
                  <c:v>2.0178065663080721E-2</c:v>
                </c:pt>
                <c:pt idx="1991">
                  <c:v>2.0180696810862521E-2</c:v>
                </c:pt>
                <c:pt idx="1992">
                  <c:v>2.0183337791480804E-2</c:v>
                </c:pt>
                <c:pt idx="1993">
                  <c:v>2.0183718747251365E-2</c:v>
                </c:pt>
                <c:pt idx="1994">
                  <c:v>2.0186376841721577E-2</c:v>
                </c:pt>
                <c:pt idx="1995">
                  <c:v>2.0189044767435372E-2</c:v>
                </c:pt>
                <c:pt idx="1996">
                  <c:v>2.0191722524433804E-2</c:v>
                </c:pt>
                <c:pt idx="1997">
                  <c:v>2.0194410112755315E-2</c:v>
                </c:pt>
                <c:pt idx="1998">
                  <c:v>2.0199390167016284E-2</c:v>
                </c:pt>
                <c:pt idx="1999">
                  <c:v>2.020209997861935E-2</c:v>
                </c:pt>
                <c:pt idx="2000">
                  <c:v>2.0204819623382077E-2</c:v>
                </c:pt>
                <c:pt idx="2001">
                  <c:v>2.0207549101345295E-2</c:v>
                </c:pt>
                <c:pt idx="2002">
                  <c:v>2.0207995525621678E-2</c:v>
                </c:pt>
                <c:pt idx="2003">
                  <c:v>2.0210742102728628E-2</c:v>
                </c:pt>
                <c:pt idx="2004">
                  <c:v>2.0213498511441708E-2</c:v>
                </c:pt>
                <c:pt idx="2005">
                  <c:v>2.0216264751801546E-2</c:v>
                </c:pt>
                <c:pt idx="2006">
                  <c:v>2.0219040823849194E-2</c:v>
                </c:pt>
                <c:pt idx="2007">
                  <c:v>2.022413246866336E-2</c:v>
                </c:pt>
                <c:pt idx="2008">
                  <c:v>2.02269307801951E-2</c:v>
                </c:pt>
                <c:pt idx="2009">
                  <c:v>2.02297389252604E-2</c:v>
                </c:pt>
                <c:pt idx="2010">
                  <c:v>2.023255690390266E-2</c:v>
                </c:pt>
                <c:pt idx="2011">
                  <c:v>2.0235384716164862E-2</c:v>
                </c:pt>
                <c:pt idx="2012">
                  <c:v>2.0238222362088689E-2</c:v>
                </c:pt>
                <c:pt idx="2013">
                  <c:v>2.024106984171669E-2</c:v>
                </c:pt>
                <c:pt idx="2014">
                  <c:v>2.0243927155092271E-2</c:v>
                </c:pt>
                <c:pt idx="2015">
                  <c:v>2.0242917530302936E-2</c:v>
                </c:pt>
                <c:pt idx="2016">
                  <c:v>2.0245790195450902E-2</c:v>
                </c:pt>
                <c:pt idx="2017">
                  <c:v>2.0248672691596321E-2</c:v>
                </c:pt>
                <c:pt idx="2018">
                  <c:v>2.0251565018781149E-2</c:v>
                </c:pt>
                <c:pt idx="2019">
                  <c:v>2.025446717704734E-2</c:v>
                </c:pt>
                <c:pt idx="2020">
                  <c:v>2.0258158618869964E-2</c:v>
                </c:pt>
                <c:pt idx="2021">
                  <c:v>2.0261081305297784E-2</c:v>
                </c:pt>
                <c:pt idx="2022">
                  <c:v>2.0264013823514174E-2</c:v>
                </c:pt>
                <c:pt idx="2023">
                  <c:v>2.0266956173559541E-2</c:v>
                </c:pt>
                <c:pt idx="2024">
                  <c:v>2.0269125436103839E-2</c:v>
                </c:pt>
                <c:pt idx="2025">
                  <c:v>2.0272086581760471E-2</c:v>
                </c:pt>
                <c:pt idx="2026">
                  <c:v>2.0275057558800547E-2</c:v>
                </c:pt>
                <c:pt idx="2027">
                  <c:v>2.0278038367266903E-2</c:v>
                </c:pt>
                <c:pt idx="2028">
                  <c:v>2.028181540277145E-2</c:v>
                </c:pt>
                <c:pt idx="2029">
                  <c:v>2.0284816744716973E-2</c:v>
                </c:pt>
                <c:pt idx="2030">
                  <c:v>2.0287827918799798E-2</c:v>
                </c:pt>
                <c:pt idx="2031">
                  <c:v>2.0290848925065167E-2</c:v>
                </c:pt>
                <c:pt idx="2032">
                  <c:v>2.0294313543117396E-2</c:v>
                </c:pt>
                <c:pt idx="2033">
                  <c:v>2.0296564739923435E-2</c:v>
                </c:pt>
                <c:pt idx="2034">
                  <c:v>2.0299615774146053E-2</c:v>
                </c:pt>
                <c:pt idx="2035">
                  <c:v>2.0302676640155764E-2</c:v>
                </c:pt>
                <c:pt idx="2036">
                  <c:v>2.0305747337997622E-2</c:v>
                </c:pt>
                <c:pt idx="2037">
                  <c:v>2.0308827867715786E-2</c:v>
                </c:pt>
                <c:pt idx="2038">
                  <c:v>2.0311918229356189E-2</c:v>
                </c:pt>
                <c:pt idx="2039">
                  <c:v>2.0315018422964317E-2</c:v>
                </c:pt>
                <c:pt idx="2040">
                  <c:v>2.0318128448585659E-2</c:v>
                </c:pt>
                <c:pt idx="2041">
                  <c:v>2.0324440519245753E-2</c:v>
                </c:pt>
                <c:pt idx="2042">
                  <c:v>2.0327573722097949E-2</c:v>
                </c:pt>
                <c:pt idx="2043">
                  <c:v>2.0330716759431048E-2</c:v>
                </c:pt>
                <c:pt idx="2044">
                  <c:v>2.03348743241781E-2</c:v>
                </c:pt>
                <c:pt idx="2045">
                  <c:v>2.0334627457144212E-2</c:v>
                </c:pt>
                <c:pt idx="2046">
                  <c:v>2.0340204878791509E-2</c:v>
                </c:pt>
                <c:pt idx="2047">
                  <c:v>2.0343387254522231E-2</c:v>
                </c:pt>
                <c:pt idx="2048">
                  <c:v>2.0346579464972366E-2</c:v>
                </c:pt>
                <c:pt idx="2049">
                  <c:v>2.034978151018902E-2</c:v>
                </c:pt>
                <c:pt idx="2050">
                  <c:v>2.0352993390219284E-2</c:v>
                </c:pt>
                <c:pt idx="2051">
                  <c:v>2.0356215105112419E-2</c:v>
                </c:pt>
                <c:pt idx="2052">
                  <c:v>2.0359446654916818E-2</c:v>
                </c:pt>
                <c:pt idx="2053">
                  <c:v>2.0362688039680873E-2</c:v>
                </c:pt>
                <c:pt idx="2054">
                  <c:v>2.0365939259452549E-2</c:v>
                </c:pt>
                <c:pt idx="2055">
                  <c:v>2.0369200314280671E-2</c:v>
                </c:pt>
                <c:pt idx="2056">
                  <c:v>2.0372471204214926E-2</c:v>
                </c:pt>
                <c:pt idx="2057">
                  <c:v>2.0375751929303708E-2</c:v>
                </c:pt>
                <c:pt idx="2058">
                  <c:v>2.037904248959628E-2</c:v>
                </c:pt>
                <c:pt idx="2059">
                  <c:v>2.0382342885142759E-2</c:v>
                </c:pt>
                <c:pt idx="2060">
                  <c:v>2.0385653115991539E-2</c:v>
                </c:pt>
                <c:pt idx="2061">
                  <c:v>2.0388973182192745E-2</c:v>
                </c:pt>
                <c:pt idx="2062">
                  <c:v>2.0392303083796064E-2</c:v>
                </c:pt>
                <c:pt idx="2063">
                  <c:v>2.0395642820852485E-2</c:v>
                </c:pt>
                <c:pt idx="2064">
                  <c:v>2.0398992393410399E-2</c:v>
                </c:pt>
                <c:pt idx="2065">
                  <c:v>2.0402351801521227E-2</c:v>
                </c:pt>
                <c:pt idx="2066">
                  <c:v>2.0405721045235088E-2</c:v>
                </c:pt>
                <c:pt idx="2067">
                  <c:v>2.04058158114729E-2</c:v>
                </c:pt>
                <c:pt idx="2068">
                  <c:v>2.0409201152515974E-2</c:v>
                </c:pt>
                <c:pt idx="2069">
                  <c:v>2.0412596326953702E-2</c:v>
                </c:pt>
                <c:pt idx="2070">
                  <c:v>2.0416001334836866E-2</c:v>
                </c:pt>
                <c:pt idx="2071">
                  <c:v>2.0420240657238745E-2</c:v>
                </c:pt>
                <c:pt idx="2072">
                  <c:v>2.0423666227887865E-2</c:v>
                </c:pt>
                <c:pt idx="2073">
                  <c:v>2.0430407892464201E-2</c:v>
                </c:pt>
                <c:pt idx="2074">
                  <c:v>2.0430546871795689E-2</c:v>
                </c:pt>
                <c:pt idx="2075">
                  <c:v>2.0434001945156287E-2</c:v>
                </c:pt>
                <c:pt idx="2076">
                  <c:v>2.0436637887288275E-2</c:v>
                </c:pt>
                <c:pt idx="2077">
                  <c:v>2.0440111730693475E-2</c:v>
                </c:pt>
                <c:pt idx="2078">
                  <c:v>2.0443595407947764E-2</c:v>
                </c:pt>
                <c:pt idx="2079">
                  <c:v>2.0447088919101939E-2</c:v>
                </c:pt>
                <c:pt idx="2080">
                  <c:v>2.0451424828066316E-2</c:v>
                </c:pt>
                <c:pt idx="2081">
                  <c:v>2.0454938908229438E-2</c:v>
                </c:pt>
                <c:pt idx="2082">
                  <c:v>2.045846282304082E-2</c:v>
                </c:pt>
                <c:pt idx="2083">
                  <c:v>2.046199657255229E-2</c:v>
                </c:pt>
                <c:pt idx="2084">
                  <c:v>2.0464552523582716E-2</c:v>
                </c:pt>
                <c:pt idx="2085">
                  <c:v>2.047061948043628E-2</c:v>
                </c:pt>
                <c:pt idx="2086">
                  <c:v>2.047418694931483E-2</c:v>
                </c:pt>
                <c:pt idx="2087">
                  <c:v>2.0477764253125808E-2</c:v>
                </c:pt>
                <c:pt idx="2088">
                  <c:v>2.048135139192148E-2</c:v>
                </c:pt>
                <c:pt idx="2089">
                  <c:v>2.0484948365754992E-2</c:v>
                </c:pt>
                <c:pt idx="2090">
                  <c:v>2.0488555174678166E-2</c:v>
                </c:pt>
                <c:pt idx="2091">
                  <c:v>2.0492171818745911E-2</c:v>
                </c:pt>
                <c:pt idx="2092">
                  <c:v>2.0495798298011368E-2</c:v>
                </c:pt>
                <c:pt idx="2093">
                  <c:v>2.0501124395394244E-2</c:v>
                </c:pt>
                <c:pt idx="2094">
                  <c:v>2.0504772363611312E-2</c:v>
                </c:pt>
                <c:pt idx="2095">
                  <c:v>2.0508430168381688E-2</c:v>
                </c:pt>
                <c:pt idx="2096">
                  <c:v>2.0512097809760987E-2</c:v>
                </c:pt>
                <c:pt idx="2097">
                  <c:v>2.0514926696439732E-2</c:v>
                </c:pt>
                <c:pt idx="2098">
                  <c:v>2.051861309955998E-2</c:v>
                </c:pt>
                <c:pt idx="2099">
                  <c:v>2.0523367213876625E-2</c:v>
                </c:pt>
                <c:pt idx="2100">
                  <c:v>2.052601541437879E-2</c:v>
                </c:pt>
                <c:pt idx="2101">
                  <c:v>2.0529731326186119E-2</c:v>
                </c:pt>
                <c:pt idx="2102">
                  <c:v>2.0534310229891172E-2</c:v>
                </c:pt>
                <c:pt idx="2103">
                  <c:v>2.0538046729070801E-2</c:v>
                </c:pt>
                <c:pt idx="2104">
                  <c:v>2.0541793065300733E-2</c:v>
                </c:pt>
                <c:pt idx="2105">
                  <c:v>2.054554923863745E-2</c:v>
                </c:pt>
                <c:pt idx="2106">
                  <c:v>2.0548458431415721E-2</c:v>
                </c:pt>
                <c:pt idx="2107">
                  <c:v>2.0552233362089344E-2</c:v>
                </c:pt>
                <c:pt idx="2108">
                  <c:v>2.0556018129435649E-2</c:v>
                </c:pt>
                <c:pt idx="2109">
                  <c:v>2.0559812733511415E-2</c:v>
                </c:pt>
                <c:pt idx="2110">
                  <c:v>2.056533827377361E-2</c:v>
                </c:pt>
                <c:pt idx="2111">
                  <c:v>2.0568292861037198E-2</c:v>
                </c:pt>
                <c:pt idx="2112">
                  <c:v>2.0572117895695775E-2</c:v>
                </c:pt>
                <c:pt idx="2113">
                  <c:v>2.0575952767913377E-2</c:v>
                </c:pt>
                <c:pt idx="2114">
                  <c:v>2.0579797477746055E-2</c:v>
                </c:pt>
                <c:pt idx="2115">
                  <c:v>2.0583652025251579E-2</c:v>
                </c:pt>
                <c:pt idx="2116">
                  <c:v>2.0587516410489472E-2</c:v>
                </c:pt>
                <c:pt idx="2117">
                  <c:v>2.0591390633514905E-2</c:v>
                </c:pt>
                <c:pt idx="2118">
                  <c:v>2.0595274694386531E-2</c:v>
                </c:pt>
                <c:pt idx="2119">
                  <c:v>2.0597431141744334E-2</c:v>
                </c:pt>
                <c:pt idx="2120">
                  <c:v>2.0601333028791646E-2</c:v>
                </c:pt>
                <c:pt idx="2121">
                  <c:v>2.0605244752647685E-2</c:v>
                </c:pt>
                <c:pt idx="2122">
                  <c:v>2.0609166313369554E-2</c:v>
                </c:pt>
                <c:pt idx="2123">
                  <c:v>2.0613970078919235E-2</c:v>
                </c:pt>
                <c:pt idx="2124">
                  <c:v>2.0617912240769525E-2</c:v>
                </c:pt>
                <c:pt idx="2125">
                  <c:v>2.0621864240266578E-2</c:v>
                </c:pt>
                <c:pt idx="2126">
                  <c:v>2.0625826077470235E-2</c:v>
                </c:pt>
                <c:pt idx="2127">
                  <c:v>2.062979775243947E-2</c:v>
                </c:pt>
                <c:pt idx="2128">
                  <c:v>2.0632902255138551E-2</c:v>
                </c:pt>
                <c:pt idx="2129">
                  <c:v>2.0636892675550238E-2</c:v>
                </c:pt>
                <c:pt idx="2130">
                  <c:v>2.0640892933295508E-2</c:v>
                </c:pt>
                <c:pt idx="2131">
                  <c:v>2.064490302843322E-2</c:v>
                </c:pt>
                <c:pt idx="2132">
                  <c:v>2.0649803695824444E-2</c:v>
                </c:pt>
                <c:pt idx="2133">
                  <c:v>2.0653834398625916E-2</c:v>
                </c:pt>
                <c:pt idx="2134">
                  <c:v>2.0657874939607496E-2</c:v>
                </c:pt>
                <c:pt idx="2135">
                  <c:v>2.0661925318829898E-2</c:v>
                </c:pt>
                <c:pt idx="2136">
                  <c:v>2.0665681767727675E-2</c:v>
                </c:pt>
                <c:pt idx="2137">
                  <c:v>2.0669752293862295E-2</c:v>
                </c:pt>
                <c:pt idx="2138">
                  <c:v>2.0673832657815826E-2</c:v>
                </c:pt>
                <c:pt idx="2139">
                  <c:v>2.0677922859647563E-2</c:v>
                </c:pt>
                <c:pt idx="2140">
                  <c:v>2.0682022899417674E-2</c:v>
                </c:pt>
                <c:pt idx="2141">
                  <c:v>2.0686132777186332E-2</c:v>
                </c:pt>
                <c:pt idx="2142">
                  <c:v>2.0690252493015027E-2</c:v>
                </c:pt>
                <c:pt idx="2143">
                  <c:v>2.0694382046963933E-2</c:v>
                </c:pt>
                <c:pt idx="2144">
                  <c:v>2.0698521439094977E-2</c:v>
                </c:pt>
                <c:pt idx="2145">
                  <c:v>2.0704456877318141E-2</c:v>
                </c:pt>
                <c:pt idx="2146">
                  <c:v>2.0708617827603339E-2</c:v>
                </c:pt>
                <c:pt idx="2147">
                  <c:v>2.0712788617482891E-2</c:v>
                </c:pt>
                <c:pt idx="2148">
                  <c:v>2.0716969247020659E-2</c:v>
                </c:pt>
                <c:pt idx="2149">
                  <c:v>2.0720262783306964E-2</c:v>
                </c:pt>
                <c:pt idx="2150">
                  <c:v>2.0725663775010675E-2</c:v>
                </c:pt>
                <c:pt idx="2151">
                  <c:v>2.0729875791182149E-2</c:v>
                </c:pt>
                <c:pt idx="2152">
                  <c:v>2.0734097646662009E-2</c:v>
                </c:pt>
                <c:pt idx="2153">
                  <c:v>2.0738329341514025E-2</c:v>
                </c:pt>
                <c:pt idx="2154">
                  <c:v>2.0745277028506447E-2</c:v>
                </c:pt>
                <c:pt idx="2155">
                  <c:v>2.0749531242336691E-2</c:v>
                </c:pt>
                <c:pt idx="2156">
                  <c:v>2.0753795297583651E-2</c:v>
                </c:pt>
                <c:pt idx="2157">
                  <c:v>2.0758069194310929E-2</c:v>
                </c:pt>
                <c:pt idx="2158">
                  <c:v>2.0759635408549706E-2</c:v>
                </c:pt>
                <c:pt idx="2159">
                  <c:v>2.0763926140955149E-2</c:v>
                </c:pt>
                <c:pt idx="2160">
                  <c:v>2.0768226713174361E-2</c:v>
                </c:pt>
                <c:pt idx="2161">
                  <c:v>2.0775263197312949E-2</c:v>
                </c:pt>
                <c:pt idx="2162">
                  <c:v>2.0779586302411366E-2</c:v>
                </c:pt>
                <c:pt idx="2163">
                  <c:v>2.07839192493799E-2</c:v>
                </c:pt>
                <c:pt idx="2164">
                  <c:v>2.0788262038282154E-2</c:v>
                </c:pt>
                <c:pt idx="2165">
                  <c:v>2.07926146691856E-2</c:v>
                </c:pt>
                <c:pt idx="2166">
                  <c:v>2.0794236786174248E-2</c:v>
                </c:pt>
                <c:pt idx="2167">
                  <c:v>2.0801349457254786E-2</c:v>
                </c:pt>
                <c:pt idx="2168">
                  <c:v>2.0805731614553322E-2</c:v>
                </c:pt>
                <c:pt idx="2169">
                  <c:v>2.081012361411478E-2</c:v>
                </c:pt>
                <c:pt idx="2170">
                  <c:v>2.0811773639264817E-2</c:v>
                </c:pt>
                <c:pt idx="2171">
                  <c:v>2.0814346628789514E-2</c:v>
                </c:pt>
                <c:pt idx="2172">
                  <c:v>2.0818763369823415E-2</c:v>
                </c:pt>
                <c:pt idx="2173">
                  <c:v>2.0823189950263516E-2</c:v>
                </c:pt>
                <c:pt idx="2174">
                  <c:v>2.0827626370175614E-2</c:v>
                </c:pt>
                <c:pt idx="2175">
                  <c:v>2.0832994310290617E-2</c:v>
                </c:pt>
                <c:pt idx="2176">
                  <c:v>2.0837451368775978E-2</c:v>
                </c:pt>
                <c:pt idx="2177">
                  <c:v>2.0841918267554757E-2</c:v>
                </c:pt>
                <c:pt idx="2178">
                  <c:v>2.0846395006691953E-2</c:v>
                </c:pt>
                <c:pt idx="2179">
                  <c:v>2.0850881586254328E-2</c:v>
                </c:pt>
                <c:pt idx="2180">
                  <c:v>2.0854451522194412E-2</c:v>
                </c:pt>
                <c:pt idx="2181">
                  <c:v>2.0858956820235346E-2</c:v>
                </c:pt>
                <c:pt idx="2182">
                  <c:v>2.0863471958272501E-2</c:v>
                </c:pt>
                <c:pt idx="2183">
                  <c:v>2.0867996936371681E-2</c:v>
                </c:pt>
                <c:pt idx="2184">
                  <c:v>2.0873462092763331E-2</c:v>
                </c:pt>
                <c:pt idx="2185">
                  <c:v>2.0878007716271262E-2</c:v>
                </c:pt>
                <c:pt idx="2186">
                  <c:v>2.0882563180670371E-2</c:v>
                </c:pt>
                <c:pt idx="2187">
                  <c:v>2.0887128486028295E-2</c:v>
                </c:pt>
                <c:pt idx="2188">
                  <c:v>2.0890769430135091E-2</c:v>
                </c:pt>
                <c:pt idx="2189">
                  <c:v>2.0895353450009497E-2</c:v>
                </c:pt>
                <c:pt idx="2190">
                  <c:v>2.0899947310413617E-2</c:v>
                </c:pt>
                <c:pt idx="2191">
                  <c:v>2.0904551011415029E-2</c:v>
                </c:pt>
                <c:pt idx="2192">
                  <c:v>2.0909164553083063E-2</c:v>
                </c:pt>
                <c:pt idx="2193">
                  <c:v>2.0913787935483524E-2</c:v>
                </c:pt>
                <c:pt idx="2194">
                  <c:v>2.0918421158684867E-2</c:v>
                </c:pt>
                <c:pt idx="2195">
                  <c:v>2.0923064222755104E-2</c:v>
                </c:pt>
                <c:pt idx="2196">
                  <c:v>2.0927717127763128E-2</c:v>
                </c:pt>
                <c:pt idx="2197">
                  <c:v>2.0937095833947671E-2</c:v>
                </c:pt>
                <c:pt idx="2198">
                  <c:v>2.0941773288577312E-2</c:v>
                </c:pt>
                <c:pt idx="2199">
                  <c:v>2.0946460587523284E-2</c:v>
                </c:pt>
                <c:pt idx="2200">
                  <c:v>2.0951157730855204E-2</c:v>
                </c:pt>
                <c:pt idx="2201">
                  <c:v>2.0953023059856198E-2</c:v>
                </c:pt>
                <c:pt idx="2202">
                  <c:v>2.0957736963705755E-2</c:v>
                </c:pt>
                <c:pt idx="2203">
                  <c:v>2.0962460710245472E-2</c:v>
                </c:pt>
                <c:pt idx="2204">
                  <c:v>2.0967194299546112E-2</c:v>
                </c:pt>
                <c:pt idx="2205">
                  <c:v>2.0971937731677565E-2</c:v>
                </c:pt>
                <c:pt idx="2206">
                  <c:v>2.0979547166586055E-2</c:v>
                </c:pt>
                <c:pt idx="2207">
                  <c:v>2.0984311166229862E-2</c:v>
                </c:pt>
                <c:pt idx="2208">
                  <c:v>2.0989080484963785E-2</c:v>
                </c:pt>
                <c:pt idx="2209">
                  <c:v>2.099385248273964E-2</c:v>
                </c:pt>
                <c:pt idx="2210">
                  <c:v>2.0995767338772134E-2</c:v>
                </c:pt>
                <c:pt idx="2211">
                  <c:v>2.1000538994031027E-2</c:v>
                </c:pt>
                <c:pt idx="2212">
                  <c:v>2.1005306311316883E-2</c:v>
                </c:pt>
                <c:pt idx="2213">
                  <c:v>2.1010066607675074E-2</c:v>
                </c:pt>
                <c:pt idx="2214">
                  <c:v>2.1017660253693456E-2</c:v>
                </c:pt>
                <c:pt idx="2215">
                  <c:v>2.1022392883228175E-2</c:v>
                </c:pt>
                <c:pt idx="2216">
                  <c:v>2.1027109710734817E-2</c:v>
                </c:pt>
                <c:pt idx="2217">
                  <c:v>2.1031808095959781E-2</c:v>
                </c:pt>
                <c:pt idx="2218">
                  <c:v>2.1036485398622382E-2</c:v>
                </c:pt>
                <c:pt idx="2219">
                  <c:v>2.104113897842045E-2</c:v>
                </c:pt>
                <c:pt idx="2220">
                  <c:v>2.1045766195023449E-2</c:v>
                </c:pt>
                <c:pt idx="2221">
                  <c:v>2.1050364408081078E-2</c:v>
                </c:pt>
                <c:pt idx="2222">
                  <c:v>2.1054930977216814E-2</c:v>
                </c:pt>
                <c:pt idx="2223">
                  <c:v>2.1054844751545801E-2</c:v>
                </c:pt>
                <c:pt idx="2224">
                  <c:v>2.1059357787729237E-2</c:v>
                </c:pt>
                <c:pt idx="2225">
                  <c:v>2.1063831842957632E-2</c:v>
                </c:pt>
                <c:pt idx="2226">
                  <c:v>2.1068264204632672E-2</c:v>
                </c:pt>
                <c:pt idx="2227">
                  <c:v>2.1073561775958646E-2</c:v>
                </c:pt>
                <c:pt idx="2228">
                  <c:v>2.1077898700587738E-2</c:v>
                </c:pt>
                <c:pt idx="2229">
                  <c:v>2.1082185733381113E-2</c:v>
                </c:pt>
                <c:pt idx="2230">
                  <c:v>2.1086420176403709E-2</c:v>
                </c:pt>
                <c:pt idx="2231">
                  <c:v>2.1090599331699818E-2</c:v>
                </c:pt>
                <c:pt idx="2232">
                  <c:v>2.1093830903288736E-2</c:v>
                </c:pt>
                <c:pt idx="2233">
                  <c:v>2.1097896129115421E-2</c:v>
                </c:pt>
                <c:pt idx="2234">
                  <c:v>2.1101901059756685E-2</c:v>
                </c:pt>
                <c:pt idx="2235">
                  <c:v>2.1105845694853482E-2</c:v>
                </c:pt>
                <c:pt idx="2236">
                  <c:v>2.1110603331989018E-2</c:v>
                </c:pt>
                <c:pt idx="2237">
                  <c:v>2.1114423290844186E-2</c:v>
                </c:pt>
                <c:pt idx="2238">
                  <c:v>2.1118182949603447E-2</c:v>
                </c:pt>
                <c:pt idx="2239">
                  <c:v>2.1121882307926419E-2</c:v>
                </c:pt>
                <c:pt idx="2240">
                  <c:v>2.1125521365479294E-2</c:v>
                </c:pt>
                <c:pt idx="2241">
                  <c:v>2.1128247279490274E-2</c:v>
                </c:pt>
                <c:pt idx="2242">
                  <c:v>2.1131769836136204E-2</c:v>
                </c:pt>
                <c:pt idx="2243">
                  <c:v>2.1135232094549875E-2</c:v>
                </c:pt>
                <c:pt idx="2244">
                  <c:v>2.1138634054418157E-2</c:v>
                </c:pt>
                <c:pt idx="2245">
                  <c:v>2.1141975715435891E-2</c:v>
                </c:pt>
                <c:pt idx="2246">
                  <c:v>2.1145257077301874E-2</c:v>
                </c:pt>
                <c:pt idx="2247">
                  <c:v>2.1148478139721535E-2</c:v>
                </c:pt>
                <c:pt idx="2248">
                  <c:v>2.1151638902402955E-2</c:v>
                </c:pt>
                <c:pt idx="2249">
                  <c:v>2.1158835393571138E-2</c:v>
                </c:pt>
                <c:pt idx="2250">
                  <c:v>2.116185490237241E-2</c:v>
                </c:pt>
                <c:pt idx="2251">
                  <c:v>2.1164814092998713E-2</c:v>
                </c:pt>
                <c:pt idx="2252">
                  <c:v>2.1167712965177575E-2</c:v>
                </c:pt>
                <c:pt idx="2253">
                  <c:v>2.1168144627616774E-2</c:v>
                </c:pt>
                <c:pt idx="2254">
                  <c:v>2.1170935297976055E-2</c:v>
                </c:pt>
                <c:pt idx="2255">
                  <c:v>2.1173665659673664E-2</c:v>
                </c:pt>
                <c:pt idx="2256">
                  <c:v>2.1176335712461056E-2</c:v>
                </c:pt>
                <c:pt idx="2257">
                  <c:v>2.1178945456095367E-2</c:v>
                </c:pt>
                <c:pt idx="2258">
                  <c:v>2.118383949621673E-2</c:v>
                </c:pt>
                <c:pt idx="2259">
                  <c:v>2.118631613206453E-2</c:v>
                </c:pt>
                <c:pt idx="2260">
                  <c:v>2.1188732447475083E-2</c:v>
                </c:pt>
                <c:pt idx="2261">
                  <c:v>2.1191088442226634E-2</c:v>
                </c:pt>
                <c:pt idx="2262">
                  <c:v>2.119108952885217E-2</c:v>
                </c:pt>
                <c:pt idx="2263">
                  <c:v>2.1193337412773138E-2</c:v>
                </c:pt>
                <c:pt idx="2264">
                  <c:v>2.1195524985994287E-2</c:v>
                </c:pt>
                <c:pt idx="2265">
                  <c:v>2.119765224831599E-2</c:v>
                </c:pt>
                <c:pt idx="2266">
                  <c:v>2.1199719199544744E-2</c:v>
                </c:pt>
                <c:pt idx="2267">
                  <c:v>2.120395766505553E-2</c:v>
                </c:pt>
                <c:pt idx="2268">
                  <c:v>2.1205891409396528E-2</c:v>
                </c:pt>
                <c:pt idx="2269">
                  <c:v>2.1207764831490544E-2</c:v>
                </c:pt>
                <c:pt idx="2270">
                  <c:v>2.1209577931163095E-2</c:v>
                </c:pt>
                <c:pt idx="2271">
                  <c:v>2.1211330708248717E-2</c:v>
                </c:pt>
                <c:pt idx="2272">
                  <c:v>2.1213023162583673E-2</c:v>
                </c:pt>
                <c:pt idx="2273">
                  <c:v>2.1214655294011533E-2</c:v>
                </c:pt>
                <c:pt idx="2274">
                  <c:v>2.1216227102381444E-2</c:v>
                </c:pt>
                <c:pt idx="2275">
                  <c:v>2.1214185283763749E-2</c:v>
                </c:pt>
                <c:pt idx="2276">
                  <c:v>2.1215657558151014E-2</c:v>
                </c:pt>
                <c:pt idx="2277">
                  <c:v>2.121706952675537E-2</c:v>
                </c:pt>
                <c:pt idx="2278">
                  <c:v>2.1218421189450512E-2</c:v>
                </c:pt>
                <c:pt idx="2279">
                  <c:v>2.1219712546113219E-2</c:v>
                </c:pt>
                <c:pt idx="2280">
                  <c:v>2.1221633865678758E-2</c:v>
                </c:pt>
                <c:pt idx="2281">
                  <c:v>2.1222800370727359E-2</c:v>
                </c:pt>
                <c:pt idx="2282">
                  <c:v>2.1223906565873391E-2</c:v>
                </c:pt>
                <c:pt idx="2283">
                  <c:v>2.1224952451014523E-2</c:v>
                </c:pt>
                <c:pt idx="2284">
                  <c:v>2.1225264735073742E-2</c:v>
                </c:pt>
                <c:pt idx="2285">
                  <c:v>2.1226194253294809E-2</c:v>
                </c:pt>
                <c:pt idx="2286">
                  <c:v>2.1227063464785659E-2</c:v>
                </c:pt>
                <c:pt idx="2287">
                  <c:v>2.1227872369465915E-2</c:v>
                </c:pt>
                <c:pt idx="2288">
                  <c:v>2.1229277223543629E-2</c:v>
                </c:pt>
                <c:pt idx="2289">
                  <c:v>2.1229961246866009E-2</c:v>
                </c:pt>
                <c:pt idx="2290">
                  <c:v>2.1230584959635791E-2</c:v>
                </c:pt>
                <c:pt idx="2291">
                  <c:v>2.1231148361798517E-2</c:v>
                </c:pt>
                <c:pt idx="2292">
                  <c:v>2.123165145330104E-2</c:v>
                </c:pt>
                <c:pt idx="2293">
                  <c:v>2.1231459350852307E-2</c:v>
                </c:pt>
                <c:pt idx="2294">
                  <c:v>2.1231846106130717E-2</c:v>
                </c:pt>
                <c:pt idx="2295">
                  <c:v>2.1232172554169704E-2</c:v>
                </c:pt>
                <c:pt idx="2296">
                  <c:v>2.1232438694939237E-2</c:v>
                </c:pt>
                <c:pt idx="2297">
                  <c:v>2.1232644528415466E-2</c:v>
                </c:pt>
                <c:pt idx="2298">
                  <c:v>2.1232790054579846E-2</c:v>
                </c:pt>
                <c:pt idx="2299">
                  <c:v>2.1232875273419126E-2</c:v>
                </c:pt>
                <c:pt idx="2300">
                  <c:v>2.1232900184926237E-2</c:v>
                </c:pt>
                <c:pt idx="2301">
                  <c:v>2.1235863413872676E-2</c:v>
                </c:pt>
                <c:pt idx="2302">
                  <c:v>2.1235746137991625E-2</c:v>
                </c:pt>
                <c:pt idx="2303">
                  <c:v>2.1235568537101502E-2</c:v>
                </c:pt>
                <c:pt idx="2304">
                  <c:v>2.1235330611219926E-2</c:v>
                </c:pt>
                <c:pt idx="2305">
                  <c:v>2.1233286195935942E-2</c:v>
                </c:pt>
                <c:pt idx="2306">
                  <c:v>2.1232940607729147E-2</c:v>
                </c:pt>
                <c:pt idx="2307">
                  <c:v>2.1232534705219294E-2</c:v>
                </c:pt>
                <c:pt idx="2308">
                  <c:v>2.1232068488441759E-2</c:v>
                </c:pt>
                <c:pt idx="2309">
                  <c:v>2.1231541957440227E-2</c:v>
                </c:pt>
                <c:pt idx="2310">
                  <c:v>2.1232636232719829E-2</c:v>
                </c:pt>
                <c:pt idx="2311">
                  <c:v>2.1231976032823358E-2</c:v>
                </c:pt>
                <c:pt idx="2312">
                  <c:v>2.123125550826678E-2</c:v>
                </c:pt>
                <c:pt idx="2313">
                  <c:v>2.1230474659116708E-2</c:v>
                </c:pt>
                <c:pt idx="2314">
                  <c:v>2.12280045909321E-2</c:v>
                </c:pt>
                <c:pt idx="2315">
                  <c:v>2.1227116175781692E-2</c:v>
                </c:pt>
                <c:pt idx="2316">
                  <c:v>2.1226167446857201E-2</c:v>
                </c:pt>
                <c:pt idx="2317">
                  <c:v>2.1225158404244677E-2</c:v>
                </c:pt>
                <c:pt idx="2318">
                  <c:v>2.1224089048037593E-2</c:v>
                </c:pt>
                <c:pt idx="2319">
                  <c:v>2.1224522752198847E-2</c:v>
                </c:pt>
                <c:pt idx="2320">
                  <c:v>2.1223319633232245E-2</c:v>
                </c:pt>
                <c:pt idx="2321">
                  <c:v>2.1222056190406183E-2</c:v>
                </c:pt>
                <c:pt idx="2322">
                  <c:v>2.1220732423838855E-2</c:v>
                </c:pt>
                <c:pt idx="2323">
                  <c:v>2.1219348333651016E-2</c:v>
                </c:pt>
                <c:pt idx="2324">
                  <c:v>2.1217903919971172E-2</c:v>
                </c:pt>
                <c:pt idx="2325">
                  <c:v>2.1216399182933405E-2</c:v>
                </c:pt>
                <c:pt idx="2326">
                  <c:v>2.1214834122677387E-2</c:v>
                </c:pt>
                <c:pt idx="2327">
                  <c:v>2.1211263947315193E-2</c:v>
                </c:pt>
                <c:pt idx="2328">
                  <c:v>2.1209595867172606E-2</c:v>
                </c:pt>
                <c:pt idx="2329">
                  <c:v>2.1207867478322106E-2</c:v>
                </c:pt>
                <c:pt idx="2330">
                  <c:v>2.1206078780919603E-2</c:v>
                </c:pt>
                <c:pt idx="2331">
                  <c:v>2.1204229775125413E-2</c:v>
                </c:pt>
                <c:pt idx="2332">
                  <c:v>2.1202785198059487E-2</c:v>
                </c:pt>
                <c:pt idx="2333">
                  <c:v>2.1200811152666327E-2</c:v>
                </c:pt>
                <c:pt idx="2334">
                  <c:v>2.1200596287842162E-2</c:v>
                </c:pt>
                <c:pt idx="2335">
                  <c:v>2.1196682127924103E-2</c:v>
                </c:pt>
                <c:pt idx="2336">
                  <c:v>2.1194080126350788E-2</c:v>
                </c:pt>
                <c:pt idx="2337">
                  <c:v>2.1191869273919989E-2</c:v>
                </c:pt>
                <c:pt idx="2338">
                  <c:v>2.1189598114384388E-2</c:v>
                </c:pt>
                <c:pt idx="2339">
                  <c:v>2.1187266647949968E-2</c:v>
                </c:pt>
                <c:pt idx="2340">
                  <c:v>2.1185304127018939E-2</c:v>
                </c:pt>
                <c:pt idx="2341">
                  <c:v>2.1182847596074812E-2</c:v>
                </c:pt>
                <c:pt idx="2342">
                  <c:v>2.1180330755384856E-2</c:v>
                </c:pt>
                <c:pt idx="2343">
                  <c:v>2.1177753605179265E-2</c:v>
                </c:pt>
                <c:pt idx="2344">
                  <c:v>2.1174323654440483E-2</c:v>
                </c:pt>
                <c:pt idx="2345">
                  <c:v>2.1171621736175535E-2</c:v>
                </c:pt>
                <c:pt idx="2346">
                  <c:v>2.1168859512638603E-2</c:v>
                </c:pt>
                <c:pt idx="2347">
                  <c:v>2.1166036984079154E-2</c:v>
                </c:pt>
                <c:pt idx="2348">
                  <c:v>2.116315415075325E-2</c:v>
                </c:pt>
                <c:pt idx="2349">
                  <c:v>2.1160211012921783E-2</c:v>
                </c:pt>
                <c:pt idx="2350">
                  <c:v>2.1157207570850472E-2</c:v>
                </c:pt>
                <c:pt idx="2351">
                  <c:v>2.1154143824811626E-2</c:v>
                </c:pt>
                <c:pt idx="2352">
                  <c:v>2.1151019775082387E-2</c:v>
                </c:pt>
                <c:pt idx="2353">
                  <c:v>2.1148945587143697E-2</c:v>
                </c:pt>
                <c:pt idx="2354">
                  <c:v>2.114568743789233E-2</c:v>
                </c:pt>
                <c:pt idx="2355">
                  <c:v>2.1142368975399426E-2</c:v>
                </c:pt>
                <c:pt idx="2356">
                  <c:v>2.1138990199970471E-2</c:v>
                </c:pt>
                <c:pt idx="2357">
                  <c:v>2.1135551111916135E-2</c:v>
                </c:pt>
                <c:pt idx="2358">
                  <c:v>2.1132051711553138E-2</c:v>
                </c:pt>
                <c:pt idx="2359">
                  <c:v>2.1128491999203816E-2</c:v>
                </c:pt>
                <c:pt idx="2360">
                  <c:v>2.112210490043815E-2</c:v>
                </c:pt>
                <c:pt idx="2361">
                  <c:v>2.1121191639859316E-2</c:v>
                </c:pt>
                <c:pt idx="2362">
                  <c:v>2.1115502306190127E-2</c:v>
                </c:pt>
                <c:pt idx="2363">
                  <c:v>2.1111680032732383E-2</c:v>
                </c:pt>
                <c:pt idx="2364">
                  <c:v>2.110779745258326E-2</c:v>
                </c:pt>
                <c:pt idx="2365">
                  <c:v>2.1103854566098559E-2</c:v>
                </c:pt>
                <c:pt idx="2366">
                  <c:v>2.1099542004801058E-2</c:v>
                </c:pt>
                <c:pt idx="2367">
                  <c:v>2.1095483050836427E-2</c:v>
                </c:pt>
                <c:pt idx="2368">
                  <c:v>2.1091363795075018E-2</c:v>
                </c:pt>
                <c:pt idx="2369">
                  <c:v>2.1087184237892919E-2</c:v>
                </c:pt>
                <c:pt idx="2370">
                  <c:v>2.1083526299122374E-2</c:v>
                </c:pt>
                <c:pt idx="2371">
                  <c:v>2.1078930834711997E-2</c:v>
                </c:pt>
                <c:pt idx="2372">
                  <c:v>2.1074565814282537E-2</c:v>
                </c:pt>
                <c:pt idx="2373">
                  <c:v>2.1070140490556812E-2</c:v>
                </c:pt>
                <c:pt idx="2374">
                  <c:v>2.1065654863940145E-2</c:v>
                </c:pt>
                <c:pt idx="2375">
                  <c:v>2.1061108934843076E-2</c:v>
                </c:pt>
                <c:pt idx="2376">
                  <c:v>2.1056502703680927E-2</c:v>
                </c:pt>
                <c:pt idx="2377">
                  <c:v>2.10518361708751E-2</c:v>
                </c:pt>
                <c:pt idx="2378">
                  <c:v>2.1047109336853078E-2</c:v>
                </c:pt>
                <c:pt idx="2379">
                  <c:v>2.1041821717960058E-2</c:v>
                </c:pt>
                <c:pt idx="2380">
                  <c:v>2.1036983459593362E-2</c:v>
                </c:pt>
                <c:pt idx="2381">
                  <c:v>2.1032084908138786E-2</c:v>
                </c:pt>
                <c:pt idx="2382">
                  <c:v>2.1027126064039482E-2</c:v>
                </c:pt>
                <c:pt idx="2383">
                  <c:v>2.1022106927744769E-2</c:v>
                </c:pt>
                <c:pt idx="2384">
                  <c:v>2.1017254981295138E-2</c:v>
                </c:pt>
                <c:pt idx="2385">
                  <c:v>2.1011887780389191E-2</c:v>
                </c:pt>
                <c:pt idx="2386">
                  <c:v>2.1006687770253735E-2</c:v>
                </c:pt>
                <c:pt idx="2387">
                  <c:v>2.100142746977194E-2</c:v>
                </c:pt>
                <c:pt idx="2388">
                  <c:v>2.0996106879420346E-2</c:v>
                </c:pt>
                <c:pt idx="2389">
                  <c:v>2.0990725999679005E-2</c:v>
                </c:pt>
                <c:pt idx="2390">
                  <c:v>2.0985284831036323E-2</c:v>
                </c:pt>
                <c:pt idx="2391">
                  <c:v>2.097978337398421E-2</c:v>
                </c:pt>
                <c:pt idx="2392">
                  <c:v>2.0974221629020292E-2</c:v>
                </c:pt>
                <c:pt idx="2393">
                  <c:v>2.0968599596648339E-2</c:v>
                </c:pt>
                <c:pt idx="2394">
                  <c:v>2.0962917277376522E-2</c:v>
                </c:pt>
                <c:pt idx="2395">
                  <c:v>2.0957174671719148E-2</c:v>
                </c:pt>
                <c:pt idx="2396">
                  <c:v>2.0950366104201552E-2</c:v>
                </c:pt>
                <c:pt idx="2397">
                  <c:v>2.0944498960825331E-2</c:v>
                </c:pt>
                <c:pt idx="2398">
                  <c:v>2.0938571536070549E-2</c:v>
                </c:pt>
                <c:pt idx="2399">
                  <c:v>2.0932583830469816E-2</c:v>
                </c:pt>
                <c:pt idx="2400">
                  <c:v>2.0926535844561486E-2</c:v>
                </c:pt>
                <c:pt idx="2401">
                  <c:v>2.0920427578890979E-2</c:v>
                </c:pt>
                <c:pt idx="2402">
                  <c:v>2.0914259034008134E-2</c:v>
                </c:pt>
                <c:pt idx="2403">
                  <c:v>2.090803021046676E-2</c:v>
                </c:pt>
                <c:pt idx="2404">
                  <c:v>2.0901741108827292E-2</c:v>
                </c:pt>
                <c:pt idx="2405">
                  <c:v>2.0895779921767992E-2</c:v>
                </c:pt>
                <c:pt idx="2406">
                  <c:v>2.0889356237032555E-2</c:v>
                </c:pt>
                <c:pt idx="2407">
                  <c:v>2.0882872265945551E-2</c:v>
                </c:pt>
                <c:pt idx="2408">
                  <c:v>2.0876328009099991E-2</c:v>
                </c:pt>
                <c:pt idx="2409">
                  <c:v>2.086961323812386E-2</c:v>
                </c:pt>
                <c:pt idx="2410">
                  <c:v>2.0861039133380506E-2</c:v>
                </c:pt>
                <c:pt idx="2411">
                  <c:v>2.0854301493222798E-2</c:v>
                </c:pt>
                <c:pt idx="2412">
                  <c:v>2.0847503573213598E-2</c:v>
                </c:pt>
                <c:pt idx="2413">
                  <c:v>2.0839839132585032E-2</c:v>
                </c:pt>
                <c:pt idx="2414">
                  <c:v>2.0833981762040009E-2</c:v>
                </c:pt>
                <c:pt idx="2415">
                  <c:v>2.0826988882497489E-2</c:v>
                </c:pt>
                <c:pt idx="2416">
                  <c:v>2.0819935715749204E-2</c:v>
                </c:pt>
                <c:pt idx="2417">
                  <c:v>2.0812609797242646E-2</c:v>
                </c:pt>
                <c:pt idx="2418">
                  <c:v>2.0805450211308259E-2</c:v>
                </c:pt>
                <c:pt idx="2419">
                  <c:v>2.0798230349967785E-2</c:v>
                </c:pt>
                <c:pt idx="2420">
                  <c:v>2.0790950213878185E-2</c:v>
                </c:pt>
                <c:pt idx="2421">
                  <c:v>2.0783765596950627E-2</c:v>
                </c:pt>
                <c:pt idx="2422">
                  <c:v>2.0776350720862011E-2</c:v>
                </c:pt>
                <c:pt idx="2423">
                  <c:v>2.0768875562250769E-2</c:v>
                </c:pt>
                <c:pt idx="2424">
                  <c:v>2.0761340121807526E-2</c:v>
                </c:pt>
                <c:pt idx="2425">
                  <c:v>2.0753744400230222E-2</c:v>
                </c:pt>
                <c:pt idx="2426">
                  <c:v>2.0746003665079289E-2</c:v>
                </c:pt>
                <c:pt idx="2427">
                  <c:v>2.0738372116487516E-2</c:v>
                </c:pt>
                <c:pt idx="2428">
                  <c:v>2.0730595555742484E-2</c:v>
                </c:pt>
                <c:pt idx="2429">
                  <c:v>2.0722758716707135E-2</c:v>
                </c:pt>
                <c:pt idx="2430">
                  <c:v>2.0714833890201848E-2</c:v>
                </c:pt>
                <c:pt idx="2431">
                  <c:v>2.0706879550005275E-2</c:v>
                </c:pt>
                <c:pt idx="2432">
                  <c:v>2.0698885694174739E-2</c:v>
                </c:pt>
                <c:pt idx="2433">
                  <c:v>2.0690831579068175E-2</c:v>
                </c:pt>
                <c:pt idx="2434">
                  <c:v>2.0682717205408992E-2</c:v>
                </c:pt>
                <c:pt idx="2435">
                  <c:v>2.0674529348282022E-2</c:v>
                </c:pt>
                <c:pt idx="2436">
                  <c:v>2.0666289685108287E-2</c:v>
                </c:pt>
                <c:pt idx="2437">
                  <c:v>2.0657989762389941E-2</c:v>
                </c:pt>
                <c:pt idx="2438">
                  <c:v>2.0649629580879354E-2</c:v>
                </c:pt>
                <c:pt idx="2439">
                  <c:v>2.0641209141330212E-2</c:v>
                </c:pt>
                <c:pt idx="2440">
                  <c:v>2.0632765575143954E-2</c:v>
                </c:pt>
                <c:pt idx="2441">
                  <c:v>2.0624229412372845E-2</c:v>
                </c:pt>
                <c:pt idx="2442">
                  <c:v>2.0615632997043436E-2</c:v>
                </c:pt>
                <c:pt idx="2443">
                  <c:v>2.0606976329928584E-2</c:v>
                </c:pt>
                <c:pt idx="2444">
                  <c:v>2.0598203099891851E-2</c:v>
                </c:pt>
                <c:pt idx="2445">
                  <c:v>2.0589421128312895E-2</c:v>
                </c:pt>
                <c:pt idx="2446">
                  <c:v>2.0580578904144213E-2</c:v>
                </c:pt>
                <c:pt idx="2447">
                  <c:v>2.0566562247554966E-2</c:v>
                </c:pt>
                <c:pt idx="2448">
                  <c:v>2.0561504624858114E-2</c:v>
                </c:pt>
                <c:pt idx="2449">
                  <c:v>2.0553771083761323E-2</c:v>
                </c:pt>
                <c:pt idx="2450">
                  <c:v>2.0544692676267722E-2</c:v>
                </c:pt>
                <c:pt idx="2451">
                  <c:v>2.053555402337208E-2</c:v>
                </c:pt>
                <c:pt idx="2452">
                  <c:v>2.0526355125898055E-2</c:v>
                </c:pt>
                <c:pt idx="2453">
                  <c:v>2.0517095984672384E-2</c:v>
                </c:pt>
                <c:pt idx="2454">
                  <c:v>2.0507776600527994E-2</c:v>
                </c:pt>
                <c:pt idx="2455">
                  <c:v>2.0498396974304875E-2</c:v>
                </c:pt>
                <c:pt idx="2456">
                  <c:v>2.0488957106845666E-2</c:v>
                </c:pt>
                <c:pt idx="2457">
                  <c:v>2.0478857332284276E-2</c:v>
                </c:pt>
                <c:pt idx="2458">
                  <c:v>2.0469272760655872E-2</c:v>
                </c:pt>
                <c:pt idx="2459">
                  <c:v>2.0459627934900186E-2</c:v>
                </c:pt>
                <c:pt idx="2460">
                  <c:v>2.0449922855908555E-2</c:v>
                </c:pt>
                <c:pt idx="2461">
                  <c:v>2.0440576925851685E-2</c:v>
                </c:pt>
                <c:pt idx="2462">
                  <c:v>2.0430765916058254E-2</c:v>
                </c:pt>
                <c:pt idx="2463">
                  <c:v>2.0420894664946437E-2</c:v>
                </c:pt>
                <c:pt idx="2464">
                  <c:v>2.0410963173414755E-2</c:v>
                </c:pt>
                <c:pt idx="2465">
                  <c:v>2.0400971442366966E-2</c:v>
                </c:pt>
                <c:pt idx="2466">
                  <c:v>2.0390427526717561E-2</c:v>
                </c:pt>
                <c:pt idx="2467">
                  <c:v>2.0380304479615911E-2</c:v>
                </c:pt>
                <c:pt idx="2468">
                  <c:v>2.0370128477666876E-2</c:v>
                </c:pt>
                <c:pt idx="2469">
                  <c:v>2.035990344764935E-2</c:v>
                </c:pt>
                <c:pt idx="2470">
                  <c:v>2.035016697898057E-2</c:v>
                </c:pt>
                <c:pt idx="2471">
                  <c:v>2.0339862451388267E-2</c:v>
                </c:pt>
                <c:pt idx="2472">
                  <c:v>2.0329519347973214E-2</c:v>
                </c:pt>
                <c:pt idx="2473">
                  <c:v>2.0318591579722798E-2</c:v>
                </c:pt>
                <c:pt idx="2474">
                  <c:v>2.0308180308283422E-2</c:v>
                </c:pt>
                <c:pt idx="2475">
                  <c:v>2.0297743567778047E-2</c:v>
                </c:pt>
                <c:pt idx="2476">
                  <c:v>2.0287285284422585E-2</c:v>
                </c:pt>
                <c:pt idx="2477">
                  <c:v>2.0276809384347862E-2</c:v>
                </c:pt>
                <c:pt idx="2478">
                  <c:v>2.0266874078603454E-2</c:v>
                </c:pt>
                <c:pt idx="2479">
                  <c:v>2.0255820438148733E-2</c:v>
                </c:pt>
                <c:pt idx="2480">
                  <c:v>2.0245315243869525E-2</c:v>
                </c:pt>
                <c:pt idx="2481">
                  <c:v>2.0234808136558438E-2</c:v>
                </c:pt>
                <c:pt idx="2482">
                  <c:v>2.022484443871438E-2</c:v>
                </c:pt>
                <c:pt idx="2483">
                  <c:v>2.0214699023081869E-2</c:v>
                </c:pt>
                <c:pt idx="2484">
                  <c:v>2.0204200585795067E-2</c:v>
                </c:pt>
                <c:pt idx="2485">
                  <c:v>2.0193715096285477E-2</c:v>
                </c:pt>
                <c:pt idx="2486">
                  <c:v>2.0183246587270692E-2</c:v>
                </c:pt>
                <c:pt idx="2487">
                  <c:v>2.0172627834541511E-2</c:v>
                </c:pt>
                <c:pt idx="2488">
                  <c:v>2.0162207752793287E-2</c:v>
                </c:pt>
                <c:pt idx="2489">
                  <c:v>2.0151816833379153E-2</c:v>
                </c:pt>
                <c:pt idx="2490">
                  <c:v>2.0141459086746021E-2</c:v>
                </c:pt>
                <c:pt idx="2491">
                  <c:v>2.0131138523256927E-2</c:v>
                </c:pt>
                <c:pt idx="2492">
                  <c:v>2.0121017929647607E-2</c:v>
                </c:pt>
                <c:pt idx="2493">
                  <c:v>2.0110779780398557E-2</c:v>
                </c:pt>
                <c:pt idx="2494">
                  <c:v>2.010058568546462E-2</c:v>
                </c:pt>
                <c:pt idx="2495">
                  <c:v>2.0090435644176275E-2</c:v>
                </c:pt>
                <c:pt idx="2496">
                  <c:v>2.0080181190577757E-2</c:v>
                </c:pt>
                <c:pt idx="2497">
                  <c:v>2.0070121842970995E-2</c:v>
                </c:pt>
                <c:pt idx="2498">
                  <c:v>2.006010654969145E-2</c:v>
                </c:pt>
                <c:pt idx="2499">
                  <c:v>2.0050135310075479E-2</c:v>
                </c:pt>
                <c:pt idx="2500">
                  <c:v>2.00403462191606E-2</c:v>
                </c:pt>
                <c:pt idx="2501">
                  <c:v>2.0030460485833408E-2</c:v>
                </c:pt>
                <c:pt idx="2502">
                  <c:v>2.0020618801542902E-2</c:v>
                </c:pt>
                <c:pt idx="2503">
                  <c:v>2.0010821165640756E-2</c:v>
                </c:pt>
                <c:pt idx="2504">
                  <c:v>2.0001067577482629E-2</c:v>
                </c:pt>
                <c:pt idx="2505">
                  <c:v>1.9991358036429468E-2</c:v>
                </c:pt>
                <c:pt idx="2506">
                  <c:v>1.9981692541841348E-2</c:v>
                </c:pt>
                <c:pt idx="2507">
                  <c:v>1.9972071093083636E-2</c:v>
                </c:pt>
                <c:pt idx="2508">
                  <c:v>1.9962493689523467E-2</c:v>
                </c:pt>
                <c:pt idx="2509">
                  <c:v>1.9952389752044684E-2</c:v>
                </c:pt>
                <c:pt idx="2510">
                  <c:v>1.9942913554908456E-2</c:v>
                </c:pt>
                <c:pt idx="2511">
                  <c:v>1.9933481414236939E-2</c:v>
                </c:pt>
                <c:pt idx="2512">
                  <c:v>1.9924093329393655E-2</c:v>
                </c:pt>
                <c:pt idx="2513">
                  <c:v>1.9915059372921557E-2</c:v>
                </c:pt>
                <c:pt idx="2514">
                  <c:v>1.990575149454793E-2</c:v>
                </c:pt>
                <c:pt idx="2515">
                  <c:v>1.9896487662260421E-2</c:v>
                </c:pt>
                <c:pt idx="2516">
                  <c:v>1.9887267875443138E-2</c:v>
                </c:pt>
                <c:pt idx="2517">
                  <c:v>1.9878092133483672E-2</c:v>
                </c:pt>
                <c:pt idx="2518">
                  <c:v>1.9868689957411007E-2</c:v>
                </c:pt>
                <c:pt idx="2519">
                  <c:v>1.9859610245772971E-2</c:v>
                </c:pt>
                <c:pt idx="2520">
                  <c:v>1.9850574584973184E-2</c:v>
                </c:pt>
                <c:pt idx="2521">
                  <c:v>1.9841582974401379E-2</c:v>
                </c:pt>
                <c:pt idx="2522">
                  <c:v>1.9832874075311539E-2</c:v>
                </c:pt>
                <c:pt idx="2523">
                  <c:v>1.9823962589796122E-2</c:v>
                </c:pt>
                <c:pt idx="2524">
                  <c:v>1.9815095144930298E-2</c:v>
                </c:pt>
                <c:pt idx="2525">
                  <c:v>1.9806271740126568E-2</c:v>
                </c:pt>
                <c:pt idx="2526">
                  <c:v>1.9797285653807381E-2</c:v>
                </c:pt>
                <c:pt idx="2527">
                  <c:v>1.9788558331953796E-2</c:v>
                </c:pt>
                <c:pt idx="2528">
                  <c:v>1.9779875056139287E-2</c:v>
                </c:pt>
                <c:pt idx="2529">
                  <c:v>1.9771235825776366E-2</c:v>
                </c:pt>
                <c:pt idx="2530">
                  <c:v>1.976264064028356E-2</c:v>
                </c:pt>
                <c:pt idx="2531">
                  <c:v>1.9754089499079829E-2</c:v>
                </c:pt>
                <c:pt idx="2532">
                  <c:v>1.9745582401586713E-2</c:v>
                </c:pt>
                <c:pt idx="2533">
                  <c:v>1.9737119347230478E-2</c:v>
                </c:pt>
                <c:pt idx="2534">
                  <c:v>1.9728700335439536E-2</c:v>
                </c:pt>
                <c:pt idx="2535">
                  <c:v>1.9720505079654824E-2</c:v>
                </c:pt>
                <c:pt idx="2536">
                  <c:v>1.9712163386885764E-2</c:v>
                </c:pt>
                <c:pt idx="2537">
                  <c:v>1.9703865724785923E-2</c:v>
                </c:pt>
                <c:pt idx="2538">
                  <c:v>1.9695612092805417E-2</c:v>
                </c:pt>
                <c:pt idx="2539">
                  <c:v>1.9687402490400498E-2</c:v>
                </c:pt>
                <c:pt idx="2540">
                  <c:v>1.9679205083723617E-2</c:v>
                </c:pt>
                <c:pt idx="2541">
                  <c:v>1.9671086242155179E-2</c:v>
                </c:pt>
                <c:pt idx="2542">
                  <c:v>1.9663011431079219E-2</c:v>
                </c:pt>
                <c:pt idx="2543">
                  <c:v>1.9654980649958458E-2</c:v>
                </c:pt>
                <c:pt idx="2544">
                  <c:v>1.9647014903108832E-2</c:v>
                </c:pt>
                <c:pt idx="2545">
                  <c:v>1.9639069466860556E-2</c:v>
                </c:pt>
                <c:pt idx="2546">
                  <c:v>1.963116805645064E-2</c:v>
                </c:pt>
                <c:pt idx="2547">
                  <c:v>1.9623310671356864E-2</c:v>
                </c:pt>
                <c:pt idx="2548">
                  <c:v>1.9615487175114354E-2</c:v>
                </c:pt>
                <c:pt idx="2549">
                  <c:v>1.9607720562624168E-2</c:v>
                </c:pt>
                <c:pt idx="2550">
                  <c:v>1.9599997976414311E-2</c:v>
                </c:pt>
                <c:pt idx="2551">
                  <c:v>1.9592319415973714E-2</c:v>
                </c:pt>
                <c:pt idx="2552">
                  <c:v>1.9584684880791747E-2</c:v>
                </c:pt>
                <c:pt idx="2553">
                  <c:v>1.9577090863555142E-2</c:v>
                </c:pt>
                <c:pt idx="2554">
                  <c:v>1.9569541641297712E-2</c:v>
                </c:pt>
                <c:pt idx="2555">
                  <c:v>1.9562036440282319E-2</c:v>
                </c:pt>
                <c:pt idx="2556">
                  <c:v>1.9554575260015292E-2</c:v>
                </c:pt>
                <c:pt idx="2557">
                  <c:v>1.9547158100002959E-2</c:v>
                </c:pt>
                <c:pt idx="2558">
                  <c:v>1.9539784959754725E-2</c:v>
                </c:pt>
                <c:pt idx="2559">
                  <c:v>1.9532455838783502E-2</c:v>
                </c:pt>
                <c:pt idx="2560">
                  <c:v>1.9525170736605285E-2</c:v>
                </c:pt>
                <c:pt idx="2561">
                  <c:v>1.9518033099617971E-2</c:v>
                </c:pt>
                <c:pt idx="2562">
                  <c:v>1.9510847059663057E-2</c:v>
                </c:pt>
                <c:pt idx="2563">
                  <c:v>1.9503705046991896E-2</c:v>
                </c:pt>
                <c:pt idx="2564">
                  <c:v>1.9496607061121007E-2</c:v>
                </c:pt>
                <c:pt idx="2565">
                  <c:v>1.9489441995103399E-2</c:v>
                </c:pt>
                <c:pt idx="2566">
                  <c:v>1.948242376160347E-2</c:v>
                </c:pt>
                <c:pt idx="2567">
                  <c:v>1.9475449546059596E-2</c:v>
                </c:pt>
                <c:pt idx="2568">
                  <c:v>1.9468519348008324E-2</c:v>
                </c:pt>
                <c:pt idx="2569">
                  <c:v>1.9461633166989695E-2</c:v>
                </c:pt>
                <c:pt idx="2570">
                  <c:v>1.9454943682082622E-2</c:v>
                </c:pt>
                <c:pt idx="2571">
                  <c:v>1.9448153870563145E-2</c:v>
                </c:pt>
                <c:pt idx="2572">
                  <c:v>1.9441408082093391E-2</c:v>
                </c:pt>
                <c:pt idx="2573">
                  <c:v>1.9434706316217378E-2</c:v>
                </c:pt>
                <c:pt idx="2574">
                  <c:v>1.9427862501469283E-2</c:v>
                </c:pt>
                <c:pt idx="2575">
                  <c:v>1.9421240413138481E-2</c:v>
                </c:pt>
                <c:pt idx="2576">
                  <c:v>1.941466233869879E-2</c:v>
                </c:pt>
                <c:pt idx="2577">
                  <c:v>1.9408128277712964E-2</c:v>
                </c:pt>
                <c:pt idx="2578">
                  <c:v>1.9401638229747251E-2</c:v>
                </c:pt>
                <c:pt idx="2579">
                  <c:v>1.939542017029473E-2</c:v>
                </c:pt>
                <c:pt idx="2580">
                  <c:v>1.9389026550069216E-2</c:v>
                </c:pt>
                <c:pt idx="2581">
                  <c:v>1.9382676948900921E-2</c:v>
                </c:pt>
                <c:pt idx="2582">
                  <c:v>1.9376371366359651E-2</c:v>
                </c:pt>
                <c:pt idx="2583">
                  <c:v>1.9370109802019937E-2</c:v>
                </c:pt>
                <c:pt idx="2584">
                  <c:v>1.9363892255459321E-2</c:v>
                </c:pt>
                <c:pt idx="2585">
                  <c:v>1.9357718726257925E-2</c:v>
                </c:pt>
                <c:pt idx="2586">
                  <c:v>1.9351589213998446E-2</c:v>
                </c:pt>
                <c:pt idx="2587">
                  <c:v>1.9345012742026015E-2</c:v>
                </c:pt>
                <c:pt idx="2588">
                  <c:v>1.9338957161750561E-2</c:v>
                </c:pt>
                <c:pt idx="2589">
                  <c:v>1.9332945585063946E-2</c:v>
                </c:pt>
                <c:pt idx="2590">
                  <c:v>1.9326978011570465E-2</c:v>
                </c:pt>
                <c:pt idx="2591">
                  <c:v>1.9321054440877505E-2</c:v>
                </c:pt>
                <c:pt idx="2592">
                  <c:v>1.9315286643613747E-2</c:v>
                </c:pt>
                <c:pt idx="2593">
                  <c:v>1.9309453908933009E-2</c:v>
                </c:pt>
                <c:pt idx="2594">
                  <c:v>1.9303665178308931E-2</c:v>
                </c:pt>
                <c:pt idx="2595">
                  <c:v>1.9297920451359408E-2</c:v>
                </c:pt>
                <c:pt idx="2596">
                  <c:v>1.9292096615912177E-2</c:v>
                </c:pt>
                <c:pt idx="2597">
                  <c:v>1.9286437053954088E-2</c:v>
                </c:pt>
                <c:pt idx="2598">
                  <c:v>1.9280821492133456E-2</c:v>
                </c:pt>
                <c:pt idx="2599">
                  <c:v>1.9275249930080632E-2</c:v>
                </c:pt>
                <c:pt idx="2600">
                  <c:v>1.9269856858541459E-2</c:v>
                </c:pt>
                <c:pt idx="2601">
                  <c:v>1.9264376145768168E-2</c:v>
                </c:pt>
                <c:pt idx="2602">
                  <c:v>1.9258939434072826E-2</c:v>
                </c:pt>
                <c:pt idx="2603">
                  <c:v>1.9253546723096152E-2</c:v>
                </c:pt>
                <c:pt idx="2604">
                  <c:v>1.9247437502812211E-2</c:v>
                </c:pt>
                <c:pt idx="2605">
                  <c:v>1.924198989978387E-2</c:v>
                </c:pt>
                <c:pt idx="2606">
                  <c:v>1.9236732611314113E-2</c:v>
                </c:pt>
                <c:pt idx="2607">
                  <c:v>1.9231519319715035E-2</c:v>
                </c:pt>
                <c:pt idx="2608">
                  <c:v>1.9226350024645251E-2</c:v>
                </c:pt>
                <c:pt idx="2609">
                  <c:v>1.9221224725763372E-2</c:v>
                </c:pt>
                <c:pt idx="2610">
                  <c:v>1.9216143422732878E-2</c:v>
                </c:pt>
                <c:pt idx="2611">
                  <c:v>1.9211106115221213E-2</c:v>
                </c:pt>
                <c:pt idx="2612">
                  <c:v>1.9206112802896268E-2</c:v>
                </c:pt>
                <c:pt idx="2613">
                  <c:v>1.9201853775327019E-2</c:v>
                </c:pt>
                <c:pt idx="2614">
                  <c:v>1.9196959983318416E-2</c:v>
                </c:pt>
                <c:pt idx="2615">
                  <c:v>1.9192110195031128E-2</c:v>
                </c:pt>
                <c:pt idx="2616">
                  <c:v>1.9187304410138929E-2</c:v>
                </c:pt>
                <c:pt idx="2617">
                  <c:v>1.9181989851160632E-2</c:v>
                </c:pt>
                <c:pt idx="2618">
                  <c:v>1.9177824849251748E-2</c:v>
                </c:pt>
                <c:pt idx="2619">
                  <c:v>1.9173151072620305E-2</c:v>
                </c:pt>
                <c:pt idx="2620">
                  <c:v>1.9165505984785551E-2</c:v>
                </c:pt>
                <c:pt idx="2621">
                  <c:v>1.916393552541237E-2</c:v>
                </c:pt>
                <c:pt idx="2622">
                  <c:v>1.9159393754216696E-2</c:v>
                </c:pt>
                <c:pt idx="2623">
                  <c:v>1.9154895984218955E-2</c:v>
                </c:pt>
                <c:pt idx="2624">
                  <c:v>1.9150442215117108E-2</c:v>
                </c:pt>
                <c:pt idx="2625">
                  <c:v>1.9146032446611731E-2</c:v>
                </c:pt>
                <c:pt idx="2626">
                  <c:v>1.9141666678407696E-2</c:v>
                </c:pt>
                <c:pt idx="2627">
                  <c:v>1.9137344910209898E-2</c:v>
                </c:pt>
                <c:pt idx="2628">
                  <c:v>1.9133067141729698E-2</c:v>
                </c:pt>
                <c:pt idx="2629">
                  <c:v>1.9128833372678896E-2</c:v>
                </c:pt>
                <c:pt idx="2630">
                  <c:v>1.9124643602773609E-2</c:v>
                </c:pt>
                <c:pt idx="2631">
                  <c:v>1.9120497831732551E-2</c:v>
                </c:pt>
                <c:pt idx="2632">
                  <c:v>1.9116396059277022E-2</c:v>
                </c:pt>
                <c:pt idx="2633">
                  <c:v>1.9112338285130925E-2</c:v>
                </c:pt>
                <c:pt idx="2634">
                  <c:v>1.9108324509022903E-2</c:v>
                </c:pt>
                <c:pt idx="2635">
                  <c:v>1.9104354730682473E-2</c:v>
                </c:pt>
                <c:pt idx="2636">
                  <c:v>1.910042894984347E-2</c:v>
                </c:pt>
                <c:pt idx="2637">
                  <c:v>1.9096547166242751E-2</c:v>
                </c:pt>
                <c:pt idx="2638">
                  <c:v>1.9092709379618471E-2</c:v>
                </c:pt>
                <c:pt idx="2639">
                  <c:v>1.9087922420510484E-2</c:v>
                </c:pt>
                <c:pt idx="2640">
                  <c:v>1.9084160850767945E-2</c:v>
                </c:pt>
                <c:pt idx="2641">
                  <c:v>1.9080443267871394E-2</c:v>
                </c:pt>
                <c:pt idx="2642">
                  <c:v>1.9076769671575285E-2</c:v>
                </c:pt>
                <c:pt idx="2643">
                  <c:v>1.9073399707397951E-2</c:v>
                </c:pt>
                <c:pt idx="2644">
                  <c:v>1.90698170365316E-2</c:v>
                </c:pt>
                <c:pt idx="2645">
                  <c:v>1.9067343489109337E-2</c:v>
                </c:pt>
                <c:pt idx="2646">
                  <c:v>1.9062783659233008E-2</c:v>
                </c:pt>
                <c:pt idx="2647">
                  <c:v>1.9059332952336083E-2</c:v>
                </c:pt>
                <c:pt idx="2648">
                  <c:v>1.9055651799104453E-2</c:v>
                </c:pt>
                <c:pt idx="2649">
                  <c:v>1.9052286102418679E-2</c:v>
                </c:pt>
                <c:pt idx="2650">
                  <c:v>1.9048964390483335E-2</c:v>
                </c:pt>
                <c:pt idx="2651">
                  <c:v>1.904568666308069E-2</c:v>
                </c:pt>
                <c:pt idx="2652">
                  <c:v>1.9042739226347638E-2</c:v>
                </c:pt>
                <c:pt idx="2653">
                  <c:v>1.9039552441314417E-2</c:v>
                </c:pt>
                <c:pt idx="2654">
                  <c:v>1.903640964250377E-2</c:v>
                </c:pt>
                <c:pt idx="2655">
                  <c:v>1.9033310829709271E-2</c:v>
                </c:pt>
                <c:pt idx="2656">
                  <c:v>1.9028062659656484E-2</c:v>
                </c:pt>
                <c:pt idx="2657">
                  <c:v>1.9025968265694009E-2</c:v>
                </c:pt>
                <c:pt idx="2658">
                  <c:v>1.9023020260558618E-2</c:v>
                </c:pt>
                <c:pt idx="2659">
                  <c:v>1.9020116240555249E-2</c:v>
                </c:pt>
                <c:pt idx="2660">
                  <c:v>1.9017256205490208E-2</c:v>
                </c:pt>
                <c:pt idx="2661">
                  <c:v>1.9014440155175075E-2</c:v>
                </c:pt>
                <c:pt idx="2662">
                  <c:v>1.9011668089424501E-2</c:v>
                </c:pt>
                <c:pt idx="2663">
                  <c:v>1.9008940008054465E-2</c:v>
                </c:pt>
                <c:pt idx="2664">
                  <c:v>1.9006255910885325E-2</c:v>
                </c:pt>
                <c:pt idx="2665">
                  <c:v>1.9004269565722067E-2</c:v>
                </c:pt>
                <c:pt idx="2666">
                  <c:v>1.9001679447672028E-2</c:v>
                </c:pt>
                <c:pt idx="2667">
                  <c:v>1.8999133317933244E-2</c:v>
                </c:pt>
                <c:pt idx="2668">
                  <c:v>1.8996631176334981E-2</c:v>
                </c:pt>
                <c:pt idx="2669">
                  <c:v>1.8993833952401354E-2</c:v>
                </c:pt>
                <c:pt idx="2670">
                  <c:v>1.8991416771537581E-2</c:v>
                </c:pt>
                <c:pt idx="2671">
                  <c:v>1.898837359905985E-2</c:v>
                </c:pt>
                <c:pt idx="2672">
                  <c:v>1.8986714365656063E-2</c:v>
                </c:pt>
                <c:pt idx="2673">
                  <c:v>1.8984429140325131E-2</c:v>
                </c:pt>
                <c:pt idx="2674">
                  <c:v>1.8982542068550625E-2</c:v>
                </c:pt>
                <c:pt idx="2675">
                  <c:v>1.8980347839423099E-2</c:v>
                </c:pt>
                <c:pt idx="2676">
                  <c:v>1.8978197597181445E-2</c:v>
                </c:pt>
                <c:pt idx="2677">
                  <c:v>1.8976091341683172E-2</c:v>
                </c:pt>
                <c:pt idx="2678">
                  <c:v>1.8973662783788779E-2</c:v>
                </c:pt>
                <c:pt idx="2679">
                  <c:v>1.8971641465503133E-2</c:v>
                </c:pt>
                <c:pt idx="2680">
                  <c:v>1.8969664131238722E-2</c:v>
                </c:pt>
                <c:pt idx="2681">
                  <c:v>1.8967730780863626E-2</c:v>
                </c:pt>
                <c:pt idx="2682">
                  <c:v>1.8966598610880826E-2</c:v>
                </c:pt>
                <c:pt idx="2683">
                  <c:v>1.8964377522609321E-2</c:v>
                </c:pt>
                <c:pt idx="2684">
                  <c:v>1.8962579170532935E-2</c:v>
                </c:pt>
                <c:pt idx="2685">
                  <c:v>1.8960824804155983E-2</c:v>
                </c:pt>
                <c:pt idx="2686">
                  <c:v>1.8959114423360728E-2</c:v>
                </c:pt>
                <c:pt idx="2687">
                  <c:v>1.8957448028033348E-2</c:v>
                </c:pt>
                <c:pt idx="2688">
                  <c:v>1.8955825618062631E-2</c:v>
                </c:pt>
                <c:pt idx="2689">
                  <c:v>1.8954247193339966E-2</c:v>
                </c:pt>
                <c:pt idx="2690">
                  <c:v>1.8952712753759784E-2</c:v>
                </c:pt>
                <c:pt idx="2691">
                  <c:v>1.8950410736188427E-2</c:v>
                </c:pt>
                <c:pt idx="2692">
                  <c:v>1.8948958135256141E-2</c:v>
                </c:pt>
                <c:pt idx="2693">
                  <c:v>1.8947549514562206E-2</c:v>
                </c:pt>
                <c:pt idx="2694">
                  <c:v>1.8946184874012194E-2</c:v>
                </c:pt>
                <c:pt idx="2695">
                  <c:v>1.8943195680189009E-2</c:v>
                </c:pt>
                <c:pt idx="2696">
                  <c:v>1.8943587532988179E-2</c:v>
                </c:pt>
                <c:pt idx="2697">
                  <c:v>1.8942354832343324E-2</c:v>
                </c:pt>
                <c:pt idx="2698">
                  <c:v>1.8941166111499368E-2</c:v>
                </c:pt>
                <c:pt idx="2699">
                  <c:v>1.8940021370378129E-2</c:v>
                </c:pt>
                <c:pt idx="2700">
                  <c:v>1.8938920608904512E-2</c:v>
                </c:pt>
                <c:pt idx="2701">
                  <c:v>1.8937863827005158E-2</c:v>
                </c:pt>
                <c:pt idx="2702">
                  <c:v>1.8936851024610242E-2</c:v>
                </c:pt>
                <c:pt idx="2703">
                  <c:v>1.8935882201652997E-2</c:v>
                </c:pt>
                <c:pt idx="2704">
                  <c:v>1.8934957358070183E-2</c:v>
                </c:pt>
                <c:pt idx="2705">
                  <c:v>1.8934076493798548E-2</c:v>
                </c:pt>
                <c:pt idx="2706">
                  <c:v>1.8933239608782317E-2</c:v>
                </c:pt>
                <c:pt idx="2707">
                  <c:v>1.8932446702965709E-2</c:v>
                </c:pt>
                <c:pt idx="2708">
                  <c:v>1.8931136191431042E-2</c:v>
                </c:pt>
                <c:pt idx="2709">
                  <c:v>1.8930434421954037E-2</c:v>
                </c:pt>
                <c:pt idx="2710">
                  <c:v>1.892977662922193E-2</c:v>
                </c:pt>
                <c:pt idx="2711">
                  <c:v>1.8929162813190556E-2</c:v>
                </c:pt>
                <c:pt idx="2712">
                  <c:v>1.8928592973820171E-2</c:v>
                </c:pt>
                <c:pt idx="2713">
                  <c:v>1.892806711107279E-2</c:v>
                </c:pt>
                <c:pt idx="2714">
                  <c:v>1.892758522491397E-2</c:v>
                </c:pt>
                <c:pt idx="2715">
                  <c:v>1.8927147315312792E-2</c:v>
                </c:pt>
                <c:pt idx="2716">
                  <c:v>1.8926753382239668E-2</c:v>
                </c:pt>
                <c:pt idx="2717">
                  <c:v>1.892786300193787E-2</c:v>
                </c:pt>
                <c:pt idx="2718">
                  <c:v>1.8927566398814068E-2</c:v>
                </c:pt>
                <c:pt idx="2719">
                  <c:v>1.8927313779051134E-2</c:v>
                </c:pt>
                <c:pt idx="2720">
                  <c:v>1.8927105142631254E-2</c:v>
                </c:pt>
                <c:pt idx="2721">
                  <c:v>1.8926401270158908E-2</c:v>
                </c:pt>
                <c:pt idx="2722">
                  <c:v>1.8926290031204683E-2</c:v>
                </c:pt>
                <c:pt idx="2723">
                  <c:v>1.8926222773257714E-2</c:v>
                </c:pt>
                <c:pt idx="2724">
                  <c:v>1.8926199496314498E-2</c:v>
                </c:pt>
                <c:pt idx="2725">
                  <c:v>1.8927253587824596E-2</c:v>
                </c:pt>
                <c:pt idx="2726">
                  <c:v>1.8927833617493436E-2</c:v>
                </c:pt>
                <c:pt idx="2727">
                  <c:v>1.892795053119968E-2</c:v>
                </c:pt>
                <c:pt idx="2728">
                  <c:v>1.8928108801893006E-2</c:v>
                </c:pt>
                <c:pt idx="2729">
                  <c:v>1.8926733606104338E-2</c:v>
                </c:pt>
                <c:pt idx="2730">
                  <c:v>1.8926962974265521E-2</c:v>
                </c:pt>
                <c:pt idx="2731">
                  <c:v>1.892722963936121E-2</c:v>
                </c:pt>
                <c:pt idx="2732">
                  <c:v>1.8927532041779944E-2</c:v>
                </c:pt>
                <c:pt idx="2733">
                  <c:v>1.8929466795634117E-2</c:v>
                </c:pt>
                <c:pt idx="2734">
                  <c:v>1.8929840979552377E-2</c:v>
                </c:pt>
                <c:pt idx="2735">
                  <c:v>1.8930245777571568E-2</c:v>
                </c:pt>
                <c:pt idx="2736">
                  <c:v>1.8930679654994589E-2</c:v>
                </c:pt>
                <c:pt idx="2737">
                  <c:v>1.8931141077127352E-2</c:v>
                </c:pt>
                <c:pt idx="2738">
                  <c:v>1.8930009601872768E-2</c:v>
                </c:pt>
                <c:pt idx="2739">
                  <c:v>1.8932140416738415E-2</c:v>
                </c:pt>
                <c:pt idx="2740">
                  <c:v>1.8932675264824235E-2</c:v>
                </c:pt>
                <c:pt idx="2741">
                  <c:v>1.8933231518834397E-2</c:v>
                </c:pt>
                <c:pt idx="2742">
                  <c:v>1.8932178504414487E-2</c:v>
                </c:pt>
                <c:pt idx="2743">
                  <c:v>1.8932227518405974E-2</c:v>
                </c:pt>
                <c:pt idx="2744">
                  <c:v>1.8932836558427465E-2</c:v>
                </c:pt>
                <c:pt idx="2745">
                  <c:v>1.8933461127335266E-2</c:v>
                </c:pt>
                <c:pt idx="2746">
                  <c:v>1.8934099657024171E-2</c:v>
                </c:pt>
                <c:pt idx="2747">
                  <c:v>1.8935296021474288E-2</c:v>
                </c:pt>
                <c:pt idx="2748">
                  <c:v>1.8935958113898452E-2</c:v>
                </c:pt>
                <c:pt idx="2749">
                  <c:v>1.8938814279514594E-2</c:v>
                </c:pt>
                <c:pt idx="2750">
                  <c:v>1.893730841078085E-2</c:v>
                </c:pt>
                <c:pt idx="2751">
                  <c:v>1.8937993495986027E-2</c:v>
                </c:pt>
                <c:pt idx="2752">
                  <c:v>1.8938136198183519E-2</c:v>
                </c:pt>
                <c:pt idx="2753">
                  <c:v>1.893882893559469E-2</c:v>
                </c:pt>
                <c:pt idx="2754">
                  <c:v>1.8939524881016419E-2</c:v>
                </c:pt>
                <c:pt idx="2755">
                  <c:v>1.8940224034452665E-2</c:v>
                </c:pt>
                <c:pt idx="2756">
                  <c:v>1.8941474387397204E-2</c:v>
                </c:pt>
                <c:pt idx="2757">
                  <c:v>1.8942180222976914E-2</c:v>
                </c:pt>
                <c:pt idx="2758">
                  <c:v>1.8942889266750553E-2</c:v>
                </c:pt>
                <c:pt idx="2759">
                  <c:v>1.8944009960264938E-2</c:v>
                </c:pt>
                <c:pt idx="2760">
                  <c:v>1.8943870354355383E-2</c:v>
                </c:pt>
                <c:pt idx="2761">
                  <c:v>1.8944486323560258E-2</c:v>
                </c:pt>
                <c:pt idx="2762">
                  <c:v>1.8945207933192085E-2</c:v>
                </c:pt>
                <c:pt idx="2763">
                  <c:v>1.8945932750865219E-2</c:v>
                </c:pt>
                <c:pt idx="2764">
                  <c:v>1.8946660776583611E-2</c:v>
                </c:pt>
                <c:pt idx="2765">
                  <c:v>1.8947392010350776E-2</c:v>
                </c:pt>
                <c:pt idx="2766">
                  <c:v>1.8948126452170665E-2</c:v>
                </c:pt>
                <c:pt idx="2767">
                  <c:v>1.8948864102045913E-2</c:v>
                </c:pt>
                <c:pt idx="2768">
                  <c:v>1.8949604959980472E-2</c:v>
                </c:pt>
                <c:pt idx="2769">
                  <c:v>1.8952555151690389E-2</c:v>
                </c:pt>
                <c:pt idx="2770">
                  <c:v>1.8953303499156963E-2</c:v>
                </c:pt>
                <c:pt idx="2771">
                  <c:v>1.8954055055372933E-2</c:v>
                </c:pt>
                <c:pt idx="2772">
                  <c:v>1.8954809820343026E-2</c:v>
                </c:pt>
                <c:pt idx="2773">
                  <c:v>1.8953909909020794E-2</c:v>
                </c:pt>
                <c:pt idx="2774">
                  <c:v>1.8954670284377355E-2</c:v>
                </c:pt>
                <c:pt idx="2775">
                  <c:v>1.8955433867989431E-2</c:v>
                </c:pt>
                <c:pt idx="2776">
                  <c:v>1.8956200659859212E-2</c:v>
                </c:pt>
                <c:pt idx="2777">
                  <c:v>1.8956970659991502E-2</c:v>
                </c:pt>
                <c:pt idx="2778">
                  <c:v>1.8959405794193127E-2</c:v>
                </c:pt>
                <c:pt idx="2779">
                  <c:v>1.8960183020541782E-2</c:v>
                </c:pt>
                <c:pt idx="2780">
                  <c:v>1.8960963455673788E-2</c:v>
                </c:pt>
                <c:pt idx="2781">
                  <c:v>1.8961747099593435E-2</c:v>
                </c:pt>
                <c:pt idx="2782">
                  <c:v>1.8960868784713748E-2</c:v>
                </c:pt>
                <c:pt idx="2783">
                  <c:v>1.8961658034497092E-2</c:v>
                </c:pt>
                <c:pt idx="2784">
                  <c:v>1.8962450492568714E-2</c:v>
                </c:pt>
                <c:pt idx="2785">
                  <c:v>1.896324615893211E-2</c:v>
                </c:pt>
                <c:pt idx="2786">
                  <c:v>1.8965713451138701E-2</c:v>
                </c:pt>
                <c:pt idx="2787">
                  <c:v>1.896651634786458E-2</c:v>
                </c:pt>
                <c:pt idx="2788">
                  <c:v>1.896732245340475E-2</c:v>
                </c:pt>
                <c:pt idx="2789">
                  <c:v>1.8968131767764365E-2</c:v>
                </c:pt>
                <c:pt idx="2790">
                  <c:v>1.8968944290946435E-2</c:v>
                </c:pt>
                <c:pt idx="2791">
                  <c:v>1.8969760022955685E-2</c:v>
                </c:pt>
                <c:pt idx="2792">
                  <c:v>1.8970578963794699E-2</c:v>
                </c:pt>
                <c:pt idx="2793">
                  <c:v>1.897140111346949E-2</c:v>
                </c:pt>
                <c:pt idx="2794">
                  <c:v>1.8972226471982639E-2</c:v>
                </c:pt>
                <c:pt idx="2795">
                  <c:v>1.8970262334189445E-2</c:v>
                </c:pt>
                <c:pt idx="2796">
                  <c:v>1.8971092746582437E-2</c:v>
                </c:pt>
                <c:pt idx="2797">
                  <c:v>1.8971926366975041E-2</c:v>
                </c:pt>
                <c:pt idx="2798">
                  <c:v>1.8972763195369467E-2</c:v>
                </c:pt>
                <c:pt idx="2799">
                  <c:v>1.8974162773500346E-2</c:v>
                </c:pt>
                <c:pt idx="2800">
                  <c:v>1.8975006291303647E-2</c:v>
                </c:pt>
                <c:pt idx="2801">
                  <c:v>1.8975853017292311E-2</c:v>
                </c:pt>
                <c:pt idx="2802">
                  <c:v>1.8976702951469852E-2</c:v>
                </c:pt>
                <c:pt idx="2803">
                  <c:v>1.8977556093841108E-2</c:v>
                </c:pt>
                <c:pt idx="2804">
                  <c:v>1.8977851534022434E-2</c:v>
                </c:pt>
                <c:pt idx="2805">
                  <c:v>1.8978710818549724E-2</c:v>
                </c:pt>
                <c:pt idx="2806">
                  <c:v>1.8979573311111511E-2</c:v>
                </c:pt>
                <c:pt idx="2807">
                  <c:v>1.8980439011713104E-2</c:v>
                </c:pt>
                <c:pt idx="2808">
                  <c:v>1.8981869928744465E-2</c:v>
                </c:pt>
                <c:pt idx="2809">
                  <c:v>1.8982742320363628E-2</c:v>
                </c:pt>
                <c:pt idx="2810">
                  <c:v>1.8983617920205052E-2</c:v>
                </c:pt>
                <c:pt idx="2811">
                  <c:v>1.8984496728273566E-2</c:v>
                </c:pt>
                <c:pt idx="2812">
                  <c:v>1.8985378744573563E-2</c:v>
                </c:pt>
                <c:pt idx="2813">
                  <c:v>1.8985700584382814E-2</c:v>
                </c:pt>
                <c:pt idx="2814">
                  <c:v>1.8986588741376511E-2</c:v>
                </c:pt>
                <c:pt idx="2815">
                  <c:v>1.8987480106444455E-2</c:v>
                </c:pt>
                <c:pt idx="2816">
                  <c:v>1.8988374679588416E-2</c:v>
                </c:pt>
                <c:pt idx="2817">
                  <c:v>1.8989272460814131E-2</c:v>
                </c:pt>
                <c:pt idx="2818">
                  <c:v>1.8990173450126019E-2</c:v>
                </c:pt>
                <c:pt idx="2819">
                  <c:v>1.8991077647528054E-2</c:v>
                </c:pt>
                <c:pt idx="2820">
                  <c:v>1.8991985053024209E-2</c:v>
                </c:pt>
                <c:pt idx="2821">
                  <c:v>1.8995724108146778E-2</c:v>
                </c:pt>
                <c:pt idx="2822">
                  <c:v>1.8996639315855535E-2</c:v>
                </c:pt>
                <c:pt idx="2823">
                  <c:v>1.899755773252771E-2</c:v>
                </c:pt>
                <c:pt idx="2824">
                  <c:v>1.8998479358166741E-2</c:v>
                </c:pt>
                <c:pt idx="2825">
                  <c:v>1.8997703659202905E-2</c:v>
                </c:pt>
                <c:pt idx="2826">
                  <c:v>1.8998630869050168E-2</c:v>
                </c:pt>
                <c:pt idx="2827">
                  <c:v>1.8999561287365675E-2</c:v>
                </c:pt>
                <c:pt idx="2828">
                  <c:v>1.9000494914152486E-2</c:v>
                </c:pt>
                <c:pt idx="2829">
                  <c:v>1.9001431749416712E-2</c:v>
                </c:pt>
                <c:pt idx="2830">
                  <c:v>1.9004076500579947E-2</c:v>
                </c:pt>
                <c:pt idx="2831">
                  <c:v>1.9005020589121485E-2</c:v>
                </c:pt>
                <c:pt idx="2832">
                  <c:v>1.9005967886666406E-2</c:v>
                </c:pt>
                <c:pt idx="2833">
                  <c:v>1.9006918393221162E-2</c:v>
                </c:pt>
                <c:pt idx="2834">
                  <c:v>1.9006164053045893E-2</c:v>
                </c:pt>
                <c:pt idx="2835">
                  <c:v>1.9007120139265924E-2</c:v>
                </c:pt>
                <c:pt idx="2836">
                  <c:v>1.9008079433994386E-2</c:v>
                </c:pt>
                <c:pt idx="2837">
                  <c:v>1.9009041937236522E-2</c:v>
                </c:pt>
                <c:pt idx="2838">
                  <c:v>1.9010007648996699E-2</c:v>
                </c:pt>
                <c:pt idx="2839">
                  <c:v>1.9012688822002417E-2</c:v>
                </c:pt>
                <c:pt idx="2840">
                  <c:v>1.9013661791752345E-2</c:v>
                </c:pt>
                <c:pt idx="2841">
                  <c:v>1.9014637970549499E-2</c:v>
                </c:pt>
                <c:pt idx="2842">
                  <c:v>1.9015617358398598E-2</c:v>
                </c:pt>
                <c:pt idx="2843">
                  <c:v>1.9016599955303946E-2</c:v>
                </c:pt>
                <c:pt idx="2844">
                  <c:v>1.9017585761270696E-2</c:v>
                </c:pt>
                <c:pt idx="2845">
                  <c:v>1.9018574776304437E-2</c:v>
                </c:pt>
                <c:pt idx="2846">
                  <c:v>1.9019567000408175E-2</c:v>
                </c:pt>
                <c:pt idx="2847">
                  <c:v>1.9017697677398193E-2</c:v>
                </c:pt>
                <c:pt idx="2848">
                  <c:v>1.9018694911362106E-2</c:v>
                </c:pt>
                <c:pt idx="2849">
                  <c:v>1.9019695353553075E-2</c:v>
                </c:pt>
                <c:pt idx="2850">
                  <c:v>1.9020699003974632E-2</c:v>
                </c:pt>
                <c:pt idx="2851">
                  <c:v>1.9021705862634283E-2</c:v>
                </c:pt>
                <c:pt idx="2852">
                  <c:v>1.9023290196554372E-2</c:v>
                </c:pt>
                <c:pt idx="2853">
                  <c:v>1.9024303754164959E-2</c:v>
                </c:pt>
                <c:pt idx="2854">
                  <c:v>1.9025320520198088E-2</c:v>
                </c:pt>
                <c:pt idx="2855">
                  <c:v>1.9026340494659021E-2</c:v>
                </c:pt>
                <c:pt idx="2856">
                  <c:v>1.9026788279644408E-2</c:v>
                </c:pt>
                <c:pt idx="2857">
                  <c:v>1.9027814387823163E-2</c:v>
                </c:pt>
                <c:pt idx="2858">
                  <c:v>1.9028843704273136E-2</c:v>
                </c:pt>
                <c:pt idx="2859">
                  <c:v>1.9029876228999189E-2</c:v>
                </c:pt>
                <c:pt idx="2860">
                  <c:v>1.9031488493554325E-2</c:v>
                </c:pt>
                <c:pt idx="2861">
                  <c:v>1.903252771868533E-2</c:v>
                </c:pt>
                <c:pt idx="2862">
                  <c:v>1.9033570152279283E-2</c:v>
                </c:pt>
                <c:pt idx="2863">
                  <c:v>1.9034615794341011E-2</c:v>
                </c:pt>
                <c:pt idx="2864">
                  <c:v>1.9035664644875785E-2</c:v>
                </c:pt>
                <c:pt idx="2865">
                  <c:v>1.9036138751414973E-2</c:v>
                </c:pt>
                <c:pt idx="2866">
                  <c:v>1.9037193734208695E-2</c:v>
                </c:pt>
                <c:pt idx="2867">
                  <c:v>1.9038251925317353E-2</c:v>
                </c:pt>
                <c:pt idx="2868">
                  <c:v>1.9039313324746253E-2</c:v>
                </c:pt>
                <c:pt idx="2869">
                  <c:v>1.9040377932501577E-2</c:v>
                </c:pt>
                <c:pt idx="2870">
                  <c:v>1.9041445748587738E-2</c:v>
                </c:pt>
                <c:pt idx="2871">
                  <c:v>1.9042516773009152E-2</c:v>
                </c:pt>
                <c:pt idx="2872">
                  <c:v>1.9043591005772006E-2</c:v>
                </c:pt>
                <c:pt idx="2873">
                  <c:v>1.9047570098360483E-2</c:v>
                </c:pt>
                <c:pt idx="2874">
                  <c:v>1.9048652178499954E-2</c:v>
                </c:pt>
                <c:pt idx="2875">
                  <c:v>1.904973746785726E-2</c:v>
                </c:pt>
                <c:pt idx="2876">
                  <c:v>1.9050825966441001E-2</c:v>
                </c:pt>
                <c:pt idx="2877">
                  <c:v>1.9050173103212623E-2</c:v>
                </c:pt>
                <c:pt idx="2878">
                  <c:v>1.9051267159699556E-2</c:v>
                </c:pt>
                <c:pt idx="2879">
                  <c:v>1.9052364424908961E-2</c:v>
                </c:pt>
                <c:pt idx="2880">
                  <c:v>1.905346489884651E-2</c:v>
                </c:pt>
                <c:pt idx="2881">
                  <c:v>1.9054568581517013E-2</c:v>
                </c:pt>
                <c:pt idx="2882">
                  <c:v>1.9057424351957258E-2</c:v>
                </c:pt>
                <c:pt idx="2883">
                  <c:v>1.9058535315263123E-2</c:v>
                </c:pt>
                <c:pt idx="2884">
                  <c:v>1.9059649487837969E-2</c:v>
                </c:pt>
                <c:pt idx="2885">
                  <c:v>1.9060766869686094E-2</c:v>
                </c:pt>
                <c:pt idx="2886">
                  <c:v>1.9060135126059485E-2</c:v>
                </c:pt>
                <c:pt idx="2887">
                  <c:v>1.9061258061243449E-2</c:v>
                </c:pt>
                <c:pt idx="2888">
                  <c:v>1.9062384205198804E-2</c:v>
                </c:pt>
                <c:pt idx="2889">
                  <c:v>1.9063513557930355E-2</c:v>
                </c:pt>
                <c:pt idx="2890">
                  <c:v>1.9064646119443779E-2</c:v>
                </c:pt>
                <c:pt idx="2891">
                  <c:v>1.9067538555825235E-2</c:v>
                </c:pt>
                <c:pt idx="2892">
                  <c:v>1.906867840274273E-2</c:v>
                </c:pt>
                <c:pt idx="2893">
                  <c:v>1.9069821458977773E-2</c:v>
                </c:pt>
                <c:pt idx="2894">
                  <c:v>1.9070967724536373E-2</c:v>
                </c:pt>
                <c:pt idx="2895">
                  <c:v>1.9072117199424549E-2</c:v>
                </c:pt>
                <c:pt idx="2896">
                  <c:v>1.9073269883647461E-2</c:v>
                </c:pt>
                <c:pt idx="2897">
                  <c:v>1.907442577721026E-2</c:v>
                </c:pt>
                <c:pt idx="2898">
                  <c:v>1.9075584880120258E-2</c:v>
                </c:pt>
                <c:pt idx="2899">
                  <c:v>1.9073808062450712E-2</c:v>
                </c:pt>
                <c:pt idx="2900">
                  <c:v>1.9074972130908252E-2</c:v>
                </c:pt>
                <c:pt idx="2901">
                  <c:v>1.9076139407862684E-2</c:v>
                </c:pt>
                <c:pt idx="2902">
                  <c:v>1.9077309893319749E-2</c:v>
                </c:pt>
                <c:pt idx="2903">
                  <c:v>1.9078483587283868E-2</c:v>
                </c:pt>
                <c:pt idx="2904">
                  <c:v>1.9080249673530728E-2</c:v>
                </c:pt>
                <c:pt idx="2905">
                  <c:v>1.9081430075970698E-2</c:v>
                </c:pt>
                <c:pt idx="2906">
                  <c:v>1.9082613687108587E-2</c:v>
                </c:pt>
                <c:pt idx="2907">
                  <c:v>1.908380050695099E-2</c:v>
                </c:pt>
                <c:pt idx="2908">
                  <c:v>1.9084400184920001E-2</c:v>
                </c:pt>
                <c:pt idx="2909">
                  <c:v>1.9085593130050083E-2</c:v>
                </c:pt>
                <c:pt idx="2910">
                  <c:v>1.9086789283726965E-2</c:v>
                </c:pt>
                <c:pt idx="2911">
                  <c:v>1.908798864595727E-2</c:v>
                </c:pt>
                <c:pt idx="2912">
                  <c:v>1.9089782736921725E-2</c:v>
                </c:pt>
                <c:pt idx="2913">
                  <c:v>1.909098880910846E-2</c:v>
                </c:pt>
                <c:pt idx="2914">
                  <c:v>1.9092198090039238E-2</c:v>
                </c:pt>
                <c:pt idx="2915">
                  <c:v>1.9093410579720201E-2</c:v>
                </c:pt>
                <c:pt idx="2916">
                  <c:v>1.9094800211301437E-2</c:v>
                </c:pt>
                <c:pt idx="2917">
                  <c:v>1.9095426548873164E-2</c:v>
                </c:pt>
                <c:pt idx="2918">
                  <c:v>1.9096648829509646E-2</c:v>
                </c:pt>
                <c:pt idx="2919">
                  <c:v>1.9097874318745482E-2</c:v>
                </c:pt>
                <c:pt idx="2920">
                  <c:v>1.9099103016588178E-2</c:v>
                </c:pt>
                <c:pt idx="2921">
                  <c:v>1.9100334923043034E-2</c:v>
                </c:pt>
                <c:pt idx="2922">
                  <c:v>1.9101570038115794E-2</c:v>
                </c:pt>
                <c:pt idx="2923">
                  <c:v>1.9102808361812638E-2</c:v>
                </c:pt>
                <c:pt idx="2924">
                  <c:v>1.9104049894139309E-2</c:v>
                </c:pt>
                <c:pt idx="2925">
                  <c:v>1.9107676460825312E-2</c:v>
                </c:pt>
                <c:pt idx="2926">
                  <c:v>1.9108925591075358E-2</c:v>
                </c:pt>
                <c:pt idx="2927">
                  <c:v>1.9110177930669981E-2</c:v>
                </c:pt>
                <c:pt idx="2928">
                  <c:v>1.9111433479616087E-2</c:v>
                </c:pt>
                <c:pt idx="2929">
                  <c:v>1.9110902249658172E-2</c:v>
                </c:pt>
                <c:pt idx="2930">
                  <c:v>1.9113954205585666E-2</c:v>
                </c:pt>
                <c:pt idx="2931">
                  <c:v>1.9114748884687088E-2</c:v>
                </c:pt>
                <c:pt idx="2932">
                  <c:v>1.9116487769032922E-2</c:v>
                </c:pt>
                <c:pt idx="2933">
                  <c:v>1.9117759364825907E-2</c:v>
                </c:pt>
                <c:pt idx="2934">
                  <c:v>1.9119034170007539E-2</c:v>
                </c:pt>
                <c:pt idx="2935">
                  <c:v>1.9120312184583006E-2</c:v>
                </c:pt>
                <c:pt idx="2936">
                  <c:v>1.9121593408559213E-2</c:v>
                </c:pt>
                <c:pt idx="2937">
                  <c:v>1.9122877841942651E-2</c:v>
                </c:pt>
                <c:pt idx="2938">
                  <c:v>1.9124165484739365E-2</c:v>
                </c:pt>
                <c:pt idx="2939">
                  <c:v>1.912545633695497E-2</c:v>
                </c:pt>
                <c:pt idx="2940">
                  <c:v>1.9126750398597243E-2</c:v>
                </c:pt>
                <c:pt idx="2941">
                  <c:v>1.9128047669670512E-2</c:v>
                </c:pt>
                <c:pt idx="2942">
                  <c:v>1.9129348150182978E-2</c:v>
                </c:pt>
                <c:pt idx="2943">
                  <c:v>1.9130651840140695E-2</c:v>
                </c:pt>
                <c:pt idx="2944">
                  <c:v>1.913195873954885E-2</c:v>
                </c:pt>
                <c:pt idx="2945">
                  <c:v>1.9133268848415215E-2</c:v>
                </c:pt>
                <c:pt idx="2946">
                  <c:v>1.913458216674541E-2</c:v>
                </c:pt>
                <c:pt idx="2947">
                  <c:v>1.9135898694546349E-2</c:v>
                </c:pt>
                <c:pt idx="2948">
                  <c:v>1.9137218431824511E-2</c:v>
                </c:pt>
                <c:pt idx="2949">
                  <c:v>1.9138541378585085E-2</c:v>
                </c:pt>
                <c:pt idx="2950">
                  <c:v>1.9139867534836708E-2</c:v>
                </c:pt>
                <c:pt idx="2951">
                  <c:v>1.9139387263716001E-2</c:v>
                </c:pt>
                <c:pt idx="2952">
                  <c:v>1.9140718939814623E-2</c:v>
                </c:pt>
                <c:pt idx="2953">
                  <c:v>1.9142053824897094E-2</c:v>
                </c:pt>
                <c:pt idx="2954">
                  <c:v>1.914339191897E-2</c:v>
                </c:pt>
                <c:pt idx="2955">
                  <c:v>1.914654645866843E-2</c:v>
                </c:pt>
                <c:pt idx="2956">
                  <c:v>1.9148496684713728E-2</c:v>
                </c:pt>
                <c:pt idx="2957">
                  <c:v>1.9149240494859533E-2</c:v>
                </c:pt>
                <c:pt idx="2958">
                  <c:v>1.9150592327265119E-2</c:v>
                </c:pt>
                <c:pt idx="2959">
                  <c:v>1.9151947369220084E-2</c:v>
                </c:pt>
                <c:pt idx="2960">
                  <c:v>1.9151487872567631E-2</c:v>
                </c:pt>
                <c:pt idx="2961">
                  <c:v>1.9152848429754545E-2</c:v>
                </c:pt>
                <c:pt idx="2962">
                  <c:v>1.915421219598416E-2</c:v>
                </c:pt>
                <c:pt idx="2963">
                  <c:v>1.9155579171262187E-2</c:v>
                </c:pt>
                <c:pt idx="2964">
                  <c:v>1.9156949355596531E-2</c:v>
                </c:pt>
                <c:pt idx="2965">
                  <c:v>1.9160145021848155E-2</c:v>
                </c:pt>
                <c:pt idx="2966">
                  <c:v>1.9161522530832007E-2</c:v>
                </c:pt>
                <c:pt idx="2967">
                  <c:v>1.9162903249418821E-2</c:v>
                </c:pt>
                <c:pt idx="2968">
                  <c:v>1.9163055889117136E-2</c:v>
                </c:pt>
                <c:pt idx="2969">
                  <c:v>1.9164443494154162E-2</c:v>
                </c:pt>
                <c:pt idx="2970">
                  <c:v>1.9165834308289671E-2</c:v>
                </c:pt>
                <c:pt idx="2971">
                  <c:v>1.9167228331529809E-2</c:v>
                </c:pt>
                <c:pt idx="2972">
                  <c:v>1.9168625563881606E-2</c:v>
                </c:pt>
                <c:pt idx="2973">
                  <c:v>1.9170026005351649E-2</c:v>
                </c:pt>
                <c:pt idx="2974">
                  <c:v>1.9171429655946964E-2</c:v>
                </c:pt>
                <c:pt idx="2975">
                  <c:v>1.9172836515674141E-2</c:v>
                </c:pt>
                <c:pt idx="2976">
                  <c:v>1.9174246584540207E-2</c:v>
                </c:pt>
                <c:pt idx="2977">
                  <c:v>1.9176882196593869E-2</c:v>
                </c:pt>
                <c:pt idx="2978">
                  <c:v>1.9178299292447142E-2</c:v>
                </c:pt>
                <c:pt idx="2979">
                  <c:v>1.9179719597812197E-2</c:v>
                </c:pt>
                <c:pt idx="2980">
                  <c:v>1.918114311269643E-2</c:v>
                </c:pt>
                <c:pt idx="2981">
                  <c:v>1.9181957426260231E-2</c:v>
                </c:pt>
                <c:pt idx="2982">
                  <c:v>1.9183796110004946E-2</c:v>
                </c:pt>
                <c:pt idx="2983">
                  <c:v>1.9184819893376902E-2</c:v>
                </c:pt>
                <c:pt idx="2984">
                  <c:v>1.9186255940986472E-2</c:v>
                </c:pt>
                <c:pt idx="2985">
                  <c:v>1.9187695197972851E-2</c:v>
                </c:pt>
                <c:pt idx="2986">
                  <c:v>1.9189957976900211E-2</c:v>
                </c:pt>
                <c:pt idx="2987">
                  <c:v>1.9191404500563235E-2</c:v>
                </c:pt>
                <c:pt idx="2988">
                  <c:v>1.919285448593935E-2</c:v>
                </c:pt>
                <c:pt idx="2989">
                  <c:v>1.9194308109533455E-2</c:v>
                </c:pt>
                <c:pt idx="2990">
                  <c:v>1.9195150114446714E-2</c:v>
                </c:pt>
                <c:pt idx="2991">
                  <c:v>1.9196611125819798E-2</c:v>
                </c:pt>
                <c:pt idx="2992">
                  <c:v>1.9198076284583511E-2</c:v>
                </c:pt>
                <c:pt idx="2993">
                  <c:v>1.9199545768197646E-2</c:v>
                </c:pt>
                <c:pt idx="2994">
                  <c:v>1.9202254275666939E-2</c:v>
                </c:pt>
                <c:pt idx="2995">
                  <c:v>1.9203116137951386E-2</c:v>
                </c:pt>
                <c:pt idx="2996">
                  <c:v>1.920460017122548E-2</c:v>
                </c:pt>
                <c:pt idx="2997">
                  <c:v>1.920608925476891E-2</c:v>
                </c:pt>
                <c:pt idx="2998">
                  <c:v>1.9207583565090044E-2</c:v>
                </c:pt>
                <c:pt idx="2999">
                  <c:v>1.9209083278700297E-2</c:v>
                </c:pt>
                <c:pt idx="3000">
                  <c:v>1.921058857210935E-2</c:v>
                </c:pt>
                <c:pt idx="3001">
                  <c:v>1.9212099621826875E-2</c:v>
                </c:pt>
                <c:pt idx="3002">
                  <c:v>1.9213616604365154E-2</c:v>
                </c:pt>
                <c:pt idx="3003">
                  <c:v>1.921327339278437E-2</c:v>
                </c:pt>
                <c:pt idx="3004">
                  <c:v>1.9214800947387402E-2</c:v>
                </c:pt>
                <c:pt idx="3005">
                  <c:v>1.9216334940314338E-2</c:v>
                </c:pt>
                <c:pt idx="3006">
                  <c:v>1.9217875550976145E-2</c:v>
                </c:pt>
                <c:pt idx="3007">
                  <c:v>1.9220047451622011E-2</c:v>
                </c:pt>
                <c:pt idx="3008">
                  <c:v>1.9221602469777131E-2</c:v>
                </c:pt>
                <c:pt idx="3009">
                  <c:v>1.9223164648091311E-2</c:v>
                </c:pt>
                <c:pt idx="3010">
                  <c:v>1.9224734165002474E-2</c:v>
                </c:pt>
                <c:pt idx="3011">
                  <c:v>1.9226311198945908E-2</c:v>
                </c:pt>
                <c:pt idx="3012">
                  <c:v>1.922726823433828E-2</c:v>
                </c:pt>
                <c:pt idx="3013">
                  <c:v>1.9228860148137294E-2</c:v>
                </c:pt>
                <c:pt idx="3014">
                  <c:v>1.9230459909951144E-2</c:v>
                </c:pt>
                <c:pt idx="3015">
                  <c:v>1.9232067519798373E-2</c:v>
                </c:pt>
                <c:pt idx="3016">
                  <c:v>1.9234313255084057E-2</c:v>
                </c:pt>
                <c:pt idx="3017">
                  <c:v>1.9235937207981051E-2</c:v>
                </c:pt>
                <c:pt idx="3018">
                  <c:v>1.9237569009394166E-2</c:v>
                </c:pt>
                <c:pt idx="3019">
                  <c:v>1.9239208659342727E-2</c:v>
                </c:pt>
                <c:pt idx="3020">
                  <c:v>1.9240459195187423E-2</c:v>
                </c:pt>
                <c:pt idx="3021">
                  <c:v>1.924211501479791E-2</c:v>
                </c:pt>
                <c:pt idx="3022">
                  <c:v>1.9243778682579125E-2</c:v>
                </c:pt>
                <c:pt idx="3023">
                  <c:v>1.9245450198549181E-2</c:v>
                </c:pt>
                <c:pt idx="3024">
                  <c:v>1.9247129562727953E-2</c:v>
                </c:pt>
                <c:pt idx="3025">
                  <c:v>1.9248816775135309E-2</c:v>
                </c:pt>
                <c:pt idx="3026">
                  <c:v>1.9250511835792006E-2</c:v>
                </c:pt>
                <c:pt idx="3027">
                  <c:v>1.9252214744716153E-2</c:v>
                </c:pt>
                <c:pt idx="3028">
                  <c:v>1.9253925501928511E-2</c:v>
                </c:pt>
                <c:pt idx="3029">
                  <c:v>1.9257560804060787E-2</c:v>
                </c:pt>
                <c:pt idx="3030">
                  <c:v>1.9259289215712849E-2</c:v>
                </c:pt>
                <c:pt idx="3031">
                  <c:v>1.9261025476996294E-2</c:v>
                </c:pt>
                <c:pt idx="3032">
                  <c:v>1.9262769587931536E-2</c:v>
                </c:pt>
                <c:pt idx="3033">
                  <c:v>1.9264130778865265E-2</c:v>
                </c:pt>
                <c:pt idx="3034">
                  <c:v>1.9265891056115564E-2</c:v>
                </c:pt>
                <c:pt idx="3035">
                  <c:v>1.9267659182654735E-2</c:v>
                </c:pt>
                <c:pt idx="3036">
                  <c:v>1.9269435158503739E-2</c:v>
                </c:pt>
                <c:pt idx="3037">
                  <c:v>1.9271218983685296E-2</c:v>
                </c:pt>
                <c:pt idx="3038">
                  <c:v>1.9274945816148647E-2</c:v>
                </c:pt>
                <c:pt idx="3039">
                  <c:v>1.9276747309998656E-2</c:v>
                </c:pt>
                <c:pt idx="3040">
                  <c:v>1.92785566545292E-2</c:v>
                </c:pt>
                <c:pt idx="3041">
                  <c:v>1.9280373849763919E-2</c:v>
                </c:pt>
                <c:pt idx="3042">
                  <c:v>1.9280255850309926E-2</c:v>
                </c:pt>
                <c:pt idx="3043">
                  <c:v>1.9282086771927959E-2</c:v>
                </c:pt>
                <c:pt idx="3044">
                  <c:v>1.9283925543027495E-2</c:v>
                </c:pt>
                <c:pt idx="3045">
                  <c:v>1.9287721138175142E-2</c:v>
                </c:pt>
                <c:pt idx="3046">
                  <c:v>1.9289577587256912E-2</c:v>
                </c:pt>
                <c:pt idx="3047">
                  <c:v>1.9291441887175225E-2</c:v>
                </c:pt>
                <c:pt idx="3048">
                  <c:v>1.9293314037951568E-2</c:v>
                </c:pt>
                <c:pt idx="3049">
                  <c:v>1.9295194039609574E-2</c:v>
                </c:pt>
                <c:pt idx="3050">
                  <c:v>1.9295123009967614E-2</c:v>
                </c:pt>
                <c:pt idx="3051">
                  <c:v>1.9298977595659541E-2</c:v>
                </c:pt>
                <c:pt idx="3052">
                  <c:v>1.9300881150097059E-2</c:v>
                </c:pt>
                <c:pt idx="3053">
                  <c:v>1.9302792555507781E-2</c:v>
                </c:pt>
                <c:pt idx="3054">
                  <c:v>1.9302744980354478E-2</c:v>
                </c:pt>
                <c:pt idx="3055">
                  <c:v>1.9303357982801788E-2</c:v>
                </c:pt>
                <c:pt idx="3056">
                  <c:v>1.9305289621835264E-2</c:v>
                </c:pt>
                <c:pt idx="3057">
                  <c:v>1.9307229109779212E-2</c:v>
                </c:pt>
                <c:pt idx="3058">
                  <c:v>1.9309176446655717E-2</c:v>
                </c:pt>
                <c:pt idx="3059">
                  <c:v>1.9311790303928284E-2</c:v>
                </c:pt>
                <c:pt idx="3060">
                  <c:v>1.9313754004216813E-2</c:v>
                </c:pt>
                <c:pt idx="3061">
                  <c:v>1.9315725553938973E-2</c:v>
                </c:pt>
                <c:pt idx="3062">
                  <c:v>1.9317704953117167E-2</c:v>
                </c:pt>
                <c:pt idx="3063">
                  <c:v>1.9319692201775544E-2</c:v>
                </c:pt>
                <c:pt idx="3064">
                  <c:v>1.9321025296799858E-2</c:v>
                </c:pt>
                <c:pt idx="3065">
                  <c:v>1.9323027576852995E-2</c:v>
                </c:pt>
                <c:pt idx="3066">
                  <c:v>1.932503770602462E-2</c:v>
                </c:pt>
                <c:pt idx="3067">
                  <c:v>1.9327055684339015E-2</c:v>
                </c:pt>
                <c:pt idx="3068">
                  <c:v>1.9329746188088918E-2</c:v>
                </c:pt>
                <c:pt idx="3069">
                  <c:v>1.9331780534121649E-2</c:v>
                </c:pt>
                <c:pt idx="3070">
                  <c:v>1.9333822729800585E-2</c:v>
                </c:pt>
                <c:pt idx="3071">
                  <c:v>1.9335872775149449E-2</c:v>
                </c:pt>
                <c:pt idx="3072">
                  <c:v>1.9337263313869597E-2</c:v>
                </c:pt>
                <c:pt idx="3073">
                  <c:v>1.933932838753526E-2</c:v>
                </c:pt>
                <c:pt idx="3074">
                  <c:v>1.9341401310510629E-2</c:v>
                </c:pt>
                <c:pt idx="3075">
                  <c:v>1.9343482082819559E-2</c:v>
                </c:pt>
                <c:pt idx="3076">
                  <c:v>1.9345570704486781E-2</c:v>
                </c:pt>
                <c:pt idx="3077">
                  <c:v>1.9347667175536581E-2</c:v>
                </c:pt>
                <c:pt idx="3078">
                  <c:v>1.9349771495994133E-2</c:v>
                </c:pt>
                <c:pt idx="3079">
                  <c:v>1.9351883665882849E-2</c:v>
                </c:pt>
                <c:pt idx="3080">
                  <c:v>1.9354003685228778E-2</c:v>
                </c:pt>
                <c:pt idx="3081">
                  <c:v>1.9359499497849614E-2</c:v>
                </c:pt>
                <c:pt idx="3082">
                  <c:v>1.9361638591858635E-2</c:v>
                </c:pt>
                <c:pt idx="3083">
                  <c:v>1.9363785537572318E-2</c:v>
                </c:pt>
                <c:pt idx="3084">
                  <c:v>1.9365940335015163E-2</c:v>
                </c:pt>
                <c:pt idx="3085">
                  <c:v>1.9366073842205216E-2</c:v>
                </c:pt>
                <c:pt idx="3086">
                  <c:v>1.9368242312359694E-2</c:v>
                </c:pt>
                <c:pt idx="3087">
                  <c:v>1.9370418633016497E-2</c:v>
                </c:pt>
                <c:pt idx="3088">
                  <c:v>1.9372602804202707E-2</c:v>
                </c:pt>
                <c:pt idx="3089">
                  <c:v>1.9374794825942787E-2</c:v>
                </c:pt>
                <c:pt idx="3090">
                  <c:v>1.9379034007471974E-2</c:v>
                </c:pt>
                <c:pt idx="3091">
                  <c:v>1.9381243767758558E-2</c:v>
                </c:pt>
                <c:pt idx="3092">
                  <c:v>1.9383461379986602E-2</c:v>
                </c:pt>
                <c:pt idx="3093">
                  <c:v>1.9385686844181033E-2</c:v>
                </c:pt>
                <c:pt idx="3094">
                  <c:v>1.9385872693873301E-2</c:v>
                </c:pt>
                <c:pt idx="3095">
                  <c:v>1.9388111819489153E-2</c:v>
                </c:pt>
                <c:pt idx="3096">
                  <c:v>1.9390358795843204E-2</c:v>
                </c:pt>
                <c:pt idx="3097">
                  <c:v>1.9392613622962105E-2</c:v>
                </c:pt>
                <c:pt idx="3098">
                  <c:v>1.9396931945604826E-2</c:v>
                </c:pt>
                <c:pt idx="3099">
                  <c:v>1.9399204522169179E-2</c:v>
                </c:pt>
                <c:pt idx="3100">
                  <c:v>1.9401484950890304E-2</c:v>
                </c:pt>
                <c:pt idx="3101">
                  <c:v>1.940377323179571E-2</c:v>
                </c:pt>
                <c:pt idx="3102">
                  <c:v>1.940606936491333E-2</c:v>
                </c:pt>
                <c:pt idx="3103">
                  <c:v>1.9408373350270666E-2</c:v>
                </c:pt>
                <c:pt idx="3104">
                  <c:v>1.9410685187895228E-2</c:v>
                </c:pt>
                <c:pt idx="3105">
                  <c:v>1.941300487781495E-2</c:v>
                </c:pt>
                <c:pt idx="3106">
                  <c:v>1.941533242005733E-2</c:v>
                </c:pt>
                <c:pt idx="3107">
                  <c:v>1.9414211395189829E-2</c:v>
                </c:pt>
                <c:pt idx="3108">
                  <c:v>1.9416551209749833E-2</c:v>
                </c:pt>
                <c:pt idx="3109">
                  <c:v>1.941889887452402E-2</c:v>
                </c:pt>
                <c:pt idx="3110">
                  <c:v>1.9421254389541089E-2</c:v>
                </c:pt>
                <c:pt idx="3111">
                  <c:v>1.94243116061842E-2</c:v>
                </c:pt>
                <c:pt idx="3112">
                  <c:v>1.9426683509866895E-2</c:v>
                </c:pt>
                <c:pt idx="3113">
                  <c:v>1.94290632643149E-2</c:v>
                </c:pt>
                <c:pt idx="3114">
                  <c:v>1.9431450869555011E-2</c:v>
                </c:pt>
                <c:pt idx="3115">
                  <c:v>1.9433846325616212E-2</c:v>
                </c:pt>
                <c:pt idx="3116">
                  <c:v>1.9435552336283239E-2</c:v>
                </c:pt>
                <c:pt idx="3117">
                  <c:v>1.9437962803775591E-2</c:v>
                </c:pt>
                <c:pt idx="3118">
                  <c:v>1.9440381121732967E-2</c:v>
                </c:pt>
                <c:pt idx="3119">
                  <c:v>1.9442807290184081E-2</c:v>
                </c:pt>
                <c:pt idx="3120">
                  <c:v>1.9445941369225072E-2</c:v>
                </c:pt>
                <c:pt idx="3121">
                  <c:v>1.9448383930807518E-2</c:v>
                </c:pt>
                <c:pt idx="3122">
                  <c:v>1.9450834343410016E-2</c:v>
                </c:pt>
                <c:pt idx="3123">
                  <c:v>1.9453292607061558E-2</c:v>
                </c:pt>
                <c:pt idx="3124">
                  <c:v>1.9455758721791127E-2</c:v>
                </c:pt>
                <c:pt idx="3125">
                  <c:v>1.9457529162869861E-2</c:v>
                </c:pt>
                <c:pt idx="3126">
                  <c:v>1.9460010285582228E-2</c:v>
                </c:pt>
                <c:pt idx="3127">
                  <c:v>1.9462499259019307E-2</c:v>
                </c:pt>
                <c:pt idx="3128">
                  <c:v>1.9464996083209361E-2</c:v>
                </c:pt>
                <c:pt idx="3129">
                  <c:v>1.9467500758182418E-2</c:v>
                </c:pt>
                <c:pt idx="3130">
                  <c:v>1.9470013283966751E-2</c:v>
                </c:pt>
                <c:pt idx="3131">
                  <c:v>1.9472533660593271E-2</c:v>
                </c:pt>
                <c:pt idx="3132">
                  <c:v>1.9475061888091123E-2</c:v>
                </c:pt>
                <c:pt idx="3133">
                  <c:v>1.9481144343466757E-2</c:v>
                </c:pt>
                <c:pt idx="3134">
                  <c:v>1.9483691762486571E-2</c:v>
                </c:pt>
                <c:pt idx="3135">
                  <c:v>1.9486247034682557E-2</c:v>
                </c:pt>
                <c:pt idx="3136">
                  <c:v>1.9488810160083941E-2</c:v>
                </c:pt>
                <c:pt idx="3137">
                  <c:v>1.9489244652174952E-2</c:v>
                </c:pt>
                <c:pt idx="3138">
                  <c:v>1.949182138473517E-2</c:v>
                </c:pt>
                <c:pt idx="3139">
                  <c:v>1.9494405969262333E-2</c:v>
                </c:pt>
                <c:pt idx="3140">
                  <c:v>1.9496998405788332E-2</c:v>
                </c:pt>
                <c:pt idx="3141">
                  <c:v>1.9499598694342427E-2</c:v>
                </c:pt>
                <c:pt idx="3142">
                  <c:v>1.9504353831542712E-2</c:v>
                </c:pt>
                <c:pt idx="3143">
                  <c:v>1.9506971930253011E-2</c:v>
                </c:pt>
                <c:pt idx="3144">
                  <c:v>1.9509597882417972E-2</c:v>
                </c:pt>
                <c:pt idx="3145">
                  <c:v>1.9512231688069398E-2</c:v>
                </c:pt>
                <c:pt idx="3146">
                  <c:v>1.9512717918631649E-2</c:v>
                </c:pt>
                <c:pt idx="3147">
                  <c:v>1.9515365320009113E-2</c:v>
                </c:pt>
                <c:pt idx="3148">
                  <c:v>1.9518020573634828E-2</c:v>
                </c:pt>
                <c:pt idx="3149">
                  <c:v>1.9520683679537184E-2</c:v>
                </c:pt>
                <c:pt idx="3150">
                  <c:v>1.9523354637751129E-2</c:v>
                </c:pt>
                <c:pt idx="3151">
                  <c:v>1.9528199446987939E-2</c:v>
                </c:pt>
                <c:pt idx="3152">
                  <c:v>1.9530888227940663E-2</c:v>
                </c:pt>
                <c:pt idx="3153">
                  <c:v>1.9533584862638141E-2</c:v>
                </c:pt>
                <c:pt idx="3154">
                  <c:v>1.9536289351111739E-2</c:v>
                </c:pt>
                <c:pt idx="3155">
                  <c:v>1.953900169339241E-2</c:v>
                </c:pt>
                <c:pt idx="3156">
                  <c:v>1.9541721889514523E-2</c:v>
                </c:pt>
                <c:pt idx="3157">
                  <c:v>1.9544449939510749E-2</c:v>
                </c:pt>
                <c:pt idx="3158">
                  <c:v>1.9547185843414177E-2</c:v>
                </c:pt>
                <c:pt idx="3159">
                  <c:v>1.9547019148618054E-2</c:v>
                </c:pt>
                <c:pt idx="3160">
                  <c:v>1.9549767922245231E-2</c:v>
                </c:pt>
                <c:pt idx="3161">
                  <c:v>1.9552524548087549E-2</c:v>
                </c:pt>
                <c:pt idx="3162">
                  <c:v>1.9555289026177949E-2</c:v>
                </c:pt>
                <c:pt idx="3163">
                  <c:v>1.9558061356549375E-2</c:v>
                </c:pt>
                <c:pt idx="3164">
                  <c:v>1.9561572563146876E-2</c:v>
                </c:pt>
                <c:pt idx="3165">
                  <c:v>1.9564361309856719E-2</c:v>
                </c:pt>
                <c:pt idx="3166">
                  <c:v>1.9570088644815797E-2</c:v>
                </c:pt>
                <c:pt idx="3167">
                  <c:v>1.956996236179067E-2</c:v>
                </c:pt>
                <c:pt idx="3168">
                  <c:v>1.9572040793762027E-2</c:v>
                </c:pt>
                <c:pt idx="3169">
                  <c:v>1.9574860238506953E-2</c:v>
                </c:pt>
                <c:pt idx="3170">
                  <c:v>1.9577687535763048E-2</c:v>
                </c:pt>
                <c:pt idx="3171">
                  <c:v>1.9580522685563252E-2</c:v>
                </c:pt>
                <c:pt idx="3172">
                  <c:v>1.9584102417852665E-2</c:v>
                </c:pt>
                <c:pt idx="3173">
                  <c:v>1.9586953988115642E-2</c:v>
                </c:pt>
                <c:pt idx="3174">
                  <c:v>1.958981341147166E-2</c:v>
                </c:pt>
                <c:pt idx="3175">
                  <c:v>1.9592680687958282E-2</c:v>
                </c:pt>
                <c:pt idx="3176">
                  <c:v>1.9595555817607836E-2</c:v>
                </c:pt>
                <c:pt idx="3177">
                  <c:v>1.9597698489683762E-2</c:v>
                </c:pt>
                <c:pt idx="3178">
                  <c:v>1.960058860823791E-2</c:v>
                </c:pt>
                <c:pt idx="3179">
                  <c:v>1.9603486579607161E-2</c:v>
                </c:pt>
                <c:pt idx="3180">
                  <c:v>1.960639240382445E-2</c:v>
                </c:pt>
                <c:pt idx="3181">
                  <c:v>1.9609306080926238E-2</c:v>
                </c:pt>
                <c:pt idx="3182">
                  <c:v>1.9612227610944586E-2</c:v>
                </c:pt>
                <c:pt idx="3183">
                  <c:v>1.9615156993914629E-2</c:v>
                </c:pt>
                <c:pt idx="3184">
                  <c:v>1.961809422987194E-2</c:v>
                </c:pt>
                <c:pt idx="3185">
                  <c:v>1.9624024148232392E-2</c:v>
                </c:pt>
                <c:pt idx="3186">
                  <c:v>1.9626979975252958E-2</c:v>
                </c:pt>
                <c:pt idx="3187">
                  <c:v>1.9629943657173909E-2</c:v>
                </c:pt>
                <c:pt idx="3188">
                  <c:v>1.9632915194031778E-2</c:v>
                </c:pt>
                <c:pt idx="3189">
                  <c:v>1.9633647156528506E-2</c:v>
                </c:pt>
                <c:pt idx="3190">
                  <c:v>1.963663223408239E-2</c:v>
                </c:pt>
                <c:pt idx="3191">
                  <c:v>1.9639625165319443E-2</c:v>
                </c:pt>
                <c:pt idx="3192">
                  <c:v>1.9642625950276792E-2</c:v>
                </c:pt>
                <c:pt idx="3193">
                  <c:v>1.9645634588990258E-2</c:v>
                </c:pt>
                <c:pt idx="3194">
                  <c:v>1.9650588287045318E-2</c:v>
                </c:pt>
                <c:pt idx="3195">
                  <c:v>1.965361520613864E-2</c:v>
                </c:pt>
                <c:pt idx="3196">
                  <c:v>1.9656649980008246E-2</c:v>
                </c:pt>
                <c:pt idx="3197">
                  <c:v>1.9659692608690875E-2</c:v>
                </c:pt>
                <c:pt idx="3198">
                  <c:v>1.9662743092222379E-2</c:v>
                </c:pt>
                <c:pt idx="3199">
                  <c:v>1.966580143063992E-2</c:v>
                </c:pt>
                <c:pt idx="3200">
                  <c:v>1.9668867623980232E-2</c:v>
                </c:pt>
                <c:pt idx="3201">
                  <c:v>1.9671941672280036E-2</c:v>
                </c:pt>
                <c:pt idx="3202">
                  <c:v>1.9675023575576059E-2</c:v>
                </c:pt>
                <c:pt idx="3203">
                  <c:v>1.9678113333904169E-2</c:v>
                </c:pt>
                <c:pt idx="3204">
                  <c:v>1.9681210947302817E-2</c:v>
                </c:pt>
                <c:pt idx="3205">
                  <c:v>1.9684316415808732E-2</c:v>
                </c:pt>
                <c:pt idx="3206">
                  <c:v>1.9687429739459507E-2</c:v>
                </c:pt>
                <c:pt idx="3207">
                  <c:v>1.9690550918291437E-2</c:v>
                </c:pt>
                <c:pt idx="3208">
                  <c:v>1.9693679952342974E-2</c:v>
                </c:pt>
                <c:pt idx="3209">
                  <c:v>1.9696816841650852E-2</c:v>
                </c:pt>
                <c:pt idx="3210">
                  <c:v>1.9699961586252656E-2</c:v>
                </c:pt>
                <c:pt idx="3211">
                  <c:v>1.9700053728875372E-2</c:v>
                </c:pt>
                <c:pt idx="3212">
                  <c:v>1.9703211251889695E-2</c:v>
                </c:pt>
                <c:pt idx="3213">
                  <c:v>1.9706376628480814E-2</c:v>
                </c:pt>
                <c:pt idx="3214">
                  <c:v>1.9709549858684498E-2</c:v>
                </c:pt>
                <c:pt idx="3215">
                  <c:v>1.9713498844826038E-2</c:v>
                </c:pt>
                <c:pt idx="3216">
                  <c:v>1.971668851716021E-2</c:v>
                </c:pt>
                <c:pt idx="3217">
                  <c:v>1.9722964515060445E-2</c:v>
                </c:pt>
                <c:pt idx="3218">
                  <c:v>1.9723091424415598E-2</c:v>
                </c:pt>
                <c:pt idx="3219">
                  <c:v>1.9726304659411921E-2</c:v>
                </c:pt>
                <c:pt idx="3220">
                  <c:v>1.9728754167861653E-2</c:v>
                </c:pt>
                <c:pt idx="3221">
                  <c:v>1.9731982374400422E-2</c:v>
                </c:pt>
                <c:pt idx="3222">
                  <c:v>1.9735218434852514E-2</c:v>
                </c:pt>
                <c:pt idx="3223">
                  <c:v>1.9738462349255907E-2</c:v>
                </c:pt>
                <c:pt idx="3224">
                  <c:v>1.9742488649608692E-2</c:v>
                </c:pt>
                <c:pt idx="3225">
                  <c:v>1.9745749010957946E-2</c:v>
                </c:pt>
                <c:pt idx="3226">
                  <c:v>1.9749017226833018E-2</c:v>
                </c:pt>
                <c:pt idx="3227">
                  <c:v>1.9752293297272561E-2</c:v>
                </c:pt>
                <c:pt idx="3228">
                  <c:v>1.9754653896762703E-2</c:v>
                </c:pt>
                <c:pt idx="3229">
                  <c:v>1.9760282169213682E-2</c:v>
                </c:pt>
                <c:pt idx="3230">
                  <c:v>1.9763585169882702E-2</c:v>
                </c:pt>
                <c:pt idx="3231">
                  <c:v>1.9766896025287483E-2</c:v>
                </c:pt>
                <c:pt idx="3232">
                  <c:v>1.9770214735467997E-2</c:v>
                </c:pt>
                <c:pt idx="3233">
                  <c:v>1.9773541300462889E-2</c:v>
                </c:pt>
                <c:pt idx="3234">
                  <c:v>1.9776875720311254E-2</c:v>
                </c:pt>
                <c:pt idx="3235">
                  <c:v>1.978021799505306E-2</c:v>
                </c:pt>
                <c:pt idx="3236">
                  <c:v>1.9783568124727393E-2</c:v>
                </c:pt>
                <c:pt idx="3237">
                  <c:v>1.9788495395088482E-2</c:v>
                </c:pt>
                <c:pt idx="3238">
                  <c:v>1.9791862725244067E-2</c:v>
                </c:pt>
                <c:pt idx="3239">
                  <c:v>1.979523791137856E-2</c:v>
                </c:pt>
                <c:pt idx="3240">
                  <c:v>1.9798620953532797E-2</c:v>
                </c:pt>
                <c:pt idx="3241">
                  <c:v>1.9801224175080852E-2</c:v>
                </c:pt>
                <c:pt idx="3242">
                  <c:v>1.9804622182249172E-2</c:v>
                </c:pt>
                <c:pt idx="3243">
                  <c:v>1.9809002591648313E-2</c:v>
                </c:pt>
                <c:pt idx="3244">
                  <c:v>1.9811441763653233E-2</c:v>
                </c:pt>
                <c:pt idx="3245">
                  <c:v>1.9814863337968915E-2</c:v>
                </c:pt>
                <c:pt idx="3246">
                  <c:v>1.9819084181953682E-2</c:v>
                </c:pt>
                <c:pt idx="3247">
                  <c:v>1.9822521932224654E-2</c:v>
                </c:pt>
                <c:pt idx="3248">
                  <c:v>1.982596649236221E-2</c:v>
                </c:pt>
                <c:pt idx="3249">
                  <c:v>1.9829417048474355E-2</c:v>
                </c:pt>
                <c:pt idx="3250">
                  <c:v>1.9832079349414646E-2</c:v>
                </c:pt>
                <c:pt idx="3251">
                  <c:v>1.9835539204966429E-2</c:v>
                </c:pt>
                <c:pt idx="3252">
                  <c:v>1.9839002707952916E-2</c:v>
                </c:pt>
                <c:pt idx="3253">
                  <c:v>1.984246904005733E-2</c:v>
                </c:pt>
                <c:pt idx="3254">
                  <c:v>1.9847525183020638E-2</c:v>
                </c:pt>
                <c:pt idx="3255">
                  <c:v>1.9850200721974839E-2</c:v>
                </c:pt>
                <c:pt idx="3256">
                  <c:v>1.9853670460467886E-2</c:v>
                </c:pt>
                <c:pt idx="3257">
                  <c:v>1.9857139683597959E-2</c:v>
                </c:pt>
                <c:pt idx="3258">
                  <c:v>1.9860607577420499E-2</c:v>
                </c:pt>
                <c:pt idx="3259">
                  <c:v>1.9864073327988771E-2</c:v>
                </c:pt>
                <c:pt idx="3260">
                  <c:v>1.986753612134735E-2</c:v>
                </c:pt>
                <c:pt idx="3261">
                  <c:v>1.9870995143536463E-2</c:v>
                </c:pt>
                <c:pt idx="3262">
                  <c:v>1.9874449580590696E-2</c:v>
                </c:pt>
                <c:pt idx="3263">
                  <c:v>1.9876317199700611E-2</c:v>
                </c:pt>
                <c:pt idx="3264">
                  <c:v>1.9879761256707668E-2</c:v>
                </c:pt>
                <c:pt idx="3265">
                  <c:v>1.988319835891228E-2</c:v>
                </c:pt>
                <c:pt idx="3266">
                  <c:v>1.9886627683471107E-2</c:v>
                </c:pt>
                <c:pt idx="3267">
                  <c:v>1.9886895689081949E-2</c:v>
                </c:pt>
                <c:pt idx="3268">
                  <c:v>1.9893459708259651E-2</c:v>
                </c:pt>
                <c:pt idx="3269">
                  <c:v>1.9896860762778981E-2</c:v>
                </c:pt>
                <c:pt idx="3270">
                  <c:v>1.9900250748231773E-2</c:v>
                </c:pt>
                <c:pt idx="3271">
                  <c:v>1.9903628841749656E-2</c:v>
                </c:pt>
                <c:pt idx="3272">
                  <c:v>1.9906994220458111E-2</c:v>
                </c:pt>
                <c:pt idx="3273">
                  <c:v>1.991034619861469E-2</c:v>
                </c:pt>
                <c:pt idx="3274">
                  <c:v>1.9913684639013978E-2</c:v>
                </c:pt>
                <c:pt idx="3275">
                  <c:v>1.991700954158878E-2</c:v>
                </c:pt>
                <c:pt idx="3276">
                  <c:v>1.9920320906272337E-2</c:v>
                </c:pt>
                <c:pt idx="3277">
                  <c:v>1.9923618732996567E-2</c:v>
                </c:pt>
                <c:pt idx="3278">
                  <c:v>1.9926903021693834E-2</c:v>
                </c:pt>
                <c:pt idx="3279">
                  <c:v>1.9930173772298693E-2</c:v>
                </c:pt>
                <c:pt idx="3280">
                  <c:v>1.9933117283422418E-2</c:v>
                </c:pt>
                <c:pt idx="3281">
                  <c:v>1.9936359811965985E-2</c:v>
                </c:pt>
                <c:pt idx="3282">
                  <c:v>1.9939588802930099E-2</c:v>
                </c:pt>
                <c:pt idx="3283">
                  <c:v>1.9942804256250279E-2</c:v>
                </c:pt>
                <c:pt idx="3284">
                  <c:v>1.9946006171860719E-2</c:v>
                </c:pt>
                <c:pt idx="3285">
                  <c:v>1.9949194549696059E-2</c:v>
                </c:pt>
                <c:pt idx="3286">
                  <c:v>1.9952369389693147E-2</c:v>
                </c:pt>
                <c:pt idx="3287">
                  <c:v>1.9955530691787061E-2</c:v>
                </c:pt>
                <c:pt idx="3288">
                  <c:v>1.9958678455913766E-2</c:v>
                </c:pt>
                <c:pt idx="3289">
                  <c:v>1.9964124911987804E-2</c:v>
                </c:pt>
                <c:pt idx="3290">
                  <c:v>1.9967243215095274E-2</c:v>
                </c:pt>
                <c:pt idx="3291">
                  <c:v>1.9970347977870409E-2</c:v>
                </c:pt>
                <c:pt idx="3292">
                  <c:v>1.9973439200250652E-2</c:v>
                </c:pt>
                <c:pt idx="3293">
                  <c:v>1.9976626449634848E-2</c:v>
                </c:pt>
                <c:pt idx="3294">
                  <c:v>1.9979687520468158E-2</c:v>
                </c:pt>
                <c:pt idx="3295">
                  <c:v>1.9982735051424928E-2</c:v>
                </c:pt>
                <c:pt idx="3296">
                  <c:v>1.9985769042441384E-2</c:v>
                </c:pt>
                <c:pt idx="3297">
                  <c:v>1.9990747776242802E-2</c:v>
                </c:pt>
                <c:pt idx="3298">
                  <c:v>1.999408611409122E-2</c:v>
                </c:pt>
                <c:pt idx="3299">
                  <c:v>1.999707707922227E-2</c:v>
                </c:pt>
                <c:pt idx="3300">
                  <c:v>2.0000054501982657E-2</c:v>
                </c:pt>
                <c:pt idx="3301">
                  <c:v>2.0000735896272864E-2</c:v>
                </c:pt>
                <c:pt idx="3302">
                  <c:v>2.0003688646359704E-2</c:v>
                </c:pt>
                <c:pt idx="3303">
                  <c:v>2.0006627856078596E-2</c:v>
                </c:pt>
                <c:pt idx="3304">
                  <c:v>2.0009553525369688E-2</c:v>
                </c:pt>
                <c:pt idx="3305">
                  <c:v>2.0014738478073196E-2</c:v>
                </c:pt>
                <c:pt idx="3306">
                  <c:v>2.0017634645321157E-2</c:v>
                </c:pt>
                <c:pt idx="3307">
                  <c:v>2.0020517269771262E-2</c:v>
                </c:pt>
                <c:pt idx="3308">
                  <c:v>2.0023386351365073E-2</c:v>
                </c:pt>
                <c:pt idx="3309">
                  <c:v>2.0026241890040267E-2</c:v>
                </c:pt>
                <c:pt idx="3310">
                  <c:v>2.0026823188798386E-2</c:v>
                </c:pt>
                <c:pt idx="3311">
                  <c:v>2.0031912338403169E-2</c:v>
                </c:pt>
                <c:pt idx="3312">
                  <c:v>2.0034727247973123E-2</c:v>
                </c:pt>
                <c:pt idx="3313">
                  <c:v>2.0037528614389382E-2</c:v>
                </c:pt>
                <c:pt idx="3314">
                  <c:v>2.0038065481718374E-2</c:v>
                </c:pt>
                <c:pt idx="3315">
                  <c:v>2.0039342941675642E-2</c:v>
                </c:pt>
                <c:pt idx="3316">
                  <c:v>2.0042107749403817E-2</c:v>
                </c:pt>
                <c:pt idx="3317">
                  <c:v>2.0044859017414138E-2</c:v>
                </c:pt>
                <c:pt idx="3318">
                  <c:v>2.0047596745650074E-2</c:v>
                </c:pt>
                <c:pt idx="3319">
                  <c:v>2.0051067328959529E-2</c:v>
                </c:pt>
                <c:pt idx="3320">
                  <c:v>2.0053777160518232E-2</c:v>
                </c:pt>
                <c:pt idx="3321">
                  <c:v>2.0056473451403302E-2</c:v>
                </c:pt>
                <c:pt idx="3322">
                  <c:v>2.0059156201561148E-2</c:v>
                </c:pt>
                <c:pt idx="3323">
                  <c:v>2.0061825410936873E-2</c:v>
                </c:pt>
                <c:pt idx="3324">
                  <c:v>2.0063738776747497E-2</c:v>
                </c:pt>
                <c:pt idx="3325">
                  <c:v>2.0066381725035127E-2</c:v>
                </c:pt>
                <c:pt idx="3326">
                  <c:v>2.0069011133115124E-2</c:v>
                </c:pt>
                <c:pt idx="3327">
                  <c:v>2.0071627000932728E-2</c:v>
                </c:pt>
                <c:pt idx="3328">
                  <c:v>2.0074968344189363E-2</c:v>
                </c:pt>
                <c:pt idx="3329">
                  <c:v>2.0077556307740954E-2</c:v>
                </c:pt>
                <c:pt idx="3330">
                  <c:v>2.0080130730136217E-2</c:v>
                </c:pt>
                <c:pt idx="3331">
                  <c:v>2.0084148892253979E-2</c:v>
                </c:pt>
                <c:pt idx="3332">
                  <c:v>2.0084866152573339E-2</c:v>
                </c:pt>
                <c:pt idx="3333">
                  <c:v>2.0087037859396112E-2</c:v>
                </c:pt>
                <c:pt idx="3334">
                  <c:v>2.0089558943915599E-2</c:v>
                </c:pt>
                <c:pt idx="3335">
                  <c:v>2.0092066487757559E-2</c:v>
                </c:pt>
                <c:pt idx="3336">
                  <c:v>2.0094560490870762E-2</c:v>
                </c:pt>
                <c:pt idx="3337">
                  <c:v>2.0097040953206181E-2</c:v>
                </c:pt>
                <c:pt idx="3338">
                  <c:v>2.009950787471259E-2</c:v>
                </c:pt>
                <c:pt idx="3339">
                  <c:v>2.0101961255340084E-2</c:v>
                </c:pt>
                <c:pt idx="3340">
                  <c:v>2.0104401095040525E-2</c:v>
                </c:pt>
                <c:pt idx="3341">
                  <c:v>2.0110468125341351E-2</c:v>
                </c:pt>
                <c:pt idx="3342">
                  <c:v>2.0112876716143424E-2</c:v>
                </c:pt>
                <c:pt idx="3343">
                  <c:v>2.0115271762168156E-2</c:v>
                </c:pt>
                <c:pt idx="3344">
                  <c:v>2.011765326336698E-2</c:v>
                </c:pt>
                <c:pt idx="3345">
                  <c:v>2.0117846953762685E-2</c:v>
                </c:pt>
                <c:pt idx="3346">
                  <c:v>2.012020387447986E-2</c:v>
                </c:pt>
                <c:pt idx="3347">
                  <c:v>2.0122547252446287E-2</c:v>
                </c:pt>
                <c:pt idx="3348">
                  <c:v>2.0124877087614356E-2</c:v>
                </c:pt>
                <c:pt idx="3349">
                  <c:v>2.012719337993733E-2</c:v>
                </c:pt>
                <c:pt idx="3350">
                  <c:v>2.0131657826444792E-2</c:v>
                </c:pt>
                <c:pt idx="3351">
                  <c:v>2.0133944512486599E-2</c:v>
                </c:pt>
                <c:pt idx="3352">
                  <c:v>2.0136217653313998E-2</c:v>
                </c:pt>
                <c:pt idx="3353">
                  <c:v>2.013847724887842E-2</c:v>
                </c:pt>
                <c:pt idx="3354">
                  <c:v>2.0138571697217181E-2</c:v>
                </c:pt>
                <c:pt idx="3355">
                  <c:v>2.0140806731480637E-2</c:v>
                </c:pt>
                <c:pt idx="3356">
                  <c:v>2.0143028222572704E-2</c:v>
                </c:pt>
                <c:pt idx="3357">
                  <c:v>2.0147380177583642E-2</c:v>
                </c:pt>
                <c:pt idx="3358">
                  <c:v>2.0149572046139545E-2</c:v>
                </c:pt>
                <c:pt idx="3359">
                  <c:v>2.0151750369156566E-2</c:v>
                </c:pt>
                <c:pt idx="3360">
                  <c:v>2.0153915146588718E-2</c:v>
                </c:pt>
                <c:pt idx="3361">
                  <c:v>2.0156066378390444E-2</c:v>
                </c:pt>
                <c:pt idx="3362">
                  <c:v>2.0156072760001947E-2</c:v>
                </c:pt>
                <c:pt idx="3363">
                  <c:v>2.0160328204927712E-2</c:v>
                </c:pt>
                <c:pt idx="3364">
                  <c:v>2.0162438799573863E-2</c:v>
                </c:pt>
                <c:pt idx="3365">
                  <c:v>2.0164535848412098E-2</c:v>
                </c:pt>
                <c:pt idx="3366">
                  <c:v>2.0166619351401158E-2</c:v>
                </c:pt>
                <c:pt idx="3367">
                  <c:v>2.0165864470001883E-2</c:v>
                </c:pt>
                <c:pt idx="3368">
                  <c:v>2.0167924292177564E-2</c:v>
                </c:pt>
                <c:pt idx="3369">
                  <c:v>2.0169970571359268E-2</c:v>
                </c:pt>
                <c:pt idx="3370">
                  <c:v>2.0172003307505709E-2</c:v>
                </c:pt>
                <c:pt idx="3371">
                  <c:v>2.017472537815581E-2</c:v>
                </c:pt>
                <c:pt idx="3372">
                  <c:v>2.0179537703064878E-2</c:v>
                </c:pt>
                <c:pt idx="3373">
                  <c:v>2.0178721422970638E-2</c:v>
                </c:pt>
                <c:pt idx="3374">
                  <c:v>2.018069912947849E-2</c:v>
                </c:pt>
                <c:pt idx="3375">
                  <c:v>2.0182663291998987E-2</c:v>
                </c:pt>
                <c:pt idx="3376">
                  <c:v>2.0183915318337062E-2</c:v>
                </c:pt>
                <c:pt idx="3377">
                  <c:v>2.0185853252091192E-2</c:v>
                </c:pt>
                <c:pt idx="3378">
                  <c:v>2.0187777642487678E-2</c:v>
                </c:pt>
                <c:pt idx="3379">
                  <c:v>2.0189688489484794E-2</c:v>
                </c:pt>
                <c:pt idx="3380">
                  <c:v>2.0192280943399955E-2</c:v>
                </c:pt>
                <c:pt idx="3381">
                  <c:v>2.0194163841164216E-2</c:v>
                </c:pt>
                <c:pt idx="3382">
                  <c:v>2.0196033194666809E-2</c:v>
                </c:pt>
                <c:pt idx="3383">
                  <c:v>2.0197889003867549E-2</c:v>
                </c:pt>
                <c:pt idx="3384">
                  <c:v>2.019903957215826E-2</c:v>
                </c:pt>
                <c:pt idx="3385">
                  <c:v>2.0200869157962879E-2</c:v>
                </c:pt>
                <c:pt idx="3386">
                  <c:v>2.020268520010416E-2</c:v>
                </c:pt>
                <c:pt idx="3387">
                  <c:v>2.0204487698544337E-2</c:v>
                </c:pt>
                <c:pt idx="3388">
                  <c:v>2.0206276653246955E-2</c:v>
                </c:pt>
                <c:pt idx="3389">
                  <c:v>2.0208052064175995E-2</c:v>
                </c:pt>
                <c:pt idx="3390">
                  <c:v>2.0209813931295006E-2</c:v>
                </c:pt>
                <c:pt idx="3391">
                  <c:v>2.0211562254566658E-2</c:v>
                </c:pt>
                <c:pt idx="3392">
                  <c:v>2.0213297033958005E-2</c:v>
                </c:pt>
                <c:pt idx="3393">
                  <c:v>2.0217753449079834E-2</c:v>
                </c:pt>
                <c:pt idx="3394">
                  <c:v>2.0219457651704017E-2</c:v>
                </c:pt>
                <c:pt idx="3395">
                  <c:v>2.0221148307336713E-2</c:v>
                </c:pt>
                <c:pt idx="3396">
                  <c:v>2.0222825415941822E-2</c:v>
                </c:pt>
                <c:pt idx="3397">
                  <c:v>2.0222448160375783E-2</c:v>
                </c:pt>
                <c:pt idx="3398">
                  <c:v>2.0224100800669685E-2</c:v>
                </c:pt>
                <c:pt idx="3399">
                  <c:v>2.0225739896088207E-2</c:v>
                </c:pt>
                <c:pt idx="3400">
                  <c:v>2.0227365446599015E-2</c:v>
                </c:pt>
                <c:pt idx="3401">
                  <c:v>2.0228977452168919E-2</c:v>
                </c:pt>
                <c:pt idx="3402">
                  <c:v>2.0232603578074715E-2</c:v>
                </c:pt>
                <c:pt idx="3403">
                  <c:v>2.0234185856530931E-2</c:v>
                </c:pt>
                <c:pt idx="3404">
                  <c:v>2.0235754587689239E-2</c:v>
                </c:pt>
                <c:pt idx="3405">
                  <c:v>2.0237309771516977E-2</c:v>
                </c:pt>
                <c:pt idx="3406">
                  <c:v>2.0236834304755154E-2</c:v>
                </c:pt>
                <c:pt idx="3407">
                  <c:v>2.02383650399947E-2</c:v>
                </c:pt>
                <c:pt idx="3408">
                  <c:v>2.0239882230067948E-2</c:v>
                </c:pt>
                <c:pt idx="3409">
                  <c:v>2.0241385874944753E-2</c:v>
                </c:pt>
                <c:pt idx="3410">
                  <c:v>2.0242875974592359E-2</c:v>
                </c:pt>
                <c:pt idx="3411">
                  <c:v>2.0246356378751062E-2</c:v>
                </c:pt>
                <c:pt idx="3412">
                  <c:v>2.0247816730375633E-2</c:v>
                </c:pt>
                <c:pt idx="3413">
                  <c:v>2.0249263534419085E-2</c:v>
                </c:pt>
                <c:pt idx="3414">
                  <c:v>2.0250696790851331E-2</c:v>
                </c:pt>
                <c:pt idx="3415">
                  <c:v>2.025211649964186E-2</c:v>
                </c:pt>
                <c:pt idx="3416">
                  <c:v>2.0253522660761879E-2</c:v>
                </c:pt>
                <c:pt idx="3417">
                  <c:v>2.0254915274183018E-2</c:v>
                </c:pt>
                <c:pt idx="3418">
                  <c:v>2.0256294339875195E-2</c:v>
                </c:pt>
                <c:pt idx="3419">
                  <c:v>2.0254355344217934E-2</c:v>
                </c:pt>
                <c:pt idx="3420">
                  <c:v>2.0255711773166325E-2</c:v>
                </c:pt>
                <c:pt idx="3421">
                  <c:v>2.0257054658076337E-2</c:v>
                </c:pt>
                <c:pt idx="3422">
                  <c:v>2.0258383998921915E-2</c:v>
                </c:pt>
                <c:pt idx="3423">
                  <c:v>2.0259699795675677E-2</c:v>
                </c:pt>
                <c:pt idx="3424">
                  <c:v>2.026165860675673E-2</c:v>
                </c:pt>
                <c:pt idx="3425">
                  <c:v>2.0262946419918774E-2</c:v>
                </c:pt>
                <c:pt idx="3426">
                  <c:v>2.0264220688153877E-2</c:v>
                </c:pt>
                <c:pt idx="3427">
                  <c:v>2.0265481411436571E-2</c:v>
                </c:pt>
                <c:pt idx="3428">
                  <c:v>2.0266075617151762E-2</c:v>
                </c:pt>
                <c:pt idx="3429">
                  <c:v>2.0267310148806564E-2</c:v>
                </c:pt>
                <c:pt idx="3430">
                  <c:v>2.0268531136190249E-2</c:v>
                </c:pt>
                <c:pt idx="3431">
                  <c:v>2.0269738579277202E-2</c:v>
                </c:pt>
                <c:pt idx="3432">
                  <c:v>2.0271581852679282E-2</c:v>
                </c:pt>
                <c:pt idx="3433">
                  <c:v>2.0272761305720012E-2</c:v>
                </c:pt>
                <c:pt idx="3434">
                  <c:v>2.027392721363484E-2</c:v>
                </c:pt>
                <c:pt idx="3435">
                  <c:v>2.0275079576399173E-2</c:v>
                </c:pt>
                <c:pt idx="3436">
                  <c:v>2.0276218393992365E-2</c:v>
                </c:pt>
                <c:pt idx="3437">
                  <c:v>2.0276698806216974E-2</c:v>
                </c:pt>
                <c:pt idx="3438">
                  <c:v>2.0277811438558151E-2</c:v>
                </c:pt>
                <c:pt idx="3439">
                  <c:v>2.0278910526414458E-2</c:v>
                </c:pt>
                <c:pt idx="3440">
                  <c:v>2.0279996069764696E-2</c:v>
                </c:pt>
                <c:pt idx="3441">
                  <c:v>2.02810680685859E-2</c:v>
                </c:pt>
                <c:pt idx="3442">
                  <c:v>2.0282126522856426E-2</c:v>
                </c:pt>
                <c:pt idx="3443">
                  <c:v>2.0283171432555966E-2</c:v>
                </c:pt>
                <c:pt idx="3444">
                  <c:v>2.0284202797662434E-2</c:v>
                </c:pt>
                <c:pt idx="3445">
                  <c:v>2.0288407974043427E-2</c:v>
                </c:pt>
                <c:pt idx="3446">
                  <c:v>2.0289407692722448E-2</c:v>
                </c:pt>
                <c:pt idx="3447">
                  <c:v>2.0290393862956526E-2</c:v>
                </c:pt>
                <c:pt idx="3448">
                  <c:v>2.0291366484723308E-2</c:v>
                </c:pt>
                <c:pt idx="3449">
                  <c:v>2.0290424286327061E-2</c:v>
                </c:pt>
                <c:pt idx="3450">
                  <c:v>2.0291372554825538E-2</c:v>
                </c:pt>
                <c:pt idx="3451">
                  <c:v>2.0292307277073991E-2</c:v>
                </c:pt>
                <c:pt idx="3452">
                  <c:v>2.0293228453053206E-2</c:v>
                </c:pt>
                <c:pt idx="3453">
                  <c:v>2.0294136082744829E-2</c:v>
                </c:pt>
                <c:pt idx="3454">
                  <c:v>2.0296917696428673E-2</c:v>
                </c:pt>
                <c:pt idx="3455">
                  <c:v>2.0297795478382463E-2</c:v>
                </c:pt>
                <c:pt idx="3456">
                  <c:v>2.0298659711717251E-2</c:v>
                </c:pt>
                <c:pt idx="3457">
                  <c:v>2.02995103964137E-2</c:v>
                </c:pt>
                <c:pt idx="3458">
                  <c:v>2.0298471036240884E-2</c:v>
                </c:pt>
                <c:pt idx="3459">
                  <c:v>2.0299297387824329E-2</c:v>
                </c:pt>
                <c:pt idx="3460">
                  <c:v>2.0300110192995258E-2</c:v>
                </c:pt>
                <c:pt idx="3461">
                  <c:v>2.0300909451737945E-2</c:v>
                </c:pt>
                <c:pt idx="3462">
                  <c:v>2.0301695164034482E-2</c:v>
                </c:pt>
                <c:pt idx="3463">
                  <c:v>2.0304329982227583E-2</c:v>
                </c:pt>
                <c:pt idx="3464">
                  <c:v>2.030508582598119E-2</c:v>
                </c:pt>
                <c:pt idx="3465">
                  <c:v>2.0305828120961513E-2</c:v>
                </c:pt>
                <c:pt idx="3466">
                  <c:v>2.0306556867155653E-2</c:v>
                </c:pt>
                <c:pt idx="3467">
                  <c:v>2.0307272064547285E-2</c:v>
                </c:pt>
                <c:pt idx="3468">
                  <c:v>2.0307973713122228E-2</c:v>
                </c:pt>
                <c:pt idx="3469">
                  <c:v>2.0308661812865864E-2</c:v>
                </c:pt>
                <c:pt idx="3470">
                  <c:v>2.0309336363764013E-2</c:v>
                </c:pt>
                <c:pt idx="3471">
                  <c:v>2.0306929729731315E-2</c:v>
                </c:pt>
                <c:pt idx="3472">
                  <c:v>2.0307581838770346E-2</c:v>
                </c:pt>
                <c:pt idx="3473">
                  <c:v>2.0308220402722562E-2</c:v>
                </c:pt>
                <c:pt idx="3474">
                  <c:v>2.0308845421576471E-2</c:v>
                </c:pt>
                <c:pt idx="3475">
                  <c:v>2.0309456895317945E-2</c:v>
                </c:pt>
                <c:pt idx="3476">
                  <c:v>2.03106638207055E-2</c:v>
                </c:pt>
                <c:pt idx="3477">
                  <c:v>2.0311247269422534E-2</c:v>
                </c:pt>
                <c:pt idx="3478">
                  <c:v>2.0311817172232311E-2</c:v>
                </c:pt>
                <c:pt idx="3479">
                  <c:v>2.0312373529121221E-2</c:v>
                </c:pt>
                <c:pt idx="3480">
                  <c:v>2.0312311086919242E-2</c:v>
                </c:pt>
                <c:pt idx="3481">
                  <c:v>2.0312841289737909E-2</c:v>
                </c:pt>
                <c:pt idx="3482">
                  <c:v>2.0313357947364205E-2</c:v>
                </c:pt>
                <c:pt idx="3483">
                  <c:v>2.0313861059786203E-2</c:v>
                </c:pt>
                <c:pt idx="3484">
                  <c:v>2.0314952124377662E-2</c:v>
                </c:pt>
                <c:pt idx="3485">
                  <c:v>2.0315427205517805E-2</c:v>
                </c:pt>
                <c:pt idx="3486">
                  <c:v>2.031588874066417E-2</c:v>
                </c:pt>
                <c:pt idx="3487">
                  <c:v>2.0316336729807972E-2</c:v>
                </c:pt>
                <c:pt idx="3488">
                  <c:v>2.0316832130446286E-2</c:v>
                </c:pt>
                <c:pt idx="3489">
                  <c:v>2.0316654441763643E-2</c:v>
                </c:pt>
                <c:pt idx="3490">
                  <c:v>2.0317060802454597E-2</c:v>
                </c:pt>
                <c:pt idx="3491">
                  <c:v>2.0317453617866178E-2</c:v>
                </c:pt>
                <c:pt idx="3492">
                  <c:v>2.0317832887992642E-2</c:v>
                </c:pt>
                <c:pt idx="3493">
                  <c:v>2.0318198612824277E-2</c:v>
                </c:pt>
                <c:pt idx="3494">
                  <c:v>2.0318550792355339E-2</c:v>
                </c:pt>
                <c:pt idx="3495">
                  <c:v>2.031888942657788E-2</c:v>
                </c:pt>
                <c:pt idx="3496">
                  <c:v>2.0319214515485278E-2</c:v>
                </c:pt>
                <c:pt idx="3497">
                  <c:v>2.0321881931550313E-2</c:v>
                </c:pt>
                <c:pt idx="3498">
                  <c:v>2.0322176125787714E-2</c:v>
                </c:pt>
                <c:pt idx="3499">
                  <c:v>2.0322456771647131E-2</c:v>
                </c:pt>
                <c:pt idx="3500">
                  <c:v>2.0322723869123375E-2</c:v>
                </c:pt>
                <c:pt idx="3501">
                  <c:v>2.0321222043422717E-2</c:v>
                </c:pt>
                <c:pt idx="3502">
                  <c:v>2.0323217418903018E-2</c:v>
                </c:pt>
                <c:pt idx="3503">
                  <c:v>2.0322401919077342E-2</c:v>
                </c:pt>
                <c:pt idx="3504">
                  <c:v>2.0323656775084725E-2</c:v>
                </c:pt>
                <c:pt idx="3505">
                  <c:v>2.0323856130565601E-2</c:v>
                </c:pt>
                <c:pt idx="3506">
                  <c:v>2.0324041937633496E-2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63959040"/>
        <c:axId val="66396096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41976</c:v>
                </c:pt>
                <c:pt idx="1">
                  <c:v>42009</c:v>
                </c:pt>
                <c:pt idx="2">
                  <c:v>42038</c:v>
                </c:pt>
                <c:pt idx="3">
                  <c:v>42066</c:v>
                </c:pt>
                <c:pt idx="4">
                  <c:v>42101</c:v>
                </c:pt>
                <c:pt idx="5">
                  <c:v>42128</c:v>
                </c:pt>
                <c:pt idx="6">
                  <c:v>42158</c:v>
                </c:pt>
                <c:pt idx="7">
                  <c:v>42188</c:v>
                </c:pt>
                <c:pt idx="8">
                  <c:v>42219</c:v>
                </c:pt>
                <c:pt idx="9">
                  <c:v>42250</c:v>
                </c:pt>
                <c:pt idx="10">
                  <c:v>42282</c:v>
                </c:pt>
                <c:pt idx="11">
                  <c:v>42311</c:v>
                </c:pt>
                <c:pt idx="12">
                  <c:v>42341</c:v>
                </c:pt>
                <c:pt idx="13">
                  <c:v>42373</c:v>
                </c:pt>
                <c:pt idx="14">
                  <c:v>42403</c:v>
                </c:pt>
                <c:pt idx="15">
                  <c:v>42432</c:v>
                </c:pt>
                <c:pt idx="16">
                  <c:v>42464</c:v>
                </c:pt>
                <c:pt idx="17">
                  <c:v>42493</c:v>
                </c:pt>
              </c:numCache>
            </c:numRef>
          </c:xVal>
          <c:yVal>
            <c:numRef>
              <c:f>[0]!FRASeries</c:f>
              <c:numCache>
                <c:formatCode>0.0000%</c:formatCode>
                <c:ptCount val="18"/>
                <c:pt idx="0">
                  <c:v>2.0500000000000002E-3</c:v>
                </c:pt>
                <c:pt idx="1">
                  <c:v>2.0800000000000003E-3</c:v>
                </c:pt>
                <c:pt idx="2">
                  <c:v>2.0900000000000003E-3</c:v>
                </c:pt>
                <c:pt idx="3">
                  <c:v>2.0800000000000003E-3</c:v>
                </c:pt>
                <c:pt idx="4">
                  <c:v>2.0800000000000003E-3</c:v>
                </c:pt>
                <c:pt idx="5">
                  <c:v>2.0900000000000003E-3</c:v>
                </c:pt>
                <c:pt idx="6">
                  <c:v>2.0900000000000003E-3</c:v>
                </c:pt>
                <c:pt idx="7">
                  <c:v>2.1199999999999999E-3</c:v>
                </c:pt>
                <c:pt idx="8">
                  <c:v>2.1700000000000001E-3</c:v>
                </c:pt>
                <c:pt idx="9">
                  <c:v>2.2200000000000002E-3</c:v>
                </c:pt>
                <c:pt idx="10">
                  <c:v>2.2799999999999999E-3</c:v>
                </c:pt>
                <c:pt idx="11">
                  <c:v>2.3499999999999997E-3</c:v>
                </c:pt>
                <c:pt idx="12">
                  <c:v>2.4299999999999999E-3</c:v>
                </c:pt>
                <c:pt idx="13">
                  <c:v>2.5100000000000001E-3</c:v>
                </c:pt>
                <c:pt idx="14">
                  <c:v>2.5900000000000003E-3</c:v>
                </c:pt>
                <c:pt idx="15">
                  <c:v>2.6800000000000001E-3</c:v>
                </c:pt>
                <c:pt idx="16">
                  <c:v>2.7800000000000004E-3</c:v>
                </c:pt>
                <c:pt idx="17">
                  <c:v>2.8800000000000002E-3</c:v>
                </c:pt>
              </c:numCache>
            </c:numRef>
          </c:yVal>
          <c:smooth val="0"/>
        </c:ser>
        <c:dLbls>
          <c:showLegendKey val="0"/>
          <c:showVal val="0"/>
          <c:showCatName val="0"/>
          <c:showSerName val="0"/>
          <c:showPercent val="0"/>
          <c:showBubbleSize val="0"/>
        </c:dLbls>
        <c:axId val="663959040"/>
        <c:axId val="663960960"/>
      </c:scatterChart>
      <c:dateAx>
        <c:axId val="663959040"/>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63960960"/>
        <c:crosses val="autoZero"/>
        <c:auto val="1"/>
        <c:lblOffset val="100"/>
        <c:baseTimeUnit val="days"/>
        <c:majorUnit val="3"/>
        <c:majorTimeUnit val="months"/>
        <c:minorUnit val="1"/>
        <c:minorTimeUnit val="years"/>
      </c:dateAx>
      <c:valAx>
        <c:axId val="663960960"/>
        <c:scaling>
          <c:orientation val="minMax"/>
          <c:max val="4.0000000000000001E-3"/>
          <c:min val="1E-3"/>
        </c:scaling>
        <c:delete val="0"/>
        <c:axPos val="l"/>
        <c:majorGridlines/>
        <c:numFmt formatCode="0.00%" sourceLinked="0"/>
        <c:majorTickMark val="out"/>
        <c:minorTickMark val="none"/>
        <c:tickLblPos val="nextTo"/>
        <c:crossAx val="66395904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Monitor!$AB$19:$AB$3552</c:f>
              <c:numCache>
                <c:formatCode>0.0000%</c:formatCode>
                <c:ptCount val="3534"/>
                <c:pt idx="0">
                  <c:v>1.8384561179818348E-3</c:v>
                </c:pt>
                <c:pt idx="1">
                  <c:v>1.8386123199132243E-3</c:v>
                </c:pt>
                <c:pt idx="2">
                  <c:v>1.8389247236960671E-3</c:v>
                </c:pt>
                <c:pt idx="3">
                  <c:v>1.8393933294102993E-3</c:v>
                </c:pt>
                <c:pt idx="4">
                  <c:v>1.8408606269204597E-3</c:v>
                </c:pt>
                <c:pt idx="5">
                  <c:v>1.8428297711015063E-3</c:v>
                </c:pt>
                <c:pt idx="6">
                  <c:v>1.8440793862328775E-3</c:v>
                </c:pt>
                <c:pt idx="7">
                  <c:v>1.8454852033755742E-3</c:v>
                </c:pt>
                <c:pt idx="8">
                  <c:v>1.8470472223697243E-3</c:v>
                </c:pt>
                <c:pt idx="9">
                  <c:v>1.8507014473989614E-3</c:v>
                </c:pt>
                <c:pt idx="10">
                  <c:v>1.8548573173404748E-3</c:v>
                </c:pt>
                <c:pt idx="11">
                  <c:v>1.857200345911636E-3</c:v>
                </c:pt>
                <c:pt idx="12">
                  <c:v>1.8596995763342505E-3</c:v>
                </c:pt>
                <c:pt idx="13">
                  <c:v>1.8623550087681906E-3</c:v>
                </c:pt>
                <c:pt idx="14">
                  <c:v>1.8681962413857889E-3</c:v>
                </c:pt>
                <c:pt idx="15">
                  <c:v>1.874538757578037E-3</c:v>
                </c:pt>
                <c:pt idx="16">
                  <c:v>1.8779751996689242E-3</c:v>
                </c:pt>
                <c:pt idx="17">
                  <c:v>1.8815678436112648E-3</c:v>
                </c:pt>
                <c:pt idx="18">
                  <c:v>1.8853166895649309E-3</c:v>
                </c:pt>
                <c:pt idx="19">
                  <c:v>1.8933450122116113E-3</c:v>
                </c:pt>
                <c:pt idx="20">
                  <c:v>1.9018740930132338E-3</c:v>
                </c:pt>
                <c:pt idx="21">
                  <c:v>1.9064039487837192E-3</c:v>
                </c:pt>
                <c:pt idx="22">
                  <c:v>1.9110215151929566E-3</c:v>
                </c:pt>
                <c:pt idx="23">
                  <c:v>1.9154528268305882E-3</c:v>
                </c:pt>
                <c:pt idx="24">
                  <c:v>1.9234765730846703E-3</c:v>
                </c:pt>
                <c:pt idx="25">
                  <c:v>1.9306306113797689E-3</c:v>
                </c:pt>
                <c:pt idx="26">
                  <c:v>1.9337881921366318E-3</c:v>
                </c:pt>
                <c:pt idx="27">
                  <c:v>1.9366910265095072E-3</c:v>
                </c:pt>
                <c:pt idx="28">
                  <c:v>1.9393391148181394E-3</c:v>
                </c:pt>
                <c:pt idx="29">
                  <c:v>1.9437966325597245E-3</c:v>
                </c:pt>
                <c:pt idx="30">
                  <c:v>1.9473840055717062E-3</c:v>
                </c:pt>
                <c:pt idx="31">
                  <c:v>1.9487583626798255E-3</c:v>
                </c:pt>
                <c:pt idx="32">
                  <c:v>1.9498779735638294E-3</c:v>
                </c:pt>
                <c:pt idx="33">
                  <c:v>1.9507428381437819E-3</c:v>
                </c:pt>
                <c:pt idx="34">
                  <c:v>1.9516339934533278E-3</c:v>
                </c:pt>
                <c:pt idx="35">
                  <c:v>1.9516548343023743E-3</c:v>
                </c:pt>
                <c:pt idx="36">
                  <c:v>1.9512459676818139E-3</c:v>
                </c:pt>
                <c:pt idx="37">
                  <c:v>1.9482572311115831E-3</c:v>
                </c:pt>
                <c:pt idx="38">
                  <c:v>1.9434430970122207E-3</c:v>
                </c:pt>
                <c:pt idx="39">
                  <c:v>1.9412510067429167E-3</c:v>
                </c:pt>
                <c:pt idx="40">
                  <c:v>1.937458592440322E-3</c:v>
                </c:pt>
                <c:pt idx="41">
                  <c:v>1.9298606134743324E-3</c:v>
                </c:pt>
                <c:pt idx="42">
                  <c:v>1.922836275243256E-3</c:v>
                </c:pt>
                <c:pt idx="43">
                  <c:v>1.9193858448218748E-3</c:v>
                </c:pt>
                <c:pt idx="44">
                  <c:v>1.9162055514332366E-3</c:v>
                </c:pt>
                <c:pt idx="45">
                  <c:v>1.9132953951572773E-3</c:v>
                </c:pt>
                <c:pt idx="46">
                  <c:v>1.9083856557955414E-3</c:v>
                </c:pt>
                <c:pt idx="47">
                  <c:v>1.9043561404608056E-3</c:v>
                </c:pt>
                <c:pt idx="48">
                  <c:v>1.902796669348561E-3</c:v>
                </c:pt>
                <c:pt idx="49">
                  <c:v>1.9015073353489953E-3</c:v>
                </c:pt>
                <c:pt idx="50">
                  <c:v>1.9004881383821726E-3</c:v>
                </c:pt>
                <c:pt idx="51">
                  <c:v>1.8993602220351846E-3</c:v>
                </c:pt>
                <c:pt idx="52">
                  <c:v>1.8991127206025027E-3</c:v>
                </c:pt>
                <c:pt idx="53">
                  <c:v>1.8994442087194585E-3</c:v>
                </c:pt>
                <c:pt idx="54">
                  <c:v>1.9000458339490933E-3</c:v>
                </c:pt>
                <c:pt idx="55">
                  <c:v>1.9009175960515989E-3</c:v>
                </c:pt>
                <c:pt idx="56">
                  <c:v>1.9035716426607507E-3</c:v>
                </c:pt>
                <c:pt idx="57">
                  <c:v>1.9071060151887309E-3</c:v>
                </c:pt>
                <c:pt idx="58">
                  <c:v>1.9093284625348872E-3</c:v>
                </c:pt>
                <c:pt idx="59">
                  <c:v>1.9118210469137864E-3</c:v>
                </c:pt>
                <c:pt idx="60">
                  <c:v>1.9145837684053646E-3</c:v>
                </c:pt>
                <c:pt idx="61">
                  <c:v>1.9210199190045074E-3</c:v>
                </c:pt>
                <c:pt idx="62">
                  <c:v>1.9283360249389148E-3</c:v>
                </c:pt>
                <c:pt idx="63">
                  <c:v>1.9324556954636307E-3</c:v>
                </c:pt>
                <c:pt idx="64">
                  <c:v>1.9368768212491005E-3</c:v>
                </c:pt>
                <c:pt idx="65">
                  <c:v>1.9416056658450032E-3</c:v>
                </c:pt>
                <c:pt idx="66">
                  <c:v>1.9520996701771764E-3</c:v>
                </c:pt>
                <c:pt idx="67">
                  <c:v>1.9635982340915348E-3</c:v>
                </c:pt>
                <c:pt idx="68">
                  <c:v>1.9698656735389619E-3</c:v>
                </c:pt>
                <c:pt idx="69">
                  <c:v>1.9764408321165661E-3</c:v>
                </c:pt>
                <c:pt idx="70">
                  <c:v>1.9833237095845391E-3</c:v>
                </c:pt>
                <c:pt idx="71">
                  <c:v>1.9981262849633197E-3</c:v>
                </c:pt>
                <c:pt idx="72">
                  <c:v>2.0139324102785849E-3</c:v>
                </c:pt>
                <c:pt idx="73">
                  <c:v>2.0223538831576349E-3</c:v>
                </c:pt>
                <c:pt idx="74">
                  <c:v>2.0310830753267339E-3</c:v>
                </c:pt>
                <c:pt idx="75">
                  <c:v>2.0401199864661379E-3</c:v>
                </c:pt>
                <c:pt idx="76">
                  <c:v>2.0592313184231159E-3</c:v>
                </c:pt>
                <c:pt idx="77">
                  <c:v>2.0793448236045009E-3</c:v>
                </c:pt>
                <c:pt idx="78">
                  <c:v>2.0899203309543424E-3</c:v>
                </c:pt>
                <c:pt idx="79">
                  <c:v>2.100803557674169E-3</c:v>
                </c:pt>
                <c:pt idx="80">
                  <c:v>2.1119945037639809E-3</c:v>
                </c:pt>
                <c:pt idx="81">
                  <c:v>2.1354147936047951E-3</c:v>
                </c:pt>
                <c:pt idx="82">
                  <c:v>2.1598354820628884E-3</c:v>
                </c:pt>
                <c:pt idx="83">
                  <c:v>2.1724049022076031E-3</c:v>
                </c:pt>
                <c:pt idx="84">
                  <c:v>2.18448142646821E-3</c:v>
                </c:pt>
                <c:pt idx="85">
                  <c:v>2.1959049316500057E-3</c:v>
                </c:pt>
                <c:pt idx="86">
                  <c:v>2.2165888591274552E-3</c:v>
                </c:pt>
                <c:pt idx="87">
                  <c:v>2.2350687603100994E-3</c:v>
                </c:pt>
                <c:pt idx="88">
                  <c:v>2.2432271692984784E-3</c:v>
                </c:pt>
                <c:pt idx="89">
                  <c:v>2.250732558808366E-3</c:v>
                </c:pt>
                <c:pt idx="90">
                  <c:v>2.2575849289196981E-3</c:v>
                </c:pt>
                <c:pt idx="91">
                  <c:v>2.2691272399733009E-3</c:v>
                </c:pt>
                <c:pt idx="92">
                  <c:v>2.2784642143403033E-3</c:v>
                </c:pt>
                <c:pt idx="93">
                  <c:v>2.2820514868993058E-3</c:v>
                </c:pt>
                <c:pt idx="94">
                  <c:v>2.2849857396600726E-3</c:v>
                </c:pt>
                <c:pt idx="95">
                  <c:v>2.2872669729423478E-3</c:v>
                </c:pt>
                <c:pt idx="96">
                  <c:v>2.2896672699168619E-3</c:v>
                </c:pt>
                <c:pt idx="97">
                  <c:v>2.2898617096078766E-3</c:v>
                </c:pt>
                <c:pt idx="98">
                  <c:v>2.2888778446183977E-3</c:v>
                </c:pt>
                <c:pt idx="99">
                  <c:v>2.2872409599905552E-3</c:v>
                </c:pt>
                <c:pt idx="100">
                  <c:v>2.2849510558042851E-3</c:v>
                </c:pt>
                <c:pt idx="101">
                  <c:v>2.2782089325179555E-3</c:v>
                </c:pt>
                <c:pt idx="102">
                  <c:v>2.2692612429153769E-3</c:v>
                </c:pt>
                <c:pt idx="103">
                  <c:v>2.2637062407770969E-3</c:v>
                </c:pt>
                <c:pt idx="104">
                  <c:v>2.2574982191603254E-3</c:v>
                </c:pt>
                <c:pt idx="105">
                  <c:v>2.2343307522554312E-3</c:v>
                </c:pt>
                <c:pt idx="106">
                  <c:v>2.2066882142368627E-3</c:v>
                </c:pt>
                <c:pt idx="107">
                  <c:v>2.1968182501908018E-3</c:v>
                </c:pt>
                <c:pt idx="108">
                  <c:v>2.187204459866976E-3</c:v>
                </c:pt>
                <c:pt idx="109">
                  <c:v>2.16884385773497E-3</c:v>
                </c:pt>
                <c:pt idx="110">
                  <c:v>2.1513110355542153E-3</c:v>
                </c:pt>
                <c:pt idx="111">
                  <c:v>2.1429781136017567E-3</c:v>
                </c:pt>
                <c:pt idx="112">
                  <c:v>2.1349013652915971E-3</c:v>
                </c:pt>
                <c:pt idx="113">
                  <c:v>2.1270807905438005E-3</c:v>
                </c:pt>
                <c:pt idx="114">
                  <c:v>2.1123059468219907E-3</c:v>
                </c:pt>
                <c:pt idx="115">
                  <c:v>2.0983602272561797E-3</c:v>
                </c:pt>
                <c:pt idx="116">
                  <c:v>2.0918205204001339E-3</c:v>
                </c:pt>
                <c:pt idx="117">
                  <c:v>2.0855369868666429E-3</c:v>
                </c:pt>
                <c:pt idx="118">
                  <c:v>2.0795096268955149E-3</c:v>
                </c:pt>
                <c:pt idx="119">
                  <c:v>2.0683207016425342E-3</c:v>
                </c:pt>
                <c:pt idx="120">
                  <c:v>2.0579619217553358E-3</c:v>
                </c:pt>
                <c:pt idx="121">
                  <c:v>2.0532154291164062E-3</c:v>
                </c:pt>
                <c:pt idx="122">
                  <c:v>2.0487251098799675E-3</c:v>
                </c:pt>
                <c:pt idx="123">
                  <c:v>2.0387974981272983E-3</c:v>
                </c:pt>
                <c:pt idx="124">
                  <c:v>2.0301267713307425E-3</c:v>
                </c:pt>
                <c:pt idx="125">
                  <c:v>2.0272374319230124E-3</c:v>
                </c:pt>
                <c:pt idx="126">
                  <c:v>2.0246682054914089E-3</c:v>
                </c:pt>
                <c:pt idx="127">
                  <c:v>2.0224190918760598E-3</c:v>
                </c:pt>
                <c:pt idx="128">
                  <c:v>2.0189992306018922E-3</c:v>
                </c:pt>
                <c:pt idx="129">
                  <c:v>2.0166237659768882E-3</c:v>
                </c:pt>
                <c:pt idx="130">
                  <c:v>2.0159752166826195E-3</c:v>
                </c:pt>
                <c:pt idx="131">
                  <c:v>2.0156467801246691E-3</c:v>
                </c:pt>
                <c:pt idx="132">
                  <c:v>2.0156384564629093E-3</c:v>
                </c:pt>
                <c:pt idx="133">
                  <c:v>2.0167001493032188E-3</c:v>
                </c:pt>
                <c:pt idx="134">
                  <c:v>2.0188062903780946E-3</c:v>
                </c:pt>
                <c:pt idx="135">
                  <c:v>2.020398530877543E-3</c:v>
                </c:pt>
                <c:pt idx="136">
                  <c:v>2.0223108843531179E-3</c:v>
                </c:pt>
                <c:pt idx="137">
                  <c:v>2.0245433506449473E-3</c:v>
                </c:pt>
                <c:pt idx="138">
                  <c:v>2.0300867739653228E-3</c:v>
                </c:pt>
                <c:pt idx="139">
                  <c:v>2.0366743446142976E-3</c:v>
                </c:pt>
                <c:pt idx="140">
                  <c:v>2.0405073753071434E-3</c:v>
                </c:pt>
                <c:pt idx="141">
                  <c:v>2.0446605189761158E-3</c:v>
                </c:pt>
                <c:pt idx="142">
                  <c:v>2.0491337754613426E-3</c:v>
                </c:pt>
                <c:pt idx="143">
                  <c:v>2.0591591097574025E-3</c:v>
                </c:pt>
                <c:pt idx="144">
                  <c:v>2.0702279311635152E-3</c:v>
                </c:pt>
                <c:pt idx="145">
                  <c:v>2.0763017525293748E-3</c:v>
                </c:pt>
                <c:pt idx="146">
                  <c:v>2.0825690034076416E-3</c:v>
                </c:pt>
                <c:pt idx="147">
                  <c:v>2.0885229493838864E-3</c:v>
                </c:pt>
                <c:pt idx="148">
                  <c:v>2.0989764514478537E-3</c:v>
                </c:pt>
                <c:pt idx="149">
                  <c:v>2.1079388497113882E-3</c:v>
                </c:pt>
                <c:pt idx="150">
                  <c:v>2.1116928536990542E-3</c:v>
                </c:pt>
                <c:pt idx="151">
                  <c:v>2.1150068693209789E-3</c:v>
                </c:pt>
                <c:pt idx="152">
                  <c:v>2.1178808964972262E-3</c:v>
                </c:pt>
                <c:pt idx="153">
                  <c:v>2.1221748324506962E-3</c:v>
                </c:pt>
                <c:pt idx="154">
                  <c:v>2.1249771202658252E-3</c:v>
                </c:pt>
                <c:pt idx="155">
                  <c:v>2.1256512049738774E-3</c:v>
                </c:pt>
                <c:pt idx="156">
                  <c:v>2.1258853012362522E-3</c:v>
                </c:pt>
                <c:pt idx="157">
                  <c:v>2.1256794089730136E-3</c:v>
                </c:pt>
                <c:pt idx="158">
                  <c:v>2.123813525418683E-3</c:v>
                </c:pt>
                <c:pt idx="159">
                  <c:v>2.1204559549836688E-3</c:v>
                </c:pt>
                <c:pt idx="160">
                  <c:v>2.118050120252235E-3</c:v>
                </c:pt>
                <c:pt idx="161">
                  <c:v>2.1152042970751239E-3</c:v>
                </c:pt>
                <c:pt idx="162">
                  <c:v>2.1119184855322715E-3</c:v>
                </c:pt>
                <c:pt idx="163">
                  <c:v>2.1038925294458721E-3</c:v>
                </c:pt>
                <c:pt idx="164">
                  <c:v>2.0943753546642796E-3</c:v>
                </c:pt>
                <c:pt idx="165">
                  <c:v>2.0888896009729763E-3</c:v>
                </c:pt>
                <c:pt idx="166">
                  <c:v>2.0829638589159316E-3</c:v>
                </c:pt>
                <c:pt idx="167">
                  <c:v>2.0765981284931456E-3</c:v>
                </c:pt>
                <c:pt idx="168">
                  <c:v>2.0624118552703408E-3</c:v>
                </c:pt>
                <c:pt idx="169">
                  <c:v>2.0468469030099357E-3</c:v>
                </c:pt>
                <c:pt idx="170">
                  <c:v>2.0389507051543632E-3</c:v>
                </c:pt>
                <c:pt idx="171">
                  <c:v>2.0312839930092252E-3</c:v>
                </c:pt>
                <c:pt idx="172">
                  <c:v>2.0238467665745219E-3</c:v>
                </c:pt>
                <c:pt idx="173">
                  <c:v>2.0097484853653924E-3</c:v>
                </c:pt>
                <c:pt idx="174">
                  <c:v>1.9963927172206297E-3</c:v>
                </c:pt>
                <c:pt idx="175">
                  <c:v>1.9901029188584829E-3</c:v>
                </c:pt>
                <c:pt idx="176">
                  <c:v>1.9840426061268346E-3</c:v>
                </c:pt>
                <c:pt idx="177">
                  <c:v>1.9782117790256848E-3</c:v>
                </c:pt>
                <c:pt idx="178">
                  <c:v>1.9673258274721661E-3</c:v>
                </c:pt>
                <c:pt idx="179">
                  <c:v>1.9571833259668381E-3</c:v>
                </c:pt>
                <c:pt idx="180">
                  <c:v>1.9524999265385645E-3</c:v>
                </c:pt>
                <c:pt idx="181">
                  <c:v>1.9480460126608534E-3</c:v>
                </c:pt>
                <c:pt idx="182">
                  <c:v>1.9438215843337048E-3</c:v>
                </c:pt>
                <c:pt idx="183">
                  <c:v>1.9361480920920826E-3</c:v>
                </c:pt>
                <c:pt idx="184">
                  <c:v>1.9292187257313742E-3</c:v>
                </c:pt>
                <c:pt idx="185">
                  <c:v>1.9261417248372936E-3</c:v>
                </c:pt>
                <c:pt idx="186">
                  <c:v>1.9232942093339034E-3</c:v>
                </c:pt>
                <c:pt idx="187">
                  <c:v>1.9206761793810756E-3</c:v>
                </c:pt>
                <c:pt idx="188">
                  <c:v>1.9162152704321755E-3</c:v>
                </c:pt>
                <c:pt idx="189">
                  <c:v>1.9125518892604276E-3</c:v>
                </c:pt>
                <c:pt idx="190">
                  <c:v>1.9113991388053364E-3</c:v>
                </c:pt>
                <c:pt idx="191">
                  <c:v>1.9107937261253483E-3</c:v>
                </c:pt>
                <c:pt idx="192">
                  <c:v>1.9107356510605911E-3</c:v>
                </c:pt>
                <c:pt idx="193">
                  <c:v>1.9124541197612643E-3</c:v>
                </c:pt>
                <c:pt idx="194">
                  <c:v>1.915976728472657E-3</c:v>
                </c:pt>
                <c:pt idx="195">
                  <c:v>1.9186553421235431E-3</c:v>
                </c:pt>
                <c:pt idx="196">
                  <c:v>1.9218812935495322E-3</c:v>
                </c:pt>
                <c:pt idx="197">
                  <c:v>1.9256545829104965E-3</c:v>
                </c:pt>
                <c:pt idx="198">
                  <c:v>1.9350360216030538E-3</c:v>
                </c:pt>
                <c:pt idx="199">
                  <c:v>1.9462211180254485E-3</c:v>
                </c:pt>
                <c:pt idx="200">
                  <c:v>1.9527310965017364E-3</c:v>
                </c:pt>
                <c:pt idx="201">
                  <c:v>1.9597884129129994E-3</c:v>
                </c:pt>
                <c:pt idx="202">
                  <c:v>1.9673930671793016E-3</c:v>
                </c:pt>
                <c:pt idx="203">
                  <c:v>1.9844377746114361E-3</c:v>
                </c:pt>
                <c:pt idx="204">
                  <c:v>2.0032850647933031E-3</c:v>
                </c:pt>
                <c:pt idx="205">
                  <c:v>2.0136264095338419E-3</c:v>
                </c:pt>
                <c:pt idx="206">
                  <c:v>2.0245150923692279E-3</c:v>
                </c:pt>
                <c:pt idx="207">
                  <c:v>2.0359511135392694E-3</c:v>
                </c:pt>
                <c:pt idx="208">
                  <c:v>2.06065941193323E-3</c:v>
                </c:pt>
                <c:pt idx="209">
                  <c:v>2.0871685815659902E-3</c:v>
                </c:pt>
                <c:pt idx="210">
                  <c:v>2.1013412948089893E-3</c:v>
                </c:pt>
                <c:pt idx="211">
                  <c:v>2.1160613466264522E-3</c:v>
                </c:pt>
                <c:pt idx="212">
                  <c:v>2.131131692957311E-3</c:v>
                </c:pt>
                <c:pt idx="213">
                  <c:v>2.1595630074600081E-3</c:v>
                </c:pt>
                <c:pt idx="214">
                  <c:v>2.1858519918893649E-3</c:v>
                </c:pt>
                <c:pt idx="215">
                  <c:v>2.1979447506037531E-3</c:v>
                </c:pt>
                <c:pt idx="216">
                  <c:v>2.2094025827268382E-3</c:v>
                </c:pt>
                <c:pt idx="217">
                  <c:v>2.2202254881786843E-3</c:v>
                </c:pt>
                <c:pt idx="218">
                  <c:v>2.2397688115916026E-3</c:v>
                </c:pt>
                <c:pt idx="219">
                  <c:v>2.2571678429539332E-3</c:v>
                </c:pt>
                <c:pt idx="220">
                  <c:v>2.2648161145699675E-3</c:v>
                </c:pt>
                <c:pt idx="221">
                  <c:v>2.2718294592749544E-3</c:v>
                </c:pt>
                <c:pt idx="222">
                  <c:v>2.278207877068894E-3</c:v>
                </c:pt>
                <c:pt idx="223">
                  <c:v>2.288862841473005E-3</c:v>
                </c:pt>
                <c:pt idx="224">
                  <c:v>2.297372277855203E-3</c:v>
                </c:pt>
                <c:pt idx="225">
                  <c:v>2.3005760603744818E-3</c:v>
                </c:pt>
                <c:pt idx="226">
                  <c:v>2.3031449159027773E-3</c:v>
                </c:pt>
                <c:pt idx="227">
                  <c:v>2.3050788442002812E-3</c:v>
                </c:pt>
                <c:pt idx="228">
                  <c:v>2.3068450589747158E-3</c:v>
                </c:pt>
                <c:pt idx="229">
                  <c:v>2.3064652862014867E-3</c:v>
                </c:pt>
                <c:pt idx="230">
                  <c:v>2.3052245789045855E-3</c:v>
                </c:pt>
                <c:pt idx="231">
                  <c:v>2.3033489443768929E-3</c:v>
                </c:pt>
                <c:pt idx="232">
                  <c:v>2.3008383828582168E-3</c:v>
                </c:pt>
                <c:pt idx="233">
                  <c:v>2.2937154500546342E-3</c:v>
                </c:pt>
                <c:pt idx="234">
                  <c:v>2.2844468656746386E-3</c:v>
                </c:pt>
                <c:pt idx="235">
                  <c:v>2.2787616687214296E-3</c:v>
                </c:pt>
                <c:pt idx="236">
                  <c:v>2.2725263686851349E-3</c:v>
                </c:pt>
                <c:pt idx="237">
                  <c:v>2.2660802611973452E-3</c:v>
                </c:pt>
                <c:pt idx="238">
                  <c:v>2.2527821979601015E-3</c:v>
                </c:pt>
                <c:pt idx="239">
                  <c:v>2.23903599525066E-3</c:v>
                </c:pt>
                <c:pt idx="240">
                  <c:v>2.2319599698050752E-3</c:v>
                </c:pt>
                <c:pt idx="241">
                  <c:v>2.2247579608158929E-3</c:v>
                </c:pt>
                <c:pt idx="242">
                  <c:v>2.2174299682831133E-3</c:v>
                </c:pt>
                <c:pt idx="243">
                  <c:v>2.2023675111615404E-3</c:v>
                </c:pt>
                <c:pt idx="244">
                  <c:v>2.186858162556149E-3</c:v>
                </c:pt>
                <c:pt idx="245">
                  <c:v>2.1789002523053824E-3</c:v>
                </c:pt>
                <c:pt idx="246">
                  <c:v>2.1708163585909546E-3</c:v>
                </c:pt>
                <c:pt idx="247">
                  <c:v>2.1626064813329293E-3</c:v>
                </c:pt>
                <c:pt idx="248">
                  <c:v>2.1457795716273154E-3</c:v>
                </c:pt>
                <c:pt idx="249">
                  <c:v>2.128507137584279E-3</c:v>
                </c:pt>
                <c:pt idx="250">
                  <c:v>2.1196673429280111E-3</c:v>
                </c:pt>
                <c:pt idx="251">
                  <c:v>2.1107015648880179E-3</c:v>
                </c:pt>
                <c:pt idx="252">
                  <c:v>2.1016098033843633E-3</c:v>
                </c:pt>
                <c:pt idx="253">
                  <c:v>2.083018388097102E-3</c:v>
                </c:pt>
                <c:pt idx="254">
                  <c:v>2.0639829232127482E-3</c:v>
                </c:pt>
                <c:pt idx="255">
                  <c:v>2.0542612446305952E-3</c:v>
                </c:pt>
                <c:pt idx="256">
                  <c:v>2.044580890432357E-3</c:v>
                </c:pt>
                <c:pt idx="257">
                  <c:v>2.0356110912089775E-3</c:v>
                </c:pt>
                <c:pt idx="258">
                  <c:v>2.0206090427787871E-3</c:v>
                </c:pt>
                <c:pt idx="259">
                  <c:v>2.0085105207012788E-3</c:v>
                </c:pt>
                <c:pt idx="260">
                  <c:v>2.0039300343110966E-3</c:v>
                </c:pt>
                <c:pt idx="261">
                  <c:v>2.0002274104236051E-3</c:v>
                </c:pt>
                <c:pt idx="262">
                  <c:v>1.997402648878932E-3</c:v>
                </c:pt>
                <c:pt idx="263">
                  <c:v>1.9946903860112997E-3</c:v>
                </c:pt>
                <c:pt idx="264">
                  <c:v>1.9948822268478494E-3</c:v>
                </c:pt>
                <c:pt idx="265">
                  <c:v>1.9964467772570771E-3</c:v>
                </c:pt>
                <c:pt idx="266">
                  <c:v>1.9988891900091232E-3</c:v>
                </c:pt>
                <c:pt idx="267">
                  <c:v>2.00220946526386E-3</c:v>
                </c:pt>
                <c:pt idx="268">
                  <c:v>2.0117874661362833E-3</c:v>
                </c:pt>
                <c:pt idx="269">
                  <c:v>2.0242691906702248E-3</c:v>
                </c:pt>
                <c:pt idx="270">
                  <c:v>2.0319787784384147E-3</c:v>
                </c:pt>
                <c:pt idx="271">
                  <c:v>2.0405662287892312E-3</c:v>
                </c:pt>
                <c:pt idx="272">
                  <c:v>2.0500315418825465E-3</c:v>
                </c:pt>
                <c:pt idx="273">
                  <c:v>2.0719003015656767E-3</c:v>
                </c:pt>
                <c:pt idx="274">
                  <c:v>2.0966714228798367E-3</c:v>
                </c:pt>
                <c:pt idx="275">
                  <c:v>2.1105260506448786E-3</c:v>
                </c:pt>
                <c:pt idx="276">
                  <c:v>2.1252585417119718E-3</c:v>
                </c:pt>
                <c:pt idx="277">
                  <c:v>2.1406235381071781E-3</c:v>
                </c:pt>
                <c:pt idx="278">
                  <c:v>2.1698763777777685E-3</c:v>
                </c:pt>
                <c:pt idx="279">
                  <c:v>2.1971221127259355E-3</c:v>
                </c:pt>
                <c:pt idx="280">
                  <c:v>2.2097610453464256E-3</c:v>
                </c:pt>
                <c:pt idx="281">
                  <c:v>2.2218056933454022E-3</c:v>
                </c:pt>
                <c:pt idx="282">
                  <c:v>2.2332560568827375E-3</c:v>
                </c:pt>
                <c:pt idx="283">
                  <c:v>2.2541899494754603E-3</c:v>
                </c:pt>
                <c:pt idx="284">
                  <c:v>2.2731146635379673E-3</c:v>
                </c:pt>
                <c:pt idx="285">
                  <c:v>2.2815936030884387E-3</c:v>
                </c:pt>
                <c:pt idx="286">
                  <c:v>2.2894782578575246E-3</c:v>
                </c:pt>
                <c:pt idx="287">
                  <c:v>2.2967686276054167E-3</c:v>
                </c:pt>
                <c:pt idx="288">
                  <c:v>2.3093832316067875E-3</c:v>
                </c:pt>
                <c:pt idx="289">
                  <c:v>2.3199872567047919E-3</c:v>
                </c:pt>
                <c:pt idx="290">
                  <c:v>2.3243062011868432E-3</c:v>
                </c:pt>
                <c:pt idx="291">
                  <c:v>2.3280308607276368E-3</c:v>
                </c:pt>
                <c:pt idx="292">
                  <c:v>2.3343937891517896E-3</c:v>
                </c:pt>
                <c:pt idx="293">
                  <c:v>2.337739880875489E-3</c:v>
                </c:pt>
                <c:pt idx="294">
                  <c:v>2.3378988293298875E-3</c:v>
                </c:pt>
                <c:pt idx="295">
                  <c:v>2.3374634926032201E-3</c:v>
                </c:pt>
                <c:pt idx="296">
                  <c:v>2.333426411713635E-3</c:v>
                </c:pt>
                <c:pt idx="297">
                  <c:v>2.3264725426930255E-3</c:v>
                </c:pt>
                <c:pt idx="298">
                  <c:v>2.3230715609567909E-3</c:v>
                </c:pt>
                <c:pt idx="299">
                  <c:v>2.3196763599564463E-3</c:v>
                </c:pt>
                <c:pt idx="300">
                  <c:v>2.3162869397719277E-3</c:v>
                </c:pt>
                <c:pt idx="301">
                  <c:v>2.3095421849639308E-3</c:v>
                </c:pt>
                <c:pt idx="302">
                  <c:v>2.302787066472689E-3</c:v>
                </c:pt>
                <c:pt idx="303">
                  <c:v>2.2994265501274924E-3</c:v>
                </c:pt>
                <c:pt idx="304">
                  <c:v>2.2960718144382497E-3</c:v>
                </c:pt>
                <c:pt idx="305">
                  <c:v>2.292722859564833E-3</c:v>
                </c:pt>
                <c:pt idx="306">
                  <c:v>2.2860587356454687E-3</c:v>
                </c:pt>
                <c:pt idx="307">
                  <c:v>2.2793848475899381E-3</c:v>
                </c:pt>
                <c:pt idx="308">
                  <c:v>2.2760647964759073E-3</c:v>
                </c:pt>
                <c:pt idx="309">
                  <c:v>2.2727505261777026E-3</c:v>
                </c:pt>
                <c:pt idx="310">
                  <c:v>2.2694420366153878E-3</c:v>
                </c:pt>
                <c:pt idx="311">
                  <c:v>2.2628585502193488E-3</c:v>
                </c:pt>
                <c:pt idx="312">
                  <c:v>2.2562658859648366E-3</c:v>
                </c:pt>
                <c:pt idx="313">
                  <c:v>2.2529863001619077E-3</c:v>
                </c:pt>
                <c:pt idx="314">
                  <c:v>2.2497124951748049E-3</c:v>
                </c:pt>
                <c:pt idx="315">
                  <c:v>2.246444470923592E-3</c:v>
                </c:pt>
                <c:pt idx="316">
                  <c:v>2.2399416284724083E-3</c:v>
                </c:pt>
                <c:pt idx="317">
                  <c:v>2.2334301814375124E-3</c:v>
                </c:pt>
                <c:pt idx="318">
                  <c:v>2.2301910610256215E-3</c:v>
                </c:pt>
                <c:pt idx="319">
                  <c:v>2.2270674260749246E-3</c:v>
                </c:pt>
                <c:pt idx="320">
                  <c:v>2.2244980959662541E-3</c:v>
                </c:pt>
                <c:pt idx="321">
                  <c:v>2.221586510593454E-3</c:v>
                </c:pt>
                <c:pt idx="322">
                  <c:v>2.2208608716844935E-3</c:v>
                </c:pt>
                <c:pt idx="323">
                  <c:v>2.2216115894924116E-3</c:v>
                </c:pt>
                <c:pt idx="324">
                  <c:v>2.2230263169475961E-3</c:v>
                </c:pt>
                <c:pt idx="325">
                  <c:v>2.2251050540500472E-3</c:v>
                </c:pt>
                <c:pt idx="326">
                  <c:v>2.2314897254549493E-3</c:v>
                </c:pt>
                <c:pt idx="327">
                  <c:v>2.2400600985328367E-3</c:v>
                </c:pt>
                <c:pt idx="328">
                  <c:v>2.2454588838716205E-3</c:v>
                </c:pt>
                <c:pt idx="329">
                  <c:v>2.2515216789376069E-3</c:v>
                </c:pt>
                <c:pt idx="330">
                  <c:v>2.2582484836508598E-3</c:v>
                </c:pt>
                <c:pt idx="331">
                  <c:v>2.2739298222784754E-3</c:v>
                </c:pt>
                <c:pt idx="332">
                  <c:v>2.2917958011348105E-3</c:v>
                </c:pt>
                <c:pt idx="333">
                  <c:v>2.3018426553633731E-3</c:v>
                </c:pt>
                <c:pt idx="334">
                  <c:v>2.3125535195589464E-3</c:v>
                </c:pt>
                <c:pt idx="335">
                  <c:v>2.3239283938814026E-3</c:v>
                </c:pt>
                <c:pt idx="336">
                  <c:v>2.3489068355431186E-3</c:v>
                </c:pt>
                <c:pt idx="337">
                  <c:v>2.376067993479225E-3</c:v>
                </c:pt>
                <c:pt idx="338">
                  <c:v>2.3907629192354563E-3</c:v>
                </c:pt>
                <c:pt idx="339">
                  <c:v>2.4061218555981867E-3</c:v>
                </c:pt>
                <c:pt idx="340">
                  <c:v>2.4219535063885189E-3</c:v>
                </c:pt>
                <c:pt idx="341">
                  <c:v>2.4524035514605913E-3</c:v>
                </c:pt>
                <c:pt idx="342">
                  <c:v>2.4812076295965824E-3</c:v>
                </c:pt>
                <c:pt idx="343">
                  <c:v>2.4948117439915762E-3</c:v>
                </c:pt>
                <c:pt idx="344">
                  <c:v>2.5079320916798764E-3</c:v>
                </c:pt>
                <c:pt idx="345">
                  <c:v>2.5205686725815468E-3</c:v>
                </c:pt>
                <c:pt idx="346">
                  <c:v>2.5442472592729359E-3</c:v>
                </c:pt>
                <c:pt idx="347">
                  <c:v>2.5662773280821227E-3</c:v>
                </c:pt>
                <c:pt idx="348">
                  <c:v>2.5764950746509641E-3</c:v>
                </c:pt>
                <c:pt idx="349">
                  <c:v>2.5862290541933675E-3</c:v>
                </c:pt>
                <c:pt idx="350">
                  <c:v>2.5954792666293969E-3</c:v>
                </c:pt>
                <c:pt idx="351">
                  <c:v>2.612386091396246E-3</c:v>
                </c:pt>
                <c:pt idx="352">
                  <c:v>2.6276424453097746E-3</c:v>
                </c:pt>
                <c:pt idx="353">
                  <c:v>2.6344738219741259E-3</c:v>
                </c:pt>
                <c:pt idx="354">
                  <c:v>2.6408214314521672E-3</c:v>
                </c:pt>
                <c:pt idx="355">
                  <c:v>2.6565170937900007E-3</c:v>
                </c:pt>
                <c:pt idx="356">
                  <c:v>2.6687479746101417E-3</c:v>
                </c:pt>
                <c:pt idx="357">
                  <c:v>2.6717092126649078E-3</c:v>
                </c:pt>
                <c:pt idx="358">
                  <c:v>2.6741866833734917E-3</c:v>
                </c:pt>
                <c:pt idx="359">
                  <c:v>2.6775489811470266E-3</c:v>
                </c:pt>
                <c:pt idx="360">
                  <c:v>2.6792588921065175E-3</c:v>
                </c:pt>
                <c:pt idx="361">
                  <c:v>2.6793386073009628E-3</c:v>
                </c:pt>
                <c:pt idx="362">
                  <c:v>2.6790399632314887E-3</c:v>
                </c:pt>
                <c:pt idx="363">
                  <c:v>2.6783840414346116E-3</c:v>
                </c:pt>
                <c:pt idx="364">
                  <c:v>2.6759011620658413E-3</c:v>
                </c:pt>
                <c:pt idx="365">
                  <c:v>2.6721875772928172E-3</c:v>
                </c:pt>
                <c:pt idx="366">
                  <c:v>2.6697452670987332E-3</c:v>
                </c:pt>
                <c:pt idx="367">
                  <c:v>2.6669456791772461E-3</c:v>
                </c:pt>
                <c:pt idx="368">
                  <c:v>2.6637888136082921E-3</c:v>
                </c:pt>
                <c:pt idx="369">
                  <c:v>2.6563037566074144E-3</c:v>
                </c:pt>
                <c:pt idx="370">
                  <c:v>2.6475885749377426E-3</c:v>
                </c:pt>
                <c:pt idx="371">
                  <c:v>2.6426453212913259E-3</c:v>
                </c:pt>
                <c:pt idx="372">
                  <c:v>2.6373447899175062E-3</c:v>
                </c:pt>
                <c:pt idx="373">
                  <c:v>2.6316869810560917E-3</c:v>
                </c:pt>
                <c:pt idx="374">
                  <c:v>2.619199493985036E-3</c:v>
                </c:pt>
                <c:pt idx="375">
                  <c:v>2.6054829701749327E-3</c:v>
                </c:pt>
                <c:pt idx="376">
                  <c:v>2.5980387737156718E-3</c:v>
                </c:pt>
                <c:pt idx="377">
                  <c:v>2.5902372997688161E-3</c:v>
                </c:pt>
                <c:pt idx="378">
                  <c:v>2.5820785484143016E-3</c:v>
                </c:pt>
                <c:pt idx="379">
                  <c:v>2.5645883904523714E-3</c:v>
                </c:pt>
                <c:pt idx="380">
                  <c:v>2.5458707690795279E-3</c:v>
                </c:pt>
                <c:pt idx="381">
                  <c:v>2.5361158060821509E-3</c:v>
                </c:pt>
                <c:pt idx="382">
                  <c:v>2.5269544416151035E-3</c:v>
                </c:pt>
                <c:pt idx="383">
                  <c:v>2.5185768507540729E-3</c:v>
                </c:pt>
                <c:pt idx="384">
                  <c:v>2.5044516702621422E-3</c:v>
                </c:pt>
                <c:pt idx="385">
                  <c:v>2.4929042224908216E-3</c:v>
                </c:pt>
                <c:pt idx="386">
                  <c:v>2.4884454990203864E-3</c:v>
                </c:pt>
                <c:pt idx="387">
                  <c:v>2.4847705489960958E-3</c:v>
                </c:pt>
                <c:pt idx="388">
                  <c:v>2.4818793721781418E-3</c:v>
                </c:pt>
                <c:pt idx="389">
                  <c:v>2.4787266631243199E-3</c:v>
                </c:pt>
                <c:pt idx="390">
                  <c:v>2.4781523983286036E-3</c:v>
                </c:pt>
                <c:pt idx="391">
                  <c:v>2.4791800881018844E-3</c:v>
                </c:pt>
                <c:pt idx="392">
                  <c:v>2.4809915511614378E-3</c:v>
                </c:pt>
                <c:pt idx="393">
                  <c:v>2.4835867875871998E-3</c:v>
                </c:pt>
                <c:pt idx="394">
                  <c:v>2.4914070800008403E-3</c:v>
                </c:pt>
                <c:pt idx="395">
                  <c:v>2.5018054668723977E-3</c:v>
                </c:pt>
                <c:pt idx="396">
                  <c:v>2.5083195702091388E-3</c:v>
                </c:pt>
                <c:pt idx="397">
                  <c:v>2.5156174471518966E-3</c:v>
                </c:pt>
                <c:pt idx="398">
                  <c:v>2.5236990974608631E-3</c:v>
                </c:pt>
                <c:pt idx="399">
                  <c:v>2.542492933095275E-3</c:v>
                </c:pt>
                <c:pt idx="400">
                  <c:v>2.5638634357960655E-3</c:v>
                </c:pt>
                <c:pt idx="401">
                  <c:v>2.5758639547746043E-3</c:v>
                </c:pt>
                <c:pt idx="402">
                  <c:v>2.5886482477588402E-3</c:v>
                </c:pt>
                <c:pt idx="403">
                  <c:v>2.6022163148287092E-3</c:v>
                </c:pt>
                <c:pt idx="404">
                  <c:v>2.6300025746017752E-3</c:v>
                </c:pt>
                <c:pt idx="405">
                  <c:v>2.6561794672552708E-3</c:v>
                </c:pt>
                <c:pt idx="406">
                  <c:v>2.6683819570738621E-3</c:v>
                </c:pt>
                <c:pt idx="407">
                  <c:v>2.6800471089583056E-3</c:v>
                </c:pt>
                <c:pt idx="408">
                  <c:v>2.6911749227487292E-3</c:v>
                </c:pt>
                <c:pt idx="409">
                  <c:v>2.7116598484777654E-3</c:v>
                </c:pt>
                <c:pt idx="410">
                  <c:v>2.7303127971300967E-3</c:v>
                </c:pt>
                <c:pt idx="411">
                  <c:v>2.7387539201306765E-3</c:v>
                </c:pt>
                <c:pt idx="412">
                  <c:v>2.7466577049573004E-3</c:v>
                </c:pt>
                <c:pt idx="413">
                  <c:v>2.7540241514500963E-3</c:v>
                </c:pt>
                <c:pt idx="414">
                  <c:v>2.7669871835112048E-3</c:v>
                </c:pt>
                <c:pt idx="415">
                  <c:v>2.7781165536833186E-3</c:v>
                </c:pt>
                <c:pt idx="416">
                  <c:v>2.7827963081072937E-3</c:v>
                </c:pt>
                <c:pt idx="417">
                  <c:v>2.7869387241175048E-3</c:v>
                </c:pt>
                <c:pt idx="418">
                  <c:v>2.7905438015540796E-3</c:v>
                </c:pt>
                <c:pt idx="419">
                  <c:v>2.795984543331187E-3</c:v>
                </c:pt>
                <c:pt idx="420">
                  <c:v>2.7995907264433129E-3</c:v>
                </c:pt>
                <c:pt idx="421">
                  <c:v>2.8005091112515146E-3</c:v>
                </c:pt>
                <c:pt idx="422">
                  <c:v>2.8008901575660161E-3</c:v>
                </c:pt>
                <c:pt idx="423">
                  <c:v>2.8007338653068814E-3</c:v>
                </c:pt>
                <c:pt idx="424">
                  <c:v>2.7986519088063488E-3</c:v>
                </c:pt>
                <c:pt idx="425">
                  <c:v>2.7948262665766777E-3</c:v>
                </c:pt>
                <c:pt idx="426">
                  <c:v>2.7925290168262507E-3</c:v>
                </c:pt>
                <c:pt idx="427">
                  <c:v>2.7902401637192042E-3</c:v>
                </c:pt>
                <c:pt idx="428">
                  <c:v>2.7879597072555384E-3</c:v>
                </c:pt>
                <c:pt idx="429">
                  <c:v>2.7834483040045654E-3</c:v>
                </c:pt>
                <c:pt idx="430">
                  <c:v>2.7789218479945532E-3</c:v>
                </c:pt>
                <c:pt idx="431">
                  <c:v>2.7766833749076625E-3</c:v>
                </c:pt>
                <c:pt idx="432">
                  <c:v>2.7744532984641523E-3</c:v>
                </c:pt>
                <c:pt idx="433">
                  <c:v>2.7722316186640228E-3</c:v>
                </c:pt>
                <c:pt idx="434">
                  <c:v>2.767837527946071E-3</c:v>
                </c:pt>
                <c:pt idx="435">
                  <c:v>2.7634288660571826E-3</c:v>
                </c:pt>
                <c:pt idx="436">
                  <c:v>2.7612491695538921E-3</c:v>
                </c:pt>
                <c:pt idx="437">
                  <c:v>2.7590778696939822E-3</c:v>
                </c:pt>
                <c:pt idx="438">
                  <c:v>2.7569149665573889E-3</c:v>
                </c:pt>
                <c:pt idx="439">
                  <c:v>2.7526381960729651E-3</c:v>
                </c:pt>
                <c:pt idx="440">
                  <c:v>2.7483473205247577E-3</c:v>
                </c:pt>
                <c:pt idx="441">
                  <c:v>2.7462264006050674E-3</c:v>
                </c:pt>
                <c:pt idx="442">
                  <c:v>2.7441138774886298E-3</c:v>
                </c:pt>
                <c:pt idx="443">
                  <c:v>2.7420097508557006E-3</c:v>
                </c:pt>
                <c:pt idx="444">
                  <c:v>2.7378503081720851E-3</c:v>
                </c:pt>
                <c:pt idx="445">
                  <c:v>2.7336772113972785E-3</c:v>
                </c:pt>
                <c:pt idx="446">
                  <c:v>2.7316150681411244E-3</c:v>
                </c:pt>
                <c:pt idx="447">
                  <c:v>2.7296723605463313E-3</c:v>
                </c:pt>
                <c:pt idx="448">
                  <c:v>2.7282932445249486E-3</c:v>
                </c:pt>
                <c:pt idx="449">
                  <c:v>2.7278044496803489E-3</c:v>
                </c:pt>
                <c:pt idx="450">
                  <c:v>2.7295230853141561E-3</c:v>
                </c:pt>
                <c:pt idx="451">
                  <c:v>2.7315171217701106E-3</c:v>
                </c:pt>
                <c:pt idx="452">
                  <c:v>2.7341857887375198E-3</c:v>
                </c:pt>
                <c:pt idx="453">
                  <c:v>2.7375290862163837E-3</c:v>
                </c:pt>
                <c:pt idx="454">
                  <c:v>2.7464854028380614E-3</c:v>
                </c:pt>
                <c:pt idx="455">
                  <c:v>2.7576485820457464E-3</c:v>
                </c:pt>
                <c:pt idx="456">
                  <c:v>2.764365032641436E-3</c:v>
                </c:pt>
                <c:pt idx="457">
                  <c:v>2.7717561139084523E-3</c:v>
                </c:pt>
                <c:pt idx="458">
                  <c:v>2.7798218259267315E-3</c:v>
                </c:pt>
                <c:pt idx="459">
                  <c:v>2.7982237690959977E-3</c:v>
                </c:pt>
                <c:pt idx="460">
                  <c:v>2.8188309823118374E-3</c:v>
                </c:pt>
                <c:pt idx="461">
                  <c:v>2.8302698488857914E-3</c:v>
                </c:pt>
                <c:pt idx="462">
                  <c:v>2.8423833464508164E-3</c:v>
                </c:pt>
                <c:pt idx="463">
                  <c:v>2.8551714751667845E-3</c:v>
                </c:pt>
                <c:pt idx="464">
                  <c:v>2.8830195912732393E-3</c:v>
                </c:pt>
                <c:pt idx="465">
                  <c:v>2.9130703029789373E-3</c:v>
                </c:pt>
                <c:pt idx="466">
                  <c:v>2.9292315885687259E-3</c:v>
                </c:pt>
                <c:pt idx="467">
                  <c:v>2.9460675057890739E-3</c:v>
                </c:pt>
                <c:pt idx="468">
                  <c:v>2.9635780547998536E-3</c:v>
                </c:pt>
                <c:pt idx="469">
                  <c:v>3.0008729394470635E-3</c:v>
                </c:pt>
                <c:pt idx="470">
                  <c:v>3.0401181680073108E-3</c:v>
                </c:pt>
                <c:pt idx="471">
                  <c:v>3.0595114658549249E-3</c:v>
                </c:pt>
                <c:pt idx="472">
                  <c:v>3.0780889846582227E-3</c:v>
                </c:pt>
                <c:pt idx="473">
                  <c:v>3.0958507241773958E-3</c:v>
                </c:pt>
                <c:pt idx="474">
                  <c:v>3.1286821284925992E-3</c:v>
                </c:pt>
                <c:pt idx="475">
                  <c:v>3.1587398873345052E-3</c:v>
                </c:pt>
                <c:pt idx="476">
                  <c:v>3.1724227289942064E-3</c:v>
                </c:pt>
                <c:pt idx="477">
                  <c:v>3.1852897905704225E-3</c:v>
                </c:pt>
                <c:pt idx="478">
                  <c:v>3.1973410723828977E-3</c:v>
                </c:pt>
                <c:pt idx="479">
                  <c:v>3.2187531470295738E-3</c:v>
                </c:pt>
                <c:pt idx="480">
                  <c:v>3.2373883978387141E-3</c:v>
                </c:pt>
                <c:pt idx="481">
                  <c:v>3.245360778514339E-3</c:v>
                </c:pt>
                <c:pt idx="482">
                  <c:v>3.2525173788666706E-3</c:v>
                </c:pt>
                <c:pt idx="483">
                  <c:v>3.2588581987358367E-3</c:v>
                </c:pt>
                <c:pt idx="484">
                  <c:v>3.2688502513078532E-3</c:v>
                </c:pt>
                <c:pt idx="485">
                  <c:v>3.2760636730611026E-3</c:v>
                </c:pt>
                <c:pt idx="486">
                  <c:v>3.2783255902746333E-3</c:v>
                </c:pt>
                <c:pt idx="487">
                  <c:v>3.2797717268451265E-3</c:v>
                </c:pt>
                <c:pt idx="488">
                  <c:v>3.2804020827725822E-3</c:v>
                </c:pt>
                <c:pt idx="489">
                  <c:v>3.2789733912075292E-3</c:v>
                </c:pt>
                <c:pt idx="490">
                  <c:v>3.2747657003717734E-3</c:v>
                </c:pt>
                <c:pt idx="491">
                  <c:v>3.2714873236017183E-3</c:v>
                </c:pt>
                <c:pt idx="492">
                  <c:v>3.2682440179776506E-3</c:v>
                </c:pt>
                <c:pt idx="493">
                  <c:v>3.2652059536975031E-3</c:v>
                </c:pt>
                <c:pt idx="494">
                  <c:v>3.2598434812047827E-3</c:v>
                </c:pt>
                <c:pt idx="495">
                  <c:v>3.2551061111352197E-3</c:v>
                </c:pt>
                <c:pt idx="496">
                  <c:v>3.2530942540542895E-3</c:v>
                </c:pt>
                <c:pt idx="497">
                  <c:v>3.2512876383972156E-3</c:v>
                </c:pt>
                <c:pt idx="498">
                  <c:v>3.2496862641639979E-3</c:v>
                </c:pt>
                <c:pt idx="499">
                  <c:v>3.2471969429082037E-3</c:v>
                </c:pt>
                <c:pt idx="500">
                  <c:v>3.2453331812298813E-3</c:v>
                </c:pt>
                <c:pt idx="501">
                  <c:v>3.2447580139560728E-3</c:v>
                </c:pt>
                <c:pt idx="502">
                  <c:v>3.2443880881061204E-3</c:v>
                </c:pt>
                <c:pt idx="503">
                  <c:v>3.2442234037599604E-3</c:v>
                </c:pt>
                <c:pt idx="504">
                  <c:v>3.2446074154091065E-3</c:v>
                </c:pt>
                <c:pt idx="505">
                  <c:v>3.2456170799743944E-3</c:v>
                </c:pt>
                <c:pt idx="506">
                  <c:v>3.2464786025876435E-3</c:v>
                </c:pt>
                <c:pt idx="507">
                  <c:v>3.2475453665448129E-3</c:v>
                </c:pt>
                <c:pt idx="508">
                  <c:v>3.2488173719258384E-3</c:v>
                </c:pt>
                <c:pt idx="509">
                  <c:v>3.2520748980680025E-3</c:v>
                </c:pt>
                <c:pt idx="510">
                  <c:v>3.2559578076085671E-3</c:v>
                </c:pt>
                <c:pt idx="511">
                  <c:v>3.2582560201088739E-3</c:v>
                </c:pt>
                <c:pt idx="512">
                  <c:v>3.260759473953101E-3</c:v>
                </c:pt>
                <c:pt idx="513">
                  <c:v>3.2634356829674971E-3</c:v>
                </c:pt>
                <c:pt idx="514">
                  <c:v>3.2689171675137629E-3</c:v>
                </c:pt>
                <c:pt idx="515">
                  <c:v>3.2743736989004901E-3</c:v>
                </c:pt>
                <c:pt idx="516">
                  <c:v>3.2771340115989034E-3</c:v>
                </c:pt>
                <c:pt idx="517">
                  <c:v>3.2799046477194338E-3</c:v>
                </c:pt>
                <c:pt idx="518">
                  <c:v>3.2995881581410202E-3</c:v>
                </c:pt>
                <c:pt idx="519">
                  <c:v>3.3197775188043011E-3</c:v>
                </c:pt>
                <c:pt idx="520">
                  <c:v>3.3404727298691483E-3</c:v>
                </c:pt>
                <c:pt idx="521">
                  <c:v>3.3616737914154982E-3</c:v>
                </c:pt>
                <c:pt idx="522">
                  <c:v>3.3833807036032226E-3</c:v>
                </c:pt>
                <c:pt idx="523">
                  <c:v>3.4055934664323217E-3</c:v>
                </c:pt>
                <c:pt idx="524">
                  <c:v>3.4315988902466898E-3</c:v>
                </c:pt>
                <c:pt idx="525">
                  <c:v>3.454895619192655E-3</c:v>
                </c:pt>
                <c:pt idx="526">
                  <c:v>3.478698199099739E-3</c:v>
                </c:pt>
                <c:pt idx="527">
                  <c:v>3.5030066300478779E-3</c:v>
                </c:pt>
                <c:pt idx="528">
                  <c:v>3.5278209121969439E-3</c:v>
                </c:pt>
                <c:pt idx="529">
                  <c:v>3.5531410456268731E-3</c:v>
                </c:pt>
                <c:pt idx="530">
                  <c:v>3.5789670304975374E-3</c:v>
                </c:pt>
                <c:pt idx="531">
                  <c:v>3.605298866888873E-3</c:v>
                </c:pt>
                <c:pt idx="532">
                  <c:v>3.6321365548008799E-3</c:v>
                </c:pt>
                <c:pt idx="533">
                  <c:v>3.6594800944733663E-3</c:v>
                </c:pt>
                <c:pt idx="534">
                  <c:v>3.6873294859862682E-3</c:v>
                </c:pt>
                <c:pt idx="535">
                  <c:v>3.7156847294994577E-3</c:v>
                </c:pt>
                <c:pt idx="536">
                  <c:v>3.7445458250129349E-3</c:v>
                </c:pt>
                <c:pt idx="537">
                  <c:v>3.7739127727665078E-3</c:v>
                </c:pt>
                <c:pt idx="538">
                  <c:v>3.8037855728401126E-3</c:v>
                </c:pt>
                <c:pt idx="539">
                  <c:v>3.8430291222422142E-3</c:v>
                </c:pt>
                <c:pt idx="540">
                  <c:v>3.8650487305869063E-3</c:v>
                </c:pt>
                <c:pt idx="541">
                  <c:v>3.8964390883400313E-3</c:v>
                </c:pt>
                <c:pt idx="542">
                  <c:v>3.9283352990526765E-3</c:v>
                </c:pt>
                <c:pt idx="543">
                  <c:v>3.9607373626449061E-3</c:v>
                </c:pt>
                <c:pt idx="544">
                  <c:v>3.9936452794364641E-3</c:v>
                </c:pt>
                <c:pt idx="545">
                  <c:v>4.0270590494273506E-3</c:v>
                </c:pt>
                <c:pt idx="546">
                  <c:v>4.0609786728573738E-3</c:v>
                </c:pt>
                <c:pt idx="547">
                  <c:v>4.0954041497265337E-3</c:v>
                </c:pt>
                <c:pt idx="548">
                  <c:v>4.1303354803545744E-3</c:v>
                </c:pt>
                <c:pt idx="549">
                  <c:v>4.1657726647414961E-3</c:v>
                </c:pt>
                <c:pt idx="550">
                  <c:v>4.2017157032070429E-3</c:v>
                </c:pt>
                <c:pt idx="551">
                  <c:v>4.2381645957512148E-3</c:v>
                </c:pt>
                <c:pt idx="552">
                  <c:v>4.2751193426138201E-3</c:v>
                </c:pt>
                <c:pt idx="553">
                  <c:v>4.3125799438747947E-3</c:v>
                </c:pt>
                <c:pt idx="554">
                  <c:v>4.3505463996940108E-3</c:v>
                </c:pt>
                <c:pt idx="555">
                  <c:v>4.3890187103112765E-3</c:v>
                </c:pt>
                <c:pt idx="556">
                  <c:v>4.427996875806528E-3</c:v>
                </c:pt>
                <c:pt idx="557">
                  <c:v>4.4674808964195734E-3</c:v>
                </c:pt>
                <c:pt idx="558">
                  <c:v>4.5074707723102847E-3</c:v>
                </c:pt>
                <c:pt idx="559">
                  <c:v>4.5479665035585981E-3</c:v>
                </c:pt>
                <c:pt idx="560">
                  <c:v>4.5889680904842578E-3</c:v>
                </c:pt>
                <c:pt idx="561">
                  <c:v>4.6304755330872638E-3</c:v>
                </c:pt>
                <c:pt idx="562">
                  <c:v>4.6724888316873603E-3</c:v>
                </c:pt>
                <c:pt idx="563">
                  <c:v>4.7150079863644834E-3</c:v>
                </c:pt>
                <c:pt idx="564">
                  <c:v>4.7580329972785051E-3</c:v>
                </c:pt>
                <c:pt idx="565">
                  <c:v>4.8015638647491699E-3</c:v>
                </c:pt>
                <c:pt idx="566">
                  <c:v>4.8456005888564135E-3</c:v>
                </c:pt>
                <c:pt idx="567">
                  <c:v>4.8901431697601083E-3</c:v>
                </c:pt>
                <c:pt idx="568">
                  <c:v>4.9351916077799984E-3</c:v>
                </c:pt>
                <c:pt idx="569">
                  <c:v>4.9805816356762733E-3</c:v>
                </c:pt>
                <c:pt idx="570">
                  <c:v>5.0260985420802484E-3</c:v>
                </c:pt>
                <c:pt idx="571">
                  <c:v>5.071741033706445E-3</c:v>
                </c:pt>
                <c:pt idx="572">
                  <c:v>5.117509110394991E-3</c:v>
                </c:pt>
                <c:pt idx="573">
                  <c:v>5.1634027723856946E-3</c:v>
                </c:pt>
                <c:pt idx="574">
                  <c:v>5.2094220195986196E-3</c:v>
                </c:pt>
                <c:pt idx="575">
                  <c:v>5.2555668521936383E-3</c:v>
                </c:pt>
                <c:pt idx="576">
                  <c:v>5.3185123130172762E-3</c:v>
                </c:pt>
                <c:pt idx="577">
                  <c:v>5.3615930452721727E-3</c:v>
                </c:pt>
                <c:pt idx="578">
                  <c:v>5.4081519084103746E-3</c:v>
                </c:pt>
                <c:pt idx="579">
                  <c:v>5.4548363729445271E-3</c:v>
                </c:pt>
                <c:pt idx="580">
                  <c:v>5.5016464390078568E-3</c:v>
                </c:pt>
                <c:pt idx="581">
                  <c:v>5.5485821067335905E-3</c:v>
                </c:pt>
                <c:pt idx="582">
                  <c:v>5.5956433762549551E-3</c:v>
                </c:pt>
                <c:pt idx="583">
                  <c:v>5.642830247758468E-3</c:v>
                </c:pt>
                <c:pt idx="584">
                  <c:v>5.6901427213507105E-3</c:v>
                </c:pt>
                <c:pt idx="585">
                  <c:v>5.7375807972182002E-3</c:v>
                </c:pt>
                <c:pt idx="586">
                  <c:v>5.7851444754941639E-3</c:v>
                </c:pt>
                <c:pt idx="587">
                  <c:v>5.8328337563118282E-3</c:v>
                </c:pt>
                <c:pt idx="588">
                  <c:v>5.8806486398577107E-3</c:v>
                </c:pt>
                <c:pt idx="589">
                  <c:v>5.9490743342749397E-3</c:v>
                </c:pt>
                <c:pt idx="590">
                  <c:v>5.9766552156137465E-3</c:v>
                </c:pt>
                <c:pt idx="591">
                  <c:v>6.0248469081702893E-3</c:v>
                </c:pt>
                <c:pt idx="592">
                  <c:v>6.0731642040412481E-3</c:v>
                </c:pt>
                <c:pt idx="593">
                  <c:v>6.1216071033598496E-3</c:v>
                </c:pt>
                <c:pt idx="594">
                  <c:v>6.1701756062859658E-3</c:v>
                </c:pt>
                <c:pt idx="595">
                  <c:v>6.218869712979469E-3</c:v>
                </c:pt>
                <c:pt idx="596">
                  <c:v>6.2676894236002312E-3</c:v>
                </c:pt>
                <c:pt idx="597">
                  <c:v>6.3166347382814791E-3</c:v>
                </c:pt>
                <c:pt idx="598">
                  <c:v>6.365705657183085E-3</c:v>
                </c:pt>
                <c:pt idx="599">
                  <c:v>6.4149021804915662E-3</c:v>
                </c:pt>
                <c:pt idx="600">
                  <c:v>6.4642243083135043E-3</c:v>
                </c:pt>
                <c:pt idx="601">
                  <c:v>6.5136720408087712E-3</c:v>
                </c:pt>
                <c:pt idx="602">
                  <c:v>6.5632453781638844E-3</c:v>
                </c:pt>
                <c:pt idx="603">
                  <c:v>6.6129443205387162E-3</c:v>
                </c:pt>
                <c:pt idx="604">
                  <c:v>6.6627688680398478E-3</c:v>
                </c:pt>
                <c:pt idx="605">
                  <c:v>6.7127190208537968E-3</c:v>
                </c:pt>
                <c:pt idx="606">
                  <c:v>6.7627947791670806E-3</c:v>
                </c:pt>
                <c:pt idx="607">
                  <c:v>6.8129961430862807E-3</c:v>
                </c:pt>
                <c:pt idx="608">
                  <c:v>6.8633231127712691E-3</c:v>
                </c:pt>
                <c:pt idx="609">
                  <c:v>6.9137756884352086E-3</c:v>
                </c:pt>
                <c:pt idx="610">
                  <c:v>6.9643538701580354E-3</c:v>
                </c:pt>
                <c:pt idx="611">
                  <c:v>7.0150576581529123E-3</c:v>
                </c:pt>
                <c:pt idx="612">
                  <c:v>7.0658870525797113E-3</c:v>
                </c:pt>
                <c:pt idx="613">
                  <c:v>7.1168420535716592E-3</c:v>
                </c:pt>
                <c:pt idx="614">
                  <c:v>7.1679226613152736E-3</c:v>
                </c:pt>
                <c:pt idx="615">
                  <c:v>7.2191288759437811E-3</c:v>
                </c:pt>
                <c:pt idx="616">
                  <c:v>7.2704606976436992E-3</c:v>
                </c:pt>
                <c:pt idx="617">
                  <c:v>7.3219181265482547E-3</c:v>
                </c:pt>
                <c:pt idx="618">
                  <c:v>7.3735011628173197E-3</c:v>
                </c:pt>
                <c:pt idx="619">
                  <c:v>7.4252098066640571E-3</c:v>
                </c:pt>
                <c:pt idx="620">
                  <c:v>7.4770440581950481E-3</c:v>
                </c:pt>
                <c:pt idx="621">
                  <c:v>7.5289478144480171E-3</c:v>
                </c:pt>
                <c:pt idx="622">
                  <c:v>7.5808052495673905E-3</c:v>
                </c:pt>
                <c:pt idx="623">
                  <c:v>7.6326109341628978E-3</c:v>
                </c:pt>
                <c:pt idx="624">
                  <c:v>7.6843648681546028E-3</c:v>
                </c:pt>
                <c:pt idx="625">
                  <c:v>7.7360670514625696E-3</c:v>
                </c:pt>
                <c:pt idx="626">
                  <c:v>7.7877174840601526E-3</c:v>
                </c:pt>
                <c:pt idx="627">
                  <c:v>7.8393161658940613E-3</c:v>
                </c:pt>
                <c:pt idx="628">
                  <c:v>7.9091735121217255E-3</c:v>
                </c:pt>
                <c:pt idx="629">
                  <c:v>7.9568861641909905E-3</c:v>
                </c:pt>
                <c:pt idx="630">
                  <c:v>8.0083125265595356E-3</c:v>
                </c:pt>
                <c:pt idx="631">
                  <c:v>8.0596871254545732E-3</c:v>
                </c:pt>
                <c:pt idx="632">
                  <c:v>8.1110099607961672E-3</c:v>
                </c:pt>
                <c:pt idx="633">
                  <c:v>8.1622810327441897E-3</c:v>
                </c:pt>
                <c:pt idx="634">
                  <c:v>8.2135003410588325E-3</c:v>
                </c:pt>
                <c:pt idx="635">
                  <c:v>8.2646678858200318E-3</c:v>
                </c:pt>
                <c:pt idx="636">
                  <c:v>8.3157836671077234E-3</c:v>
                </c:pt>
                <c:pt idx="637">
                  <c:v>8.3668476847620354E-3</c:v>
                </c:pt>
                <c:pt idx="638">
                  <c:v>8.4178599387829678E-3</c:v>
                </c:pt>
                <c:pt idx="639">
                  <c:v>8.4688204291705205E-3</c:v>
                </c:pt>
                <c:pt idx="640">
                  <c:v>8.5197291560046295E-3</c:v>
                </c:pt>
                <c:pt idx="641">
                  <c:v>8.5705861189655508E-3</c:v>
                </c:pt>
                <c:pt idx="642">
                  <c:v>8.6213913183730284E-3</c:v>
                </c:pt>
                <c:pt idx="643">
                  <c:v>8.6721447539872543E-3</c:v>
                </c:pt>
                <c:pt idx="644">
                  <c:v>8.7373231102194637E-3</c:v>
                </c:pt>
                <c:pt idx="645">
                  <c:v>8.7734963340757588E-3</c:v>
                </c:pt>
                <c:pt idx="646">
                  <c:v>8.8240944783901654E-3</c:v>
                </c:pt>
                <c:pt idx="647">
                  <c:v>8.8746408589113202E-3</c:v>
                </c:pt>
                <c:pt idx="648">
                  <c:v>8.9251354755592871E-3</c:v>
                </c:pt>
                <c:pt idx="649">
                  <c:v>8.9755783284140023E-3</c:v>
                </c:pt>
                <c:pt idx="650">
                  <c:v>9.0259694173955296E-3</c:v>
                </c:pt>
                <c:pt idx="651">
                  <c:v>9.0763087425038691E-3</c:v>
                </c:pt>
                <c:pt idx="652">
                  <c:v>9.1265963036590847E-3</c:v>
                </c:pt>
                <c:pt idx="653">
                  <c:v>9.1768321008611764E-3</c:v>
                </c:pt>
                <c:pt idx="654">
                  <c:v>9.2270161340302081E-3</c:v>
                </c:pt>
                <c:pt idx="655">
                  <c:v>9.2771484033260521E-3</c:v>
                </c:pt>
                <c:pt idx="656">
                  <c:v>9.327228908588836E-3</c:v>
                </c:pt>
                <c:pt idx="657">
                  <c:v>9.37725764981856E-3</c:v>
                </c:pt>
                <c:pt idx="658">
                  <c:v>9.4272346270152241E-3</c:v>
                </c:pt>
                <c:pt idx="659">
                  <c:v>9.4771598400988921E-3</c:v>
                </c:pt>
                <c:pt idx="660">
                  <c:v>9.5270332891495002E-3</c:v>
                </c:pt>
                <c:pt idx="661">
                  <c:v>9.5768549740071762E-3</c:v>
                </c:pt>
                <c:pt idx="662">
                  <c:v>9.6266248947518562E-3</c:v>
                </c:pt>
                <c:pt idx="663">
                  <c:v>9.6763430513835402E-3</c:v>
                </c:pt>
                <c:pt idx="664">
                  <c:v>9.7260094438222922E-3</c:v>
                </c:pt>
                <c:pt idx="665">
                  <c:v>9.775624072068112E-3</c:v>
                </c:pt>
                <c:pt idx="666">
                  <c:v>9.8251869361209998E-3</c:v>
                </c:pt>
                <c:pt idx="667">
                  <c:v>9.8746980358210834E-3</c:v>
                </c:pt>
                <c:pt idx="668">
                  <c:v>9.9241573713282349E-3</c:v>
                </c:pt>
                <c:pt idx="669">
                  <c:v>9.9735649426424544E-3</c:v>
                </c:pt>
                <c:pt idx="670">
                  <c:v>1.0022920749523934E-2</c:v>
                </c:pt>
                <c:pt idx="671">
                  <c:v>1.0072224792132545E-2</c:v>
                </c:pt>
                <c:pt idx="672">
                  <c:v>1.0121478371027948E-2</c:v>
                </c:pt>
                <c:pt idx="673">
                  <c:v>1.0170897402295154E-2</c:v>
                </c:pt>
                <c:pt idx="674">
                  <c:v>1.0220647074596911E-2</c:v>
                </c:pt>
                <c:pt idx="675">
                  <c:v>1.0270727388252965E-2</c:v>
                </c:pt>
                <c:pt idx="676">
                  <c:v>1.032113834334325E-2</c:v>
                </c:pt>
                <c:pt idx="677">
                  <c:v>1.0371879939867767E-2</c:v>
                </c:pt>
                <c:pt idx="678">
                  <c:v>1.0422952178146261E-2</c:v>
                </c:pt>
                <c:pt idx="679">
                  <c:v>1.047435505817873E-2</c:v>
                </c:pt>
                <c:pt idx="680">
                  <c:v>1.0537372408077061E-2</c:v>
                </c:pt>
                <c:pt idx="681">
                  <c:v>1.0585617473379827E-2</c:v>
                </c:pt>
                <c:pt idx="682">
                  <c:v>1.0638059514329612E-2</c:v>
                </c:pt>
                <c:pt idx="683">
                  <c:v>1.0690832197752798E-2</c:v>
                </c:pt>
                <c:pt idx="684">
                  <c:v>1.0743935523809256E-2</c:v>
                </c:pt>
                <c:pt idx="685">
                  <c:v>1.0797369492498987E-2</c:v>
                </c:pt>
                <c:pt idx="686">
                  <c:v>1.0851134104061799E-2</c:v>
                </c:pt>
                <c:pt idx="687">
                  <c:v>1.0905229358577628E-2</c:v>
                </c:pt>
                <c:pt idx="688">
                  <c:v>1.0959655256286283E-2</c:v>
                </c:pt>
                <c:pt idx="689">
                  <c:v>1.1014411797267698E-2</c:v>
                </c:pt>
                <c:pt idx="690">
                  <c:v>1.1069498981761683E-2</c:v>
                </c:pt>
                <c:pt idx="691">
                  <c:v>1.1124916809848173E-2</c:v>
                </c:pt>
                <c:pt idx="692">
                  <c:v>1.1180665281687041E-2</c:v>
                </c:pt>
                <c:pt idx="693">
                  <c:v>1.1236744397358223E-2</c:v>
                </c:pt>
                <c:pt idx="694">
                  <c:v>1.1293154157181462E-2</c:v>
                </c:pt>
                <c:pt idx="695">
                  <c:v>1.1366166835804492E-2</c:v>
                </c:pt>
                <c:pt idx="696">
                  <c:v>1.142333235404358E-2</c:v>
                </c:pt>
                <c:pt idx="697">
                  <c:v>1.149374675954995E-2</c:v>
                </c:pt>
                <c:pt idx="698">
                  <c:v>1.153865532441678E-2</c:v>
                </c:pt>
                <c:pt idx="699">
                  <c:v>1.1596812776870635E-2</c:v>
                </c:pt>
                <c:pt idx="700">
                  <c:v>1.1655300874355845E-2</c:v>
                </c:pt>
                <c:pt idx="701">
                  <c:v>1.1714119617112217E-2</c:v>
                </c:pt>
                <c:pt idx="702">
                  <c:v>1.1773269005139753E-2</c:v>
                </c:pt>
                <c:pt idx="703">
                  <c:v>1.1832749038838131E-2</c:v>
                </c:pt>
                <c:pt idx="704">
                  <c:v>1.1892559718127416E-2</c:v>
                </c:pt>
                <c:pt idx="705">
                  <c:v>1.1952701043407288E-2</c:v>
                </c:pt>
                <c:pt idx="706">
                  <c:v>1.2013173014677747E-2</c:v>
                </c:pt>
                <c:pt idx="707">
                  <c:v>1.2073975632098666E-2</c:v>
                </c:pt>
                <c:pt idx="708">
                  <c:v>1.2135108895909852E-2</c:v>
                </c:pt>
                <c:pt idx="709">
                  <c:v>1.2196572806271178E-2</c:v>
                </c:pt>
                <c:pt idx="710">
                  <c:v>1.2258367363422451E-2</c:v>
                </c:pt>
                <c:pt idx="711">
                  <c:v>1.2320492567363672E-2</c:v>
                </c:pt>
                <c:pt idx="712">
                  <c:v>1.2382948418334649E-2</c:v>
                </c:pt>
                <c:pt idx="713">
                  <c:v>1.2445734916575191E-2</c:v>
                </c:pt>
                <c:pt idx="714">
                  <c:v>1.2508852062245168E-2</c:v>
                </c:pt>
                <c:pt idx="715">
                  <c:v>1.2572299855424518E-2</c:v>
                </c:pt>
                <c:pt idx="716">
                  <c:v>1.2636078296353048E-2</c:v>
                </c:pt>
                <c:pt idx="717">
                  <c:v>1.2700187385190631E-2</c:v>
                </c:pt>
                <c:pt idx="718">
                  <c:v>1.2764627122177075E-2</c:v>
                </c:pt>
                <c:pt idx="719">
                  <c:v>1.2829397507392315E-2</c:v>
                </c:pt>
                <c:pt idx="720">
                  <c:v>1.289449854107616E-2</c:v>
                </c:pt>
                <c:pt idx="721">
                  <c:v>1.2959930223388483E-2</c:v>
                </c:pt>
                <c:pt idx="722">
                  <c:v>1.3025692554489154E-2</c:v>
                </c:pt>
                <c:pt idx="723">
                  <c:v>1.3091785534617983E-2</c:v>
                </c:pt>
                <c:pt idx="724">
                  <c:v>1.3158176706218327E-2</c:v>
                </c:pt>
                <c:pt idx="725">
                  <c:v>1.3224500493000946E-2</c:v>
                </c:pt>
                <c:pt idx="726">
                  <c:v>1.3290652688562332E-2</c:v>
                </c:pt>
                <c:pt idx="727">
                  <c:v>1.3356633292822551E-2</c:v>
                </c:pt>
                <c:pt idx="728">
                  <c:v>1.3422442305701665E-2</c:v>
                </c:pt>
                <c:pt idx="729">
                  <c:v>1.3488079727039803E-2</c:v>
                </c:pt>
                <c:pt idx="730">
                  <c:v>1.355354555675703E-2</c:v>
                </c:pt>
                <c:pt idx="731">
                  <c:v>1.3633581312879617E-2</c:v>
                </c:pt>
                <c:pt idx="732">
                  <c:v>1.3698674601638761E-2</c:v>
                </c:pt>
                <c:pt idx="733">
                  <c:v>1.3748913495623682E-2</c:v>
                </c:pt>
                <c:pt idx="734">
                  <c:v>1.3813692958057899E-2</c:v>
                </c:pt>
                <c:pt idx="735">
                  <c:v>1.3878300828471524E-2</c:v>
                </c:pt>
                <c:pt idx="736">
                  <c:v>1.394273710678462E-2</c:v>
                </c:pt>
                <c:pt idx="737">
                  <c:v>1.4007001792757379E-2</c:v>
                </c:pt>
                <c:pt idx="738">
                  <c:v>1.4071094886389801E-2</c:v>
                </c:pt>
                <c:pt idx="739">
                  <c:v>1.4135016387681887E-2</c:v>
                </c:pt>
                <c:pt idx="740">
                  <c:v>1.4198766296393828E-2</c:v>
                </c:pt>
                <c:pt idx="741">
                  <c:v>1.4262344612525624E-2</c:v>
                </c:pt>
                <c:pt idx="742">
                  <c:v>1.4325751335997339E-2</c:v>
                </c:pt>
                <c:pt idx="743">
                  <c:v>1.4388986466649101E-2</c:v>
                </c:pt>
                <c:pt idx="744">
                  <c:v>1.4452050004321038E-2</c:v>
                </c:pt>
                <c:pt idx="745">
                  <c:v>1.4534049462648468E-2</c:v>
                </c:pt>
                <c:pt idx="746">
                  <c:v>1.4577662300885308E-2</c:v>
                </c:pt>
                <c:pt idx="747">
                  <c:v>1.4640211059457897E-2</c:v>
                </c:pt>
                <c:pt idx="748">
                  <c:v>1.4702588224810853E-2</c:v>
                </c:pt>
                <c:pt idx="749">
                  <c:v>1.4764793796784303E-2</c:v>
                </c:pt>
                <c:pt idx="750">
                  <c:v>1.4826827775378248E-2</c:v>
                </c:pt>
                <c:pt idx="751">
                  <c:v>1.4888690160512752E-2</c:v>
                </c:pt>
                <c:pt idx="752">
                  <c:v>1.4950380951948006E-2</c:v>
                </c:pt>
                <c:pt idx="753">
                  <c:v>1.5011900149763946E-2</c:v>
                </c:pt>
                <c:pt idx="754">
                  <c:v>1.50732477538007E-2</c:v>
                </c:pt>
                <c:pt idx="755">
                  <c:v>1.5134423763978333E-2</c:v>
                </c:pt>
                <c:pt idx="756">
                  <c:v>1.5195428180216908E-2</c:v>
                </c:pt>
                <c:pt idx="757">
                  <c:v>1.5256261002356553E-2</c:v>
                </c:pt>
                <c:pt idx="758">
                  <c:v>1.5316922230477203E-2</c:v>
                </c:pt>
                <c:pt idx="759">
                  <c:v>1.5377411864339052E-2</c:v>
                </c:pt>
                <c:pt idx="760">
                  <c:v>1.5437729903862163E-2</c:v>
                </c:pt>
                <c:pt idx="761">
                  <c:v>1.5497876349126471E-2</c:v>
                </c:pt>
                <c:pt idx="762">
                  <c:v>1.555785119989217E-2</c:v>
                </c:pt>
                <c:pt idx="763">
                  <c:v>1.5617654456079322E-2</c:v>
                </c:pt>
                <c:pt idx="764">
                  <c:v>1.5677286117607991E-2</c:v>
                </c:pt>
                <c:pt idx="765">
                  <c:v>1.5736746184398243E-2</c:v>
                </c:pt>
                <c:pt idx="766">
                  <c:v>1.5796034656370139E-2</c:v>
                </c:pt>
                <c:pt idx="767">
                  <c:v>1.5855151533523681E-2</c:v>
                </c:pt>
                <c:pt idx="768">
                  <c:v>1.5914096815619061E-2</c:v>
                </c:pt>
                <c:pt idx="769">
                  <c:v>1.5972870502736214E-2</c:v>
                </c:pt>
                <c:pt idx="770">
                  <c:v>1.6031472594635332E-2</c:v>
                </c:pt>
                <c:pt idx="771">
                  <c:v>1.6089903091396351E-2</c:v>
                </c:pt>
                <c:pt idx="772">
                  <c:v>1.6148161992779464E-2</c:v>
                </c:pt>
                <c:pt idx="773">
                  <c:v>1.620624929878467E-2</c:v>
                </c:pt>
                <c:pt idx="774">
                  <c:v>1.6264165009252096E-2</c:v>
                </c:pt>
                <c:pt idx="775">
                  <c:v>1.632190912426168E-2</c:v>
                </c:pt>
                <c:pt idx="776">
                  <c:v>1.6379478490335941E-2</c:v>
                </c:pt>
                <c:pt idx="777">
                  <c:v>1.6436784815621053E-2</c:v>
                </c:pt>
                <c:pt idx="778">
                  <c:v>1.6493787107627611E-2</c:v>
                </c:pt>
                <c:pt idx="779">
                  <c:v>1.6550485366035872E-2</c:v>
                </c:pt>
                <c:pt idx="780">
                  <c:v>1.6606879590845836E-2</c:v>
                </c:pt>
                <c:pt idx="781">
                  <c:v>1.6662969781817694E-2</c:v>
                </c:pt>
                <c:pt idx="782">
                  <c:v>1.6718755938791574E-2</c:v>
                </c:pt>
                <c:pt idx="783">
                  <c:v>1.6774238061687541E-2</c:v>
                </c:pt>
                <c:pt idx="784">
                  <c:v>1.6829416150345722E-2</c:v>
                </c:pt>
                <c:pt idx="785">
                  <c:v>1.6884290204686181E-2</c:v>
                </c:pt>
                <c:pt idx="786">
                  <c:v>1.693886022446911E-2</c:v>
                </c:pt>
                <c:pt idx="787">
                  <c:v>1.6993126209614573E-2</c:v>
                </c:pt>
                <c:pt idx="788">
                  <c:v>1.7047088159882762E-2</c:v>
                </c:pt>
                <c:pt idx="789">
                  <c:v>1.7100746075273676E-2</c:v>
                </c:pt>
                <c:pt idx="790">
                  <c:v>1.7154099955627444E-2</c:v>
                </c:pt>
                <c:pt idx="791">
                  <c:v>1.7207149800784194E-2</c:v>
                </c:pt>
                <c:pt idx="792">
                  <c:v>1.7259895610584053E-2</c:v>
                </c:pt>
                <c:pt idx="793">
                  <c:v>1.7312337384947085E-2</c:v>
                </c:pt>
                <c:pt idx="794">
                  <c:v>1.7364475123633483E-2</c:v>
                </c:pt>
                <c:pt idx="795">
                  <c:v>1.7416308826723181E-2</c:v>
                </c:pt>
                <c:pt idx="796">
                  <c:v>1.7467838493816501E-2</c:v>
                </c:pt>
                <c:pt idx="797">
                  <c:v>1.7519064124993378E-2</c:v>
                </c:pt>
                <c:pt idx="798">
                  <c:v>1.7569985720014003E-2</c:v>
                </c:pt>
                <c:pt idx="799">
                  <c:v>1.7636731215480594E-2</c:v>
                </c:pt>
                <c:pt idx="800">
                  <c:v>1.767091680118682E-2</c:v>
                </c:pt>
                <c:pt idx="801">
                  <c:v>1.7720926287019267E-2</c:v>
                </c:pt>
                <c:pt idx="802">
                  <c:v>1.7770631736295783E-2</c:v>
                </c:pt>
                <c:pt idx="803">
                  <c:v>1.782003314877656E-2</c:v>
                </c:pt>
                <c:pt idx="804">
                  <c:v>1.7869130524301724E-2</c:v>
                </c:pt>
                <c:pt idx="805">
                  <c:v>1.7917923862951213E-2</c:v>
                </c:pt>
                <c:pt idx="806">
                  <c:v>1.7966413164405282E-2</c:v>
                </c:pt>
                <c:pt idx="807">
                  <c:v>1.8014598428583994E-2</c:v>
                </c:pt>
                <c:pt idx="808">
                  <c:v>1.8062479655327479E-2</c:v>
                </c:pt>
                <c:pt idx="809">
                  <c:v>1.8110056844715672E-2</c:v>
                </c:pt>
                <c:pt idx="810">
                  <c:v>1.8157329996348892E-2</c:v>
                </c:pt>
                <c:pt idx="811">
                  <c:v>1.8204299110307076E-2</c:v>
                </c:pt>
                <c:pt idx="812">
                  <c:v>1.8250964186350416E-2</c:v>
                </c:pt>
                <c:pt idx="813">
                  <c:v>1.8297325224478911E-2</c:v>
                </c:pt>
                <c:pt idx="814">
                  <c:v>1.8343382224532689E-2</c:v>
                </c:pt>
                <c:pt idx="815">
                  <c:v>1.8389135186351879E-2</c:v>
                </c:pt>
                <c:pt idx="816">
                  <c:v>1.8434584109776608E-2</c:v>
                </c:pt>
                <c:pt idx="817">
                  <c:v>1.8479728994806877E-2</c:v>
                </c:pt>
                <c:pt idx="818">
                  <c:v>1.8524569841282812E-2</c:v>
                </c:pt>
                <c:pt idx="819">
                  <c:v>1.8569106649044542E-2</c:v>
                </c:pt>
                <c:pt idx="820">
                  <c:v>1.8613339418092067E-2</c:v>
                </c:pt>
                <c:pt idx="821">
                  <c:v>1.865726814818558E-2</c:v>
                </c:pt>
                <c:pt idx="822">
                  <c:v>1.8700892839325078E-2</c:v>
                </c:pt>
                <c:pt idx="823">
                  <c:v>1.8744213491350692E-2</c:v>
                </c:pt>
                <c:pt idx="824">
                  <c:v>1.8787230104022612E-2</c:v>
                </c:pt>
                <c:pt idx="825">
                  <c:v>1.8829942677500711E-2</c:v>
                </c:pt>
                <c:pt idx="826">
                  <c:v>1.8872351211465244E-2</c:v>
                </c:pt>
                <c:pt idx="827">
                  <c:v>1.8914455705836275E-2</c:v>
                </c:pt>
                <c:pt idx="828">
                  <c:v>1.8956256319286879E-2</c:v>
                </c:pt>
                <c:pt idx="829">
                  <c:v>1.8997779396663361E-2</c:v>
                </c:pt>
                <c:pt idx="830">
                  <c:v>1.9039045093123264E-2</c:v>
                </c:pt>
                <c:pt idx="831">
                  <c:v>1.9080053408666586E-2</c:v>
                </c:pt>
                <c:pt idx="832">
                  <c:v>1.9120804343213393E-2</c:v>
                </c:pt>
                <c:pt idx="833">
                  <c:v>1.9161297896683749E-2</c:v>
                </c:pt>
                <c:pt idx="834">
                  <c:v>1.920153406891778E-2</c:v>
                </c:pt>
                <c:pt idx="835">
                  <c:v>1.9241512859835552E-2</c:v>
                </c:pt>
                <c:pt idx="836">
                  <c:v>1.9281234269517E-2</c:v>
                </c:pt>
                <c:pt idx="837">
                  <c:v>1.9320698297722316E-2</c:v>
                </c:pt>
                <c:pt idx="838">
                  <c:v>1.93599049444515E-2</c:v>
                </c:pt>
                <c:pt idx="839">
                  <c:v>1.9398854209464744E-2</c:v>
                </c:pt>
                <c:pt idx="840">
                  <c:v>1.9437546092841984E-2</c:v>
                </c:pt>
                <c:pt idx="841">
                  <c:v>1.9475980594423348E-2</c:v>
                </c:pt>
                <c:pt idx="842">
                  <c:v>1.9514157714208835E-2</c:v>
                </c:pt>
                <c:pt idx="843">
                  <c:v>1.9552077451958638E-2</c:v>
                </c:pt>
                <c:pt idx="844">
                  <c:v>1.9589739807752693E-2</c:v>
                </c:pt>
                <c:pt idx="845">
                  <c:v>1.9627144781511063E-2</c:v>
                </c:pt>
                <c:pt idx="846">
                  <c:v>1.9664292372993941E-2</c:v>
                </c:pt>
                <c:pt idx="847">
                  <c:v>1.9701182582201326E-2</c:v>
                </c:pt>
                <c:pt idx="848">
                  <c:v>1.9737815409133219E-2</c:v>
                </c:pt>
                <c:pt idx="849">
                  <c:v>1.9774190853549811E-2</c:v>
                </c:pt>
                <c:pt idx="850">
                  <c:v>1.9822758483931224E-2</c:v>
                </c:pt>
                <c:pt idx="851">
                  <c:v>1.9846169594996965E-2</c:v>
                </c:pt>
                <c:pt idx="852">
                  <c:v>1.9881772891787719E-2</c:v>
                </c:pt>
                <c:pt idx="853">
                  <c:v>1.9917118805743428E-2</c:v>
                </c:pt>
                <c:pt idx="854">
                  <c:v>1.9952207337023964E-2</c:v>
                </c:pt>
                <c:pt idx="855">
                  <c:v>1.9987038485309583E-2</c:v>
                </c:pt>
                <c:pt idx="856">
                  <c:v>2.0021612250760157E-2</c:v>
                </c:pt>
                <c:pt idx="857">
                  <c:v>2.0055928633135878E-2</c:v>
                </c:pt>
                <c:pt idx="858">
                  <c:v>2.0089987632356809E-2</c:v>
                </c:pt>
                <c:pt idx="859">
                  <c:v>2.0123789248422952E-2</c:v>
                </c:pt>
                <c:pt idx="860">
                  <c:v>2.0157333481254369E-2</c:v>
                </c:pt>
                <c:pt idx="861">
                  <c:v>2.0190620330851061E-2</c:v>
                </c:pt>
                <c:pt idx="862">
                  <c:v>2.022364979697322E-2</c:v>
                </c:pt>
                <c:pt idx="863">
                  <c:v>2.0256421879620845E-2</c:v>
                </c:pt>
                <c:pt idx="864">
                  <c:v>2.0288936578793937E-2</c:v>
                </c:pt>
                <c:pt idx="865">
                  <c:v>2.0321193894332623E-2</c:v>
                </c:pt>
                <c:pt idx="866">
                  <c:v>2.0353193826236904E-2</c:v>
                </c:pt>
                <c:pt idx="867">
                  <c:v>2.0384936374346907E-2</c:v>
                </c:pt>
                <c:pt idx="868">
                  <c:v>2.0416421538662632E-2</c:v>
                </c:pt>
                <c:pt idx="869">
                  <c:v>2.0447649319104144E-2</c:v>
                </c:pt>
                <c:pt idx="870">
                  <c:v>2.0478619715671442E-2</c:v>
                </c:pt>
                <c:pt idx="871">
                  <c:v>2.0509332728124718E-2</c:v>
                </c:pt>
                <c:pt idx="872">
                  <c:v>2.0539788356543909E-2</c:v>
                </c:pt>
                <c:pt idx="873">
                  <c:v>2.0569986600849077E-2</c:v>
                </c:pt>
                <c:pt idx="874">
                  <c:v>2.0599927460960288E-2</c:v>
                </c:pt>
                <c:pt idx="875">
                  <c:v>2.0629610936797604E-2</c:v>
                </c:pt>
                <c:pt idx="876">
                  <c:v>2.0659037028201155E-2</c:v>
                </c:pt>
                <c:pt idx="877">
                  <c:v>2.0688205735410747E-2</c:v>
                </c:pt>
                <c:pt idx="878">
                  <c:v>2.0717117057946766E-2</c:v>
                </c:pt>
                <c:pt idx="879">
                  <c:v>2.0745770996128954E-2</c:v>
                </c:pt>
                <c:pt idx="880">
                  <c:v>2.0774167549637568E-2</c:v>
                </c:pt>
                <c:pt idx="881">
                  <c:v>2.0802372435104743E-2</c:v>
                </c:pt>
                <c:pt idx="882">
                  <c:v>2.0830471550059571E-2</c:v>
                </c:pt>
                <c:pt idx="883">
                  <c:v>2.0858465411528471E-2</c:v>
                </c:pt>
                <c:pt idx="884">
                  <c:v>2.0886354019751252E-2</c:v>
                </c:pt>
                <c:pt idx="885">
                  <c:v>2.0914137374727915E-2</c:v>
                </c:pt>
                <c:pt idx="886">
                  <c:v>2.0941815476298586E-2</c:v>
                </c:pt>
                <c:pt idx="887">
                  <c:v>2.0969388324543203E-2</c:v>
                </c:pt>
                <c:pt idx="888">
                  <c:v>2.1008477657693536E-2</c:v>
                </c:pt>
                <c:pt idx="889">
                  <c:v>2.1033244786154981E-2</c:v>
                </c:pt>
                <c:pt idx="890">
                  <c:v>2.1060474985157285E-2</c:v>
                </c:pt>
                <c:pt idx="891">
                  <c:v>2.1087599922440248E-2</c:v>
                </c:pt>
                <c:pt idx="892">
                  <c:v>2.1114619597977224E-2</c:v>
                </c:pt>
                <c:pt idx="893">
                  <c:v>2.1141534011688279E-2</c:v>
                </c:pt>
                <c:pt idx="894">
                  <c:v>2.1168343163493475E-2</c:v>
                </c:pt>
                <c:pt idx="895">
                  <c:v>2.1195047053312877E-2</c:v>
                </c:pt>
                <c:pt idx="896">
                  <c:v>2.1221645681119838E-2</c:v>
                </c:pt>
                <c:pt idx="897">
                  <c:v>2.1248139046781134E-2</c:v>
                </c:pt>
                <c:pt idx="898">
                  <c:v>2.1274527150270117E-2</c:v>
                </c:pt>
                <c:pt idx="899">
                  <c:v>2.1300809991506853E-2</c:v>
                </c:pt>
                <c:pt idx="900">
                  <c:v>2.1326987570411404E-2</c:v>
                </c:pt>
                <c:pt idx="901">
                  <c:v>2.136293449651383E-2</c:v>
                </c:pt>
                <c:pt idx="902">
                  <c:v>2.1379026941010792E-2</c:v>
                </c:pt>
                <c:pt idx="903">
                  <c:v>2.1404888732545757E-2</c:v>
                </c:pt>
                <c:pt idx="904">
                  <c:v>2.1430645261482084E-2</c:v>
                </c:pt>
                <c:pt idx="905">
                  <c:v>2.1456296527766483E-2</c:v>
                </c:pt>
                <c:pt idx="906">
                  <c:v>2.1487840170317796E-2</c:v>
                </c:pt>
                <c:pt idx="907">
                  <c:v>2.1513247801037139E-2</c:v>
                </c:pt>
                <c:pt idx="908">
                  <c:v>2.1538550177870874E-2</c:v>
                </c:pt>
                <c:pt idx="909">
                  <c:v>2.1563747300739067E-2</c:v>
                </c:pt>
                <c:pt idx="910">
                  <c:v>2.1588839169721652E-2</c:v>
                </c:pt>
                <c:pt idx="911">
                  <c:v>2.1613825784738694E-2</c:v>
                </c:pt>
                <c:pt idx="912">
                  <c:v>2.1638707145790192E-2</c:v>
                </c:pt>
                <c:pt idx="913">
                  <c:v>2.1663483252956084E-2</c:v>
                </c:pt>
                <c:pt idx="914">
                  <c:v>2.168815410599656E-2</c:v>
                </c:pt>
                <c:pt idx="915">
                  <c:v>2.1712719704991557E-2</c:v>
                </c:pt>
                <c:pt idx="916">
                  <c:v>2.1737180050100946E-2</c:v>
                </c:pt>
                <c:pt idx="917">
                  <c:v>2.1761535141004984E-2</c:v>
                </c:pt>
                <c:pt idx="918">
                  <c:v>2.1785784977863543E-2</c:v>
                </c:pt>
                <c:pt idx="919">
                  <c:v>2.1809929560596686E-2</c:v>
                </c:pt>
                <c:pt idx="920">
                  <c:v>2.1833968889204414E-2</c:v>
                </c:pt>
                <c:pt idx="921">
                  <c:v>2.185790296360679E-2</c:v>
                </c:pt>
                <c:pt idx="922">
                  <c:v>2.1881731783883751E-2</c:v>
                </c:pt>
                <c:pt idx="923">
                  <c:v>2.1905455349875425E-2</c:v>
                </c:pt>
                <c:pt idx="924">
                  <c:v>2.1929073661741683E-2</c:v>
                </c:pt>
                <c:pt idx="925">
                  <c:v>2.1952586719322653E-2</c:v>
                </c:pt>
                <c:pt idx="926">
                  <c:v>2.1975994522698272E-2</c:v>
                </c:pt>
                <c:pt idx="927">
                  <c:v>2.1999297071708668E-2</c:v>
                </c:pt>
                <c:pt idx="928">
                  <c:v>2.2022494366433776E-2</c:v>
                </c:pt>
                <c:pt idx="929">
                  <c:v>2.2045586406873596E-2</c:v>
                </c:pt>
                <c:pt idx="930">
                  <c:v>2.2068573192948193E-2</c:v>
                </c:pt>
                <c:pt idx="931">
                  <c:v>2.2091454724657567E-2</c:v>
                </c:pt>
                <c:pt idx="932">
                  <c:v>2.2114230808316648E-2</c:v>
                </c:pt>
                <c:pt idx="933">
                  <c:v>2.2136869287567862E-2</c:v>
                </c:pt>
                <c:pt idx="934">
                  <c:v>2.2159345561130195E-2</c:v>
                </c:pt>
                <c:pt idx="935">
                  <c:v>2.2181659628763839E-2</c:v>
                </c:pt>
                <c:pt idx="936">
                  <c:v>2.2203811490628667E-2</c:v>
                </c:pt>
                <c:pt idx="937">
                  <c:v>2.2225801146564805E-2</c:v>
                </c:pt>
                <c:pt idx="938">
                  <c:v>2.2247628596652191E-2</c:v>
                </c:pt>
                <c:pt idx="939">
                  <c:v>2.2269293840730953E-2</c:v>
                </c:pt>
                <c:pt idx="940">
                  <c:v>2.2296073550220896E-2</c:v>
                </c:pt>
                <c:pt idx="941">
                  <c:v>2.2315173160034618E-2</c:v>
                </c:pt>
                <c:pt idx="942">
                  <c:v>2.2336328613823397E-2</c:v>
                </c:pt>
                <c:pt idx="943">
                  <c:v>2.2357321861523616E-2</c:v>
                </c:pt>
                <c:pt idx="944">
                  <c:v>2.2378152903215209E-2</c:v>
                </c:pt>
                <c:pt idx="945">
                  <c:v>2.2398821738738306E-2</c:v>
                </c:pt>
                <c:pt idx="946">
                  <c:v>2.2419328368092906E-2</c:v>
                </c:pt>
                <c:pt idx="947">
                  <c:v>2.2439672791358944E-2</c:v>
                </c:pt>
                <c:pt idx="948">
                  <c:v>2.245985500837655E-2</c:v>
                </c:pt>
                <c:pt idx="949">
                  <c:v>2.2479875019225659E-2</c:v>
                </c:pt>
                <c:pt idx="950">
                  <c:v>2.2499732823666463E-2</c:v>
                </c:pt>
                <c:pt idx="951">
                  <c:v>2.2519428422018706E-2</c:v>
                </c:pt>
                <c:pt idx="952">
                  <c:v>2.2538961813962644E-2</c:v>
                </c:pt>
                <c:pt idx="953">
                  <c:v>2.2558332999498276E-2</c:v>
                </c:pt>
                <c:pt idx="954">
                  <c:v>2.2577541978785476E-2</c:v>
                </c:pt>
                <c:pt idx="955">
                  <c:v>2.259658875166437E-2</c:v>
                </c:pt>
                <c:pt idx="956">
                  <c:v>2.2620839115541358E-2</c:v>
                </c:pt>
                <c:pt idx="957">
                  <c:v>2.2646244679354055E-2</c:v>
                </c:pt>
                <c:pt idx="958">
                  <c:v>2.2658028939641639E-2</c:v>
                </c:pt>
                <c:pt idx="959">
                  <c:v>2.2676380541959418E-2</c:v>
                </c:pt>
                <c:pt idx="960">
                  <c:v>2.2694569937788955E-2</c:v>
                </c:pt>
                <c:pt idx="961">
                  <c:v>2.2712597127130252E-2</c:v>
                </c:pt>
                <c:pt idx="962">
                  <c:v>2.2730462109823435E-2</c:v>
                </c:pt>
                <c:pt idx="963">
                  <c:v>2.2748164885948441E-2</c:v>
                </c:pt>
                <c:pt idx="964">
                  <c:v>2.2765705455425334E-2</c:v>
                </c:pt>
                <c:pt idx="965">
                  <c:v>2.2783083818254113E-2</c:v>
                </c:pt>
                <c:pt idx="966">
                  <c:v>2.2800299974434779E-2</c:v>
                </c:pt>
                <c:pt idx="967">
                  <c:v>2.2817353923967332E-2</c:v>
                </c:pt>
                <c:pt idx="968">
                  <c:v>2.2834245666771835E-2</c:v>
                </c:pt>
                <c:pt idx="969">
                  <c:v>2.2850975202848289E-2</c:v>
                </c:pt>
                <c:pt idx="970">
                  <c:v>2.2867542532116758E-2</c:v>
                </c:pt>
                <c:pt idx="971">
                  <c:v>2.2883947654657177E-2</c:v>
                </c:pt>
                <c:pt idx="972">
                  <c:v>2.2900190570389611E-2</c:v>
                </c:pt>
                <c:pt idx="973">
                  <c:v>2.291627127931406E-2</c:v>
                </c:pt>
                <c:pt idx="974">
                  <c:v>2.2932189781270651E-2</c:v>
                </c:pt>
                <c:pt idx="975">
                  <c:v>2.2947946076499193E-2</c:v>
                </c:pt>
                <c:pt idx="976">
                  <c:v>2.2963540164759877E-2</c:v>
                </c:pt>
                <c:pt idx="977">
                  <c:v>2.2978972046212576E-2</c:v>
                </c:pt>
                <c:pt idx="978">
                  <c:v>2.2994241720617481E-2</c:v>
                </c:pt>
                <c:pt idx="979">
                  <c:v>2.3009349188134465E-2</c:v>
                </c:pt>
                <c:pt idx="980">
                  <c:v>2.3024294448763527E-2</c:v>
                </c:pt>
                <c:pt idx="981">
                  <c:v>2.303907750226486E-2</c:v>
                </c:pt>
                <c:pt idx="982">
                  <c:v>2.3053698348798335E-2</c:v>
                </c:pt>
                <c:pt idx="983">
                  <c:v>2.3068156988284017E-2</c:v>
                </c:pt>
                <c:pt idx="984">
                  <c:v>2.3082453420721905E-2</c:v>
                </c:pt>
                <c:pt idx="985">
                  <c:v>2.3096587646111999E-2</c:v>
                </c:pt>
                <c:pt idx="986">
                  <c:v>2.31105596644543E-2</c:v>
                </c:pt>
                <c:pt idx="987">
                  <c:v>2.3124369475588935E-2</c:v>
                </c:pt>
                <c:pt idx="988">
                  <c:v>2.3138017079675777E-2</c:v>
                </c:pt>
                <c:pt idx="989">
                  <c:v>2.3151502476634889E-2</c:v>
                </c:pt>
                <c:pt idx="990">
                  <c:v>2.3164825666386335E-2</c:v>
                </c:pt>
                <c:pt idx="991">
                  <c:v>2.3185434382719805E-2</c:v>
                </c:pt>
                <c:pt idx="992">
                  <c:v>2.3196162919632002E-2</c:v>
                </c:pt>
                <c:pt idx="993">
                  <c:v>2.3203821992474616E-2</c:v>
                </c:pt>
                <c:pt idx="994">
                  <c:v>2.3216496353395399E-2</c:v>
                </c:pt>
                <c:pt idx="995">
                  <c:v>2.3229008507108517E-2</c:v>
                </c:pt>
                <c:pt idx="996">
                  <c:v>2.3241358453454097E-2</c:v>
                </c:pt>
                <c:pt idx="997">
                  <c:v>2.3253546192592012E-2</c:v>
                </c:pt>
                <c:pt idx="998">
                  <c:v>2.3265571724442324E-2</c:v>
                </c:pt>
                <c:pt idx="999">
                  <c:v>2.3277435048925099E-2</c:v>
                </c:pt>
                <c:pt idx="1000">
                  <c:v>2.3289136166120272E-2</c:v>
                </c:pt>
                <c:pt idx="1001">
                  <c:v>2.3300675075947908E-2</c:v>
                </c:pt>
                <c:pt idx="1002">
                  <c:v>2.3312051778408005E-2</c:v>
                </c:pt>
                <c:pt idx="1003">
                  <c:v>2.3323266273500565E-2</c:v>
                </c:pt>
                <c:pt idx="1004">
                  <c:v>2.3334318561145651E-2</c:v>
                </c:pt>
                <c:pt idx="1005">
                  <c:v>2.3351315755293811E-2</c:v>
                </c:pt>
                <c:pt idx="1006">
                  <c:v>2.3355936514253273E-2</c:v>
                </c:pt>
                <c:pt idx="1007">
                  <c:v>2.3366502179715809E-2</c:v>
                </c:pt>
                <c:pt idx="1008">
                  <c:v>2.3376905637650935E-2</c:v>
                </c:pt>
                <c:pt idx="1009">
                  <c:v>2.3391597785589191E-2</c:v>
                </c:pt>
                <c:pt idx="1010">
                  <c:v>2.3397225931178767E-2</c:v>
                </c:pt>
                <c:pt idx="1011">
                  <c:v>2.3407142766611599E-2</c:v>
                </c:pt>
                <c:pt idx="1012">
                  <c:v>2.3416897394676894E-2</c:v>
                </c:pt>
                <c:pt idx="1013">
                  <c:v>2.3426489815134843E-2</c:v>
                </c:pt>
                <c:pt idx="1014">
                  <c:v>2.3435920028065382E-2</c:v>
                </c:pt>
                <c:pt idx="1015">
                  <c:v>2.3445188033548447E-2</c:v>
                </c:pt>
                <c:pt idx="1016">
                  <c:v>2.3454293831344231E-2</c:v>
                </c:pt>
                <c:pt idx="1017">
                  <c:v>2.346323742169254E-2</c:v>
                </c:pt>
                <c:pt idx="1018">
                  <c:v>2.3472018804273631E-2</c:v>
                </c:pt>
                <c:pt idx="1019">
                  <c:v>2.3480637979407248E-2</c:v>
                </c:pt>
                <c:pt idx="1020">
                  <c:v>2.3489094946853584E-2</c:v>
                </c:pt>
                <c:pt idx="1021">
                  <c:v>2.3497389706692573E-2</c:v>
                </c:pt>
                <c:pt idx="1022">
                  <c:v>2.3505522259004152E-2</c:v>
                </c:pt>
                <c:pt idx="1023">
                  <c:v>2.3513492603548514E-2</c:v>
                </c:pt>
                <c:pt idx="1024">
                  <c:v>2.3521300740485529E-2</c:v>
                </c:pt>
                <c:pt idx="1025">
                  <c:v>2.3528946669735262E-2</c:v>
                </c:pt>
                <c:pt idx="1026">
                  <c:v>2.353643039137765E-2</c:v>
                </c:pt>
                <c:pt idx="1027">
                  <c:v>2.3543751905332755E-2</c:v>
                </c:pt>
                <c:pt idx="1028">
                  <c:v>2.3550911211520642E-2</c:v>
                </c:pt>
                <c:pt idx="1029">
                  <c:v>2.3557908310021247E-2</c:v>
                </c:pt>
                <c:pt idx="1030">
                  <c:v>2.356474320083457E-2</c:v>
                </c:pt>
                <c:pt idx="1031">
                  <c:v>2.3571415883960611E-2</c:v>
                </c:pt>
                <c:pt idx="1032">
                  <c:v>2.3577926359319434E-2</c:v>
                </c:pt>
                <c:pt idx="1033">
                  <c:v>2.3584274626911039E-2</c:v>
                </c:pt>
                <c:pt idx="1034">
                  <c:v>2.3590460686815362E-2</c:v>
                </c:pt>
                <c:pt idx="1035">
                  <c:v>2.3596484538872531E-2</c:v>
                </c:pt>
                <c:pt idx="1036">
                  <c:v>2.3602354495873001E-2</c:v>
                </c:pt>
                <c:pt idx="1037">
                  <c:v>2.3608164183723801E-2</c:v>
                </c:pt>
                <c:pt idx="1038">
                  <c:v>2.3613940290276858E-2</c:v>
                </c:pt>
                <c:pt idx="1039">
                  <c:v>2.3619682815452236E-2</c:v>
                </c:pt>
                <c:pt idx="1040">
                  <c:v>2.3625391759329872E-2</c:v>
                </c:pt>
                <c:pt idx="1041">
                  <c:v>2.3631067121909766E-2</c:v>
                </c:pt>
                <c:pt idx="1042">
                  <c:v>2.363670890311198E-2</c:v>
                </c:pt>
                <c:pt idx="1043">
                  <c:v>2.3645843397113175E-2</c:v>
                </c:pt>
                <c:pt idx="1044">
                  <c:v>2.3651411916858489E-2</c:v>
                </c:pt>
                <c:pt idx="1045">
                  <c:v>2.3653432758852233E-2</c:v>
                </c:pt>
                <c:pt idx="1046">
                  <c:v>2.3658940214783541E-2</c:v>
                </c:pt>
                <c:pt idx="1047">
                  <c:v>2.3664414089337171E-2</c:v>
                </c:pt>
                <c:pt idx="1048">
                  <c:v>2.3669854382672995E-2</c:v>
                </c:pt>
                <c:pt idx="1049">
                  <c:v>2.3675261094631139E-2</c:v>
                </c:pt>
                <c:pt idx="1050">
                  <c:v>2.3680634225211605E-2</c:v>
                </c:pt>
                <c:pt idx="1051">
                  <c:v>2.3685973774494329E-2</c:v>
                </c:pt>
                <c:pt idx="1052">
                  <c:v>2.3691279742399374E-2</c:v>
                </c:pt>
                <c:pt idx="1053">
                  <c:v>2.3696552129006676E-2</c:v>
                </c:pt>
                <c:pt idx="1054">
                  <c:v>2.37017909342363E-2</c:v>
                </c:pt>
                <c:pt idx="1055">
                  <c:v>2.3706996158168181E-2</c:v>
                </c:pt>
                <c:pt idx="1056">
                  <c:v>2.3716762857857177E-2</c:v>
                </c:pt>
                <c:pt idx="1057">
                  <c:v>2.3717305861978843E-2</c:v>
                </c:pt>
                <c:pt idx="1058">
                  <c:v>2.3722410341777689E-2</c:v>
                </c:pt>
                <c:pt idx="1059">
                  <c:v>2.3727481240358728E-2</c:v>
                </c:pt>
                <c:pt idx="1060">
                  <c:v>2.3732518557562088E-2</c:v>
                </c:pt>
                <c:pt idx="1061">
                  <c:v>2.3737522293307833E-2</c:v>
                </c:pt>
                <c:pt idx="1062">
                  <c:v>2.3742492447755836E-2</c:v>
                </c:pt>
                <c:pt idx="1063">
                  <c:v>2.3747429020986033E-2</c:v>
                </c:pt>
                <c:pt idx="1064">
                  <c:v>2.3752332012758615E-2</c:v>
                </c:pt>
                <c:pt idx="1065">
                  <c:v>2.3757201423073582E-2</c:v>
                </c:pt>
                <c:pt idx="1066">
                  <c:v>2.3762037252170742E-2</c:v>
                </c:pt>
                <c:pt idx="1067">
                  <c:v>2.3766839499810288E-2</c:v>
                </c:pt>
                <c:pt idx="1068">
                  <c:v>2.3771608166152092E-2</c:v>
                </c:pt>
                <c:pt idx="1069">
                  <c:v>2.3776343251196153E-2</c:v>
                </c:pt>
                <c:pt idx="1070">
                  <c:v>2.3781044754782599E-2</c:v>
                </c:pt>
                <c:pt idx="1071">
                  <c:v>2.3785712676991366E-2</c:v>
                </c:pt>
                <c:pt idx="1072">
                  <c:v>2.3790347017902391E-2</c:v>
                </c:pt>
                <c:pt idx="1073">
                  <c:v>2.3794947777435738E-2</c:v>
                </c:pt>
                <c:pt idx="1074">
                  <c:v>2.3799514955591405E-2</c:v>
                </c:pt>
                <c:pt idx="1075">
                  <c:v>2.3804048552369395E-2</c:v>
                </c:pt>
                <c:pt idx="1076">
                  <c:v>2.3808548567769705E-2</c:v>
                </c:pt>
                <c:pt idx="1077">
                  <c:v>2.3813015001792337E-2</c:v>
                </c:pt>
                <c:pt idx="1078">
                  <c:v>2.3817447854517226E-2</c:v>
                </c:pt>
                <c:pt idx="1079">
                  <c:v>2.3821847125784501E-2</c:v>
                </c:pt>
                <c:pt idx="1080">
                  <c:v>2.3826212815674097E-2</c:v>
                </c:pt>
                <c:pt idx="1081">
                  <c:v>2.3830544924186015E-2</c:v>
                </c:pt>
                <c:pt idx="1082">
                  <c:v>2.3834843451400189E-2</c:v>
                </c:pt>
                <c:pt idx="1083">
                  <c:v>2.383910839715675E-2</c:v>
                </c:pt>
                <c:pt idx="1084">
                  <c:v>2.3843339761535631E-2</c:v>
                </c:pt>
                <c:pt idx="1085">
                  <c:v>2.3847537544536834E-2</c:v>
                </c:pt>
                <c:pt idx="1086">
                  <c:v>2.3851701746240295E-2</c:v>
                </c:pt>
                <c:pt idx="1087">
                  <c:v>2.3855832366406204E-2</c:v>
                </c:pt>
                <c:pt idx="1088">
                  <c:v>2.3859929405354308E-2</c:v>
                </c:pt>
                <c:pt idx="1089">
                  <c:v>2.386399286276486E-2</c:v>
                </c:pt>
                <c:pt idx="1090">
                  <c:v>2.386802273887767E-2</c:v>
                </c:pt>
                <c:pt idx="1091">
                  <c:v>2.3872019033612801E-2</c:v>
                </c:pt>
                <c:pt idx="1092">
                  <c:v>2.3875981746890318E-2</c:v>
                </c:pt>
                <c:pt idx="1093">
                  <c:v>2.3879910878790156E-2</c:v>
                </c:pt>
                <c:pt idx="1094">
                  <c:v>2.3883806429312315E-2</c:v>
                </c:pt>
                <c:pt idx="1095">
                  <c:v>2.3887668398536732E-2</c:v>
                </c:pt>
                <c:pt idx="1096">
                  <c:v>2.3891496786223598E-2</c:v>
                </c:pt>
                <c:pt idx="1097">
                  <c:v>2.3895291592612722E-2</c:v>
                </c:pt>
                <c:pt idx="1098">
                  <c:v>2.3899052817544231E-2</c:v>
                </c:pt>
                <c:pt idx="1099">
                  <c:v>2.3902780461098061E-2</c:v>
                </c:pt>
                <c:pt idx="1100">
                  <c:v>2.3906474523274213E-2</c:v>
                </c:pt>
                <c:pt idx="1101">
                  <c:v>2.391013500399275E-2</c:v>
                </c:pt>
                <c:pt idx="1102">
                  <c:v>2.3913761903413544E-2</c:v>
                </c:pt>
                <c:pt idx="1103">
                  <c:v>2.3917355221376724E-2</c:v>
                </c:pt>
                <c:pt idx="1104">
                  <c:v>2.3920914957962225E-2</c:v>
                </c:pt>
                <c:pt idx="1105">
                  <c:v>2.3924441113090111E-2</c:v>
                </c:pt>
                <c:pt idx="1106">
                  <c:v>2.3927933686840319E-2</c:v>
                </c:pt>
                <c:pt idx="1107">
                  <c:v>2.3931392679212848E-2</c:v>
                </c:pt>
                <c:pt idx="1108">
                  <c:v>2.3934818090127763E-2</c:v>
                </c:pt>
                <c:pt idx="1109">
                  <c:v>2.3938209919664999E-2</c:v>
                </c:pt>
                <c:pt idx="1110">
                  <c:v>2.3941568167824556E-2</c:v>
                </c:pt>
                <c:pt idx="1111">
                  <c:v>2.394902167034374E-2</c:v>
                </c:pt>
                <c:pt idx="1112">
                  <c:v>2.3948183919770827E-2</c:v>
                </c:pt>
                <c:pt idx="1113">
                  <c:v>2.3951441423717412E-2</c:v>
                </c:pt>
                <c:pt idx="1114">
                  <c:v>2.3954665346206383E-2</c:v>
                </c:pt>
                <c:pt idx="1115">
                  <c:v>2.3957855687157803E-2</c:v>
                </c:pt>
                <c:pt idx="1116">
                  <c:v>2.3961012446891417E-2</c:v>
                </c:pt>
                <c:pt idx="1117">
                  <c:v>2.3964135625087479E-2</c:v>
                </c:pt>
                <c:pt idx="1118">
                  <c:v>2.3967225221905863E-2</c:v>
                </c:pt>
                <c:pt idx="1119">
                  <c:v>2.3970281237346569E-2</c:v>
                </c:pt>
                <c:pt idx="1120">
                  <c:v>2.3973303671409596E-2</c:v>
                </c:pt>
                <c:pt idx="1121">
                  <c:v>2.3976292523935072E-2</c:v>
                </c:pt>
                <c:pt idx="1122">
                  <c:v>2.397924779508287E-2</c:v>
                </c:pt>
                <c:pt idx="1123">
                  <c:v>2.3982169484852989E-2</c:v>
                </c:pt>
                <c:pt idx="1124">
                  <c:v>2.3985057593165493E-2</c:v>
                </c:pt>
                <c:pt idx="1125">
                  <c:v>2.3987912120020383E-2</c:v>
                </c:pt>
                <c:pt idx="1126">
                  <c:v>2.3990733065497594E-2</c:v>
                </c:pt>
                <c:pt idx="1127">
                  <c:v>2.3993520429597126E-2</c:v>
                </c:pt>
                <c:pt idx="1128">
                  <c:v>2.3996274212239044E-2</c:v>
                </c:pt>
                <c:pt idx="1129">
                  <c:v>2.3998994413423347E-2</c:v>
                </c:pt>
                <c:pt idx="1130">
                  <c:v>2.4001681033150035E-2</c:v>
                </c:pt>
                <c:pt idx="1131">
                  <c:v>2.4004334071499045E-2</c:v>
                </c:pt>
                <c:pt idx="1132">
                  <c:v>2.4006953528470376E-2</c:v>
                </c:pt>
                <c:pt idx="1133">
                  <c:v>2.4009539403984093E-2</c:v>
                </c:pt>
                <c:pt idx="1134">
                  <c:v>2.4012091698040194E-2</c:v>
                </c:pt>
                <c:pt idx="1135">
                  <c:v>2.4014610410638682E-2</c:v>
                </c:pt>
                <c:pt idx="1136">
                  <c:v>2.401709554185949E-2</c:v>
                </c:pt>
                <c:pt idx="1137">
                  <c:v>2.401954709170262E-2</c:v>
                </c:pt>
                <c:pt idx="1138">
                  <c:v>2.4021965060088135E-2</c:v>
                </c:pt>
                <c:pt idx="1139">
                  <c:v>2.40243494469361E-2</c:v>
                </c:pt>
                <c:pt idx="1140">
                  <c:v>2.4026700252406386E-2</c:v>
                </c:pt>
                <c:pt idx="1141">
                  <c:v>2.4029017476498993E-2</c:v>
                </c:pt>
                <c:pt idx="1142">
                  <c:v>2.4031301119054049E-2</c:v>
                </c:pt>
                <c:pt idx="1143">
                  <c:v>2.4033551180311363E-2</c:v>
                </c:pt>
                <c:pt idx="1144">
                  <c:v>2.4035767660031127E-2</c:v>
                </c:pt>
                <c:pt idx="1145">
                  <c:v>2.4037950558293275E-2</c:v>
                </c:pt>
                <c:pt idx="1146">
                  <c:v>2.4040099875177745E-2</c:v>
                </c:pt>
                <c:pt idx="1147">
                  <c:v>2.4042215610684536E-2</c:v>
                </c:pt>
                <c:pt idx="1148">
                  <c:v>2.4047441946708492E-2</c:v>
                </c:pt>
                <c:pt idx="1149">
                  <c:v>2.4048531545819429E-2</c:v>
                </c:pt>
                <c:pt idx="1150">
                  <c:v>2.4050537210200673E-2</c:v>
                </c:pt>
                <c:pt idx="1151">
                  <c:v>2.4052509288647883E-2</c:v>
                </c:pt>
                <c:pt idx="1152">
                  <c:v>2.405444778121435E-2</c:v>
                </c:pt>
                <c:pt idx="1153">
                  <c:v>2.4056352687846783E-2</c:v>
                </c:pt>
                <c:pt idx="1154">
                  <c:v>2.4058224008598472E-2</c:v>
                </c:pt>
                <c:pt idx="1155">
                  <c:v>2.4060061743442773E-2</c:v>
                </c:pt>
                <c:pt idx="1156">
                  <c:v>2.406186589235304E-2</c:v>
                </c:pt>
                <c:pt idx="1157">
                  <c:v>2.4063636455355919E-2</c:v>
                </c:pt>
                <c:pt idx="1158">
                  <c:v>2.4065373432424764E-2</c:v>
                </c:pt>
                <c:pt idx="1159">
                  <c:v>2.4067076823612865E-2</c:v>
                </c:pt>
                <c:pt idx="1160">
                  <c:v>2.4068746628866933E-2</c:v>
                </c:pt>
                <c:pt idx="1161">
                  <c:v>2.4069464720852807E-2</c:v>
                </c:pt>
                <c:pt idx="1162">
                  <c:v>2.4071985481626257E-2</c:v>
                </c:pt>
                <c:pt idx="1163">
                  <c:v>2.4073554529104868E-2</c:v>
                </c:pt>
                <c:pt idx="1164">
                  <c:v>2.4075089990702736E-2</c:v>
                </c:pt>
                <c:pt idx="1165">
                  <c:v>2.4076591866339925E-2</c:v>
                </c:pt>
                <c:pt idx="1166">
                  <c:v>2.407806015604308E-2</c:v>
                </c:pt>
                <c:pt idx="1167">
                  <c:v>2.4079494859865491E-2</c:v>
                </c:pt>
                <c:pt idx="1168">
                  <c:v>2.4080895977700578E-2</c:v>
                </c:pt>
                <c:pt idx="1169">
                  <c:v>2.4082263509654922E-2</c:v>
                </c:pt>
                <c:pt idx="1170">
                  <c:v>2.4083597455648587E-2</c:v>
                </c:pt>
                <c:pt idx="1171">
                  <c:v>2.4084897815708217E-2</c:v>
                </c:pt>
                <c:pt idx="1172">
                  <c:v>2.4086164589887105E-2</c:v>
                </c:pt>
                <c:pt idx="1173">
                  <c:v>2.4087397778078667E-2</c:v>
                </c:pt>
                <c:pt idx="1174">
                  <c:v>2.4088597380362842E-2</c:v>
                </c:pt>
                <c:pt idx="1175">
                  <c:v>2.4089763396686337E-2</c:v>
                </c:pt>
                <c:pt idx="1176">
                  <c:v>2.4090895827075798E-2</c:v>
                </c:pt>
                <c:pt idx="1177">
                  <c:v>2.409199467155787E-2</c:v>
                </c:pt>
                <c:pt idx="1178">
                  <c:v>2.4093059930079264E-2</c:v>
                </c:pt>
                <c:pt idx="1179">
                  <c:v>2.4094091602666623E-2</c:v>
                </c:pt>
                <c:pt idx="1180">
                  <c:v>2.4095089689293303E-2</c:v>
                </c:pt>
                <c:pt idx="1181">
                  <c:v>2.4096054189985949E-2</c:v>
                </c:pt>
                <c:pt idx="1182">
                  <c:v>2.4096985104771207E-2</c:v>
                </c:pt>
                <c:pt idx="1183">
                  <c:v>2.4097882433595785E-2</c:v>
                </c:pt>
                <c:pt idx="1184">
                  <c:v>2.4098746176459684E-2</c:v>
                </c:pt>
                <c:pt idx="1185">
                  <c:v>2.409957633338955E-2</c:v>
                </c:pt>
                <c:pt idx="1186">
                  <c:v>2.4100372904358736E-2</c:v>
                </c:pt>
                <c:pt idx="1187">
                  <c:v>2.4101135889393888E-2</c:v>
                </c:pt>
                <c:pt idx="1188">
                  <c:v>2.4101865288495006E-2</c:v>
                </c:pt>
                <c:pt idx="1189">
                  <c:v>2.4102561101635445E-2</c:v>
                </c:pt>
                <c:pt idx="1190">
                  <c:v>2.410322332884185E-2</c:v>
                </c:pt>
                <c:pt idx="1191">
                  <c:v>2.4103851970087575E-2</c:v>
                </c:pt>
                <c:pt idx="1192">
                  <c:v>2.4104447025399267E-2</c:v>
                </c:pt>
                <c:pt idx="1193">
                  <c:v>2.4105005564027948E-2</c:v>
                </c:pt>
                <c:pt idx="1194">
                  <c:v>2.4105521535426888E-2</c:v>
                </c:pt>
                <c:pt idx="1195">
                  <c:v>2.4105994655982954E-2</c:v>
                </c:pt>
                <c:pt idx="1196">
                  <c:v>2.4106424925722791E-2</c:v>
                </c:pt>
                <c:pt idx="1197">
                  <c:v>2.4106812344593109E-2</c:v>
                </c:pt>
                <c:pt idx="1198">
                  <c:v>2.4107156912647199E-2</c:v>
                </c:pt>
                <c:pt idx="1199">
                  <c:v>2.4107458629831768E-2</c:v>
                </c:pt>
                <c:pt idx="1200">
                  <c:v>2.4106992615124945E-2</c:v>
                </c:pt>
                <c:pt idx="1201">
                  <c:v>2.4106373400805126E-2</c:v>
                </c:pt>
                <c:pt idx="1202">
                  <c:v>2.4106534300818439E-2</c:v>
                </c:pt>
                <c:pt idx="1203">
                  <c:v>2.4106652355744274E-2</c:v>
                </c:pt>
                <c:pt idx="1204">
                  <c:v>2.4106727565582631E-2</c:v>
                </c:pt>
                <c:pt idx="1205">
                  <c:v>2.4106759930253574E-2</c:v>
                </c:pt>
                <c:pt idx="1206">
                  <c:v>2.4106749449916975E-2</c:v>
                </c:pt>
                <c:pt idx="1207">
                  <c:v>2.4106696124412963E-2</c:v>
                </c:pt>
                <c:pt idx="1208">
                  <c:v>2.4106599953821473E-2</c:v>
                </c:pt>
                <c:pt idx="1209">
                  <c:v>2.4106460938142504E-2</c:v>
                </c:pt>
                <c:pt idx="1210">
                  <c:v>2.4106279077296122E-2</c:v>
                </c:pt>
                <c:pt idx="1211">
                  <c:v>2.4106054371362262E-2</c:v>
                </c:pt>
                <c:pt idx="1212">
                  <c:v>2.4105786820340924E-2</c:v>
                </c:pt>
                <c:pt idx="1213">
                  <c:v>2.4105476424232108E-2</c:v>
                </c:pt>
                <c:pt idx="1214">
                  <c:v>2.4105123183035815E-2</c:v>
                </c:pt>
                <c:pt idx="1215">
                  <c:v>2.4104727096672107E-2</c:v>
                </c:pt>
                <c:pt idx="1216">
                  <c:v>2.4104154886792628E-2</c:v>
                </c:pt>
                <c:pt idx="1217">
                  <c:v>2.4103806388762195E-2</c:v>
                </c:pt>
                <c:pt idx="1218">
                  <c:v>2.4103281767136053E-2</c:v>
                </c:pt>
                <c:pt idx="1219">
                  <c:v>2.4102714300342498E-2</c:v>
                </c:pt>
                <c:pt idx="1220">
                  <c:v>2.4102103988541401E-2</c:v>
                </c:pt>
                <c:pt idx="1221">
                  <c:v>2.410145083157289E-2</c:v>
                </c:pt>
                <c:pt idx="1222">
                  <c:v>2.4100754829516902E-2</c:v>
                </c:pt>
                <c:pt idx="1223">
                  <c:v>2.4100015982373435E-2</c:v>
                </c:pt>
                <c:pt idx="1224">
                  <c:v>2.4099234290142491E-2</c:v>
                </c:pt>
                <c:pt idx="1225">
                  <c:v>2.4098409752824068E-2</c:v>
                </c:pt>
                <c:pt idx="1226">
                  <c:v>2.4097542370338232E-2</c:v>
                </c:pt>
                <c:pt idx="1227">
                  <c:v>2.4096632142844854E-2</c:v>
                </c:pt>
                <c:pt idx="1228">
                  <c:v>2.4095679070184062E-2</c:v>
                </c:pt>
                <c:pt idx="1229">
                  <c:v>2.4094683152355856E-2</c:v>
                </c:pt>
                <c:pt idx="1230">
                  <c:v>2.4093644389520108E-2</c:v>
                </c:pt>
                <c:pt idx="1231">
                  <c:v>2.4092562781596882E-2</c:v>
                </c:pt>
                <c:pt idx="1232">
                  <c:v>2.4091438328506243E-2</c:v>
                </c:pt>
                <c:pt idx="1233">
                  <c:v>2.4090271030328125E-2</c:v>
                </c:pt>
                <c:pt idx="1234">
                  <c:v>2.4089060887142466E-2</c:v>
                </c:pt>
                <c:pt idx="1235">
                  <c:v>2.4087807898789393E-2</c:v>
                </c:pt>
                <c:pt idx="1236">
                  <c:v>2.4086512065348842E-2</c:v>
                </c:pt>
                <c:pt idx="1237">
                  <c:v>2.4085173386820813E-2</c:v>
                </c:pt>
                <c:pt idx="1238">
                  <c:v>2.408379186312537E-2</c:v>
                </c:pt>
                <c:pt idx="1239">
                  <c:v>2.4082367494422385E-2</c:v>
                </c:pt>
                <c:pt idx="1240">
                  <c:v>2.4080900280551987E-2</c:v>
                </c:pt>
                <c:pt idx="1241">
                  <c:v>2.407939022159411E-2</c:v>
                </c:pt>
                <c:pt idx="1242">
                  <c:v>2.4077837317708628E-2</c:v>
                </c:pt>
                <c:pt idx="1243">
                  <c:v>2.4076241568575796E-2</c:v>
                </c:pt>
                <c:pt idx="1244">
                  <c:v>2.407460297427555E-2</c:v>
                </c:pt>
                <c:pt idx="1245">
                  <c:v>2.4072921534967762E-2</c:v>
                </c:pt>
                <c:pt idx="1246">
                  <c:v>2.4071197250652432E-2</c:v>
                </c:pt>
                <c:pt idx="1247">
                  <c:v>2.4069430121169688E-2</c:v>
                </c:pt>
                <c:pt idx="1248">
                  <c:v>2.4067620146599467E-2</c:v>
                </c:pt>
                <c:pt idx="1249">
                  <c:v>2.4065767326861831E-2</c:v>
                </c:pt>
                <c:pt idx="1250">
                  <c:v>2.406387166219659E-2</c:v>
                </c:pt>
                <c:pt idx="1251">
                  <c:v>2.4061933152283999E-2</c:v>
                </c:pt>
                <c:pt idx="1252">
                  <c:v>2.4060325510824043E-2</c:v>
                </c:pt>
                <c:pt idx="1253">
                  <c:v>2.4057634928347227E-2</c:v>
                </c:pt>
                <c:pt idx="1254">
                  <c:v>2.4055561762548194E-2</c:v>
                </c:pt>
                <c:pt idx="1255">
                  <c:v>2.4053445751661684E-2</c:v>
                </c:pt>
                <c:pt idx="1256">
                  <c:v>2.405128689560776E-2</c:v>
                </c:pt>
                <c:pt idx="1257">
                  <c:v>2.4049085194546294E-2</c:v>
                </c:pt>
                <c:pt idx="1258">
                  <c:v>2.4046840648317414E-2</c:v>
                </c:pt>
                <c:pt idx="1259">
                  <c:v>2.4044553257160928E-2</c:v>
                </c:pt>
                <c:pt idx="1260">
                  <c:v>2.4042223020757092E-2</c:v>
                </c:pt>
                <c:pt idx="1261">
                  <c:v>2.4039849939265778E-2</c:v>
                </c:pt>
                <c:pt idx="1262">
                  <c:v>2.4037434012846859E-2</c:v>
                </c:pt>
                <c:pt idx="1263">
                  <c:v>2.4034975241260526E-2</c:v>
                </c:pt>
                <c:pt idx="1264">
                  <c:v>2.4032473624586714E-2</c:v>
                </c:pt>
                <c:pt idx="1265">
                  <c:v>2.4029929162825425E-2</c:v>
                </c:pt>
                <c:pt idx="1266">
                  <c:v>2.4027341856056594E-2</c:v>
                </c:pt>
                <c:pt idx="1267">
                  <c:v>2.4023952362650647E-2</c:v>
                </c:pt>
                <c:pt idx="1268">
                  <c:v>2.4021267124298973E-2</c:v>
                </c:pt>
                <c:pt idx="1269">
                  <c:v>2.4019353830775358E-2</c:v>
                </c:pt>
                <c:pt idx="1270">
                  <c:v>2.4015768112173319E-2</c:v>
                </c:pt>
                <c:pt idx="1271">
                  <c:v>2.4012954338559211E-2</c:v>
                </c:pt>
                <c:pt idx="1272">
                  <c:v>2.4010097719857626E-2</c:v>
                </c:pt>
                <c:pt idx="1273">
                  <c:v>2.4007198256148499E-2</c:v>
                </c:pt>
                <c:pt idx="1274">
                  <c:v>2.4004255947351893E-2</c:v>
                </c:pt>
                <c:pt idx="1275">
                  <c:v>2.4001270793387874E-2</c:v>
                </c:pt>
                <c:pt idx="1276">
                  <c:v>2.3998242794416313E-2</c:v>
                </c:pt>
                <c:pt idx="1277">
                  <c:v>2.3995171950437211E-2</c:v>
                </c:pt>
                <c:pt idx="1278">
                  <c:v>2.3992058261290694E-2</c:v>
                </c:pt>
                <c:pt idx="1279">
                  <c:v>2.3988901727136636E-2</c:v>
                </c:pt>
                <c:pt idx="1280">
                  <c:v>2.3985702347895099E-2</c:v>
                </c:pt>
                <c:pt idx="1281">
                  <c:v>2.3982460123566085E-2</c:v>
                </c:pt>
                <c:pt idx="1282">
                  <c:v>2.3979175054229529E-2</c:v>
                </c:pt>
                <c:pt idx="1283">
                  <c:v>2.3975847139885431E-2</c:v>
                </c:pt>
                <c:pt idx="1284">
                  <c:v>2.3972476380373919E-2</c:v>
                </c:pt>
                <c:pt idx="1285">
                  <c:v>2.3969062775854866E-2</c:v>
                </c:pt>
                <c:pt idx="1286">
                  <c:v>2.396560632632827E-2</c:v>
                </c:pt>
                <c:pt idx="1287">
                  <c:v>2.3962107031634261E-2</c:v>
                </c:pt>
                <c:pt idx="1288">
                  <c:v>2.3958564892012646E-2</c:v>
                </c:pt>
                <c:pt idx="1289">
                  <c:v>2.3954979907223617E-2</c:v>
                </c:pt>
                <c:pt idx="1290">
                  <c:v>2.3951352077427046E-2</c:v>
                </c:pt>
                <c:pt idx="1291">
                  <c:v>2.3947681402622933E-2</c:v>
                </c:pt>
                <c:pt idx="1292">
                  <c:v>2.3943967882731343E-2</c:v>
                </c:pt>
                <c:pt idx="1293">
                  <c:v>2.3940211517752275E-2</c:v>
                </c:pt>
                <c:pt idx="1294">
                  <c:v>2.39364123078456E-2</c:v>
                </c:pt>
                <c:pt idx="1295">
                  <c:v>2.3932570252851448E-2</c:v>
                </c:pt>
                <c:pt idx="1296">
                  <c:v>2.3928685352689882E-2</c:v>
                </c:pt>
                <c:pt idx="1297">
                  <c:v>2.3924757607600711E-2</c:v>
                </c:pt>
                <c:pt idx="1298">
                  <c:v>2.3920787017503997E-2</c:v>
                </c:pt>
                <c:pt idx="1299">
                  <c:v>2.3916773582319806E-2</c:v>
                </c:pt>
                <c:pt idx="1300">
                  <c:v>2.3912717302128073E-2</c:v>
                </c:pt>
                <c:pt idx="1301">
                  <c:v>2.3908618176928798E-2</c:v>
                </c:pt>
                <c:pt idx="1302">
                  <c:v>2.3904476206562109E-2</c:v>
                </c:pt>
                <c:pt idx="1303">
                  <c:v>2.3897880831755813E-2</c:v>
                </c:pt>
                <c:pt idx="1304">
                  <c:v>2.3896433712531362E-2</c:v>
                </c:pt>
                <c:pt idx="1305">
                  <c:v>2.3891793225576663E-2</c:v>
                </c:pt>
                <c:pt idx="1306">
                  <c:v>2.3887479875179807E-2</c:v>
                </c:pt>
                <c:pt idx="1307">
                  <c:v>2.3883123679695473E-2</c:v>
                </c:pt>
                <c:pt idx="1308">
                  <c:v>2.3878724639283533E-2</c:v>
                </c:pt>
                <c:pt idx="1309">
                  <c:v>2.3874282753784115E-2</c:v>
                </c:pt>
                <c:pt idx="1310">
                  <c:v>2.3869798023357092E-2</c:v>
                </c:pt>
                <c:pt idx="1311">
                  <c:v>2.386527044784259E-2</c:v>
                </c:pt>
                <c:pt idx="1312">
                  <c:v>2.3860700027240611E-2</c:v>
                </c:pt>
                <c:pt idx="1313">
                  <c:v>2.3856086761711026E-2</c:v>
                </c:pt>
                <c:pt idx="1314">
                  <c:v>2.3851430651173899E-2</c:v>
                </c:pt>
                <c:pt idx="1315">
                  <c:v>2.3846731695629231E-2</c:v>
                </c:pt>
                <c:pt idx="1316">
                  <c:v>2.3843784201556417E-2</c:v>
                </c:pt>
                <c:pt idx="1317">
                  <c:v>2.3837205249357396E-2</c:v>
                </c:pt>
                <c:pt idx="1318">
                  <c:v>2.3832377758790102E-2</c:v>
                </c:pt>
                <c:pt idx="1319">
                  <c:v>2.3827507423215266E-2</c:v>
                </c:pt>
                <c:pt idx="1320">
                  <c:v>2.3822594242552952E-2</c:v>
                </c:pt>
                <c:pt idx="1321">
                  <c:v>2.3817638217042969E-2</c:v>
                </c:pt>
                <c:pt idx="1322">
                  <c:v>2.3812639346365572E-2</c:v>
                </c:pt>
                <c:pt idx="1323">
                  <c:v>2.3807597630760569E-2</c:v>
                </c:pt>
                <c:pt idx="1324">
                  <c:v>2.3802513070068088E-2</c:v>
                </c:pt>
                <c:pt idx="1325">
                  <c:v>2.3797385664527937E-2</c:v>
                </c:pt>
                <c:pt idx="1326">
                  <c:v>2.3792215413900308E-2</c:v>
                </c:pt>
                <c:pt idx="1327">
                  <c:v>2.3787002318345074E-2</c:v>
                </c:pt>
                <c:pt idx="1328">
                  <c:v>2.3781746377702362E-2</c:v>
                </c:pt>
                <c:pt idx="1329">
                  <c:v>2.3776447592132044E-2</c:v>
                </c:pt>
                <c:pt idx="1330">
                  <c:v>2.3771105961554184E-2</c:v>
                </c:pt>
                <c:pt idx="1331">
                  <c:v>2.3765721486048719E-2</c:v>
                </c:pt>
                <c:pt idx="1332">
                  <c:v>2.3760294165535711E-2</c:v>
                </c:pt>
                <c:pt idx="1333">
                  <c:v>2.3754823999935226E-2</c:v>
                </c:pt>
                <c:pt idx="1334">
                  <c:v>2.3749310989487071E-2</c:v>
                </c:pt>
                <c:pt idx="1335">
                  <c:v>2.3743755134031375E-2</c:v>
                </c:pt>
                <c:pt idx="1336">
                  <c:v>2.3738156433568136E-2</c:v>
                </c:pt>
                <c:pt idx="1337">
                  <c:v>2.3732514888177292E-2</c:v>
                </c:pt>
                <c:pt idx="1338">
                  <c:v>2.3726830497778906E-2</c:v>
                </c:pt>
                <c:pt idx="1339">
                  <c:v>2.3721103262452914E-2</c:v>
                </c:pt>
                <c:pt idx="1340">
                  <c:v>2.371533318211938E-2</c:v>
                </c:pt>
                <c:pt idx="1341">
                  <c:v>2.3709520256858241E-2</c:v>
                </c:pt>
                <c:pt idx="1342">
                  <c:v>2.3703664486509624E-2</c:v>
                </c:pt>
                <c:pt idx="1343">
                  <c:v>2.3697765871393273E-2</c:v>
                </c:pt>
                <c:pt idx="1344">
                  <c:v>2.369182441126938E-2</c:v>
                </c:pt>
                <c:pt idx="1345">
                  <c:v>2.3685840106137945E-2</c:v>
                </c:pt>
                <c:pt idx="1346">
                  <c:v>2.3679812955998969E-2</c:v>
                </c:pt>
                <c:pt idx="1347">
                  <c:v>2.3673742961012323E-2</c:v>
                </c:pt>
                <c:pt idx="1348">
                  <c:v>2.3667630121018135E-2</c:v>
                </c:pt>
                <c:pt idx="1349">
                  <c:v>2.3661474436096341E-2</c:v>
                </c:pt>
                <c:pt idx="1350">
                  <c:v>2.3655275906326878E-2</c:v>
                </c:pt>
                <c:pt idx="1351">
                  <c:v>2.3649034531390001E-2</c:v>
                </c:pt>
                <c:pt idx="1352">
                  <c:v>2.364275031168539E-2</c:v>
                </c:pt>
                <c:pt idx="1353">
                  <c:v>2.3636423246973237E-2</c:v>
                </c:pt>
                <c:pt idx="1354">
                  <c:v>2.3630053337333479E-2</c:v>
                </c:pt>
                <c:pt idx="1355">
                  <c:v>2.3623640582846051E-2</c:v>
                </c:pt>
                <c:pt idx="1356">
                  <c:v>2.3617184983271144E-2</c:v>
                </c:pt>
                <c:pt idx="1357">
                  <c:v>2.3610686538928505E-2</c:v>
                </c:pt>
                <c:pt idx="1358">
                  <c:v>2.3604145249498387E-2</c:v>
                </c:pt>
                <c:pt idx="1359">
                  <c:v>2.3597561115300536E-2</c:v>
                </c:pt>
                <c:pt idx="1360">
                  <c:v>2.3590934136095143E-2</c:v>
                </c:pt>
                <c:pt idx="1361">
                  <c:v>2.3584264311962144E-2</c:v>
                </c:pt>
                <c:pt idx="1362">
                  <c:v>2.357755164290154E-2</c:v>
                </c:pt>
                <c:pt idx="1363">
                  <c:v>2.3570796128913329E-2</c:v>
                </c:pt>
                <c:pt idx="1364">
                  <c:v>2.3563997770077449E-2</c:v>
                </c:pt>
                <c:pt idx="1365">
                  <c:v>2.3557156566313964E-2</c:v>
                </c:pt>
                <c:pt idx="1366">
                  <c:v>2.3550272517702808E-2</c:v>
                </c:pt>
                <c:pt idx="1367">
                  <c:v>2.3543345624084111E-2</c:v>
                </c:pt>
                <c:pt idx="1368">
                  <c:v>2.3536375885617744E-2</c:v>
                </c:pt>
                <c:pt idx="1369">
                  <c:v>2.3529363302143835E-2</c:v>
                </c:pt>
                <c:pt idx="1370">
                  <c:v>2.3522307873902193E-2</c:v>
                </c:pt>
                <c:pt idx="1371">
                  <c:v>2.351624447549483E-2</c:v>
                </c:pt>
                <c:pt idx="1372">
                  <c:v>2.3508068482636091E-2</c:v>
                </c:pt>
                <c:pt idx="1373">
                  <c:v>2.3500884519691567E-2</c:v>
                </c:pt>
                <c:pt idx="1374">
                  <c:v>2.3493657711819438E-2</c:v>
                </c:pt>
                <c:pt idx="1375">
                  <c:v>2.3486388059099639E-2</c:v>
                </c:pt>
                <c:pt idx="1376">
                  <c:v>2.3479075561452234E-2</c:v>
                </c:pt>
                <c:pt idx="1377">
                  <c:v>2.3471720218957159E-2</c:v>
                </c:pt>
                <c:pt idx="1378">
                  <c:v>2.3464322031614415E-2</c:v>
                </c:pt>
                <c:pt idx="1379">
                  <c:v>2.3456880999344065E-2</c:v>
                </c:pt>
                <c:pt idx="1380">
                  <c:v>2.3449397122146109E-2</c:v>
                </c:pt>
                <c:pt idx="1381">
                  <c:v>2.344187040018042E-2</c:v>
                </c:pt>
                <c:pt idx="1382">
                  <c:v>2.3434300833287125E-2</c:v>
                </c:pt>
                <c:pt idx="1383">
                  <c:v>2.3426688421626096E-2</c:v>
                </c:pt>
                <c:pt idx="1384">
                  <c:v>2.3419033165037462E-2</c:v>
                </c:pt>
                <c:pt idx="1385">
                  <c:v>2.3411335063521221E-2</c:v>
                </c:pt>
                <c:pt idx="1386">
                  <c:v>2.3403594117237247E-2</c:v>
                </c:pt>
                <c:pt idx="1387">
                  <c:v>2.3395810326025668E-2</c:v>
                </c:pt>
                <c:pt idx="1388">
                  <c:v>2.3387983690126291E-2</c:v>
                </c:pt>
                <c:pt idx="1389">
                  <c:v>2.3380114209219371E-2</c:v>
                </c:pt>
                <c:pt idx="1390">
                  <c:v>2.3372201883544719E-2</c:v>
                </c:pt>
                <c:pt idx="1391">
                  <c:v>2.336424671294246E-2</c:v>
                </c:pt>
                <c:pt idx="1392">
                  <c:v>2.3356248697572468E-2</c:v>
                </c:pt>
                <c:pt idx="1393">
                  <c:v>2.3348207837354806E-2</c:v>
                </c:pt>
                <c:pt idx="1394">
                  <c:v>2.3340124132289475E-2</c:v>
                </c:pt>
                <c:pt idx="1395">
                  <c:v>2.333199758245641E-2</c:v>
                </c:pt>
                <c:pt idx="1396">
                  <c:v>2.3323828187775675E-2</c:v>
                </c:pt>
                <c:pt idx="1397">
                  <c:v>2.331561594824727E-2</c:v>
                </c:pt>
                <c:pt idx="1398">
                  <c:v>2.3307360863871196E-2</c:v>
                </c:pt>
                <c:pt idx="1399">
                  <c:v>2.3299062934647452E-2</c:v>
                </c:pt>
                <c:pt idx="1400">
                  <c:v>2.3290722160655974E-2</c:v>
                </c:pt>
                <c:pt idx="1401">
                  <c:v>2.3282338541896763E-2</c:v>
                </c:pt>
                <c:pt idx="1402">
                  <c:v>2.3273912078289882E-2</c:v>
                </c:pt>
                <c:pt idx="1403">
                  <c:v>2.3265442769835332E-2</c:v>
                </c:pt>
                <c:pt idx="1404">
                  <c:v>2.3256930616613047E-2</c:v>
                </c:pt>
                <c:pt idx="1405">
                  <c:v>2.3248375618623029E-2</c:v>
                </c:pt>
                <c:pt idx="1406">
                  <c:v>2.3239777775785342E-2</c:v>
                </c:pt>
                <c:pt idx="1407">
                  <c:v>2.3231137088179921E-2</c:v>
                </c:pt>
                <c:pt idx="1408">
                  <c:v>2.322245355572683E-2</c:v>
                </c:pt>
                <c:pt idx="1409">
                  <c:v>2.3213727178585941E-2</c:v>
                </c:pt>
                <c:pt idx="1410">
                  <c:v>2.3204957956517447E-2</c:v>
                </c:pt>
                <c:pt idx="1411">
                  <c:v>2.3196145889841091E-2</c:v>
                </c:pt>
                <c:pt idx="1412">
                  <c:v>2.3187290978237129E-2</c:v>
                </c:pt>
                <c:pt idx="1413">
                  <c:v>2.317839322194537E-2</c:v>
                </c:pt>
                <c:pt idx="1414">
                  <c:v>2.3169452620885878E-2</c:v>
                </c:pt>
                <c:pt idx="1415">
                  <c:v>2.3160469174978715E-2</c:v>
                </c:pt>
                <c:pt idx="1416">
                  <c:v>2.3151442884303819E-2</c:v>
                </c:pt>
                <c:pt idx="1417">
                  <c:v>2.3142373748941125E-2</c:v>
                </c:pt>
                <c:pt idx="1418">
                  <c:v>2.3133261768810698E-2</c:v>
                </c:pt>
                <c:pt idx="1419">
                  <c:v>2.3124106943912537E-2</c:v>
                </c:pt>
                <c:pt idx="1420">
                  <c:v>2.3114909274246642E-2</c:v>
                </c:pt>
                <c:pt idx="1421">
                  <c:v>2.3105668759733078E-2</c:v>
                </c:pt>
                <c:pt idx="1422">
                  <c:v>2.3096687348006739E-2</c:v>
                </c:pt>
                <c:pt idx="1423">
                  <c:v>2.3087059196722493E-2</c:v>
                </c:pt>
                <c:pt idx="1424">
                  <c:v>2.3077690148145535E-2</c:v>
                </c:pt>
                <c:pt idx="1425">
                  <c:v>2.3068278254720909E-2</c:v>
                </c:pt>
                <c:pt idx="1426">
                  <c:v>2.3058823516608484E-2</c:v>
                </c:pt>
                <c:pt idx="1427">
                  <c:v>2.3049325933728326E-2</c:v>
                </c:pt>
                <c:pt idx="1428">
                  <c:v>2.3039785506160371E-2</c:v>
                </c:pt>
                <c:pt idx="1429">
                  <c:v>2.3030202233904618E-2</c:v>
                </c:pt>
                <c:pt idx="1430">
                  <c:v>2.3020576116881131E-2</c:v>
                </c:pt>
                <c:pt idx="1431">
                  <c:v>2.301090715508991E-2</c:v>
                </c:pt>
                <c:pt idx="1432">
                  <c:v>2.3001195348690828E-2</c:v>
                </c:pt>
                <c:pt idx="1433">
                  <c:v>2.2991440697603949E-2</c:v>
                </c:pt>
                <c:pt idx="1434">
                  <c:v>2.2981643201669399E-2</c:v>
                </c:pt>
                <c:pt idx="1435">
                  <c:v>2.2971802861126989E-2</c:v>
                </c:pt>
                <c:pt idx="1436">
                  <c:v>2.296191967589678E-2</c:v>
                </c:pt>
                <c:pt idx="1437">
                  <c:v>2.2951993645898838E-2</c:v>
                </c:pt>
                <c:pt idx="1438">
                  <c:v>2.2942024771293035E-2</c:v>
                </c:pt>
                <c:pt idx="1439">
                  <c:v>2.2932013051919498E-2</c:v>
                </c:pt>
                <c:pt idx="1440">
                  <c:v>2.2921958487858163E-2</c:v>
                </c:pt>
                <c:pt idx="1441">
                  <c:v>2.2911861079188967E-2</c:v>
                </c:pt>
                <c:pt idx="1442">
                  <c:v>2.2901720825831973E-2</c:v>
                </c:pt>
                <c:pt idx="1443">
                  <c:v>2.2891537727787181E-2</c:v>
                </c:pt>
                <c:pt idx="1444">
                  <c:v>2.2881311785054592E-2</c:v>
                </c:pt>
                <c:pt idx="1445">
                  <c:v>2.2871042997714142E-2</c:v>
                </c:pt>
                <c:pt idx="1446">
                  <c:v>2.2860731365605957E-2</c:v>
                </c:pt>
                <c:pt idx="1447">
                  <c:v>2.2850376888889912E-2</c:v>
                </c:pt>
                <c:pt idx="1448">
                  <c:v>2.2839979567486068E-2</c:v>
                </c:pt>
                <c:pt idx="1449">
                  <c:v>2.2829539401474364E-2</c:v>
                </c:pt>
                <c:pt idx="1450">
                  <c:v>2.2819056390774861E-2</c:v>
                </c:pt>
                <c:pt idx="1451">
                  <c:v>2.2808530535547433E-2</c:v>
                </c:pt>
                <c:pt idx="1452">
                  <c:v>2.2797961835552272E-2</c:v>
                </c:pt>
                <c:pt idx="1453">
                  <c:v>2.2787375439392576E-2</c:v>
                </c:pt>
                <c:pt idx="1454">
                  <c:v>2.2776804217974345E-2</c:v>
                </c:pt>
                <c:pt idx="1455">
                  <c:v>2.2766248369538999E-2</c:v>
                </c:pt>
                <c:pt idx="1456">
                  <c:v>2.2755707894086541E-2</c:v>
                </c:pt>
                <c:pt idx="1457">
                  <c:v>2.2745182791377161E-2</c:v>
                </c:pt>
                <c:pt idx="1458">
                  <c:v>2.2734673061570732E-2</c:v>
                </c:pt>
                <c:pt idx="1459">
                  <c:v>2.2724178704667253E-2</c:v>
                </c:pt>
                <c:pt idx="1460">
                  <c:v>2.2712110164759824E-2</c:v>
                </c:pt>
                <c:pt idx="1461">
                  <c:v>2.2701680857135642E-2</c:v>
                </c:pt>
                <c:pt idx="1462">
                  <c:v>2.2691235694294321E-2</c:v>
                </c:pt>
                <c:pt idx="1463">
                  <c:v>2.2680805906860613E-2</c:v>
                </c:pt>
                <c:pt idx="1464">
                  <c:v>2.2670391494834519E-2</c:v>
                </c:pt>
                <c:pt idx="1465">
                  <c:v>2.2659992458269329E-2</c:v>
                </c:pt>
                <c:pt idx="1466">
                  <c:v>2.2649608797085108E-2</c:v>
                </c:pt>
                <c:pt idx="1467">
                  <c:v>2.2639240511281855E-2</c:v>
                </c:pt>
                <c:pt idx="1468">
                  <c:v>2.2628887600912861E-2</c:v>
                </c:pt>
                <c:pt idx="1469">
                  <c:v>2.2618550065924836E-2</c:v>
                </c:pt>
                <c:pt idx="1470">
                  <c:v>2.2608227906344425E-2</c:v>
                </c:pt>
                <c:pt idx="1471">
                  <c:v>2.2597921122118336E-2</c:v>
                </c:pt>
                <c:pt idx="1472">
                  <c:v>2.2581807187611602E-2</c:v>
                </c:pt>
                <c:pt idx="1473">
                  <c:v>2.2577353679889001E-2</c:v>
                </c:pt>
                <c:pt idx="1474">
                  <c:v>2.2567093021805817E-2</c:v>
                </c:pt>
                <c:pt idx="1475">
                  <c:v>2.2556847739130248E-2</c:v>
                </c:pt>
                <c:pt idx="1476">
                  <c:v>2.2546617831809002E-2</c:v>
                </c:pt>
                <c:pt idx="1477">
                  <c:v>2.2536403299868724E-2</c:v>
                </c:pt>
                <c:pt idx="1478">
                  <c:v>2.2526204143282769E-2</c:v>
                </c:pt>
                <c:pt idx="1479">
                  <c:v>2.2516020362051137E-2</c:v>
                </c:pt>
                <c:pt idx="1480">
                  <c:v>2.2505851956147183E-2</c:v>
                </c:pt>
                <c:pt idx="1481">
                  <c:v>2.2495698925624197E-2</c:v>
                </c:pt>
                <c:pt idx="1482">
                  <c:v>2.2485561270428889E-2</c:v>
                </c:pt>
                <c:pt idx="1483">
                  <c:v>2.2475438990614549E-2</c:v>
                </c:pt>
                <c:pt idx="1484">
                  <c:v>2.2465332086074596E-2</c:v>
                </c:pt>
                <c:pt idx="1485">
                  <c:v>2.2455240556915612E-2</c:v>
                </c:pt>
                <c:pt idx="1486">
                  <c:v>2.2445164403084306E-2</c:v>
                </c:pt>
                <c:pt idx="1487">
                  <c:v>2.2435103624554031E-2</c:v>
                </c:pt>
                <c:pt idx="1488">
                  <c:v>2.242505822137808E-2</c:v>
                </c:pt>
                <c:pt idx="1489">
                  <c:v>2.2415028193476516E-2</c:v>
                </c:pt>
                <c:pt idx="1490">
                  <c:v>2.2405013540929275E-2</c:v>
                </c:pt>
                <c:pt idx="1491">
                  <c:v>2.2395014263683066E-2</c:v>
                </c:pt>
                <c:pt idx="1492">
                  <c:v>2.2385030361764535E-2</c:v>
                </c:pt>
                <c:pt idx="1493">
                  <c:v>2.2375061835093746E-2</c:v>
                </c:pt>
                <c:pt idx="1494">
                  <c:v>2.2365108683777279E-2</c:v>
                </c:pt>
                <c:pt idx="1495">
                  <c:v>2.23551709077352E-2</c:v>
                </c:pt>
                <c:pt idx="1496">
                  <c:v>2.2345248506967508E-2</c:v>
                </c:pt>
                <c:pt idx="1497">
                  <c:v>2.2335341481500848E-2</c:v>
                </c:pt>
                <c:pt idx="1498">
                  <c:v>2.232544983133522E-2</c:v>
                </c:pt>
                <c:pt idx="1499">
                  <c:v>2.2315573556417334E-2</c:v>
                </c:pt>
                <c:pt idx="1500">
                  <c:v>2.230571265680048E-2</c:v>
                </c:pt>
                <c:pt idx="1501">
                  <c:v>2.2295867132458014E-2</c:v>
                </c:pt>
                <c:pt idx="1502">
                  <c:v>2.2286036983363289E-2</c:v>
                </c:pt>
                <c:pt idx="1503">
                  <c:v>2.2276222209569596E-2</c:v>
                </c:pt>
                <c:pt idx="1504">
                  <c:v>2.2266422811023645E-2</c:v>
                </c:pt>
                <c:pt idx="1505">
                  <c:v>2.225663878769879E-2</c:v>
                </c:pt>
                <c:pt idx="1506">
                  <c:v>2.2246870139648323E-2</c:v>
                </c:pt>
                <c:pt idx="1507">
                  <c:v>2.2237116866845597E-2</c:v>
                </c:pt>
                <c:pt idx="1508">
                  <c:v>2.2227378969317257E-2</c:v>
                </c:pt>
                <c:pt idx="1509">
                  <c:v>2.2217656446983369E-2</c:v>
                </c:pt>
                <c:pt idx="1510">
                  <c:v>2.2207949299950513E-2</c:v>
                </c:pt>
                <c:pt idx="1511">
                  <c:v>2.2198257528112109E-2</c:v>
                </c:pt>
                <c:pt idx="1512">
                  <c:v>2.2184445409250131E-2</c:v>
                </c:pt>
                <c:pt idx="1513">
                  <c:v>2.2174796616365455E-2</c:v>
                </c:pt>
                <c:pt idx="1514">
                  <c:v>2.2165156550499887E-2</c:v>
                </c:pt>
                <c:pt idx="1515">
                  <c:v>2.2155531857457333E-2</c:v>
                </c:pt>
                <c:pt idx="1516">
                  <c:v>2.2145922537237794E-2</c:v>
                </c:pt>
                <c:pt idx="1517">
                  <c:v>2.213632858984127E-2</c:v>
                </c:pt>
                <c:pt idx="1518">
                  <c:v>2.2126750015187824E-2</c:v>
                </c:pt>
                <c:pt idx="1519">
                  <c:v>2.2117186813357392E-2</c:v>
                </c:pt>
                <c:pt idx="1520">
                  <c:v>2.2107638984429911E-2</c:v>
                </c:pt>
                <c:pt idx="1521">
                  <c:v>2.2098106528085637E-2</c:v>
                </c:pt>
                <c:pt idx="1522">
                  <c:v>2.2088589444724249E-2</c:v>
                </c:pt>
                <c:pt idx="1523">
                  <c:v>2.207908773410594E-2</c:v>
                </c:pt>
                <c:pt idx="1524">
                  <c:v>2.2069601396310645E-2</c:v>
                </c:pt>
                <c:pt idx="1525">
                  <c:v>2.2060130431338365E-2</c:v>
                </c:pt>
                <c:pt idx="1526">
                  <c:v>2.2050674839029227E-2</c:v>
                </c:pt>
                <c:pt idx="1527">
                  <c:v>2.2038540237705462E-2</c:v>
                </c:pt>
                <c:pt idx="1528">
                  <c:v>2.2031809773039868E-2</c:v>
                </c:pt>
                <c:pt idx="1529">
                  <c:v>2.2022400299199774E-2</c:v>
                </c:pt>
                <c:pt idx="1530">
                  <c:v>2.2011665438679273E-2</c:v>
                </c:pt>
                <c:pt idx="1531">
                  <c:v>2.2002288906568523E-2</c:v>
                </c:pt>
                <c:pt idx="1532">
                  <c:v>2.1992927747200852E-2</c:v>
                </c:pt>
                <c:pt idx="1533">
                  <c:v>2.1983581960656196E-2</c:v>
                </c:pt>
                <c:pt idx="1534">
                  <c:v>2.1974251546934553E-2</c:v>
                </c:pt>
                <c:pt idx="1535">
                  <c:v>2.1964936505876054E-2</c:v>
                </c:pt>
                <c:pt idx="1536">
                  <c:v>2.1955636837720505E-2</c:v>
                </c:pt>
                <c:pt idx="1537">
                  <c:v>2.1946352542308034E-2</c:v>
                </c:pt>
                <c:pt idx="1538">
                  <c:v>2.1937083619638642E-2</c:v>
                </c:pt>
                <c:pt idx="1539">
                  <c:v>2.1927830069872201E-2</c:v>
                </c:pt>
                <c:pt idx="1540">
                  <c:v>2.1918591892768902E-2</c:v>
                </c:pt>
                <c:pt idx="1541">
                  <c:v>2.1909369088488617E-2</c:v>
                </c:pt>
                <c:pt idx="1542">
                  <c:v>2.1900161656951411E-2</c:v>
                </c:pt>
                <c:pt idx="1543">
                  <c:v>2.189096959823722E-2</c:v>
                </c:pt>
                <c:pt idx="1544">
                  <c:v>2.1881792912266107E-2</c:v>
                </c:pt>
                <c:pt idx="1545">
                  <c:v>2.1872631599118009E-2</c:v>
                </c:pt>
                <c:pt idx="1546">
                  <c:v>2.1863485658712989E-2</c:v>
                </c:pt>
                <c:pt idx="1547">
                  <c:v>2.1854355091051048E-2</c:v>
                </c:pt>
                <c:pt idx="1548">
                  <c:v>2.1845239896212121E-2</c:v>
                </c:pt>
                <c:pt idx="1549">
                  <c:v>2.1836140074036337E-2</c:v>
                </c:pt>
                <c:pt idx="1550">
                  <c:v>2.1827055624763503E-2</c:v>
                </c:pt>
                <c:pt idx="1551">
                  <c:v>2.1817986548233748E-2</c:v>
                </c:pt>
                <c:pt idx="1552">
                  <c:v>2.1808932844447071E-2</c:v>
                </c:pt>
                <c:pt idx="1553">
                  <c:v>2.1799894513323537E-2</c:v>
                </c:pt>
                <c:pt idx="1554">
                  <c:v>2.1790871555102953E-2</c:v>
                </c:pt>
                <c:pt idx="1555">
                  <c:v>2.1781863969625448E-2</c:v>
                </c:pt>
                <c:pt idx="1556">
                  <c:v>2.1772871756891021E-2</c:v>
                </c:pt>
                <c:pt idx="1557">
                  <c:v>2.1763894916819737E-2</c:v>
                </c:pt>
                <c:pt idx="1558">
                  <c:v>2.1754933449651404E-2</c:v>
                </c:pt>
                <c:pt idx="1559">
                  <c:v>2.1745987355226148E-2</c:v>
                </c:pt>
                <c:pt idx="1560">
                  <c:v>2.1737056633464036E-2</c:v>
                </c:pt>
                <c:pt idx="1561">
                  <c:v>2.1728141284524938E-2</c:v>
                </c:pt>
                <c:pt idx="1562">
                  <c:v>2.1719241308328918E-2</c:v>
                </c:pt>
                <c:pt idx="1563">
                  <c:v>2.1710356704875977E-2</c:v>
                </c:pt>
                <c:pt idx="1564">
                  <c:v>2.1700242953159865E-2</c:v>
                </c:pt>
                <c:pt idx="1565">
                  <c:v>2.1691370034320201E-2</c:v>
                </c:pt>
                <c:pt idx="1566">
                  <c:v>2.1682533745259747E-2</c:v>
                </c:pt>
                <c:pt idx="1567">
                  <c:v>2.1673712828862435E-2</c:v>
                </c:pt>
                <c:pt idx="1568">
                  <c:v>2.1664907285368074E-2</c:v>
                </c:pt>
                <c:pt idx="1569">
                  <c:v>2.1656117114456919E-2</c:v>
                </c:pt>
                <c:pt idx="1570">
                  <c:v>2.1647342316368778E-2</c:v>
                </c:pt>
                <c:pt idx="1571">
                  <c:v>2.1638582891023717E-2</c:v>
                </c:pt>
                <c:pt idx="1572">
                  <c:v>2.1629838838421733E-2</c:v>
                </c:pt>
                <c:pt idx="1573">
                  <c:v>2.1621110158482892E-2</c:v>
                </c:pt>
                <c:pt idx="1574">
                  <c:v>2.1612396851447002E-2</c:v>
                </c:pt>
                <c:pt idx="1575">
                  <c:v>2.160369891715419E-2</c:v>
                </c:pt>
                <c:pt idx="1576">
                  <c:v>2.1595016355444585E-2</c:v>
                </c:pt>
                <c:pt idx="1577">
                  <c:v>2.1586349166557994E-2</c:v>
                </c:pt>
                <c:pt idx="1578">
                  <c:v>2.1576462631527349E-2</c:v>
                </c:pt>
                <c:pt idx="1579">
                  <c:v>2.1567828384130294E-2</c:v>
                </c:pt>
                <c:pt idx="1580">
                  <c:v>2.1559209509556254E-2</c:v>
                </c:pt>
                <c:pt idx="1581">
                  <c:v>2.1550699462049572E-2</c:v>
                </c:pt>
                <c:pt idx="1582">
                  <c:v>2.1542017878637409E-2</c:v>
                </c:pt>
                <c:pt idx="1583">
                  <c:v>2.1533445122212669E-2</c:v>
                </c:pt>
                <c:pt idx="1584">
                  <c:v>2.1524887738531007E-2</c:v>
                </c:pt>
                <c:pt idx="1585">
                  <c:v>2.1516345727592423E-2</c:v>
                </c:pt>
                <c:pt idx="1586">
                  <c:v>2.1507819089396918E-2</c:v>
                </c:pt>
                <c:pt idx="1587">
                  <c:v>2.1499307823784619E-2</c:v>
                </c:pt>
                <c:pt idx="1588">
                  <c:v>2.1490811931075271E-2</c:v>
                </c:pt>
                <c:pt idx="1589">
                  <c:v>2.1482331411029065E-2</c:v>
                </c:pt>
                <c:pt idx="1590">
                  <c:v>2.1473866263725938E-2</c:v>
                </c:pt>
                <c:pt idx="1591">
                  <c:v>2.1465416489165889E-2</c:v>
                </c:pt>
                <c:pt idx="1592">
                  <c:v>2.1456982087268983E-2</c:v>
                </c:pt>
                <c:pt idx="1593">
                  <c:v>2.1448563058115155E-2</c:v>
                </c:pt>
                <c:pt idx="1594">
                  <c:v>2.144015940162447E-2</c:v>
                </c:pt>
                <c:pt idx="1595">
                  <c:v>2.1431771117956799E-2</c:v>
                </c:pt>
                <c:pt idx="1596">
                  <c:v>2.1423398206952271E-2</c:v>
                </c:pt>
                <c:pt idx="1597">
                  <c:v>2.1415040668770757E-2</c:v>
                </c:pt>
                <c:pt idx="1598">
                  <c:v>2.140669850317245E-2</c:v>
                </c:pt>
                <c:pt idx="1599">
                  <c:v>2.1398371710317221E-2</c:v>
                </c:pt>
                <c:pt idx="1600">
                  <c:v>2.1390060290125135E-2</c:v>
                </c:pt>
                <c:pt idx="1601">
                  <c:v>2.1381764242756063E-2</c:v>
                </c:pt>
                <c:pt idx="1602">
                  <c:v>2.1373483567970197E-2</c:v>
                </c:pt>
                <c:pt idx="1603">
                  <c:v>2.136521826592741E-2</c:v>
                </c:pt>
                <c:pt idx="1604">
                  <c:v>2.1356968336707638E-2</c:v>
                </c:pt>
                <c:pt idx="1605">
                  <c:v>2.1348733780071072E-2</c:v>
                </c:pt>
                <c:pt idx="1606">
                  <c:v>2.1340514596097648E-2</c:v>
                </c:pt>
                <c:pt idx="1607">
                  <c:v>2.1332310784947239E-2</c:v>
                </c:pt>
                <c:pt idx="1608">
                  <c:v>2.1324122346459973E-2</c:v>
                </c:pt>
                <c:pt idx="1609">
                  <c:v>2.1315949280795721E-2</c:v>
                </c:pt>
                <c:pt idx="1610">
                  <c:v>2.1307791587554803E-2</c:v>
                </c:pt>
                <c:pt idx="1611">
                  <c:v>2.1299649267216836E-2</c:v>
                </c:pt>
                <c:pt idx="1612">
                  <c:v>2.1291522319542011E-2</c:v>
                </c:pt>
                <c:pt idx="1613">
                  <c:v>2.1283410744610265E-2</c:v>
                </c:pt>
                <c:pt idx="1614">
                  <c:v>2.1275314542341661E-2</c:v>
                </c:pt>
                <c:pt idx="1615">
                  <c:v>2.1267388633652295E-2</c:v>
                </c:pt>
                <c:pt idx="1616">
                  <c:v>2.1259325042377597E-2</c:v>
                </c:pt>
                <c:pt idx="1617">
                  <c:v>2.1251118171594641E-2</c:v>
                </c:pt>
                <c:pt idx="1618">
                  <c:v>2.1243083460138479E-2</c:v>
                </c:pt>
                <c:pt idx="1619">
                  <c:v>2.1235064121265523E-2</c:v>
                </c:pt>
                <c:pt idx="1620">
                  <c:v>2.1227060155215582E-2</c:v>
                </c:pt>
                <c:pt idx="1621">
                  <c:v>2.1219071561828784E-2</c:v>
                </c:pt>
                <c:pt idx="1622">
                  <c:v>2.1211098341025192E-2</c:v>
                </c:pt>
                <c:pt idx="1623">
                  <c:v>2.1203140492964678E-2</c:v>
                </c:pt>
                <c:pt idx="1624">
                  <c:v>2.1195198017647243E-2</c:v>
                </c:pt>
                <c:pt idx="1625">
                  <c:v>2.1187270914913015E-2</c:v>
                </c:pt>
                <c:pt idx="1626">
                  <c:v>2.1179359184921864E-2</c:v>
                </c:pt>
                <c:pt idx="1627">
                  <c:v>2.1171462827673793E-2</c:v>
                </c:pt>
                <c:pt idx="1628">
                  <c:v>2.1163581843008927E-2</c:v>
                </c:pt>
                <c:pt idx="1629">
                  <c:v>2.115571623108714E-2</c:v>
                </c:pt>
                <c:pt idx="1630">
                  <c:v>2.1147865991908432E-2</c:v>
                </c:pt>
                <c:pt idx="1631">
                  <c:v>2.1140031125232994E-2</c:v>
                </c:pt>
                <c:pt idx="1632">
                  <c:v>2.1132461195781715E-2</c:v>
                </c:pt>
                <c:pt idx="1633">
                  <c:v>2.112440751019129E-2</c:v>
                </c:pt>
                <c:pt idx="1634">
                  <c:v>2.1116618761585215E-2</c:v>
                </c:pt>
                <c:pt idx="1635">
                  <c:v>2.1108845385722219E-2</c:v>
                </c:pt>
                <c:pt idx="1636">
                  <c:v>2.1101087382522365E-2</c:v>
                </c:pt>
                <c:pt idx="1637">
                  <c:v>2.109334475206559E-2</c:v>
                </c:pt>
                <c:pt idx="1638">
                  <c:v>2.1085617494192022E-2</c:v>
                </c:pt>
                <c:pt idx="1639">
                  <c:v>2.1077905609061531E-2</c:v>
                </c:pt>
                <c:pt idx="1640">
                  <c:v>2.1070209096514247E-2</c:v>
                </c:pt>
                <c:pt idx="1641">
                  <c:v>2.1062527956630106E-2</c:v>
                </c:pt>
                <c:pt idx="1642">
                  <c:v>2.1054862189489043E-2</c:v>
                </c:pt>
                <c:pt idx="1643">
                  <c:v>2.1047211795011123E-2</c:v>
                </c:pt>
                <c:pt idx="1644">
                  <c:v>2.1039576773196345E-2</c:v>
                </c:pt>
                <c:pt idx="1645">
                  <c:v>2.1031957124044709E-2</c:v>
                </c:pt>
                <c:pt idx="1646">
                  <c:v>2.1024352847556216E-2</c:v>
                </c:pt>
                <c:pt idx="1647">
                  <c:v>2.1016763943650929E-2</c:v>
                </c:pt>
                <c:pt idx="1648">
                  <c:v>2.1009190412568657E-2</c:v>
                </c:pt>
                <c:pt idx="1649">
                  <c:v>2.1001632254069591E-2</c:v>
                </c:pt>
                <c:pt idx="1650">
                  <c:v>2.0994089468233668E-2</c:v>
                </c:pt>
                <c:pt idx="1651">
                  <c:v>2.0986562054980951E-2</c:v>
                </c:pt>
                <c:pt idx="1652">
                  <c:v>2.0979050014471312E-2</c:v>
                </c:pt>
                <c:pt idx="1653">
                  <c:v>2.0971553346624816E-2</c:v>
                </c:pt>
                <c:pt idx="1654">
                  <c:v>2.0964072051441462E-2</c:v>
                </c:pt>
                <c:pt idx="1655">
                  <c:v>2.0956606128841315E-2</c:v>
                </c:pt>
                <c:pt idx="1656">
                  <c:v>2.0949155578984247E-2</c:v>
                </c:pt>
                <c:pt idx="1657">
                  <c:v>2.0941720401710384E-2</c:v>
                </c:pt>
                <c:pt idx="1658">
                  <c:v>2.0934300597259536E-2</c:v>
                </c:pt>
                <c:pt idx="1659">
                  <c:v>2.0926896165232023E-2</c:v>
                </c:pt>
                <c:pt idx="1660">
                  <c:v>2.0919507105947588E-2</c:v>
                </c:pt>
                <c:pt idx="1661">
                  <c:v>2.0912133419326295E-2</c:v>
                </c:pt>
                <c:pt idx="1662">
                  <c:v>2.0904775105368145E-2</c:v>
                </c:pt>
                <c:pt idx="1663">
                  <c:v>2.0897432164073138E-2</c:v>
                </c:pt>
                <c:pt idx="1664">
                  <c:v>2.08901045952814E-2</c:v>
                </c:pt>
                <c:pt idx="1665">
                  <c:v>2.0882792399312677E-2</c:v>
                </c:pt>
                <c:pt idx="1666">
                  <c:v>2.0875495575927161E-2</c:v>
                </c:pt>
                <c:pt idx="1667">
                  <c:v>2.0868214125204787E-2</c:v>
                </c:pt>
                <c:pt idx="1668">
                  <c:v>2.0860948047145556E-2</c:v>
                </c:pt>
                <c:pt idx="1669">
                  <c:v>2.085369734166953E-2</c:v>
                </c:pt>
                <c:pt idx="1670">
                  <c:v>2.0846462008856648E-2</c:v>
                </c:pt>
                <c:pt idx="1671">
                  <c:v>2.0839242048626971E-2</c:v>
                </c:pt>
                <c:pt idx="1672">
                  <c:v>2.0832037461060438E-2</c:v>
                </c:pt>
                <c:pt idx="1673">
                  <c:v>2.0824848246236982E-2</c:v>
                </c:pt>
                <c:pt idx="1674">
                  <c:v>2.0817674403996733E-2</c:v>
                </c:pt>
                <c:pt idx="1675">
                  <c:v>2.0810515934419627E-2</c:v>
                </c:pt>
                <c:pt idx="1676">
                  <c:v>2.0803372837505663E-2</c:v>
                </c:pt>
                <c:pt idx="1677">
                  <c:v>2.0796245113094969E-2</c:v>
                </c:pt>
                <c:pt idx="1678">
                  <c:v>2.0789132761427354E-2</c:v>
                </c:pt>
                <c:pt idx="1679">
                  <c:v>2.0782035782263009E-2</c:v>
                </c:pt>
                <c:pt idx="1680">
                  <c:v>2.0774954175841742E-2</c:v>
                </c:pt>
                <c:pt idx="1681">
                  <c:v>2.0767887942003682E-2</c:v>
                </c:pt>
                <c:pt idx="1682">
                  <c:v>2.0761219873586256E-2</c:v>
                </c:pt>
                <c:pt idx="1683">
                  <c:v>2.0753801592396925E-2</c:v>
                </c:pt>
                <c:pt idx="1684">
                  <c:v>2.0746781476468357E-2</c:v>
                </c:pt>
                <c:pt idx="1685">
                  <c:v>2.0739776733122994E-2</c:v>
                </c:pt>
                <c:pt idx="1686">
                  <c:v>2.073278736252071E-2</c:v>
                </c:pt>
                <c:pt idx="1687">
                  <c:v>2.0725813364581569E-2</c:v>
                </c:pt>
                <c:pt idx="1688">
                  <c:v>2.0718854739145698E-2</c:v>
                </c:pt>
                <c:pt idx="1689">
                  <c:v>2.0711911486293033E-2</c:v>
                </c:pt>
                <c:pt idx="1690">
                  <c:v>2.0704983606183447E-2</c:v>
                </c:pt>
                <c:pt idx="1691">
                  <c:v>2.0698071098657067E-2</c:v>
                </c:pt>
                <c:pt idx="1692">
                  <c:v>2.0691173963713894E-2</c:v>
                </c:pt>
                <c:pt idx="1693">
                  <c:v>2.0684292201433863E-2</c:v>
                </c:pt>
                <c:pt idx="1694">
                  <c:v>2.0677425811816974E-2</c:v>
                </c:pt>
                <c:pt idx="1695">
                  <c:v>2.0670574794783292E-2</c:v>
                </c:pt>
                <c:pt idx="1696">
                  <c:v>2.0663739150412752E-2</c:v>
                </c:pt>
                <c:pt idx="1697">
                  <c:v>2.0656918878545483E-2</c:v>
                </c:pt>
                <c:pt idx="1698">
                  <c:v>2.0650113979341356E-2</c:v>
                </c:pt>
                <c:pt idx="1699">
                  <c:v>2.0643324452720435E-2</c:v>
                </c:pt>
                <c:pt idx="1700">
                  <c:v>2.0636550298842593E-2</c:v>
                </c:pt>
                <c:pt idx="1701">
                  <c:v>2.0629791517468021E-2</c:v>
                </c:pt>
                <c:pt idx="1702">
                  <c:v>2.0623048108676656E-2</c:v>
                </c:pt>
                <c:pt idx="1703">
                  <c:v>2.0616320072628369E-2</c:v>
                </c:pt>
                <c:pt idx="1704">
                  <c:v>2.0609607409163289E-2</c:v>
                </c:pt>
                <c:pt idx="1705">
                  <c:v>2.0602910118361351E-2</c:v>
                </c:pt>
                <c:pt idx="1706">
                  <c:v>2.0596228199982747E-2</c:v>
                </c:pt>
                <c:pt idx="1707">
                  <c:v>2.0589561654267285E-2</c:v>
                </c:pt>
                <c:pt idx="1708">
                  <c:v>2.0582910481214967E-2</c:v>
                </c:pt>
                <c:pt idx="1709">
                  <c:v>2.057627468082579E-2</c:v>
                </c:pt>
                <c:pt idx="1710">
                  <c:v>2.0569654252939884E-2</c:v>
                </c:pt>
                <c:pt idx="1711">
                  <c:v>2.056304919771712E-2</c:v>
                </c:pt>
                <c:pt idx="1712">
                  <c:v>2.0556459578546793E-2</c:v>
                </c:pt>
                <c:pt idx="1713">
                  <c:v>2.0549895921568861E-2</c:v>
                </c:pt>
                <c:pt idx="1714">
                  <c:v>2.0543366280181274E-2</c:v>
                </c:pt>
                <c:pt idx="1715">
                  <c:v>2.053687065422416E-2</c:v>
                </c:pt>
                <c:pt idx="1716">
                  <c:v>2.0530409043697517E-2</c:v>
                </c:pt>
                <c:pt idx="1717">
                  <c:v>2.0523981448921091E-2</c:v>
                </c:pt>
                <c:pt idx="1718">
                  <c:v>2.0517587869415266E-2</c:v>
                </c:pt>
                <c:pt idx="1719">
                  <c:v>2.0511228305579721E-2</c:v>
                </c:pt>
                <c:pt idx="1720">
                  <c:v>2.0504902757174648E-2</c:v>
                </c:pt>
                <c:pt idx="1721">
                  <c:v>2.0498611224279983E-2</c:v>
                </c:pt>
                <c:pt idx="1722">
                  <c:v>2.0492353706815791E-2</c:v>
                </c:pt>
                <c:pt idx="1723">
                  <c:v>2.0486130204862008E-2</c:v>
                </c:pt>
                <c:pt idx="1724">
                  <c:v>2.0479940718498568E-2</c:v>
                </c:pt>
                <c:pt idx="1725">
                  <c:v>2.0473785247565601E-2</c:v>
                </c:pt>
                <c:pt idx="1726">
                  <c:v>2.0467663792063107E-2</c:v>
                </c:pt>
                <c:pt idx="1727">
                  <c:v>2.046157635207102E-2</c:v>
                </c:pt>
                <c:pt idx="1728">
                  <c:v>2.0455522927589342E-2</c:v>
                </c:pt>
                <c:pt idx="1729">
                  <c:v>2.0449503518538137E-2</c:v>
                </c:pt>
                <c:pt idx="1730">
                  <c:v>2.044351812499734E-2</c:v>
                </c:pt>
                <c:pt idx="1731">
                  <c:v>2.0437566746966951E-2</c:v>
                </c:pt>
                <c:pt idx="1732">
                  <c:v>2.043164938444697E-2</c:v>
                </c:pt>
                <c:pt idx="1733">
                  <c:v>2.0426409618545804E-2</c:v>
                </c:pt>
                <c:pt idx="1734">
                  <c:v>2.0419916705698427E-2</c:v>
                </c:pt>
                <c:pt idx="1735">
                  <c:v>2.0414101389629735E-2</c:v>
                </c:pt>
                <c:pt idx="1736">
                  <c:v>2.040832008891158E-2</c:v>
                </c:pt>
                <c:pt idx="1737">
                  <c:v>2.0402572803703833E-2</c:v>
                </c:pt>
                <c:pt idx="1738">
                  <c:v>2.0396389132022463E-2</c:v>
                </c:pt>
                <c:pt idx="1739">
                  <c:v>2.0390718954121922E-2</c:v>
                </c:pt>
                <c:pt idx="1740">
                  <c:v>2.0385082795755238E-2</c:v>
                </c:pt>
                <c:pt idx="1741">
                  <c:v>2.0379480656815829E-2</c:v>
                </c:pt>
                <c:pt idx="1742">
                  <c:v>2.0373912537410277E-2</c:v>
                </c:pt>
                <c:pt idx="1743">
                  <c:v>2.0368378437458645E-2</c:v>
                </c:pt>
                <c:pt idx="1744">
                  <c:v>2.0362878357014225E-2</c:v>
                </c:pt>
                <c:pt idx="1745">
                  <c:v>2.0357412295997079E-2</c:v>
                </c:pt>
                <c:pt idx="1746">
                  <c:v>2.0351980254487145E-2</c:v>
                </c:pt>
                <c:pt idx="1747">
                  <c:v>2.0346582232431132E-2</c:v>
                </c:pt>
                <c:pt idx="1748">
                  <c:v>2.0341218229802394E-2</c:v>
                </c:pt>
                <c:pt idx="1749">
                  <c:v>2.0335888246654221E-2</c:v>
                </c:pt>
                <c:pt idx="1750">
                  <c:v>2.0330592282933324E-2</c:v>
                </c:pt>
                <c:pt idx="1751">
                  <c:v>2.0325330338666348E-2</c:v>
                </c:pt>
                <c:pt idx="1752">
                  <c:v>2.0320102413826646E-2</c:v>
                </c:pt>
                <c:pt idx="1753">
                  <c:v>2.0314908508467511E-2</c:v>
                </c:pt>
                <c:pt idx="1754">
                  <c:v>2.030974862248236E-2</c:v>
                </c:pt>
                <c:pt idx="1755">
                  <c:v>2.0304622755951129E-2</c:v>
                </c:pt>
                <c:pt idx="1756">
                  <c:v>2.0299530908847174E-2</c:v>
                </c:pt>
                <c:pt idx="1757">
                  <c:v>2.0294473081143849E-2</c:v>
                </c:pt>
                <c:pt idx="1758">
                  <c:v>2.0289449272867799E-2</c:v>
                </c:pt>
                <c:pt idx="1759">
                  <c:v>2.0284459483965733E-2</c:v>
                </c:pt>
                <c:pt idx="1760">
                  <c:v>2.0279503714517588E-2</c:v>
                </c:pt>
                <c:pt idx="1761">
                  <c:v>2.0274581964443428E-2</c:v>
                </c:pt>
                <c:pt idx="1762">
                  <c:v>2.0269694233769897E-2</c:v>
                </c:pt>
                <c:pt idx="1763">
                  <c:v>2.0264840522470351E-2</c:v>
                </c:pt>
                <c:pt idx="1764">
                  <c:v>2.026002083059808E-2</c:v>
                </c:pt>
                <c:pt idx="1765">
                  <c:v>2.0255235158073148E-2</c:v>
                </c:pt>
                <c:pt idx="1766">
                  <c:v>2.0250483504922201E-2</c:v>
                </c:pt>
                <c:pt idx="1767">
                  <c:v>2.0245765871171884E-2</c:v>
                </c:pt>
                <c:pt idx="1768">
                  <c:v>2.0241082256795551E-2</c:v>
                </c:pt>
                <c:pt idx="1769">
                  <c:v>2.0236432661793202E-2</c:v>
                </c:pt>
                <c:pt idx="1770">
                  <c:v>2.0231817086111548E-2</c:v>
                </c:pt>
                <c:pt idx="1771">
                  <c:v>2.0227235529857168E-2</c:v>
                </c:pt>
                <c:pt idx="1772">
                  <c:v>2.0220504109742521E-2</c:v>
                </c:pt>
                <c:pt idx="1773">
                  <c:v>2.0215755681372016E-2</c:v>
                </c:pt>
                <c:pt idx="1774">
                  <c:v>2.021128640482317E-2</c:v>
                </c:pt>
                <c:pt idx="1775">
                  <c:v>2.0206851143784732E-2</c:v>
                </c:pt>
                <c:pt idx="1776">
                  <c:v>2.0202449898016894E-2</c:v>
                </c:pt>
                <c:pt idx="1777">
                  <c:v>2.0198082667759465E-2</c:v>
                </c:pt>
                <c:pt idx="1778">
                  <c:v>2.0193749452852572E-2</c:v>
                </c:pt>
                <c:pt idx="1779">
                  <c:v>2.0189450253456087E-2</c:v>
                </c:pt>
                <c:pt idx="1780">
                  <c:v>2.0185185069330203E-2</c:v>
                </c:pt>
                <c:pt idx="1781">
                  <c:v>2.0180953900714727E-2</c:v>
                </c:pt>
                <c:pt idx="1782">
                  <c:v>2.0176756747449787E-2</c:v>
                </c:pt>
                <c:pt idx="1783">
                  <c:v>2.0172593609615319E-2</c:v>
                </c:pt>
                <c:pt idx="1784">
                  <c:v>2.0168464487131388E-2</c:v>
                </c:pt>
                <c:pt idx="1785">
                  <c:v>2.0164369380077929E-2</c:v>
                </c:pt>
                <c:pt idx="1786">
                  <c:v>2.0160308288454942E-2</c:v>
                </c:pt>
                <c:pt idx="1787">
                  <c:v>2.0156281212182492E-2</c:v>
                </c:pt>
                <c:pt idx="1788">
                  <c:v>2.0151153524547993E-2</c:v>
                </c:pt>
                <c:pt idx="1789">
                  <c:v>2.0148329105929008E-2</c:v>
                </c:pt>
                <c:pt idx="1790">
                  <c:v>2.0144404075868039E-2</c:v>
                </c:pt>
                <c:pt idx="1791">
                  <c:v>2.0140513061157606E-2</c:v>
                </c:pt>
                <c:pt idx="1792">
                  <c:v>2.0136656061957581E-2</c:v>
                </c:pt>
                <c:pt idx="1793">
                  <c:v>2.0132833078028156E-2</c:v>
                </c:pt>
                <c:pt idx="1794">
                  <c:v>2.0129044109529204E-2</c:v>
                </c:pt>
                <c:pt idx="1795">
                  <c:v>2.0125289156460724E-2</c:v>
                </c:pt>
                <c:pt idx="1796">
                  <c:v>2.012156821874278E-2</c:v>
                </c:pt>
                <c:pt idx="1797">
                  <c:v>2.0117881296455309E-2</c:v>
                </c:pt>
                <c:pt idx="1798">
                  <c:v>2.0114228389518374E-2</c:v>
                </c:pt>
                <c:pt idx="1799">
                  <c:v>2.0110609498011911E-2</c:v>
                </c:pt>
                <c:pt idx="1800">
                  <c:v>2.0107024621855984E-2</c:v>
                </c:pt>
                <c:pt idx="1801">
                  <c:v>2.0103473761050594E-2</c:v>
                </c:pt>
                <c:pt idx="1802">
                  <c:v>2.0099956915675676E-2</c:v>
                </c:pt>
                <c:pt idx="1803">
                  <c:v>2.0096474085651295E-2</c:v>
                </c:pt>
                <c:pt idx="1804">
                  <c:v>2.0093025270977449E-2</c:v>
                </c:pt>
                <c:pt idx="1805">
                  <c:v>2.0089610471734076E-2</c:v>
                </c:pt>
                <c:pt idx="1806">
                  <c:v>2.0086229687921175E-2</c:v>
                </c:pt>
                <c:pt idx="1807">
                  <c:v>2.0082882919378875E-2</c:v>
                </c:pt>
                <c:pt idx="1808">
                  <c:v>2.0079570166346983E-2</c:v>
                </c:pt>
                <c:pt idx="1809">
                  <c:v>2.0076291428585691E-2</c:v>
                </c:pt>
                <c:pt idx="1810">
                  <c:v>2.0073046706174935E-2</c:v>
                </c:pt>
                <c:pt idx="1811">
                  <c:v>2.0069835999194652E-2</c:v>
                </c:pt>
                <c:pt idx="1812">
                  <c:v>2.0066659307564905E-2</c:v>
                </c:pt>
                <c:pt idx="1813">
                  <c:v>2.0063516631285694E-2</c:v>
                </c:pt>
                <c:pt idx="1814">
                  <c:v>2.0060407970436955E-2</c:v>
                </c:pt>
                <c:pt idx="1815">
                  <c:v>2.0057333324938753E-2</c:v>
                </c:pt>
                <c:pt idx="1816">
                  <c:v>2.0054292694791087E-2</c:v>
                </c:pt>
                <c:pt idx="1817">
                  <c:v>2.0051286080073893E-2</c:v>
                </c:pt>
                <c:pt idx="1818">
                  <c:v>2.00483134806273E-2</c:v>
                </c:pt>
                <c:pt idx="1819">
                  <c:v>2.0045374896691115E-2</c:v>
                </c:pt>
                <c:pt idx="1820">
                  <c:v>2.004247032802553E-2</c:v>
                </c:pt>
                <c:pt idx="1821">
                  <c:v>2.0039599774710481E-2</c:v>
                </c:pt>
                <c:pt idx="1822">
                  <c:v>2.0036763236745969E-2</c:v>
                </c:pt>
                <c:pt idx="1823">
                  <c:v>2.0033960714211929E-2</c:v>
                </c:pt>
                <c:pt idx="1824">
                  <c:v>2.0031160724731656E-2</c:v>
                </c:pt>
                <c:pt idx="1825">
                  <c:v>2.0028069850255292E-2</c:v>
                </c:pt>
                <c:pt idx="1826">
                  <c:v>2.0025374233005877E-2</c:v>
                </c:pt>
                <c:pt idx="1827">
                  <c:v>2.002271263126687E-2</c:v>
                </c:pt>
                <c:pt idx="1828">
                  <c:v>2.00200850448784E-2</c:v>
                </c:pt>
                <c:pt idx="1829">
                  <c:v>2.0017491473840465E-2</c:v>
                </c:pt>
                <c:pt idx="1830">
                  <c:v>2.0014931918153067E-2</c:v>
                </c:pt>
                <c:pt idx="1831">
                  <c:v>2.0012406377816205E-2</c:v>
                </c:pt>
                <c:pt idx="1832">
                  <c:v>2.0009914852749944E-2</c:v>
                </c:pt>
                <c:pt idx="1833">
                  <c:v>2.0007457343194091E-2</c:v>
                </c:pt>
                <c:pt idx="1834">
                  <c:v>2.0005033848908838E-2</c:v>
                </c:pt>
                <c:pt idx="1835">
                  <c:v>2.0002644369974121E-2</c:v>
                </c:pt>
                <c:pt idx="1836">
                  <c:v>2.000028890638994E-2</c:v>
                </c:pt>
                <c:pt idx="1837">
                  <c:v>1.9997967458156296E-2</c:v>
                </c:pt>
                <c:pt idx="1838">
                  <c:v>1.9995032720823147E-2</c:v>
                </c:pt>
                <c:pt idx="1839">
                  <c:v>1.9992789021916479E-2</c:v>
                </c:pt>
                <c:pt idx="1840">
                  <c:v>1.9990579338440284E-2</c:v>
                </c:pt>
                <c:pt idx="1841">
                  <c:v>1.998889830520767E-2</c:v>
                </c:pt>
                <c:pt idx="1842">
                  <c:v>1.9986262017539502E-2</c:v>
                </c:pt>
                <c:pt idx="1843">
                  <c:v>1.9984154380194852E-2</c:v>
                </c:pt>
                <c:pt idx="1844">
                  <c:v>1.9982080757960929E-2</c:v>
                </c:pt>
                <c:pt idx="1845">
                  <c:v>1.9980041151317351E-2</c:v>
                </c:pt>
                <c:pt idx="1846">
                  <c:v>1.9978035559944374E-2</c:v>
                </c:pt>
                <c:pt idx="1847">
                  <c:v>1.9976063983841996E-2</c:v>
                </c:pt>
                <c:pt idx="1848">
                  <c:v>1.9974126423170091E-2</c:v>
                </c:pt>
                <c:pt idx="1849">
                  <c:v>1.9972222877848722E-2</c:v>
                </c:pt>
                <c:pt idx="1850">
                  <c:v>1.9970353347797953E-2</c:v>
                </c:pt>
                <c:pt idx="1851">
                  <c:v>1.9968517833177657E-2</c:v>
                </c:pt>
                <c:pt idx="1852">
                  <c:v>1.9966716333907897E-2</c:v>
                </c:pt>
                <c:pt idx="1853">
                  <c:v>1.9964948849828801E-2</c:v>
                </c:pt>
                <c:pt idx="1854">
                  <c:v>1.9963215381260113E-2</c:v>
                </c:pt>
                <c:pt idx="1855">
                  <c:v>1.996151592788209E-2</c:v>
                </c:pt>
                <c:pt idx="1856">
                  <c:v>1.9959850490014475E-2</c:v>
                </c:pt>
                <c:pt idx="1857">
                  <c:v>1.995821906741746E-2</c:v>
                </c:pt>
                <c:pt idx="1858">
                  <c:v>1.9956621660170981E-2</c:v>
                </c:pt>
                <c:pt idx="1859">
                  <c:v>1.9955058268275039E-2</c:v>
                </c:pt>
                <c:pt idx="1860">
                  <c:v>1.9953528891729633E-2</c:v>
                </c:pt>
                <c:pt idx="1861">
                  <c:v>1.9952033530454827E-2</c:v>
                </c:pt>
                <c:pt idx="1862">
                  <c:v>1.9950572184610493E-2</c:v>
                </c:pt>
                <c:pt idx="1863">
                  <c:v>1.994914485403676E-2</c:v>
                </c:pt>
                <c:pt idx="1864">
                  <c:v>1.9947751538813563E-2</c:v>
                </c:pt>
                <c:pt idx="1865">
                  <c:v>1.9946392238860966E-2</c:v>
                </c:pt>
                <c:pt idx="1866">
                  <c:v>1.9945066954338841E-2</c:v>
                </c:pt>
                <c:pt idx="1867">
                  <c:v>1.9943775685247189E-2</c:v>
                </c:pt>
                <c:pt idx="1868">
                  <c:v>1.9942518431426137E-2</c:v>
                </c:pt>
                <c:pt idx="1869">
                  <c:v>1.9941295192795749E-2</c:v>
                </c:pt>
                <c:pt idx="1870">
                  <c:v>1.9940105969595834E-2</c:v>
                </c:pt>
                <c:pt idx="1871">
                  <c:v>1.9938950761746455E-2</c:v>
                </c:pt>
                <c:pt idx="1872">
                  <c:v>1.9937829569247612E-2</c:v>
                </c:pt>
                <c:pt idx="1873">
                  <c:v>1.9936742392099305E-2</c:v>
                </c:pt>
                <c:pt idx="1874">
                  <c:v>1.9935689230221598E-2</c:v>
                </c:pt>
                <c:pt idx="1875">
                  <c:v>1.9934102986445268E-2</c:v>
                </c:pt>
                <c:pt idx="1876">
                  <c:v>1.9934513710513357E-2</c:v>
                </c:pt>
                <c:pt idx="1877">
                  <c:v>1.9932733836691696E-2</c:v>
                </c:pt>
                <c:pt idx="1878">
                  <c:v>1.9931816736216135E-2</c:v>
                </c:pt>
                <c:pt idx="1879">
                  <c:v>1.9930933651011173E-2</c:v>
                </c:pt>
                <c:pt idx="1880">
                  <c:v>1.9930084581156748E-2</c:v>
                </c:pt>
                <c:pt idx="1881">
                  <c:v>1.9929269526732796E-2</c:v>
                </c:pt>
                <c:pt idx="1882">
                  <c:v>1.9928488487579443E-2</c:v>
                </c:pt>
                <c:pt idx="1883">
                  <c:v>1.9927741463696691E-2</c:v>
                </c:pt>
                <c:pt idx="1884">
                  <c:v>1.9927028455244411E-2</c:v>
                </c:pt>
                <c:pt idx="1885">
                  <c:v>1.9926349461982795E-2</c:v>
                </c:pt>
                <c:pt idx="1886">
                  <c:v>1.9925704484231588E-2</c:v>
                </c:pt>
                <c:pt idx="1887">
                  <c:v>1.9925093521671045E-2</c:v>
                </c:pt>
                <c:pt idx="1888">
                  <c:v>1.9926564241281142E-2</c:v>
                </c:pt>
                <c:pt idx="1889">
                  <c:v>1.9923973642681503E-2</c:v>
                </c:pt>
                <c:pt idx="1890">
                  <c:v>1.9923464726252504E-2</c:v>
                </c:pt>
                <c:pt idx="1891">
                  <c:v>1.992298982501417E-2</c:v>
                </c:pt>
                <c:pt idx="1892">
                  <c:v>1.9922548939126372E-2</c:v>
                </c:pt>
                <c:pt idx="1893">
                  <c:v>1.9923713504410578E-2</c:v>
                </c:pt>
                <c:pt idx="1894">
                  <c:v>1.9921769213482321E-2</c:v>
                </c:pt>
                <c:pt idx="1895">
                  <c:v>1.9921430373646132E-2</c:v>
                </c:pt>
                <c:pt idx="1896">
                  <c:v>1.9921125549160479E-2</c:v>
                </c:pt>
                <c:pt idx="1897">
                  <c:v>1.9920854739945426E-2</c:v>
                </c:pt>
                <c:pt idx="1898">
                  <c:v>1.9920617946000974E-2</c:v>
                </c:pt>
                <c:pt idx="1899">
                  <c:v>1.9920415167486993E-2</c:v>
                </c:pt>
                <c:pt idx="1900">
                  <c:v>1.9920246404403485E-2</c:v>
                </c:pt>
                <c:pt idx="1901">
                  <c:v>1.9920111656510642E-2</c:v>
                </c:pt>
                <c:pt idx="1902">
                  <c:v>1.9920010923968334E-2</c:v>
                </c:pt>
                <c:pt idx="1903">
                  <c:v>1.9919944206696627E-2</c:v>
                </c:pt>
                <c:pt idx="1904">
                  <c:v>1.9919911504855392E-2</c:v>
                </c:pt>
                <c:pt idx="1905">
                  <c:v>1.9919912818364693E-2</c:v>
                </c:pt>
                <c:pt idx="1906">
                  <c:v>1.9919948147144595E-2</c:v>
                </c:pt>
                <c:pt idx="1907">
                  <c:v>1.9920017491275033E-2</c:v>
                </c:pt>
                <c:pt idx="1908">
                  <c:v>1.9920120850676071E-2</c:v>
                </c:pt>
                <c:pt idx="1909">
                  <c:v>1.9920258225587517E-2</c:v>
                </c:pt>
                <c:pt idx="1910">
                  <c:v>1.9920429615609692E-2</c:v>
                </c:pt>
                <c:pt idx="1911">
                  <c:v>1.9920635021062338E-2</c:v>
                </c:pt>
                <c:pt idx="1912">
                  <c:v>1.9920874441865521E-2</c:v>
                </c:pt>
                <c:pt idx="1913">
                  <c:v>1.9921147877939305E-2</c:v>
                </c:pt>
                <c:pt idx="1914">
                  <c:v>1.9921455329363624E-2</c:v>
                </c:pt>
                <c:pt idx="1915">
                  <c:v>1.992179679613848E-2</c:v>
                </c:pt>
                <c:pt idx="1916">
                  <c:v>1.9922172278263872E-2</c:v>
                </c:pt>
                <c:pt idx="1917">
                  <c:v>1.9922581775659864E-2</c:v>
                </c:pt>
                <c:pt idx="1918">
                  <c:v>1.9923025288486329E-2</c:v>
                </c:pt>
                <c:pt idx="1919">
                  <c:v>1.9923502816583394E-2</c:v>
                </c:pt>
                <c:pt idx="1920">
                  <c:v>1.9924014359951059E-2</c:v>
                </c:pt>
                <c:pt idx="1921">
                  <c:v>1.9924559918749196E-2</c:v>
                </c:pt>
                <c:pt idx="1922">
                  <c:v>1.992513949289787E-2</c:v>
                </c:pt>
                <c:pt idx="1923">
                  <c:v>1.9925753082237208E-2</c:v>
                </c:pt>
                <c:pt idx="1924">
                  <c:v>1.9926400687086954E-2</c:v>
                </c:pt>
                <c:pt idx="1925">
                  <c:v>1.9927082307127364E-2</c:v>
                </c:pt>
                <c:pt idx="1926">
                  <c:v>1.9927797942598247E-2</c:v>
                </c:pt>
                <c:pt idx="1927">
                  <c:v>1.9930367959857254E-2</c:v>
                </c:pt>
                <c:pt idx="1928">
                  <c:v>1.9931159046313596E-2</c:v>
                </c:pt>
                <c:pt idx="1929">
                  <c:v>1.9930148940794368E-2</c:v>
                </c:pt>
                <c:pt idx="1930">
                  <c:v>1.9931000637587459E-2</c:v>
                </c:pt>
                <c:pt idx="1931">
                  <c:v>1.9931886349651151E-2</c:v>
                </c:pt>
                <c:pt idx="1932">
                  <c:v>1.9932806077065379E-2</c:v>
                </c:pt>
                <c:pt idx="1933">
                  <c:v>1.9933759819830144E-2</c:v>
                </c:pt>
                <c:pt idx="1934">
                  <c:v>1.9934747577945444E-2</c:v>
                </c:pt>
                <c:pt idx="1935">
                  <c:v>1.9935769351411281E-2</c:v>
                </c:pt>
                <c:pt idx="1936">
                  <c:v>1.9936825140147718E-2</c:v>
                </c:pt>
                <c:pt idx="1937">
                  <c:v>1.9937914944234691E-2</c:v>
                </c:pt>
                <c:pt idx="1938">
                  <c:v>1.9939038763672201E-2</c:v>
                </c:pt>
                <c:pt idx="1939">
                  <c:v>1.9940196598380311E-2</c:v>
                </c:pt>
                <c:pt idx="1940">
                  <c:v>1.9941388448598829E-2</c:v>
                </c:pt>
                <c:pt idx="1941">
                  <c:v>1.9942614314008011E-2</c:v>
                </c:pt>
                <c:pt idx="1942">
                  <c:v>1.994387419476773E-2</c:v>
                </c:pt>
                <c:pt idx="1943">
                  <c:v>1.9947754977406973E-2</c:v>
                </c:pt>
                <c:pt idx="1944">
                  <c:v>1.9946496002498648E-2</c:v>
                </c:pt>
                <c:pt idx="1945">
                  <c:v>1.994785792923004E-2</c:v>
                </c:pt>
                <c:pt idx="1946">
                  <c:v>1.9949253871391903E-2</c:v>
                </c:pt>
                <c:pt idx="1947">
                  <c:v>1.9950683828744431E-2</c:v>
                </c:pt>
                <c:pt idx="1948">
                  <c:v>1.9952147801607367E-2</c:v>
                </c:pt>
                <c:pt idx="1949">
                  <c:v>1.9953645789740904E-2</c:v>
                </c:pt>
                <c:pt idx="1950">
                  <c:v>1.9955177793304912E-2</c:v>
                </c:pt>
                <c:pt idx="1951">
                  <c:v>1.9956743812139521E-2</c:v>
                </c:pt>
                <c:pt idx="1952">
                  <c:v>1.995834384624473E-2</c:v>
                </c:pt>
                <c:pt idx="1953">
                  <c:v>1.9959977895780412E-2</c:v>
                </c:pt>
                <c:pt idx="1954">
                  <c:v>1.9961645960746566E-2</c:v>
                </c:pt>
                <c:pt idx="1955">
                  <c:v>1.9963348040823448E-2</c:v>
                </c:pt>
                <c:pt idx="1956">
                  <c:v>1.9965084136410738E-2</c:v>
                </c:pt>
                <c:pt idx="1957">
                  <c:v>1.9966854247348564E-2</c:v>
                </c:pt>
                <c:pt idx="1958">
                  <c:v>1.9968658373556991E-2</c:v>
                </c:pt>
                <c:pt idx="1959">
                  <c:v>1.9970496515036018E-2</c:v>
                </c:pt>
                <c:pt idx="1960">
                  <c:v>1.9972368672025453E-2</c:v>
                </c:pt>
                <c:pt idx="1961">
                  <c:v>1.9974274844365425E-2</c:v>
                </c:pt>
                <c:pt idx="1962">
                  <c:v>1.9976215031975997E-2</c:v>
                </c:pt>
                <c:pt idx="1963">
                  <c:v>1.9978189234857169E-2</c:v>
                </c:pt>
                <c:pt idx="1964">
                  <c:v>1.9980197453328685E-2</c:v>
                </c:pt>
                <c:pt idx="1965">
                  <c:v>1.998223968691093E-2</c:v>
                </c:pt>
                <c:pt idx="1966">
                  <c:v>1.9984315935923647E-2</c:v>
                </c:pt>
                <c:pt idx="1967">
                  <c:v>1.9986426200366836E-2</c:v>
                </c:pt>
                <c:pt idx="1968">
                  <c:v>1.9988570479920753E-2</c:v>
                </c:pt>
                <c:pt idx="1969">
                  <c:v>1.9990748775065015E-2</c:v>
                </c:pt>
                <c:pt idx="1970">
                  <c:v>1.9992961085479877E-2</c:v>
                </c:pt>
                <c:pt idx="1971">
                  <c:v>1.9995207411165339E-2</c:v>
                </c:pt>
                <c:pt idx="1972">
                  <c:v>1.9997487669707326E-2</c:v>
                </c:pt>
                <c:pt idx="1973">
                  <c:v>1.9999788147915254E-2</c:v>
                </c:pt>
                <c:pt idx="1974">
                  <c:v>2.0002098354501285E-2</c:v>
                </c:pt>
                <c:pt idx="1975">
                  <c:v>2.0004418289625292E-2</c:v>
                </c:pt>
                <c:pt idx="1976">
                  <c:v>2.000674795296753E-2</c:v>
                </c:pt>
                <c:pt idx="1977">
                  <c:v>2.0009087344927678E-2</c:v>
                </c:pt>
                <c:pt idx="1978">
                  <c:v>2.0011436465106058E-2</c:v>
                </c:pt>
                <c:pt idx="1979">
                  <c:v>2.0013795313822413E-2</c:v>
                </c:pt>
                <c:pt idx="1980">
                  <c:v>2.0016163890916872E-2</c:v>
                </c:pt>
                <c:pt idx="1981">
                  <c:v>2.0018542196469369E-2</c:v>
                </c:pt>
                <c:pt idx="1982">
                  <c:v>2.0020930230320033E-2</c:v>
                </c:pt>
                <c:pt idx="1983">
                  <c:v>2.0023327992708673E-2</c:v>
                </c:pt>
                <c:pt idx="1984">
                  <c:v>2.0025735483315543E-2</c:v>
                </c:pt>
                <c:pt idx="1985">
                  <c:v>2.0028152702460389E-2</c:v>
                </c:pt>
                <c:pt idx="1986">
                  <c:v>2.0030579649983338E-2</c:v>
                </c:pt>
                <c:pt idx="1987">
                  <c:v>2.0033016326044262E-2</c:v>
                </c:pt>
                <c:pt idx="1988">
                  <c:v>2.0035462730323417E-2</c:v>
                </c:pt>
                <c:pt idx="1989">
                  <c:v>2.0037918863140547E-2</c:v>
                </c:pt>
                <c:pt idx="1990">
                  <c:v>2.0040384724415716E-2</c:v>
                </c:pt>
                <c:pt idx="1991">
                  <c:v>2.0042860314068989E-2</c:v>
                </c:pt>
                <c:pt idx="1992">
                  <c:v>2.0045345632020428E-2</c:v>
                </c:pt>
                <c:pt idx="1993">
                  <c:v>2.0047840678509843E-2</c:v>
                </c:pt>
                <c:pt idx="1994">
                  <c:v>2.0053296797154729E-2</c:v>
                </c:pt>
                <c:pt idx="1995">
                  <c:v>2.0052859956622981E-2</c:v>
                </c:pt>
                <c:pt idx="1996">
                  <c:v>2.0055384188326641E-2</c:v>
                </c:pt>
                <c:pt idx="1997">
                  <c:v>2.0057918148408405E-2</c:v>
                </c:pt>
                <c:pt idx="1998">
                  <c:v>2.0060461836868271E-2</c:v>
                </c:pt>
                <c:pt idx="1999">
                  <c:v>2.0063015253866112E-2</c:v>
                </c:pt>
                <c:pt idx="2000">
                  <c:v>2.0065578399242057E-2</c:v>
                </c:pt>
                <c:pt idx="2001">
                  <c:v>2.0068151272916168E-2</c:v>
                </c:pt>
                <c:pt idx="2002">
                  <c:v>2.0070733875128255E-2</c:v>
                </c:pt>
                <c:pt idx="2003">
                  <c:v>2.0073326205718445E-2</c:v>
                </c:pt>
                <c:pt idx="2004">
                  <c:v>2.0075928264766674E-2</c:v>
                </c:pt>
                <c:pt idx="2005">
                  <c:v>2.0078540052193006E-2</c:v>
                </c:pt>
                <c:pt idx="2006">
                  <c:v>2.0081161568077377E-2</c:v>
                </c:pt>
                <c:pt idx="2007">
                  <c:v>2.0083792812259915E-2</c:v>
                </c:pt>
                <c:pt idx="2008">
                  <c:v>2.0086433784980429E-2</c:v>
                </c:pt>
                <c:pt idx="2009">
                  <c:v>2.0089084485999109E-2</c:v>
                </c:pt>
                <c:pt idx="2010">
                  <c:v>2.0091744915475829E-2</c:v>
                </c:pt>
                <c:pt idx="2011">
                  <c:v>2.0094415073410588E-2</c:v>
                </c:pt>
                <c:pt idx="2012">
                  <c:v>2.0097094959803385E-2</c:v>
                </c:pt>
                <c:pt idx="2013">
                  <c:v>2.0099784574574286E-2</c:v>
                </c:pt>
                <c:pt idx="2014">
                  <c:v>2.0102483917723291E-2</c:v>
                </c:pt>
                <c:pt idx="2015">
                  <c:v>2.0105192989250398E-2</c:v>
                </c:pt>
                <c:pt idx="2016">
                  <c:v>2.010791178931548E-2</c:v>
                </c:pt>
                <c:pt idx="2017">
                  <c:v>2.0110640317758666E-2</c:v>
                </c:pt>
                <c:pt idx="2018">
                  <c:v>2.0113378574579954E-2</c:v>
                </c:pt>
                <c:pt idx="2019">
                  <c:v>2.0116126559859282E-2</c:v>
                </c:pt>
                <c:pt idx="2020">
                  <c:v>2.0118884273596649E-2</c:v>
                </c:pt>
                <c:pt idx="2021">
                  <c:v>2.0121651715712119E-2</c:v>
                </c:pt>
                <c:pt idx="2022">
                  <c:v>2.0124428886285628E-2</c:v>
                </c:pt>
                <c:pt idx="2023">
                  <c:v>2.0127215785157304E-2</c:v>
                </c:pt>
                <c:pt idx="2024">
                  <c:v>2.0130012412566956E-2</c:v>
                </c:pt>
                <c:pt idx="2025">
                  <c:v>2.013281876835471E-2</c:v>
                </c:pt>
                <c:pt idx="2026">
                  <c:v>2.0135634852520568E-2</c:v>
                </c:pt>
                <c:pt idx="2027">
                  <c:v>2.0138460665144464E-2</c:v>
                </c:pt>
                <c:pt idx="2028">
                  <c:v>2.01412962062264E-2</c:v>
                </c:pt>
                <c:pt idx="2029">
                  <c:v>2.0144141475686439E-2</c:v>
                </c:pt>
                <c:pt idx="2030">
                  <c:v>2.0146996473604517E-2</c:v>
                </c:pt>
                <c:pt idx="2031">
                  <c:v>2.0149861199980634E-2</c:v>
                </c:pt>
                <c:pt idx="2032">
                  <c:v>2.0155457183157477E-2</c:v>
                </c:pt>
                <c:pt idx="2033">
                  <c:v>2.0157574326225003E-2</c:v>
                </c:pt>
                <c:pt idx="2034">
                  <c:v>2.0160471341759134E-2</c:v>
                </c:pt>
                <c:pt idx="2035">
                  <c:v>2.0163378086817119E-2</c:v>
                </c:pt>
                <c:pt idx="2036">
                  <c:v>2.0166294561478892E-2</c:v>
                </c:pt>
                <c:pt idx="2037">
                  <c:v>2.016922076571781E-2</c:v>
                </c:pt>
                <c:pt idx="2038">
                  <c:v>2.0172156699507227E-2</c:v>
                </c:pt>
                <c:pt idx="2039">
                  <c:v>2.0175102362820496E-2</c:v>
                </c:pt>
                <c:pt idx="2040">
                  <c:v>2.017805775571091E-2</c:v>
                </c:pt>
                <c:pt idx="2041">
                  <c:v>2.0181022878231758E-2</c:v>
                </c:pt>
                <c:pt idx="2042">
                  <c:v>2.0183997730223169E-2</c:v>
                </c:pt>
                <c:pt idx="2043">
                  <c:v>2.0186982311818369E-2</c:v>
                </c:pt>
                <c:pt idx="2044">
                  <c:v>2.0190130453112687E-2</c:v>
                </c:pt>
                <c:pt idx="2045">
                  <c:v>2.0192980663713556E-2</c:v>
                </c:pt>
                <c:pt idx="2046">
                  <c:v>2.0195994434040188E-2</c:v>
                </c:pt>
                <c:pt idx="2047">
                  <c:v>2.0199017933864027E-2</c:v>
                </c:pt>
                <c:pt idx="2048">
                  <c:v>2.0202051163318302E-2</c:v>
                </c:pt>
                <c:pt idx="2049">
                  <c:v>2.020509412229643E-2</c:v>
                </c:pt>
                <c:pt idx="2050">
                  <c:v>2.0208146810878347E-2</c:v>
                </c:pt>
                <c:pt idx="2051">
                  <c:v>2.0211209229010763E-2</c:v>
                </c:pt>
                <c:pt idx="2052">
                  <c:v>2.0214281376720322E-2</c:v>
                </c:pt>
                <c:pt idx="2053">
                  <c:v>2.0217363254007026E-2</c:v>
                </c:pt>
                <c:pt idx="2054">
                  <c:v>2.0220454860870873E-2</c:v>
                </c:pt>
                <c:pt idx="2055">
                  <c:v>2.0223556197311865E-2</c:v>
                </c:pt>
                <c:pt idx="2056">
                  <c:v>2.0226667263303355E-2</c:v>
                </c:pt>
                <c:pt idx="2057">
                  <c:v>2.0229788058898635E-2</c:v>
                </c:pt>
                <c:pt idx="2058">
                  <c:v>2.0232918584044413E-2</c:v>
                </c:pt>
                <c:pt idx="2059">
                  <c:v>2.0236058838767335E-2</c:v>
                </c:pt>
                <c:pt idx="2060">
                  <c:v>2.0239208823067401E-2</c:v>
                </c:pt>
                <c:pt idx="2061">
                  <c:v>2.0242368536997901E-2</c:v>
                </c:pt>
                <c:pt idx="2062">
                  <c:v>2.024553798042561E-2</c:v>
                </c:pt>
                <c:pt idx="2063">
                  <c:v>2.0248717153510398E-2</c:v>
                </c:pt>
                <c:pt idx="2064">
                  <c:v>2.025190605611904E-2</c:v>
                </c:pt>
                <c:pt idx="2065">
                  <c:v>2.0255104688304826E-2</c:v>
                </c:pt>
                <c:pt idx="2066">
                  <c:v>2.0258313050121046E-2</c:v>
                </c:pt>
                <c:pt idx="2067">
                  <c:v>2.0261531141487765E-2</c:v>
                </c:pt>
                <c:pt idx="2068">
                  <c:v>2.0264758962484919E-2</c:v>
                </c:pt>
                <c:pt idx="2069">
                  <c:v>2.0267996512979281E-2</c:v>
                </c:pt>
                <c:pt idx="2070">
                  <c:v>2.0271243793130722E-2</c:v>
                </c:pt>
                <c:pt idx="2071">
                  <c:v>2.0274500802832662E-2</c:v>
                </c:pt>
                <c:pt idx="2072">
                  <c:v>2.0277767542165037E-2</c:v>
                </c:pt>
                <c:pt idx="2073">
                  <c:v>2.0281044011021265E-2</c:v>
                </c:pt>
                <c:pt idx="2074">
                  <c:v>2.0284330209507928E-2</c:v>
                </c:pt>
                <c:pt idx="2075">
                  <c:v>2.0287626137571735E-2</c:v>
                </c:pt>
                <c:pt idx="2076">
                  <c:v>2.0290931795239331E-2</c:v>
                </c:pt>
                <c:pt idx="2077">
                  <c:v>2.0294247182457426E-2</c:v>
                </c:pt>
                <c:pt idx="2078">
                  <c:v>2.02975722993326E-2</c:v>
                </c:pt>
                <c:pt idx="2079">
                  <c:v>2.0300907145758273E-2</c:v>
                </c:pt>
                <c:pt idx="2080">
                  <c:v>2.0304251721814381E-2</c:v>
                </c:pt>
                <c:pt idx="2081">
                  <c:v>2.0307606027394343E-2</c:v>
                </c:pt>
                <c:pt idx="2082">
                  <c:v>2.0310970062604738E-2</c:v>
                </c:pt>
                <c:pt idx="2083">
                  <c:v>2.0314343827418924E-2</c:v>
                </c:pt>
                <c:pt idx="2084">
                  <c:v>2.0318364656808363E-2</c:v>
                </c:pt>
                <c:pt idx="2085">
                  <c:v>2.0320944679843578E-2</c:v>
                </c:pt>
                <c:pt idx="2086">
                  <c:v>2.0324350028886329E-2</c:v>
                </c:pt>
                <c:pt idx="2087">
                  <c:v>2.0327765106467055E-2</c:v>
                </c:pt>
                <c:pt idx="2088">
                  <c:v>2.0331189912266012E-2</c:v>
                </c:pt>
                <c:pt idx="2089">
                  <c:v>2.0334624446602945E-2</c:v>
                </c:pt>
                <c:pt idx="2090">
                  <c:v>2.033806870931798E-2</c:v>
                </c:pt>
                <c:pt idx="2091">
                  <c:v>2.0341522700570991E-2</c:v>
                </c:pt>
                <c:pt idx="2092">
                  <c:v>2.0344986420122169E-2</c:v>
                </c:pt>
                <c:pt idx="2093">
                  <c:v>2.0348459868131386E-2</c:v>
                </c:pt>
                <c:pt idx="2094">
                  <c:v>2.0351943044678578E-2</c:v>
                </c:pt>
                <c:pt idx="2095">
                  <c:v>2.0355435949683809E-2</c:v>
                </c:pt>
                <c:pt idx="2096">
                  <c:v>2.0358938582987207E-2</c:v>
                </c:pt>
                <c:pt idx="2097">
                  <c:v>2.0362450944828581E-2</c:v>
                </c:pt>
                <c:pt idx="2098">
                  <c:v>2.0365973035048057E-2</c:v>
                </c:pt>
                <c:pt idx="2099">
                  <c:v>2.0370515731586991E-2</c:v>
                </c:pt>
                <c:pt idx="2100">
                  <c:v>2.0373046400861128E-2</c:v>
                </c:pt>
                <c:pt idx="2101">
                  <c:v>2.0376597676534658E-2</c:v>
                </c:pt>
                <c:pt idx="2102">
                  <c:v>2.0380158680506355E-2</c:v>
                </c:pt>
                <c:pt idx="2103">
                  <c:v>2.0383729412936091E-2</c:v>
                </c:pt>
                <c:pt idx="2104">
                  <c:v>2.0387309873743931E-2</c:v>
                </c:pt>
                <c:pt idx="2105">
                  <c:v>2.0390900063169681E-2</c:v>
                </c:pt>
                <c:pt idx="2106">
                  <c:v>2.0394499980893599E-2</c:v>
                </c:pt>
                <c:pt idx="2107">
                  <c:v>2.0398109627155492E-2</c:v>
                </c:pt>
                <c:pt idx="2108">
                  <c:v>2.0401729001795488E-2</c:v>
                </c:pt>
                <c:pt idx="2109">
                  <c:v>2.0405358104893523E-2</c:v>
                </c:pt>
                <c:pt idx="2110">
                  <c:v>2.0408996936449597E-2</c:v>
                </c:pt>
                <c:pt idx="2111">
                  <c:v>2.0412645496383774E-2</c:v>
                </c:pt>
                <c:pt idx="2112">
                  <c:v>2.0416303784935863E-2</c:v>
                </c:pt>
                <c:pt idx="2113">
                  <c:v>2.0419971801786119E-2</c:v>
                </c:pt>
                <c:pt idx="2114">
                  <c:v>2.042364954717435E-2</c:v>
                </c:pt>
                <c:pt idx="2115">
                  <c:v>2.0427337020860747E-2</c:v>
                </c:pt>
                <c:pt idx="2116">
                  <c:v>2.0431034223085121E-2</c:v>
                </c:pt>
                <c:pt idx="2117">
                  <c:v>2.0434741153767533E-2</c:v>
                </c:pt>
                <c:pt idx="2118">
                  <c:v>2.0438457812748112E-2</c:v>
                </c:pt>
                <c:pt idx="2119">
                  <c:v>2.0442184200426539E-2</c:v>
                </c:pt>
                <c:pt idx="2120">
                  <c:v>2.044592031624326E-2</c:v>
                </c:pt>
                <c:pt idx="2121">
                  <c:v>2.0449666160757829E-2</c:v>
                </c:pt>
                <c:pt idx="2122">
                  <c:v>2.0453421733650501E-2</c:v>
                </c:pt>
                <c:pt idx="2123">
                  <c:v>2.0457187035001212E-2</c:v>
                </c:pt>
                <c:pt idx="2124">
                  <c:v>2.0460962064730026E-2</c:v>
                </c:pt>
                <c:pt idx="2125">
                  <c:v>2.0464746822836943E-2</c:v>
                </c:pt>
                <c:pt idx="2126">
                  <c:v>2.0468541309641708E-2</c:v>
                </c:pt>
                <c:pt idx="2127">
                  <c:v>2.0472345524824576E-2</c:v>
                </c:pt>
                <c:pt idx="2128">
                  <c:v>2.0476159468465482E-2</c:v>
                </c:pt>
                <c:pt idx="2129">
                  <c:v>2.0479983140244684E-2</c:v>
                </c:pt>
                <c:pt idx="2130">
                  <c:v>2.0483816540801669E-2</c:v>
                </c:pt>
                <c:pt idx="2131">
                  <c:v>2.0487659669736757E-2</c:v>
                </c:pt>
                <c:pt idx="2132">
                  <c:v>2.0491512526970013E-2</c:v>
                </c:pt>
                <c:pt idx="2133">
                  <c:v>2.0495375112821179E-2</c:v>
                </c:pt>
                <c:pt idx="2134">
                  <c:v>2.0499247427130385E-2</c:v>
                </c:pt>
                <c:pt idx="2135">
                  <c:v>2.050312946989763E-2</c:v>
                </c:pt>
                <c:pt idx="2136">
                  <c:v>2.0508440610544909E-2</c:v>
                </c:pt>
                <c:pt idx="2137">
                  <c:v>2.0511480891851619E-2</c:v>
                </c:pt>
                <c:pt idx="2138">
                  <c:v>2.0515393509681346E-2</c:v>
                </c:pt>
                <c:pt idx="2139">
                  <c:v>2.0519315856128983E-2</c:v>
                </c:pt>
                <c:pt idx="2140">
                  <c:v>2.0523247930874788E-2</c:v>
                </c:pt>
                <c:pt idx="2141">
                  <c:v>2.0527189733998696E-2</c:v>
                </c:pt>
                <c:pt idx="2142">
                  <c:v>2.053114126566058E-2</c:v>
                </c:pt>
                <c:pt idx="2143">
                  <c:v>2.0535102525700566E-2</c:v>
                </c:pt>
                <c:pt idx="2144">
                  <c:v>2.0539073514198591E-2</c:v>
                </c:pt>
                <c:pt idx="2145">
                  <c:v>2.0543054231234592E-2</c:v>
                </c:pt>
                <c:pt idx="2146">
                  <c:v>2.0547044676728632E-2</c:v>
                </c:pt>
                <c:pt idx="2147">
                  <c:v>2.0551044850680711E-2</c:v>
                </c:pt>
                <c:pt idx="2148">
                  <c:v>2.0555054753010893E-2</c:v>
                </c:pt>
                <c:pt idx="2149">
                  <c:v>2.0559074383958986E-2</c:v>
                </c:pt>
                <c:pt idx="2150">
                  <c:v>2.0564256775594814E-2</c:v>
                </c:pt>
                <c:pt idx="2151">
                  <c:v>2.0568298642835714E-2</c:v>
                </c:pt>
                <c:pt idx="2152">
                  <c:v>2.057235023861459E-2</c:v>
                </c:pt>
                <c:pt idx="2153">
                  <c:v>2.0579047572701903E-2</c:v>
                </c:pt>
                <c:pt idx="2154">
                  <c:v>2.0580482615466522E-2</c:v>
                </c:pt>
                <c:pt idx="2155">
                  <c:v>2.0584563396539579E-2</c:v>
                </c:pt>
                <c:pt idx="2156">
                  <c:v>2.0588653906150611E-2</c:v>
                </c:pt>
                <c:pt idx="2157">
                  <c:v>2.0592754144219683E-2</c:v>
                </c:pt>
                <c:pt idx="2158">
                  <c:v>2.0596864110746793E-2</c:v>
                </c:pt>
                <c:pt idx="2159">
                  <c:v>2.0600983805731943E-2</c:v>
                </c:pt>
                <c:pt idx="2160">
                  <c:v>2.0605113229095195E-2</c:v>
                </c:pt>
                <c:pt idx="2161">
                  <c:v>2.0609252380916487E-2</c:v>
                </c:pt>
                <c:pt idx="2162">
                  <c:v>2.0613401261275754E-2</c:v>
                </c:pt>
                <c:pt idx="2163">
                  <c:v>2.0617559870172997E-2</c:v>
                </c:pt>
                <c:pt idx="2164">
                  <c:v>2.062172820728847E-2</c:v>
                </c:pt>
                <c:pt idx="2165">
                  <c:v>2.0625906273021855E-2</c:v>
                </c:pt>
                <c:pt idx="2166">
                  <c:v>2.0630094067213278E-2</c:v>
                </c:pt>
                <c:pt idx="2167">
                  <c:v>2.0634291589942677E-2</c:v>
                </c:pt>
                <c:pt idx="2168">
                  <c:v>2.0638498840970243E-2</c:v>
                </c:pt>
                <c:pt idx="2169">
                  <c:v>2.0642715820535784E-2</c:v>
                </c:pt>
                <c:pt idx="2170">
                  <c:v>2.0646942528559364E-2</c:v>
                </c:pt>
                <c:pt idx="2171">
                  <c:v>2.0651178965040984E-2</c:v>
                </c:pt>
                <c:pt idx="2172">
                  <c:v>2.0655425129900706E-2</c:v>
                </c:pt>
                <c:pt idx="2173">
                  <c:v>2.0659681023298404E-2</c:v>
                </c:pt>
                <c:pt idx="2174">
                  <c:v>2.0663946645314013E-2</c:v>
                </c:pt>
                <c:pt idx="2175">
                  <c:v>2.0668221995627789E-2</c:v>
                </c:pt>
                <c:pt idx="2176">
                  <c:v>2.0672507074319668E-2</c:v>
                </c:pt>
                <c:pt idx="2177">
                  <c:v>2.0676801881629459E-2</c:v>
                </c:pt>
                <c:pt idx="2178">
                  <c:v>2.0681106417397288E-2</c:v>
                </c:pt>
                <c:pt idx="2179">
                  <c:v>2.0685420681543221E-2</c:v>
                </c:pt>
                <c:pt idx="2180">
                  <c:v>2.0689744674227128E-2</c:v>
                </c:pt>
                <c:pt idx="2181">
                  <c:v>2.0694078395289139E-2</c:v>
                </c:pt>
                <c:pt idx="2182">
                  <c:v>2.0698421844969062E-2</c:v>
                </c:pt>
                <c:pt idx="2183">
                  <c:v>2.0702775022867215E-2</c:v>
                </c:pt>
                <c:pt idx="2184">
                  <c:v>2.0707137929463215E-2</c:v>
                </c:pt>
                <c:pt idx="2185">
                  <c:v>2.0711510564517255E-2</c:v>
                </c:pt>
                <c:pt idx="2186">
                  <c:v>2.0715892927869461E-2</c:v>
                </c:pt>
                <c:pt idx="2187">
                  <c:v>2.0723016679458084E-2</c:v>
                </c:pt>
                <c:pt idx="2188">
                  <c:v>2.0727421345110297E-2</c:v>
                </c:pt>
                <c:pt idx="2189">
                  <c:v>2.0729098389073997E-2</c:v>
                </c:pt>
                <c:pt idx="2190">
                  <c:v>2.0733519666498168E-2</c:v>
                </c:pt>
                <c:pt idx="2191">
                  <c:v>2.0737950672300443E-2</c:v>
                </c:pt>
                <c:pt idx="2192">
                  <c:v>2.074239140648082E-2</c:v>
                </c:pt>
                <c:pt idx="2193">
                  <c:v>2.0746841869279109E-2</c:v>
                </c:pt>
                <c:pt idx="2194">
                  <c:v>2.0751302060455501E-2</c:v>
                </c:pt>
                <c:pt idx="2195">
                  <c:v>2.0755771980089932E-2</c:v>
                </c:pt>
                <c:pt idx="2196">
                  <c:v>2.0760251628262338E-2</c:v>
                </c:pt>
                <c:pt idx="2197">
                  <c:v>2.0764741004892784E-2</c:v>
                </c:pt>
                <c:pt idx="2198">
                  <c:v>2.0769240109981268E-2</c:v>
                </c:pt>
                <c:pt idx="2199">
                  <c:v>2.0773748943527792E-2</c:v>
                </c:pt>
                <c:pt idx="2200">
                  <c:v>2.0778267505692227E-2</c:v>
                </c:pt>
                <c:pt idx="2201">
                  <c:v>2.0782795796154829E-2</c:v>
                </c:pt>
                <c:pt idx="2202">
                  <c:v>2.0787333815075471E-2</c:v>
                </c:pt>
                <c:pt idx="2203">
                  <c:v>2.0795585023432039E-2</c:v>
                </c:pt>
                <c:pt idx="2204">
                  <c:v>2.0796439038530679E-2</c:v>
                </c:pt>
                <c:pt idx="2205">
                  <c:v>2.0801006242905373E-2</c:v>
                </c:pt>
                <c:pt idx="2206">
                  <c:v>2.0805583175818043E-2</c:v>
                </c:pt>
                <c:pt idx="2207">
                  <c:v>2.0810169837268688E-2</c:v>
                </c:pt>
                <c:pt idx="2208">
                  <c:v>2.08147662270175E-2</c:v>
                </c:pt>
                <c:pt idx="2209">
                  <c:v>2.0819372345304288E-2</c:v>
                </c:pt>
                <c:pt idx="2210">
                  <c:v>2.0823988192049114E-2</c:v>
                </c:pt>
                <c:pt idx="2211">
                  <c:v>2.0828613767411852E-2</c:v>
                </c:pt>
                <c:pt idx="2212">
                  <c:v>2.0833249071072757E-2</c:v>
                </c:pt>
                <c:pt idx="2213">
                  <c:v>2.0837894103271637E-2</c:v>
                </c:pt>
                <c:pt idx="2214">
                  <c:v>2.0842548864008492E-2</c:v>
                </c:pt>
                <c:pt idx="2215">
                  <c:v>2.0847213353203387E-2</c:v>
                </c:pt>
                <c:pt idx="2216">
                  <c:v>2.085188757085632E-2</c:v>
                </c:pt>
                <c:pt idx="2217">
                  <c:v>2.0856571516967293E-2</c:v>
                </c:pt>
                <c:pt idx="2218">
                  <c:v>2.0861265191536305E-2</c:v>
                </c:pt>
                <c:pt idx="2219">
                  <c:v>2.0865968594643292E-2</c:v>
                </c:pt>
                <c:pt idx="2220">
                  <c:v>2.0870681726128382E-2</c:v>
                </c:pt>
                <c:pt idx="2221">
                  <c:v>2.0875404586311319E-2</c:v>
                </c:pt>
                <c:pt idx="2222">
                  <c:v>2.088013717487236E-2</c:v>
                </c:pt>
                <c:pt idx="2223">
                  <c:v>2.0884879491811503E-2</c:v>
                </c:pt>
                <c:pt idx="2224">
                  <c:v>2.0889631537288622E-2</c:v>
                </c:pt>
                <c:pt idx="2225">
                  <c:v>2.0894393311383652E-2</c:v>
                </c:pt>
                <c:pt idx="2226">
                  <c:v>2.0899164813776849E-2</c:v>
                </c:pt>
                <c:pt idx="2227">
                  <c:v>2.0903946044628086E-2</c:v>
                </c:pt>
                <c:pt idx="2228">
                  <c:v>2.0908737004097233E-2</c:v>
                </c:pt>
                <c:pt idx="2229">
                  <c:v>2.091353769202442E-2</c:v>
                </c:pt>
                <c:pt idx="2230">
                  <c:v>2.0918348108409646E-2</c:v>
                </c:pt>
                <c:pt idx="2231">
                  <c:v>2.0923168253332847E-2</c:v>
                </c:pt>
                <c:pt idx="2232">
                  <c:v>2.0927996474195965E-2</c:v>
                </c:pt>
                <c:pt idx="2233">
                  <c:v>2.0932786503049527E-2</c:v>
                </c:pt>
                <c:pt idx="2234">
                  <c:v>2.0937516858117178E-2</c:v>
                </c:pt>
                <c:pt idx="2235">
                  <c:v>2.0942187539558788E-2</c:v>
                </c:pt>
                <c:pt idx="2236">
                  <c:v>2.0946798547134549E-2</c:v>
                </c:pt>
                <c:pt idx="2237">
                  <c:v>2.0951349881084269E-2</c:v>
                </c:pt>
                <c:pt idx="2238">
                  <c:v>2.0955841541088205E-2</c:v>
                </c:pt>
                <c:pt idx="2239">
                  <c:v>2.0960273527546036E-2</c:v>
                </c:pt>
                <c:pt idx="2240">
                  <c:v>2.0964645840138019E-2</c:v>
                </c:pt>
                <c:pt idx="2241">
                  <c:v>2.0968958479103961E-2</c:v>
                </c:pt>
                <c:pt idx="2242">
                  <c:v>2.0973211444124118E-2</c:v>
                </c:pt>
                <c:pt idx="2243">
                  <c:v>2.0977404735518235E-2</c:v>
                </c:pt>
                <c:pt idx="2244">
                  <c:v>2.0981538353206375E-2</c:v>
                </c:pt>
                <c:pt idx="2245">
                  <c:v>2.098561229694873E-2</c:v>
                </c:pt>
                <c:pt idx="2246">
                  <c:v>2.0989626567144981E-2</c:v>
                </c:pt>
                <c:pt idx="2247">
                  <c:v>2.0993581163475383E-2</c:v>
                </c:pt>
                <c:pt idx="2248">
                  <c:v>2.0997476085939937E-2</c:v>
                </c:pt>
                <c:pt idx="2249">
                  <c:v>2.100131133477845E-2</c:v>
                </c:pt>
                <c:pt idx="2250">
                  <c:v>2.1005086909910986E-2</c:v>
                </c:pt>
                <c:pt idx="2251">
                  <c:v>2.1008802811177674E-2</c:v>
                </c:pt>
                <c:pt idx="2252">
                  <c:v>2.1012459038498577E-2</c:v>
                </c:pt>
                <c:pt idx="2253">
                  <c:v>2.1016055592273375E-2</c:v>
                </c:pt>
                <c:pt idx="2254">
                  <c:v>2.1023045781229044E-2</c:v>
                </c:pt>
                <c:pt idx="2255">
                  <c:v>2.1023069678385298E-2</c:v>
                </c:pt>
                <c:pt idx="2256">
                  <c:v>2.1026487210722422E-2</c:v>
                </c:pt>
                <c:pt idx="2257">
                  <c:v>2.1029845069273634E-2</c:v>
                </c:pt>
                <c:pt idx="2258">
                  <c:v>2.1033143254118869E-2</c:v>
                </c:pt>
                <c:pt idx="2259">
                  <c:v>2.1036381765098255E-2</c:v>
                </c:pt>
                <c:pt idx="2260">
                  <c:v>2.1039560602291729E-2</c:v>
                </c:pt>
                <c:pt idx="2261">
                  <c:v>2.1042679765859162E-2</c:v>
                </c:pt>
                <c:pt idx="2262">
                  <c:v>2.1045739255480811E-2</c:v>
                </c:pt>
                <c:pt idx="2263">
                  <c:v>2.1048739071316547E-2</c:v>
                </c:pt>
                <c:pt idx="2264">
                  <c:v>2.1051679213446306E-2</c:v>
                </c:pt>
                <c:pt idx="2265">
                  <c:v>2.1054559681710217E-2</c:v>
                </c:pt>
                <c:pt idx="2266">
                  <c:v>2.1057380476028342E-2</c:v>
                </c:pt>
                <c:pt idx="2267">
                  <c:v>2.1060141596720428E-2</c:v>
                </c:pt>
                <c:pt idx="2268">
                  <c:v>2.1062843043706536E-2</c:v>
                </c:pt>
                <c:pt idx="2269">
                  <c:v>2.1065484816826796E-2</c:v>
                </c:pt>
                <c:pt idx="2270">
                  <c:v>2.1068066916001271E-2</c:v>
                </c:pt>
                <c:pt idx="2271">
                  <c:v>2.1070589341629642E-2</c:v>
                </c:pt>
                <c:pt idx="2272">
                  <c:v>2.1073052093232292E-2</c:v>
                </c:pt>
                <c:pt idx="2273">
                  <c:v>2.1075455171128965E-2</c:v>
                </c:pt>
                <c:pt idx="2274">
                  <c:v>2.1077798575079854E-2</c:v>
                </c:pt>
                <c:pt idx="2275">
                  <c:v>2.1080082305404702E-2</c:v>
                </c:pt>
                <c:pt idx="2276">
                  <c:v>2.1082306361783765E-2</c:v>
                </c:pt>
                <c:pt idx="2277">
                  <c:v>2.1084470744456851E-2</c:v>
                </c:pt>
                <c:pt idx="2278">
                  <c:v>2.1086575453264089E-2</c:v>
                </c:pt>
                <c:pt idx="2279">
                  <c:v>2.1088620488285414E-2</c:v>
                </c:pt>
                <c:pt idx="2280">
                  <c:v>2.1090605849600763E-2</c:v>
                </c:pt>
                <c:pt idx="2281">
                  <c:v>2.1092531536810455E-2</c:v>
                </c:pt>
                <c:pt idx="2282">
                  <c:v>2.1094397550474042E-2</c:v>
                </c:pt>
                <c:pt idx="2283">
                  <c:v>2.1096203890191845E-2</c:v>
                </c:pt>
                <c:pt idx="2284">
                  <c:v>2.1097950556203671E-2</c:v>
                </c:pt>
                <c:pt idx="2285">
                  <c:v>2.1099637548189776E-2</c:v>
                </c:pt>
                <c:pt idx="2286">
                  <c:v>2.1101264866629776E-2</c:v>
                </c:pt>
                <c:pt idx="2287">
                  <c:v>2.1102832511044056E-2</c:v>
                </c:pt>
                <c:pt idx="2288">
                  <c:v>2.1104340481592487E-2</c:v>
                </c:pt>
                <c:pt idx="2289">
                  <c:v>2.1105788778514878E-2</c:v>
                </c:pt>
                <c:pt idx="2290">
                  <c:v>2.1107177401491484E-2</c:v>
                </c:pt>
                <c:pt idx="2291">
                  <c:v>2.1108506350762113E-2</c:v>
                </c:pt>
                <c:pt idx="2292">
                  <c:v>2.1109775626086957E-2</c:v>
                </c:pt>
                <c:pt idx="2293">
                  <c:v>2.1110985227705825E-2</c:v>
                </c:pt>
                <c:pt idx="2294">
                  <c:v>2.1112135155378908E-2</c:v>
                </c:pt>
                <c:pt idx="2295">
                  <c:v>2.1113225409266079E-2</c:v>
                </c:pt>
                <c:pt idx="2296">
                  <c:v>2.11142559892874E-2</c:v>
                </c:pt>
                <c:pt idx="2297">
                  <c:v>2.1115226895602746E-2</c:v>
                </c:pt>
                <c:pt idx="2298">
                  <c:v>2.1116138127972306E-2</c:v>
                </c:pt>
                <c:pt idx="2299">
                  <c:v>2.1116989686555954E-2</c:v>
                </c:pt>
                <c:pt idx="2300">
                  <c:v>2.1117781571353689E-2</c:v>
                </c:pt>
                <c:pt idx="2301">
                  <c:v>2.1118513782285575E-2</c:v>
                </c:pt>
                <c:pt idx="2302">
                  <c:v>2.1119186319511485E-2</c:v>
                </c:pt>
                <c:pt idx="2303">
                  <c:v>2.1119799182711674E-2</c:v>
                </c:pt>
                <c:pt idx="2304">
                  <c:v>2.112035237212595E-2</c:v>
                </c:pt>
                <c:pt idx="2305">
                  <c:v>2.1123453168049977E-2</c:v>
                </c:pt>
                <c:pt idx="2306">
                  <c:v>2.1121279729596765E-2</c:v>
                </c:pt>
                <c:pt idx="2307">
                  <c:v>2.1121653897493431E-2</c:v>
                </c:pt>
                <c:pt idx="2308">
                  <c:v>2.1121968391684121E-2</c:v>
                </c:pt>
                <c:pt idx="2309">
                  <c:v>2.1122223212008961E-2</c:v>
                </c:pt>
                <c:pt idx="2310">
                  <c:v>2.1122418358388018E-2</c:v>
                </c:pt>
                <c:pt idx="2311">
                  <c:v>2.1122553831141033E-2</c:v>
                </c:pt>
                <c:pt idx="2312">
                  <c:v>2.1122629629948264E-2</c:v>
                </c:pt>
                <c:pt idx="2313">
                  <c:v>2.1122645754889646E-2</c:v>
                </c:pt>
                <c:pt idx="2314">
                  <c:v>2.1122602206045116E-2</c:v>
                </c:pt>
                <c:pt idx="2315">
                  <c:v>2.1122498983414673E-2</c:v>
                </c:pt>
                <c:pt idx="2316">
                  <c:v>2.1122336086918381E-2</c:v>
                </c:pt>
                <c:pt idx="2317">
                  <c:v>2.112211351655624E-2</c:v>
                </c:pt>
                <c:pt idx="2318">
                  <c:v>2.1121831272488123E-2</c:v>
                </c:pt>
                <c:pt idx="2319">
                  <c:v>2.1121489354474221E-2</c:v>
                </c:pt>
                <c:pt idx="2320">
                  <c:v>2.1121087762674406E-2</c:v>
                </c:pt>
                <c:pt idx="2321">
                  <c:v>2.1120626496928807E-2</c:v>
                </c:pt>
                <c:pt idx="2322">
                  <c:v>2.1120105557477231E-2</c:v>
                </c:pt>
                <c:pt idx="2323">
                  <c:v>2.1119524944159807E-2</c:v>
                </c:pt>
                <c:pt idx="2324">
                  <c:v>2.1118884657056469E-2</c:v>
                </c:pt>
                <c:pt idx="2325">
                  <c:v>2.1118184696087283E-2</c:v>
                </c:pt>
                <c:pt idx="2326">
                  <c:v>2.1117425061332185E-2</c:v>
                </c:pt>
                <c:pt idx="2327">
                  <c:v>2.1116605752711237E-2</c:v>
                </c:pt>
                <c:pt idx="2328">
                  <c:v>2.1115726770144505E-2</c:v>
                </c:pt>
                <c:pt idx="2329">
                  <c:v>2.1114788113951732E-2</c:v>
                </c:pt>
                <c:pt idx="2330">
                  <c:v>2.1113789783893111E-2</c:v>
                </c:pt>
                <c:pt idx="2331">
                  <c:v>2.1112731779888705E-2</c:v>
                </c:pt>
                <c:pt idx="2332">
                  <c:v>2.1111614102178322E-2</c:v>
                </c:pt>
                <c:pt idx="2333">
                  <c:v>2.1110436750602091E-2</c:v>
                </c:pt>
                <c:pt idx="2334">
                  <c:v>2.1109199725239947E-2</c:v>
                </c:pt>
                <c:pt idx="2335">
                  <c:v>2.1107903025932018E-2</c:v>
                </c:pt>
                <c:pt idx="2336">
                  <c:v>2.1106546652918112E-2</c:v>
                </c:pt>
                <c:pt idx="2337">
                  <c:v>2.1105130606118294E-2</c:v>
                </c:pt>
                <c:pt idx="2338">
                  <c:v>2.1103654885372691E-2</c:v>
                </c:pt>
                <c:pt idx="2339">
                  <c:v>2.1102119490841176E-2</c:v>
                </c:pt>
                <c:pt idx="2340">
                  <c:v>2.1100524422523748E-2</c:v>
                </c:pt>
                <c:pt idx="2341">
                  <c:v>2.1098869680420407E-2</c:v>
                </c:pt>
                <c:pt idx="2342">
                  <c:v>2.1097155264371281E-2</c:v>
                </c:pt>
                <c:pt idx="2343">
                  <c:v>2.1095381174616179E-2</c:v>
                </c:pt>
                <c:pt idx="2344">
                  <c:v>2.1094731134434497E-2</c:v>
                </c:pt>
                <c:pt idx="2345">
                  <c:v>2.109233730076987E-2</c:v>
                </c:pt>
                <c:pt idx="2346">
                  <c:v>2.1090366909053415E-2</c:v>
                </c:pt>
                <c:pt idx="2347">
                  <c:v>2.1088336836516675E-2</c:v>
                </c:pt>
                <c:pt idx="2348">
                  <c:v>2.1086247083239584E-2</c:v>
                </c:pt>
                <c:pt idx="2349">
                  <c:v>2.1084097649168854E-2</c:v>
                </c:pt>
                <c:pt idx="2350">
                  <c:v>2.1081888534304483E-2</c:v>
                </c:pt>
                <c:pt idx="2351">
                  <c:v>2.1079619738673117E-2</c:v>
                </c:pt>
                <c:pt idx="2352">
                  <c:v>2.1077291262301401E-2</c:v>
                </c:pt>
                <c:pt idx="2353">
                  <c:v>2.1074903105136045E-2</c:v>
                </c:pt>
                <c:pt idx="2354">
                  <c:v>2.1072455267256984E-2</c:v>
                </c:pt>
                <c:pt idx="2355">
                  <c:v>2.1069947748584283E-2</c:v>
                </c:pt>
                <c:pt idx="2356">
                  <c:v>2.1067380549171233E-2</c:v>
                </c:pt>
                <c:pt idx="2357">
                  <c:v>2.1064753669017833E-2</c:v>
                </c:pt>
                <c:pt idx="2358">
                  <c:v>2.1062067108070792E-2</c:v>
                </c:pt>
                <c:pt idx="2359">
                  <c:v>2.1059320866436693E-2</c:v>
                </c:pt>
                <c:pt idx="2360">
                  <c:v>2.1054063202772255E-2</c:v>
                </c:pt>
                <c:pt idx="2361">
                  <c:v>2.1053649340947445E-2</c:v>
                </c:pt>
                <c:pt idx="2362">
                  <c:v>2.1048646999846099E-2</c:v>
                </c:pt>
                <c:pt idx="2363">
                  <c:v>2.1045645334609731E-2</c:v>
                </c:pt>
                <c:pt idx="2364">
                  <c:v>2.1042583995667385E-2</c:v>
                </c:pt>
                <c:pt idx="2365">
                  <c:v>2.1039462982859192E-2</c:v>
                </c:pt>
                <c:pt idx="2366">
                  <c:v>2.1036282296265085E-2</c:v>
                </c:pt>
                <c:pt idx="2367">
                  <c:v>2.1033041935965002E-2</c:v>
                </c:pt>
                <c:pt idx="2368">
                  <c:v>2.1029741901799071E-2</c:v>
                </c:pt>
                <c:pt idx="2369">
                  <c:v>2.1026382193847226E-2</c:v>
                </c:pt>
                <c:pt idx="2370">
                  <c:v>2.1022962812029533E-2</c:v>
                </c:pt>
                <c:pt idx="2371">
                  <c:v>2.1019483756585799E-2</c:v>
                </c:pt>
                <c:pt idx="2372">
                  <c:v>2.1015945027276217E-2</c:v>
                </c:pt>
                <c:pt idx="2373">
                  <c:v>2.1012346624260658E-2</c:v>
                </c:pt>
                <c:pt idx="2374">
                  <c:v>2.1008688547379251E-2</c:v>
                </c:pt>
                <c:pt idx="2375">
                  <c:v>2.1004970796791866E-2</c:v>
                </c:pt>
                <c:pt idx="2376">
                  <c:v>2.100119337241857E-2</c:v>
                </c:pt>
                <c:pt idx="2377">
                  <c:v>2.0997356274179424E-2</c:v>
                </c:pt>
                <c:pt idx="2378">
                  <c:v>2.0993459502394174E-2</c:v>
                </c:pt>
                <c:pt idx="2379">
                  <c:v>2.0989503056743075E-2</c:v>
                </c:pt>
                <c:pt idx="2380">
                  <c:v>2.0985486937226128E-2</c:v>
                </c:pt>
                <c:pt idx="2381">
                  <c:v>2.0981411144003204E-2</c:v>
                </c:pt>
                <c:pt idx="2382">
                  <c:v>2.0977275677074303E-2</c:v>
                </c:pt>
                <c:pt idx="2383">
                  <c:v>2.097308053635949E-2</c:v>
                </c:pt>
                <c:pt idx="2384">
                  <c:v>2.0968825721778828E-2</c:v>
                </c:pt>
                <c:pt idx="2385">
                  <c:v>2.0964511233572125E-2</c:v>
                </c:pt>
                <c:pt idx="2386">
                  <c:v>2.0960137071659446E-2</c:v>
                </c:pt>
                <c:pt idx="2387">
                  <c:v>2.0955703235880918E-2</c:v>
                </c:pt>
                <c:pt idx="2388">
                  <c:v>2.0951209726396414E-2</c:v>
                </c:pt>
                <c:pt idx="2389">
                  <c:v>2.0946656543205933E-2</c:v>
                </c:pt>
                <c:pt idx="2390">
                  <c:v>2.0942043686229539E-2</c:v>
                </c:pt>
                <c:pt idx="2391">
                  <c:v>2.0937371155467233E-2</c:v>
                </c:pt>
                <c:pt idx="2392">
                  <c:v>2.093263895099895E-2</c:v>
                </c:pt>
                <c:pt idx="2393">
                  <c:v>2.0927847072904626E-2</c:v>
                </c:pt>
                <c:pt idx="2394">
                  <c:v>2.0922995520944454E-2</c:v>
                </c:pt>
                <c:pt idx="2395">
                  <c:v>2.0918084295278305E-2</c:v>
                </c:pt>
                <c:pt idx="2396">
                  <c:v>2.0912647667050699E-2</c:v>
                </c:pt>
                <c:pt idx="2397">
                  <c:v>2.0907359298147909E-2</c:v>
                </c:pt>
                <c:pt idx="2398">
                  <c:v>2.0902260526503014E-2</c:v>
                </c:pt>
                <c:pt idx="2399">
                  <c:v>2.0897102081232077E-2</c:v>
                </c:pt>
                <c:pt idx="2400">
                  <c:v>2.0891883962015356E-2</c:v>
                </c:pt>
                <c:pt idx="2401">
                  <c:v>2.0886606169252531E-2</c:v>
                </c:pt>
                <c:pt idx="2402">
                  <c:v>2.0881268702863665E-2</c:v>
                </c:pt>
                <c:pt idx="2403">
                  <c:v>2.0875871562529014E-2</c:v>
                </c:pt>
                <c:pt idx="2404">
                  <c:v>2.0870414748568322E-2</c:v>
                </c:pt>
                <c:pt idx="2405">
                  <c:v>2.086489826098159E-2</c:v>
                </c:pt>
                <c:pt idx="2406">
                  <c:v>2.0859322099688882E-2</c:v>
                </c:pt>
                <c:pt idx="2407">
                  <c:v>2.0853686264610261E-2</c:v>
                </c:pt>
                <c:pt idx="2408">
                  <c:v>2.0847990755905599E-2</c:v>
                </c:pt>
                <c:pt idx="2409">
                  <c:v>2.0842235573574897E-2</c:v>
                </c:pt>
                <c:pt idx="2410">
                  <c:v>2.0834748369438216E-2</c:v>
                </c:pt>
                <c:pt idx="2411">
                  <c:v>2.0828856790053862E-2</c:v>
                </c:pt>
                <c:pt idx="2412">
                  <c:v>2.0822905536963532E-2</c:v>
                </c:pt>
                <c:pt idx="2413">
                  <c:v>2.08163693901664E-2</c:v>
                </c:pt>
                <c:pt idx="2414">
                  <c:v>2.0810824009585005E-2</c:v>
                </c:pt>
                <c:pt idx="2415">
                  <c:v>2.0804693735536617E-2</c:v>
                </c:pt>
                <c:pt idx="2416">
                  <c:v>2.0798503787702316E-2</c:v>
                </c:pt>
                <c:pt idx="2417">
                  <c:v>2.0792254166162039E-2</c:v>
                </c:pt>
                <c:pt idx="2418">
                  <c:v>2.0785944870995721E-2</c:v>
                </c:pt>
                <c:pt idx="2419">
                  <c:v>2.0779575902283298E-2</c:v>
                </c:pt>
                <c:pt idx="2420">
                  <c:v>2.0773147259784963E-2</c:v>
                </c:pt>
                <c:pt idx="2421">
                  <c:v>2.0766658943660588E-2</c:v>
                </c:pt>
                <c:pt idx="2422">
                  <c:v>2.0760110953910171E-2</c:v>
                </c:pt>
                <c:pt idx="2423">
                  <c:v>2.0753503290453779E-2</c:v>
                </c:pt>
                <c:pt idx="2424">
                  <c:v>2.0746835953371345E-2</c:v>
                </c:pt>
                <c:pt idx="2425">
                  <c:v>2.0740108942582935E-2</c:v>
                </c:pt>
                <c:pt idx="2426">
                  <c:v>2.0733322258328357E-2</c:v>
                </c:pt>
                <c:pt idx="2427">
                  <c:v>2.0726475900287866E-2</c:v>
                </c:pt>
                <c:pt idx="2428">
                  <c:v>2.0719569868621335E-2</c:v>
                </c:pt>
                <c:pt idx="2429">
                  <c:v>2.0712604163488635E-2</c:v>
                </c:pt>
                <c:pt idx="2430">
                  <c:v>2.0705578784570022E-2</c:v>
                </c:pt>
                <c:pt idx="2431">
                  <c:v>2.0698493732025369E-2</c:v>
                </c:pt>
                <c:pt idx="2432">
                  <c:v>2.0691349005854676E-2</c:v>
                </c:pt>
                <c:pt idx="2433">
                  <c:v>2.0684144606137878E-2</c:v>
                </c:pt>
                <c:pt idx="2434">
                  <c:v>2.0676880532795039E-2</c:v>
                </c:pt>
                <c:pt idx="2435">
                  <c:v>2.0669556785746224E-2</c:v>
                </c:pt>
                <c:pt idx="2436">
                  <c:v>2.066217336523124E-2</c:v>
                </c:pt>
                <c:pt idx="2437">
                  <c:v>2.0654730271090216E-2</c:v>
                </c:pt>
                <c:pt idx="2438">
                  <c:v>2.0647227503403087E-2</c:v>
                </c:pt>
                <c:pt idx="2439">
                  <c:v>2.0639665061930046E-2</c:v>
                </c:pt>
                <c:pt idx="2440">
                  <c:v>2.0632042947070772E-2</c:v>
                </c:pt>
                <c:pt idx="2441">
                  <c:v>2.0624361158585458E-2</c:v>
                </c:pt>
                <c:pt idx="2442">
                  <c:v>2.0616619696394167E-2</c:v>
                </c:pt>
                <c:pt idx="2443">
                  <c:v>2.0608818560656772E-2</c:v>
                </c:pt>
                <c:pt idx="2444">
                  <c:v>2.0600957751373272E-2</c:v>
                </c:pt>
                <c:pt idx="2445">
                  <c:v>2.0593037268623604E-2</c:v>
                </c:pt>
                <c:pt idx="2446">
                  <c:v>2.0585057112167959E-2</c:v>
                </c:pt>
                <c:pt idx="2447">
                  <c:v>2.0572396301448137E-2</c:v>
                </c:pt>
                <c:pt idx="2448">
                  <c:v>2.0567767248333979E-2</c:v>
                </c:pt>
                <c:pt idx="2449">
                  <c:v>2.0560758601604334E-2</c:v>
                </c:pt>
                <c:pt idx="2450">
                  <c:v>2.0552539750884335E-2</c:v>
                </c:pt>
                <c:pt idx="2451">
                  <c:v>2.0544261226778104E-2</c:v>
                </c:pt>
                <c:pt idx="2452">
                  <c:v>2.0535923029045833E-2</c:v>
                </c:pt>
                <c:pt idx="2453">
                  <c:v>2.0527525157847393E-2</c:v>
                </c:pt>
                <c:pt idx="2454">
                  <c:v>2.0519067612942976E-2</c:v>
                </c:pt>
                <c:pt idx="2455">
                  <c:v>2.0510550394732263E-2</c:v>
                </c:pt>
                <c:pt idx="2456">
                  <c:v>2.0501973502815574E-2</c:v>
                </c:pt>
                <c:pt idx="2457">
                  <c:v>2.0493336937432716E-2</c:v>
                </c:pt>
                <c:pt idx="2458">
                  <c:v>2.0484640698503753E-2</c:v>
                </c:pt>
                <c:pt idx="2459">
                  <c:v>2.0475884786188558E-2</c:v>
                </c:pt>
                <c:pt idx="2460">
                  <c:v>2.0466865067232831E-2</c:v>
                </c:pt>
                <c:pt idx="2461">
                  <c:v>2.0458193940759983E-2</c:v>
                </c:pt>
                <c:pt idx="2462">
                  <c:v>2.0449259007966347E-2</c:v>
                </c:pt>
                <c:pt idx="2463">
                  <c:v>2.0440264401546671E-2</c:v>
                </c:pt>
                <c:pt idx="2464">
                  <c:v>2.0431210121500953E-2</c:v>
                </c:pt>
                <c:pt idx="2465">
                  <c:v>2.0421872143689956E-2</c:v>
                </c:pt>
                <c:pt idx="2466">
                  <c:v>2.0412922541410694E-2</c:v>
                </c:pt>
                <c:pt idx="2467">
                  <c:v>2.0403689240966472E-2</c:v>
                </c:pt>
                <c:pt idx="2468">
                  <c:v>2.0394396267136017E-2</c:v>
                </c:pt>
                <c:pt idx="2469">
                  <c:v>2.038504361991933E-2</c:v>
                </c:pt>
                <c:pt idx="2470">
                  <c:v>2.0375631299156538E-2</c:v>
                </c:pt>
                <c:pt idx="2471">
                  <c:v>2.0366159304927578E-2</c:v>
                </c:pt>
                <c:pt idx="2472">
                  <c:v>2.035662763723245E-2</c:v>
                </c:pt>
                <c:pt idx="2473">
                  <c:v>2.0347036296151089E-2</c:v>
                </c:pt>
                <c:pt idx="2474">
                  <c:v>2.0337385281603559E-2</c:v>
                </c:pt>
                <c:pt idx="2475">
                  <c:v>2.0327674593589862E-2</c:v>
                </c:pt>
                <c:pt idx="2476">
                  <c:v>2.0317904232189932E-2</c:v>
                </c:pt>
                <c:pt idx="2477">
                  <c:v>2.0308074197403769E-2</c:v>
                </c:pt>
                <c:pt idx="2478">
                  <c:v>2.0298184489071502E-2</c:v>
                </c:pt>
                <c:pt idx="2479">
                  <c:v>2.0288235107273067E-2</c:v>
                </c:pt>
                <c:pt idx="2480">
                  <c:v>2.0278226052248272E-2</c:v>
                </c:pt>
                <c:pt idx="2481">
                  <c:v>2.0268157323757308E-2</c:v>
                </c:pt>
                <c:pt idx="2482">
                  <c:v>2.0258028921720239E-2</c:v>
                </c:pt>
                <c:pt idx="2483">
                  <c:v>2.0247840846376874E-2</c:v>
                </c:pt>
                <c:pt idx="2484">
                  <c:v>2.0237593097727213E-2</c:v>
                </c:pt>
                <c:pt idx="2485">
                  <c:v>2.0227285675611384E-2</c:v>
                </c:pt>
                <c:pt idx="2486">
                  <c:v>2.0216918580029386E-2</c:v>
                </c:pt>
                <c:pt idx="2487">
                  <c:v>2.0206491811221028E-2</c:v>
                </c:pt>
                <c:pt idx="2488">
                  <c:v>2.0196005368946501E-2</c:v>
                </c:pt>
                <c:pt idx="2489">
                  <c:v>2.0185459253205806E-2</c:v>
                </c:pt>
                <c:pt idx="2490">
                  <c:v>2.0174853464318687E-2</c:v>
                </c:pt>
                <c:pt idx="2491">
                  <c:v>2.01641880019654E-2</c:v>
                </c:pt>
                <c:pt idx="2492">
                  <c:v>2.0153469538088942E-2</c:v>
                </c:pt>
                <c:pt idx="2493">
                  <c:v>2.0142773218738697E-2</c:v>
                </c:pt>
                <c:pt idx="2494">
                  <c:v>2.0132120464060321E-2</c:v>
                </c:pt>
                <c:pt idx="2495">
                  <c:v>2.0121511274053816E-2</c:v>
                </c:pt>
                <c:pt idx="2496">
                  <c:v>2.0110945648799117E-2</c:v>
                </c:pt>
                <c:pt idx="2497">
                  <c:v>2.0100423587896543E-2</c:v>
                </c:pt>
                <c:pt idx="2498">
                  <c:v>2.0089945091905648E-2</c:v>
                </c:pt>
                <c:pt idx="2499">
                  <c:v>2.0078959961220555E-2</c:v>
                </c:pt>
                <c:pt idx="2500">
                  <c:v>2.0068576192995291E-2</c:v>
                </c:pt>
                <c:pt idx="2501">
                  <c:v>2.0058770991324693E-2</c:v>
                </c:pt>
                <c:pt idx="2502">
                  <c:v>2.0048466753781469E-2</c:v>
                </c:pt>
                <c:pt idx="2503">
                  <c:v>2.0038206080830179E-2</c:v>
                </c:pt>
                <c:pt idx="2504">
                  <c:v>2.0027988972470823E-2</c:v>
                </c:pt>
                <c:pt idx="2505">
                  <c:v>2.00178154287034E-2</c:v>
                </c:pt>
                <c:pt idx="2506">
                  <c:v>2.0007685449607848E-2</c:v>
                </c:pt>
                <c:pt idx="2507">
                  <c:v>1.999759903510423E-2</c:v>
                </c:pt>
                <c:pt idx="2508">
                  <c:v>1.9987556185112609E-2</c:v>
                </c:pt>
                <c:pt idx="2509">
                  <c:v>1.9977556899872795E-2</c:v>
                </c:pt>
                <c:pt idx="2510">
                  <c:v>1.9967601179144978E-2</c:v>
                </c:pt>
                <c:pt idx="2511">
                  <c:v>1.9957689022929159E-2</c:v>
                </c:pt>
                <c:pt idx="2512">
                  <c:v>1.994782043138521E-2</c:v>
                </c:pt>
                <c:pt idx="2513">
                  <c:v>1.9937995404513131E-2</c:v>
                </c:pt>
                <c:pt idx="2514">
                  <c:v>1.992821394215305E-2</c:v>
                </c:pt>
                <c:pt idx="2515">
                  <c:v>1.9917906329373736E-2</c:v>
                </c:pt>
                <c:pt idx="2516">
                  <c:v>1.9908781711128753E-2</c:v>
                </c:pt>
                <c:pt idx="2517">
                  <c:v>1.9899130942384602E-2</c:v>
                </c:pt>
                <c:pt idx="2518">
                  <c:v>1.988952373831232E-2</c:v>
                </c:pt>
                <c:pt idx="2519">
                  <c:v>1.9879960098752036E-2</c:v>
                </c:pt>
                <c:pt idx="2520">
                  <c:v>1.9870440023783686E-2</c:v>
                </c:pt>
                <c:pt idx="2521">
                  <c:v>1.986096351340727E-2</c:v>
                </c:pt>
                <c:pt idx="2522">
                  <c:v>1.9851530567462916E-2</c:v>
                </c:pt>
                <c:pt idx="2523">
                  <c:v>1.9842141186190432E-2</c:v>
                </c:pt>
                <c:pt idx="2524">
                  <c:v>1.9832795369350009E-2</c:v>
                </c:pt>
                <c:pt idx="2525">
                  <c:v>1.9823493117181457E-2</c:v>
                </c:pt>
                <c:pt idx="2526">
                  <c:v>1.9814234429444966E-2</c:v>
                </c:pt>
                <c:pt idx="2527">
                  <c:v>1.9805019306300409E-2</c:v>
                </c:pt>
                <c:pt idx="2528">
                  <c:v>1.979584774766785E-2</c:v>
                </c:pt>
                <c:pt idx="2529">
                  <c:v>1.9786719753467352E-2</c:v>
                </c:pt>
                <c:pt idx="2530">
                  <c:v>1.9777635323938725E-2</c:v>
                </c:pt>
                <c:pt idx="2531">
                  <c:v>1.9768594459002031E-2</c:v>
                </c:pt>
                <c:pt idx="2532">
                  <c:v>1.9759597158337527E-2</c:v>
                </c:pt>
                <c:pt idx="2533">
                  <c:v>1.9750643422264957E-2</c:v>
                </c:pt>
                <c:pt idx="2534">
                  <c:v>1.9741733250864257E-2</c:v>
                </c:pt>
                <c:pt idx="2535">
                  <c:v>1.9732866643895619E-2</c:v>
                </c:pt>
                <c:pt idx="2536">
                  <c:v>1.9724043601359043E-2</c:v>
                </c:pt>
                <c:pt idx="2537">
                  <c:v>1.9715264123334464E-2</c:v>
                </c:pt>
                <c:pt idx="2538">
                  <c:v>1.9706528209821883E-2</c:v>
                </c:pt>
                <c:pt idx="2539">
                  <c:v>1.9697835860901236E-2</c:v>
                </c:pt>
                <c:pt idx="2540">
                  <c:v>1.9689187076332715E-2</c:v>
                </c:pt>
                <c:pt idx="2541">
                  <c:v>1.9680581856356127E-2</c:v>
                </c:pt>
                <c:pt idx="2542">
                  <c:v>1.9672020200811602E-2</c:v>
                </c:pt>
                <c:pt idx="2543">
                  <c:v>1.9663502109779074E-2</c:v>
                </c:pt>
                <c:pt idx="2544">
                  <c:v>1.9655027583178608E-2</c:v>
                </c:pt>
                <c:pt idx="2545">
                  <c:v>1.964659662109014E-2</c:v>
                </c:pt>
                <c:pt idx="2546">
                  <c:v>1.9638209223433734E-2</c:v>
                </c:pt>
                <c:pt idx="2547">
                  <c:v>1.9629865390289325E-2</c:v>
                </c:pt>
                <c:pt idx="2548">
                  <c:v>1.9621565121576978E-2</c:v>
                </c:pt>
                <c:pt idx="2549">
                  <c:v>1.9613308417456565E-2</c:v>
                </c:pt>
                <c:pt idx="2550">
                  <c:v>1.9605095277688278E-2</c:v>
                </c:pt>
                <c:pt idx="2551">
                  <c:v>1.9596925702352053E-2</c:v>
                </c:pt>
                <c:pt idx="2552">
                  <c:v>1.9588799691607761E-2</c:v>
                </c:pt>
                <c:pt idx="2553">
                  <c:v>1.9580717245215595E-2</c:v>
                </c:pt>
                <c:pt idx="2554">
                  <c:v>1.9572678363255491E-2</c:v>
                </c:pt>
                <c:pt idx="2555">
                  <c:v>1.9564683045727449E-2</c:v>
                </c:pt>
                <c:pt idx="2556">
                  <c:v>1.9556731292711405E-2</c:v>
                </c:pt>
                <c:pt idx="2557">
                  <c:v>1.9548823104207358E-2</c:v>
                </c:pt>
                <c:pt idx="2558">
                  <c:v>1.9540958479975501E-2</c:v>
                </c:pt>
                <c:pt idx="2559">
                  <c:v>1.9533137420255642E-2</c:v>
                </c:pt>
                <c:pt idx="2560">
                  <c:v>1.9525359924967844E-2</c:v>
                </c:pt>
                <c:pt idx="2561">
                  <c:v>1.9517625994112109E-2</c:v>
                </c:pt>
                <c:pt idx="2562">
                  <c:v>1.9509935627688435E-2</c:v>
                </c:pt>
                <c:pt idx="2563">
                  <c:v>1.9502288825696823E-2</c:v>
                </c:pt>
                <c:pt idx="2564">
                  <c:v>1.9494685588057337E-2</c:v>
                </c:pt>
                <c:pt idx="2565">
                  <c:v>1.9487084258971166E-2</c:v>
                </c:pt>
                <c:pt idx="2566">
                  <c:v>1.9479609806154485E-2</c:v>
                </c:pt>
                <c:pt idx="2567">
                  <c:v>1.9472137261811184E-2</c:v>
                </c:pt>
                <c:pt idx="2568">
                  <c:v>1.9464708281979881E-2</c:v>
                </c:pt>
                <c:pt idx="2569">
                  <c:v>1.9457322866420768E-2</c:v>
                </c:pt>
                <c:pt idx="2570">
                  <c:v>1.9449981015293716E-2</c:v>
                </c:pt>
                <c:pt idx="2571">
                  <c:v>1.9442682728598726E-2</c:v>
                </c:pt>
                <c:pt idx="2572">
                  <c:v>1.9435428006255862E-2</c:v>
                </c:pt>
                <c:pt idx="2573">
                  <c:v>1.9428216848345059E-2</c:v>
                </c:pt>
                <c:pt idx="2574">
                  <c:v>1.9421049254866318E-2</c:v>
                </c:pt>
                <c:pt idx="2575">
                  <c:v>1.9413925225739703E-2</c:v>
                </c:pt>
                <c:pt idx="2576">
                  <c:v>1.9406844760885278E-2</c:v>
                </c:pt>
                <c:pt idx="2577">
                  <c:v>1.939980786054285E-2</c:v>
                </c:pt>
                <c:pt idx="2578">
                  <c:v>1.9392814524632485E-2</c:v>
                </c:pt>
                <c:pt idx="2579">
                  <c:v>1.9385864753074245E-2</c:v>
                </c:pt>
                <c:pt idx="2580">
                  <c:v>1.9378958545788194E-2</c:v>
                </c:pt>
                <c:pt idx="2581">
                  <c:v>1.9372095903094078E-2</c:v>
                </c:pt>
                <c:pt idx="2582">
                  <c:v>1.9365276824592215E-2</c:v>
                </c:pt>
                <c:pt idx="2583">
                  <c:v>1.9358501310442477E-2</c:v>
                </c:pt>
                <c:pt idx="2584">
                  <c:v>1.9351769360804738E-2</c:v>
                </c:pt>
                <c:pt idx="2585">
                  <c:v>1.9345080975439188E-2</c:v>
                </c:pt>
                <c:pt idx="2586">
                  <c:v>1.9338436154425764E-2</c:v>
                </c:pt>
                <c:pt idx="2587">
                  <c:v>1.9331834897764466E-2</c:v>
                </c:pt>
                <c:pt idx="2588">
                  <c:v>1.9325277205615166E-2</c:v>
                </c:pt>
                <c:pt idx="2589">
                  <c:v>1.9318763077738055E-2</c:v>
                </c:pt>
                <c:pt idx="2590">
                  <c:v>1.931229251421307E-2</c:v>
                </c:pt>
                <c:pt idx="2591">
                  <c:v>1.9305865514960274E-2</c:v>
                </c:pt>
                <c:pt idx="2592">
                  <c:v>1.9299482080139541E-2</c:v>
                </c:pt>
                <c:pt idx="2593">
                  <c:v>1.9293142209670933E-2</c:v>
                </c:pt>
                <c:pt idx="2594">
                  <c:v>1.9286845903394578E-2</c:v>
                </c:pt>
                <c:pt idx="2595">
                  <c:v>1.9280593161630222E-2</c:v>
                </c:pt>
                <c:pt idx="2596">
                  <c:v>1.9274383984217991E-2</c:v>
                </c:pt>
                <c:pt idx="2597">
                  <c:v>1.9268218371157886E-2</c:v>
                </c:pt>
                <c:pt idx="2598">
                  <c:v>1.9262096322290034E-2</c:v>
                </c:pt>
                <c:pt idx="2599">
                  <c:v>1.9256017837854245E-2</c:v>
                </c:pt>
                <c:pt idx="2600">
                  <c:v>1.9249982917770581E-2</c:v>
                </c:pt>
                <c:pt idx="2601">
                  <c:v>1.9243991561959106E-2</c:v>
                </c:pt>
                <c:pt idx="2602">
                  <c:v>1.9238043770499758E-2</c:v>
                </c:pt>
                <c:pt idx="2603">
                  <c:v>1.9232139543392535E-2</c:v>
                </c:pt>
                <c:pt idx="2604">
                  <c:v>1.9225736828774043E-2</c:v>
                </c:pt>
                <c:pt idx="2605">
                  <c:v>1.9219834077333076E-2</c:v>
                </c:pt>
                <c:pt idx="2606">
                  <c:v>1.9214072375044466E-2</c:v>
                </c:pt>
                <c:pt idx="2607">
                  <c:v>1.9208354241930792E-2</c:v>
                </c:pt>
                <c:pt idx="2608">
                  <c:v>1.9202679677965406E-2</c:v>
                </c:pt>
                <c:pt idx="2609">
                  <c:v>1.9197048683121665E-2</c:v>
                </c:pt>
                <c:pt idx="2610">
                  <c:v>1.9191461257399567E-2</c:v>
                </c:pt>
                <c:pt idx="2611">
                  <c:v>1.9185917400825758E-2</c:v>
                </c:pt>
                <c:pt idx="2612">
                  <c:v>1.9180417113373593E-2</c:v>
                </c:pt>
                <c:pt idx="2613">
                  <c:v>1.9174960395043072E-2</c:v>
                </c:pt>
                <c:pt idx="2614">
                  <c:v>1.916954724580755E-2</c:v>
                </c:pt>
                <c:pt idx="2615">
                  <c:v>1.9164177665667026E-2</c:v>
                </c:pt>
                <c:pt idx="2616">
                  <c:v>1.9158851654648146E-2</c:v>
                </c:pt>
                <c:pt idx="2617">
                  <c:v>1.9153569212670973E-2</c:v>
                </c:pt>
                <c:pt idx="2618">
                  <c:v>1.9148330339815445E-2</c:v>
                </c:pt>
                <c:pt idx="2619">
                  <c:v>1.9143135036028269E-2</c:v>
                </c:pt>
                <c:pt idx="2620">
                  <c:v>1.9134771383937377E-2</c:v>
                </c:pt>
                <c:pt idx="2621">
                  <c:v>1.9132875135658978E-2</c:v>
                </c:pt>
                <c:pt idx="2622">
                  <c:v>1.9127810539050216E-2</c:v>
                </c:pt>
                <c:pt idx="2623">
                  <c:v>1.9122789511536453E-2</c:v>
                </c:pt>
                <c:pt idx="2624">
                  <c:v>1.9117812053064398E-2</c:v>
                </c:pt>
                <c:pt idx="2625">
                  <c:v>1.9112878163607405E-2</c:v>
                </c:pt>
                <c:pt idx="2626">
                  <c:v>1.9107987843245411E-2</c:v>
                </c:pt>
                <c:pt idx="2627">
                  <c:v>1.9103141091871834E-2</c:v>
                </c:pt>
                <c:pt idx="2628">
                  <c:v>1.9098337909539964E-2</c:v>
                </c:pt>
                <c:pt idx="2629">
                  <c:v>1.9093578296249802E-2</c:v>
                </c:pt>
                <c:pt idx="2630">
                  <c:v>1.9088862251948058E-2</c:v>
                </c:pt>
                <c:pt idx="2631">
                  <c:v>1.9084189776661376E-2</c:v>
                </c:pt>
                <c:pt idx="2632">
                  <c:v>1.9079560870416401E-2</c:v>
                </c:pt>
                <c:pt idx="2633">
                  <c:v>1.9074975533133198E-2</c:v>
                </c:pt>
                <c:pt idx="2634">
                  <c:v>1.9070433764865058E-2</c:v>
                </c:pt>
                <c:pt idx="2635">
                  <c:v>1.9065935565585335E-2</c:v>
                </c:pt>
                <c:pt idx="2636">
                  <c:v>1.9061480935320674E-2</c:v>
                </c:pt>
                <c:pt idx="2637">
                  <c:v>1.9057069874017785E-2</c:v>
                </c:pt>
                <c:pt idx="2638">
                  <c:v>1.9052702381703313E-2</c:v>
                </c:pt>
                <c:pt idx="2639">
                  <c:v>1.9048378458323967E-2</c:v>
                </c:pt>
                <c:pt idx="2640">
                  <c:v>1.9044098103959683E-2</c:v>
                </c:pt>
                <c:pt idx="2641">
                  <c:v>1.9039861318557172E-2</c:v>
                </c:pt>
                <c:pt idx="2642">
                  <c:v>1.9035668102116432E-2</c:v>
                </c:pt>
                <c:pt idx="2643">
                  <c:v>1.9031518454584173E-2</c:v>
                </c:pt>
                <c:pt idx="2644">
                  <c:v>1.9027412376066977E-2</c:v>
                </c:pt>
                <c:pt idx="2645">
                  <c:v>1.9023349866458261E-2</c:v>
                </c:pt>
                <c:pt idx="2646">
                  <c:v>1.9019330925811317E-2</c:v>
                </c:pt>
                <c:pt idx="2647">
                  <c:v>1.9015355554072855E-2</c:v>
                </c:pt>
                <c:pt idx="2648">
                  <c:v>1.9011423751296164E-2</c:v>
                </c:pt>
                <c:pt idx="2649">
                  <c:v>1.9007535517454599E-2</c:v>
                </c:pt>
                <c:pt idx="2650">
                  <c:v>1.900369085249487E-2</c:v>
                </c:pt>
                <c:pt idx="2651">
                  <c:v>1.8999889756496913E-2</c:v>
                </c:pt>
                <c:pt idx="2652">
                  <c:v>1.8996132229407436E-2</c:v>
                </c:pt>
                <c:pt idx="2653">
                  <c:v>1.8992418271226441E-2</c:v>
                </c:pt>
                <c:pt idx="2654">
                  <c:v>1.8988747881953927E-2</c:v>
                </c:pt>
                <c:pt idx="2655">
                  <c:v>1.8985121061589894E-2</c:v>
                </c:pt>
                <c:pt idx="2656">
                  <c:v>1.8979768138098763E-2</c:v>
                </c:pt>
                <c:pt idx="2657">
                  <c:v>1.8975994232750537E-2</c:v>
                </c:pt>
                <c:pt idx="2658">
                  <c:v>1.8972510934380793E-2</c:v>
                </c:pt>
                <c:pt idx="2659">
                  <c:v>1.8969071200443111E-2</c:v>
                </c:pt>
                <c:pt idx="2660">
                  <c:v>1.8965675030697682E-2</c:v>
                </c:pt>
                <c:pt idx="2661">
                  <c:v>1.8962322425064571E-2</c:v>
                </c:pt>
                <c:pt idx="2662">
                  <c:v>1.8959013383783585E-2</c:v>
                </c:pt>
                <c:pt idx="2663">
                  <c:v>1.8955747906774789E-2</c:v>
                </c:pt>
                <c:pt idx="2664">
                  <c:v>1.8952525993878311E-2</c:v>
                </c:pt>
                <c:pt idx="2665">
                  <c:v>1.8949347645174086E-2</c:v>
                </c:pt>
                <c:pt idx="2666">
                  <c:v>1.8946212860821987E-2</c:v>
                </c:pt>
                <c:pt idx="2667">
                  <c:v>1.8943121640662142E-2</c:v>
                </c:pt>
                <c:pt idx="2668">
                  <c:v>1.8940073984614614E-2</c:v>
                </c:pt>
                <c:pt idx="2669">
                  <c:v>1.8937069892839276E-2</c:v>
                </c:pt>
                <c:pt idx="2670">
                  <c:v>1.8934109365256191E-2</c:v>
                </c:pt>
                <c:pt idx="2671">
                  <c:v>1.8930366985410174E-2</c:v>
                </c:pt>
                <c:pt idx="2672">
                  <c:v>1.8928319002826655E-2</c:v>
                </c:pt>
                <c:pt idx="2673">
                  <c:v>1.8925489167900267E-2</c:v>
                </c:pt>
                <c:pt idx="2674">
                  <c:v>1.8922702897246069E-2</c:v>
                </c:pt>
                <c:pt idx="2675">
                  <c:v>1.8919960190704188E-2</c:v>
                </c:pt>
                <c:pt idx="2676">
                  <c:v>1.8917261048354561E-2</c:v>
                </c:pt>
                <c:pt idx="2677">
                  <c:v>1.891460547035706E-2</c:v>
                </c:pt>
                <c:pt idx="2678">
                  <c:v>1.8911993456471876E-2</c:v>
                </c:pt>
                <c:pt idx="2679">
                  <c:v>1.8909425006778946E-2</c:v>
                </c:pt>
                <c:pt idx="2680">
                  <c:v>1.8906900121358206E-2</c:v>
                </c:pt>
                <c:pt idx="2681">
                  <c:v>1.8904418800209655E-2</c:v>
                </c:pt>
                <c:pt idx="2682">
                  <c:v>1.8901981043093485E-2</c:v>
                </c:pt>
                <c:pt idx="2683">
                  <c:v>1.8899586850249506E-2</c:v>
                </c:pt>
                <c:pt idx="2684">
                  <c:v>1.8897236221677716E-2</c:v>
                </c:pt>
                <c:pt idx="2685">
                  <c:v>1.8894929157218243E-2</c:v>
                </c:pt>
                <c:pt idx="2686">
                  <c:v>1.889266565703096E-2</c:v>
                </c:pt>
                <c:pt idx="2687">
                  <c:v>1.8890445720955995E-2</c:v>
                </c:pt>
                <c:pt idx="2688">
                  <c:v>1.8888269349153219E-2</c:v>
                </c:pt>
                <c:pt idx="2689">
                  <c:v>1.8886136541462761E-2</c:v>
                </c:pt>
                <c:pt idx="2690">
                  <c:v>1.8884047298044493E-2</c:v>
                </c:pt>
                <c:pt idx="2691">
                  <c:v>1.8882001618818478E-2</c:v>
                </c:pt>
                <c:pt idx="2692">
                  <c:v>1.8879999503784717E-2</c:v>
                </c:pt>
                <c:pt idx="2693">
                  <c:v>1.8878040952943209E-2</c:v>
                </c:pt>
                <c:pt idx="2694">
                  <c:v>1.8876125966293955E-2</c:v>
                </c:pt>
                <c:pt idx="2695">
                  <c:v>1.8874254543836955E-2</c:v>
                </c:pt>
                <c:pt idx="2696">
                  <c:v>1.8872426685572208E-2</c:v>
                </c:pt>
                <c:pt idx="2697">
                  <c:v>1.8870642391499715E-2</c:v>
                </c:pt>
                <c:pt idx="2698">
                  <c:v>1.8868901661619475E-2</c:v>
                </c:pt>
                <c:pt idx="2699">
                  <c:v>1.8867204496011425E-2</c:v>
                </c:pt>
                <c:pt idx="2700">
                  <c:v>1.8865550894515692E-2</c:v>
                </c:pt>
                <c:pt idx="2701">
                  <c:v>1.8863940857212214E-2</c:v>
                </c:pt>
                <c:pt idx="2702">
                  <c:v>1.8862374384100988E-2</c:v>
                </c:pt>
                <c:pt idx="2703">
                  <c:v>1.8860851475182017E-2</c:v>
                </c:pt>
                <c:pt idx="2704">
                  <c:v>1.8859372130455299E-2</c:v>
                </c:pt>
                <c:pt idx="2705">
                  <c:v>1.8857936349920834E-2</c:v>
                </c:pt>
                <c:pt idx="2706">
                  <c:v>1.8856544133498687E-2</c:v>
                </c:pt>
                <c:pt idx="2707">
                  <c:v>1.8855195481428666E-2</c:v>
                </c:pt>
                <c:pt idx="2708">
                  <c:v>1.8854110203441188E-2</c:v>
                </c:pt>
                <c:pt idx="2709">
                  <c:v>1.8852452208140136E-2</c:v>
                </c:pt>
                <c:pt idx="2710">
                  <c:v>1.8851240471988717E-2</c:v>
                </c:pt>
                <c:pt idx="2711">
                  <c:v>1.8850072300109488E-2</c:v>
                </c:pt>
                <c:pt idx="2712">
                  <c:v>1.8848947692342577E-2</c:v>
                </c:pt>
                <c:pt idx="2713">
                  <c:v>1.8847866648687983E-2</c:v>
                </c:pt>
                <c:pt idx="2714">
                  <c:v>1.8846829169225643E-2</c:v>
                </c:pt>
                <c:pt idx="2715">
                  <c:v>1.8845835254035492E-2</c:v>
                </c:pt>
                <c:pt idx="2716">
                  <c:v>1.8844884903037595E-2</c:v>
                </c:pt>
                <c:pt idx="2717">
                  <c:v>1.8843978116152016E-2</c:v>
                </c:pt>
                <c:pt idx="2718">
                  <c:v>1.884311489345869E-2</c:v>
                </c:pt>
                <c:pt idx="2719">
                  <c:v>1.8842295235037554E-2</c:v>
                </c:pt>
                <c:pt idx="2720">
                  <c:v>1.8841519140648799E-2</c:v>
                </c:pt>
                <c:pt idx="2721">
                  <c:v>1.884058531778976E-2</c:v>
                </c:pt>
                <c:pt idx="2722">
                  <c:v>1.883990879878894E-2</c:v>
                </c:pt>
                <c:pt idx="2723">
                  <c:v>1.8839275843820502E-2</c:v>
                </c:pt>
                <c:pt idx="2724">
                  <c:v>1.8838686453124254E-2</c:v>
                </c:pt>
                <c:pt idx="2725">
                  <c:v>1.8838978741344548E-2</c:v>
                </c:pt>
                <c:pt idx="2726">
                  <c:v>1.8837638364388454E-2</c:v>
                </c:pt>
                <c:pt idx="2727">
                  <c:v>1.883717966618903E-2</c:v>
                </c:pt>
                <c:pt idx="2728">
                  <c:v>1.8836764532341732E-2</c:v>
                </c:pt>
                <c:pt idx="2729">
                  <c:v>1.8836392962526816E-2</c:v>
                </c:pt>
                <c:pt idx="2730">
                  <c:v>1.8836064956904153E-2</c:v>
                </c:pt>
                <c:pt idx="2731">
                  <c:v>1.8835780515473743E-2</c:v>
                </c:pt>
                <c:pt idx="2732">
                  <c:v>1.8835539638315524E-2</c:v>
                </c:pt>
                <c:pt idx="2733">
                  <c:v>1.8835342325189686E-2</c:v>
                </c:pt>
                <c:pt idx="2734">
                  <c:v>1.8835188576256101E-2</c:v>
                </c:pt>
                <c:pt idx="2735">
                  <c:v>1.8835078391594706E-2</c:v>
                </c:pt>
                <c:pt idx="2736">
                  <c:v>1.8835011771125565E-2</c:v>
                </c:pt>
                <c:pt idx="2737">
                  <c:v>1.8834988714768741E-2</c:v>
                </c:pt>
                <c:pt idx="2738">
                  <c:v>1.8835009222524235E-2</c:v>
                </c:pt>
                <c:pt idx="2739">
                  <c:v>1.8835073294631854E-2</c:v>
                </c:pt>
                <c:pt idx="2740">
                  <c:v>1.8835180930771855E-2</c:v>
                </c:pt>
                <c:pt idx="2741">
                  <c:v>1.8835332131184046E-2</c:v>
                </c:pt>
                <c:pt idx="2742">
                  <c:v>1.8835526895708554E-2</c:v>
                </c:pt>
                <c:pt idx="2743">
                  <c:v>1.8835765224505252E-2</c:v>
                </c:pt>
                <c:pt idx="2744">
                  <c:v>1.8836047117334331E-2</c:v>
                </c:pt>
                <c:pt idx="2745">
                  <c:v>1.88363725744356E-2</c:v>
                </c:pt>
                <c:pt idx="2746">
                  <c:v>1.8836741595809059E-2</c:v>
                </c:pt>
                <c:pt idx="2747">
                  <c:v>1.8837154181214899E-2</c:v>
                </c:pt>
                <c:pt idx="2748">
                  <c:v>1.8837610330892929E-2</c:v>
                </c:pt>
                <c:pt idx="2749">
                  <c:v>1.8838110044683276E-2</c:v>
                </c:pt>
                <c:pt idx="2750">
                  <c:v>1.8838653322665877E-2</c:v>
                </c:pt>
                <c:pt idx="2751">
                  <c:v>1.8839240164920668E-2</c:v>
                </c:pt>
                <c:pt idx="2752">
                  <c:v>1.8839869609577065E-2</c:v>
                </c:pt>
                <c:pt idx="2753">
                  <c:v>1.8840514732492153E-2</c:v>
                </c:pt>
                <c:pt idx="2754">
                  <c:v>1.884116303302541E-2</c:v>
                </c:pt>
                <c:pt idx="2755">
                  <c:v>1.8841814511016963E-2</c:v>
                </c:pt>
                <c:pt idx="2756">
                  <c:v>1.8842469166386877E-2</c:v>
                </c:pt>
                <c:pt idx="2757">
                  <c:v>1.8843126999454896E-2</c:v>
                </c:pt>
                <c:pt idx="2758">
                  <c:v>1.8843788009901274E-2</c:v>
                </c:pt>
                <c:pt idx="2759">
                  <c:v>1.8844833160587271E-2</c:v>
                </c:pt>
                <c:pt idx="2760">
                  <c:v>1.8846297377708154E-2</c:v>
                </c:pt>
                <c:pt idx="2761">
                  <c:v>1.8845790106549742E-2</c:v>
                </c:pt>
                <c:pt idx="2762">
                  <c:v>1.8846463827069115E-2</c:v>
                </c:pt>
                <c:pt idx="2763">
                  <c:v>1.8847140725126721E-2</c:v>
                </c:pt>
                <c:pt idx="2764">
                  <c:v>1.8847820800722559E-2</c:v>
                </c:pt>
                <c:pt idx="2765">
                  <c:v>1.8848504053776693E-2</c:v>
                </c:pt>
                <c:pt idx="2766">
                  <c:v>1.8849190484448997E-2</c:v>
                </c:pt>
                <c:pt idx="2767">
                  <c:v>1.8849880092579596E-2</c:v>
                </c:pt>
                <c:pt idx="2768">
                  <c:v>1.8850572878248428E-2</c:v>
                </c:pt>
                <c:pt idx="2769">
                  <c:v>1.8851268841455493E-2</c:v>
                </c:pt>
                <c:pt idx="2770">
                  <c:v>1.8851967982040918E-2</c:v>
                </c:pt>
                <c:pt idx="2771">
                  <c:v>1.8852670300244512E-2</c:v>
                </c:pt>
                <c:pt idx="2772">
                  <c:v>1.8853375795986338E-2</c:v>
                </c:pt>
                <c:pt idx="2773">
                  <c:v>1.8854084469186461E-2</c:v>
                </c:pt>
                <c:pt idx="2774">
                  <c:v>1.8854796319924816E-2</c:v>
                </c:pt>
                <c:pt idx="2775">
                  <c:v>1.8857691605232318E-2</c:v>
                </c:pt>
                <c:pt idx="2776">
                  <c:v>1.8856229553936288E-2</c:v>
                </c:pt>
                <c:pt idx="2777">
                  <c:v>1.8856950937289341E-2</c:v>
                </c:pt>
                <c:pt idx="2778">
                  <c:v>1.8857675498020754E-2</c:v>
                </c:pt>
                <c:pt idx="2779">
                  <c:v>1.8858403236370336E-2</c:v>
                </c:pt>
                <c:pt idx="2780">
                  <c:v>1.885913415225815E-2</c:v>
                </c:pt>
                <c:pt idx="2781">
                  <c:v>1.8859868245524325E-2</c:v>
                </c:pt>
                <c:pt idx="2782">
                  <c:v>1.8860605516408668E-2</c:v>
                </c:pt>
                <c:pt idx="2783">
                  <c:v>1.8861345964831244E-2</c:v>
                </c:pt>
                <c:pt idx="2784">
                  <c:v>1.8862089590712117E-2</c:v>
                </c:pt>
                <c:pt idx="2785">
                  <c:v>1.8862836394051286E-2</c:v>
                </c:pt>
                <c:pt idx="2786">
                  <c:v>1.8863586375088559E-2</c:v>
                </c:pt>
                <c:pt idx="2787">
                  <c:v>1.8864339533584129E-2</c:v>
                </c:pt>
                <c:pt idx="2788">
                  <c:v>1.8865095869458059E-2</c:v>
                </c:pt>
                <c:pt idx="2789">
                  <c:v>1.8865855382950159E-2</c:v>
                </c:pt>
                <c:pt idx="2790">
                  <c:v>1.886661807398049E-2</c:v>
                </c:pt>
                <c:pt idx="2791">
                  <c:v>1.8867383942469118E-2</c:v>
                </c:pt>
                <c:pt idx="2792">
                  <c:v>1.8868152988416043E-2</c:v>
                </c:pt>
                <c:pt idx="2793">
                  <c:v>1.8868925212061072E-2</c:v>
                </c:pt>
                <c:pt idx="2794">
                  <c:v>1.8869700613084461E-2</c:v>
                </c:pt>
                <c:pt idx="2795">
                  <c:v>1.887047919172602E-2</c:v>
                </c:pt>
                <c:pt idx="2796">
                  <c:v>1.8871260947745938E-2</c:v>
                </c:pt>
                <c:pt idx="2797">
                  <c:v>1.8872045881384025E-2</c:v>
                </c:pt>
                <c:pt idx="2798">
                  <c:v>1.8872833992480409E-2</c:v>
                </c:pt>
                <c:pt idx="2799">
                  <c:v>1.8873625281115025E-2</c:v>
                </c:pt>
                <c:pt idx="2800">
                  <c:v>1.8874419747207938E-2</c:v>
                </c:pt>
                <c:pt idx="2801">
                  <c:v>1.8875217390919019E-2</c:v>
                </c:pt>
                <c:pt idx="2802">
                  <c:v>1.8876018212168333E-2</c:v>
                </c:pt>
                <c:pt idx="2803">
                  <c:v>1.8876822210716071E-2</c:v>
                </c:pt>
                <c:pt idx="2804">
                  <c:v>1.887762938704185E-2</c:v>
                </c:pt>
                <c:pt idx="2805">
                  <c:v>1.8878439740745989E-2</c:v>
                </c:pt>
                <c:pt idx="2806">
                  <c:v>1.8879253271988361E-2</c:v>
                </c:pt>
                <c:pt idx="2807">
                  <c:v>1.8880069980689029E-2</c:v>
                </c:pt>
                <c:pt idx="2808">
                  <c:v>1.8880889867087802E-2</c:v>
                </c:pt>
                <c:pt idx="2809">
                  <c:v>1.8881712930864936E-2</c:v>
                </c:pt>
                <c:pt idx="2810">
                  <c:v>1.8882539172100365E-2</c:v>
                </c:pt>
                <c:pt idx="2811">
                  <c:v>1.8883368590953964E-2</c:v>
                </c:pt>
                <c:pt idx="2812">
                  <c:v>1.8884201187345795E-2</c:v>
                </c:pt>
                <c:pt idx="2813">
                  <c:v>1.8885036961195922E-2</c:v>
                </c:pt>
                <c:pt idx="2814">
                  <c:v>1.8885875912504346E-2</c:v>
                </c:pt>
                <c:pt idx="2815">
                  <c:v>1.8886718041430939E-2</c:v>
                </c:pt>
                <c:pt idx="2816">
                  <c:v>1.8887563347895764E-2</c:v>
                </c:pt>
                <c:pt idx="2817">
                  <c:v>1.8888411831738949E-2</c:v>
                </c:pt>
                <c:pt idx="2818">
                  <c:v>1.8889263493200303E-2</c:v>
                </c:pt>
                <c:pt idx="2819">
                  <c:v>1.889011833219989E-2</c:v>
                </c:pt>
                <c:pt idx="2820">
                  <c:v>1.8890976348657773E-2</c:v>
                </c:pt>
                <c:pt idx="2821">
                  <c:v>1.8891837542653889E-2</c:v>
                </c:pt>
                <c:pt idx="2822">
                  <c:v>1.8892701914188237E-2</c:v>
                </c:pt>
                <c:pt idx="2823">
                  <c:v>1.8893569463180881E-2</c:v>
                </c:pt>
                <c:pt idx="2824">
                  <c:v>1.8894440189711759E-2</c:v>
                </c:pt>
                <c:pt idx="2825">
                  <c:v>1.8895314093780868E-2</c:v>
                </c:pt>
                <c:pt idx="2826">
                  <c:v>1.8898426275669067E-2</c:v>
                </c:pt>
                <c:pt idx="2827">
                  <c:v>1.8897071434453849E-2</c:v>
                </c:pt>
                <c:pt idx="2828">
                  <c:v>1.8897954871057721E-2</c:v>
                </c:pt>
                <c:pt idx="2829">
                  <c:v>1.8898841485119888E-2</c:v>
                </c:pt>
                <c:pt idx="2830">
                  <c:v>1.8899731276880161E-2</c:v>
                </c:pt>
                <c:pt idx="2831">
                  <c:v>1.8900624246018793E-2</c:v>
                </c:pt>
                <c:pt idx="2832">
                  <c:v>1.8901520392615723E-2</c:v>
                </c:pt>
                <c:pt idx="2833">
                  <c:v>1.8902419716830821E-2</c:v>
                </c:pt>
                <c:pt idx="2834">
                  <c:v>1.8903322218584151E-2</c:v>
                </c:pt>
                <c:pt idx="2835">
                  <c:v>1.8904227897715842E-2</c:v>
                </c:pt>
                <c:pt idx="2836">
                  <c:v>1.8905136754465701E-2</c:v>
                </c:pt>
                <c:pt idx="2837">
                  <c:v>1.8906048788833729E-2</c:v>
                </c:pt>
                <c:pt idx="2838">
                  <c:v>1.8906964000500182E-2</c:v>
                </c:pt>
                <c:pt idx="2839">
                  <c:v>1.8907882389784803E-2</c:v>
                </c:pt>
                <c:pt idx="2840">
                  <c:v>1.8908803956607656E-2</c:v>
                </c:pt>
                <c:pt idx="2841">
                  <c:v>1.8909728700968742E-2</c:v>
                </c:pt>
                <c:pt idx="2842">
                  <c:v>1.8910656622788125E-2</c:v>
                </c:pt>
                <c:pt idx="2843">
                  <c:v>1.891158772214574E-2</c:v>
                </c:pt>
                <c:pt idx="2844">
                  <c:v>1.8912521999041587E-2</c:v>
                </c:pt>
                <c:pt idx="2845">
                  <c:v>1.8913459453475667E-2</c:v>
                </c:pt>
                <c:pt idx="2846">
                  <c:v>1.8914400085288108E-2</c:v>
                </c:pt>
                <c:pt idx="2847">
                  <c:v>1.8915343894718717E-2</c:v>
                </c:pt>
                <c:pt idx="2848">
                  <c:v>1.8916290881767495E-2</c:v>
                </c:pt>
                <c:pt idx="2849">
                  <c:v>1.8917241046194633E-2</c:v>
                </c:pt>
                <c:pt idx="2850">
                  <c:v>1.8918194388080067E-2</c:v>
                </c:pt>
                <c:pt idx="2851">
                  <c:v>1.8919150907663607E-2</c:v>
                </c:pt>
                <c:pt idx="2852">
                  <c:v>1.8920110604625506E-2</c:v>
                </c:pt>
                <c:pt idx="2853">
                  <c:v>1.8921073479205575E-2</c:v>
                </c:pt>
                <c:pt idx="2854">
                  <c:v>1.8922039531164003E-2</c:v>
                </c:pt>
                <c:pt idx="2855">
                  <c:v>1.8923008760740601E-2</c:v>
                </c:pt>
                <c:pt idx="2856">
                  <c:v>1.8923981167935366E-2</c:v>
                </c:pt>
                <c:pt idx="2857">
                  <c:v>1.8924956752428557E-2</c:v>
                </c:pt>
                <c:pt idx="2858">
                  <c:v>1.8925935514539916E-2</c:v>
                </c:pt>
                <c:pt idx="2859">
                  <c:v>1.8926917454269443E-2</c:v>
                </c:pt>
                <c:pt idx="2860">
                  <c:v>1.8927902571457267E-2</c:v>
                </c:pt>
                <c:pt idx="2861">
                  <c:v>1.8928890866023451E-2</c:v>
                </c:pt>
                <c:pt idx="2862">
                  <c:v>1.8929882338207804E-2</c:v>
                </c:pt>
                <c:pt idx="2863">
                  <c:v>1.8930876988010326E-2</c:v>
                </c:pt>
                <c:pt idx="2864">
                  <c:v>1.8931874815191208E-2</c:v>
                </c:pt>
                <c:pt idx="2865">
                  <c:v>1.8932875819830386E-2</c:v>
                </c:pt>
                <c:pt idx="2866">
                  <c:v>1.8933880002167669E-2</c:v>
                </c:pt>
                <c:pt idx="2867">
                  <c:v>1.8934887361883312E-2</c:v>
                </c:pt>
                <c:pt idx="2868">
                  <c:v>1.8935897899137188E-2</c:v>
                </c:pt>
                <c:pt idx="2869">
                  <c:v>1.8936911614009233E-2</c:v>
                </c:pt>
                <c:pt idx="2870">
                  <c:v>1.8937928506339574E-2</c:v>
                </c:pt>
                <c:pt idx="2871">
                  <c:v>1.8938948576208148E-2</c:v>
                </c:pt>
                <c:pt idx="2872">
                  <c:v>1.8939971823455082E-2</c:v>
                </c:pt>
                <c:pt idx="2873">
                  <c:v>1.894099824840012E-2</c:v>
                </c:pt>
                <c:pt idx="2874">
                  <c:v>1.8942027850883392E-2</c:v>
                </c:pt>
                <c:pt idx="2875">
                  <c:v>1.8943060630665087E-2</c:v>
                </c:pt>
                <c:pt idx="2876">
                  <c:v>1.8946387162914746E-2</c:v>
                </c:pt>
                <c:pt idx="2877">
                  <c:v>1.894513572316292E-2</c:v>
                </c:pt>
                <c:pt idx="2878">
                  <c:v>1.894617803563925E-2</c:v>
                </c:pt>
                <c:pt idx="2879">
                  <c:v>1.8947223525573875E-2</c:v>
                </c:pt>
                <c:pt idx="2880">
                  <c:v>1.8948272193046733E-2</c:v>
                </c:pt>
                <c:pt idx="2881">
                  <c:v>1.8949324038057824E-2</c:v>
                </c:pt>
                <c:pt idx="2882">
                  <c:v>1.8950379060607148E-2</c:v>
                </c:pt>
                <c:pt idx="2883">
                  <c:v>1.8951437260614767E-2</c:v>
                </c:pt>
                <c:pt idx="2884">
                  <c:v>1.8952498638240556E-2</c:v>
                </c:pt>
                <c:pt idx="2885">
                  <c:v>1.8953563193404577E-2</c:v>
                </c:pt>
                <c:pt idx="2886">
                  <c:v>1.8954630925867022E-2</c:v>
                </c:pt>
                <c:pt idx="2887">
                  <c:v>1.8955701836107508E-2</c:v>
                </c:pt>
                <c:pt idx="2888">
                  <c:v>1.8956775923726354E-2</c:v>
                </c:pt>
                <c:pt idx="2889">
                  <c:v>1.8957853188963369E-2</c:v>
                </c:pt>
                <c:pt idx="2890">
                  <c:v>1.8958933631498809E-2</c:v>
                </c:pt>
                <c:pt idx="2891">
                  <c:v>1.8960017251812289E-2</c:v>
                </c:pt>
                <c:pt idx="2892">
                  <c:v>1.8961104049504129E-2</c:v>
                </c:pt>
                <c:pt idx="2893">
                  <c:v>1.8962194024734202E-2</c:v>
                </c:pt>
                <c:pt idx="2894">
                  <c:v>1.8963287177422572E-2</c:v>
                </c:pt>
                <c:pt idx="2895">
                  <c:v>1.8964383507809046E-2</c:v>
                </c:pt>
                <c:pt idx="2896">
                  <c:v>1.8965483015573881E-2</c:v>
                </c:pt>
                <c:pt idx="2897">
                  <c:v>1.8966585700797012E-2</c:v>
                </c:pt>
                <c:pt idx="2898">
                  <c:v>1.8967691563718247E-2</c:v>
                </c:pt>
                <c:pt idx="2899">
                  <c:v>1.896880060409778E-2</c:v>
                </c:pt>
                <c:pt idx="2900">
                  <c:v>1.8969912821855672E-2</c:v>
                </c:pt>
                <c:pt idx="2901">
                  <c:v>1.897102821731167E-2</c:v>
                </c:pt>
                <c:pt idx="2902">
                  <c:v>1.8972146790225963E-2</c:v>
                </c:pt>
                <c:pt idx="2903">
                  <c:v>1.897326854067849E-2</c:v>
                </c:pt>
                <c:pt idx="2904">
                  <c:v>1.8974393468589312E-2</c:v>
                </c:pt>
                <c:pt idx="2905">
                  <c:v>1.8975521574038368E-2</c:v>
                </c:pt>
                <c:pt idx="2906">
                  <c:v>1.8976652857025655E-2</c:v>
                </c:pt>
                <c:pt idx="2907">
                  <c:v>1.897778731747124E-2</c:v>
                </c:pt>
                <c:pt idx="2908">
                  <c:v>1.8978924955455057E-2</c:v>
                </c:pt>
                <c:pt idx="2909">
                  <c:v>1.8980065771057042E-2</c:v>
                </c:pt>
                <c:pt idx="2910">
                  <c:v>1.8981209764117324E-2</c:v>
                </c:pt>
                <c:pt idx="2911">
                  <c:v>1.8982356934635902E-2</c:v>
                </c:pt>
                <c:pt idx="2912">
                  <c:v>1.8983507282692713E-2</c:v>
                </c:pt>
                <c:pt idx="2913">
                  <c:v>1.8984660808447629E-2</c:v>
                </c:pt>
                <c:pt idx="2914">
                  <c:v>1.8985817511580905E-2</c:v>
                </c:pt>
                <c:pt idx="2915">
                  <c:v>1.8986977392172477E-2</c:v>
                </c:pt>
                <c:pt idx="2916">
                  <c:v>1.8990059047003793E-2</c:v>
                </c:pt>
                <c:pt idx="2917">
                  <c:v>1.8990642203640107E-2</c:v>
                </c:pt>
                <c:pt idx="2918">
                  <c:v>1.8991812648181394E-2</c:v>
                </c:pt>
                <c:pt idx="2919">
                  <c:v>1.8992986270580658E-2</c:v>
                </c:pt>
                <c:pt idx="2920">
                  <c:v>1.8994163070837899E-2</c:v>
                </c:pt>
                <c:pt idx="2921">
                  <c:v>1.8995343048979763E-2</c:v>
                </c:pt>
                <c:pt idx="2922">
                  <c:v>1.8996526204952957E-2</c:v>
                </c:pt>
                <c:pt idx="2923">
                  <c:v>1.8997712538810774E-2</c:v>
                </c:pt>
                <c:pt idx="2924">
                  <c:v>1.8998902050526567E-2</c:v>
                </c:pt>
                <c:pt idx="2925">
                  <c:v>1.9000094740100337E-2</c:v>
                </c:pt>
                <c:pt idx="2926">
                  <c:v>1.9001290607532084E-2</c:v>
                </c:pt>
                <c:pt idx="2927">
                  <c:v>1.9002489652821808E-2</c:v>
                </c:pt>
                <c:pt idx="2928">
                  <c:v>1.9003691875996154E-2</c:v>
                </c:pt>
                <c:pt idx="2929">
                  <c:v>1.9004897277028476E-2</c:v>
                </c:pt>
                <c:pt idx="2930">
                  <c:v>1.9006105855918776E-2</c:v>
                </c:pt>
                <c:pt idx="2931">
                  <c:v>1.9006834371193548E-2</c:v>
                </c:pt>
                <c:pt idx="2932">
                  <c:v>1.900853254729995E-2</c:v>
                </c:pt>
                <c:pt idx="2933">
                  <c:v>1.900975065976418E-2</c:v>
                </c:pt>
                <c:pt idx="2934">
                  <c:v>1.9010971950086386E-2</c:v>
                </c:pt>
                <c:pt idx="2935">
                  <c:v>1.901219641831986E-2</c:v>
                </c:pt>
                <c:pt idx="2936">
                  <c:v>1.9013424064384665E-2</c:v>
                </c:pt>
                <c:pt idx="2937">
                  <c:v>1.9014654888334093E-2</c:v>
                </c:pt>
                <c:pt idx="2938">
                  <c:v>1.9015888890114852E-2</c:v>
                </c:pt>
                <c:pt idx="2939">
                  <c:v>1.9017126069780232E-2</c:v>
                </c:pt>
                <c:pt idx="2940">
                  <c:v>1.9018366427330236E-2</c:v>
                </c:pt>
                <c:pt idx="2941">
                  <c:v>1.9019609962684925E-2</c:v>
                </c:pt>
                <c:pt idx="2942">
                  <c:v>1.9020856675950881E-2</c:v>
                </c:pt>
                <c:pt idx="2943">
                  <c:v>1.9022106567074815E-2</c:v>
                </c:pt>
                <c:pt idx="2944">
                  <c:v>1.9023359636030079E-2</c:v>
                </c:pt>
                <c:pt idx="2945">
                  <c:v>1.9024615882896612E-2</c:v>
                </c:pt>
                <c:pt idx="2946">
                  <c:v>1.9025875307621121E-2</c:v>
                </c:pt>
                <c:pt idx="2947">
                  <c:v>1.9027137910176961E-2</c:v>
                </c:pt>
                <c:pt idx="2948">
                  <c:v>1.9028403690644069E-2</c:v>
                </c:pt>
                <c:pt idx="2949">
                  <c:v>1.9029672648915863E-2</c:v>
                </c:pt>
                <c:pt idx="2950">
                  <c:v>1.903094478512557E-2</c:v>
                </c:pt>
                <c:pt idx="2951">
                  <c:v>1.9032220099139963E-2</c:v>
                </c:pt>
                <c:pt idx="2952">
                  <c:v>1.9033498591012332E-2</c:v>
                </c:pt>
                <c:pt idx="2953">
                  <c:v>1.9034780260795969E-2</c:v>
                </c:pt>
                <c:pt idx="2954">
                  <c:v>1.9036065108437583E-2</c:v>
                </c:pt>
                <c:pt idx="2955">
                  <c:v>1.9037353133910528E-2</c:v>
                </c:pt>
                <c:pt idx="2956">
                  <c:v>1.9038644337268096E-2</c:v>
                </c:pt>
                <c:pt idx="2957">
                  <c:v>1.9039938718510285E-2</c:v>
                </c:pt>
                <c:pt idx="2958">
                  <c:v>1.9041236277637097E-2</c:v>
                </c:pt>
                <c:pt idx="2959">
                  <c:v>1.9042537014568595E-2</c:v>
                </c:pt>
                <c:pt idx="2960">
                  <c:v>1.904384092941136E-2</c:v>
                </c:pt>
                <c:pt idx="2961">
                  <c:v>1.9045148022085456E-2</c:v>
                </c:pt>
                <c:pt idx="2962">
                  <c:v>1.9046458292644175E-2</c:v>
                </c:pt>
                <c:pt idx="2963">
                  <c:v>1.904777174106087E-2</c:v>
                </c:pt>
                <c:pt idx="2964">
                  <c:v>1.9049088367362188E-2</c:v>
                </c:pt>
                <c:pt idx="2965">
                  <c:v>1.9050408171494837E-2</c:v>
                </c:pt>
                <c:pt idx="2966">
                  <c:v>1.9051731153538753E-2</c:v>
                </c:pt>
                <c:pt idx="2967">
                  <c:v>1.9053057313414001E-2</c:v>
                </c:pt>
                <c:pt idx="2968">
                  <c:v>1.90543579183311E-2</c:v>
                </c:pt>
                <c:pt idx="2969">
                  <c:v>1.9055091828343862E-2</c:v>
                </c:pt>
                <c:pt idx="2970">
                  <c:v>1.905642828840648E-2</c:v>
                </c:pt>
                <c:pt idx="2971">
                  <c:v>1.9057767925847457E-2</c:v>
                </c:pt>
                <c:pt idx="2972">
                  <c:v>1.9059110740826668E-2</c:v>
                </c:pt>
                <c:pt idx="2973">
                  <c:v>1.9060456733424047E-2</c:v>
                </c:pt>
                <c:pt idx="2974">
                  <c:v>1.9061805903399787E-2</c:v>
                </c:pt>
                <c:pt idx="2975">
                  <c:v>1.9063158250913759E-2</c:v>
                </c:pt>
                <c:pt idx="2976">
                  <c:v>1.9064513776045899E-2</c:v>
                </c:pt>
                <c:pt idx="2977">
                  <c:v>1.9065872478716273E-2</c:v>
                </c:pt>
                <c:pt idx="2978">
                  <c:v>1.9067234358844942E-2</c:v>
                </c:pt>
                <c:pt idx="2979">
                  <c:v>1.9068599416431908E-2</c:v>
                </c:pt>
                <c:pt idx="2980">
                  <c:v>1.9069967651637043E-2</c:v>
                </c:pt>
                <c:pt idx="2981">
                  <c:v>1.907133906438041E-2</c:v>
                </c:pt>
                <c:pt idx="2982">
                  <c:v>1.9073106978195753E-2</c:v>
                </c:pt>
                <c:pt idx="2983">
                  <c:v>1.907409142232197E-2</c:v>
                </c:pt>
                <c:pt idx="2984">
                  <c:v>1.9075472367600099E-2</c:v>
                </c:pt>
                <c:pt idx="2985">
                  <c:v>1.9076856490336525E-2</c:v>
                </c:pt>
                <c:pt idx="2986">
                  <c:v>1.9078442235791471E-2</c:v>
                </c:pt>
                <c:pt idx="2987">
                  <c:v>1.9079833167481297E-2</c:v>
                </c:pt>
                <c:pt idx="2988">
                  <c:v>1.9081227276789292E-2</c:v>
                </c:pt>
                <c:pt idx="2989">
                  <c:v>1.908262456363552E-2</c:v>
                </c:pt>
                <c:pt idx="2990">
                  <c:v>1.9084025027940044E-2</c:v>
                </c:pt>
                <c:pt idx="2991">
                  <c:v>1.9085428669702864E-2</c:v>
                </c:pt>
                <c:pt idx="2992">
                  <c:v>1.9086835489163789E-2</c:v>
                </c:pt>
                <c:pt idx="2993">
                  <c:v>1.9088245486003075E-2</c:v>
                </c:pt>
                <c:pt idx="2994">
                  <c:v>1.9089658660380593E-2</c:v>
                </c:pt>
                <c:pt idx="2995">
                  <c:v>1.9091075012296344E-2</c:v>
                </c:pt>
                <c:pt idx="2996">
                  <c:v>1.9092494541830263E-2</c:v>
                </c:pt>
                <c:pt idx="2997">
                  <c:v>1.9093917248822478E-2</c:v>
                </c:pt>
                <c:pt idx="2998">
                  <c:v>1.9095343133193055E-2</c:v>
                </c:pt>
                <c:pt idx="2999">
                  <c:v>1.9096772195261735E-2</c:v>
                </c:pt>
                <c:pt idx="3000">
                  <c:v>1.9098204434788713E-2</c:v>
                </c:pt>
                <c:pt idx="3001">
                  <c:v>1.9099639851773986E-2</c:v>
                </c:pt>
                <c:pt idx="3002">
                  <c:v>1.9101078446377429E-2</c:v>
                </c:pt>
                <c:pt idx="3003">
                  <c:v>1.9102520218519103E-2</c:v>
                </c:pt>
                <c:pt idx="3004">
                  <c:v>1.9103965168119075E-2</c:v>
                </c:pt>
                <c:pt idx="3005">
                  <c:v>1.9105413295257279E-2</c:v>
                </c:pt>
                <c:pt idx="3006">
                  <c:v>1.9106864600013651E-2</c:v>
                </c:pt>
                <c:pt idx="3007">
                  <c:v>1.9108319082148384E-2</c:v>
                </c:pt>
                <c:pt idx="3008">
                  <c:v>1.9109776741821349E-2</c:v>
                </c:pt>
                <c:pt idx="3009">
                  <c:v>1.9111237579032547E-2</c:v>
                </c:pt>
                <c:pt idx="3010">
                  <c:v>1.9112701593861914E-2</c:v>
                </c:pt>
                <c:pt idx="3011">
                  <c:v>1.9114168786149577E-2</c:v>
                </c:pt>
                <c:pt idx="3012">
                  <c:v>1.9115639265248063E-2</c:v>
                </c:pt>
                <c:pt idx="3013">
                  <c:v>1.9117116094387043E-2</c:v>
                </c:pt>
                <c:pt idx="3014">
                  <c:v>1.9118600695549048E-2</c:v>
                </c:pt>
                <c:pt idx="3015">
                  <c:v>1.9120093068814015E-2</c:v>
                </c:pt>
                <c:pt idx="3016">
                  <c:v>1.9121593213942134E-2</c:v>
                </c:pt>
                <c:pt idx="3017">
                  <c:v>1.9123101131253151E-2</c:v>
                </c:pt>
                <c:pt idx="3018">
                  <c:v>1.9124616820507256E-2</c:v>
                </c:pt>
                <c:pt idx="3019">
                  <c:v>1.9126140281784387E-2</c:v>
                </c:pt>
                <c:pt idx="3020">
                  <c:v>1.9128508834778124E-2</c:v>
                </c:pt>
                <c:pt idx="3021">
                  <c:v>1.9129431012752107E-2</c:v>
                </c:pt>
                <c:pt idx="3022">
                  <c:v>1.9130978900570028E-2</c:v>
                </c:pt>
                <c:pt idx="3023">
                  <c:v>1.9132534560251102E-2</c:v>
                </c:pt>
                <c:pt idx="3024">
                  <c:v>1.9134097991955201E-2</c:v>
                </c:pt>
                <c:pt idx="3025">
                  <c:v>1.9135669195682325E-2</c:v>
                </c:pt>
                <c:pt idx="3026">
                  <c:v>1.9137248171592347E-2</c:v>
                </c:pt>
                <c:pt idx="3027">
                  <c:v>1.9138834919365522E-2</c:v>
                </c:pt>
                <c:pt idx="3028">
                  <c:v>1.9140429439241657E-2</c:v>
                </c:pt>
                <c:pt idx="3029">
                  <c:v>1.9142031731140818E-2</c:v>
                </c:pt>
                <c:pt idx="3030">
                  <c:v>1.9143641795142941E-2</c:v>
                </c:pt>
                <c:pt idx="3031">
                  <c:v>1.9145259631008216E-2</c:v>
                </c:pt>
                <c:pt idx="3032">
                  <c:v>1.9146885238976452E-2</c:v>
                </c:pt>
                <c:pt idx="3033">
                  <c:v>1.9148752593487472E-2</c:v>
                </c:pt>
                <c:pt idx="3034">
                  <c:v>1.9150394855893538E-2</c:v>
                </c:pt>
                <c:pt idx="3035">
                  <c:v>1.9152044890322628E-2</c:v>
                </c:pt>
                <c:pt idx="3036">
                  <c:v>1.9153702696694808E-2</c:v>
                </c:pt>
                <c:pt idx="3037">
                  <c:v>1.9157255273707374E-2</c:v>
                </c:pt>
                <c:pt idx="3038">
                  <c:v>1.9157041625668114E-2</c:v>
                </c:pt>
                <c:pt idx="3039">
                  <c:v>1.9158722748189305E-2</c:v>
                </c:pt>
                <c:pt idx="3040">
                  <c:v>1.9160411642653585E-2</c:v>
                </c:pt>
                <c:pt idx="3041">
                  <c:v>1.9162108309300763E-2</c:v>
                </c:pt>
                <c:pt idx="3042">
                  <c:v>1.9163812747970965E-2</c:v>
                </c:pt>
                <c:pt idx="3043">
                  <c:v>1.9165524958584257E-2</c:v>
                </c:pt>
                <c:pt idx="3044">
                  <c:v>1.9167244941220574E-2</c:v>
                </c:pt>
                <c:pt idx="3045">
                  <c:v>1.9168972695959852E-2</c:v>
                </c:pt>
                <c:pt idx="3046">
                  <c:v>1.9170708222642219E-2</c:v>
                </c:pt>
                <c:pt idx="3047">
                  <c:v>1.9172451521507483E-2</c:v>
                </c:pt>
                <c:pt idx="3048">
                  <c:v>1.9174202592235901E-2</c:v>
                </c:pt>
                <c:pt idx="3049">
                  <c:v>1.9175961435147215E-2</c:v>
                </c:pt>
                <c:pt idx="3050">
                  <c:v>1.9177728050081555E-2</c:v>
                </c:pt>
                <c:pt idx="3051">
                  <c:v>1.9179502436958984E-2</c:v>
                </c:pt>
                <c:pt idx="3052">
                  <c:v>1.9181284595859438E-2</c:v>
                </c:pt>
                <c:pt idx="3053">
                  <c:v>1.9183074526942789E-2</c:v>
                </c:pt>
                <c:pt idx="3054">
                  <c:v>1.918487222996923E-2</c:v>
                </c:pt>
                <c:pt idx="3055">
                  <c:v>1.9186677704938759E-2</c:v>
                </c:pt>
                <c:pt idx="3056">
                  <c:v>1.9188490952091186E-2</c:v>
                </c:pt>
                <c:pt idx="3057">
                  <c:v>1.9190311971266638E-2</c:v>
                </c:pt>
                <c:pt idx="3058">
                  <c:v>1.9192140762305243E-2</c:v>
                </c:pt>
                <c:pt idx="3059">
                  <c:v>1.9193977325526745E-2</c:v>
                </c:pt>
                <c:pt idx="3060">
                  <c:v>1.9195821660851209E-2</c:v>
                </c:pt>
                <c:pt idx="3061">
                  <c:v>1.9197673768118761E-2</c:v>
                </c:pt>
                <c:pt idx="3062">
                  <c:v>1.9199533647329403E-2</c:v>
                </c:pt>
                <c:pt idx="3063">
                  <c:v>1.9201401298722942E-2</c:v>
                </c:pt>
                <c:pt idx="3064">
                  <c:v>1.9203276722139506E-2</c:v>
                </c:pt>
                <c:pt idx="3065">
                  <c:v>1.9205159917499159E-2</c:v>
                </c:pt>
                <c:pt idx="3066">
                  <c:v>1.9207050884961774E-2</c:v>
                </c:pt>
                <c:pt idx="3067">
                  <c:v>1.9208949624527349E-2</c:v>
                </c:pt>
                <c:pt idx="3068">
                  <c:v>1.9210856135956078E-2</c:v>
                </c:pt>
                <c:pt idx="3069">
                  <c:v>1.9212770419487768E-2</c:v>
                </c:pt>
                <c:pt idx="3070">
                  <c:v>1.9214692475042483E-2</c:v>
                </c:pt>
                <c:pt idx="3071">
                  <c:v>1.9218575729440524E-2</c:v>
                </c:pt>
                <c:pt idx="3072">
                  <c:v>1.9220515305140573E-2</c:v>
                </c:pt>
                <c:pt idx="3073">
                  <c:v>1.9220505274164523E-2</c:v>
                </c:pt>
                <c:pt idx="3074">
                  <c:v>1.9222458417891275E-2</c:v>
                </c:pt>
                <c:pt idx="3075">
                  <c:v>1.9224419333641052E-2</c:v>
                </c:pt>
                <c:pt idx="3076">
                  <c:v>1.922638802149379E-2</c:v>
                </c:pt>
                <c:pt idx="3077">
                  <c:v>1.9228364481289617E-2</c:v>
                </c:pt>
                <c:pt idx="3078">
                  <c:v>1.9230348713268341E-2</c:v>
                </c:pt>
                <c:pt idx="3079">
                  <c:v>1.9232340717190155E-2</c:v>
                </c:pt>
                <c:pt idx="3080">
                  <c:v>1.9234340493055058E-2</c:v>
                </c:pt>
                <c:pt idx="3081">
                  <c:v>1.9236348041182794E-2</c:v>
                </c:pt>
                <c:pt idx="3082">
                  <c:v>1.9238363361173683E-2</c:v>
                </c:pt>
                <c:pt idx="3083">
                  <c:v>1.9240386453267533E-2</c:v>
                </c:pt>
                <c:pt idx="3084">
                  <c:v>1.9242417317384408E-2</c:v>
                </c:pt>
                <c:pt idx="3085">
                  <c:v>1.9244455953524309E-2</c:v>
                </c:pt>
                <c:pt idx="3086">
                  <c:v>1.9249146803840489E-2</c:v>
                </c:pt>
                <c:pt idx="3087">
                  <c:v>1.9248556541953121E-2</c:v>
                </c:pt>
                <c:pt idx="3088">
                  <c:v>1.9250618494242033E-2</c:v>
                </c:pt>
                <c:pt idx="3089">
                  <c:v>1.9252688218633907E-2</c:v>
                </c:pt>
                <c:pt idx="3090">
                  <c:v>1.9254765714968869E-2</c:v>
                </c:pt>
                <c:pt idx="3091">
                  <c:v>1.9256850983326856E-2</c:v>
                </c:pt>
                <c:pt idx="3092">
                  <c:v>1.9258944023787805E-2</c:v>
                </c:pt>
                <c:pt idx="3093">
                  <c:v>1.9261044836191843E-2</c:v>
                </c:pt>
                <c:pt idx="3094">
                  <c:v>1.9263153420698842E-2</c:v>
                </c:pt>
                <c:pt idx="3095">
                  <c:v>1.9265269777228866E-2</c:v>
                </c:pt>
                <c:pt idx="3096">
                  <c:v>1.9267393905861852E-2</c:v>
                </c:pt>
                <c:pt idx="3097">
                  <c:v>1.9269525806437926E-2</c:v>
                </c:pt>
                <c:pt idx="3098">
                  <c:v>1.9271665479116962E-2</c:v>
                </c:pt>
                <c:pt idx="3099">
                  <c:v>1.9273812923819023E-2</c:v>
                </c:pt>
                <c:pt idx="3100">
                  <c:v>1.9275968140624045E-2</c:v>
                </c:pt>
                <c:pt idx="3101">
                  <c:v>1.9278131129372156E-2</c:v>
                </c:pt>
                <c:pt idx="3102">
                  <c:v>1.9280301890223228E-2</c:v>
                </c:pt>
                <c:pt idx="3103">
                  <c:v>1.9282480423097326E-2</c:v>
                </c:pt>
                <c:pt idx="3104">
                  <c:v>1.9284666727994448E-2</c:v>
                </c:pt>
                <c:pt idx="3105">
                  <c:v>1.9286860804994532E-2</c:v>
                </c:pt>
                <c:pt idx="3106">
                  <c:v>1.9289062653937705E-2</c:v>
                </c:pt>
                <c:pt idx="3107">
                  <c:v>1.9291272275063776E-2</c:v>
                </c:pt>
                <c:pt idx="3108">
                  <c:v>1.9293489668132935E-2</c:v>
                </c:pt>
                <c:pt idx="3109">
                  <c:v>1.9295714833145183E-2</c:v>
                </c:pt>
                <c:pt idx="3110">
                  <c:v>1.9297947770420265E-2</c:v>
                </c:pt>
                <c:pt idx="3111">
                  <c:v>1.9300188479638436E-2</c:v>
                </c:pt>
                <c:pt idx="3112">
                  <c:v>1.9302436960799696E-2</c:v>
                </c:pt>
                <c:pt idx="3113">
                  <c:v>1.9304693214143853E-2</c:v>
                </c:pt>
                <c:pt idx="3114">
                  <c:v>1.9306957239511036E-2</c:v>
                </c:pt>
                <c:pt idx="3115">
                  <c:v>1.9309229036741371E-2</c:v>
                </c:pt>
                <c:pt idx="3116">
                  <c:v>1.931150860623454E-2</c:v>
                </c:pt>
                <c:pt idx="3117">
                  <c:v>1.9313795947750734E-2</c:v>
                </c:pt>
                <c:pt idx="3118">
                  <c:v>1.9316091061210017E-2</c:v>
                </c:pt>
                <c:pt idx="3119">
                  <c:v>1.9318393946772261E-2</c:v>
                </c:pt>
                <c:pt idx="3120">
                  <c:v>1.9320704604277594E-2</c:v>
                </c:pt>
                <c:pt idx="3121">
                  <c:v>1.9323023033965825E-2</c:v>
                </c:pt>
                <c:pt idx="3122">
                  <c:v>1.9325349235677081E-2</c:v>
                </c:pt>
                <c:pt idx="3123">
                  <c:v>1.9327683209411362E-2</c:v>
                </c:pt>
                <c:pt idx="3124">
                  <c:v>1.9330024955168668E-2</c:v>
                </c:pt>
                <c:pt idx="3125">
                  <c:v>1.9332374473028935E-2</c:v>
                </c:pt>
                <c:pt idx="3126">
                  <c:v>1.9334731762832291E-2</c:v>
                </c:pt>
                <c:pt idx="3127">
                  <c:v>1.9337096824738609E-2</c:v>
                </c:pt>
                <c:pt idx="3128">
                  <c:v>1.9339469658667952E-2</c:v>
                </c:pt>
                <c:pt idx="3129">
                  <c:v>1.9341850264700255E-2</c:v>
                </c:pt>
                <c:pt idx="3130">
                  <c:v>1.9344238642675649E-2</c:v>
                </c:pt>
                <c:pt idx="3131">
                  <c:v>1.9346634792754003E-2</c:v>
                </c:pt>
                <c:pt idx="3132">
                  <c:v>1.9349038714935318E-2</c:v>
                </c:pt>
                <c:pt idx="3133">
                  <c:v>1.9351450409139659E-2</c:v>
                </c:pt>
                <c:pt idx="3134">
                  <c:v>1.9353869875287089E-2</c:v>
                </c:pt>
                <c:pt idx="3135">
                  <c:v>1.935629711353748E-2</c:v>
                </c:pt>
                <c:pt idx="3136">
                  <c:v>1.9358732123890832E-2</c:v>
                </c:pt>
                <c:pt idx="3137">
                  <c:v>1.9363957220965844E-2</c:v>
                </c:pt>
                <c:pt idx="3138">
                  <c:v>1.9363625460586675E-2</c:v>
                </c:pt>
                <c:pt idx="3139">
                  <c:v>1.9366083787089039E-2</c:v>
                </c:pt>
                <c:pt idx="3140">
                  <c:v>1.9368549885614428E-2</c:v>
                </c:pt>
                <c:pt idx="3141">
                  <c:v>1.9371023756162842E-2</c:v>
                </c:pt>
                <c:pt idx="3142">
                  <c:v>1.9373505398654345E-2</c:v>
                </c:pt>
                <c:pt idx="3143">
                  <c:v>1.9375994813328745E-2</c:v>
                </c:pt>
                <c:pt idx="3144">
                  <c:v>1.9378492000106107E-2</c:v>
                </c:pt>
                <c:pt idx="3145">
                  <c:v>1.9380996958746621E-2</c:v>
                </c:pt>
                <c:pt idx="3146">
                  <c:v>1.9383509689490097E-2</c:v>
                </c:pt>
                <c:pt idx="3147">
                  <c:v>1.9386030192336534E-2</c:v>
                </c:pt>
                <c:pt idx="3148">
                  <c:v>1.9388558467205996E-2</c:v>
                </c:pt>
                <c:pt idx="3149">
                  <c:v>1.9391094514098484E-2</c:v>
                </c:pt>
                <c:pt idx="3150">
                  <c:v>1.9393638333093932E-2</c:v>
                </c:pt>
                <c:pt idx="3151">
                  <c:v>1.9396189924192342E-2</c:v>
                </c:pt>
                <c:pt idx="3152">
                  <c:v>1.9398749287153905E-2</c:v>
                </c:pt>
                <c:pt idx="3153">
                  <c:v>1.9401316422218429E-2</c:v>
                </c:pt>
                <c:pt idx="3154">
                  <c:v>1.940389132946585E-2</c:v>
                </c:pt>
                <c:pt idx="3155">
                  <c:v>1.9406474008576424E-2</c:v>
                </c:pt>
                <c:pt idx="3156">
                  <c:v>1.9409064459869896E-2</c:v>
                </c:pt>
                <c:pt idx="3157">
                  <c:v>1.9411662683186393E-2</c:v>
                </c:pt>
                <c:pt idx="3158">
                  <c:v>1.941426867860585E-2</c:v>
                </c:pt>
                <c:pt idx="3159">
                  <c:v>1.9416882445968398E-2</c:v>
                </c:pt>
                <c:pt idx="3160">
                  <c:v>1.9419503985433906E-2</c:v>
                </c:pt>
                <c:pt idx="3161">
                  <c:v>1.9422133296922439E-2</c:v>
                </c:pt>
                <c:pt idx="3162">
                  <c:v>1.9424770380513934E-2</c:v>
                </c:pt>
                <c:pt idx="3163">
                  <c:v>1.9427415236048517E-2</c:v>
                </c:pt>
                <c:pt idx="3164">
                  <c:v>1.9430067863686062E-2</c:v>
                </c:pt>
                <c:pt idx="3165">
                  <c:v>1.9432728263506505E-2</c:v>
                </c:pt>
                <c:pt idx="3166">
                  <c:v>1.94353964351901E-2</c:v>
                </c:pt>
                <c:pt idx="3167">
                  <c:v>1.9438072378976656E-2</c:v>
                </c:pt>
                <c:pt idx="3168">
                  <c:v>1.944075609494611E-2</c:v>
                </c:pt>
                <c:pt idx="3169">
                  <c:v>1.9443447582858653E-2</c:v>
                </c:pt>
                <c:pt idx="3170">
                  <c:v>1.9446146842714285E-2</c:v>
                </c:pt>
                <c:pt idx="3171">
                  <c:v>1.9448853874672878E-2</c:v>
                </c:pt>
                <c:pt idx="3172">
                  <c:v>1.9451568678894304E-2</c:v>
                </c:pt>
                <c:pt idx="3173">
                  <c:v>1.9454291254978884E-2</c:v>
                </c:pt>
                <c:pt idx="3174">
                  <c:v>1.9457021603086488E-2</c:v>
                </c:pt>
                <c:pt idx="3175">
                  <c:v>1.9459759723217118E-2</c:v>
                </c:pt>
                <c:pt idx="3176">
                  <c:v>1.9462505615690517E-2</c:v>
                </c:pt>
                <c:pt idx="3177">
                  <c:v>1.946525928002707E-2</c:v>
                </c:pt>
                <c:pt idx="3178">
                  <c:v>1.9468020716306711E-2</c:v>
                </c:pt>
                <c:pt idx="3179">
                  <c:v>1.947078992476925E-2</c:v>
                </c:pt>
                <c:pt idx="3180">
                  <c:v>1.9473566905254813E-2</c:v>
                </c:pt>
                <c:pt idx="3181">
                  <c:v>1.9476351657763402E-2</c:v>
                </c:pt>
                <c:pt idx="3182">
                  <c:v>1.9479144182295016E-2</c:v>
                </c:pt>
                <c:pt idx="3183">
                  <c:v>1.9481944479089464E-2</c:v>
                </c:pt>
                <c:pt idx="3184">
                  <c:v>1.9484752547827E-2</c:v>
                </c:pt>
                <c:pt idx="3185">
                  <c:v>1.948756838842769E-2</c:v>
                </c:pt>
                <c:pt idx="3186">
                  <c:v>1.9490392001291212E-2</c:v>
                </c:pt>
                <c:pt idx="3187">
                  <c:v>1.9493223386257696E-2</c:v>
                </c:pt>
                <c:pt idx="3188">
                  <c:v>1.9496062543087334E-2</c:v>
                </c:pt>
                <c:pt idx="3189">
                  <c:v>1.9498909472019932E-2</c:v>
                </c:pt>
                <c:pt idx="3190">
                  <c:v>1.9501764173135427E-2</c:v>
                </c:pt>
                <c:pt idx="3191">
                  <c:v>1.9504626646194012E-2</c:v>
                </c:pt>
                <c:pt idx="3192">
                  <c:v>1.9510432964819913E-2</c:v>
                </c:pt>
                <c:pt idx="3193">
                  <c:v>1.9510374908540129E-2</c:v>
                </c:pt>
                <c:pt idx="3194">
                  <c:v>1.9515144485113822E-2</c:v>
                </c:pt>
                <c:pt idx="3195">
                  <c:v>1.9518040580983609E-2</c:v>
                </c:pt>
                <c:pt idx="3196">
                  <c:v>1.9520944449782363E-2</c:v>
                </c:pt>
                <c:pt idx="3197">
                  <c:v>1.9523856091536729E-2</c:v>
                </c:pt>
                <c:pt idx="3198">
                  <c:v>1.9526775506246707E-2</c:v>
                </c:pt>
                <c:pt idx="3199">
                  <c:v>1.9529702693885653E-2</c:v>
                </c:pt>
                <c:pt idx="3200">
                  <c:v>1.9532637654480212E-2</c:v>
                </c:pt>
                <c:pt idx="3201">
                  <c:v>1.9535580388057028E-2</c:v>
                </c:pt>
                <c:pt idx="3202">
                  <c:v>1.9538530894562811E-2</c:v>
                </c:pt>
                <c:pt idx="3203">
                  <c:v>1.9541489173970916E-2</c:v>
                </c:pt>
                <c:pt idx="3204">
                  <c:v>1.9544455226361279E-2</c:v>
                </c:pt>
                <c:pt idx="3205">
                  <c:v>1.95474290517339E-2</c:v>
                </c:pt>
                <c:pt idx="3206">
                  <c:v>1.9550410650035488E-2</c:v>
                </c:pt>
                <c:pt idx="3207">
                  <c:v>1.9553400021266043E-2</c:v>
                </c:pt>
                <c:pt idx="3208">
                  <c:v>1.9556397165452211E-2</c:v>
                </c:pt>
                <c:pt idx="3209">
                  <c:v>1.9559402082647281E-2</c:v>
                </c:pt>
                <c:pt idx="3210">
                  <c:v>1.9562414772718029E-2</c:v>
                </c:pt>
                <c:pt idx="3211">
                  <c:v>1.9565435235797679E-2</c:v>
                </c:pt>
                <c:pt idx="3212">
                  <c:v>1.9568463471832942E-2</c:v>
                </c:pt>
                <c:pt idx="3213">
                  <c:v>1.9571499480797172E-2</c:v>
                </c:pt>
                <c:pt idx="3214">
                  <c:v>1.9574543262717015E-2</c:v>
                </c:pt>
                <c:pt idx="3215">
                  <c:v>1.957759481759247E-2</c:v>
                </c:pt>
                <c:pt idx="3216">
                  <c:v>1.9580654145476828E-2</c:v>
                </c:pt>
                <c:pt idx="3217">
                  <c:v>1.9583721246263508E-2</c:v>
                </c:pt>
                <c:pt idx="3218">
                  <c:v>1.9586796120032446E-2</c:v>
                </c:pt>
                <c:pt idx="3219">
                  <c:v>1.9589878766730351E-2</c:v>
                </c:pt>
                <c:pt idx="3220">
                  <c:v>1.9592969186410514E-2</c:v>
                </c:pt>
                <c:pt idx="3221">
                  <c:v>1.9596067379072935E-2</c:v>
                </c:pt>
                <c:pt idx="3222">
                  <c:v>1.9599173344664322E-2</c:v>
                </c:pt>
                <c:pt idx="3223">
                  <c:v>1.9602287083211323E-2</c:v>
                </c:pt>
                <c:pt idx="3224">
                  <c:v>1.9605408594740581E-2</c:v>
                </c:pt>
                <c:pt idx="3225">
                  <c:v>1.9608537879225452E-2</c:v>
                </c:pt>
                <c:pt idx="3226">
                  <c:v>1.9611674936665935E-2</c:v>
                </c:pt>
                <c:pt idx="3227">
                  <c:v>1.9614819767088676E-2</c:v>
                </c:pt>
                <c:pt idx="3228">
                  <c:v>1.9618565593830795E-2</c:v>
                </c:pt>
                <c:pt idx="3229">
                  <c:v>1.9620967671407641E-2</c:v>
                </c:pt>
                <c:pt idx="3230">
                  <c:v>1.9624137695970489E-2</c:v>
                </c:pt>
                <c:pt idx="3231">
                  <c:v>1.9627315492556363E-2</c:v>
                </c:pt>
                <c:pt idx="3232">
                  <c:v>1.9630501061245198E-2</c:v>
                </c:pt>
                <c:pt idx="3233">
                  <c:v>1.9633694402036994E-2</c:v>
                </c:pt>
                <c:pt idx="3234">
                  <c:v>1.9636895514851815E-2</c:v>
                </c:pt>
                <c:pt idx="3235">
                  <c:v>1.9640104399769598E-2</c:v>
                </c:pt>
                <c:pt idx="3236">
                  <c:v>1.9643321056790342E-2</c:v>
                </c:pt>
                <c:pt idx="3237">
                  <c:v>1.964654548583411E-2</c:v>
                </c:pt>
                <c:pt idx="3238">
                  <c:v>1.9649777686661096E-2</c:v>
                </c:pt>
                <c:pt idx="3239">
                  <c:v>1.9653017659990724E-2</c:v>
                </c:pt>
                <c:pt idx="3240">
                  <c:v>1.9656265405103568E-2</c:v>
                </c:pt>
                <c:pt idx="3241">
                  <c:v>1.9659520922399309E-2</c:v>
                </c:pt>
                <c:pt idx="3242">
                  <c:v>1.9662784211798012E-2</c:v>
                </c:pt>
                <c:pt idx="3243">
                  <c:v>1.9666991289684077E-2</c:v>
                </c:pt>
                <c:pt idx="3244">
                  <c:v>1.9669334106664493E-2</c:v>
                </c:pt>
                <c:pt idx="3245">
                  <c:v>1.9672620712132272E-2</c:v>
                </c:pt>
                <c:pt idx="3246">
                  <c:v>1.9675915089782947E-2</c:v>
                </c:pt>
                <c:pt idx="3247">
                  <c:v>1.9679217239376712E-2</c:v>
                </c:pt>
                <c:pt idx="3248">
                  <c:v>1.968252716123331E-2</c:v>
                </c:pt>
                <c:pt idx="3249">
                  <c:v>1.9685844855032997E-2</c:v>
                </c:pt>
                <c:pt idx="3250">
                  <c:v>1.9689170320935645E-2</c:v>
                </c:pt>
                <c:pt idx="3251">
                  <c:v>1.9692503558861318E-2</c:v>
                </c:pt>
                <c:pt idx="3252">
                  <c:v>1.9695844568810017E-2</c:v>
                </c:pt>
                <c:pt idx="3253">
                  <c:v>1.9699193351021549E-2</c:v>
                </c:pt>
                <c:pt idx="3254">
                  <c:v>1.9702549905096234E-2</c:v>
                </c:pt>
                <c:pt idx="3255">
                  <c:v>1.9705914231193944E-2</c:v>
                </c:pt>
                <c:pt idx="3256">
                  <c:v>1.9709286329554487E-2</c:v>
                </c:pt>
                <c:pt idx="3257">
                  <c:v>1.9712666200017992E-2</c:v>
                </c:pt>
                <c:pt idx="3258">
                  <c:v>1.971605384234465E-2</c:v>
                </c:pt>
                <c:pt idx="3259">
                  <c:v>1.9719449256774269E-2</c:v>
                </c:pt>
                <c:pt idx="3260">
                  <c:v>1.9722852443386785E-2</c:v>
                </c:pt>
                <c:pt idx="3261">
                  <c:v>1.9726263402022326E-2</c:v>
                </c:pt>
                <c:pt idx="3262">
                  <c:v>1.9729682132760828E-2</c:v>
                </c:pt>
                <c:pt idx="3263">
                  <c:v>1.973310863544242E-2</c:v>
                </c:pt>
                <c:pt idx="3264">
                  <c:v>1.9736542910226973E-2</c:v>
                </c:pt>
                <c:pt idx="3265">
                  <c:v>1.9739984957194423E-2</c:v>
                </c:pt>
                <c:pt idx="3266">
                  <c:v>1.9743434776184898E-2</c:v>
                </c:pt>
                <c:pt idx="3267">
                  <c:v>1.9746892367198399E-2</c:v>
                </c:pt>
                <c:pt idx="3268">
                  <c:v>1.9750357730394796E-2</c:v>
                </c:pt>
                <c:pt idx="3269">
                  <c:v>1.9753830865614219E-2</c:v>
                </c:pt>
                <c:pt idx="3270">
                  <c:v>1.9757311772696795E-2</c:v>
                </c:pt>
                <c:pt idx="3271">
                  <c:v>1.976080045212214E-2</c:v>
                </c:pt>
                <c:pt idx="3272">
                  <c:v>1.9764296831468187E-2</c:v>
                </c:pt>
                <c:pt idx="3273">
                  <c:v>1.9767788951501331E-2</c:v>
                </c:pt>
                <c:pt idx="3274">
                  <c:v>1.9771267662260783E-2</c:v>
                </c:pt>
                <c:pt idx="3275">
                  <c:v>1.9774732964146224E-2</c:v>
                </c:pt>
                <c:pt idx="3276">
                  <c:v>1.977818485683791E-2</c:v>
                </c:pt>
                <c:pt idx="3277">
                  <c:v>1.9781623340415777E-2</c:v>
                </c:pt>
                <c:pt idx="3278">
                  <c:v>1.9785048414799888E-2</c:v>
                </c:pt>
                <c:pt idx="3279">
                  <c:v>1.9788460080309989E-2</c:v>
                </c:pt>
                <c:pt idx="3280">
                  <c:v>1.9793128847762631E-2</c:v>
                </c:pt>
                <c:pt idx="3281">
                  <c:v>1.9795725638704909E-2</c:v>
                </c:pt>
                <c:pt idx="3282">
                  <c:v>1.9799095161205926E-2</c:v>
                </c:pt>
                <c:pt idx="3283">
                  <c:v>1.9802451274593125E-2</c:v>
                </c:pt>
                <c:pt idx="3284">
                  <c:v>1.980579397894644E-2</c:v>
                </c:pt>
                <c:pt idx="3285">
                  <c:v>1.9809123274185936E-2</c:v>
                </c:pt>
                <c:pt idx="3286">
                  <c:v>1.9812439160311612E-2</c:v>
                </c:pt>
                <c:pt idx="3287">
                  <c:v>1.9815741637243534E-2</c:v>
                </c:pt>
                <c:pt idx="3288">
                  <c:v>1.9819030705221508E-2</c:v>
                </c:pt>
                <c:pt idx="3289">
                  <c:v>1.9822306364085662E-2</c:v>
                </c:pt>
                <c:pt idx="3290">
                  <c:v>1.9825568613596189E-2</c:v>
                </c:pt>
                <c:pt idx="3291">
                  <c:v>1.9828817454392578E-2</c:v>
                </c:pt>
                <c:pt idx="3292">
                  <c:v>1.9832052885915274E-2</c:v>
                </c:pt>
                <c:pt idx="3293">
                  <c:v>1.9836193023188287E-2</c:v>
                </c:pt>
                <c:pt idx="3294">
                  <c:v>1.9839397805387904E-2</c:v>
                </c:pt>
                <c:pt idx="3295">
                  <c:v>1.9842589178393766E-2</c:v>
                </c:pt>
                <c:pt idx="3296">
                  <c:v>1.9845767142365744E-2</c:v>
                </c:pt>
                <c:pt idx="3297">
                  <c:v>1.9850927810258767E-2</c:v>
                </c:pt>
                <c:pt idx="3298">
                  <c:v>1.9852082842968244E-2</c:v>
                </c:pt>
                <c:pt idx="3299">
                  <c:v>1.9855220579518829E-2</c:v>
                </c:pt>
                <c:pt idx="3300">
                  <c:v>1.9858344907115466E-2</c:v>
                </c:pt>
                <c:pt idx="3301">
                  <c:v>1.9861455825598284E-2</c:v>
                </c:pt>
                <c:pt idx="3302">
                  <c:v>1.9864553334807411E-2</c:v>
                </c:pt>
                <c:pt idx="3303">
                  <c:v>1.9867637434982655E-2</c:v>
                </c:pt>
                <c:pt idx="3304">
                  <c:v>1.9870708126124015E-2</c:v>
                </c:pt>
                <c:pt idx="3305">
                  <c:v>1.9873765408231492E-2</c:v>
                </c:pt>
                <c:pt idx="3306">
                  <c:v>1.9876809281065277E-2</c:v>
                </c:pt>
                <c:pt idx="3307">
                  <c:v>1.987983974486518E-2</c:v>
                </c:pt>
                <c:pt idx="3308">
                  <c:v>1.9882856799631199E-2</c:v>
                </c:pt>
                <c:pt idx="3309">
                  <c:v>1.9885860445123527E-2</c:v>
                </c:pt>
                <c:pt idx="3310">
                  <c:v>1.9888850681581971E-2</c:v>
                </c:pt>
                <c:pt idx="3311">
                  <c:v>1.9891827508926596E-2</c:v>
                </c:pt>
                <c:pt idx="3312">
                  <c:v>1.9894790927157402E-2</c:v>
                </c:pt>
                <c:pt idx="3313">
                  <c:v>1.9897740936274388E-2</c:v>
                </c:pt>
                <c:pt idx="3314">
                  <c:v>1.9900677536357492E-2</c:v>
                </c:pt>
                <c:pt idx="3315">
                  <c:v>1.9903600727326776E-2</c:v>
                </c:pt>
                <c:pt idx="3316">
                  <c:v>1.9906510509102304E-2</c:v>
                </c:pt>
                <c:pt idx="3317">
                  <c:v>1.9909406881923886E-2</c:v>
                </c:pt>
                <c:pt idx="3318">
                  <c:v>1.991228984539184E-2</c:v>
                </c:pt>
                <c:pt idx="3319">
                  <c:v>1.9915159399985782E-2</c:v>
                </c:pt>
                <c:pt idx="3320">
                  <c:v>1.991801554538597E-2</c:v>
                </c:pt>
                <c:pt idx="3321">
                  <c:v>1.9920858281512466E-2</c:v>
                </c:pt>
                <c:pt idx="3322">
                  <c:v>1.9923687608605078E-2</c:v>
                </c:pt>
                <c:pt idx="3323">
                  <c:v>1.992650352682368E-2</c:v>
                </c:pt>
                <c:pt idx="3324">
                  <c:v>1.992930603576859E-2</c:v>
                </c:pt>
                <c:pt idx="3325">
                  <c:v>1.9932095135519745E-2</c:v>
                </c:pt>
                <c:pt idx="3326">
                  <c:v>1.9934870826316953E-2</c:v>
                </c:pt>
                <c:pt idx="3327">
                  <c:v>1.9937633107920405E-2</c:v>
                </c:pt>
                <c:pt idx="3328">
                  <c:v>1.9940381980410038E-2</c:v>
                </c:pt>
                <c:pt idx="3329">
                  <c:v>1.9943117443705916E-2</c:v>
                </c:pt>
                <c:pt idx="3330">
                  <c:v>1.994583949796791E-2</c:v>
                </c:pt>
                <c:pt idx="3331">
                  <c:v>1.9950089919902325E-2</c:v>
                </c:pt>
                <c:pt idx="3332">
                  <c:v>1.9953116698303575E-2</c:v>
                </c:pt>
                <c:pt idx="3333">
                  <c:v>1.9953925205991041E-2</c:v>
                </c:pt>
                <c:pt idx="3334">
                  <c:v>1.995659362395763E-2</c:v>
                </c:pt>
                <c:pt idx="3335">
                  <c:v>1.9959248632570592E-2</c:v>
                </c:pt>
                <c:pt idx="3336">
                  <c:v>1.9961890232149671E-2</c:v>
                </c:pt>
                <c:pt idx="3337">
                  <c:v>1.996451842261493E-2</c:v>
                </c:pt>
                <c:pt idx="3338">
                  <c:v>1.9967133204046306E-2</c:v>
                </c:pt>
                <c:pt idx="3339">
                  <c:v>1.996973457620399E-2</c:v>
                </c:pt>
                <c:pt idx="3340">
                  <c:v>1.9972322539247855E-2</c:v>
                </c:pt>
                <c:pt idx="3341">
                  <c:v>1.9974897093257837E-2</c:v>
                </c:pt>
                <c:pt idx="3342">
                  <c:v>1.9977458238154E-2</c:v>
                </c:pt>
                <c:pt idx="3343">
                  <c:v>1.9980005973936343E-2</c:v>
                </c:pt>
                <c:pt idx="3344">
                  <c:v>1.9982540300684803E-2</c:v>
                </c:pt>
                <c:pt idx="3345">
                  <c:v>1.9985061218159572E-2</c:v>
                </c:pt>
                <c:pt idx="3346">
                  <c:v>1.9987568726600458E-2</c:v>
                </c:pt>
                <c:pt idx="3347">
                  <c:v>1.9992992984491309E-2</c:v>
                </c:pt>
                <c:pt idx="3348">
                  <c:v>1.9992543515980898E-2</c:v>
                </c:pt>
                <c:pt idx="3349">
                  <c:v>1.9997203569204203E-2</c:v>
                </c:pt>
                <c:pt idx="3350">
                  <c:v>1.9997464668826126E-2</c:v>
                </c:pt>
                <c:pt idx="3351">
                  <c:v>1.9999905131697915E-2</c:v>
                </c:pt>
                <c:pt idx="3352">
                  <c:v>2.0002332185375948E-2</c:v>
                </c:pt>
                <c:pt idx="3353">
                  <c:v>2.0004745830020099E-2</c:v>
                </c:pt>
                <c:pt idx="3354">
                  <c:v>2.0007146065470494E-2</c:v>
                </c:pt>
                <c:pt idx="3355">
                  <c:v>2.0009532891807069E-2</c:v>
                </c:pt>
                <c:pt idx="3356">
                  <c:v>2.0011906308949889E-2</c:v>
                </c:pt>
                <c:pt idx="3357">
                  <c:v>2.001426631697889E-2</c:v>
                </c:pt>
                <c:pt idx="3358">
                  <c:v>2.0016612915974008E-2</c:v>
                </c:pt>
                <c:pt idx="3359">
                  <c:v>2.0018946105935242E-2</c:v>
                </c:pt>
                <c:pt idx="3360">
                  <c:v>2.0021265886622786E-2</c:v>
                </c:pt>
                <c:pt idx="3361">
                  <c:v>2.0023572258116573E-2</c:v>
                </c:pt>
                <c:pt idx="3362">
                  <c:v>2.0025865220656414E-2</c:v>
                </c:pt>
                <c:pt idx="3363">
                  <c:v>2.0028144774002499E-2</c:v>
                </c:pt>
                <c:pt idx="3364">
                  <c:v>2.0030410918314701E-2</c:v>
                </c:pt>
                <c:pt idx="3365">
                  <c:v>2.0032663653353211E-2</c:v>
                </c:pt>
                <c:pt idx="3366">
                  <c:v>2.0034902979357838E-2</c:v>
                </c:pt>
                <c:pt idx="3367">
                  <c:v>2.003712889616871E-2</c:v>
                </c:pt>
                <c:pt idx="3368">
                  <c:v>2.0039341403785826E-2</c:v>
                </c:pt>
                <c:pt idx="3369">
                  <c:v>2.0041540502448996E-2</c:v>
                </c:pt>
                <c:pt idx="3370">
                  <c:v>2.0043726192078282E-2</c:v>
                </c:pt>
                <c:pt idx="3371">
                  <c:v>2.0045898472274004E-2</c:v>
                </c:pt>
                <c:pt idx="3372">
                  <c:v>2.0048057343515779E-2</c:v>
                </c:pt>
                <c:pt idx="3373">
                  <c:v>2.0050202805723671E-2</c:v>
                </c:pt>
                <c:pt idx="3374">
                  <c:v>2.0052334858657872E-2</c:v>
                </c:pt>
                <c:pt idx="3375">
                  <c:v>2.0054453502638125E-2</c:v>
                </c:pt>
                <c:pt idx="3376">
                  <c:v>2.0056558737184815E-2</c:v>
                </c:pt>
                <c:pt idx="3377">
                  <c:v>2.005865056293743E-2</c:v>
                </c:pt>
                <c:pt idx="3378">
                  <c:v>2.0060728979416353E-2</c:v>
                </c:pt>
                <c:pt idx="3379">
                  <c:v>2.0062793986621585E-2</c:v>
                </c:pt>
                <c:pt idx="3380">
                  <c:v>2.006484558487287E-2</c:v>
                </c:pt>
                <c:pt idx="3381">
                  <c:v>2.0066883774010336E-2</c:v>
                </c:pt>
                <c:pt idx="3382">
                  <c:v>2.0068908554033982E-2</c:v>
                </c:pt>
                <c:pt idx="3383">
                  <c:v>2.0073027659091025E-2</c:v>
                </c:pt>
                <c:pt idx="3384">
                  <c:v>2.0075023081138621E-2</c:v>
                </c:pt>
                <c:pt idx="3385">
                  <c:v>2.0074902439182196E-2</c:v>
                </c:pt>
                <c:pt idx="3386">
                  <c:v>2.0076873582670629E-2</c:v>
                </c:pt>
                <c:pt idx="3387">
                  <c:v>2.007883131688537E-2</c:v>
                </c:pt>
                <c:pt idx="3388">
                  <c:v>2.0080775642146165E-2</c:v>
                </c:pt>
                <c:pt idx="3389">
                  <c:v>2.008270655829314E-2</c:v>
                </c:pt>
                <c:pt idx="3390">
                  <c:v>2.0084624065246359E-2</c:v>
                </c:pt>
                <c:pt idx="3391">
                  <c:v>2.0086528163005823E-2</c:v>
                </c:pt>
                <c:pt idx="3392">
                  <c:v>2.0088418851651468E-2</c:v>
                </c:pt>
                <c:pt idx="3393">
                  <c:v>2.009029613126323E-2</c:v>
                </c:pt>
                <c:pt idx="3394">
                  <c:v>2.00921600016013E-2</c:v>
                </c:pt>
                <c:pt idx="3395">
                  <c:v>2.0094010462985423E-2</c:v>
                </c:pt>
                <c:pt idx="3396">
                  <c:v>2.0095847515095855E-2</c:v>
                </c:pt>
                <c:pt idx="3397">
                  <c:v>2.0097671158092467E-2</c:v>
                </c:pt>
                <c:pt idx="3398">
                  <c:v>2.0102240489581646E-2</c:v>
                </c:pt>
                <c:pt idx="3399">
                  <c:v>2.010127821682417E-2</c:v>
                </c:pt>
                <c:pt idx="3400">
                  <c:v>2.0103061632479324E-2</c:v>
                </c:pt>
                <c:pt idx="3401">
                  <c:v>2.0104831638940723E-2</c:v>
                </c:pt>
                <c:pt idx="3402">
                  <c:v>2.0106588236368239E-2</c:v>
                </c:pt>
                <c:pt idx="3403">
                  <c:v>2.0108331424602E-2</c:v>
                </c:pt>
                <c:pt idx="3404">
                  <c:v>2.0110061203642005E-2</c:v>
                </c:pt>
                <c:pt idx="3405">
                  <c:v>2.0111777573648126E-2</c:v>
                </c:pt>
                <c:pt idx="3406">
                  <c:v>2.0113480534620365E-2</c:v>
                </c:pt>
                <c:pt idx="3407">
                  <c:v>2.0115170086238976E-2</c:v>
                </c:pt>
                <c:pt idx="3408">
                  <c:v>2.0116846228823704E-2</c:v>
                </c:pt>
                <c:pt idx="3409">
                  <c:v>2.0118508962294612E-2</c:v>
                </c:pt>
                <c:pt idx="3410">
                  <c:v>2.0120158286651701E-2</c:v>
                </c:pt>
                <c:pt idx="3411">
                  <c:v>2.0121794201815035E-2</c:v>
                </c:pt>
                <c:pt idx="3412">
                  <c:v>2.0123416707784614E-2</c:v>
                </c:pt>
                <c:pt idx="3413">
                  <c:v>2.0125025804800245E-2</c:v>
                </c:pt>
                <c:pt idx="3414">
                  <c:v>2.0126621492622121E-2</c:v>
                </c:pt>
                <c:pt idx="3415">
                  <c:v>2.0128203771250242E-2</c:v>
                </c:pt>
                <c:pt idx="3416">
                  <c:v>2.0129772640604671E-2</c:v>
                </c:pt>
                <c:pt idx="3417">
                  <c:v>2.0131328101165025E-2</c:v>
                </c:pt>
                <c:pt idx="3418">
                  <c:v>2.0132870152451687E-2</c:v>
                </c:pt>
                <c:pt idx="3419">
                  <c:v>2.0134398794464659E-2</c:v>
                </c:pt>
                <c:pt idx="3420">
                  <c:v>2.0135914027443746E-2</c:v>
                </c:pt>
                <c:pt idx="3421">
                  <c:v>2.0137415851309015E-2</c:v>
                </c:pt>
                <c:pt idx="3422">
                  <c:v>2.0138904265980528E-2</c:v>
                </c:pt>
                <c:pt idx="3423">
                  <c:v>2.0140379271538222E-2</c:v>
                </c:pt>
                <c:pt idx="3424">
                  <c:v>2.0141840867982097E-2</c:v>
                </c:pt>
                <c:pt idx="3425">
                  <c:v>2.0143289055312152E-2</c:v>
                </c:pt>
                <c:pt idx="3426">
                  <c:v>2.0144723833368516E-2</c:v>
                </c:pt>
                <c:pt idx="3427">
                  <c:v>2.0146145202390997E-2</c:v>
                </c:pt>
                <c:pt idx="3428">
                  <c:v>2.0147553162379594E-2</c:v>
                </c:pt>
                <c:pt idx="3429">
                  <c:v>2.0148947713174437E-2</c:v>
                </c:pt>
                <c:pt idx="3430">
                  <c:v>2.0150328854695587E-2</c:v>
                </c:pt>
                <c:pt idx="3431">
                  <c:v>2.0151696587342727E-2</c:v>
                </c:pt>
                <c:pt idx="3432">
                  <c:v>2.0153050910556303E-2</c:v>
                </c:pt>
                <c:pt idx="3433">
                  <c:v>2.0154391824735995E-2</c:v>
                </c:pt>
                <c:pt idx="3434">
                  <c:v>2.0155719329801869E-2</c:v>
                </c:pt>
                <c:pt idx="3435">
                  <c:v>2.0157033425833859E-2</c:v>
                </c:pt>
                <c:pt idx="3436">
                  <c:v>2.0158334112592158E-2</c:v>
                </c:pt>
                <c:pt idx="3437">
                  <c:v>2.0159621390236637E-2</c:v>
                </c:pt>
                <c:pt idx="3438">
                  <c:v>2.0160895258847233E-2</c:v>
                </c:pt>
                <c:pt idx="3439">
                  <c:v>2.0162155718184138E-2</c:v>
                </c:pt>
                <c:pt idx="3440">
                  <c:v>2.0163402768407224E-2</c:v>
                </c:pt>
                <c:pt idx="3441">
                  <c:v>2.0164636409436554E-2</c:v>
                </c:pt>
                <c:pt idx="3442">
                  <c:v>2.0165856641432001E-2</c:v>
                </c:pt>
                <c:pt idx="3443">
                  <c:v>2.0167063464233692E-2</c:v>
                </c:pt>
                <c:pt idx="3444">
                  <c:v>2.0168256877921564E-2</c:v>
                </c:pt>
                <c:pt idx="3445">
                  <c:v>2.0169436882495617E-2</c:v>
                </c:pt>
                <c:pt idx="3446">
                  <c:v>2.0170603477955851E-2</c:v>
                </c:pt>
                <c:pt idx="3447">
                  <c:v>2.0171756664302265E-2</c:v>
                </c:pt>
                <c:pt idx="3448">
                  <c:v>2.0175480364210685E-2</c:v>
                </c:pt>
                <c:pt idx="3449">
                  <c:v>2.0174022809413827E-2</c:v>
                </c:pt>
                <c:pt idx="3450">
                  <c:v>2.0175135768258912E-2</c:v>
                </c:pt>
                <c:pt idx="3451">
                  <c:v>2.017623531791024E-2</c:v>
                </c:pt>
                <c:pt idx="3452">
                  <c:v>2.017732145844775E-2</c:v>
                </c:pt>
                <c:pt idx="3453">
                  <c:v>2.0178394190031312E-2</c:v>
                </c:pt>
                <c:pt idx="3454">
                  <c:v>2.0179453512261247E-2</c:v>
                </c:pt>
                <c:pt idx="3455">
                  <c:v>2.0180499425377363E-2</c:v>
                </c:pt>
                <c:pt idx="3456">
                  <c:v>2.0181531929459595E-2</c:v>
                </c:pt>
                <c:pt idx="3457">
                  <c:v>2.0182551024268136E-2</c:v>
                </c:pt>
                <c:pt idx="3458">
                  <c:v>2.0183556710042794E-2</c:v>
                </c:pt>
                <c:pt idx="3459">
                  <c:v>2.0184548986703632E-2</c:v>
                </c:pt>
                <c:pt idx="3460">
                  <c:v>2.0185527854170715E-2</c:v>
                </c:pt>
                <c:pt idx="3461">
                  <c:v>2.0186493312444043E-2</c:v>
                </c:pt>
                <c:pt idx="3462">
                  <c:v>2.0187445361523615E-2</c:v>
                </c:pt>
                <c:pt idx="3463">
                  <c:v>2.0188384001569304E-2</c:v>
                </c:pt>
                <c:pt idx="3464">
                  <c:v>2.0189309232501174E-2</c:v>
                </c:pt>
                <c:pt idx="3465">
                  <c:v>2.0190221054319224E-2</c:v>
                </c:pt>
                <c:pt idx="3466">
                  <c:v>2.0191119466943519E-2</c:v>
                </c:pt>
                <c:pt idx="3467">
                  <c:v>2.0192004470374059E-2</c:v>
                </c:pt>
                <c:pt idx="3468">
                  <c:v>2.0192876064610843E-2</c:v>
                </c:pt>
                <c:pt idx="3469">
                  <c:v>2.0193734249813744E-2</c:v>
                </c:pt>
                <c:pt idx="3470">
                  <c:v>2.0194579025902826E-2</c:v>
                </c:pt>
                <c:pt idx="3471">
                  <c:v>2.0195410392878088E-2</c:v>
                </c:pt>
                <c:pt idx="3472">
                  <c:v>2.0196228350499723E-2</c:v>
                </c:pt>
                <c:pt idx="3473">
                  <c:v>2.0197032899167411E-2</c:v>
                </c:pt>
                <c:pt idx="3474">
                  <c:v>2.0197824038721279E-2</c:v>
                </c:pt>
                <c:pt idx="3475">
                  <c:v>2.0198601769001456E-2</c:v>
                </c:pt>
                <c:pt idx="3476">
                  <c:v>2.0199366090167814E-2</c:v>
                </c:pt>
                <c:pt idx="3477">
                  <c:v>2.0200117002300289E-2</c:v>
                </c:pt>
                <c:pt idx="3478">
                  <c:v>2.0200854505239008E-2</c:v>
                </c:pt>
                <c:pt idx="3479">
                  <c:v>2.0201578598983971E-2</c:v>
                </c:pt>
                <c:pt idx="3480">
                  <c:v>2.020228928353518E-2</c:v>
                </c:pt>
                <c:pt idx="3481">
                  <c:v>2.0202986559052505E-2</c:v>
                </c:pt>
                <c:pt idx="3482">
                  <c:v>2.0203670425456011E-2</c:v>
                </c:pt>
                <c:pt idx="3483">
                  <c:v>2.0204340882585825E-2</c:v>
                </c:pt>
                <c:pt idx="3484">
                  <c:v>2.0204997930681756E-2</c:v>
                </c:pt>
                <c:pt idx="3485">
                  <c:v>2.0205641569583932E-2</c:v>
                </c:pt>
                <c:pt idx="3486">
                  <c:v>2.0206271799292352E-2</c:v>
                </c:pt>
                <c:pt idx="3487">
                  <c:v>2.020688861996689E-2</c:v>
                </c:pt>
                <c:pt idx="3488">
                  <c:v>2.0209405642297451E-2</c:v>
                </c:pt>
                <c:pt idx="3489">
                  <c:v>2.0209382443194812E-2</c:v>
                </c:pt>
                <c:pt idx="3490">
                  <c:v>2.0209955269567814E-2</c:v>
                </c:pt>
                <c:pt idx="3491">
                  <c:v>2.021051468520163E-2</c:v>
                </c:pt>
                <c:pt idx="3492">
                  <c:v>2.0211060690256133E-2</c:v>
                </c:pt>
                <c:pt idx="3493">
                  <c:v>2.021159328462474E-2</c:v>
                </c:pt>
                <c:pt idx="3494">
                  <c:v>2.0212112468334098E-2</c:v>
                </c:pt>
                <c:pt idx="3495">
                  <c:v>2.0212618241437497E-2</c:v>
                </c:pt>
                <c:pt idx="3496">
                  <c:v>2.0213110603828355E-2</c:v>
                </c:pt>
                <c:pt idx="3497">
                  <c:v>2.0213589555666545E-2</c:v>
                </c:pt>
                <c:pt idx="3498">
                  <c:v>2.0214055096765549E-2</c:v>
                </c:pt>
                <c:pt idx="3499">
                  <c:v>2.0214507227285239E-2</c:v>
                </c:pt>
                <c:pt idx="3500">
                  <c:v>2.0214945947145679E-2</c:v>
                </c:pt>
                <c:pt idx="3501">
                  <c:v>2.021537125634687E-2</c:v>
                </c:pt>
                <c:pt idx="3502">
                  <c:v>2.0215783154862166E-2</c:v>
                </c:pt>
                <c:pt idx="3503">
                  <c:v>2.0215213235683649E-2</c:v>
                </c:pt>
                <c:pt idx="3504">
                  <c:v>2.0216566719994944E-2</c:v>
                </c:pt>
                <c:pt idx="3505">
                  <c:v>2.0216938386585781E-2</c:v>
                </c:pt>
                <c:pt idx="3506">
                  <c:v>2.0217296642517368E-2</c:v>
                </c:pt>
                <c:pt idx="3507">
                  <c:v>2.0217641487816351E-2</c:v>
                </c:pt>
                <c:pt idx="3508">
                  <c:v>2.0217972922509375E-2</c:v>
                </c:pt>
                <c:pt idx="3509">
                  <c:v>2.0218290946489859E-2</c:v>
                </c:pt>
                <c:pt idx="3510">
                  <c:v>2.0218595559837738E-2</c:v>
                </c:pt>
                <c:pt idx="3511">
                  <c:v>2.0218886762526367E-2</c:v>
                </c:pt>
                <c:pt idx="3512">
                  <c:v>2.0219164554582392E-2</c:v>
                </c:pt>
                <c:pt idx="3513">
                  <c:v>2.0219428935979167E-2</c:v>
                </c:pt>
                <c:pt idx="3514">
                  <c:v>2.0219679906743337E-2</c:v>
                </c:pt>
                <c:pt idx="3515">
                  <c:v>2.0219917466848258E-2</c:v>
                </c:pt>
                <c:pt idx="3516">
                  <c:v>2.0220141616267284E-2</c:v>
                </c:pt>
                <c:pt idx="3517">
                  <c:v>2.0220352355080351E-2</c:v>
                </c:pt>
                <c:pt idx="3518">
                  <c:v>2.0220549683207523E-2</c:v>
                </c:pt>
                <c:pt idx="3519">
                  <c:v>2.0220733600728735E-2</c:v>
                </c:pt>
                <c:pt idx="3520">
                  <c:v>2.0220904107537407E-2</c:v>
                </c:pt>
                <c:pt idx="3521">
                  <c:v>2.0221061203766766E-2</c:v>
                </c:pt>
                <c:pt idx="3522">
                  <c:v>2.0221204889336875E-2</c:v>
                </c:pt>
                <c:pt idx="3523">
                  <c:v>2.0221335164221088E-2</c:v>
                </c:pt>
                <c:pt idx="3524">
                  <c:v>2.0221452028472697E-2</c:v>
                </c:pt>
                <c:pt idx="3525">
                  <c:v>2.0221555482011766E-2</c:v>
                </c:pt>
                <c:pt idx="3526">
                  <c:v>2.0221645524971521E-2</c:v>
                </c:pt>
                <c:pt idx="3527">
                  <c:v>2.0221722157298672E-2</c:v>
                </c:pt>
                <c:pt idx="3528">
                  <c:v>2.0221785378939927E-2</c:v>
                </c:pt>
                <c:pt idx="3529">
                  <c:v>2.0221835189921933E-2</c:v>
                </c:pt>
                <c:pt idx="3530">
                  <c:v>2.0221871590244689E-2</c:v>
                </c:pt>
                <c:pt idx="3531">
                  <c:v>2.0221894579908195E-2</c:v>
                </c:pt>
                <c:pt idx="3532">
                  <c:v>2.0221904158939097E-2</c:v>
                </c:pt>
                <c:pt idx="3533">
                  <c:v>#N/A</c:v>
                </c:pt>
              </c:numCache>
            </c:numRef>
          </c:val>
          <c:smooth val="0"/>
        </c:ser>
        <c:dLbls>
          <c:showLegendKey val="0"/>
          <c:showVal val="0"/>
          <c:showCatName val="0"/>
          <c:showSerName val="0"/>
          <c:showPercent val="0"/>
          <c:showBubbleSize val="0"/>
        </c:dLbls>
        <c:marker val="1"/>
        <c:smooth val="0"/>
        <c:axId val="660020224"/>
        <c:axId val="661365888"/>
      </c:lineChart>
      <c:dateAx>
        <c:axId val="660020224"/>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61365888"/>
        <c:crosses val="autoZero"/>
        <c:auto val="1"/>
        <c:lblOffset val="100"/>
        <c:baseTimeUnit val="days"/>
        <c:majorUnit val="3"/>
        <c:majorTimeUnit val="months"/>
      </c:dateAx>
      <c:valAx>
        <c:axId val="661365888"/>
        <c:scaling>
          <c:orientation val="minMax"/>
          <c:max val="4.0000000000000001E-3"/>
          <c:min val="1E-3"/>
        </c:scaling>
        <c:delete val="0"/>
        <c:axPos val="l"/>
        <c:majorGridlines/>
        <c:numFmt formatCode="0.00%" sourceLinked="0"/>
        <c:majorTickMark val="out"/>
        <c:minorTickMark val="none"/>
        <c:tickLblPos val="nextTo"/>
        <c:crossAx val="66002022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7" width="2.7109375" style="149" customWidth="1"/>
    <col min="8" max="8" width="4" style="149" bestFit="1" customWidth="1"/>
    <col min="9" max="9" width="3.28515625" style="149" bestFit="1" customWidth="1"/>
    <col min="10" max="11" width="2.7109375" style="149" customWidth="1"/>
    <col min="12" max="12" width="18.5703125" style="149" bestFit="1" customWidth="1"/>
    <col min="13" max="13" width="53.7109375" style="149" bestFit="1" customWidth="1"/>
    <col min="14" max="14" width="2.7109375" style="149" customWidth="1"/>
    <col min="15" max="16384" width="8" style="149"/>
  </cols>
  <sheetData>
    <row r="1" spans="2:14" ht="12" thickBot="1" x14ac:dyDescent="0.25">
      <c r="B1" s="149" t="str">
        <f>_xll.qlxlVersion(TRUE,Trigger)</f>
        <v>QuantLibXL 1.5.0 - MS VC++ 9.0 - Multithreaded Dynamic Runtime library - Release Configuration - Oct 13 2014 15:51:57</v>
      </c>
    </row>
    <row r="2" spans="2:14" ht="18.75" thickBot="1" x14ac:dyDescent="0.3">
      <c r="B2" s="308" t="s">
        <v>83</v>
      </c>
      <c r="C2" s="309"/>
      <c r="D2" s="309"/>
      <c r="E2" s="309"/>
      <c r="F2" s="310"/>
      <c r="K2" s="308" t="s">
        <v>104</v>
      </c>
      <c r="L2" s="309"/>
      <c r="M2" s="309"/>
      <c r="N2" s="311"/>
    </row>
    <row r="3" spans="2:14" ht="12" thickBot="1" x14ac:dyDescent="0.25">
      <c r="B3" s="25"/>
      <c r="C3" s="54"/>
      <c r="D3" s="23"/>
      <c r="E3" s="23"/>
      <c r="F3" s="22"/>
      <c r="K3" s="92"/>
      <c r="L3" s="95"/>
      <c r="M3" s="95"/>
      <c r="N3" s="94"/>
    </row>
    <row r="4" spans="2:14" x14ac:dyDescent="0.2">
      <c r="B4" s="25"/>
      <c r="C4" s="53" t="s">
        <v>82</v>
      </c>
      <c r="D4" s="40" t="s">
        <v>79</v>
      </c>
      <c r="E4" s="23"/>
      <c r="F4" s="22"/>
      <c r="H4" s="151" t="s">
        <v>81</v>
      </c>
      <c r="I4" s="152"/>
      <c r="K4" s="92"/>
      <c r="L4" s="91" t="s">
        <v>103</v>
      </c>
      <c r="M4" s="85" t="b">
        <v>0</v>
      </c>
      <c r="N4" s="90"/>
    </row>
    <row r="5" spans="2:14" x14ac:dyDescent="0.2">
      <c r="B5" s="25"/>
      <c r="C5" s="52" t="s">
        <v>80</v>
      </c>
      <c r="D5" s="26">
        <v>6</v>
      </c>
      <c r="E5" s="23"/>
      <c r="F5" s="22"/>
      <c r="H5" s="153" t="s">
        <v>79</v>
      </c>
      <c r="I5" s="154" t="s">
        <v>78</v>
      </c>
      <c r="K5" s="92"/>
      <c r="L5" s="91" t="s">
        <v>102</v>
      </c>
      <c r="M5" s="93"/>
      <c r="N5" s="90"/>
    </row>
    <row r="6" spans="2:14" x14ac:dyDescent="0.2">
      <c r="B6" s="25"/>
      <c r="C6" s="52" t="s">
        <v>77</v>
      </c>
      <c r="D6" s="26" t="str">
        <f>_xll.qlPeriodEquivalent(D5&amp;"M")</f>
        <v>6M</v>
      </c>
      <c r="E6" s="23"/>
      <c r="F6" s="22"/>
      <c r="H6" s="153" t="s">
        <v>76</v>
      </c>
      <c r="I6" s="154"/>
      <c r="K6" s="92"/>
      <c r="L6" s="91" t="s">
        <v>101</v>
      </c>
      <c r="M6" s="82" t="b">
        <v>1</v>
      </c>
      <c r="N6" s="90"/>
    </row>
    <row r="7" spans="2:14" ht="12" thickBot="1" x14ac:dyDescent="0.25">
      <c r="B7" s="25"/>
      <c r="C7" s="52" t="s">
        <v>75</v>
      </c>
      <c r="D7" s="26" t="str">
        <f>Months&amp;IF(UPPER(Currency)="EUR","E","L")</f>
        <v>6E</v>
      </c>
      <c r="E7" s="23"/>
      <c r="F7" s="22"/>
      <c r="H7" s="153" t="s">
        <v>74</v>
      </c>
      <c r="I7" s="154"/>
      <c r="K7" s="89"/>
      <c r="L7" s="88"/>
      <c r="M7" s="88"/>
      <c r="N7" s="87"/>
    </row>
    <row r="8" spans="2:14" ht="12" thickBot="1" x14ac:dyDescent="0.25">
      <c r="B8" s="25"/>
      <c r="C8" s="52" t="s">
        <v>73</v>
      </c>
      <c r="D8" s="26" t="str">
        <f>VLOOKUP(Currency,H4:I8,2)</f>
        <v>AB</v>
      </c>
      <c r="E8" s="23"/>
      <c r="F8" s="22"/>
      <c r="H8" s="155" t="s">
        <v>72</v>
      </c>
      <c r="I8" s="156" t="s">
        <v>71</v>
      </c>
      <c r="K8" s="150"/>
      <c r="L8" s="150"/>
      <c r="M8" s="150"/>
      <c r="N8" s="150"/>
    </row>
    <row r="9" spans="2:14" ht="18.75" thickBot="1" x14ac:dyDescent="0.3">
      <c r="B9" s="25"/>
      <c r="C9" s="52" t="s">
        <v>70</v>
      </c>
      <c r="D9" s="26" t="str">
        <f>Currency&amp;"_YC"&amp;IndexTenor&amp;"RH"</f>
        <v>EUR_YC6MRH</v>
      </c>
      <c r="E9" s="23"/>
      <c r="F9" s="22"/>
      <c r="K9" s="308" t="s">
        <v>100</v>
      </c>
      <c r="L9" s="309"/>
      <c r="M9" s="309"/>
      <c r="N9" s="311"/>
    </row>
    <row r="10" spans="2:14" ht="12.75" x14ac:dyDescent="0.2">
      <c r="B10" s="25"/>
      <c r="C10" s="51" t="s">
        <v>69</v>
      </c>
      <c r="D10" s="26" t="b">
        <v>1</v>
      </c>
      <c r="E10" s="23"/>
      <c r="F10" s="22"/>
      <c r="K10" s="84"/>
      <c r="L10" s="86"/>
      <c r="M10" s="86"/>
      <c r="N10" s="81"/>
    </row>
    <row r="11" spans="2:14" ht="12.75" x14ac:dyDescent="0.2">
      <c r="B11" s="25"/>
      <c r="C11" s="51" t="s">
        <v>68</v>
      </c>
      <c r="D11" s="50">
        <v>41942.652349537035</v>
      </c>
      <c r="E11" s="23"/>
      <c r="F11" s="22"/>
      <c r="K11" s="84"/>
      <c r="L11" s="83" t="s">
        <v>99</v>
      </c>
      <c r="M11" s="85" t="s">
        <v>98</v>
      </c>
      <c r="N11" s="81"/>
    </row>
    <row r="12" spans="2:14" ht="12.75" x14ac:dyDescent="0.2">
      <c r="B12" s="25"/>
      <c r="C12" s="49" t="s">
        <v>67</v>
      </c>
      <c r="D12" s="48" t="b">
        <v>1</v>
      </c>
      <c r="E12" s="23"/>
      <c r="F12" s="22"/>
      <c r="K12" s="84"/>
      <c r="L12" s="83" t="s">
        <v>97</v>
      </c>
      <c r="M12" s="82" t="s">
        <v>96</v>
      </c>
      <c r="N12" s="81"/>
    </row>
    <row r="13" spans="2:14" ht="12.75" x14ac:dyDescent="0.2">
      <c r="B13" s="25"/>
      <c r="C13" s="30"/>
      <c r="D13" s="30"/>
      <c r="E13" s="23"/>
      <c r="F13" s="22"/>
      <c r="K13" s="84"/>
      <c r="L13" s="83" t="s">
        <v>121</v>
      </c>
      <c r="M13" s="85" t="s">
        <v>120</v>
      </c>
      <c r="N13" s="81"/>
    </row>
    <row r="14" spans="2:14" ht="12.75" x14ac:dyDescent="0.2">
      <c r="B14" s="25"/>
      <c r="C14" s="45" t="s">
        <v>66</v>
      </c>
      <c r="D14" s="47" t="str">
        <f>_xll.qlPiecewiseYieldCurve(D16,NDays,Calendar,_xll.ohPack(Selected!D2:D126),DayCounter,,,Accuracy,TraitsID,InterpolatorID,Permanent,,ObjectOverwrite)</f>
        <v>_EURYC6M#0000</v>
      </c>
      <c r="E14" s="23"/>
      <c r="F14" s="22"/>
      <c r="K14" s="84"/>
      <c r="L14" s="83" t="s">
        <v>119</v>
      </c>
      <c r="M14" s="85" t="s">
        <v>118</v>
      </c>
      <c r="N14" s="81"/>
    </row>
    <row r="15" spans="2:14" ht="12.75" x14ac:dyDescent="0.2">
      <c r="B15" s="25"/>
      <c r="C15" s="32" t="s">
        <v>45</v>
      </c>
      <c r="D15" s="46" t="str">
        <f>_xll.ohRangeRetrieveError(YieldCurve)</f>
        <v/>
      </c>
      <c r="E15" s="23"/>
      <c r="F15" s="22"/>
      <c r="K15" s="84"/>
      <c r="L15" s="83" t="s">
        <v>117</v>
      </c>
      <c r="M15" s="85" t="str">
        <f>PROPER(Currency)&amp;"ON"</f>
        <v>EurON</v>
      </c>
      <c r="N15" s="81"/>
    </row>
    <row r="16" spans="2:14" ht="13.5" thickBot="1" x14ac:dyDescent="0.25">
      <c r="B16" s="25"/>
      <c r="C16" s="45" t="s">
        <v>65</v>
      </c>
      <c r="D16" s="44" t="str">
        <f>"_"&amp;Currency&amp;"YC"&amp;IndexTenor</f>
        <v>_EURYC6M</v>
      </c>
      <c r="E16" s="23"/>
      <c r="F16" s="22"/>
      <c r="K16" s="80"/>
      <c r="L16" s="79"/>
      <c r="M16" s="79"/>
      <c r="N16" s="78"/>
    </row>
    <row r="17" spans="2:6" x14ac:dyDescent="0.2">
      <c r="B17" s="25"/>
      <c r="C17" s="34" t="s">
        <v>64</v>
      </c>
      <c r="D17" s="43">
        <v>2</v>
      </c>
      <c r="E17" s="23"/>
      <c r="F17" s="22"/>
    </row>
    <row r="18" spans="2:6" x14ac:dyDescent="0.2">
      <c r="B18" s="25"/>
      <c r="C18" s="34" t="s">
        <v>63</v>
      </c>
      <c r="D18" s="42" t="s">
        <v>137</v>
      </c>
      <c r="E18" s="23"/>
      <c r="F18" s="22"/>
    </row>
    <row r="19" spans="2:6" x14ac:dyDescent="0.2">
      <c r="B19" s="25"/>
      <c r="C19" s="34" t="s">
        <v>62</v>
      </c>
      <c r="D19" s="42"/>
      <c r="E19" s="23"/>
      <c r="F19" s="22"/>
    </row>
    <row r="20" spans="2:6" x14ac:dyDescent="0.2">
      <c r="B20" s="25"/>
      <c r="C20" s="34" t="s">
        <v>61</v>
      </c>
      <c r="D20" s="41" t="str">
        <f>Currency&amp;"TOY_SYNTH"&amp;IndexTenor&amp;"_Quote"</f>
        <v>EURTOY_SYNTH6M_Quote</v>
      </c>
      <c r="E20" s="40" t="str">
        <f>Currency&amp;"TOY2_SYNTH"&amp;IndexTenor&amp;"_Quote"</f>
        <v>EURTOY2_SYNTH6M_Quote</v>
      </c>
      <c r="F20" s="22"/>
    </row>
    <row r="21" spans="2:6" x14ac:dyDescent="0.2">
      <c r="B21" s="25"/>
      <c r="C21" s="34" t="s">
        <v>60</v>
      </c>
      <c r="D21" s="39">
        <f>DATE(YEAR(_xll.qlCalendarAdvance(Calendar,_xll.qlSettingsEvaluationDate(Trigger),NDays&amp;"D")),12,31)</f>
        <v>42004</v>
      </c>
      <c r="E21" s="38">
        <f>DATE(YEAR(D21+1),12,31)</f>
        <v>42369</v>
      </c>
      <c r="F21" s="22"/>
    </row>
    <row r="22" spans="2:6" x14ac:dyDescent="0.2">
      <c r="B22" s="25"/>
      <c r="C22" s="34" t="s">
        <v>59</v>
      </c>
      <c r="D22" s="37"/>
      <c r="E22" s="36"/>
      <c r="F22" s="22"/>
    </row>
    <row r="23" spans="2:6" x14ac:dyDescent="0.2">
      <c r="B23" s="25"/>
      <c r="C23" s="34" t="s">
        <v>58</v>
      </c>
      <c r="D23" s="35" t="e">
        <f>NA()</f>
        <v>#N/A</v>
      </c>
      <c r="E23" s="23"/>
      <c r="F23" s="22"/>
    </row>
    <row r="24" spans="2:6" x14ac:dyDescent="0.2">
      <c r="B24" s="25"/>
      <c r="C24" s="34" t="s">
        <v>57</v>
      </c>
      <c r="D24" s="33" t="s">
        <v>56</v>
      </c>
      <c r="E24" s="23"/>
      <c r="F24" s="22"/>
    </row>
    <row r="25" spans="2:6" x14ac:dyDescent="0.2">
      <c r="B25" s="25"/>
      <c r="C25" s="32" t="s">
        <v>55</v>
      </c>
      <c r="D25" s="31" t="s">
        <v>54</v>
      </c>
      <c r="E25" s="23"/>
      <c r="F25" s="22"/>
    </row>
    <row r="26" spans="2:6" x14ac:dyDescent="0.2">
      <c r="B26" s="25"/>
      <c r="C26" s="30"/>
      <c r="D26" s="30"/>
      <c r="E26" s="23"/>
      <c r="F26" s="22"/>
    </row>
    <row r="27" spans="2:6" x14ac:dyDescent="0.2">
      <c r="B27" s="25"/>
      <c r="C27" s="29">
        <f>_xll.qlTermStructureReferenceDate(YieldCurve)</f>
        <v>41946</v>
      </c>
      <c r="D27" s="28">
        <f>MAX(_xll.ohPack(Selected!J1:J126))</f>
        <v>1</v>
      </c>
      <c r="E27" s="23"/>
      <c r="F27" s="22"/>
    </row>
    <row r="28" spans="2:6" x14ac:dyDescent="0.2">
      <c r="B28" s="25"/>
      <c r="C28" s="27">
        <f>MAX(_xll.ohPack(Selected!I2:I126))</f>
        <v>63863</v>
      </c>
      <c r="D28" s="26">
        <f>MIN(_xll.ohPack(Selected!J1:J126))</f>
        <v>0.31182385829607967</v>
      </c>
      <c r="E28" s="23"/>
      <c r="F28" s="22"/>
    </row>
    <row r="29" spans="2:6" x14ac:dyDescent="0.2">
      <c r="B29" s="25"/>
      <c r="C29" s="170" t="s">
        <v>45</v>
      </c>
      <c r="D29" s="171" t="str">
        <f>_xll.ohRangeRetrieveError(Selected!J1)</f>
        <v/>
      </c>
      <c r="E29" s="23"/>
      <c r="F29" s="22"/>
    </row>
    <row r="30" spans="2:6" ht="11.25" customHeight="1" x14ac:dyDescent="0.2">
      <c r="B30" s="25"/>
      <c r="C30" s="170" t="str">
        <f>[1]Euribor!$E$11</f>
        <v>EUR6M#0000</v>
      </c>
      <c r="D30" s="26" t="b">
        <f>_xll.qlRelinkableHandleLinkTo(C30,YieldCurve)</f>
        <v>1</v>
      </c>
      <c r="E30" s="23"/>
      <c r="F30" s="22"/>
    </row>
    <row r="31" spans="2:6" x14ac:dyDescent="0.2">
      <c r="B31" s="25"/>
      <c r="C31" s="24" t="s">
        <v>142</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6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60"/>
  </cols>
  <sheetData>
    <row r="1" spans="2:10" ht="33.75" x14ac:dyDescent="0.2">
      <c r="B1" s="158" t="s">
        <v>44</v>
      </c>
      <c r="C1" s="158" t="s">
        <v>159</v>
      </c>
      <c r="D1" s="158" t="s">
        <v>43</v>
      </c>
      <c r="E1" s="158" t="s">
        <v>42</v>
      </c>
      <c r="F1" s="158" t="s">
        <v>41</v>
      </c>
      <c r="G1" s="158" t="s">
        <v>40</v>
      </c>
      <c r="H1" s="158" t="s">
        <v>39</v>
      </c>
      <c r="I1" s="158" t="s">
        <v>38</v>
      </c>
      <c r="J1" s="158" t="s">
        <v>37</v>
      </c>
    </row>
    <row r="2" spans="2:10" x14ac:dyDescent="0.2">
      <c r="B2" s="276" t="str">
        <f>Deposits!J3</f>
        <v>obj_008bb#0000</v>
      </c>
      <c r="C2" s="159" t="str">
        <f>_xll.qlRateHelperQuoteName(B2)</f>
        <v>EURSND_SYNTH6M_Quote</v>
      </c>
      <c r="D2" s="160">
        <f>_xll.qlRateHelperQuoteValue($B2,Trigger)</f>
        <v>2.2799999999999999E-3</v>
      </c>
      <c r="E2" s="160"/>
      <c r="F2" s="161" t="b">
        <v>0</v>
      </c>
      <c r="G2" s="161">
        <v>10</v>
      </c>
      <c r="H2" s="161">
        <v>1</v>
      </c>
      <c r="I2" s="166">
        <f>_xll.qlRateHelperEarliestDate($B2,Trigger)</f>
        <v>41946</v>
      </c>
      <c r="J2" s="167">
        <f>_xll.qlRateHelperLatestDate($B2,Trigger)</f>
        <v>41947</v>
      </c>
    </row>
    <row r="3" spans="2:10" x14ac:dyDescent="0.2">
      <c r="B3" s="276" t="str">
        <f>Deposits!J4</f>
        <v>obj_008c3#0000</v>
      </c>
      <c r="C3" s="159" t="str">
        <f>_xll.qlRateHelperQuoteName(B3)</f>
        <v>EURSWD_SYNTH6M_Quote</v>
      </c>
      <c r="D3" s="160">
        <f>_xll.qlRateHelperQuoteValue($B3,Trigger)</f>
        <v>2.1429999999999999E-3</v>
      </c>
      <c r="E3" s="160"/>
      <c r="F3" s="161" t="b">
        <v>0</v>
      </c>
      <c r="G3" s="161">
        <v>10</v>
      </c>
      <c r="H3" s="161">
        <v>1</v>
      </c>
      <c r="I3" s="166">
        <f>_xll.qlRateHelperEarliestDate($B3,Trigger)</f>
        <v>41946</v>
      </c>
      <c r="J3" s="167">
        <f>_xll.qlRateHelperLatestDate($B3,Trigger)</f>
        <v>41953</v>
      </c>
    </row>
    <row r="4" spans="2:10" x14ac:dyDescent="0.2">
      <c r="B4" s="276" t="str">
        <f>Deposits!J5</f>
        <v>obj_008bc#0000</v>
      </c>
      <c r="C4" s="159" t="str">
        <f>_xll.qlRateHelperQuoteName(B4)</f>
        <v>EUR2WD_SYNTH6M_Quote</v>
      </c>
      <c r="D4" s="160">
        <f>_xll.qlRateHelperQuoteValue($B4,Trigger)</f>
        <v>1.918E-3</v>
      </c>
      <c r="E4" s="160"/>
      <c r="F4" s="161" t="b">
        <v>0</v>
      </c>
      <c r="G4" s="161">
        <v>10</v>
      </c>
      <c r="H4" s="161">
        <v>1</v>
      </c>
      <c r="I4" s="166">
        <f>_xll.qlRateHelperEarliestDate($B4,Trigger)</f>
        <v>41946</v>
      </c>
      <c r="J4" s="167">
        <f>_xll.qlRateHelperLatestDate($B4,Trigger)</f>
        <v>41960</v>
      </c>
    </row>
    <row r="5" spans="2:10" x14ac:dyDescent="0.2">
      <c r="B5" s="276" t="str">
        <f>Deposits!J6</f>
        <v>obj_008c0#0000</v>
      </c>
      <c r="C5" s="159" t="str">
        <f>_xll.qlRateHelperQuoteName(B5)</f>
        <v>EUR3WD_SYNTH6M_Quote</v>
      </c>
      <c r="D5" s="160">
        <f>_xll.qlRateHelperQuoteValue($B5,Trigger)</f>
        <v>1.8730000000000001E-3</v>
      </c>
      <c r="E5" s="160"/>
      <c r="F5" s="161" t="b">
        <v>0</v>
      </c>
      <c r="G5" s="161">
        <v>10</v>
      </c>
      <c r="H5" s="161">
        <v>1</v>
      </c>
      <c r="I5" s="166">
        <f>_xll.qlRateHelperEarliestDate($B5,Trigger)</f>
        <v>41946</v>
      </c>
      <c r="J5" s="167">
        <f>_xll.qlRateHelperLatestDate($B5,Trigger)</f>
        <v>41967</v>
      </c>
    </row>
    <row r="6" spans="2:10" x14ac:dyDescent="0.2">
      <c r="B6" s="276" t="str">
        <f>Deposits!J7</f>
        <v>obj_008dc#0000</v>
      </c>
      <c r="C6" s="159" t="str">
        <f>_xll.qlRateHelperQuoteName(B6)</f>
        <v>EUR1MD_SYNTH6M_Quote</v>
      </c>
      <c r="D6" s="160">
        <f>_xll.qlRateHelperQuoteValue($B6,Trigger)</f>
        <v>1.8619999999999999E-3</v>
      </c>
      <c r="E6" s="160"/>
      <c r="F6" s="161" t="b">
        <v>1</v>
      </c>
      <c r="G6" s="161">
        <v>10</v>
      </c>
      <c r="H6" s="161">
        <v>1</v>
      </c>
      <c r="I6" s="166">
        <f>_xll.qlRateHelperEarliestDate($B6,Trigger)</f>
        <v>41946</v>
      </c>
      <c r="J6" s="167">
        <f>_xll.qlRateHelperLatestDate($B6,Trigger)</f>
        <v>41976</v>
      </c>
    </row>
    <row r="7" spans="2:10" x14ac:dyDescent="0.2">
      <c r="B7" s="276" t="str">
        <f>Deposits!J8</f>
        <v>obj_008e2#0000</v>
      </c>
      <c r="C7" s="159" t="str">
        <f>_xll.qlRateHelperQuoteName(B7)</f>
        <v>EUR2MD_SYNTH6M_Quote</v>
      </c>
      <c r="D7" s="160">
        <f>_xll.qlRateHelperQuoteValue($B7,Trigger)</f>
        <v>1.903E-3</v>
      </c>
      <c r="E7" s="160"/>
      <c r="F7" s="161" t="b">
        <v>1</v>
      </c>
      <c r="G7" s="161">
        <v>10</v>
      </c>
      <c r="H7" s="161">
        <v>1</v>
      </c>
      <c r="I7" s="166">
        <f>_xll.qlRateHelperEarliestDate($B7,Trigger)</f>
        <v>41946</v>
      </c>
      <c r="J7" s="167">
        <f>_xll.qlRateHelperLatestDate($B7,Trigger)</f>
        <v>42009</v>
      </c>
    </row>
    <row r="8" spans="2:10" x14ac:dyDescent="0.2">
      <c r="B8" s="276" t="str">
        <f>Deposits!J9</f>
        <v>obj_008c4#0000</v>
      </c>
      <c r="C8" s="159" t="str">
        <f>_xll.qlRateHelperQuoteName(B8)</f>
        <v>EUR3MD_SYNTH6M_Quote</v>
      </c>
      <c r="D8" s="160">
        <f>_xll.qlRateHelperQuoteValue($B8,Trigger)</f>
        <v>1.905E-3</v>
      </c>
      <c r="E8" s="160"/>
      <c r="F8" s="161" t="b">
        <v>1</v>
      </c>
      <c r="G8" s="161">
        <v>10</v>
      </c>
      <c r="H8" s="161">
        <v>1</v>
      </c>
      <c r="I8" s="166">
        <f>_xll.qlRateHelperEarliestDate($B8,Trigger)</f>
        <v>41946</v>
      </c>
      <c r="J8" s="167">
        <f>_xll.qlRateHelperLatestDate($B8,Trigger)</f>
        <v>42038</v>
      </c>
    </row>
    <row r="9" spans="2:10" x14ac:dyDescent="0.2">
      <c r="B9" s="276" t="str">
        <f>Deposits!J10</f>
        <v>obj_008d8#0000</v>
      </c>
      <c r="C9" s="159" t="str">
        <f>_xll.qlRateHelperQuoteName(B9)</f>
        <v>EUR4MD_SYNTH6M_Quote</v>
      </c>
      <c r="D9" s="160">
        <f>_xll.qlRateHelperQuoteValue($B9,Trigger)</f>
        <v>1.934E-3</v>
      </c>
      <c r="E9" s="160"/>
      <c r="F9" s="161" t="b">
        <v>1</v>
      </c>
      <c r="G9" s="161">
        <v>10</v>
      </c>
      <c r="H9" s="161">
        <v>1</v>
      </c>
      <c r="I9" s="166">
        <f>_xll.qlRateHelperEarliestDate($B9,Trigger)</f>
        <v>41946</v>
      </c>
      <c r="J9" s="167">
        <f>_xll.qlRateHelperLatestDate($B9,Trigger)</f>
        <v>42066</v>
      </c>
    </row>
    <row r="10" spans="2:10" x14ac:dyDescent="0.2">
      <c r="B10" s="276" t="str">
        <f>Deposits!J11</f>
        <v>obj_008e4#0000</v>
      </c>
      <c r="C10" s="159" t="str">
        <f>_xll.qlRateHelperQuoteName(B10)</f>
        <v>EUR5MD_SYNTH6M_Quote</v>
      </c>
      <c r="D10" s="160">
        <f>_xll.qlRateHelperQuoteValue($B10,Trigger)</f>
        <v>2.0070000000000001E-3</v>
      </c>
      <c r="E10" s="160"/>
      <c r="F10" s="161" t="b">
        <v>1</v>
      </c>
      <c r="G10" s="161">
        <v>10</v>
      </c>
      <c r="H10" s="161">
        <v>1</v>
      </c>
      <c r="I10" s="166">
        <f>_xll.qlRateHelperEarliestDate($B10,Trigger)</f>
        <v>41946</v>
      </c>
      <c r="J10" s="167">
        <f>_xll.qlRateHelperLatestDate($B10,Trigger)</f>
        <v>42101</v>
      </c>
    </row>
    <row r="11" spans="2:10" x14ac:dyDescent="0.2">
      <c r="B11" s="277" t="str">
        <f>Deposits!J12</f>
        <v>obj_008d0#0000</v>
      </c>
      <c r="C11" s="162" t="str">
        <f>_xll.qlRateHelperQuoteName(B11)</f>
        <v>EUR6MD_SYNTH6M_Quote</v>
      </c>
      <c r="D11" s="163">
        <f>_xll.qlRateHelperQuoteValue($B11,Trigger)</f>
        <v>2.0219999999999999E-3</v>
      </c>
      <c r="E11" s="163"/>
      <c r="F11" s="164" t="b">
        <v>1</v>
      </c>
      <c r="G11" s="164">
        <v>10</v>
      </c>
      <c r="H11" s="164">
        <v>1</v>
      </c>
      <c r="I11" s="168">
        <f>_xll.qlRateHelperEarliestDate($B11,Trigger)</f>
        <v>41946</v>
      </c>
      <c r="J11" s="169">
        <f>_xll.qlRateHelperLatestDate($B11,Trigger)</f>
        <v>42128</v>
      </c>
    </row>
    <row r="12" spans="2:10" x14ac:dyDescent="0.2">
      <c r="B12" s="276" t="str">
        <f>FRAs!H3</f>
        <v>obj_008b0#0000</v>
      </c>
      <c r="C12" s="159" t="str">
        <f>_xll.qlRateHelperQuoteName(B12)</f>
        <v>EUR1x7F_Quote</v>
      </c>
      <c r="D12" s="160">
        <f>_xll.qlRateHelperQuoteValue($B12,Trigger)</f>
        <v>2.0500000000000002E-3</v>
      </c>
      <c r="E12" s="160"/>
      <c r="F12" s="161" t="b">
        <v>1</v>
      </c>
      <c r="G12" s="161">
        <v>20</v>
      </c>
      <c r="H12" s="161">
        <v>1</v>
      </c>
      <c r="I12" s="166">
        <f>_xll.qlRateHelperEarliestDate($B12,Trigger)</f>
        <v>41976</v>
      </c>
      <c r="J12" s="167">
        <f>_xll.qlRateHelperLatestDate($B12,Trigger)</f>
        <v>42158</v>
      </c>
    </row>
    <row r="13" spans="2:10" x14ac:dyDescent="0.2">
      <c r="B13" s="276" t="str">
        <f>FRAs!H4</f>
        <v>obj_008ad#0000</v>
      </c>
      <c r="C13" s="159" t="str">
        <f>_xll.qlRateHelperQuoteName(B13)</f>
        <v>EUR2x8F_Quote</v>
      </c>
      <c r="D13" s="160">
        <f>_xll.qlRateHelperQuoteValue($B13,Trigger)</f>
        <v>2.0800000000000003E-3</v>
      </c>
      <c r="E13" s="160"/>
      <c r="F13" s="161" t="b">
        <v>1</v>
      </c>
      <c r="G13" s="161">
        <v>20</v>
      </c>
      <c r="H13" s="161">
        <v>1</v>
      </c>
      <c r="I13" s="166">
        <f>_xll.qlRateHelperEarliestDate($B13,Trigger)</f>
        <v>42009</v>
      </c>
      <c r="J13" s="167">
        <f>_xll.qlRateHelperLatestDate($B13,Trigger)</f>
        <v>42191</v>
      </c>
    </row>
    <row r="14" spans="2:10" x14ac:dyDescent="0.2">
      <c r="B14" s="276" t="str">
        <f>FRAs!H5</f>
        <v>obj_008b7#0000</v>
      </c>
      <c r="C14" s="159" t="str">
        <f>_xll.qlRateHelperQuoteName(B14)</f>
        <v>EUR3x9F_Quote</v>
      </c>
      <c r="D14" s="160">
        <f>_xll.qlRateHelperQuoteValue($B14,Trigger)</f>
        <v>2.0900000000000003E-3</v>
      </c>
      <c r="E14" s="160"/>
      <c r="F14" s="161" t="b">
        <v>1</v>
      </c>
      <c r="G14" s="161">
        <v>20</v>
      </c>
      <c r="H14" s="161">
        <v>1</v>
      </c>
      <c r="I14" s="166">
        <f>_xll.qlRateHelperEarliestDate($B14,Trigger)</f>
        <v>42038</v>
      </c>
      <c r="J14" s="167">
        <f>_xll.qlRateHelperLatestDate($B14,Trigger)</f>
        <v>42219</v>
      </c>
    </row>
    <row r="15" spans="2:10" x14ac:dyDescent="0.2">
      <c r="B15" s="276" t="str">
        <f>FRAs!H6</f>
        <v>obj_008b3#0000</v>
      </c>
      <c r="C15" s="159" t="str">
        <f>_xll.qlRateHelperQuoteName(B15)</f>
        <v>EUR4x10F_Quote</v>
      </c>
      <c r="D15" s="160">
        <f>_xll.qlRateHelperQuoteValue($B15,Trigger)</f>
        <v>2.0800000000000003E-3</v>
      </c>
      <c r="E15" s="160"/>
      <c r="F15" s="161" t="b">
        <v>1</v>
      </c>
      <c r="G15" s="161">
        <v>20</v>
      </c>
      <c r="H15" s="161">
        <v>1</v>
      </c>
      <c r="I15" s="166">
        <f>_xll.qlRateHelperEarliestDate($B15,Trigger)</f>
        <v>42066</v>
      </c>
      <c r="J15" s="167">
        <f>_xll.qlRateHelperLatestDate($B15,Trigger)</f>
        <v>42250</v>
      </c>
    </row>
    <row r="16" spans="2:10" x14ac:dyDescent="0.2">
      <c r="B16" s="276" t="str">
        <f>FRAs!H7</f>
        <v>obj_008b1#0000</v>
      </c>
      <c r="C16" s="159" t="str">
        <f>_xll.qlRateHelperQuoteName(B16)</f>
        <v>EUR5x11F_Quote</v>
      </c>
      <c r="D16" s="160">
        <f>_xll.qlRateHelperQuoteValue($B16,Trigger)</f>
        <v>2.0800000000000003E-3</v>
      </c>
      <c r="E16" s="160"/>
      <c r="F16" s="161" t="b">
        <v>1</v>
      </c>
      <c r="G16" s="161">
        <v>20</v>
      </c>
      <c r="H16" s="161">
        <v>1</v>
      </c>
      <c r="I16" s="166">
        <f>_xll.qlRateHelperEarliestDate($B16,Trigger)</f>
        <v>42101</v>
      </c>
      <c r="J16" s="167">
        <f>_xll.qlRateHelperLatestDate($B16,Trigger)</f>
        <v>42284</v>
      </c>
    </row>
    <row r="17" spans="2:12" x14ac:dyDescent="0.2">
      <c r="B17" s="276" t="str">
        <f>FRAs!H8</f>
        <v>obj_008af#0000</v>
      </c>
      <c r="C17" s="159" t="str">
        <f>_xll.qlRateHelperQuoteName(B17)</f>
        <v>EUR6x12F_Quote</v>
      </c>
      <c r="D17" s="160">
        <f>_xll.qlRateHelperQuoteValue($B17,Trigger)</f>
        <v>2.0900000000000003E-3</v>
      </c>
      <c r="E17" s="160"/>
      <c r="F17" s="161" t="b">
        <v>1</v>
      </c>
      <c r="G17" s="161">
        <v>20</v>
      </c>
      <c r="H17" s="161">
        <v>1</v>
      </c>
      <c r="I17" s="166">
        <f>_xll.qlRateHelperEarliestDate($B17,Trigger)</f>
        <v>42128</v>
      </c>
      <c r="J17" s="167">
        <f>_xll.qlRateHelperLatestDate($B17,Trigger)</f>
        <v>42312</v>
      </c>
    </row>
    <row r="18" spans="2:12" x14ac:dyDescent="0.2">
      <c r="B18" s="276" t="str">
        <f>FRAs!H9</f>
        <v>obj_008a7#0000</v>
      </c>
      <c r="C18" s="159" t="str">
        <f>_xll.qlRateHelperQuoteName(B18)</f>
        <v>EUR7x13F_Quote</v>
      </c>
      <c r="D18" s="160">
        <f>_xll.qlRateHelperQuoteValue($B18,Trigger)</f>
        <v>2.0900000000000003E-3</v>
      </c>
      <c r="E18" s="160"/>
      <c r="F18" s="161" t="b">
        <v>1</v>
      </c>
      <c r="G18" s="161">
        <v>20</v>
      </c>
      <c r="H18" s="161">
        <v>1</v>
      </c>
      <c r="I18" s="166">
        <f>_xll.qlRateHelperEarliestDate($B18,Trigger)</f>
        <v>42158</v>
      </c>
      <c r="J18" s="167">
        <f>_xll.qlRateHelperLatestDate($B18,Trigger)</f>
        <v>42341</v>
      </c>
    </row>
    <row r="19" spans="2:12" x14ac:dyDescent="0.2">
      <c r="B19" s="276" t="str">
        <f>FRAs!H10</f>
        <v>obj_008a9#0000</v>
      </c>
      <c r="C19" s="159" t="str">
        <f>_xll.qlRateHelperQuoteName(B19)</f>
        <v>EUR8x14F_Quote</v>
      </c>
      <c r="D19" s="160">
        <f>_xll.qlRateHelperQuoteValue($B19,Trigger)</f>
        <v>2.1199999999999999E-3</v>
      </c>
      <c r="E19" s="160"/>
      <c r="F19" s="161" t="b">
        <v>1</v>
      </c>
      <c r="G19" s="161">
        <v>20</v>
      </c>
      <c r="H19" s="161">
        <v>1</v>
      </c>
      <c r="I19" s="166">
        <f>_xll.qlRateHelperEarliestDate($B19,Trigger)</f>
        <v>42188</v>
      </c>
      <c r="J19" s="167">
        <f>_xll.qlRateHelperLatestDate($B19,Trigger)</f>
        <v>42373</v>
      </c>
    </row>
    <row r="20" spans="2:12" x14ac:dyDescent="0.2">
      <c r="B20" s="276" t="str">
        <f>FRAs!H11</f>
        <v>obj_008b5#0000</v>
      </c>
      <c r="C20" s="159" t="str">
        <f>_xll.qlRateHelperQuoteName(B20)</f>
        <v>EUR9x15F_Quote</v>
      </c>
      <c r="D20" s="160">
        <f>_xll.qlRateHelperQuoteValue($B20,Trigger)</f>
        <v>2.1700000000000001E-3</v>
      </c>
      <c r="E20" s="160"/>
      <c r="F20" s="161" t="b">
        <v>1</v>
      </c>
      <c r="G20" s="161">
        <v>20</v>
      </c>
      <c r="H20" s="161">
        <v>1</v>
      </c>
      <c r="I20" s="166">
        <f>_xll.qlRateHelperEarliestDate($B20,Trigger)</f>
        <v>42219</v>
      </c>
      <c r="J20" s="167">
        <f>_xll.qlRateHelperLatestDate($B20,Trigger)</f>
        <v>42403</v>
      </c>
    </row>
    <row r="21" spans="2:12" x14ac:dyDescent="0.2">
      <c r="B21" s="276" t="str">
        <f>FRAs!H12</f>
        <v>obj_008b6#0000</v>
      </c>
      <c r="C21" s="159" t="str">
        <f>_xll.qlRateHelperQuoteName(B21)</f>
        <v>EUR10x16F_Quote</v>
      </c>
      <c r="D21" s="160">
        <f>_xll.qlRateHelperQuoteValue($B21,Trigger)</f>
        <v>2.2200000000000002E-3</v>
      </c>
      <c r="E21" s="160"/>
      <c r="F21" s="161" t="b">
        <v>1</v>
      </c>
      <c r="G21" s="161">
        <v>20</v>
      </c>
      <c r="H21" s="161">
        <v>1</v>
      </c>
      <c r="I21" s="166">
        <f>_xll.qlRateHelperEarliestDate($B21,Trigger)</f>
        <v>42250</v>
      </c>
      <c r="J21" s="167">
        <f>_xll.qlRateHelperLatestDate($B21,Trigger)</f>
        <v>42432</v>
      </c>
    </row>
    <row r="22" spans="2:12" x14ac:dyDescent="0.2">
      <c r="B22" s="276" t="str">
        <f>FRAs!H13</f>
        <v>obj_008b2#0000</v>
      </c>
      <c r="C22" s="159" t="str">
        <f>_xll.qlRateHelperQuoteName(B22)</f>
        <v>EUR11x17F_Quote</v>
      </c>
      <c r="D22" s="160">
        <f>_xll.qlRateHelperQuoteValue($B22,Trigger)</f>
        <v>2.2799999999999999E-3</v>
      </c>
      <c r="E22" s="160"/>
      <c r="F22" s="161" t="b">
        <v>1</v>
      </c>
      <c r="G22" s="161">
        <v>20</v>
      </c>
      <c r="H22" s="161">
        <v>1</v>
      </c>
      <c r="I22" s="166">
        <f>_xll.qlRateHelperEarliestDate($B22,Trigger)</f>
        <v>42282</v>
      </c>
      <c r="J22" s="167">
        <f>_xll.qlRateHelperLatestDate($B22,Trigger)</f>
        <v>42465</v>
      </c>
    </row>
    <row r="23" spans="2:12" x14ac:dyDescent="0.2">
      <c r="B23" s="276" t="str">
        <f>FRAs!H14</f>
        <v>obj_008ab#0000</v>
      </c>
      <c r="C23" s="159" t="str">
        <f>_xll.qlRateHelperQuoteName(B23)</f>
        <v>EUR12x18F_Quote</v>
      </c>
      <c r="D23" s="160">
        <f>_xll.qlRateHelperQuoteValue($B23,Trigger)</f>
        <v>2.3499999999999997E-3</v>
      </c>
      <c r="E23" s="160"/>
      <c r="F23" s="161" t="b">
        <v>1</v>
      </c>
      <c r="G23" s="161">
        <v>20</v>
      </c>
      <c r="H23" s="161">
        <v>1</v>
      </c>
      <c r="I23" s="166">
        <f>_xll.qlRateHelperEarliestDate($B23,Trigger)</f>
        <v>42311</v>
      </c>
      <c r="J23" s="167">
        <f>_xll.qlRateHelperLatestDate($B23,Trigger)</f>
        <v>42493</v>
      </c>
    </row>
    <row r="24" spans="2:12" x14ac:dyDescent="0.2">
      <c r="B24" s="276" t="str">
        <f>FRAs!H15</f>
        <v>obj_008ac#0000</v>
      </c>
      <c r="C24" s="159" t="str">
        <f>_xll.qlRateHelperQuoteName(B24)</f>
        <v>EUR13x19F_Quote</v>
      </c>
      <c r="D24" s="160">
        <f>_xll.qlRateHelperQuoteValue($B24,Trigger)</f>
        <v>2.4299999999999999E-3</v>
      </c>
      <c r="E24" s="160"/>
      <c r="F24" s="161" t="b">
        <v>1</v>
      </c>
      <c r="G24" s="161">
        <v>20</v>
      </c>
      <c r="H24" s="161">
        <v>1</v>
      </c>
      <c r="I24" s="166">
        <f>_xll.qlRateHelperEarliestDate($B24,Trigger)</f>
        <v>42341</v>
      </c>
      <c r="J24" s="167">
        <f>_xll.qlRateHelperLatestDate($B24,Trigger)</f>
        <v>42524</v>
      </c>
    </row>
    <row r="25" spans="2:12" x14ac:dyDescent="0.2">
      <c r="B25" s="276" t="str">
        <f>FRAs!H16</f>
        <v>obj_008aa#0000</v>
      </c>
      <c r="C25" s="159" t="str">
        <f>_xll.qlRateHelperQuoteName(B25)</f>
        <v>EUR14x20F_Quote</v>
      </c>
      <c r="D25" s="160">
        <f>_xll.qlRateHelperQuoteValue($B25,Trigger)</f>
        <v>2.5100000000000001E-3</v>
      </c>
      <c r="E25" s="160"/>
      <c r="F25" s="161" t="b">
        <v>1</v>
      </c>
      <c r="G25" s="161">
        <v>20</v>
      </c>
      <c r="H25" s="161">
        <v>1</v>
      </c>
      <c r="I25" s="166">
        <f>_xll.qlRateHelperEarliestDate($B25,Trigger)</f>
        <v>42373</v>
      </c>
      <c r="J25" s="167">
        <f>_xll.qlRateHelperLatestDate($B25,Trigger)</f>
        <v>42555</v>
      </c>
    </row>
    <row r="26" spans="2:12" x14ac:dyDescent="0.2">
      <c r="B26" s="276" t="str">
        <f>FRAs!H17</f>
        <v>obj_008b8#0000</v>
      </c>
      <c r="C26" s="159" t="str">
        <f>_xll.qlRateHelperQuoteName(B26)</f>
        <v>EUR15x21F_Quote</v>
      </c>
      <c r="D26" s="160">
        <f>_xll.qlRateHelperQuoteValue($B26,Trigger)</f>
        <v>2.5900000000000003E-3</v>
      </c>
      <c r="E26" s="160"/>
      <c r="F26" s="161" t="b">
        <v>1</v>
      </c>
      <c r="G26" s="161">
        <v>20</v>
      </c>
      <c r="H26" s="161">
        <v>1</v>
      </c>
      <c r="I26" s="166">
        <f>_xll.qlRateHelperEarliestDate($B26,Trigger)</f>
        <v>42403</v>
      </c>
      <c r="J26" s="167">
        <f>_xll.qlRateHelperLatestDate($B26,Trigger)</f>
        <v>42585</v>
      </c>
    </row>
    <row r="27" spans="2:12" x14ac:dyDescent="0.2">
      <c r="B27" s="276" t="str">
        <f>FRAs!H18</f>
        <v>obj_008ae#0000</v>
      </c>
      <c r="C27" s="159" t="str">
        <f>_xll.qlRateHelperQuoteName(B27)</f>
        <v>EUR16x22F_Quote</v>
      </c>
      <c r="D27" s="160">
        <f>_xll.qlRateHelperQuoteValue($B27,Trigger)</f>
        <v>2.6800000000000001E-3</v>
      </c>
      <c r="E27" s="160"/>
      <c r="F27" s="161" t="b">
        <v>1</v>
      </c>
      <c r="G27" s="161">
        <v>20</v>
      </c>
      <c r="H27" s="161">
        <v>1</v>
      </c>
      <c r="I27" s="166">
        <f>_xll.qlRateHelperEarliestDate($B27,Trigger)</f>
        <v>42432</v>
      </c>
      <c r="J27" s="167">
        <f>_xll.qlRateHelperLatestDate($B27,Trigger)</f>
        <v>42618</v>
      </c>
    </row>
    <row r="28" spans="2:12" x14ac:dyDescent="0.2">
      <c r="B28" s="276" t="str">
        <f>FRAs!H19</f>
        <v>obj_008c1#0000</v>
      </c>
      <c r="C28" s="159" t="str">
        <f>_xll.qlRateHelperQuoteName(B28)</f>
        <v>EUR17x23F_Quote</v>
      </c>
      <c r="D28" s="160">
        <f>_xll.qlRateHelperQuoteValue($B28,Trigger)</f>
        <v>2.7800000000000004E-3</v>
      </c>
      <c r="E28" s="160"/>
      <c r="F28" s="161" t="b">
        <v>1</v>
      </c>
      <c r="G28" s="161">
        <v>20</v>
      </c>
      <c r="H28" s="161">
        <v>1</v>
      </c>
      <c r="I28" s="166">
        <f>_xll.qlRateHelperEarliestDate($B28,Trigger)</f>
        <v>42464</v>
      </c>
      <c r="J28" s="167">
        <f>_xll.qlRateHelperLatestDate($B28,Trigger)</f>
        <v>42647</v>
      </c>
    </row>
    <row r="29" spans="2:12" x14ac:dyDescent="0.2">
      <c r="B29" s="277" t="str">
        <f>FRAs!H20</f>
        <v>obj_008b4#0000</v>
      </c>
      <c r="C29" s="162" t="str">
        <f>_xll.qlRateHelperQuoteName(B29)</f>
        <v>EUR18x24F_Quote</v>
      </c>
      <c r="D29" s="163">
        <f>_xll.qlRateHelperQuoteValue($B29,Trigger)</f>
        <v>2.8800000000000002E-3</v>
      </c>
      <c r="E29" s="163"/>
      <c r="F29" s="164" t="b">
        <v>1</v>
      </c>
      <c r="G29" s="164">
        <v>20</v>
      </c>
      <c r="H29" s="164">
        <v>1</v>
      </c>
      <c r="I29" s="168">
        <f>_xll.qlRateHelperEarliestDate($B29,Trigger)</f>
        <v>42493</v>
      </c>
      <c r="J29" s="169">
        <f>_xll.qlRateHelperLatestDate($B29,Trigger)</f>
        <v>42677</v>
      </c>
    </row>
    <row r="30" spans="2:12" x14ac:dyDescent="0.2">
      <c r="B30" s="276" t="str">
        <f>Swaps!K6</f>
        <v>obj_008be#0000</v>
      </c>
      <c r="C30" s="159" t="str">
        <f>_xll.qlRateHelperQuoteName(B30)</f>
        <v>EURAB6E1Y_Quote</v>
      </c>
      <c r="D30" s="160">
        <f>_xll.qlRateHelperQuoteValue($B30,Trigger)</f>
        <v>2.0200000000000001E-3</v>
      </c>
      <c r="E30" s="160">
        <f>_xll.qlSwapRateHelperSpread($B30,Trigger)</f>
        <v>0</v>
      </c>
      <c r="F30" s="161" t="b">
        <v>0</v>
      </c>
      <c r="G30" s="161">
        <v>50</v>
      </c>
      <c r="H30" s="161">
        <v>1</v>
      </c>
      <c r="I30" s="166">
        <f>_xll.qlRateHelperEarliestDate($B30,Trigger)</f>
        <v>41946</v>
      </c>
      <c r="J30" s="167">
        <f>_xll.qlRateHelperLatestDate($B30,Trigger)</f>
        <v>42311</v>
      </c>
      <c r="L30" s="165"/>
    </row>
    <row r="31" spans="2:12" x14ac:dyDescent="0.2">
      <c r="B31" s="276" t="str">
        <f>Swaps!K7</f>
        <v>obj_008c7#0000</v>
      </c>
      <c r="C31" s="159" t="str">
        <f>_xll.qlRateHelperQuoteName(B31)</f>
        <v>EURAB6E15M_Quote</v>
      </c>
      <c r="D31" s="160">
        <f>_xll.qlRateHelperQuoteValue($B31,Trigger)</f>
        <v>1.91E-3</v>
      </c>
      <c r="E31" s="160">
        <f>_xll.qlSwapRateHelperSpread($B31,Trigger)</f>
        <v>0</v>
      </c>
      <c r="F31" s="161" t="b">
        <v>0</v>
      </c>
      <c r="G31" s="161">
        <v>50</v>
      </c>
      <c r="H31" s="161">
        <v>1</v>
      </c>
      <c r="I31" s="166">
        <f>_xll.qlRateHelperEarliestDate($B31,Trigger)</f>
        <v>41946</v>
      </c>
      <c r="J31" s="167">
        <f>_xll.qlRateHelperLatestDate($B31,Trigger)</f>
        <v>42403</v>
      </c>
      <c r="L31" s="165"/>
    </row>
    <row r="32" spans="2:12" x14ac:dyDescent="0.2">
      <c r="B32" s="276" t="str">
        <f>Swaps!K8</f>
        <v>obj_008a8#0000</v>
      </c>
      <c r="C32" s="159" t="str">
        <f>_xll.qlRateHelperQuoteName(B32)</f>
        <v>EURAB6E18M_Quote</v>
      </c>
      <c r="D32" s="160">
        <f>_xll.qlRateHelperQuoteValue($B32,Trigger)</f>
        <v>2.14E-3</v>
      </c>
      <c r="E32" s="160">
        <f>_xll.qlSwapRateHelperSpread($B32,Trigger)</f>
        <v>0</v>
      </c>
      <c r="F32" s="161" t="b">
        <v>0</v>
      </c>
      <c r="G32" s="161">
        <v>50</v>
      </c>
      <c r="H32" s="161">
        <v>1</v>
      </c>
      <c r="I32" s="166">
        <f>_xll.qlRateHelperEarliestDate($B32,Trigger)</f>
        <v>41946</v>
      </c>
      <c r="J32" s="167">
        <f>_xll.qlRateHelperLatestDate($B32,Trigger)</f>
        <v>42493</v>
      </c>
      <c r="L32" s="165"/>
    </row>
    <row r="33" spans="2:12" x14ac:dyDescent="0.2">
      <c r="B33" s="276" t="str">
        <f>Swaps!K9</f>
        <v>obj_008c2#0000</v>
      </c>
      <c r="C33" s="159" t="str">
        <f>_xll.qlRateHelperQuoteName(B33)</f>
        <v>EURAB6E21M_Quote</v>
      </c>
      <c r="D33" s="160">
        <f>_xll.qlRateHelperQuoteValue($B33,Trigger)</f>
        <v>2.1099999999999999E-3</v>
      </c>
      <c r="E33" s="160">
        <f>_xll.qlSwapRateHelperSpread($B33,Trigger)</f>
        <v>0</v>
      </c>
      <c r="F33" s="161" t="b">
        <v>0</v>
      </c>
      <c r="G33" s="161">
        <v>50</v>
      </c>
      <c r="H33" s="161">
        <v>1</v>
      </c>
      <c r="I33" s="166">
        <f>_xll.qlRateHelperEarliestDate($B33,Trigger)</f>
        <v>41946</v>
      </c>
      <c r="J33" s="167">
        <f>_xll.qlRateHelperLatestDate($B33,Trigger)</f>
        <v>42585</v>
      </c>
      <c r="L33" s="165"/>
    </row>
    <row r="34" spans="2:12" x14ac:dyDescent="0.2">
      <c r="B34" s="276" t="str">
        <f>Swaps!K10</f>
        <v>obj_008b9#0000</v>
      </c>
      <c r="C34" s="159" t="str">
        <f>_xll.qlRateHelperQuoteName(B34)</f>
        <v>EURAB6E2Y_Quote</v>
      </c>
      <c r="D34" s="160">
        <f>_xll.qlRateHelperQuoteValue($B34,Trigger)</f>
        <v>2.3400000000000001E-3</v>
      </c>
      <c r="E34" s="160">
        <f>_xll.qlSwapRateHelperSpread($B34,Trigger)</f>
        <v>0</v>
      </c>
      <c r="F34" s="161" t="b">
        <v>0</v>
      </c>
      <c r="G34" s="161">
        <v>50</v>
      </c>
      <c r="H34" s="161">
        <v>1</v>
      </c>
      <c r="I34" s="166">
        <f>_xll.qlRateHelperEarliestDate($B34,Trigger)</f>
        <v>41946</v>
      </c>
      <c r="J34" s="167">
        <f>_xll.qlRateHelperLatestDate($B34,Trigger)</f>
        <v>42677</v>
      </c>
      <c r="L34" s="165"/>
    </row>
    <row r="35" spans="2:12" x14ac:dyDescent="0.2">
      <c r="B35" s="276" t="str">
        <f>Swaps!K11</f>
        <v>obj_008d3#0000</v>
      </c>
      <c r="C35" s="159" t="str">
        <f>_xll.qlRateHelperQuoteName(B35)</f>
        <v>EURAB6E3Y_Quote</v>
      </c>
      <c r="D35" s="160">
        <f>_xll.qlRateHelperQuoteValue($B35,Trigger)</f>
        <v>2.9300000000000003E-3</v>
      </c>
      <c r="E35" s="160">
        <f>_xll.qlSwapRateHelperSpread($B35,Trigger)</f>
        <v>0</v>
      </c>
      <c r="F35" s="161" t="b">
        <v>1</v>
      </c>
      <c r="G35" s="161">
        <v>50</v>
      </c>
      <c r="H35" s="161">
        <v>1</v>
      </c>
      <c r="I35" s="166">
        <f>_xll.qlRateHelperEarliestDate($B35,Trigger)</f>
        <v>41946</v>
      </c>
      <c r="J35" s="167">
        <f>_xll.qlRateHelperLatestDate($B35,Trigger)</f>
        <v>43042</v>
      </c>
      <c r="L35" s="165"/>
    </row>
    <row r="36" spans="2:12" x14ac:dyDescent="0.2">
      <c r="B36" s="276" t="str">
        <f>Swaps!K12</f>
        <v>obj_008d7#0000</v>
      </c>
      <c r="C36" s="159" t="str">
        <f>_xll.qlRateHelperQuoteName(B36)</f>
        <v>EURAB6E4Y_Quote</v>
      </c>
      <c r="D36" s="160">
        <f>_xll.qlRateHelperQuoteValue($B36,Trigger)</f>
        <v>3.7699999999999999E-3</v>
      </c>
      <c r="E36" s="160">
        <f>_xll.qlSwapRateHelperSpread($B36,Trigger)</f>
        <v>0</v>
      </c>
      <c r="F36" s="161" t="b">
        <v>1</v>
      </c>
      <c r="G36" s="161">
        <v>50</v>
      </c>
      <c r="H36" s="161">
        <v>1</v>
      </c>
      <c r="I36" s="166">
        <f>_xll.qlRateHelperEarliestDate($B36,Trigger)</f>
        <v>41946</v>
      </c>
      <c r="J36" s="167">
        <f>_xll.qlRateHelperLatestDate($B36,Trigger)</f>
        <v>43409</v>
      </c>
      <c r="L36" s="165"/>
    </row>
    <row r="37" spans="2:12" x14ac:dyDescent="0.2">
      <c r="B37" s="276" t="str">
        <f>Swaps!K13</f>
        <v>obj_008ca#0000</v>
      </c>
      <c r="C37" s="159" t="str">
        <f>_xll.qlRateHelperQuoteName(B37)</f>
        <v>EURAB6E5Y_Quote</v>
      </c>
      <c r="D37" s="160">
        <f>_xll.qlRateHelperQuoteValue($B37,Trigger)</f>
        <v>4.7999999999999996E-3</v>
      </c>
      <c r="E37" s="160">
        <f>_xll.qlSwapRateHelperSpread($B37,Trigger)</f>
        <v>0</v>
      </c>
      <c r="F37" s="161" t="b">
        <v>1</v>
      </c>
      <c r="G37" s="161">
        <v>50</v>
      </c>
      <c r="H37" s="161">
        <v>1</v>
      </c>
      <c r="I37" s="166">
        <f>_xll.qlRateHelperEarliestDate($B37,Trigger)</f>
        <v>41946</v>
      </c>
      <c r="J37" s="167">
        <f>_xll.qlRateHelperLatestDate($B37,Trigger)</f>
        <v>43773</v>
      </c>
      <c r="L37" s="165"/>
    </row>
    <row r="38" spans="2:12" x14ac:dyDescent="0.2">
      <c r="B38" s="276" t="str">
        <f>Swaps!K14</f>
        <v>obj_008d6#0000</v>
      </c>
      <c r="C38" s="159" t="str">
        <f>_xll.qlRateHelperQuoteName(B38)</f>
        <v>EURAB6E6Y_Quote</v>
      </c>
      <c r="D38" s="160">
        <f>_xll.qlRateHelperQuoteValue($B38,Trigger)</f>
        <v>5.9499999999999996E-3</v>
      </c>
      <c r="E38" s="160">
        <f>_xll.qlSwapRateHelperSpread($B38,Trigger)</f>
        <v>0</v>
      </c>
      <c r="F38" s="161" t="b">
        <v>1</v>
      </c>
      <c r="G38" s="161">
        <v>50</v>
      </c>
      <c r="H38" s="161">
        <v>1</v>
      </c>
      <c r="I38" s="166">
        <f>_xll.qlRateHelperEarliestDate($B38,Trigger)</f>
        <v>41946</v>
      </c>
      <c r="J38" s="167">
        <f>_xll.qlRateHelperLatestDate($B38,Trigger)</f>
        <v>44138</v>
      </c>
      <c r="L38" s="165"/>
    </row>
    <row r="39" spans="2:12" x14ac:dyDescent="0.2">
      <c r="B39" s="276" t="str">
        <f>Swaps!K15</f>
        <v>obj_008cf#0000</v>
      </c>
      <c r="C39" s="159" t="str">
        <f>_xll.qlRateHelperQuoteName(B39)</f>
        <v>EURAB6E7Y_Quote</v>
      </c>
      <c r="D39" s="160">
        <f>_xll.qlRateHelperQuoteValue($B39,Trigger)</f>
        <v>7.2299999999999994E-3</v>
      </c>
      <c r="E39" s="160">
        <f>_xll.qlSwapRateHelperSpread($B39,Trigger)</f>
        <v>0</v>
      </c>
      <c r="F39" s="161" t="b">
        <v>1</v>
      </c>
      <c r="G39" s="161">
        <v>50</v>
      </c>
      <c r="H39" s="161">
        <v>1</v>
      </c>
      <c r="I39" s="166">
        <f>_xll.qlRateHelperEarliestDate($B39,Trigger)</f>
        <v>41946</v>
      </c>
      <c r="J39" s="167">
        <f>_xll.qlRateHelperLatestDate($B39,Trigger)</f>
        <v>44503</v>
      </c>
      <c r="L39" s="165"/>
    </row>
    <row r="40" spans="2:12" x14ac:dyDescent="0.2">
      <c r="B40" s="276" t="str">
        <f>Swaps!K16</f>
        <v>obj_008e5#0000</v>
      </c>
      <c r="C40" s="159" t="str">
        <f>_xll.qlRateHelperQuoteName(B40)</f>
        <v>EURAB6E8Y_Quote</v>
      </c>
      <c r="D40" s="160">
        <f>_xll.qlRateHelperQuoteValue($B40,Trigger)</f>
        <v>8.5500000000000003E-3</v>
      </c>
      <c r="E40" s="160">
        <f>_xll.qlSwapRateHelperSpread($B40,Trigger)</f>
        <v>0</v>
      </c>
      <c r="F40" s="161" t="b">
        <v>1</v>
      </c>
      <c r="G40" s="161">
        <v>50</v>
      </c>
      <c r="H40" s="161">
        <v>1</v>
      </c>
      <c r="I40" s="166">
        <f>_xll.qlRateHelperEarliestDate($B40,Trigger)</f>
        <v>41946</v>
      </c>
      <c r="J40" s="167">
        <f>_xll.qlRateHelperLatestDate($B40,Trigger)</f>
        <v>44868</v>
      </c>
      <c r="L40" s="165"/>
    </row>
    <row r="41" spans="2:12" x14ac:dyDescent="0.2">
      <c r="B41" s="276" t="str">
        <f>Swaps!K17</f>
        <v>obj_008ce#0000</v>
      </c>
      <c r="C41" s="159" t="str">
        <f>_xll.qlRateHelperQuoteName(B41)</f>
        <v>EURAB6E9Y_Quote</v>
      </c>
      <c r="D41" s="160">
        <f>_xll.qlRateHelperQuoteValue($B41,Trigger)</f>
        <v>9.8099999999999993E-3</v>
      </c>
      <c r="E41" s="160">
        <f>_xll.qlSwapRateHelperSpread($B41,Trigger)</f>
        <v>0</v>
      </c>
      <c r="F41" s="161" t="b">
        <v>1</v>
      </c>
      <c r="G41" s="161">
        <v>50</v>
      </c>
      <c r="H41" s="161">
        <v>1</v>
      </c>
      <c r="I41" s="166">
        <f>_xll.qlRateHelperEarliestDate($B41,Trigger)</f>
        <v>41946</v>
      </c>
      <c r="J41" s="167">
        <f>_xll.qlRateHelperLatestDate($B41,Trigger)</f>
        <v>45233</v>
      </c>
      <c r="L41" s="165"/>
    </row>
    <row r="42" spans="2:12" x14ac:dyDescent="0.2">
      <c r="B42" s="276" t="str">
        <f>Swaps!K18</f>
        <v>obj_008da#0000</v>
      </c>
      <c r="C42" s="159" t="str">
        <f>_xll.qlRateHelperQuoteName(B42)</f>
        <v>EURAB6E10Y_Quote</v>
      </c>
      <c r="D42" s="160">
        <f>_xll.qlRateHelperQuoteValue($B42,Trigger)</f>
        <v>1.0970000000000001E-2</v>
      </c>
      <c r="E42" s="160">
        <f>_xll.qlSwapRateHelperSpread($B42,Trigger)</f>
        <v>0</v>
      </c>
      <c r="F42" s="161" t="b">
        <v>1</v>
      </c>
      <c r="G42" s="161">
        <v>50</v>
      </c>
      <c r="H42" s="161">
        <v>1</v>
      </c>
      <c r="I42" s="166">
        <f>_xll.qlRateHelperEarliestDate($B42,Trigger)</f>
        <v>41946</v>
      </c>
      <c r="J42" s="167">
        <f>_xll.qlRateHelperLatestDate($B42,Trigger)</f>
        <v>45600</v>
      </c>
      <c r="L42" s="165"/>
    </row>
    <row r="43" spans="2:12" x14ac:dyDescent="0.2">
      <c r="B43" s="276" t="str">
        <f>Swaps!K19</f>
        <v>obj_008cd#0000</v>
      </c>
      <c r="C43" s="159" t="str">
        <f>_xll.qlRateHelperQuoteName(B43)</f>
        <v>EURAB6E11Y_Quote</v>
      </c>
      <c r="D43" s="160">
        <f>_xll.qlRateHelperQuoteValue($B43,Trigger)</f>
        <v>1.201E-2</v>
      </c>
      <c r="E43" s="160">
        <f>_xll.qlSwapRateHelperSpread($B43,Trigger)</f>
        <v>0</v>
      </c>
      <c r="F43" s="161" t="b">
        <v>0</v>
      </c>
      <c r="G43" s="161">
        <v>50</v>
      </c>
      <c r="H43" s="161">
        <v>1</v>
      </c>
      <c r="I43" s="166">
        <f>_xll.qlRateHelperEarliestDate($B43,Trigger)</f>
        <v>41946</v>
      </c>
      <c r="J43" s="167">
        <f>_xll.qlRateHelperLatestDate($B43,Trigger)</f>
        <v>45964</v>
      </c>
      <c r="L43" s="165"/>
    </row>
    <row r="44" spans="2:12" x14ac:dyDescent="0.2">
      <c r="B44" s="276" t="str">
        <f>Swaps!K20</f>
        <v>obj_008d1#0000</v>
      </c>
      <c r="C44" s="159" t="str">
        <f>_xll.qlRateHelperQuoteName(B44)</f>
        <v>EURAB6E12Y_Quote</v>
      </c>
      <c r="D44" s="160">
        <f>_xll.qlRateHelperQuoteValue($B44,Trigger)</f>
        <v>1.2920000000000001E-2</v>
      </c>
      <c r="E44" s="160">
        <f>_xll.qlSwapRateHelperSpread($B44,Trigger)</f>
        <v>0</v>
      </c>
      <c r="F44" s="161" t="b">
        <v>1</v>
      </c>
      <c r="G44" s="161">
        <v>50</v>
      </c>
      <c r="H44" s="161">
        <v>1</v>
      </c>
      <c r="I44" s="166">
        <f>_xll.qlRateHelperEarliestDate($B44,Trigger)</f>
        <v>41946</v>
      </c>
      <c r="J44" s="167">
        <f>_xll.qlRateHelperLatestDate($B44,Trigger)</f>
        <v>46329</v>
      </c>
      <c r="L44" s="165"/>
    </row>
    <row r="45" spans="2:12" x14ac:dyDescent="0.2">
      <c r="B45" s="276" t="str">
        <f>Swaps!K21</f>
        <v>obj_008c6#0000</v>
      </c>
      <c r="C45" s="159" t="str">
        <f>_xll.qlRateHelperQuoteName(B45)</f>
        <v>EURAB6E13Y_Quote</v>
      </c>
      <c r="D45" s="160">
        <f>_xll.qlRateHelperQuoteValue($B45,Trigger)</f>
        <v>1.372E-2</v>
      </c>
      <c r="E45" s="160">
        <f>_xll.qlSwapRateHelperSpread($B45,Trigger)</f>
        <v>0</v>
      </c>
      <c r="F45" s="161" t="b">
        <v>0</v>
      </c>
      <c r="G45" s="161">
        <v>50</v>
      </c>
      <c r="H45" s="161">
        <v>1</v>
      </c>
      <c r="I45" s="166">
        <f>_xll.qlRateHelperEarliestDate($B45,Trigger)</f>
        <v>41946</v>
      </c>
      <c r="J45" s="167">
        <f>_xll.qlRateHelperLatestDate($B45,Trigger)</f>
        <v>46694</v>
      </c>
      <c r="L45" s="165"/>
    </row>
    <row r="46" spans="2:12" x14ac:dyDescent="0.2">
      <c r="B46" s="276" t="str">
        <f>Swaps!K22</f>
        <v>obj_008c8#0000</v>
      </c>
      <c r="C46" s="159" t="str">
        <f>_xll.qlRateHelperQuoteName(B46)</f>
        <v>EURAB6E14Y_Quote</v>
      </c>
      <c r="D46" s="160">
        <f>_xll.qlRateHelperQuoteValue($B46,Trigger)</f>
        <v>1.4419999999999999E-2</v>
      </c>
      <c r="E46" s="160">
        <f>_xll.qlSwapRateHelperSpread($B46,Trigger)</f>
        <v>0</v>
      </c>
      <c r="F46" s="161" t="b">
        <v>0</v>
      </c>
      <c r="G46" s="161">
        <v>50</v>
      </c>
      <c r="H46" s="161">
        <v>1</v>
      </c>
      <c r="I46" s="166">
        <f>_xll.qlRateHelperEarliestDate($B46,Trigger)</f>
        <v>41946</v>
      </c>
      <c r="J46" s="167">
        <f>_xll.qlRateHelperLatestDate($B46,Trigger)</f>
        <v>47060</v>
      </c>
      <c r="L46" s="165"/>
    </row>
    <row r="47" spans="2:12" x14ac:dyDescent="0.2">
      <c r="B47" s="276" t="str">
        <f>Swaps!K23</f>
        <v>obj_008bf#0000</v>
      </c>
      <c r="C47" s="290" t="str">
        <f>_xll.qlRateHelperQuoteName(B47)</f>
        <v>EURAB6E15Y_Quote</v>
      </c>
      <c r="D47" s="291">
        <f>_xll.qlRateHelperQuoteValue($B47,Trigger)</f>
        <v>1.502E-2</v>
      </c>
      <c r="E47" s="291">
        <f>_xll.qlSwapRateHelperSpread($B47,Trigger)</f>
        <v>0</v>
      </c>
      <c r="F47" s="292" t="b">
        <v>1</v>
      </c>
      <c r="G47" s="292">
        <v>50</v>
      </c>
      <c r="H47" s="292">
        <v>1</v>
      </c>
      <c r="I47" s="293">
        <f>_xll.qlRateHelperEarliestDate($B47,Trigger)</f>
        <v>41946</v>
      </c>
      <c r="J47" s="294">
        <f>_xll.qlRateHelperLatestDate($B47,Trigger)</f>
        <v>47427</v>
      </c>
      <c r="L47" s="165"/>
    </row>
    <row r="48" spans="2:12" x14ac:dyDescent="0.2">
      <c r="B48" s="276" t="str">
        <f>Swaps!K24</f>
        <v>obj_008d2#0000</v>
      </c>
      <c r="C48" s="159" t="str">
        <f>_xll.qlRateHelperQuoteName(B48)</f>
        <v>EURAB6E16Y_Quote</v>
      </c>
      <c r="D48" s="160">
        <f>_xll.qlRateHelperQuoteValue($B48,Trigger)</f>
        <v>1.555E-2</v>
      </c>
      <c r="E48" s="160">
        <f>_xll.qlSwapRateHelperSpread($B48,Trigger)</f>
        <v>0</v>
      </c>
      <c r="F48" s="161" t="b">
        <v>0</v>
      </c>
      <c r="G48" s="161">
        <v>50</v>
      </c>
      <c r="H48" s="161">
        <v>1</v>
      </c>
      <c r="I48" s="166">
        <f>_xll.qlRateHelperEarliestDate($B48,Trigger)</f>
        <v>41946</v>
      </c>
      <c r="J48" s="167">
        <f>_xll.qlRateHelperLatestDate($B48,Trigger)</f>
        <v>47791</v>
      </c>
      <c r="L48" s="165"/>
    </row>
    <row r="49" spans="2:12" x14ac:dyDescent="0.2">
      <c r="B49" s="276" t="str">
        <f>Swaps!K25</f>
        <v>obj_008d9#0000</v>
      </c>
      <c r="C49" s="159" t="str">
        <f>_xll.qlRateHelperQuoteName(B49)</f>
        <v>EURAB6E17Y_Quote</v>
      </c>
      <c r="D49" s="160">
        <f>_xll.qlRateHelperQuoteValue($B49,Trigger)</f>
        <v>1.601E-2</v>
      </c>
      <c r="E49" s="160">
        <f>_xll.qlSwapRateHelperSpread($B49,Trigger)</f>
        <v>0</v>
      </c>
      <c r="F49" s="161" t="b">
        <v>0</v>
      </c>
      <c r="G49" s="161">
        <v>50</v>
      </c>
      <c r="H49" s="161">
        <v>1</v>
      </c>
      <c r="I49" s="166">
        <f>_xll.qlRateHelperEarliestDate($B49,Trigger)</f>
        <v>41946</v>
      </c>
      <c r="J49" s="167">
        <f>_xll.qlRateHelperLatestDate($B49,Trigger)</f>
        <v>48155</v>
      </c>
      <c r="L49" s="165"/>
    </row>
    <row r="50" spans="2:12" x14ac:dyDescent="0.2">
      <c r="B50" s="276" t="str">
        <f>Swaps!K26</f>
        <v>obj_008c5#0000</v>
      </c>
      <c r="C50" s="159" t="str">
        <f>_xll.qlRateHelperQuoteName(B50)</f>
        <v>EURAB6E18Y_Quote</v>
      </c>
      <c r="D50" s="160">
        <f>_xll.qlRateHelperQuoteValue($B50,Trigger)</f>
        <v>1.6400000000000001E-2</v>
      </c>
      <c r="E50" s="160">
        <f>_xll.qlSwapRateHelperSpread($B50,Trigger)</f>
        <v>0</v>
      </c>
      <c r="F50" s="161" t="b">
        <v>0</v>
      </c>
      <c r="G50" s="161">
        <v>50</v>
      </c>
      <c r="H50" s="161">
        <v>1</v>
      </c>
      <c r="I50" s="166">
        <f>_xll.qlRateHelperEarliestDate($B50,Trigger)</f>
        <v>41946</v>
      </c>
      <c r="J50" s="167">
        <f>_xll.qlRateHelperLatestDate($B50,Trigger)</f>
        <v>48521</v>
      </c>
      <c r="L50" s="165"/>
    </row>
    <row r="51" spans="2:12" x14ac:dyDescent="0.2">
      <c r="B51" s="276" t="str">
        <f>Swaps!K27</f>
        <v>obj_008de#0000</v>
      </c>
      <c r="C51" s="159" t="str">
        <f>_xll.qlRateHelperQuoteName(B51)</f>
        <v>EURAB6E19Y_Quote</v>
      </c>
      <c r="D51" s="160">
        <f>_xll.qlRateHelperQuoteValue($B51,Trigger)</f>
        <v>1.6739999999999998E-2</v>
      </c>
      <c r="E51" s="160">
        <f>_xll.qlSwapRateHelperSpread($B51,Trigger)</f>
        <v>0</v>
      </c>
      <c r="F51" s="161" t="b">
        <v>0</v>
      </c>
      <c r="G51" s="161">
        <v>50</v>
      </c>
      <c r="H51" s="161">
        <v>1</v>
      </c>
      <c r="I51" s="166">
        <f>_xll.qlRateHelperEarliestDate($B51,Trigger)</f>
        <v>41946</v>
      </c>
      <c r="J51" s="167">
        <f>_xll.qlRateHelperLatestDate($B51,Trigger)</f>
        <v>48886</v>
      </c>
      <c r="L51" s="165"/>
    </row>
    <row r="52" spans="2:12" x14ac:dyDescent="0.2">
      <c r="B52" s="276" t="str">
        <f>Swaps!K28</f>
        <v>obj_008bd#0000</v>
      </c>
      <c r="C52" s="159" t="str">
        <f>_xll.qlRateHelperQuoteName(B52)</f>
        <v>EURAB6E20Y_Quote</v>
      </c>
      <c r="D52" s="160">
        <f>_xll.qlRateHelperQuoteValue($B52,Trigger)</f>
        <v>1.702E-2</v>
      </c>
      <c r="E52" s="160">
        <f>_xll.qlSwapRateHelperSpread($B52,Trigger)</f>
        <v>0</v>
      </c>
      <c r="F52" s="161" t="b">
        <v>1</v>
      </c>
      <c r="G52" s="161">
        <v>50</v>
      </c>
      <c r="H52" s="161">
        <v>1</v>
      </c>
      <c r="I52" s="166">
        <f>_xll.qlRateHelperEarliestDate($B52,Trigger)</f>
        <v>41946</v>
      </c>
      <c r="J52" s="167">
        <f>_xll.qlRateHelperLatestDate($B52,Trigger)</f>
        <v>49251</v>
      </c>
      <c r="L52" s="165"/>
    </row>
    <row r="53" spans="2:12" x14ac:dyDescent="0.2">
      <c r="B53" s="276" t="str">
        <f>Swaps!K29</f>
        <v>obj_008db#0000</v>
      </c>
      <c r="C53" s="159" t="str">
        <f>_xll.qlRateHelperQuoteName(B53)</f>
        <v>EURAB6E21Y_Quote</v>
      </c>
      <c r="D53" s="160">
        <f>_xll.qlRateHelperQuoteValue($B53,Trigger)</f>
        <v>1.7260000000000001E-2</v>
      </c>
      <c r="E53" s="160">
        <f>_xll.qlSwapRateHelperSpread($B53,Trigger)</f>
        <v>0</v>
      </c>
      <c r="F53" s="161" t="b">
        <v>0</v>
      </c>
      <c r="G53" s="161">
        <v>50</v>
      </c>
      <c r="H53" s="161">
        <v>1</v>
      </c>
      <c r="I53" s="166">
        <f>_xll.qlRateHelperEarliestDate($B53,Trigger)</f>
        <v>41946</v>
      </c>
      <c r="J53" s="167">
        <f>_xll.qlRateHelperLatestDate($B53,Trigger)</f>
        <v>49618</v>
      </c>
      <c r="L53" s="165"/>
    </row>
    <row r="54" spans="2:12" x14ac:dyDescent="0.2">
      <c r="B54" s="276" t="str">
        <f>Swaps!K30</f>
        <v>obj_008e0#0000</v>
      </c>
      <c r="C54" s="159" t="str">
        <f>_xll.qlRateHelperQuoteName(B54)</f>
        <v>EURAB6E22Y_Quote</v>
      </c>
      <c r="D54" s="160">
        <f>_xll.qlRateHelperQuoteValue($B54,Trigger)</f>
        <v>1.745E-2</v>
      </c>
      <c r="E54" s="160">
        <f>_xll.qlSwapRateHelperSpread($B54,Trigger)</f>
        <v>0</v>
      </c>
      <c r="F54" s="161" t="b">
        <v>0</v>
      </c>
      <c r="G54" s="161">
        <v>50</v>
      </c>
      <c r="H54" s="161">
        <v>1</v>
      </c>
      <c r="I54" s="166">
        <f>_xll.qlRateHelperEarliestDate($B54,Trigger)</f>
        <v>41946</v>
      </c>
      <c r="J54" s="167">
        <f>_xll.qlRateHelperLatestDate($B54,Trigger)</f>
        <v>49982</v>
      </c>
      <c r="L54" s="165"/>
    </row>
    <row r="55" spans="2:12" x14ac:dyDescent="0.2">
      <c r="B55" s="276" t="str">
        <f>Swaps!K31</f>
        <v>obj_008df#0000</v>
      </c>
      <c r="C55" s="159" t="str">
        <f>_xll.qlRateHelperQuoteName(B55)</f>
        <v>EURAB6E23Y_Quote</v>
      </c>
      <c r="D55" s="160">
        <f>_xll.qlRateHelperQuoteValue($B55,Trigger)</f>
        <v>1.7610000000000001E-2</v>
      </c>
      <c r="E55" s="160">
        <f>_xll.qlSwapRateHelperSpread($B55,Trigger)</f>
        <v>0</v>
      </c>
      <c r="F55" s="161" t="b">
        <v>0</v>
      </c>
      <c r="G55" s="161">
        <v>50</v>
      </c>
      <c r="H55" s="161">
        <v>1</v>
      </c>
      <c r="I55" s="166">
        <f>_xll.qlRateHelperEarliestDate($B55,Trigger)</f>
        <v>41946</v>
      </c>
      <c r="J55" s="167">
        <f>_xll.qlRateHelperLatestDate($B55,Trigger)</f>
        <v>50347</v>
      </c>
      <c r="L55" s="165"/>
    </row>
    <row r="56" spans="2:12" x14ac:dyDescent="0.2">
      <c r="B56" s="276" t="str">
        <f>Swaps!K32</f>
        <v>obj_008cc#0000</v>
      </c>
      <c r="C56" s="159" t="str">
        <f>_xll.qlRateHelperQuoteName(B56)</f>
        <v>EURAB6E24Y_Quote</v>
      </c>
      <c r="D56" s="160">
        <f>_xll.qlRateHelperQuoteValue($B56,Trigger)</f>
        <v>1.7739999999999999E-2</v>
      </c>
      <c r="E56" s="160">
        <f>_xll.qlSwapRateHelperSpread($B56,Trigger)</f>
        <v>0</v>
      </c>
      <c r="F56" s="161" t="b">
        <v>0</v>
      </c>
      <c r="G56" s="161">
        <v>50</v>
      </c>
      <c r="H56" s="161">
        <v>1</v>
      </c>
      <c r="I56" s="166">
        <f>_xll.qlRateHelperEarliestDate($B56,Trigger)</f>
        <v>41946</v>
      </c>
      <c r="J56" s="167">
        <f>_xll.qlRateHelperLatestDate($B56,Trigger)</f>
        <v>50712</v>
      </c>
      <c r="L56" s="165"/>
    </row>
    <row r="57" spans="2:12" x14ac:dyDescent="0.2">
      <c r="B57" s="276" t="str">
        <f>Swaps!K33</f>
        <v>obj_008c9#0000</v>
      </c>
      <c r="C57" s="159" t="str">
        <f>_xll.qlRateHelperQuoteName(B57)</f>
        <v>EURAB6E25Y_Quote</v>
      </c>
      <c r="D57" s="160">
        <f>_xll.qlRateHelperQuoteValue($B57,Trigger)</f>
        <v>1.7849999999999998E-2</v>
      </c>
      <c r="E57" s="160">
        <f>_xll.qlSwapRateHelperSpread($B57,Trigger)</f>
        <v>0</v>
      </c>
      <c r="F57" s="161" t="b">
        <v>1</v>
      </c>
      <c r="G57" s="161">
        <v>50</v>
      </c>
      <c r="H57" s="161">
        <v>1</v>
      </c>
      <c r="I57" s="166">
        <f>_xll.qlRateHelperEarliestDate($B57,Trigger)</f>
        <v>41946</v>
      </c>
      <c r="J57" s="167">
        <f>_xll.qlRateHelperLatestDate($B57,Trigger)</f>
        <v>51077</v>
      </c>
      <c r="L57" s="165"/>
    </row>
    <row r="58" spans="2:12" x14ac:dyDescent="0.2">
      <c r="B58" s="276" t="str">
        <f>Swaps!K34</f>
        <v>obj_008e6#0000</v>
      </c>
      <c r="C58" s="159" t="str">
        <f>_xll.qlRateHelperQuoteName(B58)</f>
        <v>EURAB6E26Y_Quote</v>
      </c>
      <c r="D58" s="160">
        <f>_xll.qlRateHelperQuoteValue($B58,Trigger)</f>
        <v>1.7940000000000001E-2</v>
      </c>
      <c r="E58" s="160">
        <f>_xll.qlSwapRateHelperSpread($B58,Trigger)</f>
        <v>0</v>
      </c>
      <c r="F58" s="161" t="b">
        <v>0</v>
      </c>
      <c r="G58" s="161">
        <v>50</v>
      </c>
      <c r="H58" s="161">
        <v>1</v>
      </c>
      <c r="I58" s="166">
        <f>_xll.qlRateHelperEarliestDate($B58,Trigger)</f>
        <v>41946</v>
      </c>
      <c r="J58" s="167">
        <f>_xll.qlRateHelperLatestDate($B58,Trigger)</f>
        <v>51445</v>
      </c>
      <c r="L58" s="165"/>
    </row>
    <row r="59" spans="2:12" x14ac:dyDescent="0.2">
      <c r="B59" s="276" t="str">
        <f>Swaps!K35</f>
        <v>obj_008d4#0000</v>
      </c>
      <c r="C59" s="159" t="str">
        <f>_xll.qlRateHelperQuoteName(B59)</f>
        <v>EURAB6E27Y_Quote</v>
      </c>
      <c r="D59" s="160">
        <f>_xll.qlRateHelperQuoteValue($B59,Trigger)</f>
        <v>1.8020000000000001E-2</v>
      </c>
      <c r="E59" s="160">
        <f>_xll.qlSwapRateHelperSpread($B59,Trigger)</f>
        <v>0</v>
      </c>
      <c r="F59" s="161" t="b">
        <v>0</v>
      </c>
      <c r="G59" s="161">
        <v>50</v>
      </c>
      <c r="H59" s="161">
        <v>1</v>
      </c>
      <c r="I59" s="166">
        <f>_xll.qlRateHelperEarliestDate($B59,Trigger)</f>
        <v>41946</v>
      </c>
      <c r="J59" s="167">
        <f>_xll.qlRateHelperLatestDate($B59,Trigger)</f>
        <v>51809</v>
      </c>
      <c r="L59" s="165"/>
    </row>
    <row r="60" spans="2:12" x14ac:dyDescent="0.2">
      <c r="B60" s="276" t="str">
        <f>Swaps!K36</f>
        <v>obj_008d5#0000</v>
      </c>
      <c r="C60" s="159" t="str">
        <f>_xll.qlRateHelperQuoteName(B60)</f>
        <v>EURAB6E28Y_Quote</v>
      </c>
      <c r="D60" s="160">
        <f>_xll.qlRateHelperQuoteValue($B60,Trigger)</f>
        <v>1.8079999999999999E-2</v>
      </c>
      <c r="E60" s="160">
        <f>_xll.qlSwapRateHelperSpread($B60,Trigger)</f>
        <v>0</v>
      </c>
      <c r="F60" s="161" t="b">
        <v>0</v>
      </c>
      <c r="G60" s="161">
        <v>50</v>
      </c>
      <c r="H60" s="161">
        <v>1</v>
      </c>
      <c r="I60" s="166">
        <f>_xll.qlRateHelperEarliestDate($B60,Trigger)</f>
        <v>41946</v>
      </c>
      <c r="J60" s="167">
        <f>_xll.qlRateHelperLatestDate($B60,Trigger)</f>
        <v>52173</v>
      </c>
      <c r="L60" s="165"/>
    </row>
    <row r="61" spans="2:12" x14ac:dyDescent="0.2">
      <c r="B61" s="276" t="str">
        <f>Swaps!K37</f>
        <v>obj_008ba#0000</v>
      </c>
      <c r="C61" s="159" t="str">
        <f>_xll.qlRateHelperQuoteName(B61)</f>
        <v>EURAB6E29Y_Quote</v>
      </c>
      <c r="D61" s="160">
        <f>_xll.qlRateHelperQuoteValue($B61,Trigger)</f>
        <v>1.814E-2</v>
      </c>
      <c r="E61" s="160">
        <f>_xll.qlSwapRateHelperSpread($B61,Trigger)</f>
        <v>0</v>
      </c>
      <c r="F61" s="161" t="b">
        <v>0</v>
      </c>
      <c r="G61" s="161">
        <v>50</v>
      </c>
      <c r="H61" s="161">
        <v>1</v>
      </c>
      <c r="I61" s="166">
        <f>_xll.qlRateHelperEarliestDate($B61,Trigger)</f>
        <v>41946</v>
      </c>
      <c r="J61" s="167">
        <f>_xll.qlRateHelperLatestDate($B61,Trigger)</f>
        <v>52538</v>
      </c>
      <c r="L61" s="165"/>
    </row>
    <row r="62" spans="2:12" x14ac:dyDescent="0.2">
      <c r="B62" s="276" t="str">
        <f>Swaps!K38</f>
        <v>obj_008e7#0000</v>
      </c>
      <c r="C62" s="159" t="str">
        <f>_xll.qlRateHelperQuoteName(B62)</f>
        <v>EURAB6E30Y_Quote</v>
      </c>
      <c r="D62" s="160">
        <f>_xll.qlRateHelperQuoteValue($B62,Trigger)</f>
        <v>1.8200000000000001E-2</v>
      </c>
      <c r="E62" s="160">
        <f>_xll.qlSwapRateHelperSpread($B62,Trigger)</f>
        <v>0</v>
      </c>
      <c r="F62" s="161" t="b">
        <v>1</v>
      </c>
      <c r="G62" s="161">
        <v>50</v>
      </c>
      <c r="H62" s="161">
        <v>1</v>
      </c>
      <c r="I62" s="166">
        <f>_xll.qlRateHelperEarliestDate($B62,Trigger)</f>
        <v>41946</v>
      </c>
      <c r="J62" s="167">
        <f>_xll.qlRateHelperLatestDate($B62,Trigger)</f>
        <v>52904</v>
      </c>
      <c r="L62" s="165"/>
    </row>
    <row r="63" spans="2:12" x14ac:dyDescent="0.2">
      <c r="B63" s="276" t="str">
        <f>Swaps!K39</f>
        <v>obj_008cb#0000</v>
      </c>
      <c r="C63" s="159" t="str">
        <f>_xll.qlRateHelperQuoteName(B63)</f>
        <v>EURAB6E35Y_Quote</v>
      </c>
      <c r="D63" s="160">
        <f>_xll.qlRateHelperQuoteValue($B63,Trigger)</f>
        <v>1.848E-2</v>
      </c>
      <c r="E63" s="160">
        <f>_xll.qlSwapRateHelperSpread($B63,Trigger)</f>
        <v>0</v>
      </c>
      <c r="F63" s="161" t="b">
        <v>1</v>
      </c>
      <c r="G63" s="161">
        <v>50</v>
      </c>
      <c r="H63" s="161">
        <v>1</v>
      </c>
      <c r="I63" s="166">
        <f>_xll.qlRateHelperEarliestDate($B63,Trigger)</f>
        <v>41946</v>
      </c>
      <c r="J63" s="167">
        <f>_xll.qlRateHelperLatestDate($B63,Trigger)</f>
        <v>54730</v>
      </c>
      <c r="L63" s="165"/>
    </row>
    <row r="64" spans="2:12" x14ac:dyDescent="0.2">
      <c r="B64" s="276" t="str">
        <f>Swaps!K40</f>
        <v>obj_008e3#0000</v>
      </c>
      <c r="C64" s="159" t="str">
        <f>_xll.qlRateHelperQuoteName(B64)</f>
        <v>EURAB6E40Y_Quote</v>
      </c>
      <c r="D64" s="160">
        <f>_xll.qlRateHelperQuoteValue($B64,Trigger)</f>
        <v>1.873E-2</v>
      </c>
      <c r="E64" s="160">
        <f>_xll.qlSwapRateHelperSpread($B64,Trigger)</f>
        <v>0</v>
      </c>
      <c r="F64" s="161" t="b">
        <v>1</v>
      </c>
      <c r="G64" s="161">
        <v>50</v>
      </c>
      <c r="H64" s="161">
        <v>1</v>
      </c>
      <c r="I64" s="166">
        <f>_xll.qlRateHelperEarliestDate($B64,Trigger)</f>
        <v>41946</v>
      </c>
      <c r="J64" s="167">
        <f>_xll.qlRateHelperLatestDate($B64,Trigger)</f>
        <v>56556</v>
      </c>
      <c r="L64" s="165"/>
    </row>
    <row r="65" spans="2:12" x14ac:dyDescent="0.2">
      <c r="B65" s="276" t="str">
        <f>Swaps!K41</f>
        <v>obj_008e1#0000</v>
      </c>
      <c r="C65" s="159" t="str">
        <f>_xll.qlRateHelperQuoteName(B65)</f>
        <v>EURAB6E50Y_Quote</v>
      </c>
      <c r="D65" s="160">
        <f>_xll.qlRateHelperQuoteValue($B65,Trigger)</f>
        <v>1.8839999999999999E-2</v>
      </c>
      <c r="E65" s="160">
        <f>_xll.qlSwapRateHelperSpread($B65,Trigger)</f>
        <v>0</v>
      </c>
      <c r="F65" s="161" t="b">
        <v>1</v>
      </c>
      <c r="G65" s="161">
        <v>50</v>
      </c>
      <c r="H65" s="161">
        <v>1</v>
      </c>
      <c r="I65" s="166">
        <f>_xll.qlRateHelperEarliestDate($B65,Trigger)</f>
        <v>41946</v>
      </c>
      <c r="J65" s="167">
        <f>_xll.qlRateHelperLatestDate($B65,Trigger)</f>
        <v>60209</v>
      </c>
      <c r="L65" s="165"/>
    </row>
    <row r="66" spans="2:12" x14ac:dyDescent="0.2">
      <c r="B66" s="277" t="str">
        <f>Swaps!K42</f>
        <v>obj_008dd#0000</v>
      </c>
      <c r="C66" s="162" t="str">
        <f>_xll.qlRateHelperQuoteName(B66)</f>
        <v>EURAB6E60Y_Quote</v>
      </c>
      <c r="D66" s="163">
        <f>_xll.qlRateHelperQuoteValue($B66,Trigger)</f>
        <v>1.8970000000000001E-2</v>
      </c>
      <c r="E66" s="163">
        <f>_xll.qlSwapRateHelperSpread($B66,Trigger)</f>
        <v>0</v>
      </c>
      <c r="F66" s="164" t="b">
        <v>1</v>
      </c>
      <c r="G66" s="164">
        <v>50</v>
      </c>
      <c r="H66" s="164">
        <v>1</v>
      </c>
      <c r="I66" s="168">
        <f>_xll.qlRateHelperEarliestDate($B66,Trigger)</f>
        <v>41946</v>
      </c>
      <c r="J66" s="169">
        <f>_xll.qlRateHelperLatestDate($B66,Trigger)</f>
        <v>63863</v>
      </c>
      <c r="L66" s="165"/>
    </row>
    <row r="67" spans="2:12" x14ac:dyDescent="0.2">
      <c r="B67" s="278" t="str">
        <f>ForwardSwaps!J6</f>
        <v>obj_0089e#0000</v>
      </c>
      <c r="C67" s="261" t="str">
        <f>_xll.qlRateHelperQuoteName(B67)</f>
        <v>EUR1F1Y_Quote</v>
      </c>
      <c r="D67" s="279">
        <f>_xll.qlRateHelperQuoteValue($B67,Trigger)</f>
        <v>2.66E-3</v>
      </c>
      <c r="E67" s="279">
        <f>_xll.qlSwapRateHelperSpread($B67,Trigger)</f>
        <v>0</v>
      </c>
      <c r="F67" s="280" t="b">
        <v>0</v>
      </c>
      <c r="G67" s="280">
        <v>50</v>
      </c>
      <c r="H67" s="280">
        <v>1</v>
      </c>
      <c r="I67" s="281">
        <f>_xll.qlRateHelperEarliestDate($B67,Trigger)</f>
        <v>42311</v>
      </c>
      <c r="J67" s="282">
        <f>_xll.qlRateHelperLatestDate($B67,Trigger)</f>
        <v>42677</v>
      </c>
      <c r="L67" s="165"/>
    </row>
    <row r="68" spans="2:12" x14ac:dyDescent="0.2">
      <c r="B68" s="276" t="str">
        <f>ForwardSwaps!J7</f>
        <v>obj_0089c#0000</v>
      </c>
      <c r="C68" s="159" t="str">
        <f>_xll.qlRateHelperQuoteName(B68)</f>
        <v>EUR1F2Y_Quote</v>
      </c>
      <c r="D68" s="160">
        <f>_xll.qlRateHelperQuoteValue($B68,Trigger)</f>
        <v>3.3800000000000002E-3</v>
      </c>
      <c r="E68" s="160">
        <f>_xll.qlSwapRateHelperSpread($B68,Trigger)</f>
        <v>0</v>
      </c>
      <c r="F68" s="161" t="b">
        <v>0</v>
      </c>
      <c r="G68" s="161">
        <v>50</v>
      </c>
      <c r="H68" s="161">
        <v>1</v>
      </c>
      <c r="I68" s="166">
        <f>_xll.qlRateHelperEarliestDate($B68,Trigger)</f>
        <v>42311</v>
      </c>
      <c r="J68" s="167">
        <f>_xll.qlRateHelperLatestDate($B68,Trigger)</f>
        <v>43042</v>
      </c>
      <c r="L68" s="165"/>
    </row>
    <row r="69" spans="2:12" x14ac:dyDescent="0.2">
      <c r="B69" s="276" t="str">
        <f>ForwardSwaps!J8</f>
        <v>obj_00842#0000</v>
      </c>
      <c r="C69" s="159" t="str">
        <f>_xll.qlRateHelperQuoteName(B69)</f>
        <v>EUR1F3Y_Quote</v>
      </c>
      <c r="D69" s="160">
        <f>_xll.qlRateHelperQuoteValue($B69,Trigger)</f>
        <v>4.3499999999999997E-3</v>
      </c>
      <c r="E69" s="160">
        <f>_xll.qlSwapRateHelperSpread($B69,Trigger)</f>
        <v>0</v>
      </c>
      <c r="F69" s="161" t="b">
        <v>0</v>
      </c>
      <c r="G69" s="161">
        <v>50</v>
      </c>
      <c r="H69" s="161">
        <v>1</v>
      </c>
      <c r="I69" s="166">
        <f>_xll.qlRateHelperEarliestDate($B69,Trigger)</f>
        <v>42311</v>
      </c>
      <c r="J69" s="167">
        <f>_xll.qlRateHelperLatestDate($B69,Trigger)</f>
        <v>43409</v>
      </c>
      <c r="L69" s="165"/>
    </row>
    <row r="70" spans="2:12" x14ac:dyDescent="0.2">
      <c r="B70" s="276" t="str">
        <f>ForwardSwaps!J9</f>
        <v>obj_008a1#0000</v>
      </c>
      <c r="C70" s="159" t="str">
        <f>_xll.qlRateHelperQuoteName(B70)</f>
        <v>EUR1F4Y_Quote</v>
      </c>
      <c r="D70" s="160">
        <f>_xll.qlRateHelperQuoteValue($B70,Trigger)</f>
        <v>5.5000000000000005E-3</v>
      </c>
      <c r="E70" s="160">
        <f>_xll.qlSwapRateHelperSpread($B70,Trigger)</f>
        <v>0</v>
      </c>
      <c r="F70" s="161" t="b">
        <v>0</v>
      </c>
      <c r="G70" s="161">
        <v>50</v>
      </c>
      <c r="H70" s="161">
        <v>1</v>
      </c>
      <c r="I70" s="166">
        <f>_xll.qlRateHelperEarliestDate($B70,Trigger)</f>
        <v>42311</v>
      </c>
      <c r="J70" s="167">
        <f>_xll.qlRateHelperLatestDate($B70,Trigger)</f>
        <v>43773</v>
      </c>
      <c r="L70" s="165"/>
    </row>
    <row r="71" spans="2:12" x14ac:dyDescent="0.2">
      <c r="B71" s="276" t="str">
        <f>ForwardSwaps!J10</f>
        <v>obj_00899#0000</v>
      </c>
      <c r="C71" s="159" t="str">
        <f>_xll.qlRateHelperQuoteName(B71)</f>
        <v>EUR1F5Y_Quote</v>
      </c>
      <c r="D71" s="160">
        <f>_xll.qlRateHelperQuoteValue($B71,Trigger)</f>
        <v>6.7400000000000003E-3</v>
      </c>
      <c r="E71" s="160">
        <f>_xll.qlSwapRateHelperSpread($B71,Trigger)</f>
        <v>0</v>
      </c>
      <c r="F71" s="161" t="b">
        <v>0</v>
      </c>
      <c r="G71" s="161">
        <v>50</v>
      </c>
      <c r="H71" s="161">
        <v>1</v>
      </c>
      <c r="I71" s="166">
        <f>_xll.qlRateHelperEarliestDate($B71,Trigger)</f>
        <v>42311</v>
      </c>
      <c r="J71" s="167">
        <f>_xll.qlRateHelperLatestDate($B71,Trigger)</f>
        <v>44138</v>
      </c>
      <c r="L71" s="165"/>
    </row>
    <row r="72" spans="2:12" x14ac:dyDescent="0.2">
      <c r="B72" s="276" t="str">
        <f>ForwardSwaps!J11</f>
        <v>obj_008a6#0000</v>
      </c>
      <c r="C72" s="159" t="str">
        <f>_xll.qlRateHelperQuoteName(B72)</f>
        <v>EUR1F6Y_Quote</v>
      </c>
      <c r="D72" s="160">
        <f>_xll.qlRateHelperQuoteValue($B72,Trigger)</f>
        <v>8.1100000000000009E-3</v>
      </c>
      <c r="E72" s="160">
        <f>_xll.qlSwapRateHelperSpread($B72,Trigger)</f>
        <v>0</v>
      </c>
      <c r="F72" s="161" t="b">
        <v>0</v>
      </c>
      <c r="G72" s="161">
        <v>50</v>
      </c>
      <c r="H72" s="161">
        <v>1</v>
      </c>
      <c r="I72" s="166">
        <f>_xll.qlRateHelperEarliestDate($B72,Trigger)</f>
        <v>42311</v>
      </c>
      <c r="J72" s="167">
        <f>_xll.qlRateHelperLatestDate($B72,Trigger)</f>
        <v>44503</v>
      </c>
      <c r="L72" s="165"/>
    </row>
    <row r="73" spans="2:12" x14ac:dyDescent="0.2">
      <c r="B73" s="276" t="str">
        <f>ForwardSwaps!J12</f>
        <v>obj_008a0#0000</v>
      </c>
      <c r="C73" s="159" t="str">
        <f>_xll.qlRateHelperQuoteName(B73)</f>
        <v>EUR1F7Y_Quote</v>
      </c>
      <c r="D73" s="160">
        <f>_xll.qlRateHelperQuoteValue($B73,Trigger)</f>
        <v>9.4999999999999998E-3</v>
      </c>
      <c r="E73" s="160">
        <f>_xll.qlSwapRateHelperSpread($B73,Trigger)</f>
        <v>0</v>
      </c>
      <c r="F73" s="161" t="b">
        <v>0</v>
      </c>
      <c r="G73" s="161">
        <v>50</v>
      </c>
      <c r="H73" s="161">
        <v>1</v>
      </c>
      <c r="I73" s="166">
        <f>_xll.qlRateHelperEarliestDate($B73,Trigger)</f>
        <v>42311</v>
      </c>
      <c r="J73" s="167">
        <f>_xll.qlRateHelperLatestDate($B73,Trigger)</f>
        <v>44868</v>
      </c>
      <c r="L73" s="165"/>
    </row>
    <row r="74" spans="2:12" x14ac:dyDescent="0.2">
      <c r="B74" s="276" t="str">
        <f>ForwardSwaps!J13</f>
        <v>obj_00898#0000</v>
      </c>
      <c r="C74" s="159" t="str">
        <f>_xll.qlRateHelperQuoteName(B74)</f>
        <v>EUR1F8Y_Quote</v>
      </c>
      <c r="D74" s="160">
        <f>_xll.qlRateHelperQuoteValue($B74,Trigger)</f>
        <v>1.0800000000000001E-2</v>
      </c>
      <c r="E74" s="160">
        <f>_xll.qlSwapRateHelperSpread($B74,Trigger)</f>
        <v>0</v>
      </c>
      <c r="F74" s="161" t="b">
        <v>0</v>
      </c>
      <c r="G74" s="161">
        <v>50</v>
      </c>
      <c r="H74" s="161">
        <v>1</v>
      </c>
      <c r="I74" s="166">
        <f>_xll.qlRateHelperEarliestDate($B74,Trigger)</f>
        <v>42311</v>
      </c>
      <c r="J74" s="167">
        <f>_xll.qlRateHelperLatestDate($B74,Trigger)</f>
        <v>45233</v>
      </c>
      <c r="L74" s="165"/>
    </row>
    <row r="75" spans="2:12" x14ac:dyDescent="0.2">
      <c r="B75" s="276" t="str">
        <f>ForwardSwaps!J14</f>
        <v>obj_0089d#0000</v>
      </c>
      <c r="C75" s="159" t="str">
        <f>_xll.qlRateHelperQuoteName(B75)</f>
        <v>EUR1F9Y_Quote</v>
      </c>
      <c r="D75" s="160">
        <f>_xll.qlRateHelperQuoteValue($B75,Trigger)</f>
        <v>1.1990000000000001E-2</v>
      </c>
      <c r="E75" s="160">
        <f>_xll.qlSwapRateHelperSpread($B75,Trigger)</f>
        <v>0</v>
      </c>
      <c r="F75" s="161" t="b">
        <v>0</v>
      </c>
      <c r="G75" s="161">
        <v>50</v>
      </c>
      <c r="H75" s="161">
        <v>1</v>
      </c>
      <c r="I75" s="166">
        <f>_xll.qlRateHelperEarliestDate($B75,Trigger)</f>
        <v>42311</v>
      </c>
      <c r="J75" s="167">
        <f>_xll.qlRateHelperLatestDate($B75,Trigger)</f>
        <v>45600</v>
      </c>
      <c r="L75" s="165"/>
    </row>
    <row r="76" spans="2:12" x14ac:dyDescent="0.2">
      <c r="B76" s="276" t="str">
        <f>ForwardSwaps!J15</f>
        <v>obj_008a5#0000</v>
      </c>
      <c r="C76" s="159" t="str">
        <f>_xll.qlRateHelperQuoteName(B76)</f>
        <v>EUR1F10Y_Quote</v>
      </c>
      <c r="D76" s="160">
        <f>_xll.qlRateHelperQuoteValue($B76,Trigger)</f>
        <v>1.3040000000000001E-2</v>
      </c>
      <c r="E76" s="160">
        <f>_xll.qlSwapRateHelperSpread($B76,Trigger)</f>
        <v>0</v>
      </c>
      <c r="F76" s="161" t="b">
        <v>0</v>
      </c>
      <c r="G76" s="161">
        <v>50</v>
      </c>
      <c r="H76" s="161">
        <v>1</v>
      </c>
      <c r="I76" s="166">
        <f>_xll.qlRateHelperEarliestDate($B76,Trigger)</f>
        <v>42311</v>
      </c>
      <c r="J76" s="167">
        <f>_xll.qlRateHelperLatestDate($B76,Trigger)</f>
        <v>45964</v>
      </c>
      <c r="L76" s="165"/>
    </row>
    <row r="77" spans="2:12" x14ac:dyDescent="0.2">
      <c r="B77" s="276" t="str">
        <f>ForwardSwaps!J16</f>
        <v>obj_008a3#0000</v>
      </c>
      <c r="C77" s="159" t="str">
        <f>_xll.qlRateHelperQuoteName(B77)</f>
        <v>EUR1F11Y_Quote</v>
      </c>
      <c r="D77" s="160">
        <f>_xll.qlRateHelperQuoteValue($B77,Trigger)</f>
        <v>1.3950000000000001E-2</v>
      </c>
      <c r="E77" s="160">
        <f>_xll.qlSwapRateHelperSpread($B77,Trigger)</f>
        <v>0</v>
      </c>
      <c r="F77" s="161" t="b">
        <v>0</v>
      </c>
      <c r="G77" s="161">
        <v>50</v>
      </c>
      <c r="H77" s="161">
        <v>1</v>
      </c>
      <c r="I77" s="166">
        <f>_xll.qlRateHelperEarliestDate($B77,Trigger)</f>
        <v>42311</v>
      </c>
      <c r="J77" s="167">
        <f>_xll.qlRateHelperLatestDate($B77,Trigger)</f>
        <v>46329</v>
      </c>
      <c r="L77" s="165"/>
    </row>
    <row r="78" spans="2:12" x14ac:dyDescent="0.2">
      <c r="B78" s="276" t="str">
        <f>ForwardSwaps!J17</f>
        <v>obj_0089a#0000</v>
      </c>
      <c r="C78" s="159" t="str">
        <f>_xll.qlRateHelperQuoteName(B78)</f>
        <v>EUR1F12Y_Quote</v>
      </c>
      <c r="D78" s="160">
        <f>_xll.qlRateHelperQuoteValue($B78,Trigger)</f>
        <v>1.474E-2</v>
      </c>
      <c r="E78" s="160">
        <f>_xll.qlSwapRateHelperSpread($B78,Trigger)</f>
        <v>0</v>
      </c>
      <c r="F78" s="161" t="b">
        <v>0</v>
      </c>
      <c r="G78" s="161">
        <v>50</v>
      </c>
      <c r="H78" s="161">
        <v>1</v>
      </c>
      <c r="I78" s="166">
        <f>_xll.qlRateHelperEarliestDate($B78,Trigger)</f>
        <v>42311</v>
      </c>
      <c r="J78" s="167">
        <f>_xll.qlRateHelperLatestDate($B78,Trigger)</f>
        <v>46694</v>
      </c>
      <c r="L78" s="165"/>
    </row>
    <row r="79" spans="2:12" x14ac:dyDescent="0.2">
      <c r="B79" s="276" t="str">
        <f>ForwardSwaps!J18</f>
        <v>obj_0089b#0000</v>
      </c>
      <c r="C79" s="159" t="str">
        <f>_xll.qlRateHelperQuoteName(B79)</f>
        <v>EUR1F13Y_Quote</v>
      </c>
      <c r="D79" s="160">
        <f>_xll.qlRateHelperQuoteValue($B79,Trigger)</f>
        <v>1.5429999999999999E-2</v>
      </c>
      <c r="E79" s="160">
        <f>_xll.qlSwapRateHelperSpread($B79,Trigger)</f>
        <v>0</v>
      </c>
      <c r="F79" s="161" t="b">
        <v>0</v>
      </c>
      <c r="G79" s="161">
        <v>50</v>
      </c>
      <c r="H79" s="161">
        <v>1</v>
      </c>
      <c r="I79" s="166">
        <f>_xll.qlRateHelperEarliestDate($B79,Trigger)</f>
        <v>42311</v>
      </c>
      <c r="J79" s="167">
        <f>_xll.qlRateHelperLatestDate($B79,Trigger)</f>
        <v>47060</v>
      </c>
      <c r="L79" s="165"/>
    </row>
    <row r="80" spans="2:12" x14ac:dyDescent="0.2">
      <c r="B80" s="276" t="str">
        <f>ForwardSwaps!J19</f>
        <v>obj_00896#0000</v>
      </c>
      <c r="C80" s="290" t="str">
        <f>_xll.qlRateHelperQuoteName(B80)</f>
        <v>EUR1F14Y_Quote</v>
      </c>
      <c r="D80" s="291">
        <f>_xll.qlRateHelperQuoteValue($B80,Trigger)</f>
        <v>1.601E-2</v>
      </c>
      <c r="E80" s="291">
        <f>_xll.qlSwapRateHelperSpread($B80,Trigger)</f>
        <v>0</v>
      </c>
      <c r="F80" s="292" t="b">
        <v>0</v>
      </c>
      <c r="G80" s="292">
        <v>50</v>
      </c>
      <c r="H80" s="292">
        <v>1</v>
      </c>
      <c r="I80" s="293">
        <f>_xll.qlRateHelperEarliestDate($B80,Trigger)</f>
        <v>42311</v>
      </c>
      <c r="J80" s="294">
        <f>_xll.qlRateHelperLatestDate($B80,Trigger)</f>
        <v>47427</v>
      </c>
      <c r="L80" s="165"/>
    </row>
    <row r="81" spans="2:12" x14ac:dyDescent="0.2">
      <c r="B81" s="276" t="str">
        <f>ForwardSwaps!J20</f>
        <v>obj_008a4#0000</v>
      </c>
      <c r="C81" s="159" t="str">
        <f>_xll.qlRateHelperQuoteName(B81)</f>
        <v>EUR1F15Y_Quote</v>
      </c>
      <c r="D81" s="160">
        <f>_xll.qlRateHelperQuoteValue($B81,Trigger)</f>
        <v>1.652E-2</v>
      </c>
      <c r="E81" s="160">
        <f>_xll.qlSwapRateHelperSpread($B81,Trigger)</f>
        <v>0</v>
      </c>
      <c r="F81" s="161" t="b">
        <v>0</v>
      </c>
      <c r="G81" s="161">
        <v>50</v>
      </c>
      <c r="H81" s="161">
        <v>1</v>
      </c>
      <c r="I81" s="166">
        <f>_xll.qlRateHelperEarliestDate($B81,Trigger)</f>
        <v>42311</v>
      </c>
      <c r="J81" s="167">
        <f>_xll.qlRateHelperLatestDate($B81,Trigger)</f>
        <v>47791</v>
      </c>
      <c r="L81" s="165"/>
    </row>
    <row r="82" spans="2:12" x14ac:dyDescent="0.2">
      <c r="B82" s="276" t="str">
        <f>ForwardSwaps!J21</f>
        <v>obj_00897#0000</v>
      </c>
      <c r="C82" s="159" t="str">
        <f>_xll.qlRateHelperQuoteName(B82)</f>
        <v>EUR1F20Y_Quote</v>
      </c>
      <c r="D82" s="160">
        <f>_xll.qlRateHelperQuoteValue($B82,Trigger)</f>
        <v>1.8120000000000001E-2</v>
      </c>
      <c r="E82" s="160">
        <f>_xll.qlSwapRateHelperSpread($B82,Trigger)</f>
        <v>0</v>
      </c>
      <c r="F82" s="161" t="b">
        <v>0</v>
      </c>
      <c r="G82" s="161">
        <v>50</v>
      </c>
      <c r="H82" s="161">
        <v>1</v>
      </c>
      <c r="I82" s="166">
        <f>_xll.qlRateHelperEarliestDate($B82,Trigger)</f>
        <v>42311</v>
      </c>
      <c r="J82" s="167">
        <f>_xll.qlRateHelperLatestDate($B82,Trigger)</f>
        <v>49618</v>
      </c>
      <c r="L82" s="165"/>
    </row>
    <row r="83" spans="2:12" x14ac:dyDescent="0.2">
      <c r="B83" s="276" t="str">
        <f>ForwardSwaps!J22</f>
        <v>obj_0089f#0000</v>
      </c>
      <c r="C83" s="159" t="str">
        <f>_xll.qlRateHelperQuoteName(B83)</f>
        <v>EUR1F25Y_Quote</v>
      </c>
      <c r="D83" s="160">
        <f>_xll.qlRateHelperQuoteValue($B83,Trigger)</f>
        <v>1.8700000000000001E-2</v>
      </c>
      <c r="E83" s="160">
        <f>_xll.qlSwapRateHelperSpread($B83,Trigger)</f>
        <v>0</v>
      </c>
      <c r="F83" s="161" t="b">
        <v>0</v>
      </c>
      <c r="G83" s="161">
        <v>50</v>
      </c>
      <c r="H83" s="161">
        <v>1</v>
      </c>
      <c r="I83" s="166">
        <f>_xll.qlRateHelperEarliestDate($B83,Trigger)</f>
        <v>42311</v>
      </c>
      <c r="J83" s="167">
        <f>_xll.qlRateHelperLatestDate($B83,Trigger)</f>
        <v>51445</v>
      </c>
      <c r="L83" s="165"/>
    </row>
    <row r="84" spans="2:12" x14ac:dyDescent="0.2">
      <c r="B84" s="277" t="str">
        <f>ForwardSwaps!J23</f>
        <v>obj_008a2#0000</v>
      </c>
      <c r="C84" s="162" t="str">
        <f>_xll.qlRateHelperQuoteName(B84)</f>
        <v>EUR1F30Y_Quote</v>
      </c>
      <c r="D84" s="163">
        <f>_xll.qlRateHelperQuoteValue($B84,Trigger)</f>
        <v>1.8929999999999999E-2</v>
      </c>
      <c r="E84" s="163">
        <f>_xll.qlSwapRateHelperSpread($B84,Trigger)</f>
        <v>0</v>
      </c>
      <c r="F84" s="164" t="b">
        <v>0</v>
      </c>
      <c r="G84" s="164">
        <v>50</v>
      </c>
      <c r="H84" s="164">
        <v>1</v>
      </c>
      <c r="I84" s="168">
        <f>_xll.qlRateHelperEarliestDate($B84,Trigger)</f>
        <v>42311</v>
      </c>
      <c r="J84" s="169">
        <f>_xll.qlRateHelperLatestDate($B84,Trigger)</f>
        <v>53269</v>
      </c>
      <c r="L84" s="165"/>
    </row>
    <row r="85" spans="2:12" x14ac:dyDescent="0.2">
      <c r="B85" s="278" t="str">
        <f>ForwardSwaps!J24</f>
        <v>obj_007fb#0000</v>
      </c>
      <c r="C85" s="261" t="str">
        <f>_xll.qlRateHelperQuoteName(B85)</f>
        <v>EUR2F1Y_Quote</v>
      </c>
      <c r="D85" s="279">
        <f>_xll.qlRateHelperQuoteValue($B85,Trigger)</f>
        <v>4.1099999999999999E-3</v>
      </c>
      <c r="E85" s="279">
        <f>_xll.qlSwapRateHelperSpread($B85,Trigger)</f>
        <v>0</v>
      </c>
      <c r="F85" s="280" t="b">
        <v>0</v>
      </c>
      <c r="G85" s="280">
        <v>50</v>
      </c>
      <c r="H85" s="280">
        <v>1</v>
      </c>
      <c r="I85" s="281">
        <f>_xll.qlRateHelperEarliestDate($B85,Trigger)</f>
        <v>42677</v>
      </c>
      <c r="J85" s="282">
        <f>_xll.qlRateHelperLatestDate($B85,Trigger)</f>
        <v>43042</v>
      </c>
      <c r="L85" s="165"/>
    </row>
    <row r="86" spans="2:12" x14ac:dyDescent="0.2">
      <c r="B86" s="276" t="str">
        <f>ForwardSwaps!J25</f>
        <v>obj_00843#0000</v>
      </c>
      <c r="C86" s="159" t="str">
        <f>_xll.qlRateHelperQuoteName(B86)</f>
        <v>EUR2F2Y_Quote</v>
      </c>
      <c r="D86" s="160">
        <f>_xll.qlRateHelperQuoteValue($B86,Trigger)</f>
        <v>5.1999999999999998E-3</v>
      </c>
      <c r="E86" s="160">
        <f>_xll.qlSwapRateHelperSpread($B86,Trigger)</f>
        <v>0</v>
      </c>
      <c r="F86" s="161" t="b">
        <v>0</v>
      </c>
      <c r="G86" s="161">
        <v>50</v>
      </c>
      <c r="H86" s="161">
        <v>1</v>
      </c>
      <c r="I86" s="166">
        <f>_xll.qlRateHelperEarliestDate($B86,Trigger)</f>
        <v>42677</v>
      </c>
      <c r="J86" s="167">
        <f>_xll.qlRateHelperLatestDate($B86,Trigger)</f>
        <v>43409</v>
      </c>
      <c r="L86" s="165"/>
    </row>
    <row r="87" spans="2:12" x14ac:dyDescent="0.2">
      <c r="B87" s="276" t="str">
        <f>ForwardSwaps!J26</f>
        <v>obj_007fc#0000</v>
      </c>
      <c r="C87" s="159" t="str">
        <f>_xll.qlRateHelperQuoteName(B87)</f>
        <v>EUR2F3Y_Quote</v>
      </c>
      <c r="D87" s="160">
        <f>_xll.qlRateHelperQuoteValue($B87,Trigger)</f>
        <v>6.45E-3</v>
      </c>
      <c r="E87" s="160">
        <f>_xll.qlSwapRateHelperSpread($B87,Trigger)</f>
        <v>0</v>
      </c>
      <c r="F87" s="161" t="b">
        <v>0</v>
      </c>
      <c r="G87" s="161">
        <v>50</v>
      </c>
      <c r="H87" s="161">
        <v>1</v>
      </c>
      <c r="I87" s="166">
        <f>_xll.qlRateHelperEarliestDate($B87,Trigger)</f>
        <v>42677</v>
      </c>
      <c r="J87" s="167">
        <f>_xll.qlRateHelperLatestDate($B87,Trigger)</f>
        <v>43773</v>
      </c>
      <c r="L87" s="165"/>
    </row>
    <row r="88" spans="2:12" x14ac:dyDescent="0.2">
      <c r="B88" s="276" t="str">
        <f>ForwardSwaps!J27</f>
        <v>obj_0080c#0000</v>
      </c>
      <c r="C88" s="159" t="str">
        <f>_xll.qlRateHelperQuoteName(B88)</f>
        <v>EUR2F4Y_Quote</v>
      </c>
      <c r="D88" s="160">
        <f>_xll.qlRateHelperQuoteValue($B88,Trigger)</f>
        <v>7.77E-3</v>
      </c>
      <c r="E88" s="160">
        <f>_xll.qlSwapRateHelperSpread($B88,Trigger)</f>
        <v>0</v>
      </c>
      <c r="F88" s="161" t="b">
        <v>0</v>
      </c>
      <c r="G88" s="161">
        <v>50</v>
      </c>
      <c r="H88" s="161">
        <v>1</v>
      </c>
      <c r="I88" s="166">
        <f>_xll.qlRateHelperEarliestDate($B88,Trigger)</f>
        <v>42677</v>
      </c>
      <c r="J88" s="167">
        <f>_xll.qlRateHelperLatestDate($B88,Trigger)</f>
        <v>44138</v>
      </c>
      <c r="L88" s="165"/>
    </row>
    <row r="89" spans="2:12" x14ac:dyDescent="0.2">
      <c r="B89" s="276" t="str">
        <f>ForwardSwaps!J28</f>
        <v>obj_00789#0000</v>
      </c>
      <c r="C89" s="159" t="str">
        <f>_xll.qlRateHelperQuoteName(B89)</f>
        <v>EUR2F5Y_Quote</v>
      </c>
      <c r="D89" s="160">
        <f>_xll.qlRateHelperQuoteValue($B89,Trigger)</f>
        <v>9.2100000000000012E-3</v>
      </c>
      <c r="E89" s="160">
        <f>_xll.qlSwapRateHelperSpread($B89,Trigger)</f>
        <v>0</v>
      </c>
      <c r="F89" s="161" t="b">
        <v>0</v>
      </c>
      <c r="G89" s="161">
        <v>50</v>
      </c>
      <c r="H89" s="161">
        <v>1</v>
      </c>
      <c r="I89" s="166">
        <f>_xll.qlRateHelperEarliestDate($B89,Trigger)</f>
        <v>42677</v>
      </c>
      <c r="J89" s="167">
        <f>_xll.qlRateHelperLatestDate($B89,Trigger)</f>
        <v>44503</v>
      </c>
      <c r="L89" s="165"/>
    </row>
    <row r="90" spans="2:12" x14ac:dyDescent="0.2">
      <c r="B90" s="276" t="str">
        <f>ForwardSwaps!J29</f>
        <v>obj_00818#0000</v>
      </c>
      <c r="C90" s="159" t="str">
        <f>_xll.qlRateHelperQuoteName(B90)</f>
        <v>EUR2F6Y_Quote</v>
      </c>
      <c r="D90" s="160">
        <f>_xll.qlRateHelperQuoteValue($B90,Trigger)</f>
        <v>1.0660000000000001E-2</v>
      </c>
      <c r="E90" s="160">
        <f>_xll.qlSwapRateHelperSpread($B90,Trigger)</f>
        <v>0</v>
      </c>
      <c r="F90" s="161" t="b">
        <v>0</v>
      </c>
      <c r="G90" s="161">
        <v>50</v>
      </c>
      <c r="H90" s="161">
        <v>1</v>
      </c>
      <c r="I90" s="166">
        <f>_xll.qlRateHelperEarliestDate($B90,Trigger)</f>
        <v>42677</v>
      </c>
      <c r="J90" s="167">
        <f>_xll.qlRateHelperLatestDate($B90,Trigger)</f>
        <v>44868</v>
      </c>
      <c r="L90" s="165"/>
    </row>
    <row r="91" spans="2:12" x14ac:dyDescent="0.2">
      <c r="B91" s="276" t="str">
        <f>ForwardSwaps!J30</f>
        <v>obj_0081e#0000</v>
      </c>
      <c r="C91" s="159" t="str">
        <f>_xll.qlRateHelperQuoteName(B91)</f>
        <v>EUR2F7Y_Quote</v>
      </c>
      <c r="D91" s="160">
        <f>_xll.qlRateHelperQuoteValue($B91,Trigger)</f>
        <v>1.1990000000000001E-2</v>
      </c>
      <c r="E91" s="160">
        <f>_xll.qlSwapRateHelperSpread($B91,Trigger)</f>
        <v>0</v>
      </c>
      <c r="F91" s="161" t="b">
        <v>0</v>
      </c>
      <c r="G91" s="161">
        <v>50</v>
      </c>
      <c r="H91" s="161">
        <v>1</v>
      </c>
      <c r="I91" s="166">
        <f>_xll.qlRateHelperEarliestDate($B91,Trigger)</f>
        <v>42677</v>
      </c>
      <c r="J91" s="167">
        <f>_xll.qlRateHelperLatestDate($B91,Trigger)</f>
        <v>45233</v>
      </c>
      <c r="L91" s="165"/>
    </row>
    <row r="92" spans="2:12" x14ac:dyDescent="0.2">
      <c r="B92" s="276" t="str">
        <f>ForwardSwaps!J31</f>
        <v>obj_00836#0000</v>
      </c>
      <c r="C92" s="159" t="str">
        <f>_xll.qlRateHelperQuoteName(B92)</f>
        <v>EUR2F8Y_Quote</v>
      </c>
      <c r="D92" s="160">
        <f>_xll.qlRateHelperQuoteValue($B92,Trigger)</f>
        <v>1.319E-2</v>
      </c>
      <c r="E92" s="160">
        <f>_xll.qlSwapRateHelperSpread($B92,Trigger)</f>
        <v>0</v>
      </c>
      <c r="F92" s="161" t="b">
        <v>0</v>
      </c>
      <c r="G92" s="161">
        <v>50</v>
      </c>
      <c r="H92" s="161">
        <v>1</v>
      </c>
      <c r="I92" s="166">
        <f>_xll.qlRateHelperEarliestDate($B92,Trigger)</f>
        <v>42677</v>
      </c>
      <c r="J92" s="167">
        <f>_xll.qlRateHelperLatestDate($B92,Trigger)</f>
        <v>45600</v>
      </c>
      <c r="L92" s="165"/>
    </row>
    <row r="93" spans="2:12" x14ac:dyDescent="0.2">
      <c r="B93" s="276" t="str">
        <f>ForwardSwaps!J32</f>
        <v>obj_007e2#0000</v>
      </c>
      <c r="C93" s="159" t="str">
        <f>_xll.qlRateHelperQuoteName(B93)</f>
        <v>EUR2F9Y_Quote</v>
      </c>
      <c r="D93" s="160">
        <f>_xll.qlRateHelperQuoteValue($B93,Trigger)</f>
        <v>1.4239999999999999E-2</v>
      </c>
      <c r="E93" s="160">
        <f>_xll.qlSwapRateHelperSpread($B93,Trigger)</f>
        <v>0</v>
      </c>
      <c r="F93" s="161" t="b">
        <v>0</v>
      </c>
      <c r="G93" s="161">
        <v>50</v>
      </c>
      <c r="H93" s="161">
        <v>1</v>
      </c>
      <c r="I93" s="166">
        <f>_xll.qlRateHelperEarliestDate($B93,Trigger)</f>
        <v>42677</v>
      </c>
      <c r="J93" s="167">
        <f>_xll.qlRateHelperLatestDate($B93,Trigger)</f>
        <v>45964</v>
      </c>
      <c r="L93" s="165"/>
    </row>
    <row r="94" spans="2:12" x14ac:dyDescent="0.2">
      <c r="B94" s="276" t="str">
        <f>ForwardSwaps!J33</f>
        <v>obj_007dc#0000</v>
      </c>
      <c r="C94" s="159" t="str">
        <f>_xll.qlRateHelperQuoteName(B94)</f>
        <v>EUR2F10Y_Quote</v>
      </c>
      <c r="D94" s="160">
        <f>_xll.qlRateHelperQuoteValue($B94,Trigger)</f>
        <v>1.5140000000000001E-2</v>
      </c>
      <c r="E94" s="160">
        <f>_xll.qlSwapRateHelperSpread($B94,Trigger)</f>
        <v>0</v>
      </c>
      <c r="F94" s="161" t="b">
        <v>0</v>
      </c>
      <c r="G94" s="161">
        <v>50</v>
      </c>
      <c r="H94" s="161">
        <v>1</v>
      </c>
      <c r="I94" s="166">
        <f>_xll.qlRateHelperEarliestDate($B94,Trigger)</f>
        <v>42677</v>
      </c>
      <c r="J94" s="167">
        <f>_xll.qlRateHelperLatestDate($B94,Trigger)</f>
        <v>46329</v>
      </c>
      <c r="L94" s="165"/>
    </row>
    <row r="95" spans="2:12" x14ac:dyDescent="0.2">
      <c r="B95" s="276" t="str">
        <f>ForwardSwaps!J34</f>
        <v>obj_00773#0000</v>
      </c>
      <c r="C95" s="159" t="str">
        <f>_xll.qlRateHelperQuoteName(B95)</f>
        <v>EUR2F11Y_Quote</v>
      </c>
      <c r="D95" s="160">
        <f>_xll.qlRateHelperQuoteValue($B95,Trigger)</f>
        <v>1.5910000000000001E-2</v>
      </c>
      <c r="E95" s="160">
        <f>_xll.qlSwapRateHelperSpread($B95,Trigger)</f>
        <v>0</v>
      </c>
      <c r="F95" s="161" t="b">
        <v>0</v>
      </c>
      <c r="G95" s="161">
        <v>50</v>
      </c>
      <c r="H95" s="161">
        <v>1</v>
      </c>
      <c r="I95" s="166">
        <f>_xll.qlRateHelperEarliestDate($B95,Trigger)</f>
        <v>42677</v>
      </c>
      <c r="J95" s="167">
        <f>_xll.qlRateHelperLatestDate($B95,Trigger)</f>
        <v>46694</v>
      </c>
      <c r="L95" s="165"/>
    </row>
    <row r="96" spans="2:12" x14ac:dyDescent="0.2">
      <c r="B96" s="276" t="str">
        <f>ForwardSwaps!J35</f>
        <v>obj_00847#0000</v>
      </c>
      <c r="C96" s="159" t="str">
        <f>_xll.qlRateHelperQuoteName(B96)</f>
        <v>EUR2F12Y_Quote</v>
      </c>
      <c r="D96" s="160">
        <f>_xll.qlRateHelperQuoteValue($B96,Trigger)</f>
        <v>1.6570000000000001E-2</v>
      </c>
      <c r="E96" s="160">
        <f>_xll.qlSwapRateHelperSpread($B96,Trigger)</f>
        <v>0</v>
      </c>
      <c r="F96" s="161" t="b">
        <v>0</v>
      </c>
      <c r="G96" s="161">
        <v>50</v>
      </c>
      <c r="H96" s="161">
        <v>1</v>
      </c>
      <c r="I96" s="166">
        <f>_xll.qlRateHelperEarliestDate($B96,Trigger)</f>
        <v>42677</v>
      </c>
      <c r="J96" s="167">
        <f>_xll.qlRateHelperLatestDate($B96,Trigger)</f>
        <v>47060</v>
      </c>
      <c r="L96" s="165"/>
    </row>
    <row r="97" spans="2:12" x14ac:dyDescent="0.2">
      <c r="B97" s="276" t="str">
        <f>ForwardSwaps!J36</f>
        <v>obj_00798#0000</v>
      </c>
      <c r="C97" s="159" t="str">
        <f>_xll.qlRateHelperQuoteName(B97)</f>
        <v>EUR2F13Y_Quote</v>
      </c>
      <c r="D97" s="160">
        <f>_xll.qlRateHelperQuoteValue($B97,Trigger)</f>
        <v>1.712E-2</v>
      </c>
      <c r="E97" s="160">
        <f>_xll.qlSwapRateHelperSpread($B97,Trigger)</f>
        <v>0</v>
      </c>
      <c r="F97" s="161" t="b">
        <v>0</v>
      </c>
      <c r="G97" s="161">
        <v>50</v>
      </c>
      <c r="H97" s="161">
        <v>1</v>
      </c>
      <c r="I97" s="166">
        <f>_xll.qlRateHelperEarliestDate($B97,Trigger)</f>
        <v>42677</v>
      </c>
      <c r="J97" s="167">
        <f>_xll.qlRateHelperLatestDate($B97,Trigger)</f>
        <v>47427</v>
      </c>
      <c r="L97" s="165"/>
    </row>
    <row r="98" spans="2:12" x14ac:dyDescent="0.2">
      <c r="B98" s="276" t="str">
        <f>ForwardSwaps!J37</f>
        <v>obj_00891#0000</v>
      </c>
      <c r="C98" s="159" t="str">
        <f>_xll.qlRateHelperQuoteName(B98)</f>
        <v>EUR2F14Y_Quote</v>
      </c>
      <c r="D98" s="160">
        <f>_xll.qlRateHelperQuoteValue($B98,Trigger)</f>
        <v>1.7600000000000001E-2</v>
      </c>
      <c r="E98" s="160">
        <f>_xll.qlSwapRateHelperSpread($B98,Trigger)</f>
        <v>0</v>
      </c>
      <c r="F98" s="161" t="b">
        <v>0</v>
      </c>
      <c r="G98" s="161">
        <v>50</v>
      </c>
      <c r="H98" s="161">
        <v>1</v>
      </c>
      <c r="I98" s="166">
        <f>_xll.qlRateHelperEarliestDate($B98,Trigger)</f>
        <v>42677</v>
      </c>
      <c r="J98" s="167">
        <f>_xll.qlRateHelperLatestDate($B98,Trigger)</f>
        <v>47791</v>
      </c>
      <c r="L98" s="165"/>
    </row>
    <row r="99" spans="2:12" x14ac:dyDescent="0.2">
      <c r="B99" s="276" t="str">
        <f>ForwardSwaps!J38</f>
        <v>obj_007cc#0000</v>
      </c>
      <c r="C99" s="159" t="str">
        <f>_xll.qlRateHelperQuoteName(B99)</f>
        <v>EUR2F15Y_Quote</v>
      </c>
      <c r="D99" s="160">
        <f>_xll.qlRateHelperQuoteValue($B99,Trigger)</f>
        <v>1.8009999999999998E-2</v>
      </c>
      <c r="E99" s="160">
        <f>_xll.qlSwapRateHelperSpread($B99,Trigger)</f>
        <v>0</v>
      </c>
      <c r="F99" s="161" t="b">
        <v>0</v>
      </c>
      <c r="G99" s="161">
        <v>50</v>
      </c>
      <c r="H99" s="161">
        <v>1</v>
      </c>
      <c r="I99" s="166">
        <f>_xll.qlRateHelperEarliestDate($B99,Trigger)</f>
        <v>42677</v>
      </c>
      <c r="J99" s="167">
        <f>_xll.qlRateHelperLatestDate($B99,Trigger)</f>
        <v>48155</v>
      </c>
      <c r="L99" s="165"/>
    </row>
    <row r="100" spans="2:12" x14ac:dyDescent="0.2">
      <c r="B100" s="276" t="str">
        <f>ForwardSwaps!J39</f>
        <v>obj_00814#0000</v>
      </c>
      <c r="C100" s="159" t="str">
        <f>_xll.qlRateHelperQuoteName(B100)</f>
        <v>EUR2F20Y_Quote</v>
      </c>
      <c r="D100" s="160">
        <f>_xll.qlRateHelperQuoteValue($B100,Trigger)</f>
        <v>1.9189999999999999E-2</v>
      </c>
      <c r="E100" s="160">
        <f>_xll.qlSwapRateHelperSpread($B100,Trigger)</f>
        <v>0</v>
      </c>
      <c r="F100" s="161" t="b">
        <v>0</v>
      </c>
      <c r="G100" s="161">
        <v>50</v>
      </c>
      <c r="H100" s="161">
        <v>1</v>
      </c>
      <c r="I100" s="166">
        <f>_xll.qlRateHelperEarliestDate($B100,Trigger)</f>
        <v>42677</v>
      </c>
      <c r="J100" s="167">
        <f>_xll.qlRateHelperLatestDate($B100,Trigger)</f>
        <v>49982</v>
      </c>
      <c r="L100" s="165"/>
    </row>
    <row r="101" spans="2:12" x14ac:dyDescent="0.2">
      <c r="B101" s="276" t="str">
        <f>ForwardSwaps!J40</f>
        <v>obj_00879#0000</v>
      </c>
      <c r="C101" s="159" t="str">
        <f>_xll.qlRateHelperQuoteName(B101)</f>
        <v>EUR2F25Y_Quote</v>
      </c>
      <c r="D101" s="160">
        <f>_xll.qlRateHelperQuoteValue($B101,Trigger)</f>
        <v>1.9539999999999998E-2</v>
      </c>
      <c r="E101" s="160">
        <f>_xll.qlSwapRateHelperSpread($B101,Trigger)</f>
        <v>0</v>
      </c>
      <c r="F101" s="161" t="b">
        <v>0</v>
      </c>
      <c r="G101" s="161">
        <v>50</v>
      </c>
      <c r="H101" s="161">
        <v>1</v>
      </c>
      <c r="I101" s="166">
        <f>_xll.qlRateHelperEarliestDate($B101,Trigger)</f>
        <v>42677</v>
      </c>
      <c r="J101" s="167">
        <f>_xll.qlRateHelperLatestDate($B101,Trigger)</f>
        <v>51809</v>
      </c>
      <c r="L101" s="165"/>
    </row>
    <row r="102" spans="2:12" x14ac:dyDescent="0.2">
      <c r="B102" s="277" t="str">
        <f>ForwardSwaps!J41</f>
        <v>obj_00864#0000</v>
      </c>
      <c r="C102" s="162" t="str">
        <f>_xll.qlRateHelperQuoteName(B102)</f>
        <v>EUR2F30Y_Quote</v>
      </c>
      <c r="D102" s="163">
        <f>_xll.qlRateHelperQuoteValue($B102,Trigger)</f>
        <v>1.966E-2</v>
      </c>
      <c r="E102" s="163">
        <f>_xll.qlSwapRateHelperSpread($B102,Trigger)</f>
        <v>0</v>
      </c>
      <c r="F102" s="164" t="b">
        <v>0</v>
      </c>
      <c r="G102" s="164">
        <v>50</v>
      </c>
      <c r="H102" s="164">
        <v>1</v>
      </c>
      <c r="I102" s="168">
        <f>_xll.qlRateHelperEarliestDate($B102,Trigger)</f>
        <v>42677</v>
      </c>
      <c r="J102" s="169">
        <f>_xll.qlRateHelperLatestDate($B102,Trigger)</f>
        <v>53636</v>
      </c>
      <c r="L102" s="165"/>
    </row>
    <row r="103" spans="2:12" x14ac:dyDescent="0.2">
      <c r="B103" s="278" t="str">
        <f>ForwardSwaps!J42</f>
        <v>obj_007ae#0000</v>
      </c>
      <c r="C103" s="261" t="str">
        <f>_xll.qlRateHelperQuoteName(B103)</f>
        <v>EUR3F1Y_Quote</v>
      </c>
      <c r="D103" s="279">
        <f>_xll.qlRateHelperQuoteValue($B103,Trigger)</f>
        <v>6.3E-3</v>
      </c>
      <c r="E103" s="279">
        <f>_xll.qlSwapRateHelperSpread($B103,Trigger)</f>
        <v>0</v>
      </c>
      <c r="F103" s="280" t="b">
        <v>0</v>
      </c>
      <c r="G103" s="280">
        <v>50</v>
      </c>
      <c r="H103" s="280">
        <v>1</v>
      </c>
      <c r="I103" s="281">
        <f>_xll.qlRateHelperEarliestDate($B103,Trigger)</f>
        <v>43042</v>
      </c>
      <c r="J103" s="282">
        <f>_xll.qlRateHelperLatestDate($B103,Trigger)</f>
        <v>43409</v>
      </c>
      <c r="L103" s="165"/>
    </row>
    <row r="104" spans="2:12" x14ac:dyDescent="0.2">
      <c r="B104" s="276" t="str">
        <f>ForwardSwaps!J43</f>
        <v>obj_007af#0000</v>
      </c>
      <c r="C104" s="159" t="str">
        <f>_xll.qlRateHelperQuoteName(B104)</f>
        <v>EUR3F2Y_Quote</v>
      </c>
      <c r="D104" s="160">
        <f>_xll.qlRateHelperQuoteValue($B104,Trigger)</f>
        <v>7.62E-3</v>
      </c>
      <c r="E104" s="160">
        <f>_xll.qlSwapRateHelperSpread($B104,Trigger)</f>
        <v>0</v>
      </c>
      <c r="F104" s="161" t="b">
        <v>0</v>
      </c>
      <c r="G104" s="161">
        <v>50</v>
      </c>
      <c r="H104" s="161">
        <v>1</v>
      </c>
      <c r="I104" s="166">
        <f>_xll.qlRateHelperEarliestDate($B104,Trigger)</f>
        <v>43042</v>
      </c>
      <c r="J104" s="167">
        <f>_xll.qlRateHelperLatestDate($B104,Trigger)</f>
        <v>43773</v>
      </c>
      <c r="L104" s="165"/>
    </row>
    <row r="105" spans="2:12" x14ac:dyDescent="0.2">
      <c r="B105" s="276" t="str">
        <f>ForwardSwaps!J44</f>
        <v>obj_007f1#0000</v>
      </c>
      <c r="C105" s="159" t="str">
        <f>_xll.qlRateHelperQuoteName(B105)</f>
        <v>EUR3F3Y_Quote</v>
      </c>
      <c r="D105" s="160">
        <f>_xll.qlRateHelperQuoteValue($B105,Trigger)</f>
        <v>9.0000000000000011E-3</v>
      </c>
      <c r="E105" s="160">
        <f>_xll.qlSwapRateHelperSpread($B105,Trigger)</f>
        <v>0</v>
      </c>
      <c r="F105" s="161" t="b">
        <v>0</v>
      </c>
      <c r="G105" s="161">
        <v>50</v>
      </c>
      <c r="H105" s="161">
        <v>1</v>
      </c>
      <c r="I105" s="166">
        <f>_xll.qlRateHelperEarliestDate($B105,Trigger)</f>
        <v>43042</v>
      </c>
      <c r="J105" s="167">
        <f>_xll.qlRateHelperLatestDate($B105,Trigger)</f>
        <v>44138</v>
      </c>
      <c r="L105" s="165"/>
    </row>
    <row r="106" spans="2:12" x14ac:dyDescent="0.2">
      <c r="B106" s="276" t="str">
        <f>ForwardSwaps!J45</f>
        <v>obj_0076a#0000</v>
      </c>
      <c r="C106" s="159" t="str">
        <f>_xll.qlRateHelperQuoteName(B106)</f>
        <v>EUR3F4Y_Quote</v>
      </c>
      <c r="D106" s="160">
        <f>_xll.qlRateHelperQuoteValue($B106,Trigger)</f>
        <v>1.0500000000000001E-2</v>
      </c>
      <c r="E106" s="160">
        <f>_xll.qlSwapRateHelperSpread($B106,Trigger)</f>
        <v>0</v>
      </c>
      <c r="F106" s="161" t="b">
        <v>0</v>
      </c>
      <c r="G106" s="161">
        <v>50</v>
      </c>
      <c r="H106" s="161">
        <v>1</v>
      </c>
      <c r="I106" s="166">
        <f>_xll.qlRateHelperEarliestDate($B106,Trigger)</f>
        <v>43042</v>
      </c>
      <c r="J106" s="167">
        <f>_xll.qlRateHelperLatestDate($B106,Trigger)</f>
        <v>44503</v>
      </c>
      <c r="L106" s="165"/>
    </row>
    <row r="107" spans="2:12" x14ac:dyDescent="0.2">
      <c r="B107" s="276" t="str">
        <f>ForwardSwaps!J46</f>
        <v>obj_00770#0000</v>
      </c>
      <c r="C107" s="159" t="str">
        <f>_xll.qlRateHelperQuoteName(B107)</f>
        <v>EUR3F5Y_Quote</v>
      </c>
      <c r="D107" s="160">
        <f>_xll.qlRateHelperQuoteValue($B107,Trigger)</f>
        <v>1.1990000000000001E-2</v>
      </c>
      <c r="E107" s="160">
        <f>_xll.qlSwapRateHelperSpread($B107,Trigger)</f>
        <v>0</v>
      </c>
      <c r="F107" s="161" t="b">
        <v>0</v>
      </c>
      <c r="G107" s="161">
        <v>50</v>
      </c>
      <c r="H107" s="161">
        <v>1</v>
      </c>
      <c r="I107" s="166">
        <f>_xll.qlRateHelperEarliestDate($B107,Trigger)</f>
        <v>43042</v>
      </c>
      <c r="J107" s="167">
        <f>_xll.qlRateHelperLatestDate($B107,Trigger)</f>
        <v>44868</v>
      </c>
      <c r="L107" s="165"/>
    </row>
    <row r="108" spans="2:12" x14ac:dyDescent="0.2">
      <c r="B108" s="276" t="str">
        <f>ForwardSwaps!J47</f>
        <v>obj_00808#0000</v>
      </c>
      <c r="C108" s="159" t="str">
        <f>_xll.qlRateHelperQuoteName(B108)</f>
        <v>EUR3F6Y_Quote</v>
      </c>
      <c r="D108" s="160">
        <f>_xll.qlRateHelperQuoteValue($B108,Trigger)</f>
        <v>1.3340000000000001E-2</v>
      </c>
      <c r="E108" s="160">
        <f>_xll.qlSwapRateHelperSpread($B108,Trigger)</f>
        <v>0</v>
      </c>
      <c r="F108" s="161" t="b">
        <v>0</v>
      </c>
      <c r="G108" s="161">
        <v>50</v>
      </c>
      <c r="H108" s="161">
        <v>1</v>
      </c>
      <c r="I108" s="166">
        <f>_xll.qlRateHelperEarliestDate($B108,Trigger)</f>
        <v>43042</v>
      </c>
      <c r="J108" s="167">
        <f>_xll.qlRateHelperLatestDate($B108,Trigger)</f>
        <v>45233</v>
      </c>
      <c r="L108" s="165"/>
    </row>
    <row r="109" spans="2:12" x14ac:dyDescent="0.2">
      <c r="B109" s="276" t="str">
        <f>ForwardSwaps!J48</f>
        <v>obj_007a7#0000</v>
      </c>
      <c r="C109" s="159" t="str">
        <f>_xll.qlRateHelperQuoteName(B109)</f>
        <v>EUR3F7Y_Quote</v>
      </c>
      <c r="D109" s="160">
        <f>_xll.qlRateHelperQuoteValue($B109,Trigger)</f>
        <v>1.4539999999999999E-2</v>
      </c>
      <c r="E109" s="160">
        <f>_xll.qlSwapRateHelperSpread($B109,Trigger)</f>
        <v>0</v>
      </c>
      <c r="F109" s="161" t="b">
        <v>0</v>
      </c>
      <c r="G109" s="161">
        <v>50</v>
      </c>
      <c r="H109" s="161">
        <v>1</v>
      </c>
      <c r="I109" s="166">
        <f>_xll.qlRateHelperEarliestDate($B109,Trigger)</f>
        <v>43042</v>
      </c>
      <c r="J109" s="167">
        <f>_xll.qlRateHelperLatestDate($B109,Trigger)</f>
        <v>45600</v>
      </c>
      <c r="L109" s="165"/>
    </row>
    <row r="110" spans="2:12" x14ac:dyDescent="0.2">
      <c r="B110" s="276" t="str">
        <f>ForwardSwaps!J49</f>
        <v>obj_007b7#0000</v>
      </c>
      <c r="C110" s="159" t="str">
        <f>_xll.qlRateHelperQuoteName(B110)</f>
        <v>EUR3F8Y_Quote</v>
      </c>
      <c r="D110" s="160">
        <f>_xll.qlRateHelperQuoteValue($B110,Trigger)</f>
        <v>1.5560000000000001E-2</v>
      </c>
      <c r="E110" s="160">
        <f>_xll.qlSwapRateHelperSpread($B110,Trigger)</f>
        <v>0</v>
      </c>
      <c r="F110" s="161" t="b">
        <v>0</v>
      </c>
      <c r="G110" s="161">
        <v>50</v>
      </c>
      <c r="H110" s="161">
        <v>1</v>
      </c>
      <c r="I110" s="166">
        <f>_xll.qlRateHelperEarliestDate($B110,Trigger)</f>
        <v>43042</v>
      </c>
      <c r="J110" s="167">
        <f>_xll.qlRateHelperLatestDate($B110,Trigger)</f>
        <v>45964</v>
      </c>
      <c r="L110" s="165"/>
    </row>
    <row r="111" spans="2:12" x14ac:dyDescent="0.2">
      <c r="B111" s="276" t="str">
        <f>ForwardSwaps!J50</f>
        <v>obj_0082e#0000</v>
      </c>
      <c r="C111" s="159" t="str">
        <f>_xll.qlRateHelperQuoteName(B111)</f>
        <v>EUR3F9Y_Quote</v>
      </c>
      <c r="D111" s="160">
        <f>_xll.qlRateHelperQuoteValue($B111,Trigger)</f>
        <v>1.6420000000000001E-2</v>
      </c>
      <c r="E111" s="160">
        <f>_xll.qlSwapRateHelperSpread($B111,Trigger)</f>
        <v>0</v>
      </c>
      <c r="F111" s="161" t="b">
        <v>0</v>
      </c>
      <c r="G111" s="161">
        <v>50</v>
      </c>
      <c r="H111" s="161">
        <v>1</v>
      </c>
      <c r="I111" s="166">
        <f>_xll.qlRateHelperEarliestDate($B111,Trigger)</f>
        <v>43042</v>
      </c>
      <c r="J111" s="167">
        <f>_xll.qlRateHelperLatestDate($B111,Trigger)</f>
        <v>46329</v>
      </c>
      <c r="L111" s="165"/>
    </row>
    <row r="112" spans="2:12" x14ac:dyDescent="0.2">
      <c r="B112" s="276" t="str">
        <f>ForwardSwaps!J51</f>
        <v>obj_007bc#0000</v>
      </c>
      <c r="C112" s="159" t="str">
        <f>_xll.qlRateHelperQuoteName(B112)</f>
        <v>EUR3F10Y_Quote</v>
      </c>
      <c r="D112" s="160">
        <f>_xll.qlRateHelperQuoteValue($B112,Trigger)</f>
        <v>1.7159999999999998E-2</v>
      </c>
      <c r="E112" s="160">
        <f>_xll.qlSwapRateHelperSpread($B112,Trigger)</f>
        <v>0</v>
      </c>
      <c r="F112" s="161" t="b">
        <v>0</v>
      </c>
      <c r="G112" s="161">
        <v>50</v>
      </c>
      <c r="H112" s="161">
        <v>1</v>
      </c>
      <c r="I112" s="166">
        <f>_xll.qlRateHelperEarliestDate($B112,Trigger)</f>
        <v>43042</v>
      </c>
      <c r="J112" s="167">
        <f>_xll.qlRateHelperLatestDate($B112,Trigger)</f>
        <v>46694</v>
      </c>
      <c r="L112" s="165"/>
    </row>
    <row r="113" spans="2:12" x14ac:dyDescent="0.2">
      <c r="B113" s="276" t="str">
        <f>ForwardSwaps!J52</f>
        <v>obj_0085a#0000</v>
      </c>
      <c r="C113" s="159" t="str">
        <f>_xll.qlRateHelperQuoteName(B113)</f>
        <v>EUR3F11Y_Quote</v>
      </c>
      <c r="D113" s="160">
        <f>_xll.qlRateHelperQuoteValue($B113,Trigger)</f>
        <v>1.7780000000000001E-2</v>
      </c>
      <c r="E113" s="160">
        <f>_xll.qlSwapRateHelperSpread($B113,Trigger)</f>
        <v>0</v>
      </c>
      <c r="F113" s="161" t="b">
        <v>0</v>
      </c>
      <c r="G113" s="161">
        <v>50</v>
      </c>
      <c r="H113" s="161">
        <v>1</v>
      </c>
      <c r="I113" s="166">
        <f>_xll.qlRateHelperEarliestDate($B113,Trigger)</f>
        <v>43042</v>
      </c>
      <c r="J113" s="167">
        <f>_xll.qlRateHelperLatestDate($B113,Trigger)</f>
        <v>47060</v>
      </c>
      <c r="L113" s="165"/>
    </row>
    <row r="114" spans="2:12" x14ac:dyDescent="0.2">
      <c r="B114" s="276" t="str">
        <f>ForwardSwaps!J53</f>
        <v>obj_007fd#0000</v>
      </c>
      <c r="C114" s="159" t="str">
        <f>_xll.qlRateHelperQuoteName(B114)</f>
        <v>EUR3F12Y_Quote</v>
      </c>
      <c r="D114" s="160">
        <f>_xll.qlRateHelperQuoteValue($B114,Trigger)</f>
        <v>1.8290000000000001E-2</v>
      </c>
      <c r="E114" s="160">
        <f>_xll.qlSwapRateHelperSpread($B114,Trigger)</f>
        <v>0</v>
      </c>
      <c r="F114" s="161" t="b">
        <v>0</v>
      </c>
      <c r="G114" s="161">
        <v>50</v>
      </c>
      <c r="H114" s="161">
        <v>1</v>
      </c>
      <c r="I114" s="166">
        <f>_xll.qlRateHelperEarliestDate($B114,Trigger)</f>
        <v>43042</v>
      </c>
      <c r="J114" s="167">
        <f>_xll.qlRateHelperLatestDate($B114,Trigger)</f>
        <v>47427</v>
      </c>
      <c r="L114" s="165"/>
    </row>
    <row r="115" spans="2:12" x14ac:dyDescent="0.2">
      <c r="B115" s="276" t="str">
        <f>ForwardSwaps!J54</f>
        <v>obj_00889#0000</v>
      </c>
      <c r="C115" s="159" t="str">
        <f>_xll.qlRateHelperQuoteName(B115)</f>
        <v>EUR3F13Y_Quote</v>
      </c>
      <c r="D115" s="160">
        <f>_xll.qlRateHelperQuoteValue($B115,Trigger)</f>
        <v>1.873E-2</v>
      </c>
      <c r="E115" s="160">
        <f>_xll.qlSwapRateHelperSpread($B115,Trigger)</f>
        <v>0</v>
      </c>
      <c r="F115" s="161" t="b">
        <v>0</v>
      </c>
      <c r="G115" s="161">
        <v>50</v>
      </c>
      <c r="H115" s="161">
        <v>1</v>
      </c>
      <c r="I115" s="166">
        <f>_xll.qlRateHelperEarliestDate($B115,Trigger)</f>
        <v>43042</v>
      </c>
      <c r="J115" s="167">
        <f>_xll.qlRateHelperLatestDate($B115,Trigger)</f>
        <v>47791</v>
      </c>
      <c r="L115" s="165"/>
    </row>
    <row r="116" spans="2:12" x14ac:dyDescent="0.2">
      <c r="B116" s="276" t="str">
        <f>ForwardSwaps!J55</f>
        <v>obj_00860#0000</v>
      </c>
      <c r="C116" s="159" t="str">
        <f>_xll.qlRateHelperQuoteName(B116)</f>
        <v>EUR3F14Y_Quote</v>
      </c>
      <c r="D116" s="160">
        <f>_xll.qlRateHelperQuoteValue($B116,Trigger)</f>
        <v>1.9099999999999999E-2</v>
      </c>
      <c r="E116" s="160">
        <f>_xll.qlSwapRateHelperSpread($B116,Trigger)</f>
        <v>0</v>
      </c>
      <c r="F116" s="161" t="b">
        <v>0</v>
      </c>
      <c r="G116" s="161">
        <v>50</v>
      </c>
      <c r="H116" s="161">
        <v>1</v>
      </c>
      <c r="I116" s="166">
        <f>_xll.qlRateHelperEarliestDate($B116,Trigger)</f>
        <v>43042</v>
      </c>
      <c r="J116" s="167">
        <f>_xll.qlRateHelperLatestDate($B116,Trigger)</f>
        <v>48155</v>
      </c>
      <c r="L116" s="165"/>
    </row>
    <row r="117" spans="2:12" x14ac:dyDescent="0.2">
      <c r="B117" s="276" t="str">
        <f>ForwardSwaps!J56</f>
        <v>obj_0084e#0000</v>
      </c>
      <c r="C117" s="159" t="str">
        <f>_xll.qlRateHelperQuoteName(B117)</f>
        <v>EUR3F15Y_Quote</v>
      </c>
      <c r="D117" s="160">
        <f>_xll.qlRateHelperQuoteValue($B117,Trigger)</f>
        <v>1.9400000000000001E-2</v>
      </c>
      <c r="E117" s="160">
        <f>_xll.qlSwapRateHelperSpread($B117,Trigger)</f>
        <v>0</v>
      </c>
      <c r="F117" s="161" t="b">
        <v>0</v>
      </c>
      <c r="G117" s="161">
        <v>50</v>
      </c>
      <c r="H117" s="161">
        <v>1</v>
      </c>
      <c r="I117" s="166">
        <f>_xll.qlRateHelperEarliestDate($B117,Trigger)</f>
        <v>43042</v>
      </c>
      <c r="J117" s="167">
        <f>_xll.qlRateHelperLatestDate($B117,Trigger)</f>
        <v>48521</v>
      </c>
      <c r="L117" s="165"/>
    </row>
    <row r="118" spans="2:12" x14ac:dyDescent="0.2">
      <c r="B118" s="276" t="str">
        <f>ForwardSwaps!J57</f>
        <v>obj_00777#0000</v>
      </c>
      <c r="C118" s="159" t="str">
        <f>_xll.qlRateHelperQuoteName(B118)</f>
        <v>EUR3F20Y_Quote</v>
      </c>
      <c r="D118" s="160">
        <f>_xll.qlRateHelperQuoteValue($B118,Trigger)</f>
        <v>2.019E-2</v>
      </c>
      <c r="E118" s="160">
        <f>_xll.qlSwapRateHelperSpread($B118,Trigger)</f>
        <v>0</v>
      </c>
      <c r="F118" s="161" t="b">
        <v>0</v>
      </c>
      <c r="G118" s="161">
        <v>50</v>
      </c>
      <c r="H118" s="161">
        <v>1</v>
      </c>
      <c r="I118" s="166">
        <f>_xll.qlRateHelperEarliestDate($B118,Trigger)</f>
        <v>43042</v>
      </c>
      <c r="J118" s="167">
        <f>_xll.qlRateHelperLatestDate($B118,Trigger)</f>
        <v>50347</v>
      </c>
      <c r="L118" s="165"/>
    </row>
    <row r="119" spans="2:12" x14ac:dyDescent="0.2">
      <c r="B119" s="276" t="str">
        <f>ForwardSwaps!J58</f>
        <v>obj_00894#0000</v>
      </c>
      <c r="C119" s="159" t="str">
        <f>_xll.qlRateHelperQuoteName(B119)</f>
        <v>EUR3F25Y_Quote</v>
      </c>
      <c r="D119" s="160">
        <f>_xll.qlRateHelperQuoteValue($B119,Trigger)</f>
        <v>2.0320000000000001E-2</v>
      </c>
      <c r="E119" s="160">
        <f>_xll.qlSwapRateHelperSpread($B119,Trigger)</f>
        <v>0</v>
      </c>
      <c r="F119" s="161" t="b">
        <v>0</v>
      </c>
      <c r="G119" s="161">
        <v>50</v>
      </c>
      <c r="H119" s="161">
        <v>1</v>
      </c>
      <c r="I119" s="166">
        <f>_xll.qlRateHelperEarliestDate($B119,Trigger)</f>
        <v>43042</v>
      </c>
      <c r="J119" s="167">
        <f>_xll.qlRateHelperLatestDate($B119,Trigger)</f>
        <v>52173</v>
      </c>
      <c r="L119" s="165"/>
    </row>
    <row r="120" spans="2:12" x14ac:dyDescent="0.2">
      <c r="B120" s="277" t="str">
        <f>ForwardSwaps!J59</f>
        <v>obj_00880#0000</v>
      </c>
      <c r="C120" s="162" t="str">
        <f>_xll.qlRateHelperQuoteName(B120)</f>
        <v>EUR3F30Y_Quote</v>
      </c>
      <c r="D120" s="163">
        <f>_xll.qlRateHelperQuoteValue($B120,Trigger)</f>
        <v>2.036E-2</v>
      </c>
      <c r="E120" s="163">
        <f>_xll.qlSwapRateHelperSpread($B120,Trigger)</f>
        <v>0</v>
      </c>
      <c r="F120" s="164" t="b">
        <v>0</v>
      </c>
      <c r="G120" s="164">
        <v>50</v>
      </c>
      <c r="H120" s="164">
        <v>1</v>
      </c>
      <c r="I120" s="168">
        <f>_xll.qlRateHelperEarliestDate($B120,Trigger)</f>
        <v>43042</v>
      </c>
      <c r="J120" s="169">
        <f>_xll.qlRateHelperLatestDate($B120,Trigger)</f>
        <v>54000</v>
      </c>
      <c r="L120" s="165"/>
    </row>
    <row r="121" spans="2:12" x14ac:dyDescent="0.2">
      <c r="B121" s="278" t="str">
        <f>ForwardSwaps!J60</f>
        <v>obj_007a9#0000</v>
      </c>
      <c r="C121" s="261" t="str">
        <f>_xll.qlRateHelperQuoteName(B121)</f>
        <v>EUR4F1Y_Quote</v>
      </c>
      <c r="D121" s="279">
        <f>_xll.qlRateHelperQuoteValue($B121,Trigger)</f>
        <v>8.9499999999999996E-3</v>
      </c>
      <c r="E121" s="279">
        <f>_xll.qlSwapRateHelperSpread($B121,Trigger)</f>
        <v>0</v>
      </c>
      <c r="F121" s="280" t="b">
        <v>0</v>
      </c>
      <c r="G121" s="280">
        <v>50</v>
      </c>
      <c r="H121" s="280">
        <v>1</v>
      </c>
      <c r="I121" s="281">
        <f>_xll.qlRateHelperEarliestDate($B121,Trigger)</f>
        <v>43409</v>
      </c>
      <c r="J121" s="282">
        <f>_xll.qlRateHelperLatestDate($B121,Trigger)</f>
        <v>43774</v>
      </c>
      <c r="L121" s="165"/>
    </row>
    <row r="122" spans="2:12" x14ac:dyDescent="0.2">
      <c r="B122" s="276" t="str">
        <f>ForwardSwaps!J61</f>
        <v>obj_00796#0000</v>
      </c>
      <c r="C122" s="159" t="str">
        <f>_xll.qlRateHelperQuoteName(B122)</f>
        <v>EUR4F2Y_Quote</v>
      </c>
      <c r="D122" s="160">
        <f>_xll.qlRateHelperQuoteValue($B122,Trigger)</f>
        <v>1.0360000000000001E-2</v>
      </c>
      <c r="E122" s="160">
        <f>_xll.qlSwapRateHelperSpread($B122,Trigger)</f>
        <v>0</v>
      </c>
      <c r="F122" s="161" t="b">
        <v>0</v>
      </c>
      <c r="G122" s="161">
        <v>50</v>
      </c>
      <c r="H122" s="161">
        <v>1</v>
      </c>
      <c r="I122" s="166">
        <f>_xll.qlRateHelperEarliestDate($B122,Trigger)</f>
        <v>43409</v>
      </c>
      <c r="J122" s="167">
        <f>_xll.qlRateHelperLatestDate($B122,Trigger)</f>
        <v>44140</v>
      </c>
      <c r="L122" s="165"/>
    </row>
    <row r="123" spans="2:12" x14ac:dyDescent="0.2">
      <c r="B123" s="276" t="str">
        <f>ForwardSwaps!J62</f>
        <v>obj_0087c#0000</v>
      </c>
      <c r="C123" s="159" t="str">
        <f>_xll.qlRateHelperQuoteName(B123)</f>
        <v>EUR4F3Y_Quote</v>
      </c>
      <c r="D123" s="160">
        <f>_xll.qlRateHelperQuoteValue($B123,Trigger)</f>
        <v>1.1930000000000001E-2</v>
      </c>
      <c r="E123" s="160">
        <f>_xll.qlSwapRateHelperSpread($B123,Trigger)</f>
        <v>0</v>
      </c>
      <c r="F123" s="161" t="b">
        <v>0</v>
      </c>
      <c r="G123" s="161">
        <v>50</v>
      </c>
      <c r="H123" s="161">
        <v>1</v>
      </c>
      <c r="I123" s="166">
        <f>_xll.qlRateHelperEarliestDate($B123,Trigger)</f>
        <v>43409</v>
      </c>
      <c r="J123" s="167">
        <f>_xll.qlRateHelperLatestDate($B123,Trigger)</f>
        <v>44505</v>
      </c>
      <c r="L123" s="165"/>
    </row>
    <row r="124" spans="2:12" x14ac:dyDescent="0.2">
      <c r="B124" s="276" t="str">
        <f>ForwardSwaps!J63</f>
        <v>obj_0077b#0000</v>
      </c>
      <c r="C124" s="159" t="str">
        <f>_xll.qlRateHelperQuoteName(B124)</f>
        <v>EUR4F4Y_Quote</v>
      </c>
      <c r="D124" s="160">
        <f>_xll.qlRateHelperQuoteValue($B124,Trigger)</f>
        <v>1.3440000000000001E-2</v>
      </c>
      <c r="E124" s="160">
        <f>_xll.qlSwapRateHelperSpread($B124,Trigger)</f>
        <v>0</v>
      </c>
      <c r="F124" s="161" t="b">
        <v>0</v>
      </c>
      <c r="G124" s="161">
        <v>50</v>
      </c>
      <c r="H124" s="161">
        <v>1</v>
      </c>
      <c r="I124" s="166">
        <f>_xll.qlRateHelperEarliestDate($B124,Trigger)</f>
        <v>43409</v>
      </c>
      <c r="J124" s="167">
        <f>_xll.qlRateHelperLatestDate($B124,Trigger)</f>
        <v>44872</v>
      </c>
      <c r="L124" s="165"/>
    </row>
    <row r="125" spans="2:12" x14ac:dyDescent="0.2">
      <c r="B125" s="276" t="str">
        <f>ForwardSwaps!J64</f>
        <v>obj_00827#0000</v>
      </c>
      <c r="C125" s="159" t="str">
        <f>_xll.qlRateHelperQuoteName(B125)</f>
        <v>EUR4F5Y_Quote</v>
      </c>
      <c r="D125" s="160">
        <f>_xll.qlRateHelperQuoteValue($B125,Trigger)</f>
        <v>1.4790000000000001E-2</v>
      </c>
      <c r="E125" s="160">
        <f>_xll.qlSwapRateHelperSpread($B125,Trigger)</f>
        <v>0</v>
      </c>
      <c r="F125" s="161" t="b">
        <v>0</v>
      </c>
      <c r="G125" s="161">
        <v>50</v>
      </c>
      <c r="H125" s="161">
        <v>1</v>
      </c>
      <c r="I125" s="166">
        <f>_xll.qlRateHelperEarliestDate($B125,Trigger)</f>
        <v>43409</v>
      </c>
      <c r="J125" s="167">
        <f>_xll.qlRateHelperLatestDate($B125,Trigger)</f>
        <v>45236</v>
      </c>
      <c r="L125" s="165"/>
    </row>
    <row r="126" spans="2:12" x14ac:dyDescent="0.2">
      <c r="B126" s="276" t="str">
        <f>ForwardSwaps!J65</f>
        <v>obj_007cf#0000</v>
      </c>
      <c r="C126" s="159" t="str">
        <f>_xll.qlRateHelperQuoteName(B126)</f>
        <v>EUR4F6Y_Quote</v>
      </c>
      <c r="D126" s="160">
        <f>_xll.qlRateHelperQuoteValue($B126,Trigger)</f>
        <v>1.5960000000000002E-2</v>
      </c>
      <c r="E126" s="160">
        <f>_xll.qlSwapRateHelperSpread($B126,Trigger)</f>
        <v>0</v>
      </c>
      <c r="F126" s="161" t="b">
        <v>0</v>
      </c>
      <c r="G126" s="161">
        <v>50</v>
      </c>
      <c r="H126" s="161">
        <v>1</v>
      </c>
      <c r="I126" s="166">
        <f>_xll.qlRateHelperEarliestDate($B126,Trigger)</f>
        <v>43409</v>
      </c>
      <c r="J126" s="167">
        <f>_xll.qlRateHelperLatestDate($B126,Trigger)</f>
        <v>45601</v>
      </c>
      <c r="L126" s="165"/>
    </row>
    <row r="127" spans="2:12" x14ac:dyDescent="0.2">
      <c r="B127" s="276" t="str">
        <f>ForwardSwaps!J66</f>
        <v>obj_0081b#0000</v>
      </c>
      <c r="C127" s="159" t="str">
        <f>_xll.qlRateHelperQuoteName(B127)</f>
        <v>EUR4F7Y_Quote</v>
      </c>
      <c r="D127" s="160">
        <f>_xll.qlRateHelperQuoteValue($B127,Trigger)</f>
        <v>1.695E-2</v>
      </c>
      <c r="E127" s="160">
        <f>_xll.qlSwapRateHelperSpread($B127,Trigger)</f>
        <v>0</v>
      </c>
      <c r="F127" s="161" t="b">
        <v>0</v>
      </c>
      <c r="G127" s="161">
        <v>50</v>
      </c>
      <c r="H127" s="161">
        <v>1</v>
      </c>
      <c r="I127" s="166">
        <f>_xll.qlRateHelperEarliestDate($B127,Trigger)</f>
        <v>43409</v>
      </c>
      <c r="J127" s="167">
        <f>_xll.qlRateHelperLatestDate($B127,Trigger)</f>
        <v>45966</v>
      </c>
      <c r="L127" s="165"/>
    </row>
    <row r="128" spans="2:12" x14ac:dyDescent="0.2">
      <c r="B128" s="276" t="str">
        <f>ForwardSwaps!J67</f>
        <v>obj_00858#0000</v>
      </c>
      <c r="C128" s="159" t="str">
        <f>_xll.qlRateHelperQuoteName(B128)</f>
        <v>EUR4F8Y_Quote</v>
      </c>
      <c r="D128" s="160">
        <f>_xll.qlRateHelperQuoteValue($B128,Trigger)</f>
        <v>1.7760000000000001E-2</v>
      </c>
      <c r="E128" s="160">
        <f>_xll.qlSwapRateHelperSpread($B128,Trigger)</f>
        <v>0</v>
      </c>
      <c r="F128" s="161" t="b">
        <v>0</v>
      </c>
      <c r="G128" s="161">
        <v>50</v>
      </c>
      <c r="H128" s="161">
        <v>1</v>
      </c>
      <c r="I128" s="166">
        <f>_xll.qlRateHelperEarliestDate($B128,Trigger)</f>
        <v>43409</v>
      </c>
      <c r="J128" s="167">
        <f>_xll.qlRateHelperLatestDate($B128,Trigger)</f>
        <v>46331</v>
      </c>
      <c r="L128" s="165"/>
    </row>
    <row r="129" spans="2:12" x14ac:dyDescent="0.2">
      <c r="B129" s="276" t="str">
        <f>ForwardSwaps!J68</f>
        <v>obj_00802#0000</v>
      </c>
      <c r="C129" s="159" t="str">
        <f>_xll.qlRateHelperQuoteName(B129)</f>
        <v>EUR4F9Y_Quote</v>
      </c>
      <c r="D129" s="160">
        <f>_xll.qlRateHelperQuoteValue($B129,Trigger)</f>
        <v>1.8440000000000002E-2</v>
      </c>
      <c r="E129" s="160">
        <f>_xll.qlSwapRateHelperSpread($B129,Trigger)</f>
        <v>0</v>
      </c>
      <c r="F129" s="161" t="b">
        <v>0</v>
      </c>
      <c r="G129" s="161">
        <v>50</v>
      </c>
      <c r="H129" s="161">
        <v>1</v>
      </c>
      <c r="I129" s="166">
        <f>_xll.qlRateHelperEarliestDate($B129,Trigger)</f>
        <v>43409</v>
      </c>
      <c r="J129" s="167">
        <f>_xll.qlRateHelperLatestDate($B129,Trigger)</f>
        <v>46696</v>
      </c>
      <c r="L129" s="165"/>
    </row>
    <row r="130" spans="2:12" x14ac:dyDescent="0.2">
      <c r="B130" s="276" t="str">
        <f>ForwardSwaps!J69</f>
        <v>obj_0077e#0000</v>
      </c>
      <c r="C130" s="159" t="str">
        <f>_xll.qlRateHelperQuoteName(B130)</f>
        <v>EUR4F10Y_Quote</v>
      </c>
      <c r="D130" s="160">
        <f>_xll.qlRateHelperQuoteValue($B130,Trigger)</f>
        <v>1.9009999999999999E-2</v>
      </c>
      <c r="E130" s="160">
        <f>_xll.qlSwapRateHelperSpread($B130,Trigger)</f>
        <v>0</v>
      </c>
      <c r="F130" s="161" t="b">
        <v>0</v>
      </c>
      <c r="G130" s="161">
        <v>50</v>
      </c>
      <c r="H130" s="161">
        <v>1</v>
      </c>
      <c r="I130" s="166">
        <f>_xll.qlRateHelperEarliestDate($B130,Trigger)</f>
        <v>43409</v>
      </c>
      <c r="J130" s="167">
        <f>_xll.qlRateHelperLatestDate($B130,Trigger)</f>
        <v>47063</v>
      </c>
      <c r="L130" s="165"/>
    </row>
    <row r="131" spans="2:12" x14ac:dyDescent="0.2">
      <c r="B131" s="276" t="str">
        <f>ForwardSwaps!J70</f>
        <v>obj_0084b#0000</v>
      </c>
      <c r="C131" s="159" t="str">
        <f>_xll.qlRateHelperQuoteName(B131)</f>
        <v>EUR4F11Y_Quote</v>
      </c>
      <c r="D131" s="160">
        <f>_xll.qlRateHelperQuoteValue($B131,Trigger)</f>
        <v>1.9470000000000001E-2</v>
      </c>
      <c r="E131" s="160">
        <f>_xll.qlSwapRateHelperSpread($B131,Trigger)</f>
        <v>0</v>
      </c>
      <c r="F131" s="161" t="b">
        <v>0</v>
      </c>
      <c r="G131" s="161">
        <v>50</v>
      </c>
      <c r="H131" s="161">
        <v>1</v>
      </c>
      <c r="I131" s="166">
        <f>_xll.qlRateHelperEarliestDate($B131,Trigger)</f>
        <v>43409</v>
      </c>
      <c r="J131" s="167">
        <f>_xll.qlRateHelperLatestDate($B131,Trigger)</f>
        <v>47427</v>
      </c>
      <c r="L131" s="165"/>
    </row>
    <row r="132" spans="2:12" x14ac:dyDescent="0.2">
      <c r="B132" s="276" t="str">
        <f>ForwardSwaps!J71</f>
        <v>obj_007fe#0000</v>
      </c>
      <c r="C132" s="159" t="str">
        <f>_xll.qlRateHelperQuoteName(B132)</f>
        <v>EUR4F12Y_Quote</v>
      </c>
      <c r="D132" s="160">
        <f>_xll.qlRateHelperQuoteValue($B132,Trigger)</f>
        <v>1.9870000000000002E-2</v>
      </c>
      <c r="E132" s="160">
        <f>_xll.qlSwapRateHelperSpread($B132,Trigger)</f>
        <v>0</v>
      </c>
      <c r="F132" s="161" t="b">
        <v>0</v>
      </c>
      <c r="G132" s="161">
        <v>50</v>
      </c>
      <c r="H132" s="161">
        <v>1</v>
      </c>
      <c r="I132" s="166">
        <f>_xll.qlRateHelperEarliestDate($B132,Trigger)</f>
        <v>43409</v>
      </c>
      <c r="J132" s="167">
        <f>_xll.qlRateHelperLatestDate($B132,Trigger)</f>
        <v>47792</v>
      </c>
      <c r="L132" s="165"/>
    </row>
    <row r="133" spans="2:12" x14ac:dyDescent="0.2">
      <c r="B133" s="276" t="str">
        <f>ForwardSwaps!J72</f>
        <v>obj_00809#0000</v>
      </c>
      <c r="C133" s="159" t="str">
        <f>_xll.qlRateHelperQuoteName(B133)</f>
        <v>EUR4F13Y_Quote</v>
      </c>
      <c r="D133" s="160">
        <f>_xll.qlRateHelperQuoteValue($B133,Trigger)</f>
        <v>2.019E-2</v>
      </c>
      <c r="E133" s="160">
        <f>_xll.qlSwapRateHelperSpread($B133,Trigger)</f>
        <v>0</v>
      </c>
      <c r="F133" s="161" t="b">
        <v>0</v>
      </c>
      <c r="G133" s="161">
        <v>50</v>
      </c>
      <c r="H133" s="161">
        <v>1</v>
      </c>
      <c r="I133" s="166">
        <f>_xll.qlRateHelperEarliestDate($B133,Trigger)</f>
        <v>43409</v>
      </c>
      <c r="J133" s="167">
        <f>_xll.qlRateHelperLatestDate($B133,Trigger)</f>
        <v>48157</v>
      </c>
      <c r="L133" s="165"/>
    </row>
    <row r="134" spans="2:12" x14ac:dyDescent="0.2">
      <c r="B134" s="276" t="str">
        <f>ForwardSwaps!J73</f>
        <v>obj_0081d#0000</v>
      </c>
      <c r="C134" s="159" t="str">
        <f>_xll.qlRateHelperQuoteName(B134)</f>
        <v>EUR4F14Y_Quote</v>
      </c>
      <c r="D134" s="160">
        <f>_xll.qlRateHelperQuoteValue($B134,Trigger)</f>
        <v>2.0449999999999999E-2</v>
      </c>
      <c r="E134" s="160">
        <f>_xll.qlSwapRateHelperSpread($B134,Trigger)</f>
        <v>0</v>
      </c>
      <c r="F134" s="161" t="b">
        <v>0</v>
      </c>
      <c r="G134" s="161">
        <v>50</v>
      </c>
      <c r="H134" s="161">
        <v>1</v>
      </c>
      <c r="I134" s="166">
        <f>_xll.qlRateHelperEarliestDate($B134,Trigger)</f>
        <v>43409</v>
      </c>
      <c r="J134" s="167">
        <f>_xll.qlRateHelperLatestDate($B134,Trigger)</f>
        <v>48523</v>
      </c>
      <c r="L134" s="165"/>
    </row>
    <row r="135" spans="2:12" x14ac:dyDescent="0.2">
      <c r="B135" s="276" t="str">
        <f>ForwardSwaps!J74</f>
        <v>obj_00797#0000</v>
      </c>
      <c r="C135" s="159" t="str">
        <f>_xll.qlRateHelperQuoteName(B135)</f>
        <v>EUR4F15Y_Quote</v>
      </c>
      <c r="D135" s="160">
        <f>_xll.qlRateHelperQuoteValue($B135,Trigger)</f>
        <v>2.0659999999999998E-2</v>
      </c>
      <c r="E135" s="160">
        <f>_xll.qlSwapRateHelperSpread($B135,Trigger)</f>
        <v>0</v>
      </c>
      <c r="F135" s="161" t="b">
        <v>0</v>
      </c>
      <c r="G135" s="161">
        <v>50</v>
      </c>
      <c r="H135" s="161">
        <v>1</v>
      </c>
      <c r="I135" s="166">
        <f>_xll.qlRateHelperEarliestDate($B135,Trigger)</f>
        <v>43409</v>
      </c>
      <c r="J135" s="167">
        <f>_xll.qlRateHelperLatestDate($B135,Trigger)</f>
        <v>48890</v>
      </c>
      <c r="L135" s="165"/>
    </row>
    <row r="136" spans="2:12" x14ac:dyDescent="0.2">
      <c r="B136" s="276" t="str">
        <f>ForwardSwaps!J75</f>
        <v>obj_00857#0000</v>
      </c>
      <c r="C136" s="159" t="str">
        <f>_xll.qlRateHelperQuoteName(B136)</f>
        <v>EUR4F20Y_Quote</v>
      </c>
      <c r="D136" s="160">
        <f>_xll.qlRateHelperQuoteValue($B136,Trigger)</f>
        <v>2.1070000000000002E-2</v>
      </c>
      <c r="E136" s="160">
        <f>_xll.qlSwapRateHelperSpread($B136,Trigger)</f>
        <v>0</v>
      </c>
      <c r="F136" s="161" t="b">
        <v>0</v>
      </c>
      <c r="G136" s="161">
        <v>50</v>
      </c>
      <c r="H136" s="161">
        <v>1</v>
      </c>
      <c r="I136" s="166">
        <f>_xll.qlRateHelperEarliestDate($B136,Trigger)</f>
        <v>43409</v>
      </c>
      <c r="J136" s="167">
        <f>_xll.qlRateHelperLatestDate($B136,Trigger)</f>
        <v>50714</v>
      </c>
      <c r="L136" s="165"/>
    </row>
    <row r="137" spans="2:12" x14ac:dyDescent="0.2">
      <c r="B137" s="276" t="str">
        <f>ForwardSwaps!J76</f>
        <v>obj_0088d#0000</v>
      </c>
      <c r="C137" s="159" t="str">
        <f>_xll.qlRateHelperQuoteName(B137)</f>
        <v>EUR4F25Y_Quote</v>
      </c>
      <c r="D137" s="160">
        <f>_xll.qlRateHelperQuoteValue($B137,Trigger)</f>
        <v>2.1019999999999997E-2</v>
      </c>
      <c r="E137" s="160">
        <f>_xll.qlSwapRateHelperSpread($B137,Trigger)</f>
        <v>0</v>
      </c>
      <c r="F137" s="161" t="b">
        <v>0</v>
      </c>
      <c r="G137" s="161">
        <v>50</v>
      </c>
      <c r="H137" s="161">
        <v>1</v>
      </c>
      <c r="I137" s="166">
        <f>_xll.qlRateHelperEarliestDate($B137,Trigger)</f>
        <v>43409</v>
      </c>
      <c r="J137" s="167">
        <f>_xll.qlRateHelperLatestDate($B137,Trigger)</f>
        <v>52540</v>
      </c>
      <c r="L137" s="165"/>
    </row>
    <row r="138" spans="2:12" x14ac:dyDescent="0.2">
      <c r="B138" s="277" t="str">
        <f>ForwardSwaps!J77</f>
        <v>obj_00886#0000</v>
      </c>
      <c r="C138" s="162" t="str">
        <f>_xll.qlRateHelperQuoteName(B138)</f>
        <v>EUR4F30Y_Quote</v>
      </c>
      <c r="D138" s="163">
        <f>_xll.qlRateHelperQuoteValue($B138,Trigger)</f>
        <v>2.0990000000000002E-2</v>
      </c>
      <c r="E138" s="163">
        <f>_xll.qlSwapRateHelperSpread($B138,Trigger)</f>
        <v>0</v>
      </c>
      <c r="F138" s="164" t="b">
        <v>0</v>
      </c>
      <c r="G138" s="164">
        <v>50</v>
      </c>
      <c r="H138" s="164">
        <v>1</v>
      </c>
      <c r="I138" s="168">
        <f>_xll.qlRateHelperEarliestDate($B138,Trigger)</f>
        <v>43409</v>
      </c>
      <c r="J138" s="169">
        <f>_xll.qlRateHelperLatestDate($B138,Trigger)</f>
        <v>54367</v>
      </c>
      <c r="L138" s="165"/>
    </row>
    <row r="139" spans="2:12" x14ac:dyDescent="0.2">
      <c r="B139" s="278" t="str">
        <f>ForwardSwaps!J78</f>
        <v>obj_00783#0000</v>
      </c>
      <c r="C139" s="261" t="str">
        <f>_xll.qlRateHelperQuoteName(B139)</f>
        <v>EUR5F1Y_Quote</v>
      </c>
      <c r="D139" s="279">
        <f>_xll.qlRateHelperQuoteValue($B139,Trigger)</f>
        <v>1.1779999999999999E-2</v>
      </c>
      <c r="E139" s="279">
        <f>_xll.qlSwapRateHelperSpread($B139,Trigger)</f>
        <v>0</v>
      </c>
      <c r="F139" s="280" t="b">
        <v>0</v>
      </c>
      <c r="G139" s="280">
        <v>50</v>
      </c>
      <c r="H139" s="280">
        <v>1</v>
      </c>
      <c r="I139" s="281">
        <f>_xll.qlRateHelperEarliestDate($B139,Trigger)</f>
        <v>43773</v>
      </c>
      <c r="J139" s="282">
        <f>_xll.qlRateHelperLatestDate($B139,Trigger)</f>
        <v>44139</v>
      </c>
      <c r="L139" s="165"/>
    </row>
    <row r="140" spans="2:12" x14ac:dyDescent="0.2">
      <c r="B140" s="276" t="str">
        <f>ForwardSwaps!J79</f>
        <v>obj_0088c#0000</v>
      </c>
      <c r="C140" s="159" t="str">
        <f>_xll.qlRateHelperQuoteName(B140)</f>
        <v>EUR5F2Y_Quote</v>
      </c>
      <c r="D140" s="160">
        <f>_xll.qlRateHelperQuoteValue($B140,Trigger)</f>
        <v>1.3440000000000001E-2</v>
      </c>
      <c r="E140" s="160">
        <f>_xll.qlSwapRateHelperSpread($B140,Trigger)</f>
        <v>0</v>
      </c>
      <c r="F140" s="161" t="b">
        <v>0</v>
      </c>
      <c r="G140" s="161">
        <v>50</v>
      </c>
      <c r="H140" s="161">
        <v>1</v>
      </c>
      <c r="I140" s="166">
        <f>_xll.qlRateHelperEarliestDate($B140,Trigger)</f>
        <v>43773</v>
      </c>
      <c r="J140" s="167">
        <f>_xll.qlRateHelperLatestDate($B140,Trigger)</f>
        <v>44504</v>
      </c>
      <c r="L140" s="165"/>
    </row>
    <row r="141" spans="2:12" x14ac:dyDescent="0.2">
      <c r="B141" s="276" t="str">
        <f>ForwardSwaps!J80</f>
        <v>obj_00888#0000</v>
      </c>
      <c r="C141" s="159" t="str">
        <f>_xll.qlRateHelperQuoteName(B141)</f>
        <v>EUR5F3Y_Quote</v>
      </c>
      <c r="D141" s="160">
        <f>_xll.qlRateHelperQuoteValue($B141,Trigger)</f>
        <v>1.4970000000000001E-2</v>
      </c>
      <c r="E141" s="160">
        <f>_xll.qlSwapRateHelperSpread($B141,Trigger)</f>
        <v>0</v>
      </c>
      <c r="F141" s="161" t="b">
        <v>0</v>
      </c>
      <c r="G141" s="161">
        <v>50</v>
      </c>
      <c r="H141" s="161">
        <v>1</v>
      </c>
      <c r="I141" s="166">
        <f>_xll.qlRateHelperEarliestDate($B141,Trigger)</f>
        <v>43773</v>
      </c>
      <c r="J141" s="167">
        <f>_xll.qlRateHelperLatestDate($B141,Trigger)</f>
        <v>44869</v>
      </c>
      <c r="L141" s="165"/>
    </row>
    <row r="142" spans="2:12" x14ac:dyDescent="0.2">
      <c r="B142" s="276" t="str">
        <f>ForwardSwaps!J81</f>
        <v>obj_0084f#0000</v>
      </c>
      <c r="C142" s="159" t="str">
        <f>_xll.qlRateHelperQuoteName(B142)</f>
        <v>EUR5F4Y_Quote</v>
      </c>
      <c r="D142" s="160">
        <f>_xll.qlRateHelperQuoteValue($B142,Trigger)</f>
        <v>1.6299999999999999E-2</v>
      </c>
      <c r="E142" s="160">
        <f>_xll.qlSwapRateHelperSpread($B142,Trigger)</f>
        <v>0</v>
      </c>
      <c r="F142" s="161" t="b">
        <v>0</v>
      </c>
      <c r="G142" s="161">
        <v>50</v>
      </c>
      <c r="H142" s="161">
        <v>1</v>
      </c>
      <c r="I142" s="166">
        <f>_xll.qlRateHelperEarliestDate($B142,Trigger)</f>
        <v>43773</v>
      </c>
      <c r="J142" s="167">
        <f>_xll.qlRateHelperLatestDate($B142,Trigger)</f>
        <v>45236</v>
      </c>
      <c r="L142" s="165"/>
    </row>
    <row r="143" spans="2:12" x14ac:dyDescent="0.2">
      <c r="B143" s="276" t="str">
        <f>ForwardSwaps!J82</f>
        <v>obj_00790#0000</v>
      </c>
      <c r="C143" s="159" t="str">
        <f>_xll.qlRateHelperQuoteName(B143)</f>
        <v>EUR5F5Y_Quote</v>
      </c>
      <c r="D143" s="160">
        <f>_xll.qlRateHelperQuoteValue($B143,Trigger)</f>
        <v>1.7410000000000002E-2</v>
      </c>
      <c r="E143" s="160">
        <f>_xll.qlSwapRateHelperSpread($B143,Trigger)</f>
        <v>0</v>
      </c>
      <c r="F143" s="161" t="b">
        <v>0</v>
      </c>
      <c r="G143" s="161">
        <v>50</v>
      </c>
      <c r="H143" s="161">
        <v>1</v>
      </c>
      <c r="I143" s="166">
        <f>_xll.qlRateHelperEarliestDate($B143,Trigger)</f>
        <v>43773</v>
      </c>
      <c r="J143" s="167">
        <f>_xll.qlRateHelperLatestDate($B143,Trigger)</f>
        <v>45600</v>
      </c>
      <c r="L143" s="165"/>
    </row>
    <row r="144" spans="2:12" x14ac:dyDescent="0.2">
      <c r="B144" s="276" t="str">
        <f>ForwardSwaps!J83</f>
        <v>obj_0083b#0000</v>
      </c>
      <c r="C144" s="159" t="str">
        <f>_xll.qlRateHelperQuoteName(B144)</f>
        <v>EUR5F6Y_Quote</v>
      </c>
      <c r="D144" s="160">
        <f>_xll.qlRateHelperQuoteValue($B144,Trigger)</f>
        <v>1.8340000000000002E-2</v>
      </c>
      <c r="E144" s="160">
        <f>_xll.qlSwapRateHelperSpread($B144,Trigger)</f>
        <v>0</v>
      </c>
      <c r="F144" s="161" t="b">
        <v>0</v>
      </c>
      <c r="G144" s="161">
        <v>50</v>
      </c>
      <c r="H144" s="161">
        <v>1</v>
      </c>
      <c r="I144" s="166">
        <f>_xll.qlRateHelperEarliestDate($B144,Trigger)</f>
        <v>43773</v>
      </c>
      <c r="J144" s="167">
        <f>_xll.qlRateHelperLatestDate($B144,Trigger)</f>
        <v>45965</v>
      </c>
      <c r="L144" s="165"/>
    </row>
    <row r="145" spans="2:12" x14ac:dyDescent="0.2">
      <c r="B145" s="276" t="str">
        <f>ForwardSwaps!J84</f>
        <v>obj_00771#0000</v>
      </c>
      <c r="C145" s="159" t="str">
        <f>_xll.qlRateHelperQuoteName(B145)</f>
        <v>EUR5F7Y_Quote</v>
      </c>
      <c r="D145" s="160">
        <f>_xll.qlRateHelperQuoteValue($B145,Trigger)</f>
        <v>1.9089999999999999E-2</v>
      </c>
      <c r="E145" s="160">
        <f>_xll.qlSwapRateHelperSpread($B145,Trigger)</f>
        <v>0</v>
      </c>
      <c r="F145" s="161" t="b">
        <v>0</v>
      </c>
      <c r="G145" s="161">
        <v>50</v>
      </c>
      <c r="H145" s="161">
        <v>1</v>
      </c>
      <c r="I145" s="166">
        <f>_xll.qlRateHelperEarliestDate($B145,Trigger)</f>
        <v>43773</v>
      </c>
      <c r="J145" s="167">
        <f>_xll.qlRateHelperLatestDate($B145,Trigger)</f>
        <v>46330</v>
      </c>
      <c r="L145" s="165"/>
    </row>
    <row r="146" spans="2:12" x14ac:dyDescent="0.2">
      <c r="B146" s="276" t="str">
        <f>ForwardSwaps!J85</f>
        <v>obj_0080a#0000</v>
      </c>
      <c r="C146" s="159" t="str">
        <f>_xll.qlRateHelperQuoteName(B146)</f>
        <v>EUR5F8Y_Quote</v>
      </c>
      <c r="D146" s="160">
        <f>_xll.qlRateHelperQuoteValue($B146,Trigger)</f>
        <v>1.9710000000000002E-2</v>
      </c>
      <c r="E146" s="160">
        <f>_xll.qlSwapRateHelperSpread($B146,Trigger)</f>
        <v>0</v>
      </c>
      <c r="F146" s="161" t="b">
        <v>0</v>
      </c>
      <c r="G146" s="161">
        <v>50</v>
      </c>
      <c r="H146" s="161">
        <v>1</v>
      </c>
      <c r="I146" s="166">
        <f>_xll.qlRateHelperEarliestDate($B146,Trigger)</f>
        <v>43773</v>
      </c>
      <c r="J146" s="167">
        <f>_xll.qlRateHelperLatestDate($B146,Trigger)</f>
        <v>46695</v>
      </c>
      <c r="L146" s="165"/>
    </row>
    <row r="147" spans="2:12" x14ac:dyDescent="0.2">
      <c r="B147" s="276" t="str">
        <f>ForwardSwaps!J86</f>
        <v>obj_00835#0000</v>
      </c>
      <c r="C147" s="159" t="str">
        <f>_xll.qlRateHelperQuoteName(B147)</f>
        <v>EUR5F9Y_Quote</v>
      </c>
      <c r="D147" s="160">
        <f>_xll.qlRateHelperQuoteValue($B147,Trigger)</f>
        <v>2.0219999999999998E-2</v>
      </c>
      <c r="E147" s="160">
        <f>_xll.qlSwapRateHelperSpread($B147,Trigger)</f>
        <v>0</v>
      </c>
      <c r="F147" s="161" t="b">
        <v>0</v>
      </c>
      <c r="G147" s="161">
        <v>50</v>
      </c>
      <c r="H147" s="161">
        <v>1</v>
      </c>
      <c r="I147" s="166">
        <f>_xll.qlRateHelperEarliestDate($B147,Trigger)</f>
        <v>43773</v>
      </c>
      <c r="J147" s="167">
        <f>_xll.qlRateHelperLatestDate($B147,Trigger)</f>
        <v>47063</v>
      </c>
      <c r="L147" s="165"/>
    </row>
    <row r="148" spans="2:12" x14ac:dyDescent="0.2">
      <c r="B148" s="276" t="str">
        <f>ForwardSwaps!J87</f>
        <v>obj_007e0#0000</v>
      </c>
      <c r="C148" s="159" t="str">
        <f>_xll.qlRateHelperQuoteName(B148)</f>
        <v>EUR5F10Y_Quote</v>
      </c>
      <c r="D148" s="160">
        <f>_xll.qlRateHelperQuoteValue($B148,Trigger)</f>
        <v>2.0619999999999999E-2</v>
      </c>
      <c r="E148" s="160">
        <f>_xll.qlSwapRateHelperSpread($B148,Trigger)</f>
        <v>0</v>
      </c>
      <c r="F148" s="161" t="b">
        <v>0</v>
      </c>
      <c r="G148" s="161">
        <v>50</v>
      </c>
      <c r="H148" s="161">
        <v>1</v>
      </c>
      <c r="I148" s="166">
        <f>_xll.qlRateHelperEarliestDate($B148,Trigger)</f>
        <v>43773</v>
      </c>
      <c r="J148" s="167">
        <f>_xll.qlRateHelperLatestDate($B148,Trigger)</f>
        <v>47427</v>
      </c>
      <c r="L148" s="165"/>
    </row>
    <row r="149" spans="2:12" x14ac:dyDescent="0.2">
      <c r="B149" s="276" t="str">
        <f>ForwardSwaps!J88</f>
        <v>obj_0078d#0000</v>
      </c>
      <c r="C149" s="159" t="str">
        <f>_xll.qlRateHelperQuoteName(B149)</f>
        <v>EUR5F11Y_Quote</v>
      </c>
      <c r="D149" s="160">
        <f>_xll.qlRateHelperQuoteValue($B149,Trigger)</f>
        <v>2.0959999999999999E-2</v>
      </c>
      <c r="E149" s="160">
        <f>_xll.qlSwapRateHelperSpread($B149,Trigger)</f>
        <v>0</v>
      </c>
      <c r="F149" s="161" t="b">
        <v>0</v>
      </c>
      <c r="G149" s="161">
        <v>50</v>
      </c>
      <c r="H149" s="161">
        <v>1</v>
      </c>
      <c r="I149" s="166">
        <f>_xll.qlRateHelperEarliestDate($B149,Trigger)</f>
        <v>43773</v>
      </c>
      <c r="J149" s="167">
        <f>_xll.qlRateHelperLatestDate($B149,Trigger)</f>
        <v>47791</v>
      </c>
      <c r="L149" s="165"/>
    </row>
    <row r="150" spans="2:12" x14ac:dyDescent="0.2">
      <c r="B150" s="276" t="str">
        <f>ForwardSwaps!J89</f>
        <v>obj_0083d#0000</v>
      </c>
      <c r="C150" s="159" t="str">
        <f>_xll.qlRateHelperQuoteName(B150)</f>
        <v>EUR5F12Y_Quote</v>
      </c>
      <c r="D150" s="160">
        <f>_xll.qlRateHelperQuoteValue($B150,Trigger)</f>
        <v>2.1230000000000002E-2</v>
      </c>
      <c r="E150" s="160">
        <f>_xll.qlSwapRateHelperSpread($B150,Trigger)</f>
        <v>0</v>
      </c>
      <c r="F150" s="161" t="b">
        <v>0</v>
      </c>
      <c r="G150" s="161">
        <v>50</v>
      </c>
      <c r="H150" s="161">
        <v>1</v>
      </c>
      <c r="I150" s="166">
        <f>_xll.qlRateHelperEarliestDate($B150,Trigger)</f>
        <v>43773</v>
      </c>
      <c r="J150" s="167">
        <f>_xll.qlRateHelperLatestDate($B150,Trigger)</f>
        <v>48156</v>
      </c>
      <c r="L150" s="165"/>
    </row>
    <row r="151" spans="2:12" x14ac:dyDescent="0.2">
      <c r="B151" s="276" t="str">
        <f>ForwardSwaps!J90</f>
        <v>obj_007b2#0000</v>
      </c>
      <c r="C151" s="159" t="str">
        <f>_xll.qlRateHelperQuoteName(B151)</f>
        <v>EUR5F13Y_Quote</v>
      </c>
      <c r="D151" s="160">
        <f>_xll.qlRateHelperQuoteValue($B151,Trigger)</f>
        <v>2.1440000000000001E-2</v>
      </c>
      <c r="E151" s="160">
        <f>_xll.qlSwapRateHelperSpread($B151,Trigger)</f>
        <v>0</v>
      </c>
      <c r="F151" s="161" t="b">
        <v>0</v>
      </c>
      <c r="G151" s="161">
        <v>50</v>
      </c>
      <c r="H151" s="161">
        <v>1</v>
      </c>
      <c r="I151" s="166">
        <f>_xll.qlRateHelperEarliestDate($B151,Trigger)</f>
        <v>43773</v>
      </c>
      <c r="J151" s="167">
        <f>_xll.qlRateHelperLatestDate($B151,Trigger)</f>
        <v>48522</v>
      </c>
      <c r="L151" s="165"/>
    </row>
    <row r="152" spans="2:12" x14ac:dyDescent="0.2">
      <c r="B152" s="276" t="str">
        <f>ForwardSwaps!J91</f>
        <v>obj_007e7#0000</v>
      </c>
      <c r="C152" s="159" t="str">
        <f>_xll.qlRateHelperQuoteName(B152)</f>
        <v>EUR5F14Y_Quote</v>
      </c>
      <c r="D152" s="160">
        <f>_xll.qlRateHelperQuoteValue($B152,Trigger)</f>
        <v>2.1610000000000001E-2</v>
      </c>
      <c r="E152" s="160">
        <f>_xll.qlSwapRateHelperSpread($B152,Trigger)</f>
        <v>0</v>
      </c>
      <c r="F152" s="161" t="b">
        <v>0</v>
      </c>
      <c r="G152" s="161">
        <v>50</v>
      </c>
      <c r="H152" s="161">
        <v>1</v>
      </c>
      <c r="I152" s="166">
        <f>_xll.qlRateHelperEarliestDate($B152,Trigger)</f>
        <v>43773</v>
      </c>
      <c r="J152" s="167">
        <f>_xll.qlRateHelperLatestDate($B152,Trigger)</f>
        <v>48887</v>
      </c>
      <c r="L152" s="165"/>
    </row>
    <row r="153" spans="2:12" x14ac:dyDescent="0.2">
      <c r="B153" s="276" t="str">
        <f>ForwardSwaps!J92</f>
        <v>obj_007bf#0000</v>
      </c>
      <c r="C153" s="159" t="str">
        <f>_xll.qlRateHelperQuoteName(B153)</f>
        <v>EUR5F15Y_Quote</v>
      </c>
      <c r="D153" s="160">
        <f>_xll.qlRateHelperQuoteValue($B153,Trigger)</f>
        <v>2.1720000000000003E-2</v>
      </c>
      <c r="E153" s="160">
        <f>_xll.qlSwapRateHelperSpread($B153,Trigger)</f>
        <v>0</v>
      </c>
      <c r="F153" s="161" t="b">
        <v>0</v>
      </c>
      <c r="G153" s="161">
        <v>50</v>
      </c>
      <c r="H153" s="161">
        <v>1</v>
      </c>
      <c r="I153" s="166">
        <f>_xll.qlRateHelperEarliestDate($B153,Trigger)</f>
        <v>43773</v>
      </c>
      <c r="J153" s="167">
        <f>_xll.qlRateHelperLatestDate($B153,Trigger)</f>
        <v>49254</v>
      </c>
      <c r="L153" s="165"/>
    </row>
    <row r="154" spans="2:12" x14ac:dyDescent="0.2">
      <c r="B154" s="276" t="str">
        <f>ForwardSwaps!J93</f>
        <v>obj_007b6#0000</v>
      </c>
      <c r="C154" s="159" t="str">
        <f>_xll.qlRateHelperQuoteName(B154)</f>
        <v>EUR5F20Y_Quote</v>
      </c>
      <c r="D154" s="160">
        <f>_xll.qlRateHelperQuoteValue($B154,Trigger)</f>
        <v>2.181E-2</v>
      </c>
      <c r="E154" s="160">
        <f>_xll.qlSwapRateHelperSpread($B154,Trigger)</f>
        <v>0</v>
      </c>
      <c r="F154" s="161" t="b">
        <v>0</v>
      </c>
      <c r="G154" s="161">
        <v>50</v>
      </c>
      <c r="H154" s="161">
        <v>1</v>
      </c>
      <c r="I154" s="166">
        <f>_xll.qlRateHelperEarliestDate($B154,Trigger)</f>
        <v>43773</v>
      </c>
      <c r="J154" s="167">
        <f>_xll.qlRateHelperLatestDate($B154,Trigger)</f>
        <v>51078</v>
      </c>
      <c r="L154" s="165"/>
    </row>
    <row r="155" spans="2:12" x14ac:dyDescent="0.2">
      <c r="B155" s="276" t="str">
        <f>ForwardSwaps!J94</f>
        <v>obj_0077f#0000</v>
      </c>
      <c r="C155" s="159" t="str">
        <f>_xll.qlRateHelperQuoteName(B155)</f>
        <v>EUR5F25Y_Quote</v>
      </c>
      <c r="D155" s="160">
        <f>_xll.qlRateHelperQuoteValue($B155,Trigger)</f>
        <v>2.162E-2</v>
      </c>
      <c r="E155" s="160">
        <f>_xll.qlSwapRateHelperSpread($B155,Trigger)</f>
        <v>0</v>
      </c>
      <c r="F155" s="161" t="b">
        <v>0</v>
      </c>
      <c r="G155" s="161">
        <v>50</v>
      </c>
      <c r="H155" s="161">
        <v>1</v>
      </c>
      <c r="I155" s="166">
        <f>_xll.qlRateHelperEarliestDate($B155,Trigger)</f>
        <v>43773</v>
      </c>
      <c r="J155" s="167">
        <f>_xll.qlRateHelperLatestDate($B155,Trigger)</f>
        <v>52905</v>
      </c>
      <c r="L155" s="165"/>
    </row>
    <row r="156" spans="2:12" x14ac:dyDescent="0.2">
      <c r="B156" s="277" t="str">
        <f>ForwardSwaps!J95</f>
        <v>obj_0078b#0000</v>
      </c>
      <c r="C156" s="162" t="str">
        <f>_xll.qlRateHelperQuoteName(B156)</f>
        <v>EUR5F30Y_Quote</v>
      </c>
      <c r="D156" s="163">
        <f>_xll.qlRateHelperQuoteValue($B156,Trigger)</f>
        <v>2.1530000000000001E-2</v>
      </c>
      <c r="E156" s="163">
        <f>_xll.qlSwapRateHelperSpread($B156,Trigger)</f>
        <v>0</v>
      </c>
      <c r="F156" s="164" t="b">
        <v>0</v>
      </c>
      <c r="G156" s="164">
        <v>50</v>
      </c>
      <c r="H156" s="164">
        <v>1</v>
      </c>
      <c r="I156" s="168">
        <f>_xll.qlRateHelperEarliestDate($B156,Trigger)</f>
        <v>43773</v>
      </c>
      <c r="J156" s="169">
        <f>_xll.qlRateHelperLatestDate($B156,Trigger)</f>
        <v>54731</v>
      </c>
      <c r="L156" s="165"/>
    </row>
    <row r="157" spans="2:12" x14ac:dyDescent="0.2">
      <c r="B157" s="278" t="str">
        <f>ForwardSwaps!J96</f>
        <v>obj_0087e#0000</v>
      </c>
      <c r="C157" s="261" t="str">
        <f>_xll.qlRateHelperQuoteName(B157)</f>
        <v>EUR6F1Y_Quote</v>
      </c>
      <c r="D157" s="279">
        <f>_xll.qlRateHelperQuoteValue($B157,Trigger)</f>
        <v>1.512E-2</v>
      </c>
      <c r="E157" s="279">
        <f>_xll.qlSwapRateHelperSpread($B157,Trigger)</f>
        <v>0</v>
      </c>
      <c r="F157" s="280" t="b">
        <v>0</v>
      </c>
      <c r="G157" s="280">
        <v>50</v>
      </c>
      <c r="H157" s="280">
        <v>1</v>
      </c>
      <c r="I157" s="281">
        <f>_xll.qlRateHelperEarliestDate($B157,Trigger)</f>
        <v>44138</v>
      </c>
      <c r="J157" s="282">
        <f>_xll.qlRateHelperLatestDate($B157,Trigger)</f>
        <v>44503</v>
      </c>
      <c r="L157" s="165"/>
    </row>
    <row r="158" spans="2:12" x14ac:dyDescent="0.2">
      <c r="B158" s="276" t="str">
        <f>ForwardSwaps!J97</f>
        <v>obj_00854#0000</v>
      </c>
      <c r="C158" s="159" t="str">
        <f>_xll.qlRateHelperQuoteName(B158)</f>
        <v>EUR6F2Y_Quote</v>
      </c>
      <c r="D158" s="160">
        <f>_xll.qlRateHelperQuoteValue($B158,Trigger)</f>
        <v>1.66E-2</v>
      </c>
      <c r="E158" s="160">
        <f>_xll.qlSwapRateHelperSpread($B158,Trigger)</f>
        <v>0</v>
      </c>
      <c r="F158" s="161" t="b">
        <v>0</v>
      </c>
      <c r="G158" s="161">
        <v>50</v>
      </c>
      <c r="H158" s="161">
        <v>1</v>
      </c>
      <c r="I158" s="166">
        <f>_xll.qlRateHelperEarliestDate($B158,Trigger)</f>
        <v>44138</v>
      </c>
      <c r="J158" s="167">
        <f>_xll.qlRateHelperLatestDate($B158,Trigger)</f>
        <v>44868</v>
      </c>
      <c r="L158" s="165"/>
    </row>
    <row r="159" spans="2:12" x14ac:dyDescent="0.2">
      <c r="B159" s="276" t="str">
        <f>ForwardSwaps!J98</f>
        <v>obj_00820#0000</v>
      </c>
      <c r="C159" s="159" t="str">
        <f>_xll.qlRateHelperQuoteName(B159)</f>
        <v>EUR6F3Y_Quote</v>
      </c>
      <c r="D159" s="160">
        <f>_xll.qlRateHelperQuoteValue($B159,Trigger)</f>
        <v>1.7840000000000002E-2</v>
      </c>
      <c r="E159" s="160">
        <f>_xll.qlSwapRateHelperSpread($B159,Trigger)</f>
        <v>0</v>
      </c>
      <c r="F159" s="161" t="b">
        <v>0</v>
      </c>
      <c r="G159" s="161">
        <v>50</v>
      </c>
      <c r="H159" s="161">
        <v>1</v>
      </c>
      <c r="I159" s="166">
        <f>_xll.qlRateHelperEarliestDate($B159,Trigger)</f>
        <v>44138</v>
      </c>
      <c r="J159" s="167">
        <f>_xll.qlRateHelperLatestDate($B159,Trigger)</f>
        <v>45233</v>
      </c>
      <c r="L159" s="165"/>
    </row>
    <row r="160" spans="2:12" x14ac:dyDescent="0.2">
      <c r="B160" s="276" t="str">
        <f>ForwardSwaps!J99</f>
        <v>obj_0078e#0000</v>
      </c>
      <c r="C160" s="159" t="str">
        <f>_xll.qlRateHelperQuoteName(B160)</f>
        <v>EUR6F4Y_Quote</v>
      </c>
      <c r="D160" s="160">
        <f>_xll.qlRateHelperQuoteValue($B160,Trigger)</f>
        <v>1.8870000000000001E-2</v>
      </c>
      <c r="E160" s="160">
        <f>_xll.qlSwapRateHelperSpread($B160,Trigger)</f>
        <v>0</v>
      </c>
      <c r="F160" s="161" t="b">
        <v>0</v>
      </c>
      <c r="G160" s="161">
        <v>50</v>
      </c>
      <c r="H160" s="161">
        <v>1</v>
      </c>
      <c r="I160" s="166">
        <f>_xll.qlRateHelperEarliestDate($B160,Trigger)</f>
        <v>44138</v>
      </c>
      <c r="J160" s="167">
        <f>_xll.qlRateHelperLatestDate($B160,Trigger)</f>
        <v>45600</v>
      </c>
      <c r="L160" s="165"/>
    </row>
    <row r="161" spans="2:12" x14ac:dyDescent="0.2">
      <c r="B161" s="276" t="str">
        <f>ForwardSwaps!J100</f>
        <v>obj_007a3#0000</v>
      </c>
      <c r="C161" s="159" t="str">
        <f>_xll.qlRateHelperQuoteName(B161)</f>
        <v>EUR6F5Y_Quote</v>
      </c>
      <c r="D161" s="160">
        <f>_xll.qlRateHelperQuoteValue($B161,Trigger)</f>
        <v>1.9710000000000002E-2</v>
      </c>
      <c r="E161" s="160">
        <f>_xll.qlSwapRateHelperSpread($B161,Trigger)</f>
        <v>0</v>
      </c>
      <c r="F161" s="161" t="b">
        <v>0</v>
      </c>
      <c r="G161" s="161">
        <v>50</v>
      </c>
      <c r="H161" s="161">
        <v>1</v>
      </c>
      <c r="I161" s="166">
        <f>_xll.qlRateHelperEarliestDate($B161,Trigger)</f>
        <v>44138</v>
      </c>
      <c r="J161" s="167">
        <f>_xll.qlRateHelperLatestDate($B161,Trigger)</f>
        <v>45964</v>
      </c>
      <c r="L161" s="165"/>
    </row>
    <row r="162" spans="2:12" x14ac:dyDescent="0.2">
      <c r="B162" s="276" t="str">
        <f>ForwardSwaps!J101</f>
        <v>obj_007cb#0000</v>
      </c>
      <c r="C162" s="159" t="str">
        <f>_xll.qlRateHelperQuoteName(B162)</f>
        <v>EUR6F6Y_Quote</v>
      </c>
      <c r="D162" s="160">
        <f>_xll.qlRateHelperQuoteValue($B162,Trigger)</f>
        <v>2.0379999999999999E-2</v>
      </c>
      <c r="E162" s="160">
        <f>_xll.qlSwapRateHelperSpread($B162,Trigger)</f>
        <v>0</v>
      </c>
      <c r="F162" s="161" t="b">
        <v>0</v>
      </c>
      <c r="G162" s="161">
        <v>50</v>
      </c>
      <c r="H162" s="161">
        <v>1</v>
      </c>
      <c r="I162" s="166">
        <f>_xll.qlRateHelperEarliestDate($B162,Trigger)</f>
        <v>44138</v>
      </c>
      <c r="J162" s="167">
        <f>_xll.qlRateHelperLatestDate($B162,Trigger)</f>
        <v>46329</v>
      </c>
      <c r="L162" s="165"/>
    </row>
    <row r="163" spans="2:12" x14ac:dyDescent="0.2">
      <c r="B163" s="276" t="str">
        <f>ForwardSwaps!J102</f>
        <v>obj_0086b#0000</v>
      </c>
      <c r="C163" s="159" t="str">
        <f>_xll.qlRateHelperQuoteName(B163)</f>
        <v>EUR6F7Y_Quote</v>
      </c>
      <c r="D163" s="160">
        <f>_xll.qlRateHelperQuoteValue($B163,Trigger)</f>
        <v>2.0920000000000001E-2</v>
      </c>
      <c r="E163" s="160">
        <f>_xll.qlSwapRateHelperSpread($B163,Trigger)</f>
        <v>0</v>
      </c>
      <c r="F163" s="161" t="b">
        <v>0</v>
      </c>
      <c r="G163" s="161">
        <v>50</v>
      </c>
      <c r="H163" s="161">
        <v>1</v>
      </c>
      <c r="I163" s="166">
        <f>_xll.qlRateHelperEarliestDate($B163,Trigger)</f>
        <v>44138</v>
      </c>
      <c r="J163" s="167">
        <f>_xll.qlRateHelperLatestDate($B163,Trigger)</f>
        <v>46694</v>
      </c>
      <c r="L163" s="165"/>
    </row>
    <row r="164" spans="2:12" x14ac:dyDescent="0.2">
      <c r="B164" s="276" t="str">
        <f>ForwardSwaps!J103</f>
        <v>obj_0081a#0000</v>
      </c>
      <c r="C164" s="159" t="str">
        <f>_xll.qlRateHelperQuoteName(B164)</f>
        <v>EUR6F8Y_Quote</v>
      </c>
      <c r="D164" s="160">
        <f>_xll.qlRateHelperQuoteValue($B164,Trigger)</f>
        <v>2.1349999999999997E-2</v>
      </c>
      <c r="E164" s="160">
        <f>_xll.qlSwapRateHelperSpread($B164,Trigger)</f>
        <v>0</v>
      </c>
      <c r="F164" s="161" t="b">
        <v>0</v>
      </c>
      <c r="G164" s="161">
        <v>50</v>
      </c>
      <c r="H164" s="161">
        <v>1</v>
      </c>
      <c r="I164" s="166">
        <f>_xll.qlRateHelperEarliestDate($B164,Trigger)</f>
        <v>44138</v>
      </c>
      <c r="J164" s="167">
        <f>_xll.qlRateHelperLatestDate($B164,Trigger)</f>
        <v>47060</v>
      </c>
      <c r="L164" s="165"/>
    </row>
    <row r="165" spans="2:12" x14ac:dyDescent="0.2">
      <c r="B165" s="276" t="str">
        <f>ForwardSwaps!J104</f>
        <v>obj_0080f#0000</v>
      </c>
      <c r="C165" s="159" t="str">
        <f>_xll.qlRateHelperQuoteName(B165)</f>
        <v>EUR6F9Y_Quote</v>
      </c>
      <c r="D165" s="160">
        <f>_xll.qlRateHelperQuoteValue($B165,Trigger)</f>
        <v>2.1690000000000001E-2</v>
      </c>
      <c r="E165" s="160">
        <f>_xll.qlSwapRateHelperSpread($B165,Trigger)</f>
        <v>0</v>
      </c>
      <c r="F165" s="161" t="b">
        <v>0</v>
      </c>
      <c r="G165" s="161">
        <v>50</v>
      </c>
      <c r="H165" s="161">
        <v>1</v>
      </c>
      <c r="I165" s="166">
        <f>_xll.qlRateHelperEarliestDate($B165,Trigger)</f>
        <v>44138</v>
      </c>
      <c r="J165" s="167">
        <f>_xll.qlRateHelperLatestDate($B165,Trigger)</f>
        <v>47427</v>
      </c>
      <c r="L165" s="165"/>
    </row>
    <row r="166" spans="2:12" x14ac:dyDescent="0.2">
      <c r="B166" s="276" t="str">
        <f>ForwardSwaps!J105</f>
        <v>obj_007cd#0000</v>
      </c>
      <c r="C166" s="159" t="str">
        <f>_xll.qlRateHelperQuoteName(B166)</f>
        <v>EUR6F10Y_Quote</v>
      </c>
      <c r="D166" s="160">
        <f>_xll.qlRateHelperQuoteValue($B166,Trigger)</f>
        <v>2.197E-2</v>
      </c>
      <c r="E166" s="160">
        <f>_xll.qlSwapRateHelperSpread($B166,Trigger)</f>
        <v>0</v>
      </c>
      <c r="F166" s="161" t="b">
        <v>0</v>
      </c>
      <c r="G166" s="161">
        <v>50</v>
      </c>
      <c r="H166" s="161">
        <v>1</v>
      </c>
      <c r="I166" s="166">
        <f>_xll.qlRateHelperEarliestDate($B166,Trigger)</f>
        <v>44138</v>
      </c>
      <c r="J166" s="167">
        <f>_xll.qlRateHelperLatestDate($B166,Trigger)</f>
        <v>47791</v>
      </c>
      <c r="L166" s="165"/>
    </row>
    <row r="167" spans="2:12" x14ac:dyDescent="0.2">
      <c r="B167" s="276" t="str">
        <f>ForwardSwaps!J106</f>
        <v>obj_007ea#0000</v>
      </c>
      <c r="C167" s="159" t="str">
        <f>_xll.qlRateHelperQuoteName(B167)</f>
        <v>EUR6F11Y_Quote</v>
      </c>
      <c r="D167" s="160">
        <f>_xll.qlRateHelperQuoteValue($B167,Trigger)</f>
        <v>2.2189999999999998E-2</v>
      </c>
      <c r="E167" s="160">
        <f>_xll.qlSwapRateHelperSpread($B167,Trigger)</f>
        <v>0</v>
      </c>
      <c r="F167" s="161" t="b">
        <v>0</v>
      </c>
      <c r="G167" s="161">
        <v>50</v>
      </c>
      <c r="H167" s="161">
        <v>1</v>
      </c>
      <c r="I167" s="166">
        <f>_xll.qlRateHelperEarliestDate($B167,Trigger)</f>
        <v>44138</v>
      </c>
      <c r="J167" s="167">
        <f>_xll.qlRateHelperLatestDate($B167,Trigger)</f>
        <v>48155</v>
      </c>
      <c r="L167" s="165"/>
    </row>
    <row r="168" spans="2:12" x14ac:dyDescent="0.2">
      <c r="B168" s="276" t="str">
        <f>ForwardSwaps!J107</f>
        <v>obj_0082c#0000</v>
      </c>
      <c r="C168" s="159" t="str">
        <f>_xll.qlRateHelperQuoteName(B168)</f>
        <v>EUR6F12Y_Quote</v>
      </c>
      <c r="D168" s="160">
        <f>_xll.qlRateHelperQuoteValue($B168,Trigger)</f>
        <v>2.2349999999999998E-2</v>
      </c>
      <c r="E168" s="160">
        <f>_xll.qlSwapRateHelperSpread($B168,Trigger)</f>
        <v>0</v>
      </c>
      <c r="F168" s="161" t="b">
        <v>0</v>
      </c>
      <c r="G168" s="161">
        <v>50</v>
      </c>
      <c r="H168" s="161">
        <v>1</v>
      </c>
      <c r="I168" s="166">
        <f>_xll.qlRateHelperEarliestDate($B168,Trigger)</f>
        <v>44138</v>
      </c>
      <c r="J168" s="167">
        <f>_xll.qlRateHelperLatestDate($B168,Trigger)</f>
        <v>48521</v>
      </c>
      <c r="L168" s="165"/>
    </row>
    <row r="169" spans="2:12" x14ac:dyDescent="0.2">
      <c r="B169" s="276" t="str">
        <f>ForwardSwaps!J108</f>
        <v>obj_0086f#0000</v>
      </c>
      <c r="C169" s="159" t="str">
        <f>_xll.qlRateHelperQuoteName(B169)</f>
        <v>EUR6F13Y_Quote</v>
      </c>
      <c r="D169" s="160">
        <f>_xll.qlRateHelperQuoteValue($B169,Trigger)</f>
        <v>2.247E-2</v>
      </c>
      <c r="E169" s="160">
        <f>_xll.qlSwapRateHelperSpread($B169,Trigger)</f>
        <v>0</v>
      </c>
      <c r="F169" s="161" t="b">
        <v>0</v>
      </c>
      <c r="G169" s="161">
        <v>50</v>
      </c>
      <c r="H169" s="161">
        <v>1</v>
      </c>
      <c r="I169" s="166">
        <f>_xll.qlRateHelperEarliestDate($B169,Trigger)</f>
        <v>44138</v>
      </c>
      <c r="J169" s="167">
        <f>_xll.qlRateHelperLatestDate($B169,Trigger)</f>
        <v>48886</v>
      </c>
      <c r="L169" s="165"/>
    </row>
    <row r="170" spans="2:12" x14ac:dyDescent="0.2">
      <c r="B170" s="276" t="str">
        <f>ForwardSwaps!J109</f>
        <v>obj_00848#0000</v>
      </c>
      <c r="C170" s="159" t="str">
        <f>_xll.qlRateHelperQuoteName(B170)</f>
        <v>EUR6F14Y_Quote</v>
      </c>
      <c r="D170" s="160">
        <f>_xll.qlRateHelperQuoteValue($B170,Trigger)</f>
        <v>2.2540000000000001E-2</v>
      </c>
      <c r="E170" s="160">
        <f>_xll.qlSwapRateHelperSpread($B170,Trigger)</f>
        <v>0</v>
      </c>
      <c r="F170" s="161" t="b">
        <v>0</v>
      </c>
      <c r="G170" s="161">
        <v>50</v>
      </c>
      <c r="H170" s="161">
        <v>1</v>
      </c>
      <c r="I170" s="166">
        <f>_xll.qlRateHelperEarliestDate($B170,Trigger)</f>
        <v>44138</v>
      </c>
      <c r="J170" s="167">
        <f>_xll.qlRateHelperLatestDate($B170,Trigger)</f>
        <v>49251</v>
      </c>
      <c r="L170" s="165"/>
    </row>
    <row r="171" spans="2:12" x14ac:dyDescent="0.2">
      <c r="B171" s="276" t="str">
        <f>ForwardSwaps!J110</f>
        <v>obj_00865#0000</v>
      </c>
      <c r="C171" s="159" t="str">
        <f>_xll.qlRateHelperQuoteName(B171)</f>
        <v>EUR6F15Y_Quote</v>
      </c>
      <c r="D171" s="160">
        <f>_xll.qlRateHelperQuoteValue($B171,Trigger)</f>
        <v>2.2579999999999999E-2</v>
      </c>
      <c r="E171" s="160">
        <f>_xll.qlSwapRateHelperSpread($B171,Trigger)</f>
        <v>0</v>
      </c>
      <c r="F171" s="161" t="b">
        <v>0</v>
      </c>
      <c r="G171" s="161">
        <v>50</v>
      </c>
      <c r="H171" s="161">
        <v>1</v>
      </c>
      <c r="I171" s="166">
        <f>_xll.qlRateHelperEarliestDate($B171,Trigger)</f>
        <v>44138</v>
      </c>
      <c r="J171" s="167">
        <f>_xll.qlRateHelperLatestDate($B171,Trigger)</f>
        <v>49618</v>
      </c>
      <c r="L171" s="165"/>
    </row>
    <row r="172" spans="2:12" x14ac:dyDescent="0.2">
      <c r="B172" s="276" t="str">
        <f>ForwardSwaps!J111</f>
        <v>obj_0088f#0000</v>
      </c>
      <c r="C172" s="159" t="str">
        <f>_xll.qlRateHelperQuoteName(B172)</f>
        <v>EUR6F20Y_Quote</v>
      </c>
      <c r="D172" s="160">
        <f>_xll.qlRateHelperQuoteValue($B172,Trigger)</f>
        <v>2.239E-2</v>
      </c>
      <c r="E172" s="160">
        <f>_xll.qlSwapRateHelperSpread($B172,Trigger)</f>
        <v>0</v>
      </c>
      <c r="F172" s="161" t="b">
        <v>0</v>
      </c>
      <c r="G172" s="161">
        <v>50</v>
      </c>
      <c r="H172" s="161">
        <v>1</v>
      </c>
      <c r="I172" s="166">
        <f>_xll.qlRateHelperEarliestDate($B172,Trigger)</f>
        <v>44138</v>
      </c>
      <c r="J172" s="167">
        <f>_xll.qlRateHelperLatestDate($B172,Trigger)</f>
        <v>51445</v>
      </c>
      <c r="L172" s="165"/>
    </row>
    <row r="173" spans="2:12" x14ac:dyDescent="0.2">
      <c r="B173" s="276" t="str">
        <f>ForwardSwaps!J112</f>
        <v>obj_00767#0000</v>
      </c>
      <c r="C173" s="159" t="str">
        <f>_xll.qlRateHelperQuoteName(B173)</f>
        <v>EUR6F25Y_Quote</v>
      </c>
      <c r="D173" s="160">
        <f>_xll.qlRateHelperQuoteValue($B173,Trigger)</f>
        <v>2.2090000000000002E-2</v>
      </c>
      <c r="E173" s="160">
        <f>_xll.qlSwapRateHelperSpread($B173,Trigger)</f>
        <v>0</v>
      </c>
      <c r="F173" s="161" t="b">
        <v>0</v>
      </c>
      <c r="G173" s="161">
        <v>50</v>
      </c>
      <c r="H173" s="161">
        <v>1</v>
      </c>
      <c r="I173" s="166">
        <f>_xll.qlRateHelperEarliestDate($B173,Trigger)</f>
        <v>44138</v>
      </c>
      <c r="J173" s="167">
        <f>_xll.qlRateHelperLatestDate($B173,Trigger)</f>
        <v>53269</v>
      </c>
      <c r="L173" s="165"/>
    </row>
    <row r="174" spans="2:12" x14ac:dyDescent="0.2">
      <c r="B174" s="277" t="str">
        <f>ForwardSwaps!J113</f>
        <v>obj_00882#0000</v>
      </c>
      <c r="C174" s="162" t="str">
        <f>_xll.qlRateHelperQuoteName(B174)</f>
        <v>EUR6F30Y_Quote</v>
      </c>
      <c r="D174" s="163">
        <f>_xll.qlRateHelperQuoteValue($B174,Trigger)</f>
        <v>2.196E-2</v>
      </c>
      <c r="E174" s="163">
        <f>_xll.qlSwapRateHelperSpread($B174,Trigger)</f>
        <v>0</v>
      </c>
      <c r="F174" s="164" t="b">
        <v>0</v>
      </c>
      <c r="G174" s="164">
        <v>50</v>
      </c>
      <c r="H174" s="164">
        <v>1</v>
      </c>
      <c r="I174" s="168">
        <f>_xll.qlRateHelperEarliestDate($B174,Trigger)</f>
        <v>44138</v>
      </c>
      <c r="J174" s="169">
        <f>_xll.qlRateHelperLatestDate($B174,Trigger)</f>
        <v>55095</v>
      </c>
      <c r="L174" s="165"/>
    </row>
    <row r="175" spans="2:12" x14ac:dyDescent="0.2">
      <c r="B175" s="278" t="str">
        <f>ForwardSwaps!J114</f>
        <v>obj_007bb#0000</v>
      </c>
      <c r="C175" s="261" t="str">
        <f>_xll.qlRateHelperQuoteName(B175)</f>
        <v>EUR7F1Y_Quote</v>
      </c>
      <c r="D175" s="279">
        <f>_xll.qlRateHelperQuoteValue($B175,Trigger)</f>
        <v>1.8089999999999998E-2</v>
      </c>
      <c r="E175" s="279">
        <f>_xll.qlSwapRateHelperSpread($B175,Trigger)</f>
        <v>0</v>
      </c>
      <c r="F175" s="280" t="b">
        <v>0</v>
      </c>
      <c r="G175" s="280">
        <v>50</v>
      </c>
      <c r="H175" s="280">
        <v>1</v>
      </c>
      <c r="I175" s="281">
        <f>_xll.qlRateHelperEarliestDate($B175,Trigger)</f>
        <v>44503</v>
      </c>
      <c r="J175" s="282">
        <f>_xll.qlRateHelperLatestDate($B175,Trigger)</f>
        <v>44868</v>
      </c>
      <c r="L175" s="165"/>
    </row>
    <row r="176" spans="2:12" x14ac:dyDescent="0.2">
      <c r="B176" s="276" t="str">
        <f>ForwardSwaps!J115</f>
        <v>obj_0083a#0000</v>
      </c>
      <c r="C176" s="159" t="str">
        <f>_xll.qlRateHelperQuoteName(B176)</f>
        <v>EUR7F2Y_Quote</v>
      </c>
      <c r="D176" s="160">
        <f>_xll.qlRateHelperQuoteValue($B176,Trigger)</f>
        <v>1.9230000000000001E-2</v>
      </c>
      <c r="E176" s="160">
        <f>_xll.qlSwapRateHelperSpread($B176,Trigger)</f>
        <v>0</v>
      </c>
      <c r="F176" s="161" t="b">
        <v>0</v>
      </c>
      <c r="G176" s="161">
        <v>50</v>
      </c>
      <c r="H176" s="161">
        <v>1</v>
      </c>
      <c r="I176" s="166">
        <f>_xll.qlRateHelperEarliestDate($B176,Trigger)</f>
        <v>44503</v>
      </c>
      <c r="J176" s="167">
        <f>_xll.qlRateHelperLatestDate($B176,Trigger)</f>
        <v>45233</v>
      </c>
      <c r="L176" s="165"/>
    </row>
    <row r="177" spans="2:12" x14ac:dyDescent="0.2">
      <c r="B177" s="276" t="str">
        <f>ForwardSwaps!J116</f>
        <v>obj_007c8#0000</v>
      </c>
      <c r="C177" s="159" t="str">
        <f>_xll.qlRateHelperQuoteName(B177)</f>
        <v>EUR7F3Y_Quote</v>
      </c>
      <c r="D177" s="160">
        <f>_xll.qlRateHelperQuoteValue($B177,Trigger)</f>
        <v>2.0160000000000001E-2</v>
      </c>
      <c r="E177" s="160">
        <f>_xll.qlSwapRateHelperSpread($B177,Trigger)</f>
        <v>0</v>
      </c>
      <c r="F177" s="161" t="b">
        <v>0</v>
      </c>
      <c r="G177" s="161">
        <v>50</v>
      </c>
      <c r="H177" s="161">
        <v>1</v>
      </c>
      <c r="I177" s="166">
        <f>_xll.qlRateHelperEarliestDate($B177,Trigger)</f>
        <v>44503</v>
      </c>
      <c r="J177" s="167">
        <f>_xll.qlRateHelperLatestDate($B177,Trigger)</f>
        <v>45600</v>
      </c>
      <c r="L177" s="165"/>
    </row>
    <row r="178" spans="2:12" x14ac:dyDescent="0.2">
      <c r="B178" s="276" t="str">
        <f>ForwardSwaps!J117</f>
        <v>obj_0077c#0000</v>
      </c>
      <c r="C178" s="159" t="str">
        <f>_xll.qlRateHelperQuoteName(B178)</f>
        <v>EUR7F4Y_Quote</v>
      </c>
      <c r="D178" s="160">
        <f>_xll.qlRateHelperQuoteValue($B178,Trigger)</f>
        <v>2.0910000000000002E-2</v>
      </c>
      <c r="E178" s="160">
        <f>_xll.qlSwapRateHelperSpread($B178,Trigger)</f>
        <v>0</v>
      </c>
      <c r="F178" s="161" t="b">
        <v>0</v>
      </c>
      <c r="G178" s="161">
        <v>50</v>
      </c>
      <c r="H178" s="161">
        <v>1</v>
      </c>
      <c r="I178" s="166">
        <f>_xll.qlRateHelperEarliestDate($B178,Trigger)</f>
        <v>44503</v>
      </c>
      <c r="J178" s="167">
        <f>_xll.qlRateHelperLatestDate($B178,Trigger)</f>
        <v>45964</v>
      </c>
      <c r="L178" s="165"/>
    </row>
    <row r="179" spans="2:12" x14ac:dyDescent="0.2">
      <c r="B179" s="276" t="str">
        <f>ForwardSwaps!J118</f>
        <v>obj_00824#0000</v>
      </c>
      <c r="C179" s="159" t="str">
        <f>_xll.qlRateHelperQuoteName(B179)</f>
        <v>EUR7F5Y_Quote</v>
      </c>
      <c r="D179" s="160">
        <f>_xll.qlRateHelperQuoteValue($B179,Trigger)</f>
        <v>2.1480000000000003E-2</v>
      </c>
      <c r="E179" s="160">
        <f>_xll.qlSwapRateHelperSpread($B179,Trigger)</f>
        <v>0</v>
      </c>
      <c r="F179" s="161" t="b">
        <v>0</v>
      </c>
      <c r="G179" s="161">
        <v>50</v>
      </c>
      <c r="H179" s="161">
        <v>1</v>
      </c>
      <c r="I179" s="166">
        <f>_xll.qlRateHelperEarliestDate($B179,Trigger)</f>
        <v>44503</v>
      </c>
      <c r="J179" s="167">
        <f>_xll.qlRateHelperLatestDate($B179,Trigger)</f>
        <v>46329</v>
      </c>
      <c r="L179" s="165"/>
    </row>
    <row r="180" spans="2:12" x14ac:dyDescent="0.2">
      <c r="B180" s="276" t="str">
        <f>ForwardSwaps!J119</f>
        <v>obj_0086a#0000</v>
      </c>
      <c r="C180" s="159" t="str">
        <f>_xll.qlRateHelperQuoteName(B180)</f>
        <v>EUR7F6Y_Quote</v>
      </c>
      <c r="D180" s="160">
        <f>_xll.qlRateHelperQuoteValue($B180,Trigger)</f>
        <v>2.1940000000000001E-2</v>
      </c>
      <c r="E180" s="160">
        <f>_xll.qlSwapRateHelperSpread($B180,Trigger)</f>
        <v>0</v>
      </c>
      <c r="F180" s="161" t="b">
        <v>0</v>
      </c>
      <c r="G180" s="161">
        <v>50</v>
      </c>
      <c r="H180" s="161">
        <v>1</v>
      </c>
      <c r="I180" s="166">
        <f>_xll.qlRateHelperEarliestDate($B180,Trigger)</f>
        <v>44503</v>
      </c>
      <c r="J180" s="167">
        <f>_xll.qlRateHelperLatestDate($B180,Trigger)</f>
        <v>46694</v>
      </c>
      <c r="L180" s="165"/>
    </row>
    <row r="181" spans="2:12" x14ac:dyDescent="0.2">
      <c r="B181" s="276" t="str">
        <f>ForwardSwaps!J120</f>
        <v>obj_00846#0000</v>
      </c>
      <c r="C181" s="159" t="str">
        <f>_xll.qlRateHelperQuoteName(B181)</f>
        <v>EUR7F7Y_Quote</v>
      </c>
      <c r="D181" s="160">
        <f>_xll.qlRateHelperQuoteValue($B181,Trigger)</f>
        <v>2.231E-2</v>
      </c>
      <c r="E181" s="160">
        <f>_xll.qlSwapRateHelperSpread($B181,Trigger)</f>
        <v>0</v>
      </c>
      <c r="F181" s="161" t="b">
        <v>0</v>
      </c>
      <c r="G181" s="161">
        <v>50</v>
      </c>
      <c r="H181" s="161">
        <v>1</v>
      </c>
      <c r="I181" s="166">
        <f>_xll.qlRateHelperEarliestDate($B181,Trigger)</f>
        <v>44503</v>
      </c>
      <c r="J181" s="167">
        <f>_xll.qlRateHelperLatestDate($B181,Trigger)</f>
        <v>47060</v>
      </c>
      <c r="L181" s="165"/>
    </row>
    <row r="182" spans="2:12" x14ac:dyDescent="0.2">
      <c r="B182" s="276" t="str">
        <f>ForwardSwaps!J121</f>
        <v>obj_007ba#0000</v>
      </c>
      <c r="C182" s="159" t="str">
        <f>_xll.qlRateHelperQuoteName(B182)</f>
        <v>EUR7F8Y_Quote</v>
      </c>
      <c r="D182" s="160">
        <f>_xll.qlRateHelperQuoteValue($B182,Trigger)</f>
        <v>2.2579999999999999E-2</v>
      </c>
      <c r="E182" s="160">
        <f>_xll.qlSwapRateHelperSpread($B182,Trigger)</f>
        <v>0</v>
      </c>
      <c r="F182" s="161" t="b">
        <v>0</v>
      </c>
      <c r="G182" s="161">
        <v>50</v>
      </c>
      <c r="H182" s="161">
        <v>1</v>
      </c>
      <c r="I182" s="166">
        <f>_xll.qlRateHelperEarliestDate($B182,Trigger)</f>
        <v>44503</v>
      </c>
      <c r="J182" s="167">
        <f>_xll.qlRateHelperLatestDate($B182,Trigger)</f>
        <v>47427</v>
      </c>
      <c r="L182" s="165"/>
    </row>
    <row r="183" spans="2:12" x14ac:dyDescent="0.2">
      <c r="B183" s="276" t="str">
        <f>ForwardSwaps!J122</f>
        <v>obj_00873#0000</v>
      </c>
      <c r="C183" s="159" t="str">
        <f>_xll.qlRateHelperQuoteName(B183)</f>
        <v>EUR7F9Y_Quote</v>
      </c>
      <c r="D183" s="160">
        <f>_xll.qlRateHelperQuoteValue($B183,Trigger)</f>
        <v>2.2789999999999998E-2</v>
      </c>
      <c r="E183" s="160">
        <f>_xll.qlSwapRateHelperSpread($B183,Trigger)</f>
        <v>0</v>
      </c>
      <c r="F183" s="161" t="b">
        <v>0</v>
      </c>
      <c r="G183" s="161">
        <v>50</v>
      </c>
      <c r="H183" s="161">
        <v>1</v>
      </c>
      <c r="I183" s="166">
        <f>_xll.qlRateHelperEarliestDate($B183,Trigger)</f>
        <v>44503</v>
      </c>
      <c r="J183" s="167">
        <f>_xll.qlRateHelperLatestDate($B183,Trigger)</f>
        <v>47791</v>
      </c>
      <c r="L183" s="165"/>
    </row>
    <row r="184" spans="2:12" x14ac:dyDescent="0.2">
      <c r="B184" s="276" t="str">
        <f>ForwardSwaps!J123</f>
        <v>obj_0085c#0000</v>
      </c>
      <c r="C184" s="159" t="str">
        <f>_xll.qlRateHelperQuoteName(B184)</f>
        <v>EUR7F10Y_Quote</v>
      </c>
      <c r="D184" s="160">
        <f>_xll.qlRateHelperQuoteValue($B184,Trigger)</f>
        <v>2.2959999999999998E-2</v>
      </c>
      <c r="E184" s="160">
        <f>_xll.qlSwapRateHelperSpread($B184,Trigger)</f>
        <v>0</v>
      </c>
      <c r="F184" s="161" t="b">
        <v>0</v>
      </c>
      <c r="G184" s="161">
        <v>50</v>
      </c>
      <c r="H184" s="161">
        <v>1</v>
      </c>
      <c r="I184" s="166">
        <f>_xll.qlRateHelperEarliestDate($B184,Trigger)</f>
        <v>44503</v>
      </c>
      <c r="J184" s="167">
        <f>_xll.qlRateHelperLatestDate($B184,Trigger)</f>
        <v>48155</v>
      </c>
      <c r="L184" s="165"/>
    </row>
    <row r="185" spans="2:12" x14ac:dyDescent="0.2">
      <c r="B185" s="276" t="str">
        <f>ForwardSwaps!J124</f>
        <v>obj_00869#0000</v>
      </c>
      <c r="C185" s="159" t="str">
        <f>_xll.qlRateHelperQuoteName(B185)</f>
        <v>EUR7F11Y_Quote</v>
      </c>
      <c r="D185" s="160">
        <f>_xll.qlRateHelperQuoteValue($B185,Trigger)</f>
        <v>2.3090000000000003E-2</v>
      </c>
      <c r="E185" s="160">
        <f>_xll.qlSwapRateHelperSpread($B185,Trigger)</f>
        <v>0</v>
      </c>
      <c r="F185" s="161" t="b">
        <v>0</v>
      </c>
      <c r="G185" s="161">
        <v>50</v>
      </c>
      <c r="H185" s="161">
        <v>1</v>
      </c>
      <c r="I185" s="166">
        <f>_xll.qlRateHelperEarliestDate($B185,Trigger)</f>
        <v>44503</v>
      </c>
      <c r="J185" s="167">
        <f>_xll.qlRateHelperLatestDate($B185,Trigger)</f>
        <v>48521</v>
      </c>
      <c r="L185" s="165"/>
    </row>
    <row r="186" spans="2:12" x14ac:dyDescent="0.2">
      <c r="B186" s="276" t="str">
        <f>ForwardSwaps!J125</f>
        <v>obj_00877#0000</v>
      </c>
      <c r="C186" s="159" t="str">
        <f>_xll.qlRateHelperQuoteName(B186)</f>
        <v>EUR7F12Y_Quote</v>
      </c>
      <c r="D186" s="160">
        <f>_xll.qlRateHelperQuoteValue($B186,Trigger)</f>
        <v>2.315E-2</v>
      </c>
      <c r="E186" s="160">
        <f>_xll.qlSwapRateHelperSpread($B186,Trigger)</f>
        <v>0</v>
      </c>
      <c r="F186" s="161" t="b">
        <v>0</v>
      </c>
      <c r="G186" s="161">
        <v>50</v>
      </c>
      <c r="H186" s="161">
        <v>1</v>
      </c>
      <c r="I186" s="166">
        <f>_xll.qlRateHelperEarliestDate($B186,Trigger)</f>
        <v>44503</v>
      </c>
      <c r="J186" s="167">
        <f>_xll.qlRateHelperLatestDate($B186,Trigger)</f>
        <v>48886</v>
      </c>
      <c r="L186" s="165"/>
    </row>
    <row r="187" spans="2:12" x14ac:dyDescent="0.2">
      <c r="B187" s="276" t="str">
        <f>ForwardSwaps!J126</f>
        <v>obj_007a5#0000</v>
      </c>
      <c r="C187" s="159" t="str">
        <f>_xll.qlRateHelperQuoteName(B187)</f>
        <v>EUR7F13Y_Quote</v>
      </c>
      <c r="D187" s="160">
        <f>_xll.qlRateHelperQuoteValue($B187,Trigger)</f>
        <v>2.3189999999999999E-2</v>
      </c>
      <c r="E187" s="160">
        <f>_xll.qlSwapRateHelperSpread($B187,Trigger)</f>
        <v>0</v>
      </c>
      <c r="F187" s="161" t="b">
        <v>0</v>
      </c>
      <c r="G187" s="161">
        <v>50</v>
      </c>
      <c r="H187" s="161">
        <v>1</v>
      </c>
      <c r="I187" s="166">
        <f>_xll.qlRateHelperEarliestDate($B187,Trigger)</f>
        <v>44503</v>
      </c>
      <c r="J187" s="167">
        <f>_xll.qlRateHelperLatestDate($B187,Trigger)</f>
        <v>49251</v>
      </c>
      <c r="L187" s="165"/>
    </row>
    <row r="188" spans="2:12" x14ac:dyDescent="0.2">
      <c r="B188" s="276" t="str">
        <f>ForwardSwaps!J127</f>
        <v>obj_00829#0000</v>
      </c>
      <c r="C188" s="159" t="str">
        <f>_xll.qlRateHelperQuoteName(B188)</f>
        <v>EUR7F14Y_Quote</v>
      </c>
      <c r="D188" s="160">
        <f>_xll.qlRateHelperQuoteValue($B188,Trigger)</f>
        <v>2.3179999999999999E-2</v>
      </c>
      <c r="E188" s="160">
        <f>_xll.qlSwapRateHelperSpread($B188,Trigger)</f>
        <v>0</v>
      </c>
      <c r="F188" s="161" t="b">
        <v>0</v>
      </c>
      <c r="G188" s="161">
        <v>50</v>
      </c>
      <c r="H188" s="161">
        <v>1</v>
      </c>
      <c r="I188" s="166">
        <f>_xll.qlRateHelperEarliestDate($B188,Trigger)</f>
        <v>44503</v>
      </c>
      <c r="J188" s="167">
        <f>_xll.qlRateHelperLatestDate($B188,Trigger)</f>
        <v>49618</v>
      </c>
      <c r="L188" s="165"/>
    </row>
    <row r="189" spans="2:12" x14ac:dyDescent="0.2">
      <c r="B189" s="276" t="str">
        <f>ForwardSwaps!J128</f>
        <v>obj_00821#0000</v>
      </c>
      <c r="C189" s="159" t="str">
        <f>_xll.qlRateHelperQuoteName(B189)</f>
        <v>EUR7F15Y_Quote</v>
      </c>
      <c r="D189" s="160">
        <f>_xll.qlRateHelperQuoteValue($B189,Trigger)</f>
        <v>2.315E-2</v>
      </c>
      <c r="E189" s="160">
        <f>_xll.qlSwapRateHelperSpread($B189,Trigger)</f>
        <v>0</v>
      </c>
      <c r="F189" s="161" t="b">
        <v>0</v>
      </c>
      <c r="G189" s="161">
        <v>50</v>
      </c>
      <c r="H189" s="161">
        <v>1</v>
      </c>
      <c r="I189" s="166">
        <f>_xll.qlRateHelperEarliestDate($B189,Trigger)</f>
        <v>44503</v>
      </c>
      <c r="J189" s="167">
        <f>_xll.qlRateHelperLatestDate($B189,Trigger)</f>
        <v>49982</v>
      </c>
      <c r="L189" s="165"/>
    </row>
    <row r="190" spans="2:12" x14ac:dyDescent="0.2">
      <c r="B190" s="276" t="str">
        <f>ForwardSwaps!J129</f>
        <v>obj_007e6#0000</v>
      </c>
      <c r="C190" s="159" t="str">
        <f>_xll.qlRateHelperQuoteName(B190)</f>
        <v>EUR7F20Y_Quote</v>
      </c>
      <c r="D190" s="160">
        <f>_xll.qlRateHelperQuoteValue($B190,Trigger)</f>
        <v>2.2770000000000002E-2</v>
      </c>
      <c r="E190" s="160">
        <f>_xll.qlSwapRateHelperSpread($B190,Trigger)</f>
        <v>0</v>
      </c>
      <c r="F190" s="161" t="b">
        <v>0</v>
      </c>
      <c r="G190" s="161">
        <v>50</v>
      </c>
      <c r="H190" s="161">
        <v>1</v>
      </c>
      <c r="I190" s="166">
        <f>_xll.qlRateHelperEarliestDate($B190,Trigger)</f>
        <v>44503</v>
      </c>
      <c r="J190" s="167">
        <f>_xll.qlRateHelperLatestDate($B190,Trigger)</f>
        <v>51809</v>
      </c>
      <c r="L190" s="165"/>
    </row>
    <row r="191" spans="2:12" x14ac:dyDescent="0.2">
      <c r="B191" s="276" t="str">
        <f>ForwardSwaps!J130</f>
        <v>obj_00779#0000</v>
      </c>
      <c r="C191" s="159" t="str">
        <f>_xll.qlRateHelperQuoteName(B191)</f>
        <v>EUR7F25Y_Quote</v>
      </c>
      <c r="D191" s="160">
        <f>_xll.qlRateHelperQuoteValue($B191,Trigger)</f>
        <v>2.2400000000000003E-2</v>
      </c>
      <c r="E191" s="160">
        <f>_xll.qlSwapRateHelperSpread($B191,Trigger)</f>
        <v>0</v>
      </c>
      <c r="F191" s="161" t="b">
        <v>0</v>
      </c>
      <c r="G191" s="161">
        <v>50</v>
      </c>
      <c r="H191" s="161">
        <v>1</v>
      </c>
      <c r="I191" s="166">
        <f>_xll.qlRateHelperEarliestDate($B191,Trigger)</f>
        <v>44503</v>
      </c>
      <c r="J191" s="167">
        <f>_xll.qlRateHelperLatestDate($B191,Trigger)</f>
        <v>53636</v>
      </c>
      <c r="L191" s="165"/>
    </row>
    <row r="192" spans="2:12" x14ac:dyDescent="0.2">
      <c r="B192" s="277" t="str">
        <f>ForwardSwaps!J131</f>
        <v>obj_00792#0000</v>
      </c>
      <c r="C192" s="162" t="str">
        <f>_xll.qlRateHelperQuoteName(B192)</f>
        <v>EUR7F30Y_Quote</v>
      </c>
      <c r="D192" s="163">
        <f>_xll.qlRateHelperQuoteValue($B192,Trigger)</f>
        <v>2.2250000000000002E-2</v>
      </c>
      <c r="E192" s="163">
        <f>_xll.qlSwapRateHelperSpread($B192,Trigger)</f>
        <v>0</v>
      </c>
      <c r="F192" s="164" t="b">
        <v>0</v>
      </c>
      <c r="G192" s="164">
        <v>50</v>
      </c>
      <c r="H192" s="164">
        <v>1</v>
      </c>
      <c r="I192" s="168">
        <f>_xll.qlRateHelperEarliestDate($B192,Trigger)</f>
        <v>44503</v>
      </c>
      <c r="J192" s="169">
        <f>_xll.qlRateHelperLatestDate($B192,Trigger)</f>
        <v>55460</v>
      </c>
      <c r="L192" s="165"/>
    </row>
    <row r="193" spans="2:12" x14ac:dyDescent="0.2">
      <c r="B193" s="278" t="str">
        <f>ForwardSwaps!J132</f>
        <v>obj_00893#0000</v>
      </c>
      <c r="C193" s="261" t="str">
        <f>_xll.qlRateHelperQuoteName(B193)</f>
        <v>EUR8F1Y_Quote</v>
      </c>
      <c r="D193" s="279">
        <f>_xll.qlRateHelperQuoteValue($B193,Trigger)</f>
        <v>2.0390000000000002E-2</v>
      </c>
      <c r="E193" s="279">
        <f>_xll.qlSwapRateHelperSpread($B193,Trigger)</f>
        <v>0</v>
      </c>
      <c r="F193" s="280" t="b">
        <v>0</v>
      </c>
      <c r="G193" s="280">
        <v>50</v>
      </c>
      <c r="H193" s="280">
        <v>1</v>
      </c>
      <c r="I193" s="281">
        <f>_xll.qlRateHelperEarliestDate($B193,Trigger)</f>
        <v>44868</v>
      </c>
      <c r="J193" s="282">
        <f>_xll.qlRateHelperLatestDate($B193,Trigger)</f>
        <v>45233</v>
      </c>
      <c r="L193" s="165"/>
    </row>
    <row r="194" spans="2:12" x14ac:dyDescent="0.2">
      <c r="B194" s="276" t="str">
        <f>ForwardSwaps!J133</f>
        <v>obj_0082f#0000</v>
      </c>
      <c r="C194" s="159" t="str">
        <f>_xll.qlRateHelperQuoteName(B194)</f>
        <v>EUR8F2Y_Quote</v>
      </c>
      <c r="D194" s="160">
        <f>_xll.qlRateHelperQuoteValue($B194,Trigger)</f>
        <v>2.1219999999999999E-2</v>
      </c>
      <c r="E194" s="160">
        <f>_xll.qlSwapRateHelperSpread($B194,Trigger)</f>
        <v>0</v>
      </c>
      <c r="F194" s="161" t="b">
        <v>0</v>
      </c>
      <c r="G194" s="161">
        <v>50</v>
      </c>
      <c r="H194" s="161">
        <v>1</v>
      </c>
      <c r="I194" s="166">
        <f>_xll.qlRateHelperEarliestDate($B194,Trigger)</f>
        <v>44868</v>
      </c>
      <c r="J194" s="167">
        <f>_xll.qlRateHelperLatestDate($B194,Trigger)</f>
        <v>45600</v>
      </c>
      <c r="L194" s="165"/>
    </row>
    <row r="195" spans="2:12" x14ac:dyDescent="0.2">
      <c r="B195" s="276" t="str">
        <f>ForwardSwaps!J134</f>
        <v>obj_007ca#0000</v>
      </c>
      <c r="C195" s="159" t="str">
        <f>_xll.qlRateHelperQuoteName(B195)</f>
        <v>EUR8F3Y_Quote</v>
      </c>
      <c r="D195" s="160">
        <f>_xll.qlRateHelperQuoteValue($B195,Trigger)</f>
        <v>2.188E-2</v>
      </c>
      <c r="E195" s="160">
        <f>_xll.qlSwapRateHelperSpread($B195,Trigger)</f>
        <v>0</v>
      </c>
      <c r="F195" s="161" t="b">
        <v>0</v>
      </c>
      <c r="G195" s="161">
        <v>50</v>
      </c>
      <c r="H195" s="161">
        <v>1</v>
      </c>
      <c r="I195" s="166">
        <f>_xll.qlRateHelperEarliestDate($B195,Trigger)</f>
        <v>44868</v>
      </c>
      <c r="J195" s="167">
        <f>_xll.qlRateHelperLatestDate($B195,Trigger)</f>
        <v>45964</v>
      </c>
      <c r="L195" s="165"/>
    </row>
    <row r="196" spans="2:12" x14ac:dyDescent="0.2">
      <c r="B196" s="276" t="str">
        <f>ForwardSwaps!J135</f>
        <v>obj_007f8#0000</v>
      </c>
      <c r="C196" s="159" t="str">
        <f>_xll.qlRateHelperQuoteName(B196)</f>
        <v>EUR8F4Y_Quote</v>
      </c>
      <c r="D196" s="160">
        <f>_xll.qlRateHelperQuoteValue($B196,Trigger)</f>
        <v>2.2360000000000001E-2</v>
      </c>
      <c r="E196" s="160">
        <f>_xll.qlSwapRateHelperSpread($B196,Trigger)</f>
        <v>0</v>
      </c>
      <c r="F196" s="161" t="b">
        <v>0</v>
      </c>
      <c r="G196" s="161">
        <v>50</v>
      </c>
      <c r="H196" s="161">
        <v>1</v>
      </c>
      <c r="I196" s="166">
        <f>_xll.qlRateHelperEarliestDate($B196,Trigger)</f>
        <v>44868</v>
      </c>
      <c r="J196" s="167">
        <f>_xll.qlRateHelperLatestDate($B196,Trigger)</f>
        <v>46329</v>
      </c>
      <c r="L196" s="165"/>
    </row>
    <row r="197" spans="2:12" x14ac:dyDescent="0.2">
      <c r="B197" s="276" t="str">
        <f>ForwardSwaps!J136</f>
        <v>obj_00828#0000</v>
      </c>
      <c r="C197" s="159" t="str">
        <f>_xll.qlRateHelperQuoteName(B197)</f>
        <v>EUR8F5Y_Quote</v>
      </c>
      <c r="D197" s="160">
        <f>_xll.qlRateHelperQuoteValue($B197,Trigger)</f>
        <v>2.2759999999999999E-2</v>
      </c>
      <c r="E197" s="160">
        <f>_xll.qlSwapRateHelperSpread($B197,Trigger)</f>
        <v>0</v>
      </c>
      <c r="F197" s="161" t="b">
        <v>0</v>
      </c>
      <c r="G197" s="161">
        <v>50</v>
      </c>
      <c r="H197" s="161">
        <v>1</v>
      </c>
      <c r="I197" s="166">
        <f>_xll.qlRateHelperEarliestDate($B197,Trigger)</f>
        <v>44868</v>
      </c>
      <c r="J197" s="167">
        <f>_xll.qlRateHelperLatestDate($B197,Trigger)</f>
        <v>46694</v>
      </c>
      <c r="L197" s="165"/>
    </row>
    <row r="198" spans="2:12" x14ac:dyDescent="0.2">
      <c r="B198" s="276" t="str">
        <f>ForwardSwaps!J137</f>
        <v>obj_007ad#0000</v>
      </c>
      <c r="C198" s="159" t="str">
        <f>_xll.qlRateHelperQuoteName(B198)</f>
        <v>EUR8F6Y_Quote</v>
      </c>
      <c r="D198" s="160">
        <f>_xll.qlRateHelperQuoteValue($B198,Trigger)</f>
        <v>2.3050000000000001E-2</v>
      </c>
      <c r="E198" s="160">
        <f>_xll.qlSwapRateHelperSpread($B198,Trigger)</f>
        <v>0</v>
      </c>
      <c r="F198" s="161" t="b">
        <v>0</v>
      </c>
      <c r="G198" s="161">
        <v>50</v>
      </c>
      <c r="H198" s="161">
        <v>1</v>
      </c>
      <c r="I198" s="166">
        <f>_xll.qlRateHelperEarliestDate($B198,Trigger)</f>
        <v>44868</v>
      </c>
      <c r="J198" s="167">
        <f>_xll.qlRateHelperLatestDate($B198,Trigger)</f>
        <v>47060</v>
      </c>
      <c r="L198" s="165"/>
    </row>
    <row r="199" spans="2:12" x14ac:dyDescent="0.2">
      <c r="B199" s="276" t="str">
        <f>ForwardSwaps!J138</f>
        <v>obj_007ec#0000</v>
      </c>
      <c r="C199" s="159" t="str">
        <f>_xll.qlRateHelperQuoteName(B199)</f>
        <v>EUR8F7Y_Quote</v>
      </c>
      <c r="D199" s="160">
        <f>_xll.qlRateHelperQuoteValue($B199,Trigger)</f>
        <v>2.3269999999999999E-2</v>
      </c>
      <c r="E199" s="160">
        <f>_xll.qlSwapRateHelperSpread($B199,Trigger)</f>
        <v>0</v>
      </c>
      <c r="F199" s="161" t="b">
        <v>0</v>
      </c>
      <c r="G199" s="161">
        <v>50</v>
      </c>
      <c r="H199" s="161">
        <v>1</v>
      </c>
      <c r="I199" s="166">
        <f>_xll.qlRateHelperEarliestDate($B199,Trigger)</f>
        <v>44868</v>
      </c>
      <c r="J199" s="167">
        <f>_xll.qlRateHelperLatestDate($B199,Trigger)</f>
        <v>47427</v>
      </c>
      <c r="L199" s="165"/>
    </row>
    <row r="200" spans="2:12" x14ac:dyDescent="0.2">
      <c r="B200" s="276" t="str">
        <f>ForwardSwaps!J139</f>
        <v>obj_007e8#0000</v>
      </c>
      <c r="C200" s="159" t="str">
        <f>_xll.qlRateHelperQuoteName(B200)</f>
        <v>EUR8F8Y_Quote</v>
      </c>
      <c r="D200" s="160">
        <f>_xll.qlRateHelperQuoteValue($B200,Trigger)</f>
        <v>2.3439999999999999E-2</v>
      </c>
      <c r="E200" s="160">
        <f>_xll.qlSwapRateHelperSpread($B200,Trigger)</f>
        <v>0</v>
      </c>
      <c r="F200" s="161" t="b">
        <v>0</v>
      </c>
      <c r="G200" s="161">
        <v>50</v>
      </c>
      <c r="H200" s="161">
        <v>1</v>
      </c>
      <c r="I200" s="166">
        <f>_xll.qlRateHelperEarliestDate($B200,Trigger)</f>
        <v>44868</v>
      </c>
      <c r="J200" s="167">
        <f>_xll.qlRateHelperLatestDate($B200,Trigger)</f>
        <v>47791</v>
      </c>
      <c r="L200" s="165"/>
    </row>
    <row r="201" spans="2:12" x14ac:dyDescent="0.2">
      <c r="B201" s="276" t="str">
        <f>ForwardSwaps!J140</f>
        <v>obj_007f5#0000</v>
      </c>
      <c r="C201" s="159" t="str">
        <f>_xll.qlRateHelperQuoteName(B201)</f>
        <v>EUR8F9Y_Quote</v>
      </c>
      <c r="D201" s="160">
        <f>_xll.qlRateHelperQuoteValue($B201,Trigger)</f>
        <v>2.358E-2</v>
      </c>
      <c r="E201" s="160">
        <f>_xll.qlSwapRateHelperSpread($B201,Trigger)</f>
        <v>0</v>
      </c>
      <c r="F201" s="161" t="b">
        <v>0</v>
      </c>
      <c r="G201" s="161">
        <v>50</v>
      </c>
      <c r="H201" s="161">
        <v>1</v>
      </c>
      <c r="I201" s="166">
        <f>_xll.qlRateHelperEarliestDate($B201,Trigger)</f>
        <v>44868</v>
      </c>
      <c r="J201" s="167">
        <f>_xll.qlRateHelperLatestDate($B201,Trigger)</f>
        <v>48155</v>
      </c>
      <c r="L201" s="165"/>
    </row>
    <row r="202" spans="2:12" x14ac:dyDescent="0.2">
      <c r="B202" s="276" t="str">
        <f>ForwardSwaps!J141</f>
        <v>obj_00815#0000</v>
      </c>
      <c r="C202" s="159" t="str">
        <f>_xll.qlRateHelperQuoteName(B202)</f>
        <v>EUR8F10Y_Quote</v>
      </c>
      <c r="D202" s="160">
        <f>_xll.qlRateHelperQuoteValue($B202,Trigger)</f>
        <v>2.3650000000000001E-2</v>
      </c>
      <c r="E202" s="160">
        <f>_xll.qlSwapRateHelperSpread($B202,Trigger)</f>
        <v>0</v>
      </c>
      <c r="F202" s="161" t="b">
        <v>0</v>
      </c>
      <c r="G202" s="161">
        <v>50</v>
      </c>
      <c r="H202" s="161">
        <v>1</v>
      </c>
      <c r="I202" s="166">
        <f>_xll.qlRateHelperEarliestDate($B202,Trigger)</f>
        <v>44868</v>
      </c>
      <c r="J202" s="167">
        <f>_xll.qlRateHelperLatestDate($B202,Trigger)</f>
        <v>48521</v>
      </c>
      <c r="L202" s="165"/>
    </row>
    <row r="203" spans="2:12" x14ac:dyDescent="0.2">
      <c r="B203" s="276" t="str">
        <f>ForwardSwaps!J142</f>
        <v>obj_00890#0000</v>
      </c>
      <c r="C203" s="159" t="str">
        <f>_xll.qlRateHelperQuoteName(B203)</f>
        <v>EUR8F11Y_Quote</v>
      </c>
      <c r="D203" s="160">
        <f>_xll.qlRateHelperQuoteValue($B203,Trigger)</f>
        <v>2.367E-2</v>
      </c>
      <c r="E203" s="160">
        <f>_xll.qlSwapRateHelperSpread($B203,Trigger)</f>
        <v>0</v>
      </c>
      <c r="F203" s="161" t="b">
        <v>0</v>
      </c>
      <c r="G203" s="161">
        <v>50</v>
      </c>
      <c r="H203" s="161">
        <v>1</v>
      </c>
      <c r="I203" s="166">
        <f>_xll.qlRateHelperEarliestDate($B203,Trigger)</f>
        <v>44868</v>
      </c>
      <c r="J203" s="167">
        <f>_xll.qlRateHelperLatestDate($B203,Trigger)</f>
        <v>48886</v>
      </c>
      <c r="L203" s="165"/>
    </row>
    <row r="204" spans="2:12" x14ac:dyDescent="0.2">
      <c r="B204" s="276" t="str">
        <f>ForwardSwaps!J143</f>
        <v>obj_00766#0000</v>
      </c>
      <c r="C204" s="159" t="str">
        <f>_xll.qlRateHelperQuoteName(B204)</f>
        <v>EUR8F12Y_Quote</v>
      </c>
      <c r="D204" s="160">
        <f>_xll.qlRateHelperQuoteValue($B204,Trigger)</f>
        <v>2.368E-2</v>
      </c>
      <c r="E204" s="160">
        <f>_xll.qlSwapRateHelperSpread($B204,Trigger)</f>
        <v>0</v>
      </c>
      <c r="F204" s="161" t="b">
        <v>0</v>
      </c>
      <c r="G204" s="161">
        <v>50</v>
      </c>
      <c r="H204" s="161">
        <v>1</v>
      </c>
      <c r="I204" s="166">
        <f>_xll.qlRateHelperEarliestDate($B204,Trigger)</f>
        <v>44868</v>
      </c>
      <c r="J204" s="167">
        <f>_xll.qlRateHelperLatestDate($B204,Trigger)</f>
        <v>49251</v>
      </c>
      <c r="L204" s="165"/>
    </row>
    <row r="205" spans="2:12" x14ac:dyDescent="0.2">
      <c r="B205" s="276" t="str">
        <f>ForwardSwaps!J144</f>
        <v>obj_007c5#0000</v>
      </c>
      <c r="C205" s="159" t="str">
        <f>_xll.qlRateHelperQuoteName(B205)</f>
        <v>EUR8F13Y_Quote</v>
      </c>
      <c r="D205" s="160">
        <f>_xll.qlRateHelperQuoteValue($B205,Trigger)</f>
        <v>2.3639999999999998E-2</v>
      </c>
      <c r="E205" s="160">
        <f>_xll.qlSwapRateHelperSpread($B205,Trigger)</f>
        <v>0</v>
      </c>
      <c r="F205" s="161" t="b">
        <v>0</v>
      </c>
      <c r="G205" s="161">
        <v>50</v>
      </c>
      <c r="H205" s="161">
        <v>1</v>
      </c>
      <c r="I205" s="166">
        <f>_xll.qlRateHelperEarliestDate($B205,Trigger)</f>
        <v>44868</v>
      </c>
      <c r="J205" s="167">
        <f>_xll.qlRateHelperLatestDate($B205,Trigger)</f>
        <v>49618</v>
      </c>
      <c r="L205" s="165"/>
    </row>
    <row r="206" spans="2:12" x14ac:dyDescent="0.2">
      <c r="B206" s="276" t="str">
        <f>ForwardSwaps!J145</f>
        <v>obj_00804#0000</v>
      </c>
      <c r="C206" s="159" t="str">
        <f>_xll.qlRateHelperQuoteName(B206)</f>
        <v>EUR8F14Y_Quote</v>
      </c>
      <c r="D206" s="160">
        <f>_xll.qlRateHelperQuoteValue($B206,Trigger)</f>
        <v>2.3570000000000001E-2</v>
      </c>
      <c r="E206" s="160">
        <f>_xll.qlSwapRateHelperSpread($B206,Trigger)</f>
        <v>0</v>
      </c>
      <c r="F206" s="161" t="b">
        <v>0</v>
      </c>
      <c r="G206" s="161">
        <v>50</v>
      </c>
      <c r="H206" s="161">
        <v>1</v>
      </c>
      <c r="I206" s="166">
        <f>_xll.qlRateHelperEarliestDate($B206,Trigger)</f>
        <v>44868</v>
      </c>
      <c r="J206" s="167">
        <f>_xll.qlRateHelperLatestDate($B206,Trigger)</f>
        <v>49982</v>
      </c>
      <c r="L206" s="165"/>
    </row>
    <row r="207" spans="2:12" x14ac:dyDescent="0.2">
      <c r="B207" s="276" t="str">
        <f>ForwardSwaps!J146</f>
        <v>obj_007c0#0000</v>
      </c>
      <c r="C207" s="159" t="str">
        <f>_xll.qlRateHelperQuoteName(B207)</f>
        <v>EUR8F15Y_Quote</v>
      </c>
      <c r="D207" s="160">
        <f>_xll.qlRateHelperQuoteValue($B207,Trigger)</f>
        <v>2.3479999999999997E-2</v>
      </c>
      <c r="E207" s="160">
        <f>_xll.qlSwapRateHelperSpread($B207,Trigger)</f>
        <v>0</v>
      </c>
      <c r="F207" s="161" t="b">
        <v>0</v>
      </c>
      <c r="G207" s="161">
        <v>50</v>
      </c>
      <c r="H207" s="161">
        <v>1</v>
      </c>
      <c r="I207" s="166">
        <f>_xll.qlRateHelperEarliestDate($B207,Trigger)</f>
        <v>44868</v>
      </c>
      <c r="J207" s="167">
        <f>_xll.qlRateHelperLatestDate($B207,Trigger)</f>
        <v>50347</v>
      </c>
      <c r="L207" s="165"/>
    </row>
    <row r="208" spans="2:12" x14ac:dyDescent="0.2">
      <c r="B208" s="276" t="str">
        <f>ForwardSwaps!J147</f>
        <v>obj_00812#0000</v>
      </c>
      <c r="C208" s="159" t="str">
        <f>_xll.qlRateHelperQuoteName(B208)</f>
        <v>EUR8F20Y_Quote</v>
      </c>
      <c r="D208" s="160">
        <f>_xll.qlRateHelperQuoteValue($B208,Trigger)</f>
        <v>2.2949999999999998E-2</v>
      </c>
      <c r="E208" s="160">
        <f>_xll.qlSwapRateHelperSpread($B208,Trigger)</f>
        <v>0</v>
      </c>
      <c r="F208" s="161" t="b">
        <v>0</v>
      </c>
      <c r="G208" s="161">
        <v>50</v>
      </c>
      <c r="H208" s="161">
        <v>1</v>
      </c>
      <c r="I208" s="166">
        <f>_xll.qlRateHelperEarliestDate($B208,Trigger)</f>
        <v>44868</v>
      </c>
      <c r="J208" s="167">
        <f>_xll.qlRateHelperLatestDate($B208,Trigger)</f>
        <v>52173</v>
      </c>
      <c r="L208" s="165"/>
    </row>
    <row r="209" spans="2:12" x14ac:dyDescent="0.2">
      <c r="B209" s="276" t="str">
        <f>ForwardSwaps!J148</f>
        <v>obj_0079e#0000</v>
      </c>
      <c r="C209" s="159" t="str">
        <f>_xll.qlRateHelperQuoteName(B209)</f>
        <v>EUR8F25Y_Quote</v>
      </c>
      <c r="D209" s="160">
        <f>_xll.qlRateHelperQuoteValue($B209,Trigger)</f>
        <v>2.2589999999999999E-2</v>
      </c>
      <c r="E209" s="160">
        <f>_xll.qlSwapRateHelperSpread($B209,Trigger)</f>
        <v>0</v>
      </c>
      <c r="F209" s="161" t="b">
        <v>0</v>
      </c>
      <c r="G209" s="161">
        <v>50</v>
      </c>
      <c r="H209" s="161">
        <v>1</v>
      </c>
      <c r="I209" s="166">
        <f>_xll.qlRateHelperEarliestDate($B209,Trigger)</f>
        <v>44868</v>
      </c>
      <c r="J209" s="167">
        <f>_xll.qlRateHelperLatestDate($B209,Trigger)</f>
        <v>54000</v>
      </c>
      <c r="L209" s="165"/>
    </row>
    <row r="210" spans="2:12" x14ac:dyDescent="0.2">
      <c r="B210" s="277" t="str">
        <f>ForwardSwaps!J149</f>
        <v>obj_00816#0000</v>
      </c>
      <c r="C210" s="162" t="str">
        <f>_xll.qlRateHelperQuoteName(B210)</f>
        <v>EUR8F30Y_Quote</v>
      </c>
      <c r="D210" s="163">
        <f>_xll.qlRateHelperQuoteValue($B210,Trigger)</f>
        <v>2.2440000000000002E-2</v>
      </c>
      <c r="E210" s="163">
        <f>_xll.qlSwapRateHelperSpread($B210,Trigger)</f>
        <v>0</v>
      </c>
      <c r="F210" s="164" t="b">
        <v>0</v>
      </c>
      <c r="G210" s="164">
        <v>50</v>
      </c>
      <c r="H210" s="164">
        <v>1</v>
      </c>
      <c r="I210" s="168">
        <f>_xll.qlRateHelperEarliestDate($B210,Trigger)</f>
        <v>44868</v>
      </c>
      <c r="J210" s="169">
        <f>_xll.qlRateHelperLatestDate($B210,Trigger)</f>
        <v>55827</v>
      </c>
      <c r="L210" s="165"/>
    </row>
    <row r="211" spans="2:12" x14ac:dyDescent="0.2">
      <c r="B211" s="278" t="str">
        <f>ForwardSwaps!J150</f>
        <v>obj_007e4#0000</v>
      </c>
      <c r="C211" s="261" t="str">
        <f>_xll.qlRateHelperQuoteName(B211)</f>
        <v>EUR9F1Y_Quote</v>
      </c>
      <c r="D211" s="279">
        <f>_xll.qlRateHelperQuoteValue($B211,Trigger)</f>
        <v>2.2069999999999999E-2</v>
      </c>
      <c r="E211" s="279">
        <f>_xll.qlSwapRateHelperSpread($B211,Trigger)</f>
        <v>0</v>
      </c>
      <c r="F211" s="280" t="b">
        <v>0</v>
      </c>
      <c r="G211" s="280">
        <v>50</v>
      </c>
      <c r="H211" s="280">
        <v>1</v>
      </c>
      <c r="I211" s="281">
        <f>_xll.qlRateHelperEarliestDate($B211,Trigger)</f>
        <v>45233</v>
      </c>
      <c r="J211" s="282">
        <f>_xll.qlRateHelperLatestDate($B211,Trigger)</f>
        <v>45600</v>
      </c>
      <c r="L211" s="165"/>
    </row>
    <row r="212" spans="2:12" x14ac:dyDescent="0.2">
      <c r="B212" s="276" t="str">
        <f>ForwardSwaps!J151</f>
        <v>obj_007e3#0000</v>
      </c>
      <c r="C212" s="159" t="str">
        <f>_xll.qlRateHelperQuoteName(B212)</f>
        <v>EUR9F2Y_Quote</v>
      </c>
      <c r="D212" s="160">
        <f>_xll.qlRateHelperQuoteValue($B212,Trigger)</f>
        <v>2.265E-2</v>
      </c>
      <c r="E212" s="160">
        <f>_xll.qlSwapRateHelperSpread($B212,Trigger)</f>
        <v>0</v>
      </c>
      <c r="F212" s="161" t="b">
        <v>0</v>
      </c>
      <c r="G212" s="161">
        <v>50</v>
      </c>
      <c r="H212" s="161">
        <v>1</v>
      </c>
      <c r="I212" s="166">
        <f>_xll.qlRateHelperEarliestDate($B212,Trigger)</f>
        <v>45233</v>
      </c>
      <c r="J212" s="167">
        <f>_xll.qlRateHelperLatestDate($B212,Trigger)</f>
        <v>45964</v>
      </c>
      <c r="L212" s="165"/>
    </row>
    <row r="213" spans="2:12" x14ac:dyDescent="0.2">
      <c r="B213" s="276" t="str">
        <f>ForwardSwaps!J152</f>
        <v>obj_0082a#0000</v>
      </c>
      <c r="C213" s="159" t="str">
        <f>_xll.qlRateHelperQuoteName(B213)</f>
        <v>EUR9F3Y_Quote</v>
      </c>
      <c r="D213" s="160">
        <f>_xll.qlRateHelperQuoteValue($B213,Trigger)</f>
        <v>2.3050000000000001E-2</v>
      </c>
      <c r="E213" s="160">
        <f>_xll.qlSwapRateHelperSpread($B213,Trigger)</f>
        <v>0</v>
      </c>
      <c r="F213" s="161" t="b">
        <v>0</v>
      </c>
      <c r="G213" s="161">
        <v>50</v>
      </c>
      <c r="H213" s="161">
        <v>1</v>
      </c>
      <c r="I213" s="166">
        <f>_xll.qlRateHelperEarliestDate($B213,Trigger)</f>
        <v>45233</v>
      </c>
      <c r="J213" s="167">
        <f>_xll.qlRateHelperLatestDate($B213,Trigger)</f>
        <v>46329</v>
      </c>
      <c r="L213" s="165"/>
    </row>
    <row r="214" spans="2:12" x14ac:dyDescent="0.2">
      <c r="B214" s="276" t="str">
        <f>ForwardSwaps!J153</f>
        <v>obj_0086d#0000</v>
      </c>
      <c r="C214" s="159" t="str">
        <f>_xll.qlRateHelperQuoteName(B214)</f>
        <v>EUR9F4Y_Quote</v>
      </c>
      <c r="D214" s="160">
        <f>_xll.qlRateHelperQuoteValue($B214,Trigger)</f>
        <v>2.3390000000000001E-2</v>
      </c>
      <c r="E214" s="160">
        <f>_xll.qlSwapRateHelperSpread($B214,Trigger)</f>
        <v>0</v>
      </c>
      <c r="F214" s="161" t="b">
        <v>0</v>
      </c>
      <c r="G214" s="161">
        <v>50</v>
      </c>
      <c r="H214" s="161">
        <v>1</v>
      </c>
      <c r="I214" s="166">
        <f>_xll.qlRateHelperEarliestDate($B214,Trigger)</f>
        <v>45233</v>
      </c>
      <c r="J214" s="167">
        <f>_xll.qlRateHelperLatestDate($B214,Trigger)</f>
        <v>46694</v>
      </c>
      <c r="L214" s="165"/>
    </row>
    <row r="215" spans="2:12" x14ac:dyDescent="0.2">
      <c r="B215" s="276" t="str">
        <f>ForwardSwaps!J154</f>
        <v>obj_007b5#0000</v>
      </c>
      <c r="C215" s="159" t="str">
        <f>_xll.qlRateHelperQuoteName(B215)</f>
        <v>EUR9F5Y_Quote</v>
      </c>
      <c r="D215" s="160">
        <f>_xll.qlRateHelperQuoteValue($B215,Trigger)</f>
        <v>2.3620000000000002E-2</v>
      </c>
      <c r="E215" s="160">
        <f>_xll.qlSwapRateHelperSpread($B215,Trigger)</f>
        <v>0</v>
      </c>
      <c r="F215" s="161" t="b">
        <v>0</v>
      </c>
      <c r="G215" s="161">
        <v>50</v>
      </c>
      <c r="H215" s="161">
        <v>1</v>
      </c>
      <c r="I215" s="166">
        <f>_xll.qlRateHelperEarliestDate($B215,Trigger)</f>
        <v>45233</v>
      </c>
      <c r="J215" s="167">
        <f>_xll.qlRateHelperLatestDate($B215,Trigger)</f>
        <v>47060</v>
      </c>
      <c r="L215" s="165"/>
    </row>
    <row r="216" spans="2:12" x14ac:dyDescent="0.2">
      <c r="B216" s="276" t="str">
        <f>ForwardSwaps!J155</f>
        <v>obj_007da#0000</v>
      </c>
      <c r="C216" s="159" t="str">
        <f>_xll.qlRateHelperQuoteName(B216)</f>
        <v>EUR9F6Y_Quote</v>
      </c>
      <c r="D216" s="160">
        <f>_xll.qlRateHelperQuoteValue($B216,Trigger)</f>
        <v>2.3789999999999999E-2</v>
      </c>
      <c r="E216" s="160">
        <f>_xll.qlSwapRateHelperSpread($B216,Trigger)</f>
        <v>0</v>
      </c>
      <c r="F216" s="161" t="b">
        <v>0</v>
      </c>
      <c r="G216" s="161">
        <v>50</v>
      </c>
      <c r="H216" s="161">
        <v>1</v>
      </c>
      <c r="I216" s="166">
        <f>_xll.qlRateHelperEarliestDate($B216,Trigger)</f>
        <v>45233</v>
      </c>
      <c r="J216" s="167">
        <f>_xll.qlRateHelperLatestDate($B216,Trigger)</f>
        <v>47427</v>
      </c>
      <c r="L216" s="165"/>
    </row>
    <row r="217" spans="2:12" x14ac:dyDescent="0.2">
      <c r="B217" s="276" t="str">
        <f>ForwardSwaps!J156</f>
        <v>obj_00776#0000</v>
      </c>
      <c r="C217" s="159" t="str">
        <f>_xll.qlRateHelperQuoteName(B217)</f>
        <v>EUR9F7Y_Quote</v>
      </c>
      <c r="D217" s="160">
        <f>_xll.qlRateHelperQuoteValue($B217,Trigger)</f>
        <v>2.3910000000000001E-2</v>
      </c>
      <c r="E217" s="160">
        <f>_xll.qlSwapRateHelperSpread($B217,Trigger)</f>
        <v>0</v>
      </c>
      <c r="F217" s="161" t="b">
        <v>0</v>
      </c>
      <c r="G217" s="161">
        <v>50</v>
      </c>
      <c r="H217" s="161">
        <v>1</v>
      </c>
      <c r="I217" s="166">
        <f>_xll.qlRateHelperEarliestDate($B217,Trigger)</f>
        <v>45233</v>
      </c>
      <c r="J217" s="167">
        <f>_xll.qlRateHelperLatestDate($B217,Trigger)</f>
        <v>47791</v>
      </c>
      <c r="L217" s="165"/>
    </row>
    <row r="218" spans="2:12" x14ac:dyDescent="0.2">
      <c r="B218" s="276" t="str">
        <f>ForwardSwaps!J157</f>
        <v>obj_007db#0000</v>
      </c>
      <c r="C218" s="159" t="str">
        <f>_xll.qlRateHelperQuoteName(B218)</f>
        <v>EUR9F8Y_Quote</v>
      </c>
      <c r="D218" s="160">
        <f>_xll.qlRateHelperQuoteValue($B218,Trigger)</f>
        <v>2.4009999999999997E-2</v>
      </c>
      <c r="E218" s="160">
        <f>_xll.qlSwapRateHelperSpread($B218,Trigger)</f>
        <v>0</v>
      </c>
      <c r="F218" s="161" t="b">
        <v>0</v>
      </c>
      <c r="G218" s="161">
        <v>50</v>
      </c>
      <c r="H218" s="161">
        <v>1</v>
      </c>
      <c r="I218" s="166">
        <f>_xll.qlRateHelperEarliestDate($B218,Trigger)</f>
        <v>45233</v>
      </c>
      <c r="J218" s="167">
        <f>_xll.qlRateHelperLatestDate($B218,Trigger)</f>
        <v>48155</v>
      </c>
      <c r="L218" s="165"/>
    </row>
    <row r="219" spans="2:12" x14ac:dyDescent="0.2">
      <c r="B219" s="276" t="str">
        <f>ForwardSwaps!J158</f>
        <v>obj_007c1#0000</v>
      </c>
      <c r="C219" s="159" t="str">
        <f>_xll.qlRateHelperQuoteName(B219)</f>
        <v>EUR9F9Y_Quote</v>
      </c>
      <c r="D219" s="160">
        <f>_xll.qlRateHelperQuoteValue($B219,Trigger)</f>
        <v>2.4039999999999999E-2</v>
      </c>
      <c r="E219" s="160">
        <f>_xll.qlSwapRateHelperSpread($B219,Trigger)</f>
        <v>0</v>
      </c>
      <c r="F219" s="161" t="b">
        <v>0</v>
      </c>
      <c r="G219" s="161">
        <v>50</v>
      </c>
      <c r="H219" s="161">
        <v>1</v>
      </c>
      <c r="I219" s="166">
        <f>_xll.qlRateHelperEarliestDate($B219,Trigger)</f>
        <v>45233</v>
      </c>
      <c r="J219" s="167">
        <f>_xll.qlRateHelperLatestDate($B219,Trigger)</f>
        <v>48521</v>
      </c>
      <c r="L219" s="165"/>
    </row>
    <row r="220" spans="2:12" x14ac:dyDescent="0.2">
      <c r="B220" s="276" t="str">
        <f>ForwardSwaps!J159</f>
        <v>obj_007d9#0000</v>
      </c>
      <c r="C220" s="159" t="str">
        <f>_xll.qlRateHelperQuoteName(B220)</f>
        <v>EUR9F10Y_Quote</v>
      </c>
      <c r="D220" s="160">
        <f>_xll.qlRateHelperQuoteValue($B220,Trigger)</f>
        <v>2.4049999999999998E-2</v>
      </c>
      <c r="E220" s="160">
        <f>_xll.qlSwapRateHelperSpread($B220,Trigger)</f>
        <v>0</v>
      </c>
      <c r="F220" s="161" t="b">
        <v>0</v>
      </c>
      <c r="G220" s="161">
        <v>50</v>
      </c>
      <c r="H220" s="161">
        <v>1</v>
      </c>
      <c r="I220" s="166">
        <f>_xll.qlRateHelperEarliestDate($B220,Trigger)</f>
        <v>45233</v>
      </c>
      <c r="J220" s="167">
        <f>_xll.qlRateHelperLatestDate($B220,Trigger)</f>
        <v>48886</v>
      </c>
      <c r="L220" s="165"/>
    </row>
    <row r="221" spans="2:12" x14ac:dyDescent="0.2">
      <c r="B221" s="276" t="str">
        <f>ForwardSwaps!J160</f>
        <v>obj_00811#0000</v>
      </c>
      <c r="C221" s="159" t="str">
        <f>_xll.qlRateHelperQuoteName(B221)</f>
        <v>EUR9F11Y_Quote</v>
      </c>
      <c r="D221" s="160">
        <f>_xll.qlRateHelperQuoteValue($B221,Trigger)</f>
        <v>2.402E-2</v>
      </c>
      <c r="E221" s="160">
        <f>_xll.qlSwapRateHelperSpread($B221,Trigger)</f>
        <v>0</v>
      </c>
      <c r="F221" s="161" t="b">
        <v>0</v>
      </c>
      <c r="G221" s="161">
        <v>50</v>
      </c>
      <c r="H221" s="161">
        <v>1</v>
      </c>
      <c r="I221" s="166">
        <f>_xll.qlRateHelperEarliestDate($B221,Trigger)</f>
        <v>45233</v>
      </c>
      <c r="J221" s="167">
        <f>_xll.qlRateHelperLatestDate($B221,Trigger)</f>
        <v>49251</v>
      </c>
      <c r="L221" s="165"/>
    </row>
    <row r="222" spans="2:12" x14ac:dyDescent="0.2">
      <c r="B222" s="276" t="str">
        <f>ForwardSwaps!J161</f>
        <v>obj_007ff#0000</v>
      </c>
      <c r="C222" s="159" t="str">
        <f>_xll.qlRateHelperQuoteName(B222)</f>
        <v>EUR9F12Y_Quote</v>
      </c>
      <c r="D222" s="160">
        <f>_xll.qlRateHelperQuoteValue($B222,Trigger)</f>
        <v>2.3949999999999999E-2</v>
      </c>
      <c r="E222" s="160">
        <f>_xll.qlSwapRateHelperSpread($B222,Trigger)</f>
        <v>0</v>
      </c>
      <c r="F222" s="161" t="b">
        <v>0</v>
      </c>
      <c r="G222" s="161">
        <v>50</v>
      </c>
      <c r="H222" s="161">
        <v>1</v>
      </c>
      <c r="I222" s="166">
        <f>_xll.qlRateHelperEarliestDate($B222,Trigger)</f>
        <v>45233</v>
      </c>
      <c r="J222" s="167">
        <f>_xll.qlRateHelperLatestDate($B222,Trigger)</f>
        <v>49618</v>
      </c>
      <c r="L222" s="165"/>
    </row>
    <row r="223" spans="2:12" x14ac:dyDescent="0.2">
      <c r="B223" s="276" t="str">
        <f>ForwardSwaps!J162</f>
        <v>obj_007aa#0000</v>
      </c>
      <c r="C223" s="159" t="str">
        <f>_xll.qlRateHelperQuoteName(B223)</f>
        <v>EUR9F13Y_Quote</v>
      </c>
      <c r="D223" s="160">
        <f>_xll.qlRateHelperQuoteValue($B223,Trigger)</f>
        <v>2.3860000000000003E-2</v>
      </c>
      <c r="E223" s="160">
        <f>_xll.qlSwapRateHelperSpread($B223,Trigger)</f>
        <v>0</v>
      </c>
      <c r="F223" s="161" t="b">
        <v>0</v>
      </c>
      <c r="G223" s="161">
        <v>50</v>
      </c>
      <c r="H223" s="161">
        <v>1</v>
      </c>
      <c r="I223" s="166">
        <f>_xll.qlRateHelperEarliestDate($B223,Trigger)</f>
        <v>45233</v>
      </c>
      <c r="J223" s="167">
        <f>_xll.qlRateHelperLatestDate($B223,Trigger)</f>
        <v>49982</v>
      </c>
      <c r="L223" s="165"/>
    </row>
    <row r="224" spans="2:12" x14ac:dyDescent="0.2">
      <c r="B224" s="276" t="str">
        <f>ForwardSwaps!J163</f>
        <v>obj_007d2#0000</v>
      </c>
      <c r="C224" s="159" t="str">
        <f>_xll.qlRateHelperQuoteName(B224)</f>
        <v>EUR9F14Y_Quote</v>
      </c>
      <c r="D224" s="160">
        <f>_xll.qlRateHelperQuoteValue($B224,Trigger)</f>
        <v>2.3740000000000001E-2</v>
      </c>
      <c r="E224" s="160">
        <f>_xll.qlSwapRateHelperSpread($B224,Trigger)</f>
        <v>0</v>
      </c>
      <c r="F224" s="161" t="b">
        <v>0</v>
      </c>
      <c r="G224" s="161">
        <v>50</v>
      </c>
      <c r="H224" s="161">
        <v>1</v>
      </c>
      <c r="I224" s="166">
        <f>_xll.qlRateHelperEarliestDate($B224,Trigger)</f>
        <v>45233</v>
      </c>
      <c r="J224" s="167">
        <f>_xll.qlRateHelperLatestDate($B224,Trigger)</f>
        <v>50347</v>
      </c>
      <c r="L224" s="165"/>
    </row>
    <row r="225" spans="2:12" x14ac:dyDescent="0.2">
      <c r="B225" s="276" t="str">
        <f>ForwardSwaps!J164</f>
        <v>obj_0077d#0000</v>
      </c>
      <c r="C225" s="159" t="str">
        <f>_xll.qlRateHelperQuoteName(B225)</f>
        <v>EUR9F15Y_Quote</v>
      </c>
      <c r="D225" s="160">
        <f>_xll.qlRateHelperQuoteValue($B225,Trigger)</f>
        <v>2.3629999999999998E-2</v>
      </c>
      <c r="E225" s="160">
        <f>_xll.qlSwapRateHelperSpread($B225,Trigger)</f>
        <v>0</v>
      </c>
      <c r="F225" s="161" t="b">
        <v>0</v>
      </c>
      <c r="G225" s="161">
        <v>50</v>
      </c>
      <c r="H225" s="161">
        <v>1</v>
      </c>
      <c r="I225" s="166">
        <f>_xll.qlRateHelperEarliestDate($B225,Trigger)</f>
        <v>45233</v>
      </c>
      <c r="J225" s="167">
        <f>_xll.qlRateHelperLatestDate($B225,Trigger)</f>
        <v>50712</v>
      </c>
      <c r="L225" s="165"/>
    </row>
    <row r="226" spans="2:12" x14ac:dyDescent="0.2">
      <c r="B226" s="276" t="str">
        <f>ForwardSwaps!J165</f>
        <v>obj_00762#0000</v>
      </c>
      <c r="C226" s="159" t="str">
        <f>_xll.qlRateHelperQuoteName(B226)</f>
        <v>EUR9F20Y_Quote</v>
      </c>
      <c r="D226" s="160">
        <f>_xll.qlRateHelperQuoteValue($B226,Trigger)</f>
        <v>2.3019999999999999E-2</v>
      </c>
      <c r="E226" s="160">
        <f>_xll.qlSwapRateHelperSpread($B226,Trigger)</f>
        <v>0</v>
      </c>
      <c r="F226" s="161" t="b">
        <v>0</v>
      </c>
      <c r="G226" s="161">
        <v>50</v>
      </c>
      <c r="H226" s="161">
        <v>1</v>
      </c>
      <c r="I226" s="166">
        <f>_xll.qlRateHelperEarliestDate($B226,Trigger)</f>
        <v>45233</v>
      </c>
      <c r="J226" s="167">
        <f>_xll.qlRateHelperLatestDate($B226,Trigger)</f>
        <v>52538</v>
      </c>
      <c r="L226" s="165"/>
    </row>
    <row r="227" spans="2:12" x14ac:dyDescent="0.2">
      <c r="B227" s="276" t="str">
        <f>ForwardSwaps!J166</f>
        <v>obj_007c2#0000</v>
      </c>
      <c r="C227" s="159" t="str">
        <f>_xll.qlRateHelperQuoteName(B227)</f>
        <v>EUR9F25Y_Quote</v>
      </c>
      <c r="D227" s="160">
        <f>_xll.qlRateHelperQuoteValue($B227,Trigger)</f>
        <v>2.265E-2</v>
      </c>
      <c r="E227" s="160">
        <f>_xll.qlSwapRateHelperSpread($B227,Trigger)</f>
        <v>0</v>
      </c>
      <c r="F227" s="161" t="b">
        <v>0</v>
      </c>
      <c r="G227" s="161">
        <v>50</v>
      </c>
      <c r="H227" s="161">
        <v>1</v>
      </c>
      <c r="I227" s="166">
        <f>_xll.qlRateHelperEarliestDate($B227,Trigger)</f>
        <v>45233</v>
      </c>
      <c r="J227" s="167">
        <f>_xll.qlRateHelperLatestDate($B227,Trigger)</f>
        <v>54365</v>
      </c>
      <c r="L227" s="165"/>
    </row>
    <row r="228" spans="2:12" x14ac:dyDescent="0.2">
      <c r="B228" s="277" t="str">
        <f>ForwardSwaps!J167</f>
        <v>obj_00763#0000</v>
      </c>
      <c r="C228" s="162" t="str">
        <f>_xll.qlRateHelperQuoteName(B228)</f>
        <v>EUR9F30Y_Quote</v>
      </c>
      <c r="D228" s="163">
        <f>_xll.qlRateHelperQuoteValue($B228,Trigger)</f>
        <v>2.249E-2</v>
      </c>
      <c r="E228" s="163">
        <f>_xll.qlSwapRateHelperSpread($B228,Trigger)</f>
        <v>0</v>
      </c>
      <c r="F228" s="164" t="b">
        <v>0</v>
      </c>
      <c r="G228" s="164">
        <v>50</v>
      </c>
      <c r="H228" s="164">
        <v>1</v>
      </c>
      <c r="I228" s="168">
        <f>_xll.qlRateHelperEarliestDate($B228,Trigger)</f>
        <v>45233</v>
      </c>
      <c r="J228" s="169">
        <f>_xll.qlRateHelperLatestDate($B228,Trigger)</f>
        <v>56191</v>
      </c>
      <c r="L228" s="165"/>
    </row>
    <row r="229" spans="2:12" x14ac:dyDescent="0.2">
      <c r="B229" s="278" t="str">
        <f>ForwardSwaps!J168</f>
        <v>obj_007d7#0000</v>
      </c>
      <c r="C229" s="261" t="str">
        <f>_xll.qlRateHelperQuoteName(B229)</f>
        <v>EUR10F1Y_Quote</v>
      </c>
      <c r="D229" s="279">
        <f>_xll.qlRateHelperQuoteValue($B229,Trigger)</f>
        <v>2.3230000000000001E-2</v>
      </c>
      <c r="E229" s="279">
        <f>_xll.qlSwapRateHelperSpread($B229,Trigger)</f>
        <v>0</v>
      </c>
      <c r="F229" s="280" t="b">
        <v>0</v>
      </c>
      <c r="G229" s="280">
        <v>50</v>
      </c>
      <c r="H229" s="280">
        <v>1</v>
      </c>
      <c r="I229" s="281">
        <f>_xll.qlRateHelperEarliestDate($B229,Trigger)</f>
        <v>45600</v>
      </c>
      <c r="J229" s="282">
        <f>_xll.qlRateHelperLatestDate($B229,Trigger)</f>
        <v>45965</v>
      </c>
      <c r="L229" s="165"/>
    </row>
    <row r="230" spans="2:12" x14ac:dyDescent="0.2">
      <c r="B230" s="276" t="str">
        <f>ForwardSwaps!J169</f>
        <v>obj_007e5#0000</v>
      </c>
      <c r="C230" s="159" t="str">
        <f>_xll.qlRateHelperQuoteName(B230)</f>
        <v>EUR10F2Y_Quote</v>
      </c>
      <c r="D230" s="160">
        <f>_xll.qlRateHelperQuoteValue($B230,Trigger)</f>
        <v>2.3550000000000001E-2</v>
      </c>
      <c r="E230" s="160">
        <f>_xll.qlSwapRateHelperSpread($B230,Trigger)</f>
        <v>0</v>
      </c>
      <c r="F230" s="161" t="b">
        <v>0</v>
      </c>
      <c r="G230" s="161">
        <v>50</v>
      </c>
      <c r="H230" s="161">
        <v>1</v>
      </c>
      <c r="I230" s="166">
        <f>_xll.qlRateHelperEarliestDate($B230,Trigger)</f>
        <v>45600</v>
      </c>
      <c r="J230" s="167">
        <f>_xll.qlRateHelperLatestDate($B230,Trigger)</f>
        <v>46330</v>
      </c>
      <c r="L230" s="165"/>
    </row>
    <row r="231" spans="2:12" x14ac:dyDescent="0.2">
      <c r="B231" s="276" t="str">
        <f>ForwardSwaps!J170</f>
        <v>obj_0086c#0000</v>
      </c>
      <c r="C231" s="159" t="str">
        <f>_xll.qlRateHelperQuoteName(B231)</f>
        <v>EUR10F3Y_Quote</v>
      </c>
      <c r="D231" s="160">
        <f>_xll.qlRateHelperQuoteValue($B231,Trigger)</f>
        <v>2.383E-2</v>
      </c>
      <c r="E231" s="160">
        <f>_xll.qlSwapRateHelperSpread($B231,Trigger)</f>
        <v>0</v>
      </c>
      <c r="F231" s="161" t="b">
        <v>0</v>
      </c>
      <c r="G231" s="161">
        <v>50</v>
      </c>
      <c r="H231" s="161">
        <v>1</v>
      </c>
      <c r="I231" s="166">
        <f>_xll.qlRateHelperEarliestDate($B231,Trigger)</f>
        <v>45600</v>
      </c>
      <c r="J231" s="167">
        <f>_xll.qlRateHelperLatestDate($B231,Trigger)</f>
        <v>46695</v>
      </c>
      <c r="L231" s="165"/>
    </row>
    <row r="232" spans="2:12" x14ac:dyDescent="0.2">
      <c r="B232" s="276" t="str">
        <f>ForwardSwaps!J171</f>
        <v>obj_0078c#0000</v>
      </c>
      <c r="C232" s="159" t="str">
        <f>_xll.qlRateHelperQuoteName(B232)</f>
        <v>EUR10F4Y_Quote</v>
      </c>
      <c r="D232" s="160">
        <f>_xll.qlRateHelperQuoteValue($B232,Trigger)</f>
        <v>2.4029999999999999E-2</v>
      </c>
      <c r="E232" s="160">
        <f>_xll.qlSwapRateHelperSpread($B232,Trigger)</f>
        <v>0</v>
      </c>
      <c r="F232" s="161" t="b">
        <v>0</v>
      </c>
      <c r="G232" s="161">
        <v>50</v>
      </c>
      <c r="H232" s="161">
        <v>1</v>
      </c>
      <c r="I232" s="166">
        <f>_xll.qlRateHelperEarliestDate($B232,Trigger)</f>
        <v>45600</v>
      </c>
      <c r="J232" s="167">
        <f>_xll.qlRateHelperLatestDate($B232,Trigger)</f>
        <v>47063</v>
      </c>
      <c r="L232" s="165"/>
    </row>
    <row r="233" spans="2:12" x14ac:dyDescent="0.2">
      <c r="B233" s="276" t="str">
        <f>ForwardSwaps!J172</f>
        <v>obj_0088a#0000</v>
      </c>
      <c r="C233" s="159" t="str">
        <f>_xll.qlRateHelperQuoteName(B233)</f>
        <v>EUR10F5Y_Quote</v>
      </c>
      <c r="D233" s="160">
        <f>_xll.qlRateHelperQuoteValue($B233,Trigger)</f>
        <v>2.4150000000000001E-2</v>
      </c>
      <c r="E233" s="160">
        <f>_xll.qlSwapRateHelperSpread($B233,Trigger)</f>
        <v>0</v>
      </c>
      <c r="F233" s="161" t="b">
        <v>0</v>
      </c>
      <c r="G233" s="161">
        <v>50</v>
      </c>
      <c r="H233" s="161">
        <v>1</v>
      </c>
      <c r="I233" s="166">
        <f>_xll.qlRateHelperEarliestDate($B233,Trigger)</f>
        <v>45600</v>
      </c>
      <c r="J233" s="167">
        <f>_xll.qlRateHelperLatestDate($B233,Trigger)</f>
        <v>47427</v>
      </c>
      <c r="L233" s="165"/>
    </row>
    <row r="234" spans="2:12" x14ac:dyDescent="0.2">
      <c r="B234" s="276" t="str">
        <f>ForwardSwaps!J173</f>
        <v>obj_00844#0000</v>
      </c>
      <c r="C234" s="159" t="str">
        <f>_xll.qlRateHelperQuoteName(B234)</f>
        <v>EUR10F6Y_Quote</v>
      </c>
      <c r="D234" s="160">
        <f>_xll.qlRateHelperQuoteValue($B234,Trigger)</f>
        <v>2.4249999999999997E-2</v>
      </c>
      <c r="E234" s="160">
        <f>_xll.qlSwapRateHelperSpread($B234,Trigger)</f>
        <v>0</v>
      </c>
      <c r="F234" s="161" t="b">
        <v>0</v>
      </c>
      <c r="G234" s="161">
        <v>50</v>
      </c>
      <c r="H234" s="161">
        <v>1</v>
      </c>
      <c r="I234" s="166">
        <f>_xll.qlRateHelperEarliestDate($B234,Trigger)</f>
        <v>45600</v>
      </c>
      <c r="J234" s="167">
        <f>_xll.qlRateHelperLatestDate($B234,Trigger)</f>
        <v>47791</v>
      </c>
      <c r="L234" s="165"/>
    </row>
    <row r="235" spans="2:12" x14ac:dyDescent="0.2">
      <c r="B235" s="276" t="str">
        <f>ForwardSwaps!J174</f>
        <v>obj_00799#0000</v>
      </c>
      <c r="C235" s="159" t="str">
        <f>_xll.qlRateHelperQuoteName(B235)</f>
        <v>EUR10F7Y_Quote</v>
      </c>
      <c r="D235" s="160">
        <f>_xll.qlRateHelperQuoteValue($B235,Trigger)</f>
        <v>2.4300000000000002E-2</v>
      </c>
      <c r="E235" s="160">
        <f>_xll.qlSwapRateHelperSpread($B235,Trigger)</f>
        <v>0</v>
      </c>
      <c r="F235" s="161" t="b">
        <v>0</v>
      </c>
      <c r="G235" s="161">
        <v>50</v>
      </c>
      <c r="H235" s="161">
        <v>1</v>
      </c>
      <c r="I235" s="166">
        <f>_xll.qlRateHelperEarliestDate($B235,Trigger)</f>
        <v>45600</v>
      </c>
      <c r="J235" s="167">
        <f>_xll.qlRateHelperLatestDate($B235,Trigger)</f>
        <v>48156</v>
      </c>
      <c r="L235" s="165"/>
    </row>
    <row r="236" spans="2:12" x14ac:dyDescent="0.2">
      <c r="B236" s="276" t="str">
        <f>ForwardSwaps!J175</f>
        <v>obj_007a2#0000</v>
      </c>
      <c r="C236" s="159" t="str">
        <f>_xll.qlRateHelperQuoteName(B236)</f>
        <v>EUR10F8Y_Quote</v>
      </c>
      <c r="D236" s="160">
        <f>_xll.qlRateHelperQuoteValue($B236,Trigger)</f>
        <v>2.4310000000000002E-2</v>
      </c>
      <c r="E236" s="160">
        <f>_xll.qlSwapRateHelperSpread($B236,Trigger)</f>
        <v>0</v>
      </c>
      <c r="F236" s="161" t="b">
        <v>0</v>
      </c>
      <c r="G236" s="161">
        <v>50</v>
      </c>
      <c r="H236" s="161">
        <v>1</v>
      </c>
      <c r="I236" s="166">
        <f>_xll.qlRateHelperEarliestDate($B236,Trigger)</f>
        <v>45600</v>
      </c>
      <c r="J236" s="167">
        <f>_xll.qlRateHelperLatestDate($B236,Trigger)</f>
        <v>48522</v>
      </c>
      <c r="L236" s="165"/>
    </row>
    <row r="237" spans="2:12" x14ac:dyDescent="0.2">
      <c r="B237" s="276" t="str">
        <f>ForwardSwaps!J176</f>
        <v>obj_007c4#0000</v>
      </c>
      <c r="C237" s="159" t="str">
        <f>_xll.qlRateHelperQuoteName(B237)</f>
        <v>EUR10F9Y_Quote</v>
      </c>
      <c r="D237" s="160">
        <f>_xll.qlRateHelperQuoteValue($B237,Trigger)</f>
        <v>2.4289999999999999E-2</v>
      </c>
      <c r="E237" s="160">
        <f>_xll.qlSwapRateHelperSpread($B237,Trigger)</f>
        <v>0</v>
      </c>
      <c r="F237" s="161" t="b">
        <v>0</v>
      </c>
      <c r="G237" s="161">
        <v>50</v>
      </c>
      <c r="H237" s="161">
        <v>1</v>
      </c>
      <c r="I237" s="166">
        <f>_xll.qlRateHelperEarliestDate($B237,Trigger)</f>
        <v>45600</v>
      </c>
      <c r="J237" s="167">
        <f>_xll.qlRateHelperLatestDate($B237,Trigger)</f>
        <v>48887</v>
      </c>
      <c r="L237" s="165"/>
    </row>
    <row r="238" spans="2:12" x14ac:dyDescent="0.2">
      <c r="B238" s="276" t="str">
        <f>ForwardSwaps!J177</f>
        <v>obj_0084d#0000</v>
      </c>
      <c r="C238" s="159" t="str">
        <f>_xll.qlRateHelperQuoteName(B238)</f>
        <v>EUR10F10Y_Quote</v>
      </c>
      <c r="D238" s="160">
        <f>_xll.qlRateHelperQuoteValue($B238,Trigger)</f>
        <v>2.4220000000000002E-2</v>
      </c>
      <c r="E238" s="160">
        <f>_xll.qlSwapRateHelperSpread($B238,Trigger)</f>
        <v>0</v>
      </c>
      <c r="F238" s="161" t="b">
        <v>0</v>
      </c>
      <c r="G238" s="161">
        <v>50</v>
      </c>
      <c r="H238" s="161">
        <v>1</v>
      </c>
      <c r="I238" s="166">
        <f>_xll.qlRateHelperEarliestDate($B238,Trigger)</f>
        <v>45600</v>
      </c>
      <c r="J238" s="167">
        <f>_xll.qlRateHelperLatestDate($B238,Trigger)</f>
        <v>49254</v>
      </c>
      <c r="L238" s="165"/>
    </row>
    <row r="239" spans="2:12" x14ac:dyDescent="0.2">
      <c r="B239" s="276" t="str">
        <f>ForwardSwaps!J178</f>
        <v>obj_00856#0000</v>
      </c>
      <c r="C239" s="159" t="str">
        <f>_xll.qlRateHelperQuoteName(B239)</f>
        <v>EUR10F11Y_Quote</v>
      </c>
      <c r="D239" s="160">
        <f>_xll.qlRateHelperQuoteValue($B239,Trigger)</f>
        <v>2.4140000000000002E-2</v>
      </c>
      <c r="E239" s="160">
        <f>_xll.qlSwapRateHelperSpread($B239,Trigger)</f>
        <v>0</v>
      </c>
      <c r="F239" s="161" t="b">
        <v>0</v>
      </c>
      <c r="G239" s="161">
        <v>50</v>
      </c>
      <c r="H239" s="161">
        <v>1</v>
      </c>
      <c r="I239" s="166">
        <f>_xll.qlRateHelperEarliestDate($B239,Trigger)</f>
        <v>45600</v>
      </c>
      <c r="J239" s="167">
        <f>_xll.qlRateHelperLatestDate($B239,Trigger)</f>
        <v>49618</v>
      </c>
      <c r="L239" s="165"/>
    </row>
    <row r="240" spans="2:12" x14ac:dyDescent="0.2">
      <c r="B240" s="276" t="str">
        <f>ForwardSwaps!J179</f>
        <v>obj_00793#0000</v>
      </c>
      <c r="C240" s="159" t="str">
        <f>_xll.qlRateHelperQuoteName(B240)</f>
        <v>EUR10F12Y_Quote</v>
      </c>
      <c r="D240" s="160">
        <f>_xll.qlRateHelperQuoteValue($B240,Trigger)</f>
        <v>2.402E-2</v>
      </c>
      <c r="E240" s="160">
        <f>_xll.qlSwapRateHelperSpread($B240,Trigger)</f>
        <v>0</v>
      </c>
      <c r="F240" s="161" t="b">
        <v>0</v>
      </c>
      <c r="G240" s="161">
        <v>50</v>
      </c>
      <c r="H240" s="161">
        <v>1</v>
      </c>
      <c r="I240" s="166">
        <f>_xll.qlRateHelperEarliestDate($B240,Trigger)</f>
        <v>45600</v>
      </c>
      <c r="J240" s="167">
        <f>_xll.qlRateHelperLatestDate($B240,Trigger)</f>
        <v>49983</v>
      </c>
      <c r="L240" s="165"/>
    </row>
    <row r="241" spans="2:12" x14ac:dyDescent="0.2">
      <c r="B241" s="276" t="str">
        <f>ForwardSwaps!J180</f>
        <v>obj_007ab#0000</v>
      </c>
      <c r="C241" s="159" t="str">
        <f>_xll.qlRateHelperQuoteName(B241)</f>
        <v>EUR10F13Y_Quote</v>
      </c>
      <c r="D241" s="160">
        <f>_xll.qlRateHelperQuoteValue($B241,Trigger)</f>
        <v>2.3889999999999998E-2</v>
      </c>
      <c r="E241" s="160">
        <f>_xll.qlSwapRateHelperSpread($B241,Trigger)</f>
        <v>0</v>
      </c>
      <c r="F241" s="161" t="b">
        <v>0</v>
      </c>
      <c r="G241" s="161">
        <v>50</v>
      </c>
      <c r="H241" s="161">
        <v>1</v>
      </c>
      <c r="I241" s="166">
        <f>_xll.qlRateHelperEarliestDate($B241,Trigger)</f>
        <v>45600</v>
      </c>
      <c r="J241" s="167">
        <f>_xll.qlRateHelperLatestDate($B241,Trigger)</f>
        <v>50348</v>
      </c>
      <c r="L241" s="165"/>
    </row>
    <row r="242" spans="2:12" x14ac:dyDescent="0.2">
      <c r="B242" s="276" t="str">
        <f>ForwardSwaps!J181</f>
        <v>obj_00850#0000</v>
      </c>
      <c r="C242" s="159" t="str">
        <f>_xll.qlRateHelperQuoteName(B242)</f>
        <v>EUR10F14Y_Quote</v>
      </c>
      <c r="D242" s="160">
        <f>_xll.qlRateHelperQuoteValue($B242,Trigger)</f>
        <v>2.375E-2</v>
      </c>
      <c r="E242" s="160">
        <f>_xll.qlSwapRateHelperSpread($B242,Trigger)</f>
        <v>0</v>
      </c>
      <c r="F242" s="161" t="b">
        <v>0</v>
      </c>
      <c r="G242" s="161">
        <v>50</v>
      </c>
      <c r="H242" s="161">
        <v>1</v>
      </c>
      <c r="I242" s="166">
        <f>_xll.qlRateHelperEarliestDate($B242,Trigger)</f>
        <v>45600</v>
      </c>
      <c r="J242" s="167">
        <f>_xll.qlRateHelperLatestDate($B242,Trigger)</f>
        <v>50713</v>
      </c>
      <c r="L242" s="165"/>
    </row>
    <row r="243" spans="2:12" x14ac:dyDescent="0.2">
      <c r="B243" s="276" t="str">
        <f>ForwardSwaps!J182</f>
        <v>obj_007c6#0000</v>
      </c>
      <c r="C243" s="159" t="str">
        <f>_xll.qlRateHelperQuoteName(B243)</f>
        <v>EUR10F15Y_Quote</v>
      </c>
      <c r="D243" s="160">
        <f>_xll.qlRateHelperQuoteValue($B243,Trigger)</f>
        <v>2.3610000000000003E-2</v>
      </c>
      <c r="E243" s="160">
        <f>_xll.qlSwapRateHelperSpread($B243,Trigger)</f>
        <v>0</v>
      </c>
      <c r="F243" s="161" t="b">
        <v>0</v>
      </c>
      <c r="G243" s="161">
        <v>50</v>
      </c>
      <c r="H243" s="161">
        <v>1</v>
      </c>
      <c r="I243" s="166">
        <f>_xll.qlRateHelperEarliestDate($B243,Trigger)</f>
        <v>45600</v>
      </c>
      <c r="J243" s="167">
        <f>_xll.qlRateHelperLatestDate($B243,Trigger)</f>
        <v>51078</v>
      </c>
      <c r="L243" s="165"/>
    </row>
    <row r="244" spans="2:12" x14ac:dyDescent="0.2">
      <c r="B244" s="276" t="str">
        <f>ForwardSwaps!J183</f>
        <v>obj_00834#0000</v>
      </c>
      <c r="C244" s="159" t="str">
        <f>_xll.qlRateHelperQuoteName(B244)</f>
        <v>EUR10F20Y_Quote</v>
      </c>
      <c r="D244" s="160">
        <f>_xll.qlRateHelperQuoteValue($B244,Trigger)</f>
        <v>2.2970000000000001E-2</v>
      </c>
      <c r="E244" s="160">
        <f>_xll.qlSwapRateHelperSpread($B244,Trigger)</f>
        <v>0</v>
      </c>
      <c r="F244" s="161" t="b">
        <v>0</v>
      </c>
      <c r="G244" s="161">
        <v>50</v>
      </c>
      <c r="H244" s="161">
        <v>1</v>
      </c>
      <c r="I244" s="166">
        <f>_xll.qlRateHelperEarliestDate($B244,Trigger)</f>
        <v>45600</v>
      </c>
      <c r="J244" s="167">
        <f>_xll.qlRateHelperLatestDate($B244,Trigger)</f>
        <v>52905</v>
      </c>
      <c r="L244" s="165"/>
    </row>
    <row r="245" spans="2:12" x14ac:dyDescent="0.2">
      <c r="B245" s="276" t="str">
        <f>ForwardSwaps!J184</f>
        <v>obj_00849#0000</v>
      </c>
      <c r="C245" s="159" t="str">
        <f>_xll.qlRateHelperQuoteName(B245)</f>
        <v>EUR10F25Y_Quote</v>
      </c>
      <c r="D245" s="160">
        <f>_xll.qlRateHelperQuoteValue($B245,Trigger)</f>
        <v>2.2629999999999997E-2</v>
      </c>
      <c r="E245" s="160">
        <f>_xll.qlSwapRateHelperSpread($B245,Trigger)</f>
        <v>0</v>
      </c>
      <c r="F245" s="161" t="b">
        <v>0</v>
      </c>
      <c r="G245" s="161">
        <v>50</v>
      </c>
      <c r="H245" s="161">
        <v>1</v>
      </c>
      <c r="I245" s="166">
        <f>_xll.qlRateHelperEarliestDate($B245,Trigger)</f>
        <v>45600</v>
      </c>
      <c r="J245" s="167">
        <f>_xll.qlRateHelperLatestDate($B245,Trigger)</f>
        <v>54731</v>
      </c>
      <c r="L245" s="165"/>
    </row>
    <row r="246" spans="2:12" x14ac:dyDescent="0.2">
      <c r="B246" s="277" t="str">
        <f>ForwardSwaps!J185</f>
        <v>obj_007d3#0000</v>
      </c>
      <c r="C246" s="162" t="str">
        <f>_xll.qlRateHelperQuoteName(B246)</f>
        <v>EUR10F30Y_Quote</v>
      </c>
      <c r="D246" s="163">
        <f>_xll.qlRateHelperQuoteValue($B246,Trigger)</f>
        <v>2.2480000000000003E-2</v>
      </c>
      <c r="E246" s="163">
        <f>_xll.qlSwapRateHelperSpread($B246,Trigger)</f>
        <v>0</v>
      </c>
      <c r="F246" s="164" t="b">
        <v>0</v>
      </c>
      <c r="G246" s="164">
        <v>50</v>
      </c>
      <c r="H246" s="164">
        <v>1</v>
      </c>
      <c r="I246" s="168">
        <f>_xll.qlRateHelperEarliestDate($B246,Trigger)</f>
        <v>45600</v>
      </c>
      <c r="J246" s="169">
        <f>_xll.qlRateHelperLatestDate($B246,Trigger)</f>
        <v>56557</v>
      </c>
      <c r="L246" s="165"/>
    </row>
    <row r="247" spans="2:12" x14ac:dyDescent="0.2">
      <c r="B247" s="278" t="str">
        <f>ForwardSwaps!J186</f>
        <v>obj_00868#0000</v>
      </c>
      <c r="C247" s="261" t="str">
        <f>_xll.qlRateHelperQuoteName(B247)</f>
        <v>EUR11F1Y_Quote</v>
      </c>
      <c r="D247" s="279">
        <f>_xll.qlRateHelperQuoteValue($B247,Trigger)</f>
        <v>2.3879999999999998E-2</v>
      </c>
      <c r="E247" s="279">
        <f>_xll.qlSwapRateHelperSpread($B247,Trigger)</f>
        <v>0</v>
      </c>
      <c r="F247" s="280" t="b">
        <v>0</v>
      </c>
      <c r="G247" s="280">
        <v>50</v>
      </c>
      <c r="H247" s="280">
        <v>1</v>
      </c>
      <c r="I247" s="281">
        <f>_xll.qlRateHelperEarliestDate($B247,Trigger)</f>
        <v>45964</v>
      </c>
      <c r="J247" s="282">
        <f>_xll.qlRateHelperLatestDate($B247,Trigger)</f>
        <v>46329</v>
      </c>
      <c r="L247" s="165"/>
    </row>
    <row r="248" spans="2:12" x14ac:dyDescent="0.2">
      <c r="B248" s="276" t="str">
        <f>ForwardSwaps!J187</f>
        <v>obj_00863#0000</v>
      </c>
      <c r="C248" s="159" t="str">
        <f>_xll.qlRateHelperQuoteName(B248)</f>
        <v>EUR11F2Y_Quote</v>
      </c>
      <c r="D248" s="160">
        <f>_xll.qlRateHelperQuoteValue($B248,Trigger)</f>
        <v>2.4140000000000002E-2</v>
      </c>
      <c r="E248" s="160">
        <f>_xll.qlSwapRateHelperSpread($B248,Trigger)</f>
        <v>0</v>
      </c>
      <c r="F248" s="161" t="b">
        <v>0</v>
      </c>
      <c r="G248" s="161">
        <v>50</v>
      </c>
      <c r="H248" s="161">
        <v>1</v>
      </c>
      <c r="I248" s="166">
        <f>_xll.qlRateHelperEarliestDate($B248,Trigger)</f>
        <v>45964</v>
      </c>
      <c r="J248" s="167">
        <f>_xll.qlRateHelperLatestDate($B248,Trigger)</f>
        <v>46694</v>
      </c>
      <c r="L248" s="165"/>
    </row>
    <row r="249" spans="2:12" x14ac:dyDescent="0.2">
      <c r="B249" s="276" t="str">
        <f>ForwardSwaps!J188</f>
        <v>obj_007f3#0000</v>
      </c>
      <c r="C249" s="159" t="str">
        <f>_xll.qlRateHelperQuoteName(B249)</f>
        <v>EUR11F3Y_Quote</v>
      </c>
      <c r="D249" s="160">
        <f>_xll.qlRateHelperQuoteValue($B249,Trigger)</f>
        <v>2.4310000000000002E-2</v>
      </c>
      <c r="E249" s="160">
        <f>_xll.qlSwapRateHelperSpread($B249,Trigger)</f>
        <v>0</v>
      </c>
      <c r="F249" s="161" t="b">
        <v>0</v>
      </c>
      <c r="G249" s="161">
        <v>50</v>
      </c>
      <c r="H249" s="161">
        <v>1</v>
      </c>
      <c r="I249" s="166">
        <f>_xll.qlRateHelperEarliestDate($B249,Trigger)</f>
        <v>45964</v>
      </c>
      <c r="J249" s="167">
        <f>_xll.qlRateHelperLatestDate($B249,Trigger)</f>
        <v>47060</v>
      </c>
      <c r="L249" s="165"/>
    </row>
    <row r="250" spans="2:12" x14ac:dyDescent="0.2">
      <c r="B250" s="276" t="str">
        <f>ForwardSwaps!J189</f>
        <v>obj_00810#0000</v>
      </c>
      <c r="C250" s="159" t="str">
        <f>_xll.qlRateHelperQuoteName(B250)</f>
        <v>EUR11F4Y_Quote</v>
      </c>
      <c r="D250" s="160">
        <f>_xll.qlRateHelperQuoteValue($B250,Trigger)</f>
        <v>2.4390000000000002E-2</v>
      </c>
      <c r="E250" s="160">
        <f>_xll.qlSwapRateHelperSpread($B250,Trigger)</f>
        <v>0</v>
      </c>
      <c r="F250" s="161" t="b">
        <v>0</v>
      </c>
      <c r="G250" s="161">
        <v>50</v>
      </c>
      <c r="H250" s="161">
        <v>1</v>
      </c>
      <c r="I250" s="166">
        <f>_xll.qlRateHelperEarliestDate($B250,Trigger)</f>
        <v>45964</v>
      </c>
      <c r="J250" s="167">
        <f>_xll.qlRateHelperLatestDate($B250,Trigger)</f>
        <v>47427</v>
      </c>
      <c r="L250" s="165"/>
    </row>
    <row r="251" spans="2:12" x14ac:dyDescent="0.2">
      <c r="B251" s="276" t="str">
        <f>ForwardSwaps!J190</f>
        <v>obj_00822#0000</v>
      </c>
      <c r="C251" s="159" t="str">
        <f>_xll.qlRateHelperQuoteName(B251)</f>
        <v>EUR11F5Y_Quote</v>
      </c>
      <c r="D251" s="160">
        <f>_xll.qlRateHelperQuoteValue($B251,Trigger)</f>
        <v>2.4460000000000003E-2</v>
      </c>
      <c r="E251" s="160">
        <f>_xll.qlSwapRateHelperSpread($B251,Trigger)</f>
        <v>0</v>
      </c>
      <c r="F251" s="161" t="b">
        <v>0</v>
      </c>
      <c r="G251" s="161">
        <v>50</v>
      </c>
      <c r="H251" s="161">
        <v>1</v>
      </c>
      <c r="I251" s="166">
        <f>_xll.qlRateHelperEarliestDate($B251,Trigger)</f>
        <v>45964</v>
      </c>
      <c r="J251" s="167">
        <f>_xll.qlRateHelperLatestDate($B251,Trigger)</f>
        <v>47791</v>
      </c>
      <c r="L251" s="165"/>
    </row>
    <row r="252" spans="2:12" x14ac:dyDescent="0.2">
      <c r="B252" s="276" t="str">
        <f>ForwardSwaps!J191</f>
        <v>obj_00859#0000</v>
      </c>
      <c r="C252" s="159" t="str">
        <f>_xll.qlRateHelperQuoteName(B252)</f>
        <v>EUR11F6Y_Quote</v>
      </c>
      <c r="D252" s="160">
        <f>_xll.qlRateHelperQuoteValue($B252,Trigger)</f>
        <v>2.4500000000000001E-2</v>
      </c>
      <c r="E252" s="160">
        <f>_xll.qlSwapRateHelperSpread($B252,Trigger)</f>
        <v>0</v>
      </c>
      <c r="F252" s="161" t="b">
        <v>0</v>
      </c>
      <c r="G252" s="161">
        <v>50</v>
      </c>
      <c r="H252" s="161">
        <v>1</v>
      </c>
      <c r="I252" s="166">
        <f>_xll.qlRateHelperEarliestDate($B252,Trigger)</f>
        <v>45964</v>
      </c>
      <c r="J252" s="167">
        <f>_xll.qlRateHelperLatestDate($B252,Trigger)</f>
        <v>48155</v>
      </c>
      <c r="L252" s="165"/>
    </row>
    <row r="253" spans="2:12" x14ac:dyDescent="0.2">
      <c r="B253" s="276" t="str">
        <f>ForwardSwaps!J192</f>
        <v>obj_00768#0000</v>
      </c>
      <c r="C253" s="159" t="str">
        <f>_xll.qlRateHelperQuoteName(B253)</f>
        <v>EUR11F7Y_Quote</v>
      </c>
      <c r="D253" s="160">
        <f>_xll.qlRateHelperQuoteValue($B253,Trigger)</f>
        <v>2.4479999999999998E-2</v>
      </c>
      <c r="E253" s="160">
        <f>_xll.qlSwapRateHelperSpread($B253,Trigger)</f>
        <v>0</v>
      </c>
      <c r="F253" s="161" t="b">
        <v>0</v>
      </c>
      <c r="G253" s="161">
        <v>50</v>
      </c>
      <c r="H253" s="161">
        <v>1</v>
      </c>
      <c r="I253" s="166">
        <f>_xll.qlRateHelperEarliestDate($B253,Trigger)</f>
        <v>45964</v>
      </c>
      <c r="J253" s="167">
        <f>_xll.qlRateHelperLatestDate($B253,Trigger)</f>
        <v>48521</v>
      </c>
      <c r="L253" s="165"/>
    </row>
    <row r="254" spans="2:12" x14ac:dyDescent="0.2">
      <c r="B254" s="276" t="str">
        <f>ForwardSwaps!J193</f>
        <v>obj_0077a#0000</v>
      </c>
      <c r="C254" s="159" t="str">
        <f>_xll.qlRateHelperQuoteName(B254)</f>
        <v>EUR11F8Y_Quote</v>
      </c>
      <c r="D254" s="160">
        <f>_xll.qlRateHelperQuoteValue($B254,Trigger)</f>
        <v>2.444E-2</v>
      </c>
      <c r="E254" s="160">
        <f>_xll.qlSwapRateHelperSpread($B254,Trigger)</f>
        <v>0</v>
      </c>
      <c r="F254" s="161" t="b">
        <v>0</v>
      </c>
      <c r="G254" s="161">
        <v>50</v>
      </c>
      <c r="H254" s="161">
        <v>1</v>
      </c>
      <c r="I254" s="166">
        <f>_xll.qlRateHelperEarliestDate($B254,Trigger)</f>
        <v>45964</v>
      </c>
      <c r="J254" s="167">
        <f>_xll.qlRateHelperLatestDate($B254,Trigger)</f>
        <v>48886</v>
      </c>
      <c r="L254" s="165"/>
    </row>
    <row r="255" spans="2:12" x14ac:dyDescent="0.2">
      <c r="B255" s="276" t="str">
        <f>ForwardSwaps!J194</f>
        <v>obj_007f6#0000</v>
      </c>
      <c r="C255" s="159" t="str">
        <f>_xll.qlRateHelperQuoteName(B255)</f>
        <v>EUR11F9Y_Quote</v>
      </c>
      <c r="D255" s="160">
        <f>_xll.qlRateHelperQuoteValue($B255,Trigger)</f>
        <v>2.435E-2</v>
      </c>
      <c r="E255" s="160">
        <f>_xll.qlSwapRateHelperSpread($B255,Trigger)</f>
        <v>0</v>
      </c>
      <c r="F255" s="161" t="b">
        <v>0</v>
      </c>
      <c r="G255" s="161">
        <v>50</v>
      </c>
      <c r="H255" s="161">
        <v>1</v>
      </c>
      <c r="I255" s="166">
        <f>_xll.qlRateHelperEarliestDate($B255,Trigger)</f>
        <v>45964</v>
      </c>
      <c r="J255" s="167">
        <f>_xll.qlRateHelperLatestDate($B255,Trigger)</f>
        <v>49251</v>
      </c>
      <c r="L255" s="165"/>
    </row>
    <row r="256" spans="2:12" x14ac:dyDescent="0.2">
      <c r="B256" s="276" t="str">
        <f>ForwardSwaps!J195</f>
        <v>obj_00887#0000</v>
      </c>
      <c r="C256" s="159" t="str">
        <f>_xll.qlRateHelperQuoteName(B256)</f>
        <v>EUR11F10Y_Quote</v>
      </c>
      <c r="D256" s="160">
        <f>_xll.qlRateHelperQuoteValue($B256,Trigger)</f>
        <v>2.4249999999999997E-2</v>
      </c>
      <c r="E256" s="160">
        <f>_xll.qlSwapRateHelperSpread($B256,Trigger)</f>
        <v>0</v>
      </c>
      <c r="F256" s="161" t="b">
        <v>0</v>
      </c>
      <c r="G256" s="161">
        <v>50</v>
      </c>
      <c r="H256" s="161">
        <v>1</v>
      </c>
      <c r="I256" s="166">
        <f>_xll.qlRateHelperEarliestDate($B256,Trigger)</f>
        <v>45964</v>
      </c>
      <c r="J256" s="167">
        <f>_xll.qlRateHelperLatestDate($B256,Trigger)</f>
        <v>49618</v>
      </c>
      <c r="L256" s="165"/>
    </row>
    <row r="257" spans="2:12" x14ac:dyDescent="0.2">
      <c r="B257" s="276" t="str">
        <f>ForwardSwaps!J196</f>
        <v>obj_00855#0000</v>
      </c>
      <c r="C257" s="159" t="str">
        <f>_xll.qlRateHelperQuoteName(B257)</f>
        <v>EUR11F11Y_Quote</v>
      </c>
      <c r="D257" s="160">
        <f>_xll.qlRateHelperQuoteValue($B257,Trigger)</f>
        <v>2.41E-2</v>
      </c>
      <c r="E257" s="160">
        <f>_xll.qlSwapRateHelperSpread($B257,Trigger)</f>
        <v>0</v>
      </c>
      <c r="F257" s="161" t="b">
        <v>0</v>
      </c>
      <c r="G257" s="161">
        <v>50</v>
      </c>
      <c r="H257" s="161">
        <v>1</v>
      </c>
      <c r="I257" s="166">
        <f>_xll.qlRateHelperEarliestDate($B257,Trigger)</f>
        <v>45964</v>
      </c>
      <c r="J257" s="167">
        <f>_xll.qlRateHelperLatestDate($B257,Trigger)</f>
        <v>49982</v>
      </c>
      <c r="L257" s="165"/>
    </row>
    <row r="258" spans="2:12" x14ac:dyDescent="0.2">
      <c r="B258" s="276" t="str">
        <f>ForwardSwaps!J197</f>
        <v>obj_00838#0000</v>
      </c>
      <c r="C258" s="159" t="str">
        <f>_xll.qlRateHelperQuoteName(B258)</f>
        <v>EUR11F12Y_Quote</v>
      </c>
      <c r="D258" s="160">
        <f>_xll.qlRateHelperQuoteValue($B258,Trigger)</f>
        <v>2.3949999999999999E-2</v>
      </c>
      <c r="E258" s="160">
        <f>_xll.qlSwapRateHelperSpread($B258,Trigger)</f>
        <v>0</v>
      </c>
      <c r="F258" s="161" t="b">
        <v>0</v>
      </c>
      <c r="G258" s="161">
        <v>50</v>
      </c>
      <c r="H258" s="161">
        <v>1</v>
      </c>
      <c r="I258" s="166">
        <f>_xll.qlRateHelperEarliestDate($B258,Trigger)</f>
        <v>45964</v>
      </c>
      <c r="J258" s="167">
        <f>_xll.qlRateHelperLatestDate($B258,Trigger)</f>
        <v>50347</v>
      </c>
      <c r="L258" s="165"/>
    </row>
    <row r="259" spans="2:12" x14ac:dyDescent="0.2">
      <c r="B259" s="276" t="str">
        <f>ForwardSwaps!J198</f>
        <v>obj_0088b#0000</v>
      </c>
      <c r="C259" s="159" t="str">
        <f>_xll.qlRateHelperQuoteName(B259)</f>
        <v>EUR11F13Y_Quote</v>
      </c>
      <c r="D259" s="160">
        <f>_xll.qlRateHelperQuoteValue($B259,Trigger)</f>
        <v>2.3789999999999999E-2</v>
      </c>
      <c r="E259" s="160">
        <f>_xll.qlSwapRateHelperSpread($B259,Trigger)</f>
        <v>0</v>
      </c>
      <c r="F259" s="161" t="b">
        <v>0</v>
      </c>
      <c r="G259" s="161">
        <v>50</v>
      </c>
      <c r="H259" s="161">
        <v>1</v>
      </c>
      <c r="I259" s="166">
        <f>_xll.qlRateHelperEarliestDate($B259,Trigger)</f>
        <v>45964</v>
      </c>
      <c r="J259" s="167">
        <f>_xll.qlRateHelperLatestDate($B259,Trigger)</f>
        <v>50712</v>
      </c>
      <c r="L259" s="165"/>
    </row>
    <row r="260" spans="2:12" x14ac:dyDescent="0.2">
      <c r="B260" s="276" t="str">
        <f>ForwardSwaps!J199</f>
        <v>obj_0086e#0000</v>
      </c>
      <c r="C260" s="159" t="str">
        <f>_xll.qlRateHelperQuoteName(B260)</f>
        <v>EUR11F14Y_Quote</v>
      </c>
      <c r="D260" s="160">
        <f>_xll.qlRateHelperQuoteValue($B260,Trigger)</f>
        <v>2.3639999999999998E-2</v>
      </c>
      <c r="E260" s="160">
        <f>_xll.qlSwapRateHelperSpread($B260,Trigger)</f>
        <v>0</v>
      </c>
      <c r="F260" s="161" t="b">
        <v>0</v>
      </c>
      <c r="G260" s="161">
        <v>50</v>
      </c>
      <c r="H260" s="161">
        <v>1</v>
      </c>
      <c r="I260" s="166">
        <f>_xll.qlRateHelperEarliestDate($B260,Trigger)</f>
        <v>45964</v>
      </c>
      <c r="J260" s="167">
        <f>_xll.qlRateHelperLatestDate($B260,Trigger)</f>
        <v>51077</v>
      </c>
      <c r="L260" s="165"/>
    </row>
    <row r="261" spans="2:12" x14ac:dyDescent="0.2">
      <c r="B261" s="276" t="str">
        <f>ForwardSwaps!J200</f>
        <v>obj_00794#0000</v>
      </c>
      <c r="C261" s="159" t="str">
        <f>_xll.qlRateHelperQuoteName(B261)</f>
        <v>EUR11F15Y_Quote</v>
      </c>
      <c r="D261" s="160">
        <f>_xll.qlRateHelperQuoteValue($B261,Trigger)</f>
        <v>2.3479999999999997E-2</v>
      </c>
      <c r="E261" s="160">
        <f>_xll.qlSwapRateHelperSpread($B261,Trigger)</f>
        <v>0</v>
      </c>
      <c r="F261" s="161" t="b">
        <v>0</v>
      </c>
      <c r="G261" s="161">
        <v>50</v>
      </c>
      <c r="H261" s="161">
        <v>1</v>
      </c>
      <c r="I261" s="166">
        <f>_xll.qlRateHelperEarliestDate($B261,Trigger)</f>
        <v>45964</v>
      </c>
      <c r="J261" s="167">
        <f>_xll.qlRateHelperLatestDate($B261,Trigger)</f>
        <v>51445</v>
      </c>
      <c r="L261" s="165"/>
    </row>
    <row r="262" spans="2:12" x14ac:dyDescent="0.2">
      <c r="B262" s="276" t="str">
        <f>ForwardSwaps!J201</f>
        <v>obj_0083c#0000</v>
      </c>
      <c r="C262" s="159" t="str">
        <f>_xll.qlRateHelperQuoteName(B262)</f>
        <v>EUR11F20Y_Quote</v>
      </c>
      <c r="D262" s="160">
        <f>_xll.qlRateHelperQuoteValue($B262,Trigger)</f>
        <v>2.2850000000000002E-2</v>
      </c>
      <c r="E262" s="160">
        <f>_xll.qlSwapRateHelperSpread($B262,Trigger)</f>
        <v>0</v>
      </c>
      <c r="F262" s="161" t="b">
        <v>0</v>
      </c>
      <c r="G262" s="161">
        <v>50</v>
      </c>
      <c r="H262" s="161">
        <v>1</v>
      </c>
      <c r="I262" s="166">
        <f>_xll.qlRateHelperEarliestDate($B262,Trigger)</f>
        <v>45964</v>
      </c>
      <c r="J262" s="167">
        <f>_xll.qlRateHelperLatestDate($B262,Trigger)</f>
        <v>53269</v>
      </c>
      <c r="L262" s="165"/>
    </row>
    <row r="263" spans="2:12" x14ac:dyDescent="0.2">
      <c r="B263" s="276" t="str">
        <f>ForwardSwaps!J202</f>
        <v>obj_00892#0000</v>
      </c>
      <c r="C263" s="159" t="str">
        <f>_xll.qlRateHelperQuoteName(B263)</f>
        <v>EUR11F25Y_Quote</v>
      </c>
      <c r="D263" s="160">
        <f>_xll.qlRateHelperQuoteValue($B263,Trigger)</f>
        <v>2.257E-2</v>
      </c>
      <c r="E263" s="160">
        <f>_xll.qlSwapRateHelperSpread($B263,Trigger)</f>
        <v>0</v>
      </c>
      <c r="F263" s="161" t="b">
        <v>0</v>
      </c>
      <c r="G263" s="161">
        <v>50</v>
      </c>
      <c r="H263" s="161">
        <v>1</v>
      </c>
      <c r="I263" s="166">
        <f>_xll.qlRateHelperEarliestDate($B263,Trigger)</f>
        <v>45964</v>
      </c>
      <c r="J263" s="167">
        <f>_xll.qlRateHelperLatestDate($B263,Trigger)</f>
        <v>55095</v>
      </c>
      <c r="L263" s="165"/>
    </row>
    <row r="264" spans="2:12" x14ac:dyDescent="0.2">
      <c r="B264" s="277" t="str">
        <f>ForwardSwaps!J203</f>
        <v>obj_0085d#0000</v>
      </c>
      <c r="C264" s="162" t="str">
        <f>_xll.qlRateHelperQuoteName(B264)</f>
        <v>EUR11F30Y_Quote</v>
      </c>
      <c r="D264" s="163">
        <f>_xll.qlRateHelperQuoteValue($B264,Trigger)</f>
        <v>2.239E-2</v>
      </c>
      <c r="E264" s="163">
        <f>_xll.qlSwapRateHelperSpread($B264,Trigger)</f>
        <v>0</v>
      </c>
      <c r="F264" s="164" t="b">
        <v>0</v>
      </c>
      <c r="G264" s="164">
        <v>50</v>
      </c>
      <c r="H264" s="164">
        <v>1</v>
      </c>
      <c r="I264" s="168">
        <f>_xll.qlRateHelperEarliestDate($B264,Trigger)</f>
        <v>45964</v>
      </c>
      <c r="J264" s="169">
        <f>_xll.qlRateHelperLatestDate($B264,Trigger)</f>
        <v>56921</v>
      </c>
      <c r="L264" s="165"/>
    </row>
    <row r="265" spans="2:12" x14ac:dyDescent="0.2">
      <c r="B265" s="278" t="str">
        <f>ForwardSwaps!J204</f>
        <v>obj_00784#0000</v>
      </c>
      <c r="C265" s="261" t="str">
        <f>_xll.qlRateHelperQuoteName(B265)</f>
        <v>EUR12F1Y_Quote</v>
      </c>
      <c r="D265" s="279">
        <f>_xll.qlRateHelperQuoteValue($B265,Trigger)</f>
        <v>2.4420000000000001E-2</v>
      </c>
      <c r="E265" s="279">
        <f>_xll.qlSwapRateHelperSpread($B265,Trigger)</f>
        <v>0</v>
      </c>
      <c r="F265" s="280" t="b">
        <v>0</v>
      </c>
      <c r="G265" s="280">
        <v>50</v>
      </c>
      <c r="H265" s="280">
        <v>1</v>
      </c>
      <c r="I265" s="281">
        <f>_xll.qlRateHelperEarliestDate($B265,Trigger)</f>
        <v>46329</v>
      </c>
      <c r="J265" s="282">
        <f>_xll.qlRateHelperLatestDate($B265,Trigger)</f>
        <v>46694</v>
      </c>
      <c r="L265" s="165"/>
    </row>
    <row r="266" spans="2:12" x14ac:dyDescent="0.2">
      <c r="B266" s="276" t="str">
        <f>ForwardSwaps!J205</f>
        <v>obj_00788#0000</v>
      </c>
      <c r="C266" s="159" t="str">
        <f>_xll.qlRateHelperQuoteName(B266)</f>
        <v>EUR12F2Y_Quote</v>
      </c>
      <c r="D266" s="160">
        <f>_xll.qlRateHelperQuoteValue($B266,Trigger)</f>
        <v>2.453E-2</v>
      </c>
      <c r="E266" s="160">
        <f>_xll.qlSwapRateHelperSpread($B266,Trigger)</f>
        <v>0</v>
      </c>
      <c r="F266" s="161" t="b">
        <v>0</v>
      </c>
      <c r="G266" s="161">
        <v>50</v>
      </c>
      <c r="H266" s="161">
        <v>1</v>
      </c>
      <c r="I266" s="166">
        <f>_xll.qlRateHelperEarliestDate($B266,Trigger)</f>
        <v>46329</v>
      </c>
      <c r="J266" s="167">
        <f>_xll.qlRateHelperLatestDate($B266,Trigger)</f>
        <v>47060</v>
      </c>
      <c r="L266" s="165"/>
    </row>
    <row r="267" spans="2:12" x14ac:dyDescent="0.2">
      <c r="B267" s="276" t="str">
        <f>ForwardSwaps!J206</f>
        <v>obj_00826#0000</v>
      </c>
      <c r="C267" s="159" t="str">
        <f>_xll.qlRateHelperQuoteName(B267)</f>
        <v>EUR12F3Y_Quote</v>
      </c>
      <c r="D267" s="160">
        <f>_xll.qlRateHelperQuoteValue($B267,Trigger)</f>
        <v>2.4559999999999998E-2</v>
      </c>
      <c r="E267" s="160">
        <f>_xll.qlSwapRateHelperSpread($B267,Trigger)</f>
        <v>0</v>
      </c>
      <c r="F267" s="161" t="b">
        <v>0</v>
      </c>
      <c r="G267" s="161">
        <v>50</v>
      </c>
      <c r="H267" s="161">
        <v>1</v>
      </c>
      <c r="I267" s="166">
        <f>_xll.qlRateHelperEarliestDate($B267,Trigger)</f>
        <v>46329</v>
      </c>
      <c r="J267" s="167">
        <f>_xll.qlRateHelperLatestDate($B267,Trigger)</f>
        <v>47427</v>
      </c>
      <c r="L267" s="165"/>
    </row>
    <row r="268" spans="2:12" x14ac:dyDescent="0.2">
      <c r="B268" s="276" t="str">
        <f>ForwardSwaps!J207</f>
        <v>obj_00885#0000</v>
      </c>
      <c r="C268" s="159" t="str">
        <f>_xll.qlRateHelperQuoteName(B268)</f>
        <v>EUR12F4Y_Quote</v>
      </c>
      <c r="D268" s="160">
        <f>_xll.qlRateHelperQuoteValue($B268,Trigger)</f>
        <v>2.4620000000000003E-2</v>
      </c>
      <c r="E268" s="160">
        <f>_xll.qlSwapRateHelperSpread($B268,Trigger)</f>
        <v>0</v>
      </c>
      <c r="F268" s="161" t="b">
        <v>0</v>
      </c>
      <c r="G268" s="161">
        <v>50</v>
      </c>
      <c r="H268" s="161">
        <v>1</v>
      </c>
      <c r="I268" s="166">
        <f>_xll.qlRateHelperEarliestDate($B268,Trigger)</f>
        <v>46329</v>
      </c>
      <c r="J268" s="167">
        <f>_xll.qlRateHelperLatestDate($B268,Trigger)</f>
        <v>47791</v>
      </c>
      <c r="L268" s="165"/>
    </row>
    <row r="269" spans="2:12" x14ac:dyDescent="0.2">
      <c r="B269" s="276" t="str">
        <f>ForwardSwaps!J208</f>
        <v>obj_0080b#0000</v>
      </c>
      <c r="C269" s="159" t="str">
        <f>_xll.qlRateHelperQuoteName(B269)</f>
        <v>EUR12F5Y_Quote</v>
      </c>
      <c r="D269" s="160">
        <f>_xll.qlRateHelperQuoteValue($B269,Trigger)</f>
        <v>2.4629999999999999E-2</v>
      </c>
      <c r="E269" s="160">
        <f>_xll.qlSwapRateHelperSpread($B269,Trigger)</f>
        <v>0</v>
      </c>
      <c r="F269" s="161" t="b">
        <v>0</v>
      </c>
      <c r="G269" s="161">
        <v>50</v>
      </c>
      <c r="H269" s="161">
        <v>1</v>
      </c>
      <c r="I269" s="166">
        <f>_xll.qlRateHelperEarliestDate($B269,Trigger)</f>
        <v>46329</v>
      </c>
      <c r="J269" s="167">
        <f>_xll.qlRateHelperLatestDate($B269,Trigger)</f>
        <v>48155</v>
      </c>
      <c r="L269" s="165"/>
    </row>
    <row r="270" spans="2:12" x14ac:dyDescent="0.2">
      <c r="B270" s="276" t="str">
        <f>ForwardSwaps!J209</f>
        <v>obj_00875#0000</v>
      </c>
      <c r="C270" s="159" t="str">
        <f>_xll.qlRateHelperQuoteName(B270)</f>
        <v>EUR12F6Y_Quote</v>
      </c>
      <c r="D270" s="160">
        <f>_xll.qlRateHelperQuoteValue($B270,Trigger)</f>
        <v>2.4580000000000001E-2</v>
      </c>
      <c r="E270" s="160">
        <f>_xll.qlSwapRateHelperSpread($B270,Trigger)</f>
        <v>0</v>
      </c>
      <c r="F270" s="161" t="b">
        <v>0</v>
      </c>
      <c r="G270" s="161">
        <v>50</v>
      </c>
      <c r="H270" s="161">
        <v>1</v>
      </c>
      <c r="I270" s="166">
        <f>_xll.qlRateHelperEarliestDate($B270,Trigger)</f>
        <v>46329</v>
      </c>
      <c r="J270" s="167">
        <f>_xll.qlRateHelperLatestDate($B270,Trigger)</f>
        <v>48521</v>
      </c>
      <c r="L270" s="165"/>
    </row>
    <row r="271" spans="2:12" x14ac:dyDescent="0.2">
      <c r="B271" s="276" t="str">
        <f>ForwardSwaps!J210</f>
        <v>obj_00801#0000</v>
      </c>
      <c r="C271" s="159" t="str">
        <f>_xll.qlRateHelperQuoteName(B271)</f>
        <v>EUR12F7Y_Quote</v>
      </c>
      <c r="D271" s="160">
        <f>_xll.qlRateHelperQuoteValue($B271,Trigger)</f>
        <v>2.452E-2</v>
      </c>
      <c r="E271" s="160">
        <f>_xll.qlSwapRateHelperSpread($B271,Trigger)</f>
        <v>0</v>
      </c>
      <c r="F271" s="161" t="b">
        <v>0</v>
      </c>
      <c r="G271" s="161">
        <v>50</v>
      </c>
      <c r="H271" s="161">
        <v>1</v>
      </c>
      <c r="I271" s="166">
        <f>_xll.qlRateHelperEarliestDate($B271,Trigger)</f>
        <v>46329</v>
      </c>
      <c r="J271" s="167">
        <f>_xll.qlRateHelperLatestDate($B271,Trigger)</f>
        <v>48886</v>
      </c>
      <c r="L271" s="165"/>
    </row>
    <row r="272" spans="2:12" x14ac:dyDescent="0.2">
      <c r="B272" s="276" t="str">
        <f>ForwardSwaps!J211</f>
        <v>obj_007a1#0000</v>
      </c>
      <c r="C272" s="159" t="str">
        <f>_xll.qlRateHelperQuoteName(B272)</f>
        <v>EUR12F8Y_Quote</v>
      </c>
      <c r="D272" s="160">
        <f>_xll.qlRateHelperQuoteValue($B272,Trigger)</f>
        <v>2.4409999999999998E-2</v>
      </c>
      <c r="E272" s="160">
        <f>_xll.qlSwapRateHelperSpread($B272,Trigger)</f>
        <v>0</v>
      </c>
      <c r="F272" s="161" t="b">
        <v>0</v>
      </c>
      <c r="G272" s="161">
        <v>50</v>
      </c>
      <c r="H272" s="161">
        <v>1</v>
      </c>
      <c r="I272" s="166">
        <f>_xll.qlRateHelperEarliestDate($B272,Trigger)</f>
        <v>46329</v>
      </c>
      <c r="J272" s="167">
        <f>_xll.qlRateHelperLatestDate($B272,Trigger)</f>
        <v>49251</v>
      </c>
      <c r="L272" s="165"/>
    </row>
    <row r="273" spans="2:12" x14ac:dyDescent="0.2">
      <c r="B273" s="276" t="str">
        <f>ForwardSwaps!J212</f>
        <v>obj_00823#0000</v>
      </c>
      <c r="C273" s="159" t="str">
        <f>_xll.qlRateHelperQuoteName(B273)</f>
        <v>EUR12F9Y_Quote</v>
      </c>
      <c r="D273" s="160">
        <f>_xll.qlRateHelperQuoteValue($B273,Trigger)</f>
        <v>2.4289999999999999E-2</v>
      </c>
      <c r="E273" s="160">
        <f>_xll.qlSwapRateHelperSpread($B273,Trigger)</f>
        <v>0</v>
      </c>
      <c r="F273" s="161" t="b">
        <v>0</v>
      </c>
      <c r="G273" s="161">
        <v>50</v>
      </c>
      <c r="H273" s="161">
        <v>1</v>
      </c>
      <c r="I273" s="166">
        <f>_xll.qlRateHelperEarliestDate($B273,Trigger)</f>
        <v>46329</v>
      </c>
      <c r="J273" s="167">
        <f>_xll.qlRateHelperLatestDate($B273,Trigger)</f>
        <v>49618</v>
      </c>
      <c r="L273" s="165"/>
    </row>
    <row r="274" spans="2:12" x14ac:dyDescent="0.2">
      <c r="B274" s="276" t="str">
        <f>ForwardSwaps!J213</f>
        <v>obj_007de#0000</v>
      </c>
      <c r="C274" s="159" t="str">
        <f>_xll.qlRateHelperQuoteName(B274)</f>
        <v>EUR12F10Y_Quote</v>
      </c>
      <c r="D274" s="160">
        <f>_xll.qlRateHelperQuoteValue($B274,Trigger)</f>
        <v>2.4129999999999999E-2</v>
      </c>
      <c r="E274" s="160">
        <f>_xll.qlSwapRateHelperSpread($B274,Trigger)</f>
        <v>0</v>
      </c>
      <c r="F274" s="161" t="b">
        <v>0</v>
      </c>
      <c r="G274" s="161">
        <v>50</v>
      </c>
      <c r="H274" s="161">
        <v>1</v>
      </c>
      <c r="I274" s="166">
        <f>_xll.qlRateHelperEarliestDate($B274,Trigger)</f>
        <v>46329</v>
      </c>
      <c r="J274" s="167">
        <f>_xll.qlRateHelperLatestDate($B274,Trigger)</f>
        <v>49982</v>
      </c>
      <c r="L274" s="165"/>
    </row>
    <row r="275" spans="2:12" x14ac:dyDescent="0.2">
      <c r="B275" s="276" t="str">
        <f>ForwardSwaps!J214</f>
        <v>obj_007ee#0000</v>
      </c>
      <c r="C275" s="159" t="str">
        <f>_xll.qlRateHelperQuoteName(B275)</f>
        <v>EUR12F11Y_Quote</v>
      </c>
      <c r="D275" s="160">
        <f>_xll.qlRateHelperQuoteValue($B275,Trigger)</f>
        <v>2.3959999999999999E-2</v>
      </c>
      <c r="E275" s="160">
        <f>_xll.qlSwapRateHelperSpread($B275,Trigger)</f>
        <v>0</v>
      </c>
      <c r="F275" s="161" t="b">
        <v>0</v>
      </c>
      <c r="G275" s="161">
        <v>50</v>
      </c>
      <c r="H275" s="161">
        <v>1</v>
      </c>
      <c r="I275" s="166">
        <f>_xll.qlRateHelperEarliestDate($B275,Trigger)</f>
        <v>46329</v>
      </c>
      <c r="J275" s="167">
        <f>_xll.qlRateHelperLatestDate($B275,Trigger)</f>
        <v>50347</v>
      </c>
      <c r="L275" s="165"/>
    </row>
    <row r="276" spans="2:12" x14ac:dyDescent="0.2">
      <c r="B276" s="276" t="str">
        <f>ForwardSwaps!J215</f>
        <v>obj_00832#0000</v>
      </c>
      <c r="C276" s="159" t="str">
        <f>_xll.qlRateHelperQuoteName(B276)</f>
        <v>EUR12F12Y_Quote</v>
      </c>
      <c r="D276" s="160">
        <f>_xll.qlRateHelperQuoteValue($B276,Trigger)</f>
        <v>2.3789999999999999E-2</v>
      </c>
      <c r="E276" s="160">
        <f>_xll.qlSwapRateHelperSpread($B276,Trigger)</f>
        <v>0</v>
      </c>
      <c r="F276" s="161" t="b">
        <v>0</v>
      </c>
      <c r="G276" s="161">
        <v>50</v>
      </c>
      <c r="H276" s="161">
        <v>1</v>
      </c>
      <c r="I276" s="166">
        <f>_xll.qlRateHelperEarliestDate($B276,Trigger)</f>
        <v>46329</v>
      </c>
      <c r="J276" s="167">
        <f>_xll.qlRateHelperLatestDate($B276,Trigger)</f>
        <v>50712</v>
      </c>
      <c r="L276" s="165"/>
    </row>
    <row r="277" spans="2:12" x14ac:dyDescent="0.2">
      <c r="B277" s="276" t="str">
        <f>ForwardSwaps!J216</f>
        <v>obj_00805#0000</v>
      </c>
      <c r="C277" s="159" t="str">
        <f>_xll.qlRateHelperQuoteName(B277)</f>
        <v>EUR12F13Y_Quote</v>
      </c>
      <c r="D277" s="160">
        <f>_xll.qlRateHelperQuoteValue($B277,Trigger)</f>
        <v>2.3620000000000002E-2</v>
      </c>
      <c r="E277" s="160">
        <f>_xll.qlSwapRateHelperSpread($B277,Trigger)</f>
        <v>0</v>
      </c>
      <c r="F277" s="161" t="b">
        <v>0</v>
      </c>
      <c r="G277" s="161">
        <v>50</v>
      </c>
      <c r="H277" s="161">
        <v>1</v>
      </c>
      <c r="I277" s="166">
        <f>_xll.qlRateHelperEarliestDate($B277,Trigger)</f>
        <v>46329</v>
      </c>
      <c r="J277" s="167">
        <f>_xll.qlRateHelperLatestDate($B277,Trigger)</f>
        <v>51077</v>
      </c>
      <c r="L277" s="165"/>
    </row>
    <row r="278" spans="2:12" x14ac:dyDescent="0.2">
      <c r="B278" s="276" t="str">
        <f>ForwardSwaps!J217</f>
        <v>obj_007be#0000</v>
      </c>
      <c r="C278" s="159" t="str">
        <f>_xll.qlRateHelperQuoteName(B278)</f>
        <v>EUR12F14Y_Quote</v>
      </c>
      <c r="D278" s="160">
        <f>_xll.qlRateHelperQuoteValue($B278,Trigger)</f>
        <v>2.3450000000000002E-2</v>
      </c>
      <c r="E278" s="160">
        <f>_xll.qlSwapRateHelperSpread($B278,Trigger)</f>
        <v>0</v>
      </c>
      <c r="F278" s="161" t="b">
        <v>0</v>
      </c>
      <c r="G278" s="161">
        <v>50</v>
      </c>
      <c r="H278" s="161">
        <v>1</v>
      </c>
      <c r="I278" s="166">
        <f>_xll.qlRateHelperEarliestDate($B278,Trigger)</f>
        <v>46329</v>
      </c>
      <c r="J278" s="167">
        <f>_xll.qlRateHelperLatestDate($B278,Trigger)</f>
        <v>51445</v>
      </c>
      <c r="L278" s="165"/>
    </row>
    <row r="279" spans="2:12" x14ac:dyDescent="0.2">
      <c r="B279" s="276" t="str">
        <f>ForwardSwaps!J218</f>
        <v>obj_00883#0000</v>
      </c>
      <c r="C279" s="159" t="str">
        <f>_xll.qlRateHelperQuoteName(B279)</f>
        <v>EUR12F15Y_Quote</v>
      </c>
      <c r="D279" s="160">
        <f>_xll.qlRateHelperQuoteValue($B279,Trigger)</f>
        <v>2.3290000000000002E-2</v>
      </c>
      <c r="E279" s="160">
        <f>_xll.qlSwapRateHelperSpread($B279,Trigger)</f>
        <v>0</v>
      </c>
      <c r="F279" s="161" t="b">
        <v>0</v>
      </c>
      <c r="G279" s="161">
        <v>50</v>
      </c>
      <c r="H279" s="161">
        <v>1</v>
      </c>
      <c r="I279" s="166">
        <f>_xll.qlRateHelperEarliestDate($B279,Trigger)</f>
        <v>46329</v>
      </c>
      <c r="J279" s="167">
        <f>_xll.qlRateHelperLatestDate($B279,Trigger)</f>
        <v>51809</v>
      </c>
      <c r="L279" s="165"/>
    </row>
    <row r="280" spans="2:12" x14ac:dyDescent="0.2">
      <c r="B280" s="276" t="str">
        <f>ForwardSwaps!J219</f>
        <v>obj_00872#0000</v>
      </c>
      <c r="C280" s="159" t="str">
        <f>_xll.qlRateHelperQuoteName(B280)</f>
        <v>EUR12F20Y_Quote</v>
      </c>
      <c r="D280" s="160">
        <f>_xll.qlRateHelperQuoteValue($B280,Trigger)</f>
        <v>2.2700000000000001E-2</v>
      </c>
      <c r="E280" s="160">
        <f>_xll.qlSwapRateHelperSpread($B280,Trigger)</f>
        <v>0</v>
      </c>
      <c r="F280" s="161" t="b">
        <v>0</v>
      </c>
      <c r="G280" s="161">
        <v>50</v>
      </c>
      <c r="H280" s="161">
        <v>1</v>
      </c>
      <c r="I280" s="166">
        <f>_xll.qlRateHelperEarliestDate($B280,Trigger)</f>
        <v>46329</v>
      </c>
      <c r="J280" s="167">
        <f>_xll.qlRateHelperLatestDate($B280,Trigger)</f>
        <v>53636</v>
      </c>
      <c r="L280" s="165"/>
    </row>
    <row r="281" spans="2:12" x14ac:dyDescent="0.2">
      <c r="B281" s="276" t="str">
        <f>ForwardSwaps!J220</f>
        <v>obj_007bd#0000</v>
      </c>
      <c r="C281" s="159" t="str">
        <f>_xll.qlRateHelperQuoteName(B281)</f>
        <v>EUR12F25Y_Quote</v>
      </c>
      <c r="D281" s="160">
        <f>_xll.qlRateHelperQuoteValue($B281,Trigger)</f>
        <v>2.247E-2</v>
      </c>
      <c r="E281" s="160">
        <f>_xll.qlSwapRateHelperSpread($B281,Trigger)</f>
        <v>0</v>
      </c>
      <c r="F281" s="161" t="b">
        <v>0</v>
      </c>
      <c r="G281" s="161">
        <v>50</v>
      </c>
      <c r="H281" s="161">
        <v>1</v>
      </c>
      <c r="I281" s="166">
        <f>_xll.qlRateHelperEarliestDate($B281,Trigger)</f>
        <v>46329</v>
      </c>
      <c r="J281" s="167">
        <f>_xll.qlRateHelperLatestDate($B281,Trigger)</f>
        <v>55460</v>
      </c>
      <c r="L281" s="165"/>
    </row>
    <row r="282" spans="2:12" x14ac:dyDescent="0.2">
      <c r="B282" s="277" t="str">
        <f>ForwardSwaps!J221</f>
        <v>obj_00866#0000</v>
      </c>
      <c r="C282" s="162" t="str">
        <f>_xll.qlRateHelperQuoteName(B282)</f>
        <v>EUR12F30Y_Quote</v>
      </c>
      <c r="D282" s="163">
        <f>_xll.qlRateHelperQuoteValue($B282,Trigger)</f>
        <v>2.2269999999999998E-2</v>
      </c>
      <c r="E282" s="163">
        <f>_xll.qlSwapRateHelperSpread($B282,Trigger)</f>
        <v>0</v>
      </c>
      <c r="F282" s="164" t="b">
        <v>0</v>
      </c>
      <c r="G282" s="164">
        <v>50</v>
      </c>
      <c r="H282" s="164">
        <v>1</v>
      </c>
      <c r="I282" s="168">
        <f>_xll.qlRateHelperEarliestDate($B282,Trigger)</f>
        <v>46329</v>
      </c>
      <c r="J282" s="169">
        <f>_xll.qlRateHelperLatestDate($B282,Trigger)</f>
        <v>57287</v>
      </c>
      <c r="L282" s="165"/>
    </row>
    <row r="283" spans="2:12" x14ac:dyDescent="0.2">
      <c r="B283" s="278" t="str">
        <f>ForwardSwaps!J222</f>
        <v>obj_007f9#0000</v>
      </c>
      <c r="C283" s="261" t="str">
        <f>_xll.qlRateHelperQuoteName(B283)</f>
        <v>EUR13F1Y_Quote</v>
      </c>
      <c r="D283" s="279">
        <f>_xll.qlRateHelperQuoteValue($B283,Trigger)</f>
        <v>2.4649999999999998E-2</v>
      </c>
      <c r="E283" s="279">
        <f>_xll.qlSwapRateHelperSpread($B283,Trigger)</f>
        <v>0</v>
      </c>
      <c r="F283" s="280" t="b">
        <v>0</v>
      </c>
      <c r="G283" s="280">
        <v>50</v>
      </c>
      <c r="H283" s="280">
        <v>1</v>
      </c>
      <c r="I283" s="281">
        <f>_xll.qlRateHelperEarliestDate($B283,Trigger)</f>
        <v>46694</v>
      </c>
      <c r="J283" s="282">
        <f>_xll.qlRateHelperLatestDate($B283,Trigger)</f>
        <v>47060</v>
      </c>
      <c r="L283" s="165"/>
    </row>
    <row r="284" spans="2:12" x14ac:dyDescent="0.2">
      <c r="B284" s="276" t="str">
        <f>ForwardSwaps!J223</f>
        <v>obj_0084a#0000</v>
      </c>
      <c r="C284" s="159" t="str">
        <f>_xll.qlRateHelperQuoteName(B284)</f>
        <v>EUR13F2Y_Quote</v>
      </c>
      <c r="D284" s="160">
        <f>_xll.qlRateHelperQuoteValue($B284,Trigger)</f>
        <v>2.4639999999999999E-2</v>
      </c>
      <c r="E284" s="160">
        <f>_xll.qlSwapRateHelperSpread($B284,Trigger)</f>
        <v>0</v>
      </c>
      <c r="F284" s="161" t="b">
        <v>0</v>
      </c>
      <c r="G284" s="161">
        <v>50</v>
      </c>
      <c r="H284" s="161">
        <v>1</v>
      </c>
      <c r="I284" s="166">
        <f>_xll.qlRateHelperEarliestDate($B284,Trigger)</f>
        <v>46694</v>
      </c>
      <c r="J284" s="167">
        <f>_xll.qlRateHelperLatestDate($B284,Trigger)</f>
        <v>47427</v>
      </c>
      <c r="L284" s="165"/>
    </row>
    <row r="285" spans="2:12" x14ac:dyDescent="0.2">
      <c r="B285" s="276" t="str">
        <f>ForwardSwaps!J224</f>
        <v>obj_007e9#0000</v>
      </c>
      <c r="C285" s="159" t="str">
        <f>_xll.qlRateHelperQuoteName(B285)</f>
        <v>EUR13F3Y_Quote</v>
      </c>
      <c r="D285" s="160">
        <f>_xll.qlRateHelperQuoteValue($B285,Trigger)</f>
        <v>2.469E-2</v>
      </c>
      <c r="E285" s="160">
        <f>_xll.qlSwapRateHelperSpread($B285,Trigger)</f>
        <v>0</v>
      </c>
      <c r="F285" s="161" t="b">
        <v>0</v>
      </c>
      <c r="G285" s="161">
        <v>50</v>
      </c>
      <c r="H285" s="161">
        <v>1</v>
      </c>
      <c r="I285" s="166">
        <f>_xll.qlRateHelperEarliestDate($B285,Trigger)</f>
        <v>46694</v>
      </c>
      <c r="J285" s="167">
        <f>_xll.qlRateHelperLatestDate($B285,Trigger)</f>
        <v>47791</v>
      </c>
      <c r="L285" s="165"/>
    </row>
    <row r="286" spans="2:12" x14ac:dyDescent="0.2">
      <c r="B286" s="276" t="str">
        <f>ForwardSwaps!J225</f>
        <v>obj_0078f#0000</v>
      </c>
      <c r="C286" s="159" t="str">
        <f>_xll.qlRateHelperQuoteName(B286)</f>
        <v>EUR13F4Y_Quote</v>
      </c>
      <c r="D286" s="160">
        <f>_xll.qlRateHelperQuoteValue($B286,Trigger)</f>
        <v>2.469E-2</v>
      </c>
      <c r="E286" s="160">
        <f>_xll.qlSwapRateHelperSpread($B286,Trigger)</f>
        <v>0</v>
      </c>
      <c r="F286" s="161" t="b">
        <v>0</v>
      </c>
      <c r="G286" s="161">
        <v>50</v>
      </c>
      <c r="H286" s="161">
        <v>1</v>
      </c>
      <c r="I286" s="166">
        <f>_xll.qlRateHelperEarliestDate($B286,Trigger)</f>
        <v>46694</v>
      </c>
      <c r="J286" s="167">
        <f>_xll.qlRateHelperLatestDate($B286,Trigger)</f>
        <v>48155</v>
      </c>
      <c r="L286" s="165"/>
    </row>
    <row r="287" spans="2:12" x14ac:dyDescent="0.2">
      <c r="B287" s="276" t="str">
        <f>ForwardSwaps!J226</f>
        <v>obj_00876#0000</v>
      </c>
      <c r="C287" s="159" t="str">
        <f>_xll.qlRateHelperQuoteName(B287)</f>
        <v>EUR13F5Y_Quote</v>
      </c>
      <c r="D287" s="160">
        <f>_xll.qlRateHelperQuoteValue($B287,Trigger)</f>
        <v>2.4620000000000003E-2</v>
      </c>
      <c r="E287" s="160">
        <f>_xll.qlSwapRateHelperSpread($B287,Trigger)</f>
        <v>0</v>
      </c>
      <c r="F287" s="161" t="b">
        <v>0</v>
      </c>
      <c r="G287" s="161">
        <v>50</v>
      </c>
      <c r="H287" s="161">
        <v>1</v>
      </c>
      <c r="I287" s="166">
        <f>_xll.qlRateHelperEarliestDate($B287,Trigger)</f>
        <v>46694</v>
      </c>
      <c r="J287" s="167">
        <f>_xll.qlRateHelperLatestDate($B287,Trigger)</f>
        <v>48521</v>
      </c>
      <c r="L287" s="165"/>
    </row>
    <row r="288" spans="2:12" x14ac:dyDescent="0.2">
      <c r="B288" s="276" t="str">
        <f>ForwardSwaps!J227</f>
        <v>obj_00825#0000</v>
      </c>
      <c r="C288" s="159" t="str">
        <f>_xll.qlRateHelperQuoteName(B288)</f>
        <v>EUR13F6Y_Quote</v>
      </c>
      <c r="D288" s="160">
        <f>_xll.qlRateHelperQuoteValue($B288,Trigger)</f>
        <v>2.4540000000000003E-2</v>
      </c>
      <c r="E288" s="160">
        <f>_xll.qlSwapRateHelperSpread($B288,Trigger)</f>
        <v>0</v>
      </c>
      <c r="F288" s="161" t="b">
        <v>0</v>
      </c>
      <c r="G288" s="161">
        <v>50</v>
      </c>
      <c r="H288" s="161">
        <v>1</v>
      </c>
      <c r="I288" s="166">
        <f>_xll.qlRateHelperEarliestDate($B288,Trigger)</f>
        <v>46694</v>
      </c>
      <c r="J288" s="167">
        <f>_xll.qlRateHelperLatestDate($B288,Trigger)</f>
        <v>48886</v>
      </c>
      <c r="L288" s="165"/>
    </row>
    <row r="289" spans="2:12" x14ac:dyDescent="0.2">
      <c r="B289" s="276" t="str">
        <f>ForwardSwaps!J228</f>
        <v>obj_0081f#0000</v>
      </c>
      <c r="C289" s="159" t="str">
        <f>_xll.qlRateHelperQuoteName(B289)</f>
        <v>EUR13F7Y_Quote</v>
      </c>
      <c r="D289" s="160">
        <f>_xll.qlRateHelperQuoteValue($B289,Trigger)</f>
        <v>2.4409999999999998E-2</v>
      </c>
      <c r="E289" s="160">
        <f>_xll.qlSwapRateHelperSpread($B289,Trigger)</f>
        <v>0</v>
      </c>
      <c r="F289" s="161" t="b">
        <v>0</v>
      </c>
      <c r="G289" s="161">
        <v>50</v>
      </c>
      <c r="H289" s="161">
        <v>1</v>
      </c>
      <c r="I289" s="166">
        <f>_xll.qlRateHelperEarliestDate($B289,Trigger)</f>
        <v>46694</v>
      </c>
      <c r="J289" s="167">
        <f>_xll.qlRateHelperLatestDate($B289,Trigger)</f>
        <v>49251</v>
      </c>
      <c r="L289" s="165"/>
    </row>
    <row r="290" spans="2:12" x14ac:dyDescent="0.2">
      <c r="B290" s="276" t="str">
        <f>ForwardSwaps!J229</f>
        <v>obj_007ef#0000</v>
      </c>
      <c r="C290" s="159" t="str">
        <f>_xll.qlRateHelperQuoteName(B290)</f>
        <v>EUR13F8Y_Quote</v>
      </c>
      <c r="D290" s="160">
        <f>_xll.qlRateHelperQuoteValue($B290,Trigger)</f>
        <v>2.427E-2</v>
      </c>
      <c r="E290" s="160">
        <f>_xll.qlSwapRateHelperSpread($B290,Trigger)</f>
        <v>0</v>
      </c>
      <c r="F290" s="161" t="b">
        <v>0</v>
      </c>
      <c r="G290" s="161">
        <v>50</v>
      </c>
      <c r="H290" s="161">
        <v>1</v>
      </c>
      <c r="I290" s="166">
        <f>_xll.qlRateHelperEarliestDate($B290,Trigger)</f>
        <v>46694</v>
      </c>
      <c r="J290" s="167">
        <f>_xll.qlRateHelperLatestDate($B290,Trigger)</f>
        <v>49618</v>
      </c>
      <c r="L290" s="165"/>
    </row>
    <row r="291" spans="2:12" x14ac:dyDescent="0.2">
      <c r="B291" s="276" t="str">
        <f>ForwardSwaps!J230</f>
        <v>obj_0079f#0000</v>
      </c>
      <c r="C291" s="159" t="str">
        <f>_xll.qlRateHelperQuoteName(B291)</f>
        <v>EUR13F9Y_Quote</v>
      </c>
      <c r="D291" s="160">
        <f>_xll.qlRateHelperQuoteValue($B291,Trigger)</f>
        <v>2.4089999999999997E-2</v>
      </c>
      <c r="E291" s="160">
        <f>_xll.qlSwapRateHelperSpread($B291,Trigger)</f>
        <v>0</v>
      </c>
      <c r="F291" s="161" t="b">
        <v>0</v>
      </c>
      <c r="G291" s="161">
        <v>50</v>
      </c>
      <c r="H291" s="161">
        <v>1</v>
      </c>
      <c r="I291" s="166">
        <f>_xll.qlRateHelperEarliestDate($B291,Trigger)</f>
        <v>46694</v>
      </c>
      <c r="J291" s="167">
        <f>_xll.qlRateHelperLatestDate($B291,Trigger)</f>
        <v>49982</v>
      </c>
      <c r="L291" s="165"/>
    </row>
    <row r="292" spans="2:12" x14ac:dyDescent="0.2">
      <c r="B292" s="276" t="str">
        <f>ForwardSwaps!J231</f>
        <v>obj_0079c#0000</v>
      </c>
      <c r="C292" s="159" t="str">
        <f>_xll.qlRateHelperQuoteName(B292)</f>
        <v>EUR13F10Y_Quote</v>
      </c>
      <c r="D292" s="160">
        <f>_xll.qlRateHelperQuoteValue($B292,Trigger)</f>
        <v>2.3910000000000001E-2</v>
      </c>
      <c r="E292" s="160">
        <f>_xll.qlSwapRateHelperSpread($B292,Trigger)</f>
        <v>0</v>
      </c>
      <c r="F292" s="161" t="b">
        <v>0</v>
      </c>
      <c r="G292" s="161">
        <v>50</v>
      </c>
      <c r="H292" s="161">
        <v>1</v>
      </c>
      <c r="I292" s="166">
        <f>_xll.qlRateHelperEarliestDate($B292,Trigger)</f>
        <v>46694</v>
      </c>
      <c r="J292" s="167">
        <f>_xll.qlRateHelperLatestDate($B292,Trigger)</f>
        <v>50347</v>
      </c>
      <c r="L292" s="165"/>
    </row>
    <row r="293" spans="2:12" x14ac:dyDescent="0.2">
      <c r="B293" s="276" t="str">
        <f>ForwardSwaps!J232</f>
        <v>obj_00772#0000</v>
      </c>
      <c r="C293" s="159" t="str">
        <f>_xll.qlRateHelperQuoteName(B293)</f>
        <v>EUR13F11Y_Quote</v>
      </c>
      <c r="D293" s="160">
        <f>_xll.qlRateHelperQuoteValue($B293,Trigger)</f>
        <v>2.3719999999999998E-2</v>
      </c>
      <c r="E293" s="160">
        <f>_xll.qlSwapRateHelperSpread($B293,Trigger)</f>
        <v>0</v>
      </c>
      <c r="F293" s="161" t="b">
        <v>0</v>
      </c>
      <c r="G293" s="161">
        <v>50</v>
      </c>
      <c r="H293" s="161">
        <v>1</v>
      </c>
      <c r="I293" s="166">
        <f>_xll.qlRateHelperEarliestDate($B293,Trigger)</f>
        <v>46694</v>
      </c>
      <c r="J293" s="167">
        <f>_xll.qlRateHelperLatestDate($B293,Trigger)</f>
        <v>50712</v>
      </c>
      <c r="L293" s="165"/>
    </row>
    <row r="294" spans="2:12" x14ac:dyDescent="0.2">
      <c r="B294" s="276" t="str">
        <f>ForwardSwaps!J233</f>
        <v>obj_00795#0000</v>
      </c>
      <c r="C294" s="159" t="str">
        <f>_xll.qlRateHelperQuoteName(B294)</f>
        <v>EUR13F12Y_Quote</v>
      </c>
      <c r="D294" s="160">
        <f>_xll.qlRateHelperQuoteValue($B294,Trigger)</f>
        <v>2.3540000000000002E-2</v>
      </c>
      <c r="E294" s="160">
        <f>_xll.qlSwapRateHelperSpread($B294,Trigger)</f>
        <v>0</v>
      </c>
      <c r="F294" s="161" t="b">
        <v>0</v>
      </c>
      <c r="G294" s="161">
        <v>50</v>
      </c>
      <c r="H294" s="161">
        <v>1</v>
      </c>
      <c r="I294" s="166">
        <f>_xll.qlRateHelperEarliestDate($B294,Trigger)</f>
        <v>46694</v>
      </c>
      <c r="J294" s="167">
        <f>_xll.qlRateHelperLatestDate($B294,Trigger)</f>
        <v>51077</v>
      </c>
      <c r="L294" s="165"/>
    </row>
    <row r="295" spans="2:12" x14ac:dyDescent="0.2">
      <c r="B295" s="276" t="str">
        <f>ForwardSwaps!J234</f>
        <v>obj_007d5#0000</v>
      </c>
      <c r="C295" s="159" t="str">
        <f>_xll.qlRateHelperQuoteName(B295)</f>
        <v>EUR13F13Y_Quote</v>
      </c>
      <c r="D295" s="160">
        <f>_xll.qlRateHelperQuoteValue($B295,Trigger)</f>
        <v>2.3359999999999999E-2</v>
      </c>
      <c r="E295" s="160">
        <f>_xll.qlSwapRateHelperSpread($B295,Trigger)</f>
        <v>0</v>
      </c>
      <c r="F295" s="161" t="b">
        <v>0</v>
      </c>
      <c r="G295" s="161">
        <v>50</v>
      </c>
      <c r="H295" s="161">
        <v>1</v>
      </c>
      <c r="I295" s="166">
        <f>_xll.qlRateHelperEarliestDate($B295,Trigger)</f>
        <v>46694</v>
      </c>
      <c r="J295" s="167">
        <f>_xll.qlRateHelperLatestDate($B295,Trigger)</f>
        <v>51445</v>
      </c>
      <c r="L295" s="165"/>
    </row>
    <row r="296" spans="2:12" x14ac:dyDescent="0.2">
      <c r="B296" s="276" t="str">
        <f>ForwardSwaps!J235</f>
        <v>obj_00837#0000</v>
      </c>
      <c r="C296" s="159" t="str">
        <f>_xll.qlRateHelperQuoteName(B296)</f>
        <v>EUR13F14Y_Quote</v>
      </c>
      <c r="D296" s="160">
        <f>_xll.qlRateHelperQuoteValue($B296,Trigger)</f>
        <v>2.3199999999999998E-2</v>
      </c>
      <c r="E296" s="160">
        <f>_xll.qlSwapRateHelperSpread($B296,Trigger)</f>
        <v>0</v>
      </c>
      <c r="F296" s="161" t="b">
        <v>0</v>
      </c>
      <c r="G296" s="161">
        <v>50</v>
      </c>
      <c r="H296" s="161">
        <v>1</v>
      </c>
      <c r="I296" s="166">
        <f>_xll.qlRateHelperEarliestDate($B296,Trigger)</f>
        <v>46694</v>
      </c>
      <c r="J296" s="167">
        <f>_xll.qlRateHelperLatestDate($B296,Trigger)</f>
        <v>51809</v>
      </c>
      <c r="L296" s="165"/>
    </row>
    <row r="297" spans="2:12" x14ac:dyDescent="0.2">
      <c r="B297" s="276" t="str">
        <f>ForwardSwaps!J236</f>
        <v>obj_0076f#0000</v>
      </c>
      <c r="C297" s="159" t="str">
        <f>_xll.qlRateHelperQuoteName(B297)</f>
        <v>EUR13F15Y_Quote</v>
      </c>
      <c r="D297" s="160">
        <f>_xll.qlRateHelperQuoteValue($B297,Trigger)</f>
        <v>2.3029999999999998E-2</v>
      </c>
      <c r="E297" s="160">
        <f>_xll.qlSwapRateHelperSpread($B297,Trigger)</f>
        <v>0</v>
      </c>
      <c r="F297" s="161" t="b">
        <v>0</v>
      </c>
      <c r="G297" s="161">
        <v>50</v>
      </c>
      <c r="H297" s="161">
        <v>1</v>
      </c>
      <c r="I297" s="166">
        <f>_xll.qlRateHelperEarliestDate($B297,Trigger)</f>
        <v>46694</v>
      </c>
      <c r="J297" s="167">
        <f>_xll.qlRateHelperLatestDate($B297,Trigger)</f>
        <v>52173</v>
      </c>
      <c r="L297" s="165"/>
    </row>
    <row r="298" spans="2:12" x14ac:dyDescent="0.2">
      <c r="B298" s="276" t="str">
        <f>ForwardSwaps!J237</f>
        <v>obj_00845#0000</v>
      </c>
      <c r="C298" s="159" t="str">
        <f>_xll.qlRateHelperQuoteName(B298)</f>
        <v>EUR13F20Y_Quote</v>
      </c>
      <c r="D298" s="160">
        <f>_xll.qlRateHelperQuoteValue($B298,Trigger)</f>
        <v>2.2519999999999998E-2</v>
      </c>
      <c r="E298" s="160">
        <f>_xll.qlSwapRateHelperSpread($B298,Trigger)</f>
        <v>0</v>
      </c>
      <c r="F298" s="161" t="b">
        <v>0</v>
      </c>
      <c r="G298" s="161">
        <v>50</v>
      </c>
      <c r="H298" s="161">
        <v>1</v>
      </c>
      <c r="I298" s="166">
        <f>_xll.qlRateHelperEarliestDate($B298,Trigger)</f>
        <v>46694</v>
      </c>
      <c r="J298" s="167">
        <f>_xll.qlRateHelperLatestDate($B298,Trigger)</f>
        <v>54000</v>
      </c>
      <c r="L298" s="165"/>
    </row>
    <row r="299" spans="2:12" x14ac:dyDescent="0.2">
      <c r="B299" s="276" t="str">
        <f>ForwardSwaps!J238</f>
        <v>obj_007b8#0000</v>
      </c>
      <c r="C299" s="159" t="str">
        <f>_xll.qlRateHelperQuoteName(B299)</f>
        <v>EUR13F25Y_Quote</v>
      </c>
      <c r="D299" s="160">
        <f>_xll.qlRateHelperQuoteValue($B299,Trigger)</f>
        <v>2.2339999999999999E-2</v>
      </c>
      <c r="E299" s="160">
        <f>_xll.qlSwapRateHelperSpread($B299,Trigger)</f>
        <v>0</v>
      </c>
      <c r="F299" s="161" t="b">
        <v>0</v>
      </c>
      <c r="G299" s="161">
        <v>50</v>
      </c>
      <c r="H299" s="161">
        <v>1</v>
      </c>
      <c r="I299" s="166">
        <f>_xll.qlRateHelperEarliestDate($B299,Trigger)</f>
        <v>46694</v>
      </c>
      <c r="J299" s="167">
        <f>_xll.qlRateHelperLatestDate($B299,Trigger)</f>
        <v>55827</v>
      </c>
      <c r="L299" s="165"/>
    </row>
    <row r="300" spans="2:12" x14ac:dyDescent="0.2">
      <c r="B300" s="277" t="str">
        <f>ForwardSwaps!J239</f>
        <v>obj_00830#0000</v>
      </c>
      <c r="C300" s="162" t="str">
        <f>_xll.qlRateHelperQuoteName(B300)</f>
        <v>EUR13F30Y_Quote</v>
      </c>
      <c r="D300" s="163">
        <f>_xll.qlRateHelperQuoteValue($B300,Trigger)</f>
        <v>2.2109999999999998E-2</v>
      </c>
      <c r="E300" s="163">
        <f>_xll.qlSwapRateHelperSpread($B300,Trigger)</f>
        <v>0</v>
      </c>
      <c r="F300" s="164" t="b">
        <v>0</v>
      </c>
      <c r="G300" s="164">
        <v>50</v>
      </c>
      <c r="H300" s="164">
        <v>1</v>
      </c>
      <c r="I300" s="168">
        <f>_xll.qlRateHelperEarliestDate($B300,Trigger)</f>
        <v>46694</v>
      </c>
      <c r="J300" s="169">
        <f>_xll.qlRateHelperLatestDate($B300,Trigger)</f>
        <v>57654</v>
      </c>
      <c r="L300" s="165"/>
    </row>
    <row r="301" spans="2:12" x14ac:dyDescent="0.2">
      <c r="B301" s="278" t="str">
        <f>ForwardSwaps!J240</f>
        <v>obj_007b4#0000</v>
      </c>
      <c r="C301" s="295" t="str">
        <f>_xll.qlRateHelperQuoteName(B301)</f>
        <v>EUR14F1Y_Quote</v>
      </c>
      <c r="D301" s="296">
        <f>_xll.qlRateHelperQuoteValue($B301,Trigger)</f>
        <v>2.4629999999999999E-2</v>
      </c>
      <c r="E301" s="296">
        <f>_xll.qlSwapRateHelperSpread($B301,Trigger)</f>
        <v>0</v>
      </c>
      <c r="F301" s="297" t="b">
        <v>0</v>
      </c>
      <c r="G301" s="297">
        <v>50</v>
      </c>
      <c r="H301" s="297">
        <v>1</v>
      </c>
      <c r="I301" s="298">
        <f>_xll.qlRateHelperEarliestDate($B301,Trigger)</f>
        <v>47060</v>
      </c>
      <c r="J301" s="299">
        <f>_xll.qlRateHelperLatestDate($B301,Trigger)</f>
        <v>47427</v>
      </c>
      <c r="L301" s="165"/>
    </row>
    <row r="302" spans="2:12" x14ac:dyDescent="0.2">
      <c r="B302" s="276" t="str">
        <f>ForwardSwaps!J241</f>
        <v>obj_00817#0000</v>
      </c>
      <c r="C302" s="159" t="str">
        <f>_xll.qlRateHelperQuoteName(B302)</f>
        <v>EUR14F2Y_Quote</v>
      </c>
      <c r="D302" s="160">
        <f>_xll.qlRateHelperQuoteValue($B302,Trigger)</f>
        <v>2.4709999999999999E-2</v>
      </c>
      <c r="E302" s="160">
        <f>_xll.qlSwapRateHelperSpread($B302,Trigger)</f>
        <v>0</v>
      </c>
      <c r="F302" s="161" t="b">
        <v>0</v>
      </c>
      <c r="G302" s="161">
        <v>50</v>
      </c>
      <c r="H302" s="161">
        <v>1</v>
      </c>
      <c r="I302" s="166">
        <f>_xll.qlRateHelperEarliestDate($B302,Trigger)</f>
        <v>47060</v>
      </c>
      <c r="J302" s="167">
        <f>_xll.qlRateHelperLatestDate($B302,Trigger)</f>
        <v>47791</v>
      </c>
      <c r="L302" s="165"/>
    </row>
    <row r="303" spans="2:12" x14ac:dyDescent="0.2">
      <c r="B303" s="276" t="str">
        <f>ForwardSwaps!J242</f>
        <v>obj_007e1#0000</v>
      </c>
      <c r="C303" s="159" t="str">
        <f>_xll.qlRateHelperQuoteName(B303)</f>
        <v>EUR14F3Y_Quote</v>
      </c>
      <c r="D303" s="160">
        <f>_xll.qlRateHelperQuoteValue($B303,Trigger)</f>
        <v>2.4700000000000003E-2</v>
      </c>
      <c r="E303" s="160">
        <f>_xll.qlSwapRateHelperSpread($B303,Trigger)</f>
        <v>0</v>
      </c>
      <c r="F303" s="161" t="b">
        <v>0</v>
      </c>
      <c r="G303" s="161">
        <v>50</v>
      </c>
      <c r="H303" s="161">
        <v>1</v>
      </c>
      <c r="I303" s="166">
        <f>_xll.qlRateHelperEarliestDate($B303,Trigger)</f>
        <v>47060</v>
      </c>
      <c r="J303" s="167">
        <f>_xll.qlRateHelperLatestDate($B303,Trigger)</f>
        <v>48155</v>
      </c>
      <c r="L303" s="165"/>
    </row>
    <row r="304" spans="2:12" x14ac:dyDescent="0.2">
      <c r="B304" s="276" t="str">
        <f>ForwardSwaps!J243</f>
        <v>obj_00813#0000</v>
      </c>
      <c r="C304" s="159" t="str">
        <f>_xll.qlRateHelperQuoteName(B304)</f>
        <v>EUR14F4Y_Quote</v>
      </c>
      <c r="D304" s="160">
        <f>_xll.qlRateHelperQuoteValue($B304,Trigger)</f>
        <v>2.461E-2</v>
      </c>
      <c r="E304" s="160">
        <f>_xll.qlSwapRateHelperSpread($B304,Trigger)</f>
        <v>0</v>
      </c>
      <c r="F304" s="161" t="b">
        <v>0</v>
      </c>
      <c r="G304" s="161">
        <v>50</v>
      </c>
      <c r="H304" s="161">
        <v>1</v>
      </c>
      <c r="I304" s="166">
        <f>_xll.qlRateHelperEarliestDate($B304,Trigger)</f>
        <v>47060</v>
      </c>
      <c r="J304" s="167">
        <f>_xll.qlRateHelperLatestDate($B304,Trigger)</f>
        <v>48521</v>
      </c>
      <c r="L304" s="165"/>
    </row>
    <row r="305" spans="2:12" x14ac:dyDescent="0.2">
      <c r="B305" s="276" t="str">
        <f>ForwardSwaps!J244</f>
        <v>obj_0076c#0000</v>
      </c>
      <c r="C305" s="159" t="str">
        <f>_xll.qlRateHelperQuoteName(B305)</f>
        <v>EUR14F5Y_Quote</v>
      </c>
      <c r="D305" s="160">
        <f>_xll.qlRateHelperQuoteValue($B305,Trigger)</f>
        <v>2.452E-2</v>
      </c>
      <c r="E305" s="160">
        <f>_xll.qlSwapRateHelperSpread($B305,Trigger)</f>
        <v>0</v>
      </c>
      <c r="F305" s="161" t="b">
        <v>0</v>
      </c>
      <c r="G305" s="161">
        <v>50</v>
      </c>
      <c r="H305" s="161">
        <v>1</v>
      </c>
      <c r="I305" s="166">
        <f>_xll.qlRateHelperEarliestDate($B305,Trigger)</f>
        <v>47060</v>
      </c>
      <c r="J305" s="167">
        <f>_xll.qlRateHelperLatestDate($B305,Trigger)</f>
        <v>48886</v>
      </c>
      <c r="L305" s="165"/>
    </row>
    <row r="306" spans="2:12" x14ac:dyDescent="0.2">
      <c r="B306" s="276" t="str">
        <f>ForwardSwaps!J245</f>
        <v>obj_007d6#0000</v>
      </c>
      <c r="C306" s="159" t="str">
        <f>_xll.qlRateHelperQuoteName(B306)</f>
        <v>EUR14F6Y_Quote</v>
      </c>
      <c r="D306" s="160">
        <f>_xll.qlRateHelperQuoteValue($B306,Trigger)</f>
        <v>2.4369999999999999E-2</v>
      </c>
      <c r="E306" s="160">
        <f>_xll.qlSwapRateHelperSpread($B306,Trigger)</f>
        <v>0</v>
      </c>
      <c r="F306" s="161" t="b">
        <v>0</v>
      </c>
      <c r="G306" s="161">
        <v>50</v>
      </c>
      <c r="H306" s="161">
        <v>1</v>
      </c>
      <c r="I306" s="166">
        <f>_xll.qlRateHelperEarliestDate($B306,Trigger)</f>
        <v>47060</v>
      </c>
      <c r="J306" s="167">
        <f>_xll.qlRateHelperLatestDate($B306,Trigger)</f>
        <v>49251</v>
      </c>
      <c r="L306" s="165"/>
    </row>
    <row r="307" spans="2:12" x14ac:dyDescent="0.2">
      <c r="B307" s="276" t="str">
        <f>ForwardSwaps!J246</f>
        <v>obj_00782#0000</v>
      </c>
      <c r="C307" s="159" t="str">
        <f>_xll.qlRateHelperQuoteName(B307)</f>
        <v>EUR14F7Y_Quote</v>
      </c>
      <c r="D307" s="160">
        <f>_xll.qlRateHelperQuoteValue($B307,Trigger)</f>
        <v>2.4209999999999999E-2</v>
      </c>
      <c r="E307" s="160">
        <f>_xll.qlSwapRateHelperSpread($B307,Trigger)</f>
        <v>0</v>
      </c>
      <c r="F307" s="161" t="b">
        <v>0</v>
      </c>
      <c r="G307" s="161">
        <v>50</v>
      </c>
      <c r="H307" s="161">
        <v>1</v>
      </c>
      <c r="I307" s="166">
        <f>_xll.qlRateHelperEarliestDate($B307,Trigger)</f>
        <v>47060</v>
      </c>
      <c r="J307" s="167">
        <f>_xll.qlRateHelperLatestDate($B307,Trigger)</f>
        <v>49618</v>
      </c>
      <c r="L307" s="165"/>
    </row>
    <row r="308" spans="2:12" x14ac:dyDescent="0.2">
      <c r="B308" s="276" t="str">
        <f>ForwardSwaps!J247</f>
        <v>obj_007eb#0000</v>
      </c>
      <c r="C308" s="159" t="str">
        <f>_xll.qlRateHelperQuoteName(B308)</f>
        <v>EUR14F8Y_Quote</v>
      </c>
      <c r="D308" s="160">
        <f>_xll.qlRateHelperQuoteValue($B308,Trigger)</f>
        <v>2.4009999999999997E-2</v>
      </c>
      <c r="E308" s="160">
        <f>_xll.qlSwapRateHelperSpread($B308,Trigger)</f>
        <v>0</v>
      </c>
      <c r="F308" s="161" t="b">
        <v>0</v>
      </c>
      <c r="G308" s="161">
        <v>50</v>
      </c>
      <c r="H308" s="161">
        <v>1</v>
      </c>
      <c r="I308" s="166">
        <f>_xll.qlRateHelperEarliestDate($B308,Trigger)</f>
        <v>47060</v>
      </c>
      <c r="J308" s="167">
        <f>_xll.qlRateHelperLatestDate($B308,Trigger)</f>
        <v>49982</v>
      </c>
      <c r="L308" s="165"/>
    </row>
    <row r="309" spans="2:12" x14ac:dyDescent="0.2">
      <c r="B309" s="276" t="str">
        <f>ForwardSwaps!J248</f>
        <v>obj_0088e#0000</v>
      </c>
      <c r="C309" s="159" t="str">
        <f>_xll.qlRateHelperQuoteName(B309)</f>
        <v>EUR14F9Y_Quote</v>
      </c>
      <c r="D309" s="160">
        <f>_xll.qlRateHelperQuoteValue($B309,Trigger)</f>
        <v>2.3820000000000001E-2</v>
      </c>
      <c r="E309" s="160">
        <f>_xll.qlSwapRateHelperSpread($B309,Trigger)</f>
        <v>0</v>
      </c>
      <c r="F309" s="161" t="b">
        <v>0</v>
      </c>
      <c r="G309" s="161">
        <v>50</v>
      </c>
      <c r="H309" s="161">
        <v>1</v>
      </c>
      <c r="I309" s="166">
        <f>_xll.qlRateHelperEarliestDate($B309,Trigger)</f>
        <v>47060</v>
      </c>
      <c r="J309" s="167">
        <f>_xll.qlRateHelperLatestDate($B309,Trigger)</f>
        <v>50347</v>
      </c>
      <c r="L309" s="165"/>
    </row>
    <row r="310" spans="2:12" x14ac:dyDescent="0.2">
      <c r="B310" s="276" t="str">
        <f>ForwardSwaps!J249</f>
        <v>obj_00775#0000</v>
      </c>
      <c r="C310" s="159" t="str">
        <f>_xll.qlRateHelperQuoteName(B310)</f>
        <v>EUR14F10Y_Quote</v>
      </c>
      <c r="D310" s="160">
        <f>_xll.qlRateHelperQuoteValue($B310,Trigger)</f>
        <v>2.3620000000000002E-2</v>
      </c>
      <c r="E310" s="160">
        <f>_xll.qlSwapRateHelperSpread($B310,Trigger)</f>
        <v>0</v>
      </c>
      <c r="F310" s="161" t="b">
        <v>0</v>
      </c>
      <c r="G310" s="161">
        <v>50</v>
      </c>
      <c r="H310" s="161">
        <v>1</v>
      </c>
      <c r="I310" s="166">
        <f>_xll.qlRateHelperEarliestDate($B310,Trigger)</f>
        <v>47060</v>
      </c>
      <c r="J310" s="167">
        <f>_xll.qlRateHelperLatestDate($B310,Trigger)</f>
        <v>50712</v>
      </c>
      <c r="L310" s="165"/>
    </row>
    <row r="311" spans="2:12" x14ac:dyDescent="0.2">
      <c r="B311" s="276" t="str">
        <f>ForwardSwaps!J250</f>
        <v>obj_0085f#0000</v>
      </c>
      <c r="C311" s="159" t="str">
        <f>_xll.qlRateHelperQuoteName(B311)</f>
        <v>EUR14F11Y_Quote</v>
      </c>
      <c r="D311" s="160">
        <f>_xll.qlRateHelperQuoteValue($B311,Trigger)</f>
        <v>2.342E-2</v>
      </c>
      <c r="E311" s="160">
        <f>_xll.qlSwapRateHelperSpread($B311,Trigger)</f>
        <v>0</v>
      </c>
      <c r="F311" s="161" t="b">
        <v>0</v>
      </c>
      <c r="G311" s="161">
        <v>50</v>
      </c>
      <c r="H311" s="161">
        <v>1</v>
      </c>
      <c r="I311" s="166">
        <f>_xll.qlRateHelperEarliestDate($B311,Trigger)</f>
        <v>47060</v>
      </c>
      <c r="J311" s="167">
        <f>_xll.qlRateHelperLatestDate($B311,Trigger)</f>
        <v>51077</v>
      </c>
      <c r="L311" s="165"/>
    </row>
    <row r="312" spans="2:12" x14ac:dyDescent="0.2">
      <c r="B312" s="276" t="str">
        <f>ForwardSwaps!J251</f>
        <v>obj_007ac#0000</v>
      </c>
      <c r="C312" s="159" t="str">
        <f>_xll.qlRateHelperQuoteName(B312)</f>
        <v>EUR14F12Y_Quote</v>
      </c>
      <c r="D312" s="160">
        <f>_xll.qlRateHelperQuoteValue($B312,Trigger)</f>
        <v>2.3239999999999997E-2</v>
      </c>
      <c r="E312" s="160">
        <f>_xll.qlSwapRateHelperSpread($B312,Trigger)</f>
        <v>0</v>
      </c>
      <c r="F312" s="161" t="b">
        <v>0</v>
      </c>
      <c r="G312" s="161">
        <v>50</v>
      </c>
      <c r="H312" s="161">
        <v>1</v>
      </c>
      <c r="I312" s="166">
        <f>_xll.qlRateHelperEarliestDate($B312,Trigger)</f>
        <v>47060</v>
      </c>
      <c r="J312" s="167">
        <f>_xll.qlRateHelperLatestDate($B312,Trigger)</f>
        <v>51445</v>
      </c>
      <c r="L312" s="165"/>
    </row>
    <row r="313" spans="2:12" x14ac:dyDescent="0.2">
      <c r="B313" s="276" t="str">
        <f>ForwardSwaps!J252</f>
        <v>obj_00774#0000</v>
      </c>
      <c r="C313" s="159" t="str">
        <f>_xll.qlRateHelperQuoteName(B313)</f>
        <v>EUR14F13Y_Quote</v>
      </c>
      <c r="D313" s="160">
        <f>_xll.qlRateHelperQuoteValue($B313,Trigger)</f>
        <v>2.307E-2</v>
      </c>
      <c r="E313" s="160">
        <f>_xll.qlSwapRateHelperSpread($B313,Trigger)</f>
        <v>0</v>
      </c>
      <c r="F313" s="161" t="b">
        <v>0</v>
      </c>
      <c r="G313" s="161">
        <v>50</v>
      </c>
      <c r="H313" s="161">
        <v>1</v>
      </c>
      <c r="I313" s="166">
        <f>_xll.qlRateHelperEarliestDate($B313,Trigger)</f>
        <v>47060</v>
      </c>
      <c r="J313" s="167">
        <f>_xll.qlRateHelperLatestDate($B313,Trigger)</f>
        <v>51809</v>
      </c>
      <c r="L313" s="165"/>
    </row>
    <row r="314" spans="2:12" x14ac:dyDescent="0.2">
      <c r="B314" s="276" t="str">
        <f>ForwardSwaps!J253</f>
        <v>obj_0076d#0000</v>
      </c>
      <c r="C314" s="159" t="str">
        <f>_xll.qlRateHelperQuoteName(B314)</f>
        <v>EUR14F14Y_Quote</v>
      </c>
      <c r="D314" s="160">
        <f>_xll.qlRateHelperQuoteValue($B314,Trigger)</f>
        <v>2.2890000000000001E-2</v>
      </c>
      <c r="E314" s="160">
        <f>_xll.qlSwapRateHelperSpread($B314,Trigger)</f>
        <v>0</v>
      </c>
      <c r="F314" s="161" t="b">
        <v>0</v>
      </c>
      <c r="G314" s="161">
        <v>50</v>
      </c>
      <c r="H314" s="161">
        <v>1</v>
      </c>
      <c r="I314" s="166">
        <f>_xll.qlRateHelperEarliestDate($B314,Trigger)</f>
        <v>47060</v>
      </c>
      <c r="J314" s="167">
        <f>_xll.qlRateHelperLatestDate($B314,Trigger)</f>
        <v>52173</v>
      </c>
      <c r="L314" s="165"/>
    </row>
    <row r="315" spans="2:12" x14ac:dyDescent="0.2">
      <c r="B315" s="276" t="str">
        <f>ForwardSwaps!J254</f>
        <v>obj_0081c#0000</v>
      </c>
      <c r="C315" s="159" t="str">
        <f>_xll.qlRateHelperQuoteName(B315)</f>
        <v>EUR14F15Y_Quote</v>
      </c>
      <c r="D315" s="160">
        <f>_xll.qlRateHelperQuoteValue($B315,Trigger)</f>
        <v>2.2749999999999999E-2</v>
      </c>
      <c r="E315" s="160">
        <f>_xll.qlSwapRateHelperSpread($B315,Trigger)</f>
        <v>0</v>
      </c>
      <c r="F315" s="161" t="b">
        <v>0</v>
      </c>
      <c r="G315" s="161">
        <v>50</v>
      </c>
      <c r="H315" s="161">
        <v>1</v>
      </c>
      <c r="I315" s="166">
        <f>_xll.qlRateHelperEarliestDate($B315,Trigger)</f>
        <v>47060</v>
      </c>
      <c r="J315" s="167">
        <f>_xll.qlRateHelperLatestDate($B315,Trigger)</f>
        <v>52538</v>
      </c>
      <c r="L315" s="165"/>
    </row>
    <row r="316" spans="2:12" x14ac:dyDescent="0.2">
      <c r="B316" s="276" t="str">
        <f>ForwardSwaps!J255</f>
        <v>obj_007ce#0000</v>
      </c>
      <c r="C316" s="159" t="str">
        <f>_xll.qlRateHelperQuoteName(B316)</f>
        <v>EUR14F20Y_Quote</v>
      </c>
      <c r="D316" s="160">
        <f>_xll.qlRateHelperQuoteValue($B316,Trigger)</f>
        <v>2.2330000000000003E-2</v>
      </c>
      <c r="E316" s="160">
        <f>_xll.qlSwapRateHelperSpread($B316,Trigger)</f>
        <v>0</v>
      </c>
      <c r="F316" s="161" t="b">
        <v>0</v>
      </c>
      <c r="G316" s="161">
        <v>50</v>
      </c>
      <c r="H316" s="161">
        <v>1</v>
      </c>
      <c r="I316" s="166">
        <f>_xll.qlRateHelperEarliestDate($B316,Trigger)</f>
        <v>47060</v>
      </c>
      <c r="J316" s="167">
        <f>_xll.qlRateHelperLatestDate($B316,Trigger)</f>
        <v>54365</v>
      </c>
      <c r="L316" s="165"/>
    </row>
    <row r="317" spans="2:12" x14ac:dyDescent="0.2">
      <c r="B317" s="276" t="str">
        <f>ForwardSwaps!J256</f>
        <v>obj_007b1#0000</v>
      </c>
      <c r="C317" s="159" t="str">
        <f>_xll.qlRateHelperQuoteName(B317)</f>
        <v>EUR14F25Y_Quote</v>
      </c>
      <c r="D317" s="160">
        <f>_xll.qlRateHelperQuoteValue($B317,Trigger)</f>
        <v>2.2179999999999998E-2</v>
      </c>
      <c r="E317" s="160">
        <f>_xll.qlSwapRateHelperSpread($B317,Trigger)</f>
        <v>0</v>
      </c>
      <c r="F317" s="161" t="b">
        <v>0</v>
      </c>
      <c r="G317" s="161">
        <v>50</v>
      </c>
      <c r="H317" s="161">
        <v>1</v>
      </c>
      <c r="I317" s="166">
        <f>_xll.qlRateHelperEarliestDate($B317,Trigger)</f>
        <v>47060</v>
      </c>
      <c r="J317" s="167">
        <f>_xll.qlRateHelperLatestDate($B317,Trigger)</f>
        <v>56191</v>
      </c>
      <c r="L317" s="165"/>
    </row>
    <row r="318" spans="2:12" x14ac:dyDescent="0.2">
      <c r="B318" s="277" t="str">
        <f>ForwardSwaps!J257</f>
        <v>obj_00791#0000</v>
      </c>
      <c r="C318" s="162" t="str">
        <f>_xll.qlRateHelperQuoteName(B318)</f>
        <v>EUR14F30Y_Quote</v>
      </c>
      <c r="D318" s="163">
        <f>_xll.qlRateHelperQuoteValue($B318,Trigger)</f>
        <v>2.1930000000000002E-2</v>
      </c>
      <c r="E318" s="163">
        <f>_xll.qlSwapRateHelperSpread($B318,Trigger)</f>
        <v>0</v>
      </c>
      <c r="F318" s="164" t="b">
        <v>0</v>
      </c>
      <c r="G318" s="164">
        <v>50</v>
      </c>
      <c r="H318" s="164">
        <v>1</v>
      </c>
      <c r="I318" s="168">
        <f>_xll.qlRateHelperEarliestDate($B318,Trigger)</f>
        <v>47060</v>
      </c>
      <c r="J318" s="169">
        <f>_xll.qlRateHelperLatestDate($B318,Trigger)</f>
        <v>58018</v>
      </c>
      <c r="L318" s="165"/>
    </row>
    <row r="319" spans="2:12" x14ac:dyDescent="0.2">
      <c r="B319" s="278" t="str">
        <f>ForwardSwaps!J258</f>
        <v>obj_0085e#0000</v>
      </c>
      <c r="C319" s="261" t="str">
        <f>_xll.qlRateHelperQuoteName(B319)</f>
        <v>EUR15F1Y_Quote</v>
      </c>
      <c r="D319" s="279">
        <f>_xll.qlRateHelperQuoteValue($B319,Trigger)</f>
        <v>2.4780000000000003E-2</v>
      </c>
      <c r="E319" s="279">
        <f>_xll.qlSwapRateHelperSpread($B319,Trigger)</f>
        <v>0</v>
      </c>
      <c r="F319" s="280" t="b">
        <v>0</v>
      </c>
      <c r="G319" s="280">
        <v>50</v>
      </c>
      <c r="H319" s="280">
        <v>1</v>
      </c>
      <c r="I319" s="281">
        <f>_xll.qlRateHelperEarliestDate($B319,Trigger)</f>
        <v>47427</v>
      </c>
      <c r="J319" s="282">
        <f>_xll.qlRateHelperLatestDate($B319,Trigger)</f>
        <v>47792</v>
      </c>
      <c r="L319" s="165"/>
    </row>
    <row r="320" spans="2:12" x14ac:dyDescent="0.2">
      <c r="B320" s="276" t="str">
        <f>ForwardSwaps!J259</f>
        <v>obj_0079d#0000</v>
      </c>
      <c r="C320" s="159" t="str">
        <f>_xll.qlRateHelperQuoteName(B320)</f>
        <v>EUR15F2Y_Quote</v>
      </c>
      <c r="D320" s="160">
        <f>_xll.qlRateHelperQuoteValue($B320,Trigger)</f>
        <v>2.4729999999999999E-2</v>
      </c>
      <c r="E320" s="160">
        <f>_xll.qlSwapRateHelperSpread($B320,Trigger)</f>
        <v>0</v>
      </c>
      <c r="F320" s="161" t="b">
        <v>0</v>
      </c>
      <c r="G320" s="161">
        <v>50</v>
      </c>
      <c r="H320" s="161">
        <v>1</v>
      </c>
      <c r="I320" s="166">
        <f>_xll.qlRateHelperEarliestDate($B320,Trigger)</f>
        <v>47427</v>
      </c>
      <c r="J320" s="167">
        <f>_xll.qlRateHelperLatestDate($B320,Trigger)</f>
        <v>48157</v>
      </c>
      <c r="L320" s="165"/>
    </row>
    <row r="321" spans="2:12" x14ac:dyDescent="0.2">
      <c r="B321" s="276" t="str">
        <f>ForwardSwaps!J260</f>
        <v>obj_007d8#0000</v>
      </c>
      <c r="C321" s="159" t="str">
        <f>_xll.qlRateHelperQuoteName(B321)</f>
        <v>EUR15F3Y_Quote</v>
      </c>
      <c r="D321" s="160">
        <f>_xll.qlRateHelperQuoteValue($B321,Trigger)</f>
        <v>2.46E-2</v>
      </c>
      <c r="E321" s="160">
        <f>_xll.qlSwapRateHelperSpread($B321,Trigger)</f>
        <v>0</v>
      </c>
      <c r="F321" s="161" t="b">
        <v>0</v>
      </c>
      <c r="G321" s="161">
        <v>50</v>
      </c>
      <c r="H321" s="161">
        <v>1</v>
      </c>
      <c r="I321" s="166">
        <f>_xll.qlRateHelperEarliestDate($B321,Trigger)</f>
        <v>47427</v>
      </c>
      <c r="J321" s="167">
        <f>_xll.qlRateHelperLatestDate($B321,Trigger)</f>
        <v>48523</v>
      </c>
      <c r="L321" s="165"/>
    </row>
    <row r="322" spans="2:12" x14ac:dyDescent="0.2">
      <c r="B322" s="276" t="str">
        <f>ForwardSwaps!J261</f>
        <v>obj_00787#0000</v>
      </c>
      <c r="C322" s="159" t="str">
        <f>_xll.qlRateHelperQuoteName(B322)</f>
        <v>EUR15F4Y_Quote</v>
      </c>
      <c r="D322" s="160">
        <f>_xll.qlRateHelperQuoteValue($B322,Trigger)</f>
        <v>2.4489999999999998E-2</v>
      </c>
      <c r="E322" s="160">
        <f>_xll.qlSwapRateHelperSpread($B322,Trigger)</f>
        <v>0</v>
      </c>
      <c r="F322" s="161" t="b">
        <v>0</v>
      </c>
      <c r="G322" s="161">
        <v>50</v>
      </c>
      <c r="H322" s="161">
        <v>1</v>
      </c>
      <c r="I322" s="166">
        <f>_xll.qlRateHelperEarliestDate($B322,Trigger)</f>
        <v>47427</v>
      </c>
      <c r="J322" s="167">
        <f>_xll.qlRateHelperLatestDate($B322,Trigger)</f>
        <v>48890</v>
      </c>
      <c r="L322" s="165"/>
    </row>
    <row r="323" spans="2:12" x14ac:dyDescent="0.2">
      <c r="B323" s="276" t="str">
        <f>ForwardSwaps!J262</f>
        <v>obj_00765#0000</v>
      </c>
      <c r="C323" s="159" t="str">
        <f>_xll.qlRateHelperQuoteName(B323)</f>
        <v>EUR15F5Y_Quote</v>
      </c>
      <c r="D323" s="160">
        <f>_xll.qlRateHelperQuoteValue($B323,Trigger)</f>
        <v>2.4310000000000002E-2</v>
      </c>
      <c r="E323" s="160">
        <f>_xll.qlSwapRateHelperSpread($B323,Trigger)</f>
        <v>0</v>
      </c>
      <c r="F323" s="161" t="b">
        <v>0</v>
      </c>
      <c r="G323" s="161">
        <v>50</v>
      </c>
      <c r="H323" s="161">
        <v>1</v>
      </c>
      <c r="I323" s="166">
        <f>_xll.qlRateHelperEarliestDate($B323,Trigger)</f>
        <v>47427</v>
      </c>
      <c r="J323" s="167">
        <f>_xll.qlRateHelperLatestDate($B323,Trigger)</f>
        <v>49254</v>
      </c>
      <c r="L323" s="165"/>
    </row>
    <row r="324" spans="2:12" x14ac:dyDescent="0.2">
      <c r="B324" s="276" t="str">
        <f>ForwardSwaps!J263</f>
        <v>obj_007df#0000</v>
      </c>
      <c r="C324" s="159" t="str">
        <f>_xll.qlRateHelperQuoteName(B324)</f>
        <v>EUR15F6Y_Quote</v>
      </c>
      <c r="D324" s="160">
        <f>_xll.qlRateHelperQuoteValue($B324,Trigger)</f>
        <v>2.4140000000000002E-2</v>
      </c>
      <c r="E324" s="160">
        <f>_xll.qlSwapRateHelperSpread($B324,Trigger)</f>
        <v>0</v>
      </c>
      <c r="F324" s="161" t="b">
        <v>0</v>
      </c>
      <c r="G324" s="161">
        <v>50</v>
      </c>
      <c r="H324" s="161">
        <v>1</v>
      </c>
      <c r="I324" s="166">
        <f>_xll.qlRateHelperEarliestDate($B324,Trigger)</f>
        <v>47427</v>
      </c>
      <c r="J324" s="167">
        <f>_xll.qlRateHelperLatestDate($B324,Trigger)</f>
        <v>49618</v>
      </c>
      <c r="L324" s="165"/>
    </row>
    <row r="325" spans="2:12" x14ac:dyDescent="0.2">
      <c r="B325" s="276" t="str">
        <f>ForwardSwaps!J264</f>
        <v>obj_00831#0000</v>
      </c>
      <c r="C325" s="159" t="str">
        <f>_xll.qlRateHelperQuoteName(B325)</f>
        <v>EUR15F7Y_Quote</v>
      </c>
      <c r="D325" s="160">
        <f>_xll.qlRateHelperQuoteValue($B325,Trigger)</f>
        <v>2.392E-2</v>
      </c>
      <c r="E325" s="160">
        <f>_xll.qlSwapRateHelperSpread($B325,Trigger)</f>
        <v>0</v>
      </c>
      <c r="F325" s="161" t="b">
        <v>0</v>
      </c>
      <c r="G325" s="161">
        <v>50</v>
      </c>
      <c r="H325" s="161">
        <v>1</v>
      </c>
      <c r="I325" s="166">
        <f>_xll.qlRateHelperEarliestDate($B325,Trigger)</f>
        <v>47427</v>
      </c>
      <c r="J325" s="167">
        <f>_xll.qlRateHelperLatestDate($B325,Trigger)</f>
        <v>49984</v>
      </c>
      <c r="L325" s="165"/>
    </row>
    <row r="326" spans="2:12" x14ac:dyDescent="0.2">
      <c r="B326" s="276" t="str">
        <f>ForwardSwaps!J265</f>
        <v>obj_007c9#0000</v>
      </c>
      <c r="C326" s="159" t="str">
        <f>_xll.qlRateHelperQuoteName(B326)</f>
        <v>EUR15F8Y_Quote</v>
      </c>
      <c r="D326" s="160">
        <f>_xll.qlRateHelperQuoteValue($B326,Trigger)</f>
        <v>2.3700000000000002E-2</v>
      </c>
      <c r="E326" s="160">
        <f>_xll.qlSwapRateHelperSpread($B326,Trigger)</f>
        <v>0</v>
      </c>
      <c r="F326" s="161" t="b">
        <v>0</v>
      </c>
      <c r="G326" s="161">
        <v>50</v>
      </c>
      <c r="H326" s="161">
        <v>1</v>
      </c>
      <c r="I326" s="166">
        <f>_xll.qlRateHelperEarliestDate($B326,Trigger)</f>
        <v>47427</v>
      </c>
      <c r="J326" s="167">
        <f>_xll.qlRateHelperLatestDate($B326,Trigger)</f>
        <v>50349</v>
      </c>
      <c r="L326" s="165"/>
    </row>
    <row r="327" spans="2:12" x14ac:dyDescent="0.2">
      <c r="B327" s="276" t="str">
        <f>ForwardSwaps!J266</f>
        <v>obj_00839#0000</v>
      </c>
      <c r="C327" s="159" t="str">
        <f>_xll.qlRateHelperQuoteName(B327)</f>
        <v>EUR15F9Y_Quote</v>
      </c>
      <c r="D327" s="160">
        <f>_xll.qlRateHelperQuoteValue($B327,Trigger)</f>
        <v>2.349E-2</v>
      </c>
      <c r="E327" s="160">
        <f>_xll.qlSwapRateHelperSpread($B327,Trigger)</f>
        <v>0</v>
      </c>
      <c r="F327" s="161" t="b">
        <v>0</v>
      </c>
      <c r="G327" s="161">
        <v>50</v>
      </c>
      <c r="H327" s="161">
        <v>1</v>
      </c>
      <c r="I327" s="166">
        <f>_xll.qlRateHelperEarliestDate($B327,Trigger)</f>
        <v>47427</v>
      </c>
      <c r="J327" s="167">
        <f>_xll.qlRateHelperLatestDate($B327,Trigger)</f>
        <v>50714</v>
      </c>
      <c r="L327" s="165"/>
    </row>
    <row r="328" spans="2:12" x14ac:dyDescent="0.2">
      <c r="B328" s="276" t="str">
        <f>ForwardSwaps!J267</f>
        <v>obj_00862#0000</v>
      </c>
      <c r="C328" s="159" t="str">
        <f>_xll.qlRateHelperQuoteName(B328)</f>
        <v>EUR15F10Y_Quote</v>
      </c>
      <c r="D328" s="160">
        <f>_xll.qlRateHelperQuoteValue($B328,Trigger)</f>
        <v>2.3290000000000002E-2</v>
      </c>
      <c r="E328" s="160">
        <f>_xll.qlSwapRateHelperSpread($B328,Trigger)</f>
        <v>0</v>
      </c>
      <c r="F328" s="161" t="b">
        <v>0</v>
      </c>
      <c r="G328" s="161">
        <v>50</v>
      </c>
      <c r="H328" s="161">
        <v>1</v>
      </c>
      <c r="I328" s="166">
        <f>_xll.qlRateHelperEarliestDate($B328,Trigger)</f>
        <v>47427</v>
      </c>
      <c r="J328" s="167">
        <f>_xll.qlRateHelperLatestDate($B328,Trigger)</f>
        <v>51081</v>
      </c>
      <c r="L328" s="165"/>
    </row>
    <row r="329" spans="2:12" x14ac:dyDescent="0.2">
      <c r="B329" s="276" t="str">
        <f>ForwardSwaps!J268</f>
        <v>obj_007d4#0000</v>
      </c>
      <c r="C329" s="159" t="str">
        <f>_xll.qlRateHelperQuoteName(B329)</f>
        <v>EUR15F11Y_Quote</v>
      </c>
      <c r="D329" s="160">
        <f>_xll.qlRateHelperQuoteValue($B329,Trigger)</f>
        <v>2.3090000000000003E-2</v>
      </c>
      <c r="E329" s="160">
        <f>_xll.qlSwapRateHelperSpread($B329,Trigger)</f>
        <v>0</v>
      </c>
      <c r="F329" s="161" t="b">
        <v>0</v>
      </c>
      <c r="G329" s="161">
        <v>50</v>
      </c>
      <c r="H329" s="161">
        <v>1</v>
      </c>
      <c r="I329" s="166">
        <f>_xll.qlRateHelperEarliestDate($B329,Trigger)</f>
        <v>47427</v>
      </c>
      <c r="J329" s="167">
        <f>_xll.qlRateHelperLatestDate($B329,Trigger)</f>
        <v>51445</v>
      </c>
      <c r="L329" s="165"/>
    </row>
    <row r="330" spans="2:12" x14ac:dyDescent="0.2">
      <c r="B330" s="276" t="str">
        <f>ForwardSwaps!J269</f>
        <v>obj_00878#0000</v>
      </c>
      <c r="C330" s="159" t="str">
        <f>_xll.qlRateHelperQuoteName(B330)</f>
        <v>EUR15F12Y_Quote</v>
      </c>
      <c r="D330" s="160">
        <f>_xll.qlRateHelperQuoteValue($B330,Trigger)</f>
        <v>2.2919999999999999E-2</v>
      </c>
      <c r="E330" s="160">
        <f>_xll.qlSwapRateHelperSpread($B330,Trigger)</f>
        <v>0</v>
      </c>
      <c r="F330" s="161" t="b">
        <v>0</v>
      </c>
      <c r="G330" s="161">
        <v>50</v>
      </c>
      <c r="H330" s="161">
        <v>1</v>
      </c>
      <c r="I330" s="166">
        <f>_xll.qlRateHelperEarliestDate($B330,Trigger)</f>
        <v>47427</v>
      </c>
      <c r="J330" s="167">
        <f>_xll.qlRateHelperLatestDate($B330,Trigger)</f>
        <v>51810</v>
      </c>
      <c r="L330" s="165"/>
    </row>
    <row r="331" spans="2:12" x14ac:dyDescent="0.2">
      <c r="B331" s="276" t="str">
        <f>ForwardSwaps!J270</f>
        <v>obj_0079a#0000</v>
      </c>
      <c r="C331" s="159" t="str">
        <f>_xll.qlRateHelperQuoteName(B331)</f>
        <v>EUR15F13Y_Quote</v>
      </c>
      <c r="D331" s="160">
        <f>_xll.qlRateHelperQuoteValue($B331,Trigger)</f>
        <v>2.274E-2</v>
      </c>
      <c r="E331" s="160">
        <f>_xll.qlSwapRateHelperSpread($B331,Trigger)</f>
        <v>0</v>
      </c>
      <c r="F331" s="161" t="b">
        <v>0</v>
      </c>
      <c r="G331" s="161">
        <v>50</v>
      </c>
      <c r="H331" s="161">
        <v>1</v>
      </c>
      <c r="I331" s="166">
        <f>_xll.qlRateHelperEarliestDate($B331,Trigger)</f>
        <v>47427</v>
      </c>
      <c r="J331" s="167">
        <f>_xll.qlRateHelperLatestDate($B331,Trigger)</f>
        <v>52175</v>
      </c>
      <c r="L331" s="165"/>
    </row>
    <row r="332" spans="2:12" x14ac:dyDescent="0.2">
      <c r="B332" s="276" t="str">
        <f>ForwardSwaps!J271</f>
        <v>obj_0084c#0000</v>
      </c>
      <c r="C332" s="159" t="str">
        <f>_xll.qlRateHelperQuoteName(B332)</f>
        <v>EUR15F14Y_Quote</v>
      </c>
      <c r="D332" s="160">
        <f>_xll.qlRateHelperQuoteValue($B332,Trigger)</f>
        <v>2.2589999999999999E-2</v>
      </c>
      <c r="E332" s="160">
        <f>_xll.qlSwapRateHelperSpread($B332,Trigger)</f>
        <v>0</v>
      </c>
      <c r="F332" s="161" t="b">
        <v>0</v>
      </c>
      <c r="G332" s="161">
        <v>50</v>
      </c>
      <c r="H332" s="161">
        <v>1</v>
      </c>
      <c r="I332" s="166">
        <f>_xll.qlRateHelperEarliestDate($B332,Trigger)</f>
        <v>47427</v>
      </c>
      <c r="J332" s="167">
        <f>_xll.qlRateHelperLatestDate($B332,Trigger)</f>
        <v>52540</v>
      </c>
      <c r="L332" s="165"/>
    </row>
    <row r="333" spans="2:12" x14ac:dyDescent="0.2">
      <c r="B333" s="276" t="str">
        <f>ForwardSwaps!J272</f>
        <v>obj_007a6#0000</v>
      </c>
      <c r="C333" s="159" t="str">
        <f>_xll.qlRateHelperQuoteName(B333)</f>
        <v>EUR15F15Y_Quote</v>
      </c>
      <c r="D333" s="160">
        <f>_xll.qlRateHelperQuoteValue($B333,Trigger)</f>
        <v>2.2480000000000003E-2</v>
      </c>
      <c r="E333" s="160">
        <f>_xll.qlSwapRateHelperSpread($B333,Trigger)</f>
        <v>0</v>
      </c>
      <c r="F333" s="161" t="b">
        <v>0</v>
      </c>
      <c r="G333" s="161">
        <v>50</v>
      </c>
      <c r="H333" s="161">
        <v>1</v>
      </c>
      <c r="I333" s="166">
        <f>_xll.qlRateHelperEarliestDate($B333,Trigger)</f>
        <v>47427</v>
      </c>
      <c r="J333" s="167">
        <f>_xll.qlRateHelperLatestDate($B333,Trigger)</f>
        <v>52908</v>
      </c>
      <c r="L333" s="165"/>
    </row>
    <row r="334" spans="2:12" x14ac:dyDescent="0.2">
      <c r="B334" s="276" t="str">
        <f>ForwardSwaps!J273</f>
        <v>obj_0076e#0000</v>
      </c>
      <c r="C334" s="159" t="str">
        <f>_xll.qlRateHelperQuoteName(B334)</f>
        <v>EUR15F20Y_Quote</v>
      </c>
      <c r="D334" s="160">
        <f>_xll.qlRateHelperQuoteValue($B334,Trigger)</f>
        <v>2.214E-2</v>
      </c>
      <c r="E334" s="160">
        <f>_xll.qlSwapRateHelperSpread($B334,Trigger)</f>
        <v>0</v>
      </c>
      <c r="F334" s="161" t="b">
        <v>0</v>
      </c>
      <c r="G334" s="161">
        <v>50</v>
      </c>
      <c r="H334" s="161">
        <v>1</v>
      </c>
      <c r="I334" s="166">
        <f>_xll.qlRateHelperEarliestDate($B334,Trigger)</f>
        <v>47427</v>
      </c>
      <c r="J334" s="167">
        <f>_xll.qlRateHelperLatestDate($B334,Trigger)</f>
        <v>54732</v>
      </c>
      <c r="L334" s="165"/>
    </row>
    <row r="335" spans="2:12" x14ac:dyDescent="0.2">
      <c r="B335" s="276" t="str">
        <f>ForwardSwaps!J274</f>
        <v>obj_007f7#0000</v>
      </c>
      <c r="C335" s="159" t="str">
        <f>_xll.qlRateHelperQuoteName(B335)</f>
        <v>EUR15F25Y_Quote</v>
      </c>
      <c r="D335" s="160">
        <f>_xll.qlRateHelperQuoteValue($B335,Trigger)</f>
        <v>2.2019999999999998E-2</v>
      </c>
      <c r="E335" s="160">
        <f>_xll.qlSwapRateHelperSpread($B335,Trigger)</f>
        <v>0</v>
      </c>
      <c r="F335" s="161" t="b">
        <v>0</v>
      </c>
      <c r="G335" s="161">
        <v>50</v>
      </c>
      <c r="H335" s="161">
        <v>1</v>
      </c>
      <c r="I335" s="166">
        <f>_xll.qlRateHelperEarliestDate($B335,Trigger)</f>
        <v>47427</v>
      </c>
      <c r="J335" s="167">
        <f>_xll.qlRateHelperLatestDate($B335,Trigger)</f>
        <v>56558</v>
      </c>
      <c r="L335" s="165"/>
    </row>
    <row r="336" spans="2:12" x14ac:dyDescent="0.2">
      <c r="B336" s="277" t="str">
        <f>ForwardSwaps!J275</f>
        <v>obj_007d1#0000</v>
      </c>
      <c r="C336" s="162" t="str">
        <f>_xll.qlRateHelperQuoteName(B336)</f>
        <v>EUR15F30Y_Quote</v>
      </c>
      <c r="D336" s="163">
        <f>_xll.qlRateHelperQuoteValue($B336,Trigger)</f>
        <v>2.1739999999999999E-2</v>
      </c>
      <c r="E336" s="163">
        <f>_xll.qlSwapRateHelperSpread($B336,Trigger)</f>
        <v>0</v>
      </c>
      <c r="F336" s="164" t="b">
        <v>1</v>
      </c>
      <c r="G336" s="164">
        <v>50</v>
      </c>
      <c r="H336" s="164">
        <v>1</v>
      </c>
      <c r="I336" s="168">
        <f>_xll.qlRateHelperEarliestDate($B336,Trigger)</f>
        <v>47427</v>
      </c>
      <c r="J336" s="169">
        <f>_xll.qlRateHelperLatestDate($B336,Trigger)</f>
        <v>58384</v>
      </c>
      <c r="L336" s="165"/>
    </row>
    <row r="337" spans="2:12" x14ac:dyDescent="0.2">
      <c r="B337" s="278" t="str">
        <f>ForwardSwaps!J276</f>
        <v>obj_007fa#0000</v>
      </c>
      <c r="C337" s="261" t="str">
        <f>_xll.qlRateHelperQuoteName(B337)</f>
        <v>EUR20F1Y_Quote</v>
      </c>
      <c r="D337" s="279">
        <f>_xll.qlRateHelperQuoteValue($B337,Trigger)</f>
        <v>2.3220000000000001E-2</v>
      </c>
      <c r="E337" s="279">
        <f>_xll.qlSwapRateHelperSpread($B337,Trigger)</f>
        <v>0</v>
      </c>
      <c r="F337" s="280" t="b">
        <v>0</v>
      </c>
      <c r="G337" s="280">
        <v>50</v>
      </c>
      <c r="H337" s="280">
        <v>1</v>
      </c>
      <c r="I337" s="281">
        <f>_xll.qlRateHelperEarliestDate($B337,Trigger)</f>
        <v>49251</v>
      </c>
      <c r="J337" s="282">
        <f>_xll.qlRateHelperLatestDate($B337,Trigger)</f>
        <v>49618</v>
      </c>
      <c r="L337" s="165"/>
    </row>
    <row r="338" spans="2:12" x14ac:dyDescent="0.2">
      <c r="B338" s="276" t="str">
        <f>ForwardSwaps!J277</f>
        <v>obj_00785#0000</v>
      </c>
      <c r="C338" s="159" t="str">
        <f>_xll.qlRateHelperQuoteName(B338)</f>
        <v>EUR20F2Y_Quote</v>
      </c>
      <c r="D338" s="160">
        <f>_xll.qlRateHelperQuoteValue($B338,Trigger)</f>
        <v>2.2850000000000002E-2</v>
      </c>
      <c r="E338" s="160">
        <f>_xll.qlSwapRateHelperSpread($B338,Trigger)</f>
        <v>0</v>
      </c>
      <c r="F338" s="161" t="b">
        <v>0</v>
      </c>
      <c r="G338" s="161">
        <v>50</v>
      </c>
      <c r="H338" s="161">
        <v>1</v>
      </c>
      <c r="I338" s="166">
        <f>_xll.qlRateHelperEarliestDate($B338,Trigger)</f>
        <v>49251</v>
      </c>
      <c r="J338" s="167">
        <f>_xll.qlRateHelperLatestDate($B338,Trigger)</f>
        <v>49982</v>
      </c>
      <c r="L338" s="165"/>
    </row>
    <row r="339" spans="2:12" x14ac:dyDescent="0.2">
      <c r="B339" s="276" t="str">
        <f>ForwardSwaps!J278</f>
        <v>obj_00861#0000</v>
      </c>
      <c r="C339" s="159" t="str">
        <f>_xll.qlRateHelperQuoteName(B339)</f>
        <v>EUR20F3Y_Quote</v>
      </c>
      <c r="D339" s="160">
        <f>_xll.qlRateHelperQuoteValue($B339,Trigger)</f>
        <v>2.2599999999999999E-2</v>
      </c>
      <c r="E339" s="160">
        <f>_xll.qlSwapRateHelperSpread($B339,Trigger)</f>
        <v>0</v>
      </c>
      <c r="F339" s="161" t="b">
        <v>0</v>
      </c>
      <c r="G339" s="161">
        <v>50</v>
      </c>
      <c r="H339" s="161">
        <v>1</v>
      </c>
      <c r="I339" s="166">
        <f>_xll.qlRateHelperEarliestDate($B339,Trigger)</f>
        <v>49251</v>
      </c>
      <c r="J339" s="167">
        <f>_xll.qlRateHelperLatestDate($B339,Trigger)</f>
        <v>50347</v>
      </c>
      <c r="L339" s="165"/>
    </row>
    <row r="340" spans="2:12" x14ac:dyDescent="0.2">
      <c r="B340" s="276" t="str">
        <f>ForwardSwaps!J279</f>
        <v>obj_00851#0000</v>
      </c>
      <c r="C340" s="159" t="str">
        <f>_xll.qlRateHelperQuoteName(B340)</f>
        <v>EUR20F4Y_Quote</v>
      </c>
      <c r="D340" s="160">
        <f>_xll.qlRateHelperQuoteValue($B340,Trigger)</f>
        <v>2.2360000000000001E-2</v>
      </c>
      <c r="E340" s="160">
        <f>_xll.qlSwapRateHelperSpread($B340,Trigger)</f>
        <v>0</v>
      </c>
      <c r="F340" s="161" t="b">
        <v>0</v>
      </c>
      <c r="G340" s="161">
        <v>50</v>
      </c>
      <c r="H340" s="161">
        <v>1</v>
      </c>
      <c r="I340" s="166">
        <f>_xll.qlRateHelperEarliestDate($B340,Trigger)</f>
        <v>49251</v>
      </c>
      <c r="J340" s="167">
        <f>_xll.qlRateHelperLatestDate($B340,Trigger)</f>
        <v>50712</v>
      </c>
      <c r="L340" s="165"/>
    </row>
    <row r="341" spans="2:12" x14ac:dyDescent="0.2">
      <c r="B341" s="276" t="str">
        <f>ForwardSwaps!J280</f>
        <v>obj_00853#0000</v>
      </c>
      <c r="C341" s="159" t="str">
        <f>_xll.qlRateHelperQuoteName(B341)</f>
        <v>EUR20F5Y_Quote</v>
      </c>
      <c r="D341" s="160">
        <f>_xll.qlRateHelperQuoteValue($B341,Trigger)</f>
        <v>2.215E-2</v>
      </c>
      <c r="E341" s="160">
        <f>_xll.qlSwapRateHelperSpread($B341,Trigger)</f>
        <v>0</v>
      </c>
      <c r="F341" s="161" t="b">
        <v>0</v>
      </c>
      <c r="G341" s="161">
        <v>50</v>
      </c>
      <c r="H341" s="161">
        <v>1</v>
      </c>
      <c r="I341" s="166">
        <f>_xll.qlRateHelperEarliestDate($B341,Trigger)</f>
        <v>49251</v>
      </c>
      <c r="J341" s="167">
        <f>_xll.qlRateHelperLatestDate($B341,Trigger)</f>
        <v>51077</v>
      </c>
      <c r="L341" s="165"/>
    </row>
    <row r="342" spans="2:12" x14ac:dyDescent="0.2">
      <c r="B342" s="276" t="str">
        <f>ForwardSwaps!J281</f>
        <v>obj_0087b#0000</v>
      </c>
      <c r="C342" s="159" t="str">
        <f>_xll.qlRateHelperQuoteName(B342)</f>
        <v>EUR20F6Y_Quote</v>
      </c>
      <c r="D342" s="160">
        <f>_xll.qlRateHelperQuoteValue($B342,Trigger)</f>
        <v>2.1949999999999997E-2</v>
      </c>
      <c r="E342" s="160">
        <f>_xll.qlSwapRateHelperSpread($B342,Trigger)</f>
        <v>0</v>
      </c>
      <c r="F342" s="161" t="b">
        <v>0</v>
      </c>
      <c r="G342" s="161">
        <v>50</v>
      </c>
      <c r="H342" s="161">
        <v>1</v>
      </c>
      <c r="I342" s="166">
        <f>_xll.qlRateHelperEarliestDate($B342,Trigger)</f>
        <v>49251</v>
      </c>
      <c r="J342" s="167">
        <f>_xll.qlRateHelperLatestDate($B342,Trigger)</f>
        <v>51445</v>
      </c>
      <c r="L342" s="165"/>
    </row>
    <row r="343" spans="2:12" x14ac:dyDescent="0.2">
      <c r="B343" s="276" t="str">
        <f>ForwardSwaps!J282</f>
        <v>obj_00871#0000</v>
      </c>
      <c r="C343" s="159" t="str">
        <f>_xll.qlRateHelperQuoteName(B343)</f>
        <v>EUR20F7Y_Quote</v>
      </c>
      <c r="D343" s="160">
        <f>_xll.qlRateHelperQuoteValue($B343,Trigger)</f>
        <v>2.1789999999999997E-2</v>
      </c>
      <c r="E343" s="160">
        <f>_xll.qlSwapRateHelperSpread($B343,Trigger)</f>
        <v>0</v>
      </c>
      <c r="F343" s="161" t="b">
        <v>0</v>
      </c>
      <c r="G343" s="161">
        <v>50</v>
      </c>
      <c r="H343" s="161">
        <v>1</v>
      </c>
      <c r="I343" s="166">
        <f>_xll.qlRateHelperEarliestDate($B343,Trigger)</f>
        <v>49251</v>
      </c>
      <c r="J343" s="167">
        <f>_xll.qlRateHelperLatestDate($B343,Trigger)</f>
        <v>51809</v>
      </c>
      <c r="L343" s="165"/>
    </row>
    <row r="344" spans="2:12" x14ac:dyDescent="0.2">
      <c r="B344" s="276" t="str">
        <f>ForwardSwaps!J283</f>
        <v>obj_00881#0000</v>
      </c>
      <c r="C344" s="159" t="str">
        <f>_xll.qlRateHelperQuoteName(B344)</f>
        <v>EUR20F8Y_Quote</v>
      </c>
      <c r="D344" s="160">
        <f>_xll.qlRateHelperQuoteValue($B344,Trigger)</f>
        <v>2.1610000000000001E-2</v>
      </c>
      <c r="E344" s="160">
        <f>_xll.qlSwapRateHelperSpread($B344,Trigger)</f>
        <v>0</v>
      </c>
      <c r="F344" s="161" t="b">
        <v>0</v>
      </c>
      <c r="G344" s="161">
        <v>50</v>
      </c>
      <c r="H344" s="161">
        <v>1</v>
      </c>
      <c r="I344" s="166">
        <f>_xll.qlRateHelperEarliestDate($B344,Trigger)</f>
        <v>49251</v>
      </c>
      <c r="J344" s="167">
        <f>_xll.qlRateHelperLatestDate($B344,Trigger)</f>
        <v>52173</v>
      </c>
      <c r="L344" s="165"/>
    </row>
    <row r="345" spans="2:12" x14ac:dyDescent="0.2">
      <c r="B345" s="276" t="str">
        <f>ForwardSwaps!J284</f>
        <v>obj_0080e#0000</v>
      </c>
      <c r="C345" s="159" t="str">
        <f>_xll.qlRateHelperQuoteName(B345)</f>
        <v>EUR20F9Y_Quote</v>
      </c>
      <c r="D345" s="160">
        <f>_xll.qlRateHelperQuoteValue($B345,Trigger)</f>
        <v>2.1489999999999999E-2</v>
      </c>
      <c r="E345" s="160">
        <f>_xll.qlSwapRateHelperSpread($B345,Trigger)</f>
        <v>0</v>
      </c>
      <c r="F345" s="161" t="b">
        <v>0</v>
      </c>
      <c r="G345" s="161">
        <v>50</v>
      </c>
      <c r="H345" s="161">
        <v>1</v>
      </c>
      <c r="I345" s="166">
        <f>_xll.qlRateHelperEarliestDate($B345,Trigger)</f>
        <v>49251</v>
      </c>
      <c r="J345" s="167">
        <f>_xll.qlRateHelperLatestDate($B345,Trigger)</f>
        <v>52538</v>
      </c>
      <c r="L345" s="165"/>
    </row>
    <row r="346" spans="2:12" x14ac:dyDescent="0.2">
      <c r="B346" s="276" t="str">
        <f>ForwardSwaps!J285</f>
        <v>obj_00874#0000</v>
      </c>
      <c r="C346" s="159" t="str">
        <f>_xll.qlRateHelperQuoteName(B346)</f>
        <v>EUR20F10Y_Quote</v>
      </c>
      <c r="D346" s="160">
        <f>_xll.qlRateHelperQuoteValue($B346,Trigger)</f>
        <v>2.1400000000000002E-2</v>
      </c>
      <c r="E346" s="160">
        <f>_xll.qlSwapRateHelperSpread($B346,Trigger)</f>
        <v>0</v>
      </c>
      <c r="F346" s="161" t="b">
        <v>0</v>
      </c>
      <c r="G346" s="161">
        <v>50</v>
      </c>
      <c r="H346" s="161">
        <v>1</v>
      </c>
      <c r="I346" s="166">
        <f>_xll.qlRateHelperEarliestDate($B346,Trigger)</f>
        <v>49251</v>
      </c>
      <c r="J346" s="167">
        <f>_xll.qlRateHelperLatestDate($B346,Trigger)</f>
        <v>52904</v>
      </c>
      <c r="L346" s="165"/>
    </row>
    <row r="347" spans="2:12" x14ac:dyDescent="0.2">
      <c r="B347" s="276" t="str">
        <f>ForwardSwaps!J286</f>
        <v>obj_007d0#0000</v>
      </c>
      <c r="C347" s="159" t="str">
        <f>_xll.qlRateHelperQuoteName(B347)</f>
        <v>EUR20F11Y_Quote</v>
      </c>
      <c r="D347" s="160">
        <f>_xll.qlRateHelperQuoteValue($B347,Trigger)</f>
        <v>2.1330000000000002E-2</v>
      </c>
      <c r="E347" s="160">
        <f>_xll.qlSwapRateHelperSpread($B347,Trigger)</f>
        <v>0</v>
      </c>
      <c r="F347" s="161" t="b">
        <v>0</v>
      </c>
      <c r="G347" s="161">
        <v>50</v>
      </c>
      <c r="H347" s="161">
        <v>1</v>
      </c>
      <c r="I347" s="166">
        <f>_xll.qlRateHelperEarliestDate($B347,Trigger)</f>
        <v>49251</v>
      </c>
      <c r="J347" s="167">
        <f>_xll.qlRateHelperLatestDate($B347,Trigger)</f>
        <v>53269</v>
      </c>
      <c r="L347" s="165"/>
    </row>
    <row r="348" spans="2:12" x14ac:dyDescent="0.2">
      <c r="B348" s="276" t="str">
        <f>ForwardSwaps!J287</f>
        <v>obj_00806#0000</v>
      </c>
      <c r="C348" s="159" t="str">
        <f>_xll.qlRateHelperQuoteName(B348)</f>
        <v>EUR20F12Y_Quote</v>
      </c>
      <c r="D348" s="160">
        <f>_xll.qlRateHelperQuoteValue($B348,Trigger)</f>
        <v>2.128E-2</v>
      </c>
      <c r="E348" s="160">
        <f>_xll.qlSwapRateHelperSpread($B348,Trigger)</f>
        <v>0</v>
      </c>
      <c r="F348" s="161" t="b">
        <v>0</v>
      </c>
      <c r="G348" s="161">
        <v>50</v>
      </c>
      <c r="H348" s="161">
        <v>1</v>
      </c>
      <c r="I348" s="166">
        <f>_xll.qlRateHelperEarliestDate($B348,Trigger)</f>
        <v>49251</v>
      </c>
      <c r="J348" s="167">
        <f>_xll.qlRateHelperLatestDate($B348,Trigger)</f>
        <v>53636</v>
      </c>
      <c r="L348" s="165"/>
    </row>
    <row r="349" spans="2:12" x14ac:dyDescent="0.2">
      <c r="B349" s="276" t="str">
        <f>ForwardSwaps!J288</f>
        <v>obj_0082d#0000</v>
      </c>
      <c r="C349" s="159" t="str">
        <f>_xll.qlRateHelperQuoteName(B349)</f>
        <v>EUR20F13Y_Quote</v>
      </c>
      <c r="D349" s="160">
        <f>_xll.qlRateHelperQuoteValue($B349,Trigger)</f>
        <v>2.1259999999999998E-2</v>
      </c>
      <c r="E349" s="160">
        <f>_xll.qlSwapRateHelperSpread($B349,Trigger)</f>
        <v>0</v>
      </c>
      <c r="F349" s="161" t="b">
        <v>0</v>
      </c>
      <c r="G349" s="161">
        <v>50</v>
      </c>
      <c r="H349" s="161">
        <v>1</v>
      </c>
      <c r="I349" s="166">
        <f>_xll.qlRateHelperEarliestDate($B349,Trigger)</f>
        <v>49251</v>
      </c>
      <c r="J349" s="167">
        <f>_xll.qlRateHelperLatestDate($B349,Trigger)</f>
        <v>54000</v>
      </c>
      <c r="L349" s="165"/>
    </row>
    <row r="350" spans="2:12" x14ac:dyDescent="0.2">
      <c r="B350" s="276" t="str">
        <f>ForwardSwaps!J289</f>
        <v>obj_0079b#0000</v>
      </c>
      <c r="C350" s="159" t="str">
        <f>_xll.qlRateHelperQuoteName(B350)</f>
        <v>EUR20F14Y_Quote</v>
      </c>
      <c r="D350" s="160">
        <f>_xll.qlRateHelperQuoteValue($B350,Trigger)</f>
        <v>2.1250000000000002E-2</v>
      </c>
      <c r="E350" s="160">
        <f>_xll.qlSwapRateHelperSpread($B350,Trigger)</f>
        <v>0</v>
      </c>
      <c r="F350" s="161" t="b">
        <v>0</v>
      </c>
      <c r="G350" s="161">
        <v>50</v>
      </c>
      <c r="H350" s="161">
        <v>1</v>
      </c>
      <c r="I350" s="166">
        <f>_xll.qlRateHelperEarliestDate($B350,Trigger)</f>
        <v>49251</v>
      </c>
      <c r="J350" s="167">
        <f>_xll.qlRateHelperLatestDate($B350,Trigger)</f>
        <v>54365</v>
      </c>
      <c r="L350" s="165"/>
    </row>
    <row r="351" spans="2:12" x14ac:dyDescent="0.2">
      <c r="B351" s="276" t="str">
        <f>ForwardSwaps!J290</f>
        <v>obj_00833#0000</v>
      </c>
      <c r="C351" s="159" t="str">
        <f>_xll.qlRateHelperQuoteName(B351)</f>
        <v>EUR20F15Y_Quote</v>
      </c>
      <c r="D351" s="160">
        <f>_xll.qlRateHelperQuoteValue($B351,Trigger)</f>
        <v>2.1250000000000002E-2</v>
      </c>
      <c r="E351" s="160">
        <f>_xll.qlSwapRateHelperSpread($B351,Trigger)</f>
        <v>0</v>
      </c>
      <c r="F351" s="161" t="b">
        <v>0</v>
      </c>
      <c r="G351" s="161">
        <v>50</v>
      </c>
      <c r="H351" s="161">
        <v>1</v>
      </c>
      <c r="I351" s="166">
        <f>_xll.qlRateHelperEarliestDate($B351,Trigger)</f>
        <v>49251</v>
      </c>
      <c r="J351" s="167">
        <f>_xll.qlRateHelperLatestDate($B351,Trigger)</f>
        <v>54730</v>
      </c>
      <c r="L351" s="165"/>
    </row>
    <row r="352" spans="2:12" x14ac:dyDescent="0.2">
      <c r="B352" s="276" t="str">
        <f>ForwardSwaps!J291</f>
        <v>obj_00807#0000</v>
      </c>
      <c r="C352" s="159" t="str">
        <f>_xll.qlRateHelperQuoteName(B352)</f>
        <v>EUR20F20Y_Quote</v>
      </c>
      <c r="D352" s="160">
        <f>_xll.qlRateHelperQuoteValue($B352,Trigger)</f>
        <v>2.128E-2</v>
      </c>
      <c r="E352" s="160">
        <f>_xll.qlSwapRateHelperSpread($B352,Trigger)</f>
        <v>0</v>
      </c>
      <c r="F352" s="161" t="b">
        <v>0</v>
      </c>
      <c r="G352" s="161">
        <v>50</v>
      </c>
      <c r="H352" s="161">
        <v>1</v>
      </c>
      <c r="I352" s="166">
        <f>_xll.qlRateHelperEarliestDate($B352,Trigger)</f>
        <v>49251</v>
      </c>
      <c r="J352" s="167">
        <f>_xll.qlRateHelperLatestDate($B352,Trigger)</f>
        <v>56556</v>
      </c>
      <c r="L352" s="165"/>
    </row>
    <row r="353" spans="2:12" x14ac:dyDescent="0.2">
      <c r="B353" s="276" t="str">
        <f>ForwardSwaps!J292</f>
        <v>obj_007c7#0000</v>
      </c>
      <c r="C353" s="159" t="str">
        <f>_xll.qlRateHelperQuoteName(B353)</f>
        <v>EUR20F25Y_Quote</v>
      </c>
      <c r="D353" s="160">
        <f>_xll.qlRateHelperQuoteValue($B353,Trigger)</f>
        <v>2.1049999999999999E-2</v>
      </c>
      <c r="E353" s="160">
        <f>_xll.qlSwapRateHelperSpread($B353,Trigger)</f>
        <v>0</v>
      </c>
      <c r="F353" s="161" t="b">
        <v>0</v>
      </c>
      <c r="G353" s="161">
        <v>50</v>
      </c>
      <c r="H353" s="161">
        <v>1</v>
      </c>
      <c r="I353" s="166">
        <f>_xll.qlRateHelperEarliestDate($B353,Trigger)</f>
        <v>49251</v>
      </c>
      <c r="J353" s="167">
        <f>_xll.qlRateHelperLatestDate($B353,Trigger)</f>
        <v>58382</v>
      </c>
      <c r="L353" s="165"/>
    </row>
    <row r="354" spans="2:12" x14ac:dyDescent="0.2">
      <c r="B354" s="277" t="str">
        <f>ForwardSwaps!J293</f>
        <v>obj_00800#0000</v>
      </c>
      <c r="C354" s="162" t="str">
        <f>_xll.qlRateHelperQuoteName(B354)</f>
        <v>EUR20F30Y_Quote</v>
      </c>
      <c r="D354" s="163">
        <f>_xll.qlRateHelperQuoteValue($B354,Trigger)</f>
        <v>2.0819999999999998E-2</v>
      </c>
      <c r="E354" s="163">
        <f>_xll.qlSwapRateHelperSpread($B354,Trigger)</f>
        <v>0</v>
      </c>
      <c r="F354" s="164" t="b">
        <v>0</v>
      </c>
      <c r="G354" s="164">
        <v>50</v>
      </c>
      <c r="H354" s="164">
        <v>1</v>
      </c>
      <c r="I354" s="168">
        <f>_xll.qlRateHelperEarliestDate($B354,Trigger)</f>
        <v>49251</v>
      </c>
      <c r="J354" s="169">
        <f>_xll.qlRateHelperLatestDate($B354,Trigger)</f>
        <v>60209</v>
      </c>
      <c r="L354" s="165"/>
    </row>
    <row r="355" spans="2:12" x14ac:dyDescent="0.2">
      <c r="B355" s="278" t="str">
        <f>ForwardSwaps!J294</f>
        <v>obj_00769#0000</v>
      </c>
      <c r="C355" s="261" t="str">
        <f>_xll.qlRateHelperQuoteName(B355)</f>
        <v>EUR25F1Y_Quote</v>
      </c>
      <c r="D355" s="279">
        <f>_xll.qlRateHelperQuoteValue($B355,Trigger)</f>
        <v>2.0889999999999999E-2</v>
      </c>
      <c r="E355" s="279">
        <f>_xll.qlSwapRateHelperSpread($B355,Trigger)</f>
        <v>0</v>
      </c>
      <c r="F355" s="280" t="b">
        <v>0</v>
      </c>
      <c r="G355" s="280">
        <v>50</v>
      </c>
      <c r="H355" s="280">
        <v>1</v>
      </c>
      <c r="I355" s="281">
        <f>_xll.qlRateHelperEarliestDate($B355,Trigger)</f>
        <v>51077</v>
      </c>
      <c r="J355" s="282">
        <f>_xll.qlRateHelperLatestDate($B355,Trigger)</f>
        <v>51445</v>
      </c>
      <c r="L355" s="165"/>
    </row>
    <row r="356" spans="2:12" x14ac:dyDescent="0.2">
      <c r="B356" s="276" t="str">
        <f>ForwardSwaps!J295</f>
        <v>obj_0085b#0000</v>
      </c>
      <c r="C356" s="159" t="str">
        <f>_xll.qlRateHelperQuoteName(B356)</f>
        <v>EUR25F2Y_Quote</v>
      </c>
      <c r="D356" s="160">
        <f>_xll.qlRateHelperQuoteValue($B356,Trigger)</f>
        <v>2.0830000000000001E-2</v>
      </c>
      <c r="E356" s="160">
        <f>_xll.qlSwapRateHelperSpread($B356,Trigger)</f>
        <v>0</v>
      </c>
      <c r="F356" s="161" t="b">
        <v>0</v>
      </c>
      <c r="G356" s="161">
        <v>50</v>
      </c>
      <c r="H356" s="161">
        <v>1</v>
      </c>
      <c r="I356" s="166">
        <f>_xll.qlRateHelperEarliestDate($B356,Trigger)</f>
        <v>51077</v>
      </c>
      <c r="J356" s="167">
        <f>_xll.qlRateHelperLatestDate($B356,Trigger)</f>
        <v>51809</v>
      </c>
      <c r="L356" s="165"/>
    </row>
    <row r="357" spans="2:12" x14ac:dyDescent="0.2">
      <c r="B357" s="276" t="str">
        <f>ForwardSwaps!J296</f>
        <v>obj_00803#0000</v>
      </c>
      <c r="C357" s="159" t="str">
        <f>_xll.qlRateHelperQuoteName(B357)</f>
        <v>EUR25F3Y_Quote</v>
      </c>
      <c r="D357" s="160">
        <f>_xll.qlRateHelperQuoteValue($B357,Trigger)</f>
        <v>2.0640000000000002E-2</v>
      </c>
      <c r="E357" s="160">
        <f>_xll.qlSwapRateHelperSpread($B357,Trigger)</f>
        <v>0</v>
      </c>
      <c r="F357" s="161" t="b">
        <v>0</v>
      </c>
      <c r="G357" s="161">
        <v>50</v>
      </c>
      <c r="H357" s="161">
        <v>1</v>
      </c>
      <c r="I357" s="166">
        <f>_xll.qlRateHelperEarliestDate($B357,Trigger)</f>
        <v>51077</v>
      </c>
      <c r="J357" s="167">
        <f>_xll.qlRateHelperLatestDate($B357,Trigger)</f>
        <v>52173</v>
      </c>
      <c r="L357" s="165"/>
    </row>
    <row r="358" spans="2:12" x14ac:dyDescent="0.2">
      <c r="B358" s="276" t="str">
        <f>ForwardSwaps!J297</f>
        <v>obj_00867#0000</v>
      </c>
      <c r="C358" s="159" t="str">
        <f>_xll.qlRateHelperQuoteName(B358)</f>
        <v>EUR25F4Y_Quote</v>
      </c>
      <c r="D358" s="160">
        <f>_xll.qlRateHelperQuoteValue($B358,Trigger)</f>
        <v>2.0590000000000001E-2</v>
      </c>
      <c r="E358" s="160">
        <f>_xll.qlSwapRateHelperSpread($B358,Trigger)</f>
        <v>0</v>
      </c>
      <c r="F358" s="161" t="b">
        <v>0</v>
      </c>
      <c r="G358" s="161">
        <v>50</v>
      </c>
      <c r="H358" s="161">
        <v>1</v>
      </c>
      <c r="I358" s="166">
        <f>_xll.qlRateHelperEarliestDate($B358,Trigger)</f>
        <v>51077</v>
      </c>
      <c r="J358" s="167">
        <f>_xll.qlRateHelperLatestDate($B358,Trigger)</f>
        <v>52538</v>
      </c>
      <c r="L358" s="165"/>
    </row>
    <row r="359" spans="2:12" x14ac:dyDescent="0.2">
      <c r="B359" s="276" t="str">
        <f>ForwardSwaps!J298</f>
        <v>obj_0087a#0000</v>
      </c>
      <c r="C359" s="159" t="str">
        <f>_xll.qlRateHelperQuoteName(B359)</f>
        <v>EUR25F5Y_Quote</v>
      </c>
      <c r="D359" s="160">
        <f>_xll.qlRateHelperQuoteValue($B359,Trigger)</f>
        <v>2.0579999999999998E-2</v>
      </c>
      <c r="E359" s="160">
        <f>_xll.qlSwapRateHelperSpread($B359,Trigger)</f>
        <v>0</v>
      </c>
      <c r="F359" s="161" t="b">
        <v>0</v>
      </c>
      <c r="G359" s="161">
        <v>50</v>
      </c>
      <c r="H359" s="161">
        <v>1</v>
      </c>
      <c r="I359" s="166">
        <f>_xll.qlRateHelperEarliestDate($B359,Trigger)</f>
        <v>51077</v>
      </c>
      <c r="J359" s="167">
        <f>_xll.qlRateHelperLatestDate($B359,Trigger)</f>
        <v>52904</v>
      </c>
      <c r="L359" s="165"/>
    </row>
    <row r="360" spans="2:12" x14ac:dyDescent="0.2">
      <c r="B360" s="276" t="str">
        <f>ForwardSwaps!J299</f>
        <v>obj_00870#0000</v>
      </c>
      <c r="C360" s="159" t="str">
        <f>_xll.qlRateHelperQuoteName(B360)</f>
        <v>EUR25F6Y_Quote</v>
      </c>
      <c r="D360" s="160">
        <f>_xll.qlRateHelperQuoteValue($B360,Trigger)</f>
        <v>2.0569999999999998E-2</v>
      </c>
      <c r="E360" s="160">
        <f>_xll.qlSwapRateHelperSpread($B360,Trigger)</f>
        <v>0</v>
      </c>
      <c r="F360" s="161" t="b">
        <v>0</v>
      </c>
      <c r="G360" s="161">
        <v>50</v>
      </c>
      <c r="H360" s="161">
        <v>1</v>
      </c>
      <c r="I360" s="166">
        <f>_xll.qlRateHelperEarliestDate($B360,Trigger)</f>
        <v>51077</v>
      </c>
      <c r="J360" s="167">
        <f>_xll.qlRateHelperLatestDate($B360,Trigger)</f>
        <v>53269</v>
      </c>
      <c r="L360" s="165"/>
    </row>
    <row r="361" spans="2:12" x14ac:dyDescent="0.2">
      <c r="B361" s="276" t="str">
        <f>ForwardSwaps!J300</f>
        <v>obj_0078a#0000</v>
      </c>
      <c r="C361" s="159" t="str">
        <f>_xll.qlRateHelperQuoteName(B361)</f>
        <v>EUR25F7Y_Quote</v>
      </c>
      <c r="D361" s="160">
        <f>_xll.qlRateHelperQuoteValue($B361,Trigger)</f>
        <v>2.0590000000000001E-2</v>
      </c>
      <c r="E361" s="160">
        <f>_xll.qlSwapRateHelperSpread($B361,Trigger)</f>
        <v>0</v>
      </c>
      <c r="F361" s="161" t="b">
        <v>0</v>
      </c>
      <c r="G361" s="161">
        <v>50</v>
      </c>
      <c r="H361" s="161">
        <v>1</v>
      </c>
      <c r="I361" s="166">
        <f>_xll.qlRateHelperEarliestDate($B361,Trigger)</f>
        <v>51077</v>
      </c>
      <c r="J361" s="167">
        <f>_xll.qlRateHelperLatestDate($B361,Trigger)</f>
        <v>53636</v>
      </c>
      <c r="L361" s="165"/>
    </row>
    <row r="362" spans="2:12" x14ac:dyDescent="0.2">
      <c r="B362" s="276" t="str">
        <f>ForwardSwaps!J301</f>
        <v>obj_007b0#0000</v>
      </c>
      <c r="C362" s="159" t="str">
        <f>_xll.qlRateHelperQuoteName(B362)</f>
        <v>EUR25F8Y_Quote</v>
      </c>
      <c r="D362" s="160">
        <f>_xll.qlRateHelperQuoteValue($B362,Trigger)</f>
        <v>2.0630000000000003E-2</v>
      </c>
      <c r="E362" s="160">
        <f>_xll.qlSwapRateHelperSpread($B362,Trigger)</f>
        <v>0</v>
      </c>
      <c r="F362" s="161" t="b">
        <v>0</v>
      </c>
      <c r="G362" s="161">
        <v>50</v>
      </c>
      <c r="H362" s="161">
        <v>1</v>
      </c>
      <c r="I362" s="166">
        <f>_xll.qlRateHelperEarliestDate($B362,Trigger)</f>
        <v>51077</v>
      </c>
      <c r="J362" s="167">
        <f>_xll.qlRateHelperLatestDate($B362,Trigger)</f>
        <v>54000</v>
      </c>
      <c r="L362" s="165"/>
    </row>
    <row r="363" spans="2:12" x14ac:dyDescent="0.2">
      <c r="B363" s="276" t="str">
        <f>ForwardSwaps!J302</f>
        <v>obj_007ed#0000</v>
      </c>
      <c r="C363" s="159" t="str">
        <f>_xll.qlRateHelperQuoteName(B363)</f>
        <v>EUR25F9Y_Quote</v>
      </c>
      <c r="D363" s="160">
        <f>_xll.qlRateHelperQuoteValue($B363,Trigger)</f>
        <v>2.068E-2</v>
      </c>
      <c r="E363" s="160">
        <f>_xll.qlSwapRateHelperSpread($B363,Trigger)</f>
        <v>0</v>
      </c>
      <c r="F363" s="161" t="b">
        <v>0</v>
      </c>
      <c r="G363" s="161">
        <v>50</v>
      </c>
      <c r="H363" s="161">
        <v>1</v>
      </c>
      <c r="I363" s="166">
        <f>_xll.qlRateHelperEarliestDate($B363,Trigger)</f>
        <v>51077</v>
      </c>
      <c r="J363" s="167">
        <f>_xll.qlRateHelperLatestDate($B363,Trigger)</f>
        <v>54365</v>
      </c>
      <c r="L363" s="165"/>
    </row>
    <row r="364" spans="2:12" x14ac:dyDescent="0.2">
      <c r="B364" s="276" t="str">
        <f>ForwardSwaps!J303</f>
        <v>obj_0087d#0000</v>
      </c>
      <c r="C364" s="159" t="str">
        <f>_xll.qlRateHelperQuoteName(B364)</f>
        <v>EUR25F10Y_Quote</v>
      </c>
      <c r="D364" s="160">
        <f>_xll.qlRateHelperQuoteValue($B364,Trigger)</f>
        <v>2.0729999999999998E-2</v>
      </c>
      <c r="E364" s="160">
        <f>_xll.qlSwapRateHelperSpread($B364,Trigger)</f>
        <v>0</v>
      </c>
      <c r="F364" s="161" t="b">
        <v>0</v>
      </c>
      <c r="G364" s="161">
        <v>50</v>
      </c>
      <c r="H364" s="161">
        <v>1</v>
      </c>
      <c r="I364" s="166">
        <f>_xll.qlRateHelperEarliestDate($B364,Trigger)</f>
        <v>51077</v>
      </c>
      <c r="J364" s="167">
        <f>_xll.qlRateHelperLatestDate($B364,Trigger)</f>
        <v>54730</v>
      </c>
      <c r="L364" s="165"/>
    </row>
    <row r="365" spans="2:12" x14ac:dyDescent="0.2">
      <c r="B365" s="276" t="str">
        <f>ForwardSwaps!J304</f>
        <v>obj_00781#0000</v>
      </c>
      <c r="C365" s="159" t="str">
        <f>_xll.qlRateHelperQuoteName(B365)</f>
        <v>EUR25F11Y_Quote</v>
      </c>
      <c r="D365" s="160">
        <f>_xll.qlRateHelperQuoteValue($B365,Trigger)</f>
        <v>2.0799999999999999E-2</v>
      </c>
      <c r="E365" s="160">
        <f>_xll.qlSwapRateHelperSpread($B365,Trigger)</f>
        <v>0</v>
      </c>
      <c r="F365" s="161" t="b">
        <v>0</v>
      </c>
      <c r="G365" s="161">
        <v>50</v>
      </c>
      <c r="H365" s="161">
        <v>1</v>
      </c>
      <c r="I365" s="166">
        <f>_xll.qlRateHelperEarliestDate($B365,Trigger)</f>
        <v>51077</v>
      </c>
      <c r="J365" s="167">
        <f>_xll.qlRateHelperLatestDate($B365,Trigger)</f>
        <v>55095</v>
      </c>
      <c r="L365" s="165"/>
    </row>
    <row r="366" spans="2:12" x14ac:dyDescent="0.2">
      <c r="B366" s="276" t="str">
        <f>ForwardSwaps!J305</f>
        <v>obj_007a4#0000</v>
      </c>
      <c r="C366" s="159" t="str">
        <f>_xll.qlRateHelperQuoteName(B366)</f>
        <v>EUR25F12Y_Quote</v>
      </c>
      <c r="D366" s="160">
        <f>_xll.qlRateHelperQuoteValue($B366,Trigger)</f>
        <v>2.085E-2</v>
      </c>
      <c r="E366" s="160">
        <f>_xll.qlSwapRateHelperSpread($B366,Trigger)</f>
        <v>0</v>
      </c>
      <c r="F366" s="161" t="b">
        <v>0</v>
      </c>
      <c r="G366" s="161">
        <v>50</v>
      </c>
      <c r="H366" s="161">
        <v>1</v>
      </c>
      <c r="I366" s="166">
        <f>_xll.qlRateHelperEarliestDate($B366,Trigger)</f>
        <v>51077</v>
      </c>
      <c r="J366" s="167">
        <f>_xll.qlRateHelperLatestDate($B366,Trigger)</f>
        <v>55460</v>
      </c>
      <c r="L366" s="165"/>
    </row>
    <row r="367" spans="2:12" x14ac:dyDescent="0.2">
      <c r="B367" s="276" t="str">
        <f>ForwardSwaps!J306</f>
        <v>obj_007f2#0000</v>
      </c>
      <c r="C367" s="159" t="str">
        <f>_xll.qlRateHelperQuoteName(B367)</f>
        <v>EUR25F13Y_Quote</v>
      </c>
      <c r="D367" s="160">
        <f>_xll.qlRateHelperQuoteValue($B367,Trigger)</f>
        <v>2.0899999999999998E-2</v>
      </c>
      <c r="E367" s="160">
        <f>_xll.qlSwapRateHelperSpread($B367,Trigger)</f>
        <v>0</v>
      </c>
      <c r="F367" s="161" t="b">
        <v>0</v>
      </c>
      <c r="G367" s="161">
        <v>50</v>
      </c>
      <c r="H367" s="161">
        <v>1</v>
      </c>
      <c r="I367" s="166">
        <f>_xll.qlRateHelperEarliestDate($B367,Trigger)</f>
        <v>51077</v>
      </c>
      <c r="J367" s="167">
        <f>_xll.qlRateHelperLatestDate($B367,Trigger)</f>
        <v>55827</v>
      </c>
      <c r="L367" s="165"/>
    </row>
    <row r="368" spans="2:12" x14ac:dyDescent="0.2">
      <c r="B368" s="276" t="str">
        <f>ForwardSwaps!J307</f>
        <v>obj_00852#0000</v>
      </c>
      <c r="C368" s="159" t="str">
        <f>_xll.qlRateHelperQuoteName(B368)</f>
        <v>EUR25F14Y_Quote</v>
      </c>
      <c r="D368" s="160">
        <f>_xll.qlRateHelperQuoteValue($B368,Trigger)</f>
        <v>2.0930000000000001E-2</v>
      </c>
      <c r="E368" s="160">
        <f>_xll.qlSwapRateHelperSpread($B368,Trigger)</f>
        <v>0</v>
      </c>
      <c r="F368" s="161" t="b">
        <v>0</v>
      </c>
      <c r="G368" s="161">
        <v>50</v>
      </c>
      <c r="H368" s="161">
        <v>1</v>
      </c>
      <c r="I368" s="166">
        <f>_xll.qlRateHelperEarliestDate($B368,Trigger)</f>
        <v>51077</v>
      </c>
      <c r="J368" s="167">
        <f>_xll.qlRateHelperLatestDate($B368,Trigger)</f>
        <v>56191</v>
      </c>
      <c r="L368" s="165"/>
    </row>
    <row r="369" spans="2:12" x14ac:dyDescent="0.2">
      <c r="B369" s="276" t="str">
        <f>ForwardSwaps!J308</f>
        <v>obj_00780#0000</v>
      </c>
      <c r="C369" s="159" t="str">
        <f>_xll.qlRateHelperQuoteName(B369)</f>
        <v>EUR25F15Y_Quote</v>
      </c>
      <c r="D369" s="160">
        <f>_xll.qlRateHelperQuoteValue($B369,Trigger)</f>
        <v>2.0930000000000001E-2</v>
      </c>
      <c r="E369" s="160">
        <f>_xll.qlSwapRateHelperSpread($B369,Trigger)</f>
        <v>0</v>
      </c>
      <c r="F369" s="161" t="b">
        <v>0</v>
      </c>
      <c r="G369" s="161">
        <v>50</v>
      </c>
      <c r="H369" s="161">
        <v>1</v>
      </c>
      <c r="I369" s="166">
        <f>_xll.qlRateHelperEarliestDate($B369,Trigger)</f>
        <v>51077</v>
      </c>
      <c r="J369" s="167">
        <f>_xll.qlRateHelperLatestDate($B369,Trigger)</f>
        <v>56556</v>
      </c>
      <c r="L369" s="165"/>
    </row>
    <row r="370" spans="2:12" x14ac:dyDescent="0.2">
      <c r="B370" s="276" t="str">
        <f>ForwardSwaps!J309</f>
        <v>obj_0080d#0000</v>
      </c>
      <c r="C370" s="159" t="str">
        <f>_xll.qlRateHelperQuoteName(B370)</f>
        <v>EUR25F20Y_Quote</v>
      </c>
      <c r="D370" s="160">
        <f>_xll.qlRateHelperQuoteValue($B370,Trigger)</f>
        <v>2.07E-2</v>
      </c>
      <c r="E370" s="160">
        <f>_xll.qlSwapRateHelperSpread($B370,Trigger)</f>
        <v>0</v>
      </c>
      <c r="F370" s="161" t="b">
        <v>0</v>
      </c>
      <c r="G370" s="161">
        <v>50</v>
      </c>
      <c r="H370" s="161">
        <v>1</v>
      </c>
      <c r="I370" s="166">
        <f>_xll.qlRateHelperEarliestDate($B370,Trigger)</f>
        <v>51077</v>
      </c>
      <c r="J370" s="167">
        <f>_xll.qlRateHelperLatestDate($B370,Trigger)</f>
        <v>58382</v>
      </c>
      <c r="L370" s="165"/>
    </row>
    <row r="371" spans="2:12" x14ac:dyDescent="0.2">
      <c r="B371" s="276" t="str">
        <f>ForwardSwaps!J310</f>
        <v>obj_007b9#0000</v>
      </c>
      <c r="C371" s="159" t="str">
        <f>_xll.qlRateHelperQuoteName(B371)</f>
        <v>EUR25F25Y_Quote</v>
      </c>
      <c r="D371" s="160">
        <f>_xll.qlRateHelperQuoteValue($B371,Trigger)</f>
        <v>2.0470000000000002E-2</v>
      </c>
      <c r="E371" s="160">
        <f>_xll.qlSwapRateHelperSpread($B371,Trigger)</f>
        <v>0</v>
      </c>
      <c r="F371" s="161" t="b">
        <v>0</v>
      </c>
      <c r="G371" s="161">
        <v>50</v>
      </c>
      <c r="H371" s="161">
        <v>1</v>
      </c>
      <c r="I371" s="166">
        <f>_xll.qlRateHelperEarliestDate($B371,Trigger)</f>
        <v>51077</v>
      </c>
      <c r="J371" s="167">
        <f>_xll.qlRateHelperLatestDate($B371,Trigger)</f>
        <v>60209</v>
      </c>
      <c r="L371" s="165"/>
    </row>
    <row r="372" spans="2:12" x14ac:dyDescent="0.2">
      <c r="B372" s="277" t="str">
        <f>ForwardSwaps!J311</f>
        <v>obj_00840#0000</v>
      </c>
      <c r="C372" s="162" t="str">
        <f>_xll.qlRateHelperQuoteName(B372)</f>
        <v>EUR25F30Y_Quote</v>
      </c>
      <c r="D372" s="163">
        <f>_xll.qlRateHelperQuoteValue($B372,Trigger)</f>
        <v>2.0400000000000001E-2</v>
      </c>
      <c r="E372" s="163">
        <f>_xll.qlSwapRateHelperSpread($B372,Trigger)</f>
        <v>0</v>
      </c>
      <c r="F372" s="164" t="b">
        <v>1</v>
      </c>
      <c r="G372" s="164">
        <v>50</v>
      </c>
      <c r="H372" s="164">
        <v>1</v>
      </c>
      <c r="I372" s="168">
        <f>_xll.qlRateHelperEarliestDate($B372,Trigger)</f>
        <v>51077</v>
      </c>
      <c r="J372" s="169">
        <f>_xll.qlRateHelperLatestDate($B372,Trigger)</f>
        <v>62036</v>
      </c>
      <c r="L372" s="165"/>
    </row>
    <row r="373" spans="2:12" x14ac:dyDescent="0.2">
      <c r="B373" s="276" t="str">
        <f>ForwardSwaps!J312</f>
        <v>obj_0082b#0000</v>
      </c>
      <c r="C373" s="159" t="str">
        <f>_xll.qlRateHelperQuoteName(B373)</f>
        <v>EUR30F1Y_Quote</v>
      </c>
      <c r="D373" s="160">
        <f>_xll.qlRateHelperQuoteValue($B373,Trigger)</f>
        <v>2.0499999999999997E-2</v>
      </c>
      <c r="E373" s="160">
        <f>_xll.qlSwapRateHelperSpread($B373,Trigger)</f>
        <v>0</v>
      </c>
      <c r="F373" s="161" t="b">
        <v>0</v>
      </c>
      <c r="G373" s="161">
        <v>50</v>
      </c>
      <c r="H373" s="161">
        <v>1</v>
      </c>
      <c r="I373" s="166">
        <f>_xll.qlRateHelperEarliestDate($B373,Trigger)</f>
        <v>52904</v>
      </c>
      <c r="J373" s="167">
        <f>_xll.qlRateHelperLatestDate($B373,Trigger)</f>
        <v>53269</v>
      </c>
      <c r="L373" s="165"/>
    </row>
    <row r="374" spans="2:12" x14ac:dyDescent="0.2">
      <c r="B374" s="276" t="str">
        <f>ForwardSwaps!J313</f>
        <v>obj_0083f#0000</v>
      </c>
      <c r="C374" s="159" t="str">
        <f>_xll.qlRateHelperQuoteName(B374)</f>
        <v>EUR30F2Y_Quote</v>
      </c>
      <c r="D374" s="160">
        <f>_xll.qlRateHelperQuoteValue($B374,Trigger)</f>
        <v>2.061E-2</v>
      </c>
      <c r="E374" s="160">
        <f>_xll.qlSwapRateHelperSpread($B374,Trigger)</f>
        <v>0</v>
      </c>
      <c r="F374" s="161" t="b">
        <v>0</v>
      </c>
      <c r="G374" s="161">
        <v>50</v>
      </c>
      <c r="H374" s="161">
        <v>1</v>
      </c>
      <c r="I374" s="166">
        <f>_xll.qlRateHelperEarliestDate($B374,Trigger)</f>
        <v>52904</v>
      </c>
      <c r="J374" s="167">
        <f>_xll.qlRateHelperLatestDate($B374,Trigger)</f>
        <v>53636</v>
      </c>
      <c r="L374" s="165"/>
    </row>
    <row r="375" spans="2:12" x14ac:dyDescent="0.2">
      <c r="B375" s="276" t="str">
        <f>ForwardSwaps!J314</f>
        <v>obj_00819#0000</v>
      </c>
      <c r="C375" s="159" t="str">
        <f>_xll.qlRateHelperQuoteName(B375)</f>
        <v>EUR30F3Y_Quote</v>
      </c>
      <c r="D375" s="160">
        <f>_xll.qlRateHelperQuoteValue($B375,Trigger)</f>
        <v>2.07E-2</v>
      </c>
      <c r="E375" s="160">
        <f>_xll.qlSwapRateHelperSpread($B375,Trigger)</f>
        <v>0</v>
      </c>
      <c r="F375" s="161" t="b">
        <v>0</v>
      </c>
      <c r="G375" s="161">
        <v>50</v>
      </c>
      <c r="H375" s="161">
        <v>1</v>
      </c>
      <c r="I375" s="166">
        <f>_xll.qlRateHelperEarliestDate($B375,Trigger)</f>
        <v>52904</v>
      </c>
      <c r="J375" s="167">
        <f>_xll.qlRateHelperLatestDate($B375,Trigger)</f>
        <v>54000</v>
      </c>
      <c r="L375" s="165"/>
    </row>
    <row r="376" spans="2:12" x14ac:dyDescent="0.2">
      <c r="B376" s="276" t="str">
        <f>ForwardSwaps!J315</f>
        <v>obj_00778#0000</v>
      </c>
      <c r="C376" s="159" t="str">
        <f>_xll.qlRateHelperQuoteName(B376)</f>
        <v>EUR30F4Y_Quote</v>
      </c>
      <c r="D376" s="160">
        <f>_xll.qlRateHelperQuoteValue($B376,Trigger)</f>
        <v>2.0809999999999999E-2</v>
      </c>
      <c r="E376" s="160">
        <f>_xll.qlSwapRateHelperSpread($B376,Trigger)</f>
        <v>0</v>
      </c>
      <c r="F376" s="161" t="b">
        <v>0</v>
      </c>
      <c r="G376" s="161">
        <v>50</v>
      </c>
      <c r="H376" s="161">
        <v>1</v>
      </c>
      <c r="I376" s="166">
        <f>_xll.qlRateHelperEarliestDate($B376,Trigger)</f>
        <v>52904</v>
      </c>
      <c r="J376" s="167">
        <f>_xll.qlRateHelperLatestDate($B376,Trigger)</f>
        <v>54365</v>
      </c>
      <c r="L376" s="165"/>
    </row>
    <row r="377" spans="2:12" x14ac:dyDescent="0.2">
      <c r="B377" s="276" t="str">
        <f>ForwardSwaps!J316</f>
        <v>obj_00786#0000</v>
      </c>
      <c r="C377" s="159" t="str">
        <f>_xll.qlRateHelperQuoteName(B377)</f>
        <v>EUR30F5Y_Quote</v>
      </c>
      <c r="D377" s="160">
        <f>_xll.qlRateHelperQuoteValue($B377,Trigger)</f>
        <v>2.0899999999999998E-2</v>
      </c>
      <c r="E377" s="160">
        <f>_xll.qlSwapRateHelperSpread($B377,Trigger)</f>
        <v>0</v>
      </c>
      <c r="F377" s="161" t="b">
        <v>0</v>
      </c>
      <c r="G377" s="161">
        <v>50</v>
      </c>
      <c r="H377" s="161">
        <v>1</v>
      </c>
      <c r="I377" s="166">
        <f>_xll.qlRateHelperEarliestDate($B377,Trigger)</f>
        <v>52904</v>
      </c>
      <c r="J377" s="167">
        <f>_xll.qlRateHelperLatestDate($B377,Trigger)</f>
        <v>54730</v>
      </c>
      <c r="L377" s="165"/>
    </row>
    <row r="378" spans="2:12" x14ac:dyDescent="0.2">
      <c r="B378" s="276" t="str">
        <f>ForwardSwaps!J317</f>
        <v>obj_007f0#0000</v>
      </c>
      <c r="C378" s="159" t="str">
        <f>_xll.qlRateHelperQuoteName(B378)</f>
        <v>EUR30F6Y_Quote</v>
      </c>
      <c r="D378" s="160">
        <f>_xll.qlRateHelperQuoteValue($B378,Trigger)</f>
        <v>2.0990000000000002E-2</v>
      </c>
      <c r="E378" s="160">
        <f>_xll.qlSwapRateHelperSpread($B378,Trigger)</f>
        <v>0</v>
      </c>
      <c r="F378" s="161" t="b">
        <v>0</v>
      </c>
      <c r="G378" s="161">
        <v>50</v>
      </c>
      <c r="H378" s="161">
        <v>1</v>
      </c>
      <c r="I378" s="166">
        <f>_xll.qlRateHelperEarliestDate($B378,Trigger)</f>
        <v>52904</v>
      </c>
      <c r="J378" s="167">
        <f>_xll.qlRateHelperLatestDate($B378,Trigger)</f>
        <v>55095</v>
      </c>
      <c r="L378" s="165"/>
    </row>
    <row r="379" spans="2:12" x14ac:dyDescent="0.2">
      <c r="B379" s="276" t="str">
        <f>ForwardSwaps!J318</f>
        <v>obj_007dd#0000</v>
      </c>
      <c r="C379" s="159" t="str">
        <f>_xll.qlRateHelperQuoteName(B379)</f>
        <v>EUR30F7Y_Quote</v>
      </c>
      <c r="D379" s="160">
        <f>_xll.qlRateHelperQuoteValue($B379,Trigger)</f>
        <v>2.1059999999999999E-2</v>
      </c>
      <c r="E379" s="160">
        <f>_xll.qlSwapRateHelperSpread($B379,Trigger)</f>
        <v>0</v>
      </c>
      <c r="F379" s="161" t="b">
        <v>0</v>
      </c>
      <c r="G379" s="161">
        <v>50</v>
      </c>
      <c r="H379" s="161">
        <v>1</v>
      </c>
      <c r="I379" s="166">
        <f>_xll.qlRateHelperEarliestDate($B379,Trigger)</f>
        <v>52904</v>
      </c>
      <c r="J379" s="167">
        <f>_xll.qlRateHelperLatestDate($B379,Trigger)</f>
        <v>55460</v>
      </c>
      <c r="L379" s="165"/>
    </row>
    <row r="380" spans="2:12" x14ac:dyDescent="0.2">
      <c r="B380" s="276" t="str">
        <f>ForwardSwaps!J319</f>
        <v>obj_007f4#0000</v>
      </c>
      <c r="C380" s="159" t="str">
        <f>_xll.qlRateHelperQuoteName(B380)</f>
        <v>EUR30F8Y_Quote</v>
      </c>
      <c r="D380" s="160">
        <f>_xll.qlRateHelperQuoteValue($B380,Trigger)</f>
        <v>2.112E-2</v>
      </c>
      <c r="E380" s="160">
        <f>_xll.qlSwapRateHelperSpread($B380,Trigger)</f>
        <v>0</v>
      </c>
      <c r="F380" s="161" t="b">
        <v>0</v>
      </c>
      <c r="G380" s="161">
        <v>50</v>
      </c>
      <c r="H380" s="161">
        <v>1</v>
      </c>
      <c r="I380" s="166">
        <f>_xll.qlRateHelperEarliestDate($B380,Trigger)</f>
        <v>52904</v>
      </c>
      <c r="J380" s="167">
        <f>_xll.qlRateHelperLatestDate($B380,Trigger)</f>
        <v>55827</v>
      </c>
      <c r="L380" s="165"/>
    </row>
    <row r="381" spans="2:12" x14ac:dyDescent="0.2">
      <c r="B381" s="276" t="str">
        <f>ForwardSwaps!J320</f>
        <v>obj_007a0#0000</v>
      </c>
      <c r="C381" s="159" t="str">
        <f>_xll.qlRateHelperQuoteName(B381)</f>
        <v>EUR30F9Y_Quote</v>
      </c>
      <c r="D381" s="160">
        <f>_xll.qlRateHelperQuoteValue($B381,Trigger)</f>
        <v>2.1139999999999999E-2</v>
      </c>
      <c r="E381" s="160">
        <f>_xll.qlSwapRateHelperSpread($B381,Trigger)</f>
        <v>0</v>
      </c>
      <c r="F381" s="161" t="b">
        <v>0</v>
      </c>
      <c r="G381" s="161">
        <v>50</v>
      </c>
      <c r="H381" s="161">
        <v>1</v>
      </c>
      <c r="I381" s="166">
        <f>_xll.qlRateHelperEarliestDate($B381,Trigger)</f>
        <v>52904</v>
      </c>
      <c r="J381" s="167">
        <f>_xll.qlRateHelperLatestDate($B381,Trigger)</f>
        <v>56191</v>
      </c>
      <c r="L381" s="165"/>
    </row>
    <row r="382" spans="2:12" x14ac:dyDescent="0.2">
      <c r="B382" s="276" t="str">
        <f>ForwardSwaps!J321</f>
        <v>obj_0076b#0000</v>
      </c>
      <c r="C382" s="159" t="str">
        <f>_xll.qlRateHelperQuoteName(B382)</f>
        <v>EUR30F10Y_Quote</v>
      </c>
      <c r="D382" s="160">
        <f>_xll.qlRateHelperQuoteValue($B382,Trigger)</f>
        <v>2.1129999999999999E-2</v>
      </c>
      <c r="E382" s="160">
        <f>_xll.qlSwapRateHelperSpread($B382,Trigger)</f>
        <v>0</v>
      </c>
      <c r="F382" s="161" t="b">
        <v>0</v>
      </c>
      <c r="G382" s="161">
        <v>50</v>
      </c>
      <c r="H382" s="161">
        <v>1</v>
      </c>
      <c r="I382" s="166">
        <f>_xll.qlRateHelperEarliestDate($B382,Trigger)</f>
        <v>52904</v>
      </c>
      <c r="J382" s="167">
        <f>_xll.qlRateHelperLatestDate($B382,Trigger)</f>
        <v>56556</v>
      </c>
      <c r="L382" s="165"/>
    </row>
    <row r="383" spans="2:12" x14ac:dyDescent="0.2">
      <c r="B383" s="276" t="str">
        <f>ForwardSwaps!J322</f>
        <v>obj_00764#0000</v>
      </c>
      <c r="C383" s="159" t="str">
        <f>_xll.qlRateHelperQuoteName(B383)</f>
        <v>EUR30F11Y_Quote</v>
      </c>
      <c r="D383" s="160">
        <f>_xll.qlRateHelperQuoteValue($B383,Trigger)</f>
        <v>2.1080000000000002E-2</v>
      </c>
      <c r="E383" s="160">
        <f>_xll.qlSwapRateHelperSpread($B383,Trigger)</f>
        <v>0</v>
      </c>
      <c r="F383" s="161" t="b">
        <v>0</v>
      </c>
      <c r="G383" s="161">
        <v>50</v>
      </c>
      <c r="H383" s="161">
        <v>1</v>
      </c>
      <c r="I383" s="166">
        <f>_xll.qlRateHelperEarliestDate($B383,Trigger)</f>
        <v>52904</v>
      </c>
      <c r="J383" s="167">
        <f>_xll.qlRateHelperLatestDate($B383,Trigger)</f>
        <v>56921</v>
      </c>
      <c r="L383" s="165"/>
    </row>
    <row r="384" spans="2:12" x14ac:dyDescent="0.2">
      <c r="B384" s="276" t="str">
        <f>ForwardSwaps!J323</f>
        <v>obj_00884#0000</v>
      </c>
      <c r="C384" s="159" t="str">
        <f>_xll.qlRateHelperQuoteName(B384)</f>
        <v>EUR30F12Y_Quote</v>
      </c>
      <c r="D384" s="160">
        <f>_xll.qlRateHelperQuoteValue($B384,Trigger)</f>
        <v>2.1010000000000001E-2</v>
      </c>
      <c r="E384" s="160">
        <f>_xll.qlSwapRateHelperSpread($B384,Trigger)</f>
        <v>0</v>
      </c>
      <c r="F384" s="161" t="b">
        <v>0</v>
      </c>
      <c r="G384" s="161">
        <v>50</v>
      </c>
      <c r="H384" s="161">
        <v>1</v>
      </c>
      <c r="I384" s="166">
        <f>_xll.qlRateHelperEarliestDate($B384,Trigger)</f>
        <v>52904</v>
      </c>
      <c r="J384" s="167">
        <f>_xll.qlRateHelperLatestDate($B384,Trigger)</f>
        <v>57287</v>
      </c>
      <c r="L384" s="165"/>
    </row>
    <row r="385" spans="2:12" x14ac:dyDescent="0.2">
      <c r="B385" s="276" t="str">
        <f>ForwardSwaps!J324</f>
        <v>obj_007c3#0000</v>
      </c>
      <c r="C385" s="159" t="str">
        <f>_xll.qlRateHelperQuoteName(B385)</f>
        <v>EUR30F13Y_Quote</v>
      </c>
      <c r="D385" s="160">
        <f>_xll.qlRateHelperQuoteValue($B385,Trigger)</f>
        <v>2.0930000000000001E-2</v>
      </c>
      <c r="E385" s="160">
        <f>_xll.qlSwapRateHelperSpread($B385,Trigger)</f>
        <v>0</v>
      </c>
      <c r="F385" s="161" t="b">
        <v>0</v>
      </c>
      <c r="G385" s="161">
        <v>50</v>
      </c>
      <c r="H385" s="161">
        <v>1</v>
      </c>
      <c r="I385" s="166">
        <f>_xll.qlRateHelperEarliestDate($B385,Trigger)</f>
        <v>52904</v>
      </c>
      <c r="J385" s="167">
        <f>_xll.qlRateHelperLatestDate($B385,Trigger)</f>
        <v>57654</v>
      </c>
      <c r="L385" s="165"/>
    </row>
    <row r="386" spans="2:12" x14ac:dyDescent="0.2">
      <c r="B386" s="276" t="str">
        <f>ForwardSwaps!J325</f>
        <v>obj_00841#0000</v>
      </c>
      <c r="C386" s="159" t="str">
        <f>_xll.qlRateHelperQuoteName(B386)</f>
        <v>EUR30F14Y_Quote</v>
      </c>
      <c r="D386" s="160">
        <f>_xll.qlRateHelperQuoteValue($B386,Trigger)</f>
        <v>2.0830000000000001E-2</v>
      </c>
      <c r="E386" s="160">
        <f>_xll.qlSwapRateHelperSpread($B386,Trigger)</f>
        <v>0</v>
      </c>
      <c r="F386" s="161" t="b">
        <v>0</v>
      </c>
      <c r="G386" s="161">
        <v>50</v>
      </c>
      <c r="H386" s="161">
        <v>1</v>
      </c>
      <c r="I386" s="166">
        <f>_xll.qlRateHelperEarliestDate($B386,Trigger)</f>
        <v>52904</v>
      </c>
      <c r="J386" s="167">
        <f>_xll.qlRateHelperLatestDate($B386,Trigger)</f>
        <v>58018</v>
      </c>
      <c r="L386" s="165"/>
    </row>
    <row r="387" spans="2:12" x14ac:dyDescent="0.2">
      <c r="B387" s="276" t="str">
        <f>ForwardSwaps!J326</f>
        <v>obj_0083e#0000</v>
      </c>
      <c r="C387" s="159" t="str">
        <f>_xll.qlRateHelperQuoteName(B387)</f>
        <v>EUR30F15Y_Quote</v>
      </c>
      <c r="D387" s="160">
        <f>_xll.qlRateHelperQuoteValue($B387,Trigger)</f>
        <v>2.0739999999999998E-2</v>
      </c>
      <c r="E387" s="160">
        <f>_xll.qlSwapRateHelperSpread($B387,Trigger)</f>
        <v>0</v>
      </c>
      <c r="F387" s="161" t="b">
        <v>0</v>
      </c>
      <c r="G387" s="161">
        <v>50</v>
      </c>
      <c r="H387" s="161">
        <v>1</v>
      </c>
      <c r="I387" s="166">
        <f>_xll.qlRateHelperEarliestDate($B387,Trigger)</f>
        <v>52904</v>
      </c>
      <c r="J387" s="167">
        <f>_xll.qlRateHelperLatestDate($B387,Trigger)</f>
        <v>58382</v>
      </c>
      <c r="L387" s="165"/>
    </row>
    <row r="388" spans="2:12" x14ac:dyDescent="0.2">
      <c r="B388" s="276" t="str">
        <f>ForwardSwaps!J327</f>
        <v>obj_0087f#0000</v>
      </c>
      <c r="C388" s="159" t="str">
        <f>_xll.qlRateHelperQuoteName(B388)</f>
        <v>EUR30F20Y_Quote</v>
      </c>
      <c r="D388" s="160">
        <f>_xll.qlRateHelperQuoteValue($B388,Trigger)</f>
        <v>2.043E-2</v>
      </c>
      <c r="E388" s="160">
        <f>_xll.qlSwapRateHelperSpread($B388,Trigger)</f>
        <v>0</v>
      </c>
      <c r="F388" s="161" t="b">
        <v>0</v>
      </c>
      <c r="G388" s="161">
        <v>50</v>
      </c>
      <c r="H388" s="161">
        <v>1</v>
      </c>
      <c r="I388" s="166">
        <f>_xll.qlRateHelperEarliestDate($B388,Trigger)</f>
        <v>52904</v>
      </c>
      <c r="J388" s="167">
        <f>_xll.qlRateHelperLatestDate($B388,Trigger)</f>
        <v>60209</v>
      </c>
      <c r="L388" s="165"/>
    </row>
    <row r="389" spans="2:12" x14ac:dyDescent="0.2">
      <c r="B389" s="276" t="str">
        <f>ForwardSwaps!J328</f>
        <v>obj_007a8#0000</v>
      </c>
      <c r="C389" s="159" t="str">
        <f>_xll.qlRateHelperQuoteName(B389)</f>
        <v>EUR30F25Y_Quote</v>
      </c>
      <c r="D389" s="160">
        <f>_xll.qlRateHelperQuoteValue($B389,Trigger)</f>
        <v>2.036E-2</v>
      </c>
      <c r="E389" s="160">
        <f>_xll.qlSwapRateHelperSpread($B389,Trigger)</f>
        <v>0</v>
      </c>
      <c r="F389" s="161" t="b">
        <v>0</v>
      </c>
      <c r="G389" s="161">
        <v>50</v>
      </c>
      <c r="H389" s="161">
        <v>1</v>
      </c>
      <c r="I389" s="166">
        <f>_xll.qlRateHelperEarliestDate($B389,Trigger)</f>
        <v>52904</v>
      </c>
      <c r="J389" s="167">
        <f>_xll.qlRateHelperLatestDate($B389,Trigger)</f>
        <v>62036</v>
      </c>
      <c r="L389" s="165"/>
    </row>
    <row r="390" spans="2:12" x14ac:dyDescent="0.2">
      <c r="B390" s="277" t="str">
        <f>ForwardSwaps!J329</f>
        <v>obj_007b3#0000</v>
      </c>
      <c r="C390" s="162" t="str">
        <f>_xll.qlRateHelperQuoteName(B390)</f>
        <v>EUR30F30Y_Quote</v>
      </c>
      <c r="D390" s="163">
        <f>_xll.qlRateHelperQuoteValue($B390,Trigger)</f>
        <v>2.036E-2</v>
      </c>
      <c r="E390" s="163">
        <f>_xll.qlSwapRateHelperSpread($B390,Trigger)</f>
        <v>0</v>
      </c>
      <c r="F390" s="164" t="b">
        <v>0</v>
      </c>
      <c r="G390" s="164">
        <v>50</v>
      </c>
      <c r="H390" s="164">
        <v>1</v>
      </c>
      <c r="I390" s="168">
        <f>_xll.qlRateHelperEarliestDate($B390,Trigger)</f>
        <v>52904</v>
      </c>
      <c r="J390" s="169">
        <f>_xll.qlRateHelperLatestDate($B390,Trigger)</f>
        <v>63863</v>
      </c>
      <c r="L390" s="16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55"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12" t="s">
        <v>53</v>
      </c>
      <c r="B1" s="313"/>
      <c r="D1" s="230" t="s">
        <v>52</v>
      </c>
      <c r="E1" s="256" t="s">
        <v>160</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obj_008dc</v>
      </c>
      <c r="E2" s="257" t="str">
        <f>_xll.qlRateHelperQuoteName($D2)</f>
        <v>EUR1MD_SYNTH6M_Quote</v>
      </c>
      <c r="F2" s="10">
        <f>_xll.qlRateHelperRate($D2)</f>
        <v>1.8619999999999999E-3</v>
      </c>
      <c r="G2" s="10" t="str">
        <f>IF(ISERROR(_xll.qlSwapRateHelperSpread($D2)),IF(ISERROR(_xll.qlFuturesRateHelperConvexityAdjustment($D2)),"--",_xll.qlFuturesRateHelperConvexityAdjustment($D2)),_xll.qlSwapRateHelperSpread($D2))</f>
        <v>--</v>
      </c>
      <c r="H2" s="9">
        <f>_xll.qlRateHelperEarliestDate($D2)</f>
        <v>41946</v>
      </c>
      <c r="I2" s="8">
        <f>_xll.qlRateHelperLatestDate($D2)</f>
        <v>41976</v>
      </c>
      <c r="J2" s="3">
        <v>0.99984485740629236</v>
      </c>
    </row>
    <row r="3" spans="1:10" x14ac:dyDescent="0.2">
      <c r="A3" s="12" t="s">
        <v>49</v>
      </c>
      <c r="B3" s="14">
        <v>1</v>
      </c>
      <c r="D3" s="11" t="str">
        <v>obj_008e2</v>
      </c>
      <c r="E3" s="257" t="str">
        <f>_xll.qlRateHelperQuoteName($D3)</f>
        <v>EUR2MD_SYNTH6M_Quote</v>
      </c>
      <c r="F3" s="10">
        <f>_xll.qlRateHelperRate($D3)</f>
        <v>1.903E-3</v>
      </c>
      <c r="G3" s="10" t="str">
        <f>IF(ISERROR(_xll.qlSwapRateHelperSpread($D3)),IF(ISERROR(_xll.qlFuturesRateHelperConvexityAdjustment($D3)),"--",_xll.qlFuturesRateHelperConvexityAdjustment($D3)),_xll.qlSwapRateHelperSpread($D3))</f>
        <v>--</v>
      </c>
      <c r="H3" s="9">
        <f>_xll.qlRateHelperEarliestDate($D3)</f>
        <v>41946</v>
      </c>
      <c r="I3" s="8">
        <f>_xll.qlRateHelperLatestDate($D3)</f>
        <v>42009</v>
      </c>
      <c r="J3" s="3">
        <v>0.99966708586884911</v>
      </c>
    </row>
    <row r="4" spans="1:10" x14ac:dyDescent="0.2">
      <c r="A4" s="12" t="s">
        <v>48</v>
      </c>
      <c r="B4" s="14">
        <v>2</v>
      </c>
      <c r="D4" s="11" t="str">
        <v>obj_008c4</v>
      </c>
      <c r="E4" s="257" t="str">
        <f>_xll.qlRateHelperQuoteName($D4)</f>
        <v>EUR3MD_SYNTH6M_Quote</v>
      </c>
      <c r="F4" s="10">
        <f>_xll.qlRateHelperRate($D4)</f>
        <v>1.905E-3</v>
      </c>
      <c r="G4" s="10" t="str">
        <f>IF(ISERROR(_xll.qlSwapRateHelperSpread($D4)),IF(ISERROR(_xll.qlFuturesRateHelperConvexityAdjustment($D4)),"--",_xll.qlFuturesRateHelperConvexityAdjustment($D4)),_xll.qlSwapRateHelperSpread($D4))</f>
        <v>--</v>
      </c>
      <c r="H4" s="9">
        <f>_xll.qlRateHelperEarliestDate($D4)</f>
        <v>41946</v>
      </c>
      <c r="I4" s="8">
        <f>_xll.qlRateHelperLatestDate($D4)</f>
        <v>42038</v>
      </c>
      <c r="J4" s="3">
        <v>0.9995134035580332</v>
      </c>
    </row>
    <row r="5" spans="1:10" x14ac:dyDescent="0.2">
      <c r="A5" s="12" t="s">
        <v>47</v>
      </c>
      <c r="B5" s="13" t="s">
        <v>46</v>
      </c>
      <c r="D5" s="11" t="str">
        <v>obj_008d8</v>
      </c>
      <c r="E5" s="257" t="str">
        <f>_xll.qlRateHelperQuoteName($D5)</f>
        <v>EUR4MD_SYNTH6M_Quote</v>
      </c>
      <c r="F5" s="10">
        <f>_xll.qlRateHelperRate($D5)</f>
        <v>1.934E-3</v>
      </c>
      <c r="G5" s="10" t="str">
        <f>IF(ISERROR(_xll.qlSwapRateHelperSpread($D5)),IF(ISERROR(_xll.qlFuturesRateHelperConvexityAdjustment($D5)),"--",_xll.qlFuturesRateHelperConvexityAdjustment($D5)),_xll.qlSwapRateHelperSpread($D5))</f>
        <v>--</v>
      </c>
      <c r="H5" s="9">
        <f>_xll.qlRateHelperEarliestDate($D5)</f>
        <v>41946</v>
      </c>
      <c r="I5" s="8">
        <f>_xll.qlRateHelperLatestDate($D5)</f>
        <v>42066</v>
      </c>
      <c r="J5" s="3">
        <v>0.99935574866069665</v>
      </c>
    </row>
    <row r="6" spans="1:10" x14ac:dyDescent="0.2">
      <c r="A6" s="60"/>
      <c r="B6" s="60"/>
      <c r="D6" s="11" t="str">
        <v>obj_008e4</v>
      </c>
      <c r="E6" s="257" t="str">
        <f>_xll.qlRateHelperQuoteName($D6)</f>
        <v>EUR5MD_SYNTH6M_Quote</v>
      </c>
      <c r="F6" s="10">
        <f>_xll.qlRateHelperRate($D6)</f>
        <v>2.0070000000000001E-3</v>
      </c>
      <c r="G6" s="10" t="str">
        <f>IF(ISERROR(_xll.qlSwapRateHelperSpread($D6)),IF(ISERROR(_xll.qlFuturesRateHelperConvexityAdjustment($D6)),"--",_xll.qlFuturesRateHelperConvexityAdjustment($D6)),_xll.qlSwapRateHelperSpread($D6))</f>
        <v>--</v>
      </c>
      <c r="H6" s="9">
        <f>_xll.qlRateHelperEarliestDate($D6)</f>
        <v>41946</v>
      </c>
      <c r="I6" s="8">
        <f>_xll.qlRateHelperLatestDate($D6)</f>
        <v>42101</v>
      </c>
      <c r="J6" s="3">
        <v>0.99913662106732026</v>
      </c>
    </row>
    <row r="7" spans="1:10" x14ac:dyDescent="0.2">
      <c r="A7" s="60"/>
      <c r="B7" s="60"/>
      <c r="D7" s="11" t="str">
        <v>obj_008d0</v>
      </c>
      <c r="E7" s="257" t="str">
        <f>_xll.qlRateHelperQuoteName($D7)</f>
        <v>EUR6MD_SYNTH6M_Quote</v>
      </c>
      <c r="F7" s="10">
        <f>_xll.qlRateHelperRate($D7)</f>
        <v>2.0219999999999999E-3</v>
      </c>
      <c r="G7" s="10" t="str">
        <f>IF(ISERROR(_xll.qlSwapRateHelperSpread($D7)),IF(ISERROR(_xll.qlFuturesRateHelperConvexityAdjustment($D7)),"--",_xll.qlFuturesRateHelperConvexityAdjustment($D7)),_xll.qlSwapRateHelperSpread($D7))</f>
        <v>--</v>
      </c>
      <c r="H7" s="9">
        <f>_xll.qlRateHelperEarliestDate($D7)</f>
        <v>41946</v>
      </c>
      <c r="I7" s="8">
        <f>_xll.qlRateHelperLatestDate($D7)</f>
        <v>42128</v>
      </c>
      <c r="J7" s="3">
        <v>0.99897881056076743</v>
      </c>
    </row>
    <row r="8" spans="1:10" x14ac:dyDescent="0.2">
      <c r="A8" s="60"/>
      <c r="B8" s="60"/>
      <c r="D8" s="11" t="str">
        <v>obj_008b0</v>
      </c>
      <c r="E8" s="257" t="str">
        <f>_xll.qlRateHelperQuoteName($D8)</f>
        <v>EUR1x7F_Quote</v>
      </c>
      <c r="F8" s="10">
        <f>_xll.qlRateHelperRate($D8)</f>
        <v>2.0500000000000002E-3</v>
      </c>
      <c r="G8" s="10" t="str">
        <f>IF(ISERROR(_xll.qlSwapRateHelperSpread($D8)),IF(ISERROR(_xll.qlFuturesRateHelperConvexityAdjustment($D8)),"--",_xll.qlFuturesRateHelperConvexityAdjustment($D8)),_xll.qlSwapRateHelperSpread($D8))</f>
        <v>--</v>
      </c>
      <c r="H8" s="9">
        <f>_xll.qlRateHelperEarliestDate($D8)</f>
        <v>41976</v>
      </c>
      <c r="I8" s="8">
        <f>_xll.qlRateHelperLatestDate($D8)</f>
        <v>42158</v>
      </c>
      <c r="J8" s="3">
        <v>0.99880970212888665</v>
      </c>
    </row>
    <row r="9" spans="1:10" x14ac:dyDescent="0.2">
      <c r="A9" s="60"/>
      <c r="D9" s="11" t="str">
        <v>obj_008ad</v>
      </c>
      <c r="E9" s="257" t="str">
        <f>_xll.qlRateHelperQuoteName($D9)</f>
        <v>EUR2x8F_Quote</v>
      </c>
      <c r="F9" s="10">
        <f>_xll.qlRateHelperRate($D9)</f>
        <v>2.0800000000000003E-3</v>
      </c>
      <c r="G9" s="10" t="str">
        <f>IF(ISERROR(_xll.qlSwapRateHelperSpread($D9)),IF(ISERROR(_xll.qlFuturesRateHelperConvexityAdjustment($D9)),"--",_xll.qlFuturesRateHelperConvexityAdjustment($D9)),_xll.qlSwapRateHelperSpread($D9))</f>
        <v>--</v>
      </c>
      <c r="H9" s="9">
        <f>_xll.qlRateHelperEarliestDate($D9)</f>
        <v>42009</v>
      </c>
      <c r="I9" s="8">
        <f>_xll.qlRateHelperLatestDate($D9)</f>
        <v>42191</v>
      </c>
      <c r="J9" s="3">
        <v>0.99861698463086279</v>
      </c>
    </row>
    <row r="10" spans="1:10" x14ac:dyDescent="0.2">
      <c r="D10" s="11" t="str">
        <v>obj_008b7</v>
      </c>
      <c r="E10" s="257" t="str">
        <f>_xll.qlRateHelperQuoteName($D10)</f>
        <v>EUR3x9F_Quote</v>
      </c>
      <c r="F10" s="10">
        <f>_xll.qlRateHelperRate($D10)</f>
        <v>2.0900000000000003E-3</v>
      </c>
      <c r="G10" s="10" t="str">
        <f>IF(ISERROR(_xll.qlSwapRateHelperSpread($D10)),IF(ISERROR(_xll.qlFuturesRateHelperConvexityAdjustment($D10)),"--",_xll.qlFuturesRateHelperConvexityAdjustment($D10)),_xll.qlSwapRateHelperSpread($D10))</f>
        <v>--</v>
      </c>
      <c r="H10" s="9">
        <f>_xll.qlRateHelperEarliestDate($D10)</f>
        <v>42038</v>
      </c>
      <c r="I10" s="8">
        <f>_xll.qlRateHelperLatestDate($D10)</f>
        <v>42219</v>
      </c>
      <c r="J10" s="3">
        <v>0.99846421181723222</v>
      </c>
    </row>
    <row r="11" spans="1:10" x14ac:dyDescent="0.2">
      <c r="D11" s="11" t="str">
        <v>obj_008b3</v>
      </c>
      <c r="E11" s="257" t="str">
        <f>_xll.qlRateHelperQuoteName($D11)</f>
        <v>EUR4x10F_Quote</v>
      </c>
      <c r="F11" s="10">
        <f>_xll.qlRateHelperRate($D11)</f>
        <v>2.0800000000000003E-3</v>
      </c>
      <c r="G11" s="10" t="str">
        <f>IF(ISERROR(_xll.qlSwapRateHelperSpread($D11)),IF(ISERROR(_xll.qlFuturesRateHelperConvexityAdjustment($D11)),"--",_xll.qlFuturesRateHelperConvexityAdjustment($D11)),_xll.qlSwapRateHelperSpread($D11))</f>
        <v>--</v>
      </c>
      <c r="H11" s="9">
        <f>_xll.qlRateHelperEarliestDate($D11)</f>
        <v>42066</v>
      </c>
      <c r="I11" s="8">
        <f>_xll.qlRateHelperLatestDate($D11)</f>
        <v>42250</v>
      </c>
      <c r="J11" s="3">
        <v>0.99829445073795664</v>
      </c>
    </row>
    <row r="12" spans="1:10" x14ac:dyDescent="0.2">
      <c r="D12" s="11" t="str">
        <v>obj_008b1</v>
      </c>
      <c r="E12" s="257" t="str">
        <f>_xll.qlRateHelperQuoteName($D12)</f>
        <v>EUR5x11F_Quote</v>
      </c>
      <c r="F12" s="10">
        <f>_xll.qlRateHelperRate($D12)</f>
        <v>2.0800000000000003E-3</v>
      </c>
      <c r="G12" s="10" t="str">
        <f>IF(ISERROR(_xll.qlSwapRateHelperSpread($D12)),IF(ISERROR(_xll.qlFuturesRateHelperConvexityAdjustment($D12)),"--",_xll.qlFuturesRateHelperConvexityAdjustment($D12)),_xll.qlSwapRateHelperSpread($D12))</f>
        <v>--</v>
      </c>
      <c r="H12" s="9">
        <f>_xll.qlRateHelperEarliestDate($D12)</f>
        <v>42101</v>
      </c>
      <c r="I12" s="8">
        <f>_xll.qlRateHelperLatestDate($D12)</f>
        <v>42284</v>
      </c>
      <c r="J12" s="3">
        <v>0.99808131642208997</v>
      </c>
    </row>
    <row r="13" spans="1:10" x14ac:dyDescent="0.2">
      <c r="D13" s="11" t="str">
        <v>obj_008af</v>
      </c>
      <c r="E13" s="257" t="str">
        <f>_xll.qlRateHelperQuoteName($D13)</f>
        <v>EUR6x12F_Quote</v>
      </c>
      <c r="F13" s="10">
        <f>_xll.qlRateHelperRate($D13)</f>
        <v>2.0900000000000003E-3</v>
      </c>
      <c r="G13" s="10" t="str">
        <f>IF(ISERROR(_xll.qlSwapRateHelperSpread($D13)),IF(ISERROR(_xll.qlFuturesRateHelperConvexityAdjustment($D13)),"--",_xll.qlFuturesRateHelperConvexityAdjustment($D13)),_xll.qlSwapRateHelperSpread($D13))</f>
        <v>--</v>
      </c>
      <c r="H13" s="9">
        <f>_xll.qlRateHelperEarliestDate($D13)</f>
        <v>42128</v>
      </c>
      <c r="I13" s="8">
        <f>_xll.qlRateHelperLatestDate($D13)</f>
        <v>42312</v>
      </c>
      <c r="J13" s="3">
        <v>0.99791281791283248</v>
      </c>
    </row>
    <row r="14" spans="1:10" x14ac:dyDescent="0.2">
      <c r="D14" s="11" t="str">
        <v>obj_008a7</v>
      </c>
      <c r="E14" s="257" t="str">
        <f>_xll.qlRateHelperQuoteName($D14)</f>
        <v>EUR7x13F_Quote</v>
      </c>
      <c r="F14" s="10">
        <f>_xll.qlRateHelperRate($D14)</f>
        <v>2.0900000000000003E-3</v>
      </c>
      <c r="G14" s="10" t="str">
        <f>IF(ISERROR(_xll.qlSwapRateHelperSpread($D14)),IF(ISERROR(_xll.qlFuturesRateHelperConvexityAdjustment($D14)),"--",_xll.qlFuturesRateHelperConvexityAdjustment($D14)),_xll.qlSwapRateHelperSpread($D14))</f>
        <v>--</v>
      </c>
      <c r="H14" s="9">
        <f>_xll.qlRateHelperEarliestDate($D14)</f>
        <v>42158</v>
      </c>
      <c r="I14" s="8">
        <f>_xll.qlRateHelperLatestDate($D14)</f>
        <v>42341</v>
      </c>
      <c r="J14" s="3">
        <v>0.9977496762435325</v>
      </c>
    </row>
    <row r="15" spans="1:10" x14ac:dyDescent="0.2">
      <c r="D15" s="11" t="str">
        <v>obj_008a9</v>
      </c>
      <c r="E15" s="257" t="str">
        <f>_xll.qlRateHelperQuoteName($D15)</f>
        <v>EUR8x14F_Quote</v>
      </c>
      <c r="F15" s="10">
        <f>_xll.qlRateHelperRate($D15)</f>
        <v>2.1199999999999999E-3</v>
      </c>
      <c r="G15" s="10" t="str">
        <f>IF(ISERROR(_xll.qlSwapRateHelperSpread($D15)),IF(ISERROR(_xll.qlFuturesRateHelperConvexityAdjustment($D15)),"--",_xll.qlFuturesRateHelperConvexityAdjustment($D15)),_xll.qlSwapRateHelperSpread($D15))</f>
        <v>--</v>
      </c>
      <c r="H15" s="9">
        <f>_xll.qlRateHelperEarliestDate($D15)</f>
        <v>42188</v>
      </c>
      <c r="I15" s="8">
        <f>_xll.qlRateHelperLatestDate($D15)</f>
        <v>42373</v>
      </c>
      <c r="J15" s="3">
        <v>0.99754737518080172</v>
      </c>
    </row>
    <row r="16" spans="1:10" x14ac:dyDescent="0.2">
      <c r="D16" s="11" t="str">
        <v>obj_008b5</v>
      </c>
      <c r="E16" s="257" t="str">
        <f>_xll.qlRateHelperQuoteName($D16)</f>
        <v>EUR9x15F_Quote</v>
      </c>
      <c r="F16" s="10">
        <f>_xll.qlRateHelperRate($D16)</f>
        <v>2.1700000000000001E-3</v>
      </c>
      <c r="G16" s="10" t="str">
        <f>IF(ISERROR(_xll.qlSwapRateHelperSpread($D16)),IF(ISERROR(_xll.qlFuturesRateHelperConvexityAdjustment($D16)),"--",_xll.qlFuturesRateHelperConvexityAdjustment($D16)),_xll.qlSwapRateHelperSpread($D16))</f>
        <v>--</v>
      </c>
      <c r="H16" s="9">
        <f>_xll.qlRateHelperEarliestDate($D16)</f>
        <v>42219</v>
      </c>
      <c r="I16" s="8">
        <f>_xll.qlRateHelperLatestDate($D16)</f>
        <v>42403</v>
      </c>
      <c r="J16" s="3">
        <v>0.99735803094335707</v>
      </c>
    </row>
    <row r="17" spans="4:10" x14ac:dyDescent="0.2">
      <c r="D17" s="11" t="str">
        <v>obj_008b6</v>
      </c>
      <c r="E17" s="257" t="str">
        <f>_xll.qlRateHelperQuoteName($D17)</f>
        <v>EUR10x16F_Quote</v>
      </c>
      <c r="F17" s="10">
        <f>_xll.qlRateHelperRate($D17)</f>
        <v>2.2200000000000002E-3</v>
      </c>
      <c r="G17" s="10" t="str">
        <f>IF(ISERROR(_xll.qlSwapRateHelperSpread($D17)),IF(ISERROR(_xll.qlFuturesRateHelperConvexityAdjustment($D17)),"--",_xll.qlFuturesRateHelperConvexityAdjustment($D17)),_xll.qlSwapRateHelperSpread($D17))</f>
        <v>--</v>
      </c>
      <c r="H17" s="9">
        <f>_xll.qlRateHelperEarliestDate($D17)</f>
        <v>42250</v>
      </c>
      <c r="I17" s="8">
        <f>_xll.qlRateHelperLatestDate($D17)</f>
        <v>42432</v>
      </c>
      <c r="J17" s="3">
        <v>0.99717528767342445</v>
      </c>
    </row>
    <row r="18" spans="4:10" x14ac:dyDescent="0.2">
      <c r="D18" s="11" t="str">
        <v>obj_008b2</v>
      </c>
      <c r="E18" s="257" t="str">
        <f>_xll.qlRateHelperQuoteName($D18)</f>
        <v>EUR11x17F_Quote</v>
      </c>
      <c r="F18" s="10">
        <f>_xll.qlRateHelperRate($D18)</f>
        <v>2.2799999999999999E-3</v>
      </c>
      <c r="G18" s="10" t="str">
        <f>IF(ISERROR(_xll.qlSwapRateHelperSpread($D18)),IF(ISERROR(_xll.qlFuturesRateHelperConvexityAdjustment($D18)),"--",_xll.qlFuturesRateHelperConvexityAdjustment($D18)),_xll.qlSwapRateHelperSpread($D18))</f>
        <v>--</v>
      </c>
      <c r="H18" s="9">
        <f>_xll.qlRateHelperEarliestDate($D18)</f>
        <v>42282</v>
      </c>
      <c r="I18" s="8">
        <f>_xll.qlRateHelperLatestDate($D18)</f>
        <v>42465</v>
      </c>
      <c r="J18" s="3">
        <v>0.99693851598111705</v>
      </c>
    </row>
    <row r="19" spans="4:10" x14ac:dyDescent="0.2">
      <c r="D19" s="11" t="str">
        <v>obj_008ab</v>
      </c>
      <c r="E19" s="257" t="str">
        <f>_xll.qlRateHelperQuoteName($D19)</f>
        <v>EUR12x18F_Quote</v>
      </c>
      <c r="F19" s="10">
        <f>_xll.qlRateHelperRate($D19)</f>
        <v>2.3499999999999997E-3</v>
      </c>
      <c r="G19" s="10" t="str">
        <f>IF(ISERROR(_xll.qlSwapRateHelperSpread($D19)),IF(ISERROR(_xll.qlFuturesRateHelperConvexityAdjustment($D19)),"--",_xll.qlFuturesRateHelperConvexityAdjustment($D19)),_xll.qlSwapRateHelperSpread($D19))</f>
        <v>--</v>
      </c>
      <c r="H19" s="9">
        <f>_xll.qlRateHelperEarliestDate($D19)</f>
        <v>42311</v>
      </c>
      <c r="I19" s="8">
        <f>_xll.qlRateHelperLatestDate($D19)</f>
        <v>42493</v>
      </c>
      <c r="J19" s="3">
        <v>0.99673433651810661</v>
      </c>
    </row>
    <row r="20" spans="4:10" x14ac:dyDescent="0.2">
      <c r="D20" s="11" t="str">
        <v>obj_008ac</v>
      </c>
      <c r="E20" s="257" t="str">
        <f>_xll.qlRateHelperQuoteName($D20)</f>
        <v>EUR13x19F_Quote</v>
      </c>
      <c r="F20" s="10">
        <f>_xll.qlRateHelperRate($D20)</f>
        <v>2.4299999999999999E-3</v>
      </c>
      <c r="G20" s="10" t="str">
        <f>IF(ISERROR(_xll.qlSwapRateHelperSpread($D20)),IF(ISERROR(_xll.qlFuturesRateHelperConvexityAdjustment($D20)),"--",_xll.qlFuturesRateHelperConvexityAdjustment($D20)),_xll.qlSwapRateHelperSpread($D20))</f>
        <v>--</v>
      </c>
      <c r="H20" s="9">
        <f>_xll.qlRateHelperEarliestDate($D20)</f>
        <v>42341</v>
      </c>
      <c r="I20" s="8">
        <f>_xll.qlRateHelperLatestDate($D20)</f>
        <v>42524</v>
      </c>
      <c r="J20" s="3">
        <v>0.99651872648663997</v>
      </c>
    </row>
    <row r="21" spans="4:10" x14ac:dyDescent="0.2">
      <c r="D21" s="11" t="str">
        <v>obj_008aa</v>
      </c>
      <c r="E21" s="257" t="str">
        <f>_xll.qlRateHelperQuoteName($D21)</f>
        <v>EUR14x20F_Quote</v>
      </c>
      <c r="F21" s="10">
        <f>_xll.qlRateHelperRate($D21)</f>
        <v>2.5100000000000001E-3</v>
      </c>
      <c r="G21" s="10" t="str">
        <f>IF(ISERROR(_xll.qlSwapRateHelperSpread($D21)),IF(ISERROR(_xll.qlFuturesRateHelperConvexityAdjustment($D21)),"--",_xll.qlFuturesRateHelperConvexityAdjustment($D21)),_xll.qlSwapRateHelperSpread($D21))</f>
        <v>--</v>
      </c>
      <c r="H21" s="9">
        <f>_xll.qlRateHelperEarliestDate($D21)</f>
        <v>42373</v>
      </c>
      <c r="I21" s="8">
        <f>_xll.qlRateHelperLatestDate($D21)</f>
        <v>42555</v>
      </c>
      <c r="J21" s="3">
        <v>0.99628314721604827</v>
      </c>
    </row>
    <row r="22" spans="4:10" x14ac:dyDescent="0.2">
      <c r="D22" s="11" t="str">
        <v>obj_008b8</v>
      </c>
      <c r="E22" s="257" t="str">
        <f>_xll.qlRateHelperQuoteName($D22)</f>
        <v>EUR15x21F_Quote</v>
      </c>
      <c r="F22" s="10">
        <f>_xll.qlRateHelperRate($D22)</f>
        <v>2.5900000000000003E-3</v>
      </c>
      <c r="G22" s="10" t="str">
        <f>IF(ISERROR(_xll.qlSwapRateHelperSpread($D22)),IF(ISERROR(_xll.qlFuturesRateHelperConvexityAdjustment($D22)),"--",_xll.qlFuturesRateHelperConvexityAdjustment($D22)),_xll.qlSwapRateHelperSpread($D22))</f>
        <v>--</v>
      </c>
      <c r="H22" s="9">
        <f>_xll.qlRateHelperEarliestDate($D22)</f>
        <v>42403</v>
      </c>
      <c r="I22" s="8">
        <f>_xll.qlRateHelperLatestDate($D22)</f>
        <v>42585</v>
      </c>
      <c r="J22" s="3">
        <v>0.99605380915291697</v>
      </c>
    </row>
    <row r="23" spans="4:10" x14ac:dyDescent="0.2">
      <c r="D23" s="11" t="str">
        <v>obj_008ae</v>
      </c>
      <c r="E23" s="257" t="str">
        <f>_xll.qlRateHelperQuoteName($D23)</f>
        <v>EUR16x22F_Quote</v>
      </c>
      <c r="F23" s="10">
        <f>_xll.qlRateHelperRate($D23)</f>
        <v>2.6800000000000001E-3</v>
      </c>
      <c r="G23" s="10" t="str">
        <f>IF(ISERROR(_xll.qlSwapRateHelperSpread($D23)),IF(ISERROR(_xll.qlFuturesRateHelperConvexityAdjustment($D23)),"--",_xll.qlFuturesRateHelperConvexityAdjustment($D23)),_xll.qlSwapRateHelperSpread($D23))</f>
        <v>--</v>
      </c>
      <c r="H23" s="9">
        <f>_xll.qlRateHelperEarliestDate($D23)</f>
        <v>42432</v>
      </c>
      <c r="I23" s="8">
        <f>_xll.qlRateHelperLatestDate($D23)</f>
        <v>42618</v>
      </c>
      <c r="J23" s="3">
        <v>0.99579644153404712</v>
      </c>
    </row>
    <row r="24" spans="4:10" x14ac:dyDescent="0.2">
      <c r="D24" s="11" t="str">
        <v>obj_008c1</v>
      </c>
      <c r="E24" s="257" t="str">
        <f>_xll.qlRateHelperQuoteName($D24)</f>
        <v>EUR17x23F_Quote</v>
      </c>
      <c r="F24" s="10">
        <f>_xll.qlRateHelperRate($D24)</f>
        <v>2.7800000000000004E-3</v>
      </c>
      <c r="G24" s="10" t="str">
        <f>IF(ISERROR(_xll.qlSwapRateHelperSpread($D24)),IF(ISERROR(_xll.qlFuturesRateHelperConvexityAdjustment($D24)),"--",_xll.qlFuturesRateHelperConvexityAdjustment($D24)),_xll.qlSwapRateHelperSpread($D24))</f>
        <v>--</v>
      </c>
      <c r="H24" s="9">
        <f>_xll.qlRateHelperEarliestDate($D24)</f>
        <v>42464</v>
      </c>
      <c r="I24" s="8">
        <f>_xll.qlRateHelperLatestDate($D24)</f>
        <v>42647</v>
      </c>
      <c r="J24" s="3">
        <v>0.99553907294892685</v>
      </c>
    </row>
    <row r="25" spans="4:10" x14ac:dyDescent="0.2">
      <c r="D25" s="11" t="str">
        <v>obj_008b4</v>
      </c>
      <c r="E25" s="257" t="str">
        <f>_xll.qlRateHelperQuoteName($D25)</f>
        <v>EUR18x24F_Quote</v>
      </c>
      <c r="F25" s="10">
        <f>_xll.qlRateHelperRate($D25)</f>
        <v>2.8800000000000002E-3</v>
      </c>
      <c r="G25" s="10" t="str">
        <f>IF(ISERROR(_xll.qlSwapRateHelperSpread($D25)),IF(ISERROR(_xll.qlFuturesRateHelperConvexityAdjustment($D25)),"--",_xll.qlFuturesRateHelperConvexityAdjustment($D25)),_xll.qlSwapRateHelperSpread($D25))</f>
        <v>--</v>
      </c>
      <c r="H25" s="9">
        <f>_xll.qlRateHelperEarliestDate($D25)</f>
        <v>42493</v>
      </c>
      <c r="I25" s="8">
        <f>_xll.qlRateHelperLatestDate($D25)</f>
        <v>42677</v>
      </c>
      <c r="J25" s="3">
        <v>0.99526930010834724</v>
      </c>
    </row>
    <row r="26" spans="4:10" x14ac:dyDescent="0.2">
      <c r="D26" s="11" t="str">
        <v>obj_008d3</v>
      </c>
      <c r="E26" s="257" t="str">
        <f>_xll.qlRateHelperQuoteName($D26)</f>
        <v>EURAB6E3Y_Quote</v>
      </c>
      <c r="F26" s="10">
        <f>_xll.qlRateHelperRate($D26)</f>
        <v>2.9300000000000003E-3</v>
      </c>
      <c r="G26" s="10">
        <f>IF(ISERROR(_xll.qlSwapRateHelperSpread($D26)),IF(ISERROR(_xll.qlFuturesRateHelperConvexityAdjustment($D26)),"--",_xll.qlFuturesRateHelperConvexityAdjustment($D26)),_xll.qlSwapRateHelperSpread($D26))</f>
        <v>0</v>
      </c>
      <c r="H26" s="9">
        <f>_xll.qlRateHelperEarliestDate($D26)</f>
        <v>41946</v>
      </c>
      <c r="I26" s="8">
        <f>_xll.qlRateHelperLatestDate($D26)</f>
        <v>43042</v>
      </c>
      <c r="J26" s="3">
        <v>0.99125555727676096</v>
      </c>
    </row>
    <row r="27" spans="4:10" x14ac:dyDescent="0.2">
      <c r="D27" s="11" t="str">
        <v>obj_008d7</v>
      </c>
      <c r="E27" s="257" t="str">
        <f>_xll.qlRateHelperQuoteName($D27)</f>
        <v>EURAB6E4Y_Quote</v>
      </c>
      <c r="F27" s="10">
        <f>_xll.qlRateHelperRate($D27)</f>
        <v>3.7699999999999999E-3</v>
      </c>
      <c r="G27" s="10">
        <f>IF(ISERROR(_xll.qlSwapRateHelperSpread($D27)),IF(ISERROR(_xll.qlFuturesRateHelperConvexityAdjustment($D27)),"--",_xll.qlFuturesRateHelperConvexityAdjustment($D27)),_xll.qlSwapRateHelperSpread($D27))</f>
        <v>0</v>
      </c>
      <c r="H27" s="9">
        <f>_xll.qlRateHelperEarliestDate($D27)</f>
        <v>41946</v>
      </c>
      <c r="I27" s="8">
        <f>_xll.qlRateHelperLatestDate($D27)</f>
        <v>43409</v>
      </c>
      <c r="J27" s="3">
        <v>0.98502569631657888</v>
      </c>
    </row>
    <row r="28" spans="4:10" x14ac:dyDescent="0.2">
      <c r="D28" s="11" t="str">
        <v>obj_008ca</v>
      </c>
      <c r="E28" s="257" t="str">
        <f>_xll.qlRateHelperQuoteName($D28)</f>
        <v>EURAB6E5Y_Quote</v>
      </c>
      <c r="F28" s="10">
        <f>_xll.qlRateHelperRate($D28)</f>
        <v>4.7999999999999996E-3</v>
      </c>
      <c r="G28" s="10">
        <f>IF(ISERROR(_xll.qlSwapRateHelperSpread($D28)),IF(ISERROR(_xll.qlFuturesRateHelperConvexityAdjustment($D28)),"--",_xll.qlFuturesRateHelperConvexityAdjustment($D28)),_xll.qlSwapRateHelperSpread($D28))</f>
        <v>0</v>
      </c>
      <c r="H28" s="9">
        <f>_xll.qlRateHelperEarliestDate($D28)</f>
        <v>41946</v>
      </c>
      <c r="I28" s="8">
        <f>_xll.qlRateHelperLatestDate($D28)</f>
        <v>43773</v>
      </c>
      <c r="J28" s="3">
        <v>0.976285679312766</v>
      </c>
    </row>
    <row r="29" spans="4:10" x14ac:dyDescent="0.2">
      <c r="D29" s="11" t="str">
        <v>obj_008d6</v>
      </c>
      <c r="E29" s="257" t="str">
        <f>_xll.qlRateHelperQuoteName($D29)</f>
        <v>EURAB6E6Y_Quote</v>
      </c>
      <c r="F29" s="10">
        <f>_xll.qlRateHelperRate($D29)</f>
        <v>5.9499999999999996E-3</v>
      </c>
      <c r="G29" s="10">
        <f>IF(ISERROR(_xll.qlSwapRateHelperSpread($D29)),IF(ISERROR(_xll.qlFuturesRateHelperConvexityAdjustment($D29)),"--",_xll.qlFuturesRateHelperConvexityAdjustment($D29)),_xll.qlSwapRateHelperSpread($D29))</f>
        <v>0</v>
      </c>
      <c r="H29" s="9">
        <f>_xll.qlRateHelperEarliestDate($D29)</f>
        <v>41946</v>
      </c>
      <c r="I29" s="8">
        <f>_xll.qlRateHelperLatestDate($D29)</f>
        <v>44138</v>
      </c>
      <c r="J29" s="3">
        <v>0.96491856861891834</v>
      </c>
    </row>
    <row r="30" spans="4:10" x14ac:dyDescent="0.2">
      <c r="D30" s="11" t="str">
        <v>obj_008cf</v>
      </c>
      <c r="E30" s="257" t="str">
        <f>_xll.qlRateHelperQuoteName($D30)</f>
        <v>EURAB6E7Y_Quote</v>
      </c>
      <c r="F30" s="10">
        <f>_xll.qlRateHelperRate($D30)</f>
        <v>7.2299999999999994E-3</v>
      </c>
      <c r="G30" s="10">
        <f>IF(ISERROR(_xll.qlSwapRateHelperSpread($D30)),IF(ISERROR(_xll.qlFuturesRateHelperConvexityAdjustment($D30)),"--",_xll.qlFuturesRateHelperConvexityAdjustment($D30)),_xll.qlSwapRateHelperSpread($D30))</f>
        <v>0</v>
      </c>
      <c r="H30" s="9">
        <f>_xll.qlRateHelperEarliestDate($D30)</f>
        <v>41946</v>
      </c>
      <c r="I30" s="8">
        <f>_xll.qlRateHelperLatestDate($D30)</f>
        <v>44503</v>
      </c>
      <c r="J30" s="3">
        <v>0.95055775962891909</v>
      </c>
    </row>
    <row r="31" spans="4:10" x14ac:dyDescent="0.2">
      <c r="D31" s="11" t="str">
        <v>obj_008e5</v>
      </c>
      <c r="E31" s="257" t="str">
        <f>_xll.qlRateHelperQuoteName($D31)</f>
        <v>EURAB6E8Y_Quote</v>
      </c>
      <c r="F31" s="10">
        <f>_xll.qlRateHelperRate($D31)</f>
        <v>8.5500000000000003E-3</v>
      </c>
      <c r="G31" s="10">
        <f>IF(ISERROR(_xll.qlSwapRateHelperSpread($D31)),IF(ISERROR(_xll.qlFuturesRateHelperConvexityAdjustment($D31)),"--",_xll.qlFuturesRateHelperConvexityAdjustment($D31)),_xll.qlSwapRateHelperSpread($D31))</f>
        <v>0</v>
      </c>
      <c r="H31" s="9">
        <f>_xll.qlRateHelperEarliestDate($D31)</f>
        <v>41946</v>
      </c>
      <c r="I31" s="8">
        <f>_xll.qlRateHelperLatestDate($D31)</f>
        <v>44868</v>
      </c>
      <c r="J31" s="3">
        <v>0.93362422348281771</v>
      </c>
    </row>
    <row r="32" spans="4:10" x14ac:dyDescent="0.2">
      <c r="D32" s="11" t="str">
        <v>obj_008ce</v>
      </c>
      <c r="E32" s="257" t="str">
        <f>_xll.qlRateHelperQuoteName($D32)</f>
        <v>EURAB6E9Y_Quote</v>
      </c>
      <c r="F32" s="10">
        <f>_xll.qlRateHelperRate($D32)</f>
        <v>9.8099999999999993E-3</v>
      </c>
      <c r="G32" s="10">
        <f>IF(ISERROR(_xll.qlSwapRateHelperSpread($D32)),IF(ISERROR(_xll.qlFuturesRateHelperConvexityAdjustment($D32)),"--",_xll.qlFuturesRateHelperConvexityAdjustment($D32)),_xll.qlSwapRateHelperSpread($D32))</f>
        <v>0</v>
      </c>
      <c r="H32" s="9">
        <f>_xll.qlRateHelperEarliestDate($D32)</f>
        <v>41946</v>
      </c>
      <c r="I32" s="8">
        <f>_xll.qlRateHelperLatestDate($D32)</f>
        <v>45233</v>
      </c>
      <c r="J32" s="3">
        <v>0.91495494873913574</v>
      </c>
    </row>
    <row r="33" spans="4:10" x14ac:dyDescent="0.2">
      <c r="D33" s="11" t="str">
        <v>obj_008da</v>
      </c>
      <c r="E33" s="257" t="str">
        <f>_xll.qlRateHelperQuoteName($D33)</f>
        <v>EURAB6E10Y_Quote</v>
      </c>
      <c r="F33" s="10">
        <f>_xll.qlRateHelperRate($D33)</f>
        <v>1.0970000000000001E-2</v>
      </c>
      <c r="G33" s="10">
        <f>IF(ISERROR(_xll.qlSwapRateHelperSpread($D33)),IF(ISERROR(_xll.qlFuturesRateHelperConvexityAdjustment($D33)),"--",_xll.qlFuturesRateHelperConvexityAdjustment($D33)),_xll.qlSwapRateHelperSpread($D33))</f>
        <v>0</v>
      </c>
      <c r="H33" s="9">
        <f>_xll.qlRateHelperEarliestDate($D33)</f>
        <v>41946</v>
      </c>
      <c r="I33" s="8">
        <f>_xll.qlRateHelperLatestDate($D33)</f>
        <v>45600</v>
      </c>
      <c r="J33" s="3">
        <v>0.89514841430382508</v>
      </c>
    </row>
    <row r="34" spans="4:10" x14ac:dyDescent="0.2">
      <c r="D34" s="11" t="str">
        <v>obj_008d1</v>
      </c>
      <c r="E34" s="257" t="str">
        <f>_xll.qlRateHelperQuoteName($D34)</f>
        <v>EURAB6E12Y_Quote</v>
      </c>
      <c r="F34" s="10">
        <f>_xll.qlRateHelperRate($D34)</f>
        <v>1.2920000000000001E-2</v>
      </c>
      <c r="G34" s="10">
        <f>IF(ISERROR(_xll.qlSwapRateHelperSpread($D34)),IF(ISERROR(_xll.qlFuturesRateHelperConvexityAdjustment($D34)),"--",_xll.qlFuturesRateHelperConvexityAdjustment($D34)),_xll.qlSwapRateHelperSpread($D34))</f>
        <v>0</v>
      </c>
      <c r="H34" s="9">
        <f>_xll.qlRateHelperEarliestDate($D34)</f>
        <v>41946</v>
      </c>
      <c r="I34" s="8">
        <f>_xll.qlRateHelperLatestDate($D34)</f>
        <v>46329</v>
      </c>
      <c r="J34" s="3">
        <v>0.85440887445052649</v>
      </c>
    </row>
    <row r="35" spans="4:10" x14ac:dyDescent="0.2">
      <c r="D35" s="11" t="str">
        <v>obj_008bf</v>
      </c>
      <c r="E35" s="257" t="str">
        <f>_xll.qlRateHelperQuoteName($D35)</f>
        <v>EURAB6E15Y_Quote</v>
      </c>
      <c r="F35" s="10">
        <f>_xll.qlRateHelperRate($D35)</f>
        <v>1.502E-2</v>
      </c>
      <c r="G35" s="10">
        <f>IF(ISERROR(_xll.qlSwapRateHelperSpread($D35)),IF(ISERROR(_xll.qlFuturesRateHelperConvexityAdjustment($D35)),"--",_xll.qlFuturesRateHelperConvexityAdjustment($D35)),_xll.qlSwapRateHelperSpread($D35))</f>
        <v>0</v>
      </c>
      <c r="H35" s="9">
        <f>_xll.qlRateHelperEarliestDate($D35)</f>
        <v>41946</v>
      </c>
      <c r="I35" s="8">
        <f>_xll.qlRateHelperLatestDate($D35)</f>
        <v>47427</v>
      </c>
      <c r="J35" s="3">
        <v>0.79429493948216501</v>
      </c>
    </row>
    <row r="36" spans="4:10" x14ac:dyDescent="0.2">
      <c r="D36" s="11" t="str">
        <v>obj_008bd</v>
      </c>
      <c r="E36" s="257" t="str">
        <f>_xll.qlRateHelperQuoteName($D36)</f>
        <v>EURAB6E20Y_Quote</v>
      </c>
      <c r="F36" s="10">
        <f>_xll.qlRateHelperRate($D36)</f>
        <v>1.702E-2</v>
      </c>
      <c r="G36" s="10">
        <f>IF(ISERROR(_xll.qlSwapRateHelperSpread($D36)),IF(ISERROR(_xll.qlFuturesRateHelperConvexityAdjustment($D36)),"--",_xll.qlFuturesRateHelperConvexityAdjustment($D36)),_xll.qlSwapRateHelperSpread($D36))</f>
        <v>0</v>
      </c>
      <c r="H36" s="9">
        <f>_xll.qlRateHelperEarliestDate($D36)</f>
        <v>41946</v>
      </c>
      <c r="I36" s="8">
        <f>_xll.qlRateHelperLatestDate($D36)</f>
        <v>49251</v>
      </c>
      <c r="J36" s="3">
        <v>0.70444959951039177</v>
      </c>
    </row>
    <row r="37" spans="4:10" x14ac:dyDescent="0.2">
      <c r="D37" s="11" t="str">
        <v>obj_008c9</v>
      </c>
      <c r="E37" s="257" t="str">
        <f>_xll.qlRateHelperQuoteName($D37)</f>
        <v>EURAB6E25Y_Quote</v>
      </c>
      <c r="F37" s="10">
        <f>_xll.qlRateHelperRate($D37)</f>
        <v>1.7849999999999998E-2</v>
      </c>
      <c r="G37" s="10">
        <f>IF(ISERROR(_xll.qlSwapRateHelperSpread($D37)),IF(ISERROR(_xll.qlFuturesRateHelperConvexityAdjustment($D37)),"--",_xll.qlFuturesRateHelperConvexityAdjustment($D37)),_xll.qlSwapRateHelperSpread($D37))</f>
        <v>0</v>
      </c>
      <c r="H37" s="9">
        <f>_xll.qlRateHelperEarliestDate($D37)</f>
        <v>41946</v>
      </c>
      <c r="I37" s="8">
        <f>_xll.qlRateHelperLatestDate($D37)</f>
        <v>51077</v>
      </c>
      <c r="J37" s="3">
        <v>0.63138216255208268</v>
      </c>
    </row>
    <row r="38" spans="4:10" x14ac:dyDescent="0.2">
      <c r="D38" s="11" t="str">
        <v>obj_008e7</v>
      </c>
      <c r="E38" s="257" t="str">
        <f>_xll.qlRateHelperQuoteName($D38)</f>
        <v>EURAB6E30Y_Quote</v>
      </c>
      <c r="F38" s="10">
        <f>_xll.qlRateHelperRate($D38)</f>
        <v>1.8200000000000001E-2</v>
      </c>
      <c r="G38" s="10">
        <f>IF(ISERROR(_xll.qlSwapRateHelperSpread($D38)),IF(ISERROR(_xll.qlFuturesRateHelperConvexityAdjustment($D38)),"--",_xll.qlFuturesRateHelperConvexityAdjustment($D38)),_xll.qlSwapRateHelperSpread($D38))</f>
        <v>0</v>
      </c>
      <c r="H38" s="9">
        <f>_xll.qlRateHelperEarliestDate($D38)</f>
        <v>41946</v>
      </c>
      <c r="I38" s="8">
        <f>_xll.qlRateHelperLatestDate($D38)</f>
        <v>52904</v>
      </c>
      <c r="J38" s="3">
        <v>0.57020030782139719</v>
      </c>
    </row>
    <row r="39" spans="4:10" x14ac:dyDescent="0.2">
      <c r="D39" s="11" t="str">
        <v>obj_008cb</v>
      </c>
      <c r="E39" s="257" t="str">
        <f>_xll.qlRateHelperQuoteName($D39)</f>
        <v>EURAB6E35Y_Quote</v>
      </c>
      <c r="F39" s="10">
        <f>_xll.qlRateHelperRate($D39)</f>
        <v>1.848E-2</v>
      </c>
      <c r="G39" s="10">
        <f>IF(ISERROR(_xll.qlSwapRateHelperSpread($D39)),IF(ISERROR(_xll.qlFuturesRateHelperConvexityAdjustment($D39)),"--",_xll.qlFuturesRateHelperConvexityAdjustment($D39)),_xll.qlSwapRateHelperSpread($D39))</f>
        <v>0</v>
      </c>
      <c r="H39" s="9">
        <f>_xll.qlRateHelperEarliestDate($D39)</f>
        <v>41946</v>
      </c>
      <c r="I39" s="8">
        <f>_xll.qlRateHelperLatestDate($D39)</f>
        <v>54730</v>
      </c>
      <c r="J39" s="3">
        <v>0.51413296850097923</v>
      </c>
    </row>
    <row r="40" spans="4:10" x14ac:dyDescent="0.2">
      <c r="D40" s="11" t="str">
        <v>obj_008e3</v>
      </c>
      <c r="E40" s="257" t="str">
        <f>_xll.qlRateHelperQuoteName($D40)</f>
        <v>EURAB6E40Y_Quote</v>
      </c>
      <c r="F40" s="10">
        <f>_xll.qlRateHelperRate($D40)</f>
        <v>1.873E-2</v>
      </c>
      <c r="G40" s="10">
        <f>IF(ISERROR(_xll.qlSwapRateHelperSpread($D40)),IF(ISERROR(_xll.qlFuturesRateHelperConvexityAdjustment($D40)),"--",_xll.qlFuturesRateHelperConvexityAdjustment($D40)),_xll.qlSwapRateHelperSpread($D40))</f>
        <v>0</v>
      </c>
      <c r="H40" s="9">
        <f>_xll.qlRateHelperEarliestDate($D40)</f>
        <v>41946</v>
      </c>
      <c r="I40" s="8">
        <f>_xll.qlRateHelperLatestDate($D40)</f>
        <v>56556</v>
      </c>
      <c r="J40" s="3">
        <v>0.46246662544768358</v>
      </c>
    </row>
    <row r="41" spans="4:10" x14ac:dyDescent="0.2">
      <c r="D41" s="11" t="str">
        <v>obj_007d1</v>
      </c>
      <c r="E41" s="257" t="str">
        <f>_xll.qlRateHelperQuoteName($D41)</f>
        <v>EUR15F30Y_Quote</v>
      </c>
      <c r="F41" s="10">
        <f>_xll.qlRateHelperRate($D41)</f>
        <v>2.1739999999999999E-2</v>
      </c>
      <c r="G41" s="10">
        <f>IF(ISERROR(_xll.qlSwapRateHelperSpread($D41)),IF(ISERROR(_xll.qlFuturesRateHelperConvexityAdjustment($D41)),"--",_xll.qlFuturesRateHelperConvexityAdjustment($D41)),_xll.qlSwapRateHelperSpread($D41))</f>
        <v>0</v>
      </c>
      <c r="H41" s="9">
        <f>_xll.qlRateHelperEarliestDate($D41)</f>
        <v>47427</v>
      </c>
      <c r="I41" s="8">
        <f>_xll.qlRateHelperLatestDate($D41)</f>
        <v>58384</v>
      </c>
      <c r="J41" s="3">
        <v>0.4193999524143871</v>
      </c>
    </row>
    <row r="42" spans="4:10" x14ac:dyDescent="0.2">
      <c r="D42" s="11" t="str">
        <v>obj_008e1</v>
      </c>
      <c r="E42" s="257" t="str">
        <f>_xll.qlRateHelperQuoteName($D42)</f>
        <v>EURAB6E50Y_Quote</v>
      </c>
      <c r="F42" s="10">
        <f>_xll.qlRateHelperRate($D42)</f>
        <v>1.8839999999999999E-2</v>
      </c>
      <c r="G42" s="10">
        <f>IF(ISERROR(_xll.qlSwapRateHelperSpread($D42)),IF(ISERROR(_xll.qlFuturesRateHelperConvexityAdjustment($D42)),"--",_xll.qlFuturesRateHelperConvexityAdjustment($D42)),_xll.qlSwapRateHelperSpread($D42))</f>
        <v>0</v>
      </c>
      <c r="H42" s="9">
        <f>_xll.qlRateHelperEarliestDate($D42)</f>
        <v>41946</v>
      </c>
      <c r="I42" s="8">
        <f>_xll.qlRateHelperLatestDate($D42)</f>
        <v>60209</v>
      </c>
      <c r="J42" s="3">
        <v>0.38096718983271044</v>
      </c>
    </row>
    <row r="43" spans="4:10" x14ac:dyDescent="0.2">
      <c r="D43" s="11" t="str">
        <v>obj_00840</v>
      </c>
      <c r="E43" s="257" t="str">
        <f>_xll.qlRateHelperQuoteName($D43)</f>
        <v>EUR25F30Y_Quote</v>
      </c>
      <c r="F43" s="10">
        <f>_xll.qlRateHelperRate($D43)</f>
        <v>2.0400000000000001E-2</v>
      </c>
      <c r="G43" s="10">
        <f>IF(ISERROR(_xll.qlSwapRateHelperSpread($D43)),IF(ISERROR(_xll.qlFuturesRateHelperConvexityAdjustment($D43)),"--",_xll.qlFuturesRateHelperConvexityAdjustment($D43)),_xll.qlSwapRateHelperSpread($D43))</f>
        <v>0</v>
      </c>
      <c r="H43" s="9">
        <f>_xll.qlRateHelperEarliestDate($D43)</f>
        <v>51077</v>
      </c>
      <c r="I43" s="8">
        <f>_xll.qlRateHelperLatestDate($D43)</f>
        <v>62036</v>
      </c>
      <c r="J43" s="3">
        <v>0.34525504782424066</v>
      </c>
    </row>
    <row r="44" spans="4:10" x14ac:dyDescent="0.2">
      <c r="D44" s="11" t="str">
        <v>obj_008dd</v>
      </c>
      <c r="E44" s="257" t="str">
        <f>_xll.qlRateHelperQuoteName($D44)</f>
        <v>EURAB6E60Y_Quote</v>
      </c>
      <c r="F44" s="10">
        <f>_xll.qlRateHelperRate($D44)</f>
        <v>1.8970000000000001E-2</v>
      </c>
      <c r="G44" s="10">
        <f>IF(ISERROR(_xll.qlSwapRateHelperSpread($D44)),IF(ISERROR(_xll.qlFuturesRateHelperConvexityAdjustment($D44)),"--",_xll.qlFuturesRateHelperConvexityAdjustment($D44)),_xll.qlSwapRateHelperSpread($D44))</f>
        <v>0</v>
      </c>
      <c r="H44" s="9">
        <f>_xll.qlRateHelperEarliestDate($D44)</f>
        <v>41946</v>
      </c>
      <c r="I44" s="8">
        <f>_xll.qlRateHelperLatestDate($D44)</f>
        <v>63863</v>
      </c>
      <c r="J44" s="3">
        <v>0.31182385829607967</v>
      </c>
    </row>
    <row r="45" spans="4:10" x14ac:dyDescent="0.2">
      <c r="D45" s="11" t="e">
        <v>#N/A</v>
      </c>
      <c r="E45" s="257"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257"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57"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57"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57"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57"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57"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57"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57"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57"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57"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57"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57"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57"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57"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57"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57"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57"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57"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57"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57"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57"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57"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57"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57"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57"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57"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57"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57"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57"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57"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57"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57"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57"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57"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57"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57"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57"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57"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57"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57"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57"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57"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57"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57"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57"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57"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57"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57"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57"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57"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57"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57"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57"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57"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57"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57"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57"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57"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57"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57"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57"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57"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57"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57"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57"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57"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57"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57"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57"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57"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57"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57"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57"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57"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57"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57"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57"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57"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57"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57"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58"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57" customWidth="1"/>
    <col min="2" max="2" width="6.28515625" style="57" customWidth="1"/>
    <col min="3" max="3" width="5.28515625" style="57" bestFit="1" customWidth="1"/>
    <col min="4" max="4" width="5.42578125" style="57" customWidth="1"/>
    <col min="5" max="5" width="9.5703125" style="57" customWidth="1"/>
    <col min="6" max="6" width="13.85546875" style="57" bestFit="1" customWidth="1"/>
    <col min="7" max="7" width="9.5703125" style="57" customWidth="1"/>
    <col min="8" max="8" width="10.140625" style="57" bestFit="1" customWidth="1"/>
    <col min="9" max="9" width="20.42578125" style="57" bestFit="1" customWidth="1"/>
    <col min="10" max="10" width="21.85546875" style="57" bestFit="1" customWidth="1"/>
    <col min="11" max="11" width="23.5703125" style="57" customWidth="1"/>
    <col min="12" max="12" width="4.7109375" style="57" customWidth="1"/>
    <col min="13" max="16384" width="9.140625" style="57"/>
  </cols>
  <sheetData>
    <row r="1" spans="1:12" x14ac:dyDescent="0.2">
      <c r="A1" s="77"/>
      <c r="B1" s="76"/>
      <c r="C1" s="76"/>
      <c r="D1" s="76"/>
      <c r="E1" s="76"/>
      <c r="F1" s="66" t="str">
        <f>PROPER(Currency)&amp;FamilyName&amp;$B9</f>
        <v>Euribor3M</v>
      </c>
      <c r="G1" s="76"/>
      <c r="H1" s="59" t="s">
        <v>84</v>
      </c>
      <c r="I1" s="75" t="str">
        <f>Currency&amp;"_YC"&amp;$H$1&amp;"RH"</f>
        <v>EUR_YC6MRH</v>
      </c>
      <c r="J1" s="72" t="str">
        <f>$I$1&amp;"_Deposits.xml"</f>
        <v>EUR_YC6MRH_Deposits.xml</v>
      </c>
      <c r="K1" s="74"/>
      <c r="L1" s="62"/>
    </row>
    <row r="2" spans="1:12" ht="23.25" customHeight="1" x14ac:dyDescent="0.2">
      <c r="A2" s="68"/>
      <c r="B2" s="73" t="s">
        <v>128</v>
      </c>
      <c r="C2" s="73" t="s">
        <v>129</v>
      </c>
      <c r="D2" s="73" t="s">
        <v>122</v>
      </c>
      <c r="E2" s="73" t="s">
        <v>123</v>
      </c>
      <c r="F2" s="73" t="s">
        <v>124</v>
      </c>
      <c r="G2" s="73" t="s">
        <v>125</v>
      </c>
      <c r="H2" s="73" t="s">
        <v>126</v>
      </c>
      <c r="I2" s="73" t="s">
        <v>94</v>
      </c>
      <c r="J2" s="71" t="str">
        <f>IF(Serialize,_xll.ohObjectSave(J3:J12,SerializationPath&amp;J1,FileOverwrite,Serialize),"---")</f>
        <v>---</v>
      </c>
      <c r="K2" s="70" t="str">
        <f>_xll.ohRangeRetrieveError(J2)</f>
        <v/>
      </c>
      <c r="L2" s="62"/>
    </row>
    <row r="3" spans="1:12" x14ac:dyDescent="0.2">
      <c r="A3" s="68"/>
      <c r="B3" s="69" t="s">
        <v>93</v>
      </c>
      <c r="C3" s="66" t="s">
        <v>105</v>
      </c>
      <c r="D3" s="157">
        <f>_xll.qlInterestRateIndexFixingDays($F$1,Trigger)</f>
        <v>2</v>
      </c>
      <c r="E3" s="66" t="str">
        <f>_xll.qlIndexFixingCalendar($F$1,Trigger)</f>
        <v>TARGET</v>
      </c>
      <c r="F3" s="66" t="s">
        <v>130</v>
      </c>
      <c r="G3" s="66" t="b">
        <v>0</v>
      </c>
      <c r="H3" s="157" t="str">
        <f>_xll.qlInterestRateIndexDayCounter($F$1,Trigger)</f>
        <v>Actual/360</v>
      </c>
      <c r="I3" s="65" t="str">
        <f t="shared" ref="I3:I12" si="0">Currency&amp;B3&amp;"D_SYNTH"&amp;$H$1&amp;QuoteSuffix</f>
        <v>EURSND_SYNTH6M_Quote</v>
      </c>
      <c r="J3" s="64" t="str">
        <f>_xll.qlDepositRateHelper2(,I3,C3,D3,E3,F3,G3,H3,Permanent,Trigger,ObjectOverwrite)</f>
        <v>obj_008bb#0000</v>
      </c>
      <c r="K3" s="63" t="str">
        <f>_xll.ohRangeRetrieveError(J3)</f>
        <v/>
      </c>
      <c r="L3" s="62"/>
    </row>
    <row r="4" spans="1:12" x14ac:dyDescent="0.2">
      <c r="A4" s="68"/>
      <c r="B4" s="67" t="s">
        <v>92</v>
      </c>
      <c r="C4" s="66" t="s">
        <v>127</v>
      </c>
      <c r="D4" s="157">
        <f>_xll.qlInterestRateIndexFixingDays($F$1,Trigger)</f>
        <v>2</v>
      </c>
      <c r="E4" s="66" t="str">
        <f>_xll.qlIndexFixingCalendar($F$1,Trigger)</f>
        <v>TARGET</v>
      </c>
      <c r="F4" s="66" t="s">
        <v>130</v>
      </c>
      <c r="G4" s="66" t="b">
        <v>0</v>
      </c>
      <c r="H4" s="157" t="str">
        <f>_xll.qlInterestRateIndexDayCounter($F$1,Trigger)</f>
        <v>Actual/360</v>
      </c>
      <c r="I4" s="65" t="str">
        <f t="shared" si="0"/>
        <v>EURSWD_SYNTH6M_Quote</v>
      </c>
      <c r="J4" s="64" t="str">
        <f>_xll.qlDepositRateHelper2(,I4,C4,D4,E4,F4,G4,H4,Permanent,Trigger,ObjectOverwrite)</f>
        <v>obj_008c3#0000</v>
      </c>
      <c r="K4" s="63" t="str">
        <f>_xll.ohRangeRetrieveError(J4)</f>
        <v/>
      </c>
      <c r="L4" s="62"/>
    </row>
    <row r="5" spans="1:12" x14ac:dyDescent="0.2">
      <c r="A5" s="68"/>
      <c r="B5" s="67" t="s">
        <v>91</v>
      </c>
      <c r="C5" s="66" t="s">
        <v>91</v>
      </c>
      <c r="D5" s="157">
        <f>_xll.qlInterestRateIndexFixingDays($F$1,Trigger)</f>
        <v>2</v>
      </c>
      <c r="E5" s="66" t="str">
        <f>_xll.qlIndexFixingCalendar($F$1,Trigger)</f>
        <v>TARGET</v>
      </c>
      <c r="F5" s="66" t="s">
        <v>130</v>
      </c>
      <c r="G5" s="66" t="b">
        <v>0</v>
      </c>
      <c r="H5" s="157" t="str">
        <f>_xll.qlInterestRateIndexDayCounter($F$1,Trigger)</f>
        <v>Actual/360</v>
      </c>
      <c r="I5" s="65" t="str">
        <f t="shared" si="0"/>
        <v>EUR2WD_SYNTH6M_Quote</v>
      </c>
      <c r="J5" s="64" t="str">
        <f>_xll.qlDepositRateHelper2(,I5,C5,D5,E5,F5,G5,H5,Permanent,Trigger,ObjectOverwrite)</f>
        <v>obj_008bc#0000</v>
      </c>
      <c r="K5" s="63" t="str">
        <f>_xll.ohRangeRetrieveError(J5)</f>
        <v/>
      </c>
      <c r="L5" s="62"/>
    </row>
    <row r="6" spans="1:12" x14ac:dyDescent="0.2">
      <c r="A6" s="68"/>
      <c r="B6" s="67" t="s">
        <v>90</v>
      </c>
      <c r="C6" s="66" t="s">
        <v>90</v>
      </c>
      <c r="D6" s="157">
        <f>_xll.qlInterestRateIndexFixingDays($F$1,Trigger)</f>
        <v>2</v>
      </c>
      <c r="E6" s="66" t="str">
        <f>_xll.qlIndexFixingCalendar($F$1,Trigger)</f>
        <v>TARGET</v>
      </c>
      <c r="F6" s="66" t="s">
        <v>130</v>
      </c>
      <c r="G6" s="66" t="b">
        <v>0</v>
      </c>
      <c r="H6" s="157" t="str">
        <f>_xll.qlInterestRateIndexDayCounter($F$1,Trigger)</f>
        <v>Actual/360</v>
      </c>
      <c r="I6" s="65" t="str">
        <f t="shared" si="0"/>
        <v>EUR3WD_SYNTH6M_Quote</v>
      </c>
      <c r="J6" s="64" t="str">
        <f>_xll.qlDepositRateHelper2(,I6,C6,D6,E6,F6,G6,H6,Permanent,Trigger,ObjectOverwrite)</f>
        <v>obj_008c0#0000</v>
      </c>
      <c r="K6" s="63" t="str">
        <f>_xll.ohRangeRetrieveError(J6)</f>
        <v/>
      </c>
      <c r="L6" s="62"/>
    </row>
    <row r="7" spans="1:12" x14ac:dyDescent="0.2">
      <c r="A7" s="68"/>
      <c r="B7" s="67" t="s">
        <v>89</v>
      </c>
      <c r="C7" s="66" t="s">
        <v>89</v>
      </c>
      <c r="D7" s="157">
        <f>_xll.qlInterestRateIndexFixingDays($F$1,Trigger)</f>
        <v>2</v>
      </c>
      <c r="E7" s="66" t="str">
        <f>_xll.qlIndexFixingCalendar($F$1,Trigger)</f>
        <v>TARGET</v>
      </c>
      <c r="F7" s="66" t="str">
        <f>_xll.qlIborIndexBusinessDayConv($F$1,Trigger)</f>
        <v>Modified Following</v>
      </c>
      <c r="G7" s="66" t="b">
        <f>_xll.qlIborIndexEndOfMonth($F$1,Trigger)</f>
        <v>1</v>
      </c>
      <c r="H7" s="157" t="str">
        <f>_xll.qlInterestRateIndexDayCounter($F$1,Trigger)</f>
        <v>Actual/360</v>
      </c>
      <c r="I7" s="65" t="str">
        <f t="shared" si="0"/>
        <v>EUR1MD_SYNTH6M_Quote</v>
      </c>
      <c r="J7" s="64" t="str">
        <f>_xll.qlDepositRateHelper2(,I7,C7,D7,E7,F7,G7,H7,Permanent,Trigger,ObjectOverwrite)</f>
        <v>obj_008dc#0000</v>
      </c>
      <c r="K7" s="63" t="str">
        <f>_xll.ohRangeRetrieveError(J7)</f>
        <v/>
      </c>
      <c r="L7" s="62"/>
    </row>
    <row r="8" spans="1:12" x14ac:dyDescent="0.2">
      <c r="A8" s="68"/>
      <c r="B8" s="67" t="s">
        <v>88</v>
      </c>
      <c r="C8" s="66" t="s">
        <v>88</v>
      </c>
      <c r="D8" s="157">
        <f>_xll.qlInterestRateIndexFixingDays($F$1,Trigger)</f>
        <v>2</v>
      </c>
      <c r="E8" s="66" t="str">
        <f>_xll.qlIndexFixingCalendar($F$1,Trigger)</f>
        <v>TARGET</v>
      </c>
      <c r="F8" s="66" t="str">
        <f>_xll.qlIborIndexBusinessDayConv($F$1,Trigger)</f>
        <v>Modified Following</v>
      </c>
      <c r="G8" s="66" t="b">
        <f>_xll.qlIborIndexEndOfMonth($F$1,Trigger)</f>
        <v>1</v>
      </c>
      <c r="H8" s="157" t="str">
        <f>_xll.qlInterestRateIndexDayCounter($F$1,Trigger)</f>
        <v>Actual/360</v>
      </c>
      <c r="I8" s="65" t="str">
        <f t="shared" si="0"/>
        <v>EUR2MD_SYNTH6M_Quote</v>
      </c>
      <c r="J8" s="64" t="str">
        <f>_xll.qlDepositRateHelper2(,I8,C8,D8,E8,F8,G8,H8,Permanent,Trigger,ObjectOverwrite)</f>
        <v>obj_008e2#0000</v>
      </c>
      <c r="K8" s="63" t="str">
        <f>_xll.ohRangeRetrieveError(J8)</f>
        <v/>
      </c>
      <c r="L8" s="62"/>
    </row>
    <row r="9" spans="1:12" x14ac:dyDescent="0.2">
      <c r="A9" s="68"/>
      <c r="B9" s="67" t="s">
        <v>87</v>
      </c>
      <c r="C9" s="66" t="s">
        <v>87</v>
      </c>
      <c r="D9" s="157">
        <f>_xll.qlInterestRateIndexFixingDays($F$1,Trigger)</f>
        <v>2</v>
      </c>
      <c r="E9" s="66" t="str">
        <f>_xll.qlIndexFixingCalendar($F$1,Trigger)</f>
        <v>TARGET</v>
      </c>
      <c r="F9" s="66" t="str">
        <f>_xll.qlIborIndexBusinessDayConv($F$1,Trigger)</f>
        <v>Modified Following</v>
      </c>
      <c r="G9" s="66" t="b">
        <f>_xll.qlIborIndexEndOfMonth($F$1,Trigger)</f>
        <v>1</v>
      </c>
      <c r="H9" s="157" t="str">
        <f>_xll.qlInterestRateIndexDayCounter($F$1,Trigger)</f>
        <v>Actual/360</v>
      </c>
      <c r="I9" s="65" t="str">
        <f t="shared" si="0"/>
        <v>EUR3MD_SYNTH6M_Quote</v>
      </c>
      <c r="J9" s="64" t="str">
        <f>_xll.qlDepositRateHelper2(,I9,C9,D9,E9,F9,G9,H9,Permanent,Trigger,ObjectOverwrite)</f>
        <v>obj_008c4#0000</v>
      </c>
      <c r="K9" s="63" t="str">
        <f>_xll.ohRangeRetrieveError(J9)</f>
        <v/>
      </c>
      <c r="L9" s="62"/>
    </row>
    <row r="10" spans="1:12" x14ac:dyDescent="0.2">
      <c r="A10" s="68"/>
      <c r="B10" s="67" t="s">
        <v>86</v>
      </c>
      <c r="C10" s="66" t="s">
        <v>86</v>
      </c>
      <c r="D10" s="157">
        <f>_xll.qlInterestRateIndexFixingDays($F$1,Trigger)</f>
        <v>2</v>
      </c>
      <c r="E10" s="66" t="str">
        <f>_xll.qlIndexFixingCalendar($F$1,Trigger)</f>
        <v>TARGET</v>
      </c>
      <c r="F10" s="66" t="str">
        <f>_xll.qlIborIndexBusinessDayConv($F$1,Trigger)</f>
        <v>Modified Following</v>
      </c>
      <c r="G10" s="66" t="b">
        <f>_xll.qlIborIndexEndOfMonth($F$1,Trigger)</f>
        <v>1</v>
      </c>
      <c r="H10" s="157" t="str">
        <f>_xll.qlInterestRateIndexDayCounter($F$1,Trigger)</f>
        <v>Actual/360</v>
      </c>
      <c r="I10" s="65" t="str">
        <f t="shared" si="0"/>
        <v>EUR4MD_SYNTH6M_Quote</v>
      </c>
      <c r="J10" s="64" t="str">
        <f>_xll.qlDepositRateHelper2(,I10,C10,D10,E10,F10,G10,H10,Permanent,Trigger,ObjectOverwrite)</f>
        <v>obj_008d8#0000</v>
      </c>
      <c r="K10" s="63" t="str">
        <f>_xll.ohRangeRetrieveError(J10)</f>
        <v/>
      </c>
      <c r="L10" s="62"/>
    </row>
    <row r="11" spans="1:12" x14ac:dyDescent="0.2">
      <c r="A11" s="68"/>
      <c r="B11" s="67" t="s">
        <v>85</v>
      </c>
      <c r="C11" s="66" t="s">
        <v>85</v>
      </c>
      <c r="D11" s="157">
        <f>_xll.qlInterestRateIndexFixingDays($F$1,Trigger)</f>
        <v>2</v>
      </c>
      <c r="E11" s="66" t="str">
        <f>_xll.qlIndexFixingCalendar($F$1,Trigger)</f>
        <v>TARGET</v>
      </c>
      <c r="F11" s="66" t="str">
        <f>_xll.qlIborIndexBusinessDayConv($F$1,Trigger)</f>
        <v>Modified Following</v>
      </c>
      <c r="G11" s="66" t="b">
        <f>_xll.qlIborIndexEndOfMonth($F$1,Trigger)</f>
        <v>1</v>
      </c>
      <c r="H11" s="157" t="str">
        <f>_xll.qlInterestRateIndexDayCounter($F$1,Trigger)</f>
        <v>Actual/360</v>
      </c>
      <c r="I11" s="65" t="str">
        <f t="shared" si="0"/>
        <v>EUR5MD_SYNTH6M_Quote</v>
      </c>
      <c r="J11" s="64" t="str">
        <f>_xll.qlDepositRateHelper2(,I11,C11,D11,E11,F11,G11,H11,Permanent,Trigger,ObjectOverwrite)</f>
        <v>obj_008e4#0000</v>
      </c>
      <c r="K11" s="63" t="str">
        <f>_xll.ohRangeRetrieveError(J11)</f>
        <v/>
      </c>
      <c r="L11" s="62"/>
    </row>
    <row r="12" spans="1:12" x14ac:dyDescent="0.2">
      <c r="A12" s="68"/>
      <c r="B12" s="67" t="s">
        <v>84</v>
      </c>
      <c r="C12" s="66" t="s">
        <v>84</v>
      </c>
      <c r="D12" s="157">
        <f>_xll.qlInterestRateIndexFixingDays($F$1,Trigger)</f>
        <v>2</v>
      </c>
      <c r="E12" s="66" t="str">
        <f>_xll.qlIndexFixingCalendar($F$1,Trigger)</f>
        <v>TARGET</v>
      </c>
      <c r="F12" s="66" t="str">
        <f>_xll.qlIborIndexBusinessDayConv($F$1,Trigger)</f>
        <v>Modified Following</v>
      </c>
      <c r="G12" s="66" t="b">
        <f>_xll.qlIborIndexEndOfMonth($F$1,Trigger)</f>
        <v>1</v>
      </c>
      <c r="H12" s="157" t="str">
        <f>_xll.qlInterestRateIndexDayCounter($F$1,Trigger)</f>
        <v>Actual/360</v>
      </c>
      <c r="I12" s="65" t="str">
        <f t="shared" si="0"/>
        <v>EUR6MD_SYNTH6M_Quote</v>
      </c>
      <c r="J12" s="64" t="str">
        <f>_xll.qlDepositRateHelper2(,I12,C12,D12,E12,F12,G12,H12,Permanent,Trigger,ObjectOverwrite)</f>
        <v>obj_008d0#0000</v>
      </c>
      <c r="K12" s="63"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4" customWidth="1"/>
    <col min="3" max="3" width="5" style="74" bestFit="1" customWidth="1"/>
    <col min="4" max="4" width="4.42578125" style="58" bestFit="1" customWidth="1"/>
    <col min="5" max="5" width="7.85546875" style="58" bestFit="1" customWidth="1"/>
    <col min="6" max="6" width="8.28515625" style="58" bestFit="1" customWidth="1"/>
    <col min="7" max="7" width="22.28515625" style="74" bestFit="1" customWidth="1"/>
    <col min="8" max="8" width="23" style="96" bestFit="1" customWidth="1"/>
    <col min="9" max="9" width="38.28515625" style="74" customWidth="1"/>
    <col min="10" max="10" width="3" style="74" customWidth="1"/>
    <col min="11" max="16384" width="9.140625" style="74"/>
  </cols>
  <sheetData>
    <row r="1" spans="1:10" x14ac:dyDescent="0.2">
      <c r="A1" s="148"/>
      <c r="B1" s="119"/>
      <c r="C1" s="120"/>
      <c r="D1" s="120">
        <v>6</v>
      </c>
      <c r="E1" s="119" t="str">
        <f>_xll.qlPeriodEquivalent(D1&amp;"M")</f>
        <v>6M</v>
      </c>
      <c r="F1" s="59"/>
      <c r="G1" s="118" t="str">
        <f>Currency&amp;"_YC"&amp;$E$1&amp;"RH"</f>
        <v>EUR_YC6MRH</v>
      </c>
      <c r="H1" s="111" t="str">
        <f>$G$1&amp;"_FRAs.xml"</f>
        <v>EUR_YC6MRH_FRAs.xml</v>
      </c>
      <c r="I1" s="117"/>
      <c r="J1" s="116"/>
    </row>
    <row r="2" spans="1:10" ht="23.25" customHeight="1" x14ac:dyDescent="0.2">
      <c r="A2" s="68"/>
      <c r="B2" s="115"/>
      <c r="C2" s="114"/>
      <c r="D2" s="113"/>
      <c r="E2" s="112" t="s">
        <v>95</v>
      </c>
      <c r="F2" s="112" t="s">
        <v>107</v>
      </c>
      <c r="G2" s="112" t="s">
        <v>94</v>
      </c>
      <c r="H2" s="110" t="str">
        <f>IF(Serialize,_xll.ohObjectSave(H3:H20,SerializationPath&amp;H1,FileOverwrite,Serialize),"---")</f>
        <v>---</v>
      </c>
      <c r="I2" s="109" t="str">
        <f>_xll.ohRangeRetrieveError(H2)</f>
        <v/>
      </c>
      <c r="J2" s="62"/>
    </row>
    <row r="3" spans="1:10" x14ac:dyDescent="0.2">
      <c r="A3" s="68"/>
      <c r="B3" s="105" t="str">
        <f t="shared" ref="B3:B20" si="0">C3&amp;"M"</f>
        <v>1M</v>
      </c>
      <c r="C3" s="108">
        <v>1</v>
      </c>
      <c r="D3" s="107" t="str">
        <f t="shared" ref="D3:D20" si="1">"x"&amp;C3+$D$1&amp;"F"</f>
        <v>x7F</v>
      </c>
      <c r="E3" s="105" t="str">
        <f t="shared" ref="E3:E20" si="2">PROPER(Currency)&amp;FamilyName&amp;$E$1</f>
        <v>Euribor6M</v>
      </c>
      <c r="F3" s="106" t="b">
        <v>0</v>
      </c>
      <c r="G3" s="105" t="str">
        <f t="shared" ref="G3:G20" si="3">Currency&amp;C3&amp;D3&amp;IF(F3,"_SYNTH"&amp;$E$1,"")&amp;"_Quote"</f>
        <v>EUR1x7F_Quote</v>
      </c>
      <c r="H3" s="105" t="str">
        <f>_xll.qlFraRateHelper(,G3,B3,E3,Permanent,Trigger,ObjectOverwrite)</f>
        <v>obj_008b0#0000</v>
      </c>
      <c r="I3" s="104" t="str">
        <f>_xll.ohRangeRetrieveError(H3)</f>
        <v/>
      </c>
      <c r="J3" s="62"/>
    </row>
    <row r="4" spans="1:10" x14ac:dyDescent="0.2">
      <c r="A4" s="68"/>
      <c r="B4" s="100" t="str">
        <f t="shared" si="0"/>
        <v>2M</v>
      </c>
      <c r="C4" s="103">
        <v>2</v>
      </c>
      <c r="D4" s="102" t="str">
        <f t="shared" si="1"/>
        <v>x8F</v>
      </c>
      <c r="E4" s="100" t="str">
        <f t="shared" si="2"/>
        <v>Euribor6M</v>
      </c>
      <c r="F4" s="101" t="b">
        <v>0</v>
      </c>
      <c r="G4" s="100" t="str">
        <f t="shared" si="3"/>
        <v>EUR2x8F_Quote</v>
      </c>
      <c r="H4" s="100" t="str">
        <f>_xll.qlFraRateHelper(,G4,B4,E4,Permanent,Trigger,ObjectOverwrite)</f>
        <v>obj_008ad#0000</v>
      </c>
      <c r="I4" s="99" t="str">
        <f>_xll.ohRangeRetrieveError(H4)</f>
        <v/>
      </c>
      <c r="J4" s="62"/>
    </row>
    <row r="5" spans="1:10" x14ac:dyDescent="0.2">
      <c r="A5" s="68"/>
      <c r="B5" s="100" t="str">
        <f t="shared" si="0"/>
        <v>3M</v>
      </c>
      <c r="C5" s="103">
        <v>3</v>
      </c>
      <c r="D5" s="102" t="str">
        <f t="shared" si="1"/>
        <v>x9F</v>
      </c>
      <c r="E5" s="100" t="str">
        <f t="shared" si="2"/>
        <v>Euribor6M</v>
      </c>
      <c r="F5" s="101" t="b">
        <v>0</v>
      </c>
      <c r="G5" s="100" t="str">
        <f t="shared" si="3"/>
        <v>EUR3x9F_Quote</v>
      </c>
      <c r="H5" s="100" t="str">
        <f>_xll.qlFraRateHelper(,G5,B5,E5,Permanent,Trigger,ObjectOverwrite)</f>
        <v>obj_008b7#0000</v>
      </c>
      <c r="I5" s="99" t="str">
        <f>_xll.ohRangeRetrieveError(H5)</f>
        <v/>
      </c>
      <c r="J5" s="62"/>
    </row>
    <row r="6" spans="1:10" x14ac:dyDescent="0.2">
      <c r="A6" s="68"/>
      <c r="B6" s="100" t="str">
        <f t="shared" si="0"/>
        <v>4M</v>
      </c>
      <c r="C6" s="103">
        <v>4</v>
      </c>
      <c r="D6" s="102" t="str">
        <f t="shared" si="1"/>
        <v>x10F</v>
      </c>
      <c r="E6" s="100" t="str">
        <f t="shared" si="2"/>
        <v>Euribor6M</v>
      </c>
      <c r="F6" s="101" t="b">
        <v>0</v>
      </c>
      <c r="G6" s="100" t="str">
        <f t="shared" si="3"/>
        <v>EUR4x10F_Quote</v>
      </c>
      <c r="H6" s="100" t="str">
        <f>_xll.qlFraRateHelper(,G6,B6,E6,Permanent,Trigger,ObjectOverwrite)</f>
        <v>obj_008b3#0000</v>
      </c>
      <c r="I6" s="99" t="str">
        <f>_xll.ohRangeRetrieveError(H6)</f>
        <v/>
      </c>
      <c r="J6" s="62"/>
    </row>
    <row r="7" spans="1:10" x14ac:dyDescent="0.2">
      <c r="A7" s="68"/>
      <c r="B7" s="100" t="str">
        <f t="shared" si="0"/>
        <v>5M</v>
      </c>
      <c r="C7" s="103">
        <v>5</v>
      </c>
      <c r="D7" s="102" t="str">
        <f t="shared" si="1"/>
        <v>x11F</v>
      </c>
      <c r="E7" s="100" t="str">
        <f t="shared" si="2"/>
        <v>Euribor6M</v>
      </c>
      <c r="F7" s="101" t="b">
        <v>0</v>
      </c>
      <c r="G7" s="100" t="str">
        <f t="shared" si="3"/>
        <v>EUR5x11F_Quote</v>
      </c>
      <c r="H7" s="100" t="str">
        <f>_xll.qlFraRateHelper(,G7,B7,E7,Permanent,Trigger,ObjectOverwrite)</f>
        <v>obj_008b1#0000</v>
      </c>
      <c r="I7" s="99" t="str">
        <f>_xll.ohRangeRetrieveError(H7)</f>
        <v/>
      </c>
      <c r="J7" s="62"/>
    </row>
    <row r="8" spans="1:10" x14ac:dyDescent="0.2">
      <c r="A8" s="68"/>
      <c r="B8" s="100" t="str">
        <f t="shared" si="0"/>
        <v>6M</v>
      </c>
      <c r="C8" s="103">
        <v>6</v>
      </c>
      <c r="D8" s="102" t="str">
        <f t="shared" si="1"/>
        <v>x12F</v>
      </c>
      <c r="E8" s="100" t="str">
        <f t="shared" si="2"/>
        <v>Euribor6M</v>
      </c>
      <c r="F8" s="101" t="b">
        <v>0</v>
      </c>
      <c r="G8" s="100" t="str">
        <f t="shared" si="3"/>
        <v>EUR6x12F_Quote</v>
      </c>
      <c r="H8" s="100" t="str">
        <f>_xll.qlFraRateHelper(,G8,B8,E8,Permanent,Trigger,ObjectOverwrite)</f>
        <v>obj_008af#0000</v>
      </c>
      <c r="I8" s="99" t="str">
        <f>_xll.ohRangeRetrieveError(H8)</f>
        <v/>
      </c>
      <c r="J8" s="62"/>
    </row>
    <row r="9" spans="1:10" x14ac:dyDescent="0.2">
      <c r="A9" s="68"/>
      <c r="B9" s="100" t="str">
        <f t="shared" si="0"/>
        <v>7M</v>
      </c>
      <c r="C9" s="103">
        <v>7</v>
      </c>
      <c r="D9" s="102" t="str">
        <f t="shared" si="1"/>
        <v>x13F</v>
      </c>
      <c r="E9" s="100" t="str">
        <f t="shared" si="2"/>
        <v>Euribor6M</v>
      </c>
      <c r="F9" s="101" t="b">
        <v>0</v>
      </c>
      <c r="G9" s="100" t="str">
        <f t="shared" si="3"/>
        <v>EUR7x13F_Quote</v>
      </c>
      <c r="H9" s="100" t="str">
        <f>_xll.qlFraRateHelper(,G9,B9,E9,Permanent,Trigger,ObjectOverwrite)</f>
        <v>obj_008a7#0000</v>
      </c>
      <c r="I9" s="99" t="str">
        <f>_xll.ohRangeRetrieveError(H9)</f>
        <v/>
      </c>
      <c r="J9" s="62"/>
    </row>
    <row r="10" spans="1:10" x14ac:dyDescent="0.2">
      <c r="A10" s="68"/>
      <c r="B10" s="100" t="str">
        <f t="shared" si="0"/>
        <v>8M</v>
      </c>
      <c r="C10" s="103">
        <v>8</v>
      </c>
      <c r="D10" s="102" t="str">
        <f t="shared" si="1"/>
        <v>x14F</v>
      </c>
      <c r="E10" s="100" t="str">
        <f t="shared" si="2"/>
        <v>Euribor6M</v>
      </c>
      <c r="F10" s="101" t="b">
        <v>0</v>
      </c>
      <c r="G10" s="100" t="str">
        <f t="shared" si="3"/>
        <v>EUR8x14F_Quote</v>
      </c>
      <c r="H10" s="100" t="str">
        <f>_xll.qlFraRateHelper(,G10,B10,E10,Permanent,Trigger,ObjectOverwrite)</f>
        <v>obj_008a9#0000</v>
      </c>
      <c r="I10" s="99" t="str">
        <f>_xll.ohRangeRetrieveError(H10)</f>
        <v/>
      </c>
      <c r="J10" s="62"/>
    </row>
    <row r="11" spans="1:10" x14ac:dyDescent="0.2">
      <c r="A11" s="68"/>
      <c r="B11" s="100" t="str">
        <f t="shared" si="0"/>
        <v>9M</v>
      </c>
      <c r="C11" s="103">
        <v>9</v>
      </c>
      <c r="D11" s="102" t="str">
        <f t="shared" si="1"/>
        <v>x15F</v>
      </c>
      <c r="E11" s="100" t="str">
        <f t="shared" si="2"/>
        <v>Euribor6M</v>
      </c>
      <c r="F11" s="101" t="b">
        <v>0</v>
      </c>
      <c r="G11" s="100" t="str">
        <f t="shared" si="3"/>
        <v>EUR9x15F_Quote</v>
      </c>
      <c r="H11" s="100" t="str">
        <f>_xll.qlFraRateHelper(,G11,B11,E11,Permanent,Trigger,ObjectOverwrite)</f>
        <v>obj_008b5#0000</v>
      </c>
      <c r="I11" s="99" t="str">
        <f>_xll.ohRangeRetrieveError(H11)</f>
        <v/>
      </c>
      <c r="J11" s="62"/>
    </row>
    <row r="12" spans="1:10" x14ac:dyDescent="0.2">
      <c r="A12" s="68"/>
      <c r="B12" s="100" t="str">
        <f t="shared" si="0"/>
        <v>10M</v>
      </c>
      <c r="C12" s="103">
        <v>10</v>
      </c>
      <c r="D12" s="102" t="str">
        <f t="shared" si="1"/>
        <v>x16F</v>
      </c>
      <c r="E12" s="100" t="str">
        <f t="shared" si="2"/>
        <v>Euribor6M</v>
      </c>
      <c r="F12" s="101" t="b">
        <v>0</v>
      </c>
      <c r="G12" s="100" t="str">
        <f t="shared" si="3"/>
        <v>EUR10x16F_Quote</v>
      </c>
      <c r="H12" s="100" t="str">
        <f>_xll.qlFraRateHelper(,G12,B12,E12,Permanent,Trigger,ObjectOverwrite)</f>
        <v>obj_008b6#0000</v>
      </c>
      <c r="I12" s="99" t="str">
        <f>_xll.ohRangeRetrieveError(H12)</f>
        <v/>
      </c>
      <c r="J12" s="62"/>
    </row>
    <row r="13" spans="1:10" x14ac:dyDescent="0.2">
      <c r="A13" s="68"/>
      <c r="B13" s="100" t="str">
        <f t="shared" si="0"/>
        <v>11M</v>
      </c>
      <c r="C13" s="103">
        <v>11</v>
      </c>
      <c r="D13" s="102" t="str">
        <f t="shared" si="1"/>
        <v>x17F</v>
      </c>
      <c r="E13" s="100" t="str">
        <f t="shared" si="2"/>
        <v>Euribor6M</v>
      </c>
      <c r="F13" s="101" t="b">
        <v>0</v>
      </c>
      <c r="G13" s="100" t="str">
        <f t="shared" si="3"/>
        <v>EUR11x17F_Quote</v>
      </c>
      <c r="H13" s="100" t="str">
        <f>_xll.qlFraRateHelper(,G13,B13,E13,Permanent,Trigger,ObjectOverwrite)</f>
        <v>obj_008b2#0000</v>
      </c>
      <c r="I13" s="99" t="str">
        <f>_xll.ohRangeRetrieveError(H13)</f>
        <v/>
      </c>
      <c r="J13" s="62"/>
    </row>
    <row r="14" spans="1:10" x14ac:dyDescent="0.2">
      <c r="A14" s="68"/>
      <c r="B14" s="100" t="str">
        <f t="shared" si="0"/>
        <v>12M</v>
      </c>
      <c r="C14" s="103">
        <v>12</v>
      </c>
      <c r="D14" s="102" t="str">
        <f t="shared" si="1"/>
        <v>x18F</v>
      </c>
      <c r="E14" s="100" t="str">
        <f t="shared" si="2"/>
        <v>Euribor6M</v>
      </c>
      <c r="F14" s="101" t="b">
        <v>0</v>
      </c>
      <c r="G14" s="100" t="str">
        <f t="shared" si="3"/>
        <v>EUR12x18F_Quote</v>
      </c>
      <c r="H14" s="100" t="str">
        <f>_xll.qlFraRateHelper(,G14,B14,E14,Permanent,Trigger,ObjectOverwrite)</f>
        <v>obj_008ab#0000</v>
      </c>
      <c r="I14" s="99" t="str">
        <f>_xll.ohRangeRetrieveError(H14)</f>
        <v/>
      </c>
      <c r="J14" s="62"/>
    </row>
    <row r="15" spans="1:10" x14ac:dyDescent="0.2">
      <c r="A15" s="68"/>
      <c r="B15" s="100" t="str">
        <f t="shared" si="0"/>
        <v>13M</v>
      </c>
      <c r="C15" s="103">
        <v>13</v>
      </c>
      <c r="D15" s="102" t="str">
        <f t="shared" si="1"/>
        <v>x19F</v>
      </c>
      <c r="E15" s="100" t="str">
        <f t="shared" si="2"/>
        <v>Euribor6M</v>
      </c>
      <c r="F15" s="101" t="b">
        <v>0</v>
      </c>
      <c r="G15" s="100" t="str">
        <f t="shared" si="3"/>
        <v>EUR13x19F_Quote</v>
      </c>
      <c r="H15" s="100" t="str">
        <f>_xll.qlFraRateHelper(,G15,B15,E15,Permanent,Trigger,ObjectOverwrite)</f>
        <v>obj_008ac#0000</v>
      </c>
      <c r="I15" s="99" t="str">
        <f>_xll.ohRangeRetrieveError(H15)</f>
        <v/>
      </c>
      <c r="J15" s="62"/>
    </row>
    <row r="16" spans="1:10" x14ac:dyDescent="0.2">
      <c r="A16" s="68"/>
      <c r="B16" s="100" t="str">
        <f t="shared" si="0"/>
        <v>14M</v>
      </c>
      <c r="C16" s="103">
        <v>14</v>
      </c>
      <c r="D16" s="102" t="str">
        <f t="shared" si="1"/>
        <v>x20F</v>
      </c>
      <c r="E16" s="100" t="str">
        <f t="shared" si="2"/>
        <v>Euribor6M</v>
      </c>
      <c r="F16" s="101" t="b">
        <v>0</v>
      </c>
      <c r="G16" s="100" t="str">
        <f t="shared" si="3"/>
        <v>EUR14x20F_Quote</v>
      </c>
      <c r="H16" s="100" t="str">
        <f>_xll.qlFraRateHelper(,G16,B16,E16,Permanent,Trigger,ObjectOverwrite)</f>
        <v>obj_008aa#0000</v>
      </c>
      <c r="I16" s="99" t="str">
        <f>_xll.ohRangeRetrieveError(H16)</f>
        <v/>
      </c>
      <c r="J16" s="62"/>
    </row>
    <row r="17" spans="1:10" x14ac:dyDescent="0.2">
      <c r="A17" s="68"/>
      <c r="B17" s="100" t="str">
        <f t="shared" si="0"/>
        <v>15M</v>
      </c>
      <c r="C17" s="103">
        <v>15</v>
      </c>
      <c r="D17" s="102" t="str">
        <f t="shared" si="1"/>
        <v>x21F</v>
      </c>
      <c r="E17" s="100" t="str">
        <f t="shared" si="2"/>
        <v>Euribor6M</v>
      </c>
      <c r="F17" s="101" t="b">
        <v>0</v>
      </c>
      <c r="G17" s="100" t="str">
        <f t="shared" si="3"/>
        <v>EUR15x21F_Quote</v>
      </c>
      <c r="H17" s="100" t="str">
        <f>_xll.qlFraRateHelper(,G17,B17,E17,Permanent,Trigger,ObjectOverwrite)</f>
        <v>obj_008b8#0000</v>
      </c>
      <c r="I17" s="99" t="str">
        <f>_xll.ohRangeRetrieveError(H17)</f>
        <v/>
      </c>
      <c r="J17" s="62"/>
    </row>
    <row r="18" spans="1:10" x14ac:dyDescent="0.2">
      <c r="A18" s="68"/>
      <c r="B18" s="100" t="str">
        <f t="shared" si="0"/>
        <v>16M</v>
      </c>
      <c r="C18" s="103">
        <v>16</v>
      </c>
      <c r="D18" s="102" t="str">
        <f t="shared" si="1"/>
        <v>x22F</v>
      </c>
      <c r="E18" s="100" t="str">
        <f t="shared" si="2"/>
        <v>Euribor6M</v>
      </c>
      <c r="F18" s="101" t="b">
        <v>0</v>
      </c>
      <c r="G18" s="100" t="str">
        <f t="shared" si="3"/>
        <v>EUR16x22F_Quote</v>
      </c>
      <c r="H18" s="100" t="str">
        <f>_xll.qlFraRateHelper(,G18,B18,E18,Permanent,Trigger,ObjectOverwrite)</f>
        <v>obj_008ae#0000</v>
      </c>
      <c r="I18" s="99" t="str">
        <f>_xll.ohRangeRetrieveError(H18)</f>
        <v/>
      </c>
      <c r="J18" s="62"/>
    </row>
    <row r="19" spans="1:10" x14ac:dyDescent="0.2">
      <c r="A19" s="68"/>
      <c r="B19" s="100" t="str">
        <f t="shared" si="0"/>
        <v>17M</v>
      </c>
      <c r="C19" s="103">
        <v>17</v>
      </c>
      <c r="D19" s="102" t="str">
        <f t="shared" si="1"/>
        <v>x23F</v>
      </c>
      <c r="E19" s="100" t="str">
        <f t="shared" si="2"/>
        <v>Euribor6M</v>
      </c>
      <c r="F19" s="101" t="b">
        <v>0</v>
      </c>
      <c r="G19" s="100" t="str">
        <f t="shared" si="3"/>
        <v>EUR17x23F_Quote</v>
      </c>
      <c r="H19" s="100" t="str">
        <f>_xll.qlFraRateHelper(,G19,B19,E19,Permanent,Trigger,ObjectOverwrite)</f>
        <v>obj_008c1#0000</v>
      </c>
      <c r="I19" s="99" t="str">
        <f>_xll.ohRangeRetrieveError(H19)</f>
        <v/>
      </c>
      <c r="J19" s="62"/>
    </row>
    <row r="20" spans="1:10" x14ac:dyDescent="0.2">
      <c r="A20" s="68"/>
      <c r="B20" s="100" t="str">
        <f t="shared" si="0"/>
        <v>18M</v>
      </c>
      <c r="C20" s="103">
        <v>18</v>
      </c>
      <c r="D20" s="102" t="str">
        <f t="shared" si="1"/>
        <v>x24F</v>
      </c>
      <c r="E20" s="100" t="str">
        <f t="shared" si="2"/>
        <v>Euribor6M</v>
      </c>
      <c r="F20" s="101" t="b">
        <v>0</v>
      </c>
      <c r="G20" s="100" t="str">
        <f t="shared" si="3"/>
        <v>EUR18x24F_Quote</v>
      </c>
      <c r="H20" s="100" t="str">
        <f>_xll.qlFraRateHelper(,G20,B20,E20,Permanent,Trigger,ObjectOverwrite)</f>
        <v>obj_008b4#0000</v>
      </c>
      <c r="I20" s="99" t="str">
        <f>_xll.ohRangeRetrieveError(H20)</f>
        <v/>
      </c>
      <c r="J20" s="62"/>
    </row>
    <row r="21" spans="1:10" ht="12" thickBot="1" x14ac:dyDescent="0.25">
      <c r="A21" s="61"/>
      <c r="B21" s="98"/>
      <c r="C21" s="98"/>
      <c r="D21" s="98"/>
      <c r="E21" s="98"/>
      <c r="F21" s="98"/>
      <c r="G21" s="98"/>
      <c r="H21" s="97"/>
      <c r="I21" s="97"/>
      <c r="J21" s="56"/>
    </row>
    <row r="23" spans="1:10" x14ac:dyDescent="0.2">
      <c r="D23" s="74"/>
      <c r="E23" s="74"/>
      <c r="F23" s="74"/>
      <c r="H23" s="7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3" sqref="K3"/>
    </sheetView>
  </sheetViews>
  <sheetFormatPr defaultRowHeight="12.75" x14ac:dyDescent="0.2"/>
  <cols>
    <col min="1" max="1" width="1.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5.85546875" style="121"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148"/>
      <c r="B1" s="120"/>
      <c r="C1" s="120"/>
      <c r="D1" s="120"/>
      <c r="E1" s="120"/>
      <c r="F1" s="120"/>
      <c r="G1" s="120"/>
      <c r="H1" s="120"/>
      <c r="I1" s="120"/>
      <c r="J1" s="120"/>
      <c r="K1" s="120"/>
      <c r="L1" s="120"/>
      <c r="M1" s="147"/>
    </row>
    <row r="2" spans="1:17" x14ac:dyDescent="0.2">
      <c r="A2" s="68"/>
      <c r="B2" s="76"/>
      <c r="C2" s="76"/>
      <c r="D2" s="76"/>
      <c r="E2" s="76"/>
      <c r="F2" s="76"/>
      <c r="G2" s="76"/>
      <c r="H2" s="76"/>
      <c r="I2" s="59" t="s">
        <v>84</v>
      </c>
      <c r="J2" s="59" t="str">
        <f>Currency&amp;"_YC"&amp;$I$2&amp;"RH"</f>
        <v>EUR_YC6MRH</v>
      </c>
      <c r="K2" s="146" t="str">
        <f>J2&amp;"_Swaps.xml"</f>
        <v>EUR_YC6MRH_Swaps.xml</v>
      </c>
      <c r="L2" s="76"/>
      <c r="M2" s="142"/>
    </row>
    <row r="3" spans="1:17" ht="22.5" x14ac:dyDescent="0.2">
      <c r="A3" s="68"/>
      <c r="B3" s="73" t="s">
        <v>116</v>
      </c>
      <c r="C3" s="73"/>
      <c r="D3" s="73"/>
      <c r="E3" s="73"/>
      <c r="F3" s="73" t="s">
        <v>115</v>
      </c>
      <c r="G3" s="73" t="s">
        <v>114</v>
      </c>
      <c r="H3" s="73" t="s">
        <v>113</v>
      </c>
      <c r="I3" s="73" t="s">
        <v>112</v>
      </c>
      <c r="J3" s="73" t="s">
        <v>94</v>
      </c>
      <c r="K3" s="145" t="str">
        <f>IF(Serialize,_xll.ohObjectSave(K4:K42,SerializationPath&amp;K2,FileOverwrite,Serialize),"---")</f>
        <v>---</v>
      </c>
      <c r="L3" s="125" t="str">
        <f>_xll.ohRangeRetrieveError(K3)</f>
        <v/>
      </c>
      <c r="M3" s="124"/>
    </row>
    <row r="4" spans="1:17" x14ac:dyDescent="0.2">
      <c r="A4" s="77"/>
      <c r="B4" s="76"/>
      <c r="C4" s="76"/>
      <c r="D4" s="76"/>
      <c r="E4" s="76"/>
      <c r="F4" s="76"/>
      <c r="G4" s="76"/>
      <c r="H4" s="76"/>
      <c r="I4" s="76"/>
      <c r="J4" s="76"/>
      <c r="K4" s="144" t="str">
        <f>IF(UPPER(FamilyName)="IBOR",_xll.qlEuribor(,$I$2,,Permanent,Trigger,ObjectOverwrite),IF(UPPER(FamilyName)="LIBOR",_xll.qlLibor(,Currency,$I$2,,Permanent,Trigger,ObjectOverwrite),"--"))</f>
        <v>obj_00895#0000</v>
      </c>
      <c r="L4" s="143" t="str">
        <f>_xll.ohRangeRetrieveError(K4)</f>
        <v/>
      </c>
      <c r="M4" s="142"/>
    </row>
    <row r="5" spans="1:17" s="74" customFormat="1" ht="12" thickBot="1" x14ac:dyDescent="0.25">
      <c r="A5" s="77"/>
      <c r="B5" s="76"/>
      <c r="C5" s="76"/>
      <c r="D5" s="76"/>
      <c r="E5" s="76"/>
      <c r="F5" s="76"/>
      <c r="G5" s="76"/>
      <c r="H5" s="76"/>
      <c r="I5" s="76"/>
      <c r="J5" s="76"/>
      <c r="K5" s="76"/>
      <c r="L5" s="76"/>
      <c r="M5" s="142"/>
    </row>
    <row r="6" spans="1:17" x14ac:dyDescent="0.2">
      <c r="A6" s="68"/>
      <c r="B6" s="131" t="s">
        <v>106</v>
      </c>
      <c r="C6" s="131" t="s">
        <v>36</v>
      </c>
      <c r="D6" s="131" t="str">
        <f t="array" ref="D6:D42">VLOOKUP(Currency,Conventions,2)</f>
        <v>AB</v>
      </c>
      <c r="E6" s="131" t="str">
        <f t="array" ref="E6:E42">VLOOKUP(Currency,Conventions,3)</f>
        <v>6E</v>
      </c>
      <c r="F6" s="141" t="str">
        <f t="shared" ref="F6:F42" si="0">IF(UPPER(LEFT($D6))="A","Annual",IF(UPPER(LEFT($D6))="S","Semiannual","--"))</f>
        <v>Annual</v>
      </c>
      <c r="G6" s="141" t="s">
        <v>108</v>
      </c>
      <c r="H6" s="141" t="str">
        <f t="shared" ref="H6:H42" si="1">IF(UPPER(RIGHT($D6))="B",BondBasisDayCounter,IF(UPPER(RIGHT($D6))="M",MoneyMarketDayCounter,"--"))</f>
        <v>30/360 (Bond Basis)</v>
      </c>
      <c r="I6" s="129">
        <v>0</v>
      </c>
      <c r="J6" s="127" t="str">
        <f t="shared" ref="J6:J42" si="2">Currency&amp;$D6&amp;$E6&amp;$C6&amp;QuoteSuffix</f>
        <v>EURAB6E1Y_Quote</v>
      </c>
      <c r="K6" s="126" t="str">
        <f>_xll.qlSwapRateHelper2(,$J6,$C6,Calendar,$F6,$G6,$H6,$K$4,$I6,B6,Discounting,Permanent,,ObjectOverwrite)</f>
        <v>obj_008be#0000</v>
      </c>
      <c r="L6" s="125" t="str">
        <f>_xll.ohRangeRetrieveError(K6)</f>
        <v/>
      </c>
      <c r="M6" s="124"/>
      <c r="O6" s="140" t="s">
        <v>81</v>
      </c>
      <c r="P6" s="139" t="s">
        <v>78</v>
      </c>
      <c r="Q6" s="138" t="s">
        <v>109</v>
      </c>
    </row>
    <row r="7" spans="1:17" x14ac:dyDescent="0.2">
      <c r="A7" s="68"/>
      <c r="B7" s="131" t="s">
        <v>106</v>
      </c>
      <c r="C7" s="131" t="s">
        <v>35</v>
      </c>
      <c r="D7" s="131" t="str">
        <v>AB</v>
      </c>
      <c r="E7" s="131" t="str">
        <v>6E</v>
      </c>
      <c r="F7" s="130" t="str">
        <f t="shared" si="0"/>
        <v>Annual</v>
      </c>
      <c r="G7" s="130" t="s">
        <v>108</v>
      </c>
      <c r="H7" s="130" t="str">
        <f t="shared" si="1"/>
        <v>30/360 (Bond Basis)</v>
      </c>
      <c r="I7" s="129">
        <v>0</v>
      </c>
      <c r="J7" s="128" t="str">
        <f t="shared" si="2"/>
        <v>EURAB6E15M_Quote</v>
      </c>
      <c r="K7" s="126" t="str">
        <f>_xll.qlSwapRateHelper2(,$J7,$C7,Calendar,$F7,$G7,$H7,$K$4,$I7,B7,Discounting,Permanent,,ObjectOverwrite)</f>
        <v>obj_008c7#0000</v>
      </c>
      <c r="L7" s="125" t="str">
        <f>_xll.ohRangeRetrieveError(K7)</f>
        <v/>
      </c>
      <c r="M7" s="124"/>
      <c r="O7" s="137" t="s">
        <v>79</v>
      </c>
      <c r="P7" s="136" t="s">
        <v>78</v>
      </c>
      <c r="Q7" s="135" t="s">
        <v>111</v>
      </c>
    </row>
    <row r="8" spans="1:17" x14ac:dyDescent="0.2">
      <c r="A8" s="68"/>
      <c r="B8" s="131" t="s">
        <v>106</v>
      </c>
      <c r="C8" s="131" t="s">
        <v>34</v>
      </c>
      <c r="D8" s="131" t="str">
        <v>AB</v>
      </c>
      <c r="E8" s="131" t="str">
        <v>6E</v>
      </c>
      <c r="F8" s="130" t="str">
        <f t="shared" si="0"/>
        <v>Annual</v>
      </c>
      <c r="G8" s="130" t="s">
        <v>108</v>
      </c>
      <c r="H8" s="130" t="str">
        <f>IF(UPPER(RIGHT($D8))="B",BondBasisDayCounter,IF(UPPER(RIGHT($D8))="M",MoneyMarketDayCounter,"--"))</f>
        <v>30/360 (Bond Basis)</v>
      </c>
      <c r="I8" s="129">
        <v>0</v>
      </c>
      <c r="J8" s="128" t="str">
        <f t="shared" si="2"/>
        <v>EURAB6E18M_Quote</v>
      </c>
      <c r="K8" s="126" t="str">
        <f>_xll.qlSwapRateHelper2(,$J8,$C8,Calendar,$F8,$G8,$H8,$K$4,$I8,B8,Discounting,Permanent,,ObjectOverwrite)</f>
        <v>obj_008a8#0000</v>
      </c>
      <c r="L8" s="125" t="str">
        <f>_xll.ohRangeRetrieveError(K8)</f>
        <v/>
      </c>
      <c r="M8" s="124"/>
      <c r="O8" s="137" t="s">
        <v>76</v>
      </c>
      <c r="P8" s="136" t="s">
        <v>110</v>
      </c>
      <c r="Q8" s="135" t="s">
        <v>109</v>
      </c>
    </row>
    <row r="9" spans="1:17" x14ac:dyDescent="0.2">
      <c r="A9" s="68"/>
      <c r="B9" s="131" t="s">
        <v>106</v>
      </c>
      <c r="C9" s="131" t="s">
        <v>33</v>
      </c>
      <c r="D9" s="131" t="str">
        <v>AB</v>
      </c>
      <c r="E9" s="131" t="str">
        <v>6E</v>
      </c>
      <c r="F9" s="130" t="str">
        <f t="shared" si="0"/>
        <v>Annual</v>
      </c>
      <c r="G9" s="130" t="s">
        <v>108</v>
      </c>
      <c r="H9" s="130" t="str">
        <f t="shared" si="1"/>
        <v>30/360 (Bond Basis)</v>
      </c>
      <c r="I9" s="129">
        <v>0</v>
      </c>
      <c r="J9" s="128" t="str">
        <f t="shared" si="2"/>
        <v>EURAB6E21M_Quote</v>
      </c>
      <c r="K9" s="126" t="str">
        <f>_xll.qlSwapRateHelper2(,$J9,$C9,Calendar,$F9,$G9,$H9,$K$4,$I9,B9,Discounting,Permanent,,ObjectOverwrite)</f>
        <v>obj_008c2#0000</v>
      </c>
      <c r="L9" s="125" t="str">
        <f>_xll.ohRangeRetrieveError(K9)</f>
        <v/>
      </c>
      <c r="M9" s="124"/>
      <c r="O9" s="137" t="s">
        <v>74</v>
      </c>
      <c r="P9" s="136" t="s">
        <v>110</v>
      </c>
      <c r="Q9" s="135" t="s">
        <v>109</v>
      </c>
    </row>
    <row r="10" spans="1:17" ht="13.5" thickBot="1" x14ac:dyDescent="0.25">
      <c r="A10" s="68"/>
      <c r="B10" s="131" t="s">
        <v>106</v>
      </c>
      <c r="C10" s="131" t="s">
        <v>32</v>
      </c>
      <c r="D10" s="131" t="str">
        <v>AB</v>
      </c>
      <c r="E10" s="131" t="str">
        <v>6E</v>
      </c>
      <c r="F10" s="130" t="str">
        <f t="shared" si="0"/>
        <v>Annual</v>
      </c>
      <c r="G10" s="130" t="s">
        <v>108</v>
      </c>
      <c r="H10" s="130" t="str">
        <f t="shared" si="1"/>
        <v>30/360 (Bond Basis)</v>
      </c>
      <c r="I10" s="129">
        <v>0</v>
      </c>
      <c r="J10" s="128" t="str">
        <f t="shared" si="2"/>
        <v>EURAB6E2Y_Quote</v>
      </c>
      <c r="K10" s="126" t="str">
        <f>_xll.qlSwapRateHelper2(,$J10,$C10,Calendar,$F10,$G10,$H10,$K$4,$I10,B10,Discounting,Permanent,,ObjectOverwrite)</f>
        <v>obj_008b9#0000</v>
      </c>
      <c r="L10" s="125" t="str">
        <f>_xll.ohRangeRetrieveError(K10)</f>
        <v/>
      </c>
      <c r="M10" s="124"/>
      <c r="O10" s="134" t="s">
        <v>72</v>
      </c>
      <c r="P10" s="133" t="s">
        <v>71</v>
      </c>
      <c r="Q10" s="132" t="s">
        <v>109</v>
      </c>
    </row>
    <row r="11" spans="1:17" x14ac:dyDescent="0.2">
      <c r="A11" s="68"/>
      <c r="B11" s="131" t="s">
        <v>106</v>
      </c>
      <c r="C11" s="131" t="s">
        <v>31</v>
      </c>
      <c r="D11" s="131" t="str">
        <v>AB</v>
      </c>
      <c r="E11" s="131" t="str">
        <v>6E</v>
      </c>
      <c r="F11" s="130" t="str">
        <f t="shared" si="0"/>
        <v>Annual</v>
      </c>
      <c r="G11" s="130" t="s">
        <v>108</v>
      </c>
      <c r="H11" s="130" t="str">
        <f t="shared" si="1"/>
        <v>30/360 (Bond Basis)</v>
      </c>
      <c r="I11" s="129">
        <v>0</v>
      </c>
      <c r="J11" s="128" t="str">
        <f t="shared" si="2"/>
        <v>EURAB6E3Y_Quote</v>
      </c>
      <c r="K11" s="126" t="str">
        <f>_xll.qlSwapRateHelper2(,$J11,$C11,Calendar,$F11,$G11,$H11,$K$4,$I11,B11,Discounting,Permanent,,ObjectOverwrite)</f>
        <v>obj_008d3#0000</v>
      </c>
      <c r="L11" s="125" t="str">
        <f>_xll.ohRangeRetrieveError(K11)</f>
        <v/>
      </c>
      <c r="M11" s="124"/>
    </row>
    <row r="12" spans="1:17" x14ac:dyDescent="0.2">
      <c r="A12" s="68"/>
      <c r="B12" s="131" t="s">
        <v>106</v>
      </c>
      <c r="C12" s="131" t="s">
        <v>30</v>
      </c>
      <c r="D12" s="131" t="str">
        <v>AB</v>
      </c>
      <c r="E12" s="131" t="str">
        <v>6E</v>
      </c>
      <c r="F12" s="130" t="str">
        <f t="shared" si="0"/>
        <v>Annual</v>
      </c>
      <c r="G12" s="130" t="s">
        <v>108</v>
      </c>
      <c r="H12" s="130" t="str">
        <f t="shared" si="1"/>
        <v>30/360 (Bond Basis)</v>
      </c>
      <c r="I12" s="129">
        <v>0</v>
      </c>
      <c r="J12" s="128" t="str">
        <f t="shared" si="2"/>
        <v>EURAB6E4Y_Quote</v>
      </c>
      <c r="K12" s="126" t="str">
        <f>_xll.qlSwapRateHelper2(,$J12,$C12,Calendar,$F12,$G12,$H12,$K$4,$I12,B12,Discounting,Permanent,,ObjectOverwrite)</f>
        <v>obj_008d7#0000</v>
      </c>
      <c r="L12" s="125" t="str">
        <f>_xll.ohRangeRetrieveError(K12)</f>
        <v/>
      </c>
      <c r="M12" s="124"/>
    </row>
    <row r="13" spans="1:17" x14ac:dyDescent="0.2">
      <c r="A13" s="68"/>
      <c r="B13" s="131" t="s">
        <v>106</v>
      </c>
      <c r="C13" s="131" t="s">
        <v>29</v>
      </c>
      <c r="D13" s="131" t="str">
        <v>AB</v>
      </c>
      <c r="E13" s="131" t="str">
        <v>6E</v>
      </c>
      <c r="F13" s="130" t="str">
        <f t="shared" si="0"/>
        <v>Annual</v>
      </c>
      <c r="G13" s="130" t="s">
        <v>108</v>
      </c>
      <c r="H13" s="130" t="str">
        <f t="shared" si="1"/>
        <v>30/360 (Bond Basis)</v>
      </c>
      <c r="I13" s="129">
        <v>0</v>
      </c>
      <c r="J13" s="128" t="str">
        <f t="shared" si="2"/>
        <v>EURAB6E5Y_Quote</v>
      </c>
      <c r="K13" s="126" t="str">
        <f>_xll.qlSwapRateHelper2(,$J13,$C13,Calendar,$F13,$G13,$H13,$K$4,$I13,B13,Discounting,Permanent,,ObjectOverwrite)</f>
        <v>obj_008ca#0000</v>
      </c>
      <c r="L13" s="125" t="str">
        <f>_xll.ohRangeRetrieveError(K13)</f>
        <v/>
      </c>
      <c r="M13" s="124"/>
    </row>
    <row r="14" spans="1:17" x14ac:dyDescent="0.2">
      <c r="A14" s="68"/>
      <c r="B14" s="131" t="s">
        <v>106</v>
      </c>
      <c r="C14" s="131" t="s">
        <v>28</v>
      </c>
      <c r="D14" s="131" t="str">
        <v>AB</v>
      </c>
      <c r="E14" s="131" t="str">
        <v>6E</v>
      </c>
      <c r="F14" s="130" t="str">
        <f t="shared" si="0"/>
        <v>Annual</v>
      </c>
      <c r="G14" s="130" t="s">
        <v>108</v>
      </c>
      <c r="H14" s="130" t="str">
        <f t="shared" si="1"/>
        <v>30/360 (Bond Basis)</v>
      </c>
      <c r="I14" s="129">
        <v>0</v>
      </c>
      <c r="J14" s="128" t="str">
        <f t="shared" si="2"/>
        <v>EURAB6E6Y_Quote</v>
      </c>
      <c r="K14" s="126" t="str">
        <f>_xll.qlSwapRateHelper2(,$J14,$C14,Calendar,$F14,$G14,$H14,$K$4,$I14,B14,Discounting,Permanent,,ObjectOverwrite)</f>
        <v>obj_008d6#0000</v>
      </c>
      <c r="L14" s="125" t="str">
        <f>_xll.ohRangeRetrieveError(K14)</f>
        <v/>
      </c>
      <c r="M14" s="124"/>
    </row>
    <row r="15" spans="1:17" x14ac:dyDescent="0.2">
      <c r="A15" s="68"/>
      <c r="B15" s="131" t="s">
        <v>106</v>
      </c>
      <c r="C15" s="131" t="s">
        <v>27</v>
      </c>
      <c r="D15" s="131" t="str">
        <v>AB</v>
      </c>
      <c r="E15" s="131" t="str">
        <v>6E</v>
      </c>
      <c r="F15" s="130" t="str">
        <f t="shared" si="0"/>
        <v>Annual</v>
      </c>
      <c r="G15" s="130" t="s">
        <v>108</v>
      </c>
      <c r="H15" s="130" t="str">
        <f t="shared" si="1"/>
        <v>30/360 (Bond Basis)</v>
      </c>
      <c r="I15" s="129">
        <v>0</v>
      </c>
      <c r="J15" s="128" t="str">
        <f t="shared" si="2"/>
        <v>EURAB6E7Y_Quote</v>
      </c>
      <c r="K15" s="126" t="str">
        <f>_xll.qlSwapRateHelper2(,$J15,$C15,Calendar,$F15,$G15,$H15,$K$4,$I15,B15,Discounting,Permanent,,ObjectOverwrite)</f>
        <v>obj_008cf#0000</v>
      </c>
      <c r="L15" s="125" t="str">
        <f>_xll.ohRangeRetrieveError(K15)</f>
        <v/>
      </c>
      <c r="M15" s="124"/>
    </row>
    <row r="16" spans="1:17" x14ac:dyDescent="0.2">
      <c r="A16" s="68"/>
      <c r="B16" s="131" t="s">
        <v>106</v>
      </c>
      <c r="C16" s="131" t="s">
        <v>26</v>
      </c>
      <c r="D16" s="131" t="str">
        <v>AB</v>
      </c>
      <c r="E16" s="131" t="str">
        <v>6E</v>
      </c>
      <c r="F16" s="130" t="str">
        <f t="shared" si="0"/>
        <v>Annual</v>
      </c>
      <c r="G16" s="130" t="s">
        <v>108</v>
      </c>
      <c r="H16" s="130" t="str">
        <f t="shared" si="1"/>
        <v>30/360 (Bond Basis)</v>
      </c>
      <c r="I16" s="129">
        <v>0</v>
      </c>
      <c r="J16" s="128" t="str">
        <f t="shared" si="2"/>
        <v>EURAB6E8Y_Quote</v>
      </c>
      <c r="K16" s="126" t="str">
        <f>_xll.qlSwapRateHelper2(,$J16,$C16,Calendar,$F16,$G16,$H16,$K$4,$I16,B16,Discounting,Permanent,,ObjectOverwrite)</f>
        <v>obj_008e5#0000</v>
      </c>
      <c r="L16" s="125" t="str">
        <f>_xll.ohRangeRetrieveError(K16)</f>
        <v/>
      </c>
      <c r="M16" s="124"/>
    </row>
    <row r="17" spans="1:13" x14ac:dyDescent="0.2">
      <c r="A17" s="68"/>
      <c r="B17" s="131" t="s">
        <v>106</v>
      </c>
      <c r="C17" s="131" t="s">
        <v>25</v>
      </c>
      <c r="D17" s="131" t="str">
        <v>AB</v>
      </c>
      <c r="E17" s="131" t="str">
        <v>6E</v>
      </c>
      <c r="F17" s="130" t="str">
        <f t="shared" si="0"/>
        <v>Annual</v>
      </c>
      <c r="G17" s="130" t="s">
        <v>108</v>
      </c>
      <c r="H17" s="130" t="str">
        <f t="shared" si="1"/>
        <v>30/360 (Bond Basis)</v>
      </c>
      <c r="I17" s="129">
        <v>0</v>
      </c>
      <c r="J17" s="128" t="str">
        <f t="shared" si="2"/>
        <v>EURAB6E9Y_Quote</v>
      </c>
      <c r="K17" s="126" t="str">
        <f>_xll.qlSwapRateHelper2(,$J17,$C17,Calendar,$F17,$G17,$H17,$K$4,$I17,B17,Discounting,Permanent,,ObjectOverwrite)</f>
        <v>obj_008ce#0000</v>
      </c>
      <c r="L17" s="125" t="str">
        <f>_xll.ohRangeRetrieveError(K17)</f>
        <v/>
      </c>
      <c r="M17" s="124"/>
    </row>
    <row r="18" spans="1:13" x14ac:dyDescent="0.2">
      <c r="A18" s="68"/>
      <c r="B18" s="131" t="s">
        <v>106</v>
      </c>
      <c r="C18" s="131" t="s">
        <v>24</v>
      </c>
      <c r="D18" s="131" t="str">
        <v>AB</v>
      </c>
      <c r="E18" s="131" t="str">
        <v>6E</v>
      </c>
      <c r="F18" s="130" t="str">
        <f t="shared" si="0"/>
        <v>Annual</v>
      </c>
      <c r="G18" s="130" t="s">
        <v>108</v>
      </c>
      <c r="H18" s="130" t="str">
        <f t="shared" si="1"/>
        <v>30/360 (Bond Basis)</v>
      </c>
      <c r="I18" s="129">
        <v>0</v>
      </c>
      <c r="J18" s="128" t="str">
        <f t="shared" si="2"/>
        <v>EURAB6E10Y_Quote</v>
      </c>
      <c r="K18" s="126" t="str">
        <f>_xll.qlSwapRateHelper2(,$J18,$C18,Calendar,$F18,$G18,$H18,$K$4,$I18,B18,Discounting,Permanent,,ObjectOverwrite)</f>
        <v>obj_008da#0000</v>
      </c>
      <c r="L18" s="125" t="str">
        <f>_xll.ohRangeRetrieveError(K18)</f>
        <v/>
      </c>
      <c r="M18" s="124"/>
    </row>
    <row r="19" spans="1:13" x14ac:dyDescent="0.2">
      <c r="A19" s="68"/>
      <c r="B19" s="131" t="s">
        <v>106</v>
      </c>
      <c r="C19" s="131" t="s">
        <v>23</v>
      </c>
      <c r="D19" s="131" t="str">
        <v>AB</v>
      </c>
      <c r="E19" s="131" t="str">
        <v>6E</v>
      </c>
      <c r="F19" s="130" t="str">
        <f t="shared" si="0"/>
        <v>Annual</v>
      </c>
      <c r="G19" s="130" t="s">
        <v>108</v>
      </c>
      <c r="H19" s="130" t="str">
        <f t="shared" si="1"/>
        <v>30/360 (Bond Basis)</v>
      </c>
      <c r="I19" s="129">
        <v>0</v>
      </c>
      <c r="J19" s="128" t="str">
        <f t="shared" si="2"/>
        <v>EURAB6E11Y_Quote</v>
      </c>
      <c r="K19" s="126" t="str">
        <f>_xll.qlSwapRateHelper2(,$J19,$C19,Calendar,$F19,$G19,$H19,$K$4,$I19,B19,Discounting,Permanent,,ObjectOverwrite)</f>
        <v>obj_008cd#0000</v>
      </c>
      <c r="L19" s="125" t="str">
        <f>_xll.ohRangeRetrieveError(K19)</f>
        <v/>
      </c>
      <c r="M19" s="124"/>
    </row>
    <row r="20" spans="1:13" x14ac:dyDescent="0.2">
      <c r="A20" s="68"/>
      <c r="B20" s="131" t="s">
        <v>106</v>
      </c>
      <c r="C20" s="131" t="s">
        <v>22</v>
      </c>
      <c r="D20" s="131" t="str">
        <v>AB</v>
      </c>
      <c r="E20" s="131" t="str">
        <v>6E</v>
      </c>
      <c r="F20" s="130" t="str">
        <f t="shared" si="0"/>
        <v>Annual</v>
      </c>
      <c r="G20" s="130" t="s">
        <v>108</v>
      </c>
      <c r="H20" s="130" t="str">
        <f t="shared" si="1"/>
        <v>30/360 (Bond Basis)</v>
      </c>
      <c r="I20" s="129">
        <v>0</v>
      </c>
      <c r="J20" s="128" t="str">
        <f t="shared" si="2"/>
        <v>EURAB6E12Y_Quote</v>
      </c>
      <c r="K20" s="126" t="str">
        <f>_xll.qlSwapRateHelper2(,$J20,$C20,Calendar,$F20,$G20,$H20,$K$4,$I20,B20,Discounting,Permanent,,ObjectOverwrite)</f>
        <v>obj_008d1#0000</v>
      </c>
      <c r="L20" s="125" t="str">
        <f>_xll.ohRangeRetrieveError(K20)</f>
        <v/>
      </c>
      <c r="M20" s="124"/>
    </row>
    <row r="21" spans="1:13" x14ac:dyDescent="0.2">
      <c r="A21" s="68"/>
      <c r="B21" s="131" t="s">
        <v>106</v>
      </c>
      <c r="C21" s="131" t="s">
        <v>21</v>
      </c>
      <c r="D21" s="131" t="str">
        <v>AB</v>
      </c>
      <c r="E21" s="131" t="str">
        <v>6E</v>
      </c>
      <c r="F21" s="130" t="str">
        <f t="shared" si="0"/>
        <v>Annual</v>
      </c>
      <c r="G21" s="130" t="s">
        <v>108</v>
      </c>
      <c r="H21" s="130" t="str">
        <f t="shared" si="1"/>
        <v>30/360 (Bond Basis)</v>
      </c>
      <c r="I21" s="129">
        <v>0</v>
      </c>
      <c r="J21" s="128" t="str">
        <f t="shared" si="2"/>
        <v>EURAB6E13Y_Quote</v>
      </c>
      <c r="K21" s="126" t="str">
        <f>_xll.qlSwapRateHelper2(,$J21,$C21,Calendar,$F21,$G21,$H21,$K$4,$I21,B21,Discounting,Permanent,,ObjectOverwrite)</f>
        <v>obj_008c6#0000</v>
      </c>
      <c r="L21" s="125" t="str">
        <f>_xll.ohRangeRetrieveError(K21)</f>
        <v/>
      </c>
      <c r="M21" s="124"/>
    </row>
    <row r="22" spans="1:13" x14ac:dyDescent="0.2">
      <c r="A22" s="68"/>
      <c r="B22" s="131" t="s">
        <v>106</v>
      </c>
      <c r="C22" s="131" t="s">
        <v>20</v>
      </c>
      <c r="D22" s="131" t="str">
        <v>AB</v>
      </c>
      <c r="E22" s="131" t="str">
        <v>6E</v>
      </c>
      <c r="F22" s="130" t="str">
        <f t="shared" si="0"/>
        <v>Annual</v>
      </c>
      <c r="G22" s="130" t="s">
        <v>108</v>
      </c>
      <c r="H22" s="130" t="str">
        <f t="shared" si="1"/>
        <v>30/360 (Bond Basis)</v>
      </c>
      <c r="I22" s="129">
        <v>0</v>
      </c>
      <c r="J22" s="128" t="str">
        <f t="shared" si="2"/>
        <v>EURAB6E14Y_Quote</v>
      </c>
      <c r="K22" s="126" t="str">
        <f>_xll.qlSwapRateHelper2(,$J22,$C22,Calendar,$F22,$G22,$H22,$K$4,$I22,B22,Discounting,Permanent,,ObjectOverwrite)</f>
        <v>obj_008c8#0000</v>
      </c>
      <c r="L22" s="125" t="str">
        <f>_xll.ohRangeRetrieveError(K22)</f>
        <v/>
      </c>
      <c r="M22" s="124"/>
    </row>
    <row r="23" spans="1:13" x14ac:dyDescent="0.2">
      <c r="A23" s="68"/>
      <c r="B23" s="131" t="s">
        <v>106</v>
      </c>
      <c r="C23" s="131" t="s">
        <v>19</v>
      </c>
      <c r="D23" s="131" t="str">
        <v>AB</v>
      </c>
      <c r="E23" s="131" t="str">
        <v>6E</v>
      </c>
      <c r="F23" s="130" t="str">
        <f t="shared" si="0"/>
        <v>Annual</v>
      </c>
      <c r="G23" s="130" t="s">
        <v>108</v>
      </c>
      <c r="H23" s="130" t="str">
        <f t="shared" si="1"/>
        <v>30/360 (Bond Basis)</v>
      </c>
      <c r="I23" s="129">
        <v>0</v>
      </c>
      <c r="J23" s="128" t="str">
        <f t="shared" si="2"/>
        <v>EURAB6E15Y_Quote</v>
      </c>
      <c r="K23" s="126" t="str">
        <f>_xll.qlSwapRateHelper2(,$J23,$C23,Calendar,$F23,$G23,$H23,$K$4,$I23,B23,Discounting,Permanent,,ObjectOverwrite)</f>
        <v>obj_008bf#0000</v>
      </c>
      <c r="L23" s="125" t="str">
        <f>_xll.ohRangeRetrieveError(K23)</f>
        <v/>
      </c>
      <c r="M23" s="124"/>
    </row>
    <row r="24" spans="1:13" x14ac:dyDescent="0.2">
      <c r="A24" s="68"/>
      <c r="B24" s="131" t="s">
        <v>106</v>
      </c>
      <c r="C24" s="131" t="s">
        <v>18</v>
      </c>
      <c r="D24" s="131" t="str">
        <v>AB</v>
      </c>
      <c r="E24" s="131" t="str">
        <v>6E</v>
      </c>
      <c r="F24" s="130" t="str">
        <f t="shared" si="0"/>
        <v>Annual</v>
      </c>
      <c r="G24" s="130" t="s">
        <v>108</v>
      </c>
      <c r="H24" s="130" t="str">
        <f t="shared" si="1"/>
        <v>30/360 (Bond Basis)</v>
      </c>
      <c r="I24" s="129">
        <v>0</v>
      </c>
      <c r="J24" s="128" t="str">
        <f t="shared" si="2"/>
        <v>EURAB6E16Y_Quote</v>
      </c>
      <c r="K24" s="126" t="str">
        <f>_xll.qlSwapRateHelper2(,$J24,$C24,Calendar,$F24,$G24,$H24,$K$4,$I24,B24,Discounting,Permanent,,ObjectOverwrite)</f>
        <v>obj_008d2#0000</v>
      </c>
      <c r="L24" s="125" t="str">
        <f>_xll.ohRangeRetrieveError(K24)</f>
        <v/>
      </c>
      <c r="M24" s="124"/>
    </row>
    <row r="25" spans="1:13" x14ac:dyDescent="0.2">
      <c r="A25" s="68"/>
      <c r="B25" s="131" t="s">
        <v>106</v>
      </c>
      <c r="C25" s="131" t="s">
        <v>17</v>
      </c>
      <c r="D25" s="131" t="str">
        <v>AB</v>
      </c>
      <c r="E25" s="131" t="str">
        <v>6E</v>
      </c>
      <c r="F25" s="130" t="str">
        <f t="shared" si="0"/>
        <v>Annual</v>
      </c>
      <c r="G25" s="130" t="s">
        <v>108</v>
      </c>
      <c r="H25" s="130" t="str">
        <f t="shared" si="1"/>
        <v>30/360 (Bond Basis)</v>
      </c>
      <c r="I25" s="129">
        <v>0</v>
      </c>
      <c r="J25" s="128" t="str">
        <f t="shared" si="2"/>
        <v>EURAB6E17Y_Quote</v>
      </c>
      <c r="K25" s="126" t="str">
        <f>_xll.qlSwapRateHelper2(,$J25,$C25,Calendar,$F25,$G25,$H25,$K$4,$I25,B25,Discounting,Permanent,,ObjectOverwrite)</f>
        <v>obj_008d9#0000</v>
      </c>
      <c r="L25" s="125" t="str">
        <f>_xll.ohRangeRetrieveError(K25)</f>
        <v/>
      </c>
      <c r="M25" s="124"/>
    </row>
    <row r="26" spans="1:13" x14ac:dyDescent="0.2">
      <c r="A26" s="68"/>
      <c r="B26" s="131" t="s">
        <v>106</v>
      </c>
      <c r="C26" s="131" t="s">
        <v>16</v>
      </c>
      <c r="D26" s="131" t="str">
        <v>AB</v>
      </c>
      <c r="E26" s="131" t="str">
        <v>6E</v>
      </c>
      <c r="F26" s="130" t="str">
        <f t="shared" si="0"/>
        <v>Annual</v>
      </c>
      <c r="G26" s="130" t="s">
        <v>108</v>
      </c>
      <c r="H26" s="130" t="str">
        <f t="shared" si="1"/>
        <v>30/360 (Bond Basis)</v>
      </c>
      <c r="I26" s="129">
        <v>0</v>
      </c>
      <c r="J26" s="128" t="str">
        <f t="shared" si="2"/>
        <v>EURAB6E18Y_Quote</v>
      </c>
      <c r="K26" s="126" t="str">
        <f>_xll.qlSwapRateHelper2(,$J26,$C26,Calendar,$F26,$G26,$H26,$K$4,$I26,B26,Discounting,Permanent,,ObjectOverwrite)</f>
        <v>obj_008c5#0000</v>
      </c>
      <c r="L26" s="125" t="str">
        <f>_xll.ohRangeRetrieveError(K26)</f>
        <v/>
      </c>
      <c r="M26" s="124"/>
    </row>
    <row r="27" spans="1:13" x14ac:dyDescent="0.2">
      <c r="A27" s="68"/>
      <c r="B27" s="131" t="s">
        <v>106</v>
      </c>
      <c r="C27" s="131" t="s">
        <v>15</v>
      </c>
      <c r="D27" s="131" t="str">
        <v>AB</v>
      </c>
      <c r="E27" s="131" t="str">
        <v>6E</v>
      </c>
      <c r="F27" s="130" t="str">
        <f t="shared" si="0"/>
        <v>Annual</v>
      </c>
      <c r="G27" s="130" t="s">
        <v>108</v>
      </c>
      <c r="H27" s="130" t="str">
        <f t="shared" si="1"/>
        <v>30/360 (Bond Basis)</v>
      </c>
      <c r="I27" s="129">
        <v>0</v>
      </c>
      <c r="J27" s="128" t="str">
        <f t="shared" si="2"/>
        <v>EURAB6E19Y_Quote</v>
      </c>
      <c r="K27" s="126" t="str">
        <f>_xll.qlSwapRateHelper2(,$J27,$C27,Calendar,$F27,$G27,$H27,$K$4,$I27,B27,Discounting,Permanent,,ObjectOverwrite)</f>
        <v>obj_008de#0000</v>
      </c>
      <c r="L27" s="125" t="str">
        <f>_xll.ohRangeRetrieveError(K27)</f>
        <v/>
      </c>
      <c r="M27" s="124"/>
    </row>
    <row r="28" spans="1:13" x14ac:dyDescent="0.2">
      <c r="A28" s="68"/>
      <c r="B28" s="131" t="s">
        <v>106</v>
      </c>
      <c r="C28" s="131" t="s">
        <v>14</v>
      </c>
      <c r="D28" s="131" t="str">
        <v>AB</v>
      </c>
      <c r="E28" s="131" t="str">
        <v>6E</v>
      </c>
      <c r="F28" s="130" t="str">
        <f t="shared" si="0"/>
        <v>Annual</v>
      </c>
      <c r="G28" s="130" t="s">
        <v>108</v>
      </c>
      <c r="H28" s="130" t="str">
        <f t="shared" si="1"/>
        <v>30/360 (Bond Basis)</v>
      </c>
      <c r="I28" s="129">
        <v>0</v>
      </c>
      <c r="J28" s="128" t="str">
        <f t="shared" si="2"/>
        <v>EURAB6E20Y_Quote</v>
      </c>
      <c r="K28" s="126" t="str">
        <f>_xll.qlSwapRateHelper2(,$J28,$C28,Calendar,$F28,$G28,$H28,$K$4,$I28,B28,Discounting,Permanent,,ObjectOverwrite)</f>
        <v>obj_008bd#0000</v>
      </c>
      <c r="L28" s="125" t="str">
        <f>_xll.ohRangeRetrieveError(K28)</f>
        <v/>
      </c>
      <c r="M28" s="124"/>
    </row>
    <row r="29" spans="1:13" x14ac:dyDescent="0.2">
      <c r="A29" s="68"/>
      <c r="B29" s="131" t="s">
        <v>106</v>
      </c>
      <c r="C29" s="131" t="s">
        <v>13</v>
      </c>
      <c r="D29" s="131" t="str">
        <v>AB</v>
      </c>
      <c r="E29" s="131" t="str">
        <v>6E</v>
      </c>
      <c r="F29" s="130" t="str">
        <f t="shared" si="0"/>
        <v>Annual</v>
      </c>
      <c r="G29" s="130" t="s">
        <v>108</v>
      </c>
      <c r="H29" s="130" t="str">
        <f t="shared" si="1"/>
        <v>30/360 (Bond Basis)</v>
      </c>
      <c r="I29" s="129">
        <v>0</v>
      </c>
      <c r="J29" s="128" t="str">
        <f t="shared" si="2"/>
        <v>EURAB6E21Y_Quote</v>
      </c>
      <c r="K29" s="126" t="str">
        <f>_xll.qlSwapRateHelper2(,$J29,$C29,Calendar,$F29,$G29,$H29,$K$4,$I29,B29,Discounting,Permanent,,ObjectOverwrite)</f>
        <v>obj_008db#0000</v>
      </c>
      <c r="L29" s="125" t="str">
        <f>_xll.ohRangeRetrieveError(K29)</f>
        <v/>
      </c>
      <c r="M29" s="124"/>
    </row>
    <row r="30" spans="1:13" x14ac:dyDescent="0.2">
      <c r="A30" s="68"/>
      <c r="B30" s="131" t="s">
        <v>106</v>
      </c>
      <c r="C30" s="131" t="s">
        <v>12</v>
      </c>
      <c r="D30" s="131" t="str">
        <v>AB</v>
      </c>
      <c r="E30" s="131" t="str">
        <v>6E</v>
      </c>
      <c r="F30" s="130" t="str">
        <f t="shared" si="0"/>
        <v>Annual</v>
      </c>
      <c r="G30" s="130" t="s">
        <v>108</v>
      </c>
      <c r="H30" s="130" t="str">
        <f t="shared" si="1"/>
        <v>30/360 (Bond Basis)</v>
      </c>
      <c r="I30" s="129">
        <v>0</v>
      </c>
      <c r="J30" s="128" t="str">
        <f t="shared" si="2"/>
        <v>EURAB6E22Y_Quote</v>
      </c>
      <c r="K30" s="126" t="str">
        <f>_xll.qlSwapRateHelper2(,$J30,$C30,Calendar,$F30,$G30,$H30,$K$4,$I30,B30,Discounting,Permanent,,ObjectOverwrite)</f>
        <v>obj_008e0#0000</v>
      </c>
      <c r="L30" s="125" t="str">
        <f>_xll.ohRangeRetrieveError(K30)</f>
        <v/>
      </c>
      <c r="M30" s="124"/>
    </row>
    <row r="31" spans="1:13" x14ac:dyDescent="0.2">
      <c r="A31" s="68"/>
      <c r="B31" s="131" t="s">
        <v>106</v>
      </c>
      <c r="C31" s="131" t="s">
        <v>11</v>
      </c>
      <c r="D31" s="131" t="str">
        <v>AB</v>
      </c>
      <c r="E31" s="131" t="str">
        <v>6E</v>
      </c>
      <c r="F31" s="130" t="str">
        <f t="shared" si="0"/>
        <v>Annual</v>
      </c>
      <c r="G31" s="130" t="s">
        <v>108</v>
      </c>
      <c r="H31" s="130" t="str">
        <f t="shared" si="1"/>
        <v>30/360 (Bond Basis)</v>
      </c>
      <c r="I31" s="129">
        <v>0</v>
      </c>
      <c r="J31" s="128" t="str">
        <f t="shared" si="2"/>
        <v>EURAB6E23Y_Quote</v>
      </c>
      <c r="K31" s="126" t="str">
        <f>_xll.qlSwapRateHelper2(,$J31,$C31,Calendar,$F31,$G31,$H31,$K$4,$I31,B31,Discounting,Permanent,,ObjectOverwrite)</f>
        <v>obj_008df#0000</v>
      </c>
      <c r="L31" s="125" t="str">
        <f>_xll.ohRangeRetrieveError(K31)</f>
        <v/>
      </c>
      <c r="M31" s="124"/>
    </row>
    <row r="32" spans="1:13" x14ac:dyDescent="0.2">
      <c r="A32" s="68"/>
      <c r="B32" s="131" t="s">
        <v>106</v>
      </c>
      <c r="C32" s="131" t="s">
        <v>10</v>
      </c>
      <c r="D32" s="131" t="str">
        <v>AB</v>
      </c>
      <c r="E32" s="131" t="str">
        <v>6E</v>
      </c>
      <c r="F32" s="130" t="str">
        <f t="shared" si="0"/>
        <v>Annual</v>
      </c>
      <c r="G32" s="130" t="s">
        <v>108</v>
      </c>
      <c r="H32" s="130" t="str">
        <f t="shared" si="1"/>
        <v>30/360 (Bond Basis)</v>
      </c>
      <c r="I32" s="129">
        <v>0</v>
      </c>
      <c r="J32" s="128" t="str">
        <f t="shared" si="2"/>
        <v>EURAB6E24Y_Quote</v>
      </c>
      <c r="K32" s="126" t="str">
        <f>_xll.qlSwapRateHelper2(,$J32,$C32,Calendar,$F32,$G32,$H32,$K$4,$I32,B32,Discounting,Permanent,,ObjectOverwrite)</f>
        <v>obj_008cc#0000</v>
      </c>
      <c r="L32" s="125" t="str">
        <f>_xll.ohRangeRetrieveError(K32)</f>
        <v/>
      </c>
      <c r="M32" s="124"/>
    </row>
    <row r="33" spans="1:13" x14ac:dyDescent="0.2">
      <c r="A33" s="68"/>
      <c r="B33" s="131" t="s">
        <v>106</v>
      </c>
      <c r="C33" s="131" t="s">
        <v>9</v>
      </c>
      <c r="D33" s="131" t="str">
        <v>AB</v>
      </c>
      <c r="E33" s="131" t="str">
        <v>6E</v>
      </c>
      <c r="F33" s="130" t="str">
        <f t="shared" si="0"/>
        <v>Annual</v>
      </c>
      <c r="G33" s="130" t="s">
        <v>108</v>
      </c>
      <c r="H33" s="130" t="str">
        <f t="shared" si="1"/>
        <v>30/360 (Bond Basis)</v>
      </c>
      <c r="I33" s="129">
        <v>0</v>
      </c>
      <c r="J33" s="128" t="str">
        <f t="shared" si="2"/>
        <v>EURAB6E25Y_Quote</v>
      </c>
      <c r="K33" s="126" t="str">
        <f>_xll.qlSwapRateHelper2(,$J33,$C33,Calendar,$F33,$G33,$H33,$K$4,$I33,B33,Discounting,Permanent,,ObjectOverwrite)</f>
        <v>obj_008c9#0000</v>
      </c>
      <c r="L33" s="125" t="str">
        <f>_xll.ohRangeRetrieveError(K33)</f>
        <v/>
      </c>
      <c r="M33" s="124"/>
    </row>
    <row r="34" spans="1:13" x14ac:dyDescent="0.2">
      <c r="A34" s="68"/>
      <c r="B34" s="131" t="s">
        <v>106</v>
      </c>
      <c r="C34" s="131" t="s">
        <v>8</v>
      </c>
      <c r="D34" s="131" t="str">
        <v>AB</v>
      </c>
      <c r="E34" s="131" t="str">
        <v>6E</v>
      </c>
      <c r="F34" s="130" t="str">
        <f t="shared" si="0"/>
        <v>Annual</v>
      </c>
      <c r="G34" s="130" t="s">
        <v>108</v>
      </c>
      <c r="H34" s="130" t="str">
        <f t="shared" si="1"/>
        <v>30/360 (Bond Basis)</v>
      </c>
      <c r="I34" s="129">
        <v>0</v>
      </c>
      <c r="J34" s="128" t="str">
        <f t="shared" si="2"/>
        <v>EURAB6E26Y_Quote</v>
      </c>
      <c r="K34" s="126" t="str">
        <f>_xll.qlSwapRateHelper2(,$J34,$C34,Calendar,$F34,$G34,$H34,$K$4,$I34,B34,Discounting,Permanent,,ObjectOverwrite)</f>
        <v>obj_008e6#0000</v>
      </c>
      <c r="L34" s="125" t="str">
        <f>_xll.ohRangeRetrieveError(K34)</f>
        <v/>
      </c>
      <c r="M34" s="124"/>
    </row>
    <row r="35" spans="1:13" x14ac:dyDescent="0.2">
      <c r="A35" s="68"/>
      <c r="B35" s="131" t="s">
        <v>106</v>
      </c>
      <c r="C35" s="131" t="s">
        <v>7</v>
      </c>
      <c r="D35" s="131" t="str">
        <v>AB</v>
      </c>
      <c r="E35" s="131" t="str">
        <v>6E</v>
      </c>
      <c r="F35" s="130" t="str">
        <f t="shared" si="0"/>
        <v>Annual</v>
      </c>
      <c r="G35" s="130" t="s">
        <v>108</v>
      </c>
      <c r="H35" s="130" t="str">
        <f t="shared" si="1"/>
        <v>30/360 (Bond Basis)</v>
      </c>
      <c r="I35" s="129">
        <v>0</v>
      </c>
      <c r="J35" s="128" t="str">
        <f t="shared" si="2"/>
        <v>EURAB6E27Y_Quote</v>
      </c>
      <c r="K35" s="126" t="str">
        <f>_xll.qlSwapRateHelper2(,$J35,$C35,Calendar,$F35,$G35,$H35,$K$4,$I35,B35,Discounting,Permanent,,ObjectOverwrite)</f>
        <v>obj_008d4#0000</v>
      </c>
      <c r="L35" s="125" t="str">
        <f>_xll.ohRangeRetrieveError(K35)</f>
        <v/>
      </c>
      <c r="M35" s="124"/>
    </row>
    <row r="36" spans="1:13" x14ac:dyDescent="0.2">
      <c r="A36" s="68"/>
      <c r="B36" s="131" t="s">
        <v>106</v>
      </c>
      <c r="C36" s="131" t="s">
        <v>6</v>
      </c>
      <c r="D36" s="131" t="str">
        <v>AB</v>
      </c>
      <c r="E36" s="131" t="str">
        <v>6E</v>
      </c>
      <c r="F36" s="130" t="str">
        <f t="shared" si="0"/>
        <v>Annual</v>
      </c>
      <c r="G36" s="130" t="s">
        <v>108</v>
      </c>
      <c r="H36" s="130" t="str">
        <f t="shared" si="1"/>
        <v>30/360 (Bond Basis)</v>
      </c>
      <c r="I36" s="129">
        <v>0</v>
      </c>
      <c r="J36" s="128" t="str">
        <f t="shared" si="2"/>
        <v>EURAB6E28Y_Quote</v>
      </c>
      <c r="K36" s="126" t="str">
        <f>_xll.qlSwapRateHelper2(,$J36,$C36,Calendar,$F36,$G36,$H36,$K$4,$I36,B36,Discounting,Permanent,,ObjectOverwrite)</f>
        <v>obj_008d5#0000</v>
      </c>
      <c r="L36" s="125" t="str">
        <f>_xll.ohRangeRetrieveError(K36)</f>
        <v/>
      </c>
      <c r="M36" s="124"/>
    </row>
    <row r="37" spans="1:13" x14ac:dyDescent="0.2">
      <c r="A37" s="68"/>
      <c r="B37" s="131" t="s">
        <v>106</v>
      </c>
      <c r="C37" s="131" t="s">
        <v>5</v>
      </c>
      <c r="D37" s="131" t="str">
        <v>AB</v>
      </c>
      <c r="E37" s="131" t="str">
        <v>6E</v>
      </c>
      <c r="F37" s="130" t="str">
        <f t="shared" si="0"/>
        <v>Annual</v>
      </c>
      <c r="G37" s="130" t="s">
        <v>108</v>
      </c>
      <c r="H37" s="130" t="str">
        <f t="shared" si="1"/>
        <v>30/360 (Bond Basis)</v>
      </c>
      <c r="I37" s="129">
        <v>0</v>
      </c>
      <c r="J37" s="128" t="str">
        <f t="shared" si="2"/>
        <v>EURAB6E29Y_Quote</v>
      </c>
      <c r="K37" s="126" t="str">
        <f>_xll.qlSwapRateHelper2(,$J37,$C37,Calendar,$F37,$G37,$H37,$K$4,$I37,B37,Discounting,Permanent,,ObjectOverwrite)</f>
        <v>obj_008ba#0000</v>
      </c>
      <c r="L37" s="125" t="str">
        <f>_xll.ohRangeRetrieveError(K37)</f>
        <v/>
      </c>
      <c r="M37" s="124"/>
    </row>
    <row r="38" spans="1:13" x14ac:dyDescent="0.2">
      <c r="A38" s="68"/>
      <c r="B38" s="131" t="s">
        <v>106</v>
      </c>
      <c r="C38" s="131" t="s">
        <v>4</v>
      </c>
      <c r="D38" s="131" t="str">
        <v>AB</v>
      </c>
      <c r="E38" s="131" t="str">
        <v>6E</v>
      </c>
      <c r="F38" s="130" t="str">
        <f t="shared" si="0"/>
        <v>Annual</v>
      </c>
      <c r="G38" s="130" t="s">
        <v>108</v>
      </c>
      <c r="H38" s="130" t="str">
        <f t="shared" si="1"/>
        <v>30/360 (Bond Basis)</v>
      </c>
      <c r="I38" s="129">
        <v>0</v>
      </c>
      <c r="J38" s="128" t="str">
        <f t="shared" si="2"/>
        <v>EURAB6E30Y_Quote</v>
      </c>
      <c r="K38" s="126" t="str">
        <f>_xll.qlSwapRateHelper2(,$J38,$C38,Calendar,$F38,$G38,$H38,$K$4,$I38,B38,Discounting,Permanent,,ObjectOverwrite)</f>
        <v>obj_008e7#0000</v>
      </c>
      <c r="L38" s="125" t="str">
        <f>_xll.ohRangeRetrieveError(K38)</f>
        <v/>
      </c>
      <c r="M38" s="124"/>
    </row>
    <row r="39" spans="1:13" x14ac:dyDescent="0.2">
      <c r="A39" s="68"/>
      <c r="B39" s="131" t="s">
        <v>106</v>
      </c>
      <c r="C39" s="131" t="s">
        <v>3</v>
      </c>
      <c r="D39" s="131" t="str">
        <v>AB</v>
      </c>
      <c r="E39" s="131" t="str">
        <v>6E</v>
      </c>
      <c r="F39" s="130" t="str">
        <f t="shared" si="0"/>
        <v>Annual</v>
      </c>
      <c r="G39" s="130" t="s">
        <v>108</v>
      </c>
      <c r="H39" s="130" t="str">
        <f t="shared" si="1"/>
        <v>30/360 (Bond Basis)</v>
      </c>
      <c r="I39" s="129">
        <v>0</v>
      </c>
      <c r="J39" s="128" t="str">
        <f t="shared" si="2"/>
        <v>EURAB6E35Y_Quote</v>
      </c>
      <c r="K39" s="126" t="str">
        <f>_xll.qlSwapRateHelper2(,$J39,$C39,Calendar,$F39,$G39,$H39,$K$4,$I39,B39,Discounting,Permanent,,ObjectOverwrite)</f>
        <v>obj_008cb#0000</v>
      </c>
      <c r="L39" s="125" t="str">
        <f>_xll.ohRangeRetrieveError(K39)</f>
        <v/>
      </c>
      <c r="M39" s="124"/>
    </row>
    <row r="40" spans="1:13" x14ac:dyDescent="0.2">
      <c r="A40" s="68"/>
      <c r="B40" s="131" t="s">
        <v>106</v>
      </c>
      <c r="C40" s="131" t="s">
        <v>2</v>
      </c>
      <c r="D40" s="131" t="str">
        <v>AB</v>
      </c>
      <c r="E40" s="131" t="str">
        <v>6E</v>
      </c>
      <c r="F40" s="130" t="str">
        <f t="shared" si="0"/>
        <v>Annual</v>
      </c>
      <c r="G40" s="130" t="s">
        <v>108</v>
      </c>
      <c r="H40" s="130" t="str">
        <f t="shared" si="1"/>
        <v>30/360 (Bond Basis)</v>
      </c>
      <c r="I40" s="129">
        <v>0</v>
      </c>
      <c r="J40" s="128" t="str">
        <f t="shared" si="2"/>
        <v>EURAB6E40Y_Quote</v>
      </c>
      <c r="K40" s="126" t="str">
        <f>_xll.qlSwapRateHelper2(,$J40,$C40,Calendar,$F40,$G40,$H40,$K$4,$I40,B40,Discounting,Permanent,,ObjectOverwrite)</f>
        <v>obj_008e3#0000</v>
      </c>
      <c r="L40" s="125" t="str">
        <f>_xll.ohRangeRetrieveError(K40)</f>
        <v/>
      </c>
      <c r="M40" s="124"/>
    </row>
    <row r="41" spans="1:13" x14ac:dyDescent="0.2">
      <c r="A41" s="68"/>
      <c r="B41" s="131" t="s">
        <v>106</v>
      </c>
      <c r="C41" s="131" t="s">
        <v>1</v>
      </c>
      <c r="D41" s="131" t="str">
        <v>AB</v>
      </c>
      <c r="E41" s="131" t="str">
        <v>6E</v>
      </c>
      <c r="F41" s="130" t="str">
        <f t="shared" si="0"/>
        <v>Annual</v>
      </c>
      <c r="G41" s="130" t="s">
        <v>108</v>
      </c>
      <c r="H41" s="130" t="str">
        <f t="shared" si="1"/>
        <v>30/360 (Bond Basis)</v>
      </c>
      <c r="I41" s="129">
        <v>0</v>
      </c>
      <c r="J41" s="128" t="str">
        <f t="shared" si="2"/>
        <v>EURAB6E50Y_Quote</v>
      </c>
      <c r="K41" s="126" t="str">
        <f>_xll.qlSwapRateHelper2(,$J41,$C41,Calendar,$F41,$G41,$H41,$K$4,$I41,B41,Discounting,Permanent,,ObjectOverwrite)</f>
        <v>obj_008e1#0000</v>
      </c>
      <c r="L41" s="125" t="str">
        <f>_xll.ohRangeRetrieveError(K41)</f>
        <v/>
      </c>
      <c r="M41" s="124"/>
    </row>
    <row r="42" spans="1:13" x14ac:dyDescent="0.2">
      <c r="A42" s="68"/>
      <c r="B42" s="131" t="s">
        <v>106</v>
      </c>
      <c r="C42" s="131" t="s">
        <v>0</v>
      </c>
      <c r="D42" s="131" t="str">
        <v>AB</v>
      </c>
      <c r="E42" s="131" t="str">
        <v>6E</v>
      </c>
      <c r="F42" s="130" t="str">
        <f t="shared" si="0"/>
        <v>Annual</v>
      </c>
      <c r="G42" s="130" t="s">
        <v>108</v>
      </c>
      <c r="H42" s="130" t="str">
        <f t="shared" si="1"/>
        <v>30/360 (Bond Basis)</v>
      </c>
      <c r="I42" s="129">
        <v>0</v>
      </c>
      <c r="J42" s="128" t="str">
        <f t="shared" si="2"/>
        <v>EURAB6E60Y_Quote</v>
      </c>
      <c r="K42" s="126" t="str">
        <f>_xll.qlSwapRateHelper2(,$J42,$C42,Calendar,$F42,$G42,$H42,$K$4,$I42,B42,Discounting,Permanent,,ObjectOverwrite)</f>
        <v>obj_008dd#0000</v>
      </c>
      <c r="L42" s="125" t="str">
        <f>_xll.ohRangeRetrieveError(K42)</f>
        <v/>
      </c>
      <c r="M42" s="124"/>
    </row>
    <row r="43" spans="1:13" ht="13.5" thickBot="1" x14ac:dyDescent="0.25">
      <c r="A43" s="61"/>
      <c r="B43" s="55"/>
      <c r="C43" s="55"/>
      <c r="D43" s="55"/>
      <c r="E43" s="55"/>
      <c r="F43" s="55"/>
      <c r="G43" s="55"/>
      <c r="H43" s="55"/>
      <c r="I43" s="55"/>
      <c r="J43" s="55"/>
      <c r="K43" s="123"/>
      <c r="L43" s="123"/>
      <c r="M43" s="12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30"/>
  <sheetViews>
    <sheetView workbookViewId="0">
      <selection activeCell="J3" sqref="J3"/>
    </sheetView>
  </sheetViews>
  <sheetFormatPr defaultRowHeight="12.75" x14ac:dyDescent="0.2"/>
  <cols>
    <col min="1" max="1" width="2.7109375" style="57" customWidth="1"/>
    <col min="2" max="2" width="4.7109375" style="57" bestFit="1" customWidth="1"/>
    <col min="3" max="3" width="5.7109375" style="57" bestFit="1" customWidth="1"/>
    <col min="4" max="4" width="3.140625" style="57" bestFit="1" customWidth="1"/>
    <col min="5" max="5" width="5.85546875" style="57" bestFit="1" customWidth="1"/>
    <col min="6" max="6" width="13.85546875" style="57" bestFit="1" customWidth="1"/>
    <col min="7" max="7" width="15.28515625" style="57" bestFit="1" customWidth="1"/>
    <col min="8" max="8" width="7.140625" style="57" bestFit="1" customWidth="1"/>
    <col min="9" max="9" width="15.7109375" style="57" bestFit="1" customWidth="1"/>
    <col min="10" max="10" width="25.85546875" style="121" bestFit="1" customWidth="1"/>
    <col min="11" max="11" width="16.5703125" style="57" customWidth="1"/>
    <col min="12" max="12" width="2.7109375" style="57" customWidth="1"/>
    <col min="13" max="13" width="2.5703125" style="57" customWidth="1"/>
    <col min="14" max="16384" width="9.140625" style="57"/>
  </cols>
  <sheetData>
    <row r="1" spans="1:14" x14ac:dyDescent="0.2">
      <c r="A1" s="148"/>
      <c r="B1" s="120"/>
      <c r="C1" s="120"/>
      <c r="D1" s="120"/>
      <c r="E1" s="120"/>
      <c r="F1" s="120"/>
      <c r="G1" s="120"/>
      <c r="H1" s="120"/>
      <c r="I1" s="120"/>
      <c r="J1" s="120"/>
      <c r="K1" s="120"/>
      <c r="L1" s="147"/>
    </row>
    <row r="2" spans="1:14" x14ac:dyDescent="0.2">
      <c r="A2" s="68"/>
      <c r="B2" s="76"/>
      <c r="C2" s="76"/>
      <c r="D2" s="76"/>
      <c r="E2" s="76"/>
      <c r="F2" s="76"/>
      <c r="G2" s="76"/>
      <c r="H2" s="59" t="s">
        <v>84</v>
      </c>
      <c r="I2" s="59" t="str">
        <f>Currency&amp;"_YC"&amp;$H$2&amp;"RH"</f>
        <v>EUR_YC6MRH</v>
      </c>
      <c r="J2" s="146" t="str">
        <f>I2&amp;"_Swaps.xml"</f>
        <v>EUR_YC6MRH_Swaps.xml</v>
      </c>
      <c r="K2" s="76"/>
      <c r="L2" s="142"/>
    </row>
    <row r="3" spans="1:14" ht="22.5" x14ac:dyDescent="0.2">
      <c r="A3" s="68"/>
      <c r="B3" s="73" t="s">
        <v>116</v>
      </c>
      <c r="C3" s="73" t="s">
        <v>141</v>
      </c>
      <c r="D3" s="73"/>
      <c r="E3" s="73" t="s">
        <v>115</v>
      </c>
      <c r="F3" s="73" t="s">
        <v>114</v>
      </c>
      <c r="G3" s="73" t="s">
        <v>113</v>
      </c>
      <c r="H3" s="73" t="s">
        <v>112</v>
      </c>
      <c r="I3" s="73" t="s">
        <v>94</v>
      </c>
      <c r="J3" s="145" t="str">
        <f>IF(Serialize,_xll.ohObjectSave(J4:J23,SerializationPath&amp;J2,FileOverwrite,Serialize),"---")</f>
        <v>---</v>
      </c>
      <c r="K3" s="125" t="str">
        <f>_xll.ohRangeRetrieveError(J3)</f>
        <v/>
      </c>
      <c r="L3" s="124"/>
    </row>
    <row r="4" spans="1:14" x14ac:dyDescent="0.2">
      <c r="A4" s="77"/>
      <c r="B4" s="76"/>
      <c r="C4" s="76"/>
      <c r="D4" s="76"/>
      <c r="E4" s="76"/>
      <c r="F4" s="76"/>
      <c r="G4" s="76"/>
      <c r="H4" s="76"/>
      <c r="I4" s="76"/>
      <c r="J4" s="144" t="str">
        <f>IF(UPPER(FamilyName)="IBOR",_xll.qlEuribor(,$H$2,,Permanent,Trigger,ObjectOverwrite),IF(UPPER(FamilyName)="LIBOR",_xll.qlLibor(,Currency,$H$2,,Permanent,Trigger,ObjectOverwrite),"--"))</f>
        <v>obj_00761#0000</v>
      </c>
      <c r="K4" s="143" t="str">
        <f>_xll.ohRangeRetrieveError(J4)</f>
        <v/>
      </c>
      <c r="L4" s="142"/>
    </row>
    <row r="5" spans="1:14" s="74" customFormat="1" ht="11.25" x14ac:dyDescent="0.2">
      <c r="A5" s="77"/>
      <c r="B5" s="76"/>
      <c r="C5" s="76"/>
      <c r="D5" s="76"/>
      <c r="E5" s="76"/>
      <c r="F5" s="76"/>
      <c r="G5" s="76"/>
      <c r="H5" s="76"/>
      <c r="I5" s="76"/>
      <c r="J5" s="76"/>
      <c r="K5" s="76"/>
      <c r="L5" s="142"/>
    </row>
    <row r="6" spans="1:14" x14ac:dyDescent="0.2">
      <c r="A6" s="68"/>
      <c r="B6" s="106" t="s">
        <v>36</v>
      </c>
      <c r="C6" s="106" t="s">
        <v>36</v>
      </c>
      <c r="D6" s="106" t="str">
        <f>LEFT(B6,1)&amp;"F"</f>
        <v>1F</v>
      </c>
      <c r="E6" s="115" t="s">
        <v>161</v>
      </c>
      <c r="F6" s="115" t="s">
        <v>108</v>
      </c>
      <c r="G6" s="115" t="s">
        <v>120</v>
      </c>
      <c r="H6" s="263">
        <v>0</v>
      </c>
      <c r="I6" s="264" t="str">
        <f t="shared" ref="I6:I69" si="0">Currency&amp;$D6&amp;$C6&amp;QuoteSuffix</f>
        <v>EUR1F1Y_Quote</v>
      </c>
      <c r="J6" s="265" t="str">
        <f>_xll.qlSwapRateHelper2(,$I6,$C6,Calendar,$E6,$F6,$G6,$J$4,$H6,B6,Discounting,Permanent,,ObjectOverwrite)</f>
        <v>obj_0089e#0000</v>
      </c>
      <c r="K6" s="266" t="str">
        <f>_xll.ohRangeRetrieveError(J6)</f>
        <v/>
      </c>
      <c r="L6" s="124"/>
      <c r="N6" s="275"/>
    </row>
    <row r="7" spans="1:14" x14ac:dyDescent="0.2">
      <c r="A7" s="68"/>
      <c r="B7" s="101" t="s">
        <v>36</v>
      </c>
      <c r="C7" s="101" t="s">
        <v>32</v>
      </c>
      <c r="D7" s="101" t="str">
        <f t="shared" ref="D7:D23" si="1">LEFT(B7,1)&amp;"F"</f>
        <v>1F</v>
      </c>
      <c r="E7" s="267" t="s">
        <v>161</v>
      </c>
      <c r="F7" s="267" t="s">
        <v>108</v>
      </c>
      <c r="G7" s="267" t="s">
        <v>120</v>
      </c>
      <c r="H7" s="268">
        <v>0</v>
      </c>
      <c r="I7" s="269" t="str">
        <f t="shared" si="0"/>
        <v>EUR1F2Y_Quote</v>
      </c>
      <c r="J7" s="270" t="str">
        <f>_xll.qlSwapRateHelper2(,$I7,$C7,Calendar,$E7,$F7,$G7,$J$4,$H7,B7,Discounting,Permanent,,ObjectOverwrite)</f>
        <v>obj_0089c#0000</v>
      </c>
      <c r="K7" s="271" t="str">
        <f>_xll.ohRangeRetrieveError(J7)</f>
        <v/>
      </c>
      <c r="L7" s="124"/>
      <c r="N7" s="275"/>
    </row>
    <row r="8" spans="1:14" x14ac:dyDescent="0.2">
      <c r="A8" s="68"/>
      <c r="B8" s="101" t="s">
        <v>36</v>
      </c>
      <c r="C8" s="101" t="s">
        <v>31</v>
      </c>
      <c r="D8" s="101" t="str">
        <f t="shared" si="1"/>
        <v>1F</v>
      </c>
      <c r="E8" s="267" t="s">
        <v>161</v>
      </c>
      <c r="F8" s="267" t="s">
        <v>108</v>
      </c>
      <c r="G8" s="267" t="s">
        <v>120</v>
      </c>
      <c r="H8" s="268">
        <v>0</v>
      </c>
      <c r="I8" s="269" t="str">
        <f t="shared" si="0"/>
        <v>EUR1F3Y_Quote</v>
      </c>
      <c r="J8" s="270" t="str">
        <f>_xll.qlSwapRateHelper2(,$I8,$C8,Calendar,$E8,$F8,$G8,$J$4,$H8,B8,Discounting,Permanent,,ObjectOverwrite)</f>
        <v>obj_00842#0000</v>
      </c>
      <c r="K8" s="271" t="str">
        <f>_xll.ohRangeRetrieveError(J8)</f>
        <v/>
      </c>
      <c r="L8" s="124"/>
      <c r="N8" s="275"/>
    </row>
    <row r="9" spans="1:14" x14ac:dyDescent="0.2">
      <c r="A9" s="68"/>
      <c r="B9" s="101" t="s">
        <v>36</v>
      </c>
      <c r="C9" s="101" t="s">
        <v>30</v>
      </c>
      <c r="D9" s="101" t="str">
        <f t="shared" si="1"/>
        <v>1F</v>
      </c>
      <c r="E9" s="267" t="s">
        <v>161</v>
      </c>
      <c r="F9" s="267" t="s">
        <v>108</v>
      </c>
      <c r="G9" s="267" t="s">
        <v>120</v>
      </c>
      <c r="H9" s="268">
        <v>0</v>
      </c>
      <c r="I9" s="269" t="str">
        <f t="shared" si="0"/>
        <v>EUR1F4Y_Quote</v>
      </c>
      <c r="J9" s="270" t="str">
        <f>_xll.qlSwapRateHelper2(,$I9,$C9,Calendar,$E9,$F9,$G9,$J$4,$H9,B9,Discounting,Permanent,,ObjectOverwrite)</f>
        <v>obj_008a1#0000</v>
      </c>
      <c r="K9" s="271" t="str">
        <f>_xll.ohRangeRetrieveError(J9)</f>
        <v/>
      </c>
      <c r="L9" s="124"/>
      <c r="N9" s="275"/>
    </row>
    <row r="10" spans="1:14" x14ac:dyDescent="0.2">
      <c r="A10" s="68"/>
      <c r="B10" s="101" t="s">
        <v>36</v>
      </c>
      <c r="C10" s="101" t="s">
        <v>29</v>
      </c>
      <c r="D10" s="101" t="str">
        <f t="shared" si="1"/>
        <v>1F</v>
      </c>
      <c r="E10" s="267" t="s">
        <v>161</v>
      </c>
      <c r="F10" s="267" t="s">
        <v>108</v>
      </c>
      <c r="G10" s="267" t="s">
        <v>120</v>
      </c>
      <c r="H10" s="268">
        <v>0</v>
      </c>
      <c r="I10" s="269" t="str">
        <f t="shared" si="0"/>
        <v>EUR1F5Y_Quote</v>
      </c>
      <c r="J10" s="270" t="str">
        <f>_xll.qlSwapRateHelper2(,$I10,$C10,Calendar,$E10,$F10,$G10,$J$4,$H10,B10,Discounting,Permanent,,ObjectOverwrite)</f>
        <v>obj_00899#0000</v>
      </c>
      <c r="K10" s="271" t="str">
        <f>_xll.ohRangeRetrieveError(J10)</f>
        <v/>
      </c>
      <c r="L10" s="124"/>
      <c r="N10" s="275"/>
    </row>
    <row r="11" spans="1:14" x14ac:dyDescent="0.2">
      <c r="A11" s="68"/>
      <c r="B11" s="101" t="s">
        <v>36</v>
      </c>
      <c r="C11" s="101" t="s">
        <v>28</v>
      </c>
      <c r="D11" s="101" t="str">
        <f t="shared" si="1"/>
        <v>1F</v>
      </c>
      <c r="E11" s="267" t="s">
        <v>161</v>
      </c>
      <c r="F11" s="267" t="s">
        <v>108</v>
      </c>
      <c r="G11" s="267" t="s">
        <v>120</v>
      </c>
      <c r="H11" s="268">
        <v>0</v>
      </c>
      <c r="I11" s="269" t="str">
        <f t="shared" si="0"/>
        <v>EUR1F6Y_Quote</v>
      </c>
      <c r="J11" s="270" t="str">
        <f>_xll.qlSwapRateHelper2(,$I11,$C11,Calendar,$E11,$F11,$G11,$J$4,$H11,B11,Discounting,Permanent,,ObjectOverwrite)</f>
        <v>obj_008a6#0000</v>
      </c>
      <c r="K11" s="271" t="str">
        <f>_xll.ohRangeRetrieveError(J11)</f>
        <v/>
      </c>
      <c r="L11" s="124"/>
      <c r="N11" s="275"/>
    </row>
    <row r="12" spans="1:14" x14ac:dyDescent="0.2">
      <c r="A12" s="68"/>
      <c r="B12" s="101" t="s">
        <v>36</v>
      </c>
      <c r="C12" s="101" t="s">
        <v>27</v>
      </c>
      <c r="D12" s="101" t="str">
        <f t="shared" si="1"/>
        <v>1F</v>
      </c>
      <c r="E12" s="267" t="s">
        <v>161</v>
      </c>
      <c r="F12" s="267" t="s">
        <v>108</v>
      </c>
      <c r="G12" s="267" t="s">
        <v>120</v>
      </c>
      <c r="H12" s="268">
        <v>0</v>
      </c>
      <c r="I12" s="269" t="str">
        <f t="shared" si="0"/>
        <v>EUR1F7Y_Quote</v>
      </c>
      <c r="J12" s="270" t="str">
        <f>_xll.qlSwapRateHelper2(,$I12,$C12,Calendar,$E12,$F12,$G12,$J$4,$H12,B12,Discounting,Permanent,,ObjectOverwrite)</f>
        <v>obj_008a0#0000</v>
      </c>
      <c r="K12" s="271" t="str">
        <f>_xll.ohRangeRetrieveError(J12)</f>
        <v/>
      </c>
      <c r="L12" s="124"/>
      <c r="N12" s="275"/>
    </row>
    <row r="13" spans="1:14" x14ac:dyDescent="0.2">
      <c r="A13" s="68"/>
      <c r="B13" s="101" t="s">
        <v>36</v>
      </c>
      <c r="C13" s="101" t="s">
        <v>26</v>
      </c>
      <c r="D13" s="101" t="str">
        <f t="shared" si="1"/>
        <v>1F</v>
      </c>
      <c r="E13" s="267" t="s">
        <v>161</v>
      </c>
      <c r="F13" s="267" t="s">
        <v>108</v>
      </c>
      <c r="G13" s="267" t="s">
        <v>120</v>
      </c>
      <c r="H13" s="268">
        <v>0</v>
      </c>
      <c r="I13" s="269" t="str">
        <f t="shared" si="0"/>
        <v>EUR1F8Y_Quote</v>
      </c>
      <c r="J13" s="270" t="str">
        <f>_xll.qlSwapRateHelper2(,$I13,$C13,Calendar,$E13,$F13,$G13,$J$4,$H13,B13,Discounting,Permanent,,ObjectOverwrite)</f>
        <v>obj_00898#0000</v>
      </c>
      <c r="K13" s="271" t="str">
        <f>_xll.ohRangeRetrieveError(J13)</f>
        <v/>
      </c>
      <c r="L13" s="124"/>
      <c r="N13" s="275"/>
    </row>
    <row r="14" spans="1:14" x14ac:dyDescent="0.2">
      <c r="A14" s="68"/>
      <c r="B14" s="101" t="s">
        <v>36</v>
      </c>
      <c r="C14" s="101" t="s">
        <v>25</v>
      </c>
      <c r="D14" s="101" t="str">
        <f t="shared" si="1"/>
        <v>1F</v>
      </c>
      <c r="E14" s="267" t="s">
        <v>161</v>
      </c>
      <c r="F14" s="267" t="s">
        <v>108</v>
      </c>
      <c r="G14" s="267" t="s">
        <v>120</v>
      </c>
      <c r="H14" s="268">
        <v>0</v>
      </c>
      <c r="I14" s="269" t="str">
        <f t="shared" si="0"/>
        <v>EUR1F9Y_Quote</v>
      </c>
      <c r="J14" s="270" t="str">
        <f>_xll.qlSwapRateHelper2(,$I14,$C14,Calendar,$E14,$F14,$G14,$J$4,$H14,B14,Discounting,Permanent,,ObjectOverwrite)</f>
        <v>obj_0089d#0000</v>
      </c>
      <c r="K14" s="271" t="str">
        <f>_xll.ohRangeRetrieveError(J14)</f>
        <v/>
      </c>
      <c r="L14" s="124"/>
      <c r="N14" s="275"/>
    </row>
    <row r="15" spans="1:14" x14ac:dyDescent="0.2">
      <c r="A15" s="68"/>
      <c r="B15" s="101" t="s">
        <v>36</v>
      </c>
      <c r="C15" s="101" t="s">
        <v>24</v>
      </c>
      <c r="D15" s="101" t="str">
        <f t="shared" si="1"/>
        <v>1F</v>
      </c>
      <c r="E15" s="267" t="s">
        <v>161</v>
      </c>
      <c r="F15" s="267" t="s">
        <v>108</v>
      </c>
      <c r="G15" s="267" t="s">
        <v>120</v>
      </c>
      <c r="H15" s="268">
        <v>0</v>
      </c>
      <c r="I15" s="269" t="str">
        <f t="shared" si="0"/>
        <v>EUR1F10Y_Quote</v>
      </c>
      <c r="J15" s="270" t="str">
        <f>_xll.qlSwapRateHelper2(,$I15,$C15,Calendar,$E15,$F15,$G15,$J$4,$H15,B15,Discounting,Permanent,,ObjectOverwrite)</f>
        <v>obj_008a5#0000</v>
      </c>
      <c r="K15" s="271" t="str">
        <f>_xll.ohRangeRetrieveError(J15)</f>
        <v/>
      </c>
      <c r="L15" s="124"/>
      <c r="N15" s="275"/>
    </row>
    <row r="16" spans="1:14" x14ac:dyDescent="0.2">
      <c r="A16" s="68"/>
      <c r="B16" s="101" t="s">
        <v>36</v>
      </c>
      <c r="C16" s="101" t="s">
        <v>23</v>
      </c>
      <c r="D16" s="101" t="str">
        <f t="shared" si="1"/>
        <v>1F</v>
      </c>
      <c r="E16" s="267" t="s">
        <v>161</v>
      </c>
      <c r="F16" s="267" t="s">
        <v>108</v>
      </c>
      <c r="G16" s="267" t="s">
        <v>120</v>
      </c>
      <c r="H16" s="268">
        <v>0</v>
      </c>
      <c r="I16" s="269" t="str">
        <f t="shared" si="0"/>
        <v>EUR1F11Y_Quote</v>
      </c>
      <c r="J16" s="270" t="str">
        <f>_xll.qlSwapRateHelper2(,$I16,$C16,Calendar,$E16,$F16,$G16,$J$4,$H16,B16,Discounting,Permanent,,ObjectOverwrite)</f>
        <v>obj_008a3#0000</v>
      </c>
      <c r="K16" s="271" t="str">
        <f>_xll.ohRangeRetrieveError(J16)</f>
        <v/>
      </c>
      <c r="L16" s="124"/>
      <c r="N16" s="275"/>
    </row>
    <row r="17" spans="1:14" x14ac:dyDescent="0.2">
      <c r="A17" s="68"/>
      <c r="B17" s="101" t="s">
        <v>36</v>
      </c>
      <c r="C17" s="101" t="s">
        <v>22</v>
      </c>
      <c r="D17" s="101" t="str">
        <f t="shared" si="1"/>
        <v>1F</v>
      </c>
      <c r="E17" s="267" t="s">
        <v>161</v>
      </c>
      <c r="F17" s="267" t="s">
        <v>108</v>
      </c>
      <c r="G17" s="267" t="s">
        <v>120</v>
      </c>
      <c r="H17" s="268">
        <v>0</v>
      </c>
      <c r="I17" s="269" t="str">
        <f t="shared" si="0"/>
        <v>EUR1F12Y_Quote</v>
      </c>
      <c r="J17" s="270" t="str">
        <f>_xll.qlSwapRateHelper2(,$I17,$C17,Calendar,$E17,$F17,$G17,$J$4,$H17,B17,Discounting,Permanent,,ObjectOverwrite)</f>
        <v>obj_0089a#0000</v>
      </c>
      <c r="K17" s="271" t="str">
        <f>_xll.ohRangeRetrieveError(J17)</f>
        <v/>
      </c>
      <c r="L17" s="124"/>
      <c r="N17" s="275"/>
    </row>
    <row r="18" spans="1:14" x14ac:dyDescent="0.2">
      <c r="A18" s="68"/>
      <c r="B18" s="101" t="s">
        <v>36</v>
      </c>
      <c r="C18" s="101" t="s">
        <v>21</v>
      </c>
      <c r="D18" s="101" t="str">
        <f t="shared" si="1"/>
        <v>1F</v>
      </c>
      <c r="E18" s="267" t="s">
        <v>161</v>
      </c>
      <c r="F18" s="267" t="s">
        <v>108</v>
      </c>
      <c r="G18" s="267" t="s">
        <v>120</v>
      </c>
      <c r="H18" s="268">
        <v>0</v>
      </c>
      <c r="I18" s="269" t="str">
        <f t="shared" si="0"/>
        <v>EUR1F13Y_Quote</v>
      </c>
      <c r="J18" s="270" t="str">
        <f>_xll.qlSwapRateHelper2(,$I18,$C18,Calendar,$E18,$F18,$G18,$J$4,$H18,B18,Discounting,Permanent,,ObjectOverwrite)</f>
        <v>obj_0089b#0000</v>
      </c>
      <c r="K18" s="271" t="str">
        <f>_xll.ohRangeRetrieveError(J18)</f>
        <v/>
      </c>
      <c r="L18" s="124"/>
      <c r="N18" s="275"/>
    </row>
    <row r="19" spans="1:14" x14ac:dyDescent="0.2">
      <c r="A19" s="68"/>
      <c r="B19" s="101" t="s">
        <v>36</v>
      </c>
      <c r="C19" s="101" t="s">
        <v>20</v>
      </c>
      <c r="D19" s="101" t="str">
        <f t="shared" si="1"/>
        <v>1F</v>
      </c>
      <c r="E19" s="267" t="s">
        <v>161</v>
      </c>
      <c r="F19" s="267" t="s">
        <v>108</v>
      </c>
      <c r="G19" s="267" t="s">
        <v>120</v>
      </c>
      <c r="H19" s="268">
        <v>0</v>
      </c>
      <c r="I19" s="269" t="str">
        <f t="shared" si="0"/>
        <v>EUR1F14Y_Quote</v>
      </c>
      <c r="J19" s="270" t="str">
        <f>_xll.qlSwapRateHelper2(,$I19,$C19,Calendar,$E19,$F19,$G19,$J$4,$H19,B19,Discounting,Permanent,,ObjectOverwrite)</f>
        <v>obj_00896#0000</v>
      </c>
      <c r="K19" s="271" t="str">
        <f>_xll.ohRangeRetrieveError(J19)</f>
        <v/>
      </c>
      <c r="L19" s="124"/>
      <c r="N19" s="275"/>
    </row>
    <row r="20" spans="1:14" x14ac:dyDescent="0.2">
      <c r="A20" s="68"/>
      <c r="B20" s="101" t="s">
        <v>36</v>
      </c>
      <c r="C20" s="101" t="s">
        <v>19</v>
      </c>
      <c r="D20" s="101" t="str">
        <f t="shared" si="1"/>
        <v>1F</v>
      </c>
      <c r="E20" s="267" t="s">
        <v>161</v>
      </c>
      <c r="F20" s="267" t="s">
        <v>108</v>
      </c>
      <c r="G20" s="267" t="s">
        <v>120</v>
      </c>
      <c r="H20" s="268">
        <v>0</v>
      </c>
      <c r="I20" s="269" t="str">
        <f t="shared" si="0"/>
        <v>EUR1F15Y_Quote</v>
      </c>
      <c r="J20" s="270" t="str">
        <f>_xll.qlSwapRateHelper2(,$I20,$C20,Calendar,$E20,$F20,$G20,$J$4,$H20,B20,Discounting,Permanent,,ObjectOverwrite)</f>
        <v>obj_008a4#0000</v>
      </c>
      <c r="K20" s="271" t="str">
        <f>_xll.ohRangeRetrieveError(J20)</f>
        <v/>
      </c>
      <c r="L20" s="124"/>
      <c r="N20" s="275"/>
    </row>
    <row r="21" spans="1:14" x14ac:dyDescent="0.2">
      <c r="A21" s="68"/>
      <c r="B21" s="101" t="s">
        <v>36</v>
      </c>
      <c r="C21" s="101" t="s">
        <v>14</v>
      </c>
      <c r="D21" s="101" t="str">
        <f t="shared" si="1"/>
        <v>1F</v>
      </c>
      <c r="E21" s="267" t="s">
        <v>161</v>
      </c>
      <c r="F21" s="267" t="s">
        <v>108</v>
      </c>
      <c r="G21" s="267" t="s">
        <v>120</v>
      </c>
      <c r="H21" s="268">
        <v>0</v>
      </c>
      <c r="I21" s="269" t="str">
        <f t="shared" si="0"/>
        <v>EUR1F20Y_Quote</v>
      </c>
      <c r="J21" s="270" t="str">
        <f>_xll.qlSwapRateHelper2(,$I21,$C21,Calendar,$E21,$F21,$G21,$J$4,$H21,B21,Discounting,Permanent,,ObjectOverwrite)</f>
        <v>obj_00897#0000</v>
      </c>
      <c r="K21" s="271" t="str">
        <f>_xll.ohRangeRetrieveError(J21)</f>
        <v/>
      </c>
      <c r="L21" s="124"/>
      <c r="N21" s="275"/>
    </row>
    <row r="22" spans="1:14" x14ac:dyDescent="0.2">
      <c r="A22" s="68"/>
      <c r="B22" s="101" t="s">
        <v>36</v>
      </c>
      <c r="C22" s="101" t="s">
        <v>9</v>
      </c>
      <c r="D22" s="101" t="str">
        <f t="shared" si="1"/>
        <v>1F</v>
      </c>
      <c r="E22" s="267" t="s">
        <v>161</v>
      </c>
      <c r="F22" s="267" t="s">
        <v>108</v>
      </c>
      <c r="G22" s="267" t="s">
        <v>120</v>
      </c>
      <c r="H22" s="268">
        <v>0</v>
      </c>
      <c r="I22" s="269" t="str">
        <f t="shared" si="0"/>
        <v>EUR1F25Y_Quote</v>
      </c>
      <c r="J22" s="270" t="str">
        <f>_xll.qlSwapRateHelper2(,$I22,$C22,Calendar,$E22,$F22,$G22,$J$4,$H22,B22,Discounting,Permanent,,ObjectOverwrite)</f>
        <v>obj_0089f#0000</v>
      </c>
      <c r="K22" s="271" t="str">
        <f>_xll.ohRangeRetrieveError(J22)</f>
        <v/>
      </c>
      <c r="L22" s="124"/>
      <c r="N22" s="275"/>
    </row>
    <row r="23" spans="1:14" x14ac:dyDescent="0.2">
      <c r="A23" s="68"/>
      <c r="B23" s="272" t="s">
        <v>36</v>
      </c>
      <c r="C23" s="272" t="s">
        <v>4</v>
      </c>
      <c r="D23" s="272" t="str">
        <f t="shared" si="1"/>
        <v>1F</v>
      </c>
      <c r="E23" s="130" t="s">
        <v>161</v>
      </c>
      <c r="F23" s="130" t="s">
        <v>108</v>
      </c>
      <c r="G23" s="130" t="s">
        <v>120</v>
      </c>
      <c r="H23" s="273">
        <v>0</v>
      </c>
      <c r="I23" s="128" t="str">
        <f t="shared" si="0"/>
        <v>EUR1F30Y_Quote</v>
      </c>
      <c r="J23" s="157" t="str">
        <f>_xll.qlSwapRateHelper2(,$I23,$C23,Calendar,$E23,$F23,$G23,$J$4,$H23,B23,Discounting,Permanent,,ObjectOverwrite)</f>
        <v>obj_008a2#0000</v>
      </c>
      <c r="K23" s="274" t="str">
        <f>_xll.ohRangeRetrieveError(J23)</f>
        <v/>
      </c>
      <c r="L23" s="124"/>
      <c r="N23" s="275"/>
    </row>
    <row r="24" spans="1:14" x14ac:dyDescent="0.2">
      <c r="A24" s="68"/>
      <c r="B24" s="106" t="s">
        <v>32</v>
      </c>
      <c r="C24" s="106" t="s">
        <v>36</v>
      </c>
      <c r="D24" s="106" t="str">
        <f>LEFT(B24,1)&amp;"F"</f>
        <v>2F</v>
      </c>
      <c r="E24" s="115" t="s">
        <v>161</v>
      </c>
      <c r="F24" s="115" t="s">
        <v>108</v>
      </c>
      <c r="G24" s="115" t="s">
        <v>120</v>
      </c>
      <c r="H24" s="263">
        <v>0</v>
      </c>
      <c r="I24" s="264" t="str">
        <f t="shared" si="0"/>
        <v>EUR2F1Y_Quote</v>
      </c>
      <c r="J24" s="265" t="str">
        <f>_xll.qlSwapRateHelper2(,$I24,$C24,Calendar,$E24,$F24,$G24,$J$4,$H24,B24,Discounting,Permanent,,ObjectOverwrite)</f>
        <v>obj_007fb#0000</v>
      </c>
      <c r="K24" s="266" t="str">
        <f>_xll.ohRangeRetrieveError(J24)</f>
        <v/>
      </c>
      <c r="L24" s="124"/>
      <c r="N24" s="275"/>
    </row>
    <row r="25" spans="1:14" x14ac:dyDescent="0.2">
      <c r="A25" s="68"/>
      <c r="B25" s="101" t="s">
        <v>32</v>
      </c>
      <c r="C25" s="101" t="s">
        <v>32</v>
      </c>
      <c r="D25" s="101" t="str">
        <f t="shared" ref="D25:D41" si="2">LEFT(B25,1)&amp;"F"</f>
        <v>2F</v>
      </c>
      <c r="E25" s="267" t="s">
        <v>161</v>
      </c>
      <c r="F25" s="267" t="s">
        <v>108</v>
      </c>
      <c r="G25" s="267" t="s">
        <v>120</v>
      </c>
      <c r="H25" s="268">
        <v>0</v>
      </c>
      <c r="I25" s="269" t="str">
        <f t="shared" si="0"/>
        <v>EUR2F2Y_Quote</v>
      </c>
      <c r="J25" s="270" t="str">
        <f>_xll.qlSwapRateHelper2(,$I25,$C25,Calendar,$E25,$F25,$G25,$J$4,$H25,B25,Discounting,Permanent,,ObjectOverwrite)</f>
        <v>obj_00843#0000</v>
      </c>
      <c r="K25" s="271" t="str">
        <f>_xll.ohRangeRetrieveError(J25)</f>
        <v/>
      </c>
      <c r="L25" s="124"/>
      <c r="N25" s="275"/>
    </row>
    <row r="26" spans="1:14" x14ac:dyDescent="0.2">
      <c r="A26" s="68"/>
      <c r="B26" s="101" t="s">
        <v>32</v>
      </c>
      <c r="C26" s="101" t="s">
        <v>31</v>
      </c>
      <c r="D26" s="101" t="str">
        <f t="shared" si="2"/>
        <v>2F</v>
      </c>
      <c r="E26" s="267" t="s">
        <v>161</v>
      </c>
      <c r="F26" s="267" t="s">
        <v>108</v>
      </c>
      <c r="G26" s="267" t="s">
        <v>120</v>
      </c>
      <c r="H26" s="268">
        <v>0</v>
      </c>
      <c r="I26" s="269" t="str">
        <f t="shared" si="0"/>
        <v>EUR2F3Y_Quote</v>
      </c>
      <c r="J26" s="270" t="str">
        <f>_xll.qlSwapRateHelper2(,$I26,$C26,Calendar,$E26,$F26,$G26,$J$4,$H26,B26,Discounting,Permanent,,ObjectOverwrite)</f>
        <v>obj_007fc#0000</v>
      </c>
      <c r="K26" s="271" t="str">
        <f>_xll.ohRangeRetrieveError(J26)</f>
        <v/>
      </c>
      <c r="L26" s="124"/>
      <c r="N26" s="275"/>
    </row>
    <row r="27" spans="1:14" x14ac:dyDescent="0.2">
      <c r="A27" s="68"/>
      <c r="B27" s="101" t="s">
        <v>32</v>
      </c>
      <c r="C27" s="101" t="s">
        <v>30</v>
      </c>
      <c r="D27" s="101" t="str">
        <f t="shared" si="2"/>
        <v>2F</v>
      </c>
      <c r="E27" s="267" t="s">
        <v>161</v>
      </c>
      <c r="F27" s="267" t="s">
        <v>108</v>
      </c>
      <c r="G27" s="267" t="s">
        <v>120</v>
      </c>
      <c r="H27" s="268">
        <v>0</v>
      </c>
      <c r="I27" s="269" t="str">
        <f t="shared" si="0"/>
        <v>EUR2F4Y_Quote</v>
      </c>
      <c r="J27" s="270" t="str">
        <f>_xll.qlSwapRateHelper2(,$I27,$C27,Calendar,$E27,$F27,$G27,$J$4,$H27,B27,Discounting,Permanent,,ObjectOverwrite)</f>
        <v>obj_0080c#0000</v>
      </c>
      <c r="K27" s="271" t="str">
        <f>_xll.ohRangeRetrieveError(J27)</f>
        <v/>
      </c>
      <c r="L27" s="124"/>
      <c r="N27" s="275"/>
    </row>
    <row r="28" spans="1:14" x14ac:dyDescent="0.2">
      <c r="A28" s="68"/>
      <c r="B28" s="101" t="s">
        <v>32</v>
      </c>
      <c r="C28" s="101" t="s">
        <v>29</v>
      </c>
      <c r="D28" s="101" t="str">
        <f t="shared" si="2"/>
        <v>2F</v>
      </c>
      <c r="E28" s="267" t="s">
        <v>161</v>
      </c>
      <c r="F28" s="267" t="s">
        <v>108</v>
      </c>
      <c r="G28" s="267" t="s">
        <v>120</v>
      </c>
      <c r="H28" s="268">
        <v>0</v>
      </c>
      <c r="I28" s="269" t="str">
        <f t="shared" si="0"/>
        <v>EUR2F5Y_Quote</v>
      </c>
      <c r="J28" s="270" t="str">
        <f>_xll.qlSwapRateHelper2(,$I28,$C28,Calendar,$E28,$F28,$G28,$J$4,$H28,B28,Discounting,Permanent,,ObjectOverwrite)</f>
        <v>obj_00789#0000</v>
      </c>
      <c r="K28" s="271" t="str">
        <f>_xll.ohRangeRetrieveError(J28)</f>
        <v/>
      </c>
      <c r="L28" s="124"/>
      <c r="N28" s="275"/>
    </row>
    <row r="29" spans="1:14" x14ac:dyDescent="0.2">
      <c r="A29" s="68"/>
      <c r="B29" s="101" t="s">
        <v>32</v>
      </c>
      <c r="C29" s="101" t="s">
        <v>28</v>
      </c>
      <c r="D29" s="101" t="str">
        <f t="shared" si="2"/>
        <v>2F</v>
      </c>
      <c r="E29" s="267" t="s">
        <v>161</v>
      </c>
      <c r="F29" s="267" t="s">
        <v>108</v>
      </c>
      <c r="G29" s="267" t="s">
        <v>120</v>
      </c>
      <c r="H29" s="268">
        <v>0</v>
      </c>
      <c r="I29" s="269" t="str">
        <f t="shared" si="0"/>
        <v>EUR2F6Y_Quote</v>
      </c>
      <c r="J29" s="270" t="str">
        <f>_xll.qlSwapRateHelper2(,$I29,$C29,Calendar,$E29,$F29,$G29,$J$4,$H29,B29,Discounting,Permanent,,ObjectOverwrite)</f>
        <v>obj_00818#0000</v>
      </c>
      <c r="K29" s="271" t="str">
        <f>_xll.ohRangeRetrieveError(J29)</f>
        <v/>
      </c>
      <c r="L29" s="124"/>
      <c r="N29" s="275"/>
    </row>
    <row r="30" spans="1:14" x14ac:dyDescent="0.2">
      <c r="A30" s="68"/>
      <c r="B30" s="101" t="s">
        <v>32</v>
      </c>
      <c r="C30" s="101" t="s">
        <v>27</v>
      </c>
      <c r="D30" s="101" t="str">
        <f t="shared" si="2"/>
        <v>2F</v>
      </c>
      <c r="E30" s="267" t="s">
        <v>161</v>
      </c>
      <c r="F30" s="267" t="s">
        <v>108</v>
      </c>
      <c r="G30" s="267" t="s">
        <v>120</v>
      </c>
      <c r="H30" s="268">
        <v>0</v>
      </c>
      <c r="I30" s="269" t="str">
        <f t="shared" si="0"/>
        <v>EUR2F7Y_Quote</v>
      </c>
      <c r="J30" s="270" t="str">
        <f>_xll.qlSwapRateHelper2(,$I30,$C30,Calendar,$E30,$F30,$G30,$J$4,$H30,B30,Discounting,Permanent,,ObjectOverwrite)</f>
        <v>obj_0081e#0000</v>
      </c>
      <c r="K30" s="271" t="str">
        <f>_xll.ohRangeRetrieveError(J30)</f>
        <v/>
      </c>
      <c r="L30" s="124"/>
      <c r="N30" s="275"/>
    </row>
    <row r="31" spans="1:14" x14ac:dyDescent="0.2">
      <c r="A31" s="68"/>
      <c r="B31" s="101" t="s">
        <v>32</v>
      </c>
      <c r="C31" s="101" t="s">
        <v>26</v>
      </c>
      <c r="D31" s="101" t="str">
        <f t="shared" si="2"/>
        <v>2F</v>
      </c>
      <c r="E31" s="267" t="s">
        <v>161</v>
      </c>
      <c r="F31" s="267" t="s">
        <v>108</v>
      </c>
      <c r="G31" s="267" t="s">
        <v>120</v>
      </c>
      <c r="H31" s="268">
        <v>0</v>
      </c>
      <c r="I31" s="269" t="str">
        <f t="shared" si="0"/>
        <v>EUR2F8Y_Quote</v>
      </c>
      <c r="J31" s="270" t="str">
        <f>_xll.qlSwapRateHelper2(,$I31,$C31,Calendar,$E31,$F31,$G31,$J$4,$H31,B31,Discounting,Permanent,,ObjectOverwrite)</f>
        <v>obj_00836#0000</v>
      </c>
      <c r="K31" s="271" t="str">
        <f>_xll.ohRangeRetrieveError(J31)</f>
        <v/>
      </c>
      <c r="L31" s="124"/>
      <c r="N31" s="275"/>
    </row>
    <row r="32" spans="1:14" x14ac:dyDescent="0.2">
      <c r="A32" s="68"/>
      <c r="B32" s="101" t="s">
        <v>32</v>
      </c>
      <c r="C32" s="101" t="s">
        <v>25</v>
      </c>
      <c r="D32" s="101" t="str">
        <f t="shared" si="2"/>
        <v>2F</v>
      </c>
      <c r="E32" s="267" t="s">
        <v>161</v>
      </c>
      <c r="F32" s="267" t="s">
        <v>108</v>
      </c>
      <c r="G32" s="267" t="s">
        <v>120</v>
      </c>
      <c r="H32" s="268">
        <v>0</v>
      </c>
      <c r="I32" s="269" t="str">
        <f t="shared" si="0"/>
        <v>EUR2F9Y_Quote</v>
      </c>
      <c r="J32" s="270" t="str">
        <f>_xll.qlSwapRateHelper2(,$I32,$C32,Calendar,$E32,$F32,$G32,$J$4,$H32,B32,Discounting,Permanent,,ObjectOverwrite)</f>
        <v>obj_007e2#0000</v>
      </c>
      <c r="K32" s="271" t="str">
        <f>_xll.ohRangeRetrieveError(J32)</f>
        <v/>
      </c>
      <c r="L32" s="124"/>
      <c r="N32" s="275"/>
    </row>
    <row r="33" spans="1:14" x14ac:dyDescent="0.2">
      <c r="A33" s="68"/>
      <c r="B33" s="101" t="s">
        <v>32</v>
      </c>
      <c r="C33" s="101" t="s">
        <v>24</v>
      </c>
      <c r="D33" s="101" t="str">
        <f t="shared" si="2"/>
        <v>2F</v>
      </c>
      <c r="E33" s="267" t="s">
        <v>161</v>
      </c>
      <c r="F33" s="267" t="s">
        <v>108</v>
      </c>
      <c r="G33" s="267" t="s">
        <v>120</v>
      </c>
      <c r="H33" s="268">
        <v>0</v>
      </c>
      <c r="I33" s="269" t="str">
        <f t="shared" si="0"/>
        <v>EUR2F10Y_Quote</v>
      </c>
      <c r="J33" s="270" t="str">
        <f>_xll.qlSwapRateHelper2(,$I33,$C33,Calendar,$E33,$F33,$G33,$J$4,$H33,B33,Discounting,Permanent,,ObjectOverwrite)</f>
        <v>obj_007dc#0000</v>
      </c>
      <c r="K33" s="271" t="str">
        <f>_xll.ohRangeRetrieveError(J33)</f>
        <v/>
      </c>
      <c r="L33" s="124"/>
      <c r="N33" s="275"/>
    </row>
    <row r="34" spans="1:14" x14ac:dyDescent="0.2">
      <c r="A34" s="68"/>
      <c r="B34" s="101" t="s">
        <v>32</v>
      </c>
      <c r="C34" s="101" t="s">
        <v>23</v>
      </c>
      <c r="D34" s="101" t="str">
        <f t="shared" si="2"/>
        <v>2F</v>
      </c>
      <c r="E34" s="267" t="s">
        <v>161</v>
      </c>
      <c r="F34" s="267" t="s">
        <v>108</v>
      </c>
      <c r="G34" s="267" t="s">
        <v>120</v>
      </c>
      <c r="H34" s="268">
        <v>0</v>
      </c>
      <c r="I34" s="269" t="str">
        <f t="shared" si="0"/>
        <v>EUR2F11Y_Quote</v>
      </c>
      <c r="J34" s="270" t="str">
        <f>_xll.qlSwapRateHelper2(,$I34,$C34,Calendar,$E34,$F34,$G34,$J$4,$H34,B34,Discounting,Permanent,,ObjectOverwrite)</f>
        <v>obj_00773#0000</v>
      </c>
      <c r="K34" s="271" t="str">
        <f>_xll.ohRangeRetrieveError(J34)</f>
        <v/>
      </c>
      <c r="L34" s="124"/>
      <c r="N34" s="275"/>
    </row>
    <row r="35" spans="1:14" x14ac:dyDescent="0.2">
      <c r="A35" s="68"/>
      <c r="B35" s="101" t="s">
        <v>32</v>
      </c>
      <c r="C35" s="101" t="s">
        <v>22</v>
      </c>
      <c r="D35" s="101" t="str">
        <f t="shared" si="2"/>
        <v>2F</v>
      </c>
      <c r="E35" s="267" t="s">
        <v>161</v>
      </c>
      <c r="F35" s="267" t="s">
        <v>108</v>
      </c>
      <c r="G35" s="267" t="s">
        <v>120</v>
      </c>
      <c r="H35" s="268">
        <v>0</v>
      </c>
      <c r="I35" s="269" t="str">
        <f t="shared" si="0"/>
        <v>EUR2F12Y_Quote</v>
      </c>
      <c r="J35" s="270" t="str">
        <f>_xll.qlSwapRateHelper2(,$I35,$C35,Calendar,$E35,$F35,$G35,$J$4,$H35,B35,Discounting,Permanent,,ObjectOverwrite)</f>
        <v>obj_00847#0000</v>
      </c>
      <c r="K35" s="271" t="str">
        <f>_xll.ohRangeRetrieveError(J35)</f>
        <v/>
      </c>
      <c r="L35" s="124"/>
      <c r="N35" s="275"/>
    </row>
    <row r="36" spans="1:14" x14ac:dyDescent="0.2">
      <c r="A36" s="68"/>
      <c r="B36" s="101" t="s">
        <v>32</v>
      </c>
      <c r="C36" s="101" t="s">
        <v>21</v>
      </c>
      <c r="D36" s="101" t="str">
        <f t="shared" si="2"/>
        <v>2F</v>
      </c>
      <c r="E36" s="267" t="s">
        <v>161</v>
      </c>
      <c r="F36" s="267" t="s">
        <v>108</v>
      </c>
      <c r="G36" s="267" t="s">
        <v>120</v>
      </c>
      <c r="H36" s="268">
        <v>0</v>
      </c>
      <c r="I36" s="269" t="str">
        <f t="shared" si="0"/>
        <v>EUR2F13Y_Quote</v>
      </c>
      <c r="J36" s="270" t="str">
        <f>_xll.qlSwapRateHelper2(,$I36,$C36,Calendar,$E36,$F36,$G36,$J$4,$H36,B36,Discounting,Permanent,,ObjectOverwrite)</f>
        <v>obj_00798#0000</v>
      </c>
      <c r="K36" s="271" t="str">
        <f>_xll.ohRangeRetrieveError(J36)</f>
        <v/>
      </c>
      <c r="L36" s="124"/>
      <c r="N36" s="275"/>
    </row>
    <row r="37" spans="1:14" x14ac:dyDescent="0.2">
      <c r="A37" s="68"/>
      <c r="B37" s="101" t="s">
        <v>32</v>
      </c>
      <c r="C37" s="101" t="s">
        <v>20</v>
      </c>
      <c r="D37" s="101" t="str">
        <f t="shared" si="2"/>
        <v>2F</v>
      </c>
      <c r="E37" s="267" t="s">
        <v>161</v>
      </c>
      <c r="F37" s="267" t="s">
        <v>108</v>
      </c>
      <c r="G37" s="267" t="s">
        <v>120</v>
      </c>
      <c r="H37" s="268">
        <v>0</v>
      </c>
      <c r="I37" s="269" t="str">
        <f t="shared" si="0"/>
        <v>EUR2F14Y_Quote</v>
      </c>
      <c r="J37" s="270" t="str">
        <f>_xll.qlSwapRateHelper2(,$I37,$C37,Calendar,$E37,$F37,$G37,$J$4,$H37,B37,Discounting,Permanent,,ObjectOverwrite)</f>
        <v>obj_00891#0000</v>
      </c>
      <c r="K37" s="271" t="str">
        <f>_xll.ohRangeRetrieveError(J37)</f>
        <v/>
      </c>
      <c r="L37" s="124"/>
      <c r="N37" s="275"/>
    </row>
    <row r="38" spans="1:14" x14ac:dyDescent="0.2">
      <c r="A38" s="68"/>
      <c r="B38" s="101" t="s">
        <v>32</v>
      </c>
      <c r="C38" s="101" t="s">
        <v>19</v>
      </c>
      <c r="D38" s="101" t="str">
        <f t="shared" si="2"/>
        <v>2F</v>
      </c>
      <c r="E38" s="267" t="s">
        <v>161</v>
      </c>
      <c r="F38" s="267" t="s">
        <v>108</v>
      </c>
      <c r="G38" s="267" t="s">
        <v>120</v>
      </c>
      <c r="H38" s="268">
        <v>0</v>
      </c>
      <c r="I38" s="269" t="str">
        <f t="shared" si="0"/>
        <v>EUR2F15Y_Quote</v>
      </c>
      <c r="J38" s="270" t="str">
        <f>_xll.qlSwapRateHelper2(,$I38,$C38,Calendar,$E38,$F38,$G38,$J$4,$H38,B38,Discounting,Permanent,,ObjectOverwrite)</f>
        <v>obj_007cc#0000</v>
      </c>
      <c r="K38" s="271" t="str">
        <f>_xll.ohRangeRetrieveError(J38)</f>
        <v/>
      </c>
      <c r="L38" s="124"/>
      <c r="N38" s="275"/>
    </row>
    <row r="39" spans="1:14" x14ac:dyDescent="0.2">
      <c r="A39" s="68"/>
      <c r="B39" s="101" t="s">
        <v>32</v>
      </c>
      <c r="C39" s="101" t="s">
        <v>14</v>
      </c>
      <c r="D39" s="101" t="str">
        <f t="shared" si="2"/>
        <v>2F</v>
      </c>
      <c r="E39" s="267" t="s">
        <v>161</v>
      </c>
      <c r="F39" s="267" t="s">
        <v>108</v>
      </c>
      <c r="G39" s="267" t="s">
        <v>120</v>
      </c>
      <c r="H39" s="268">
        <v>0</v>
      </c>
      <c r="I39" s="269" t="str">
        <f t="shared" si="0"/>
        <v>EUR2F20Y_Quote</v>
      </c>
      <c r="J39" s="270" t="str">
        <f>_xll.qlSwapRateHelper2(,$I39,$C39,Calendar,$E39,$F39,$G39,$J$4,$H39,B39,Discounting,Permanent,,ObjectOverwrite)</f>
        <v>obj_00814#0000</v>
      </c>
      <c r="K39" s="271" t="str">
        <f>_xll.ohRangeRetrieveError(J39)</f>
        <v/>
      </c>
      <c r="L39" s="124"/>
      <c r="N39" s="275"/>
    </row>
    <row r="40" spans="1:14" x14ac:dyDescent="0.2">
      <c r="A40" s="68"/>
      <c r="B40" s="101" t="s">
        <v>32</v>
      </c>
      <c r="C40" s="101" t="s">
        <v>9</v>
      </c>
      <c r="D40" s="101" t="str">
        <f t="shared" si="2"/>
        <v>2F</v>
      </c>
      <c r="E40" s="267" t="s">
        <v>161</v>
      </c>
      <c r="F40" s="267" t="s">
        <v>108</v>
      </c>
      <c r="G40" s="267" t="s">
        <v>120</v>
      </c>
      <c r="H40" s="268">
        <v>0</v>
      </c>
      <c r="I40" s="269" t="str">
        <f t="shared" si="0"/>
        <v>EUR2F25Y_Quote</v>
      </c>
      <c r="J40" s="270" t="str">
        <f>_xll.qlSwapRateHelper2(,$I40,$C40,Calendar,$E40,$F40,$G40,$J$4,$H40,B40,Discounting,Permanent,,ObjectOverwrite)</f>
        <v>obj_00879#0000</v>
      </c>
      <c r="K40" s="271" t="str">
        <f>_xll.ohRangeRetrieveError(J40)</f>
        <v/>
      </c>
      <c r="L40" s="124"/>
      <c r="N40" s="275"/>
    </row>
    <row r="41" spans="1:14" x14ac:dyDescent="0.2">
      <c r="A41" s="68"/>
      <c r="B41" s="272" t="s">
        <v>32</v>
      </c>
      <c r="C41" s="272" t="s">
        <v>4</v>
      </c>
      <c r="D41" s="272" t="str">
        <f t="shared" si="2"/>
        <v>2F</v>
      </c>
      <c r="E41" s="130" t="s">
        <v>161</v>
      </c>
      <c r="F41" s="130" t="s">
        <v>108</v>
      </c>
      <c r="G41" s="130" t="s">
        <v>120</v>
      </c>
      <c r="H41" s="273">
        <v>0</v>
      </c>
      <c r="I41" s="128" t="str">
        <f t="shared" si="0"/>
        <v>EUR2F30Y_Quote</v>
      </c>
      <c r="J41" s="157" t="str">
        <f>_xll.qlSwapRateHelper2(,$I41,$C41,Calendar,$E41,$F41,$G41,$J$4,$H41,B41,Discounting,Permanent,,ObjectOverwrite)</f>
        <v>obj_00864#0000</v>
      </c>
      <c r="K41" s="274" t="str">
        <f>_xll.ohRangeRetrieveError(J41)</f>
        <v/>
      </c>
      <c r="L41" s="124"/>
      <c r="N41" s="275"/>
    </row>
    <row r="42" spans="1:14" x14ac:dyDescent="0.2">
      <c r="A42" s="68"/>
      <c r="B42" s="106" t="s">
        <v>31</v>
      </c>
      <c r="C42" s="106" t="s">
        <v>36</v>
      </c>
      <c r="D42" s="106" t="str">
        <f>LEFT(B42,1)&amp;"F"</f>
        <v>3F</v>
      </c>
      <c r="E42" s="115" t="s">
        <v>161</v>
      </c>
      <c r="F42" s="115" t="s">
        <v>108</v>
      </c>
      <c r="G42" s="115" t="s">
        <v>120</v>
      </c>
      <c r="H42" s="263">
        <v>0</v>
      </c>
      <c r="I42" s="264" t="str">
        <f t="shared" si="0"/>
        <v>EUR3F1Y_Quote</v>
      </c>
      <c r="J42" s="265" t="str">
        <f>_xll.qlSwapRateHelper2(,$I42,$C42,Calendar,$E42,$F42,$G42,$J$4,$H42,B42,Discounting,Permanent,,ObjectOverwrite)</f>
        <v>obj_007ae#0000</v>
      </c>
      <c r="K42" s="266" t="str">
        <f>_xll.ohRangeRetrieveError(J42)</f>
        <v/>
      </c>
      <c r="L42" s="124"/>
      <c r="N42" s="275"/>
    </row>
    <row r="43" spans="1:14" x14ac:dyDescent="0.2">
      <c r="A43" s="68"/>
      <c r="B43" s="101" t="s">
        <v>31</v>
      </c>
      <c r="C43" s="101" t="s">
        <v>32</v>
      </c>
      <c r="D43" s="101" t="str">
        <f t="shared" ref="D43:D59" si="3">LEFT(B43,1)&amp;"F"</f>
        <v>3F</v>
      </c>
      <c r="E43" s="267" t="s">
        <v>161</v>
      </c>
      <c r="F43" s="267" t="s">
        <v>108</v>
      </c>
      <c r="G43" s="267" t="s">
        <v>120</v>
      </c>
      <c r="H43" s="268">
        <v>0</v>
      </c>
      <c r="I43" s="269" t="str">
        <f t="shared" si="0"/>
        <v>EUR3F2Y_Quote</v>
      </c>
      <c r="J43" s="270" t="str">
        <f>_xll.qlSwapRateHelper2(,$I43,$C43,Calendar,$E43,$F43,$G43,$J$4,$H43,B43,Discounting,Permanent,,ObjectOverwrite)</f>
        <v>obj_007af#0000</v>
      </c>
      <c r="K43" s="271" t="str">
        <f>_xll.ohRangeRetrieveError(J43)</f>
        <v/>
      </c>
      <c r="L43" s="124"/>
      <c r="N43" s="275"/>
    </row>
    <row r="44" spans="1:14" x14ac:dyDescent="0.2">
      <c r="A44" s="68"/>
      <c r="B44" s="101" t="s">
        <v>31</v>
      </c>
      <c r="C44" s="101" t="s">
        <v>31</v>
      </c>
      <c r="D44" s="101" t="str">
        <f t="shared" si="3"/>
        <v>3F</v>
      </c>
      <c r="E44" s="267" t="s">
        <v>161</v>
      </c>
      <c r="F44" s="267" t="s">
        <v>108</v>
      </c>
      <c r="G44" s="267" t="s">
        <v>120</v>
      </c>
      <c r="H44" s="268">
        <v>0</v>
      </c>
      <c r="I44" s="269" t="str">
        <f t="shared" si="0"/>
        <v>EUR3F3Y_Quote</v>
      </c>
      <c r="J44" s="270" t="str">
        <f>_xll.qlSwapRateHelper2(,$I44,$C44,Calendar,$E44,$F44,$G44,$J$4,$H44,B44,Discounting,Permanent,,ObjectOverwrite)</f>
        <v>obj_007f1#0000</v>
      </c>
      <c r="K44" s="271" t="str">
        <f>_xll.ohRangeRetrieveError(J44)</f>
        <v/>
      </c>
      <c r="L44" s="124"/>
      <c r="N44" s="275"/>
    </row>
    <row r="45" spans="1:14" x14ac:dyDescent="0.2">
      <c r="A45" s="68"/>
      <c r="B45" s="101" t="s">
        <v>31</v>
      </c>
      <c r="C45" s="101" t="s">
        <v>30</v>
      </c>
      <c r="D45" s="101" t="str">
        <f t="shared" si="3"/>
        <v>3F</v>
      </c>
      <c r="E45" s="267" t="s">
        <v>161</v>
      </c>
      <c r="F45" s="267" t="s">
        <v>108</v>
      </c>
      <c r="G45" s="267" t="s">
        <v>120</v>
      </c>
      <c r="H45" s="268">
        <v>0</v>
      </c>
      <c r="I45" s="269" t="str">
        <f t="shared" si="0"/>
        <v>EUR3F4Y_Quote</v>
      </c>
      <c r="J45" s="270" t="str">
        <f>_xll.qlSwapRateHelper2(,$I45,$C45,Calendar,$E45,$F45,$G45,$J$4,$H45,B45,Discounting,Permanent,,ObjectOverwrite)</f>
        <v>obj_0076a#0000</v>
      </c>
      <c r="K45" s="271" t="str">
        <f>_xll.ohRangeRetrieveError(J45)</f>
        <v/>
      </c>
      <c r="L45" s="124"/>
      <c r="N45" s="275"/>
    </row>
    <row r="46" spans="1:14" x14ac:dyDescent="0.2">
      <c r="A46" s="68"/>
      <c r="B46" s="101" t="s">
        <v>31</v>
      </c>
      <c r="C46" s="101" t="s">
        <v>29</v>
      </c>
      <c r="D46" s="101" t="str">
        <f t="shared" si="3"/>
        <v>3F</v>
      </c>
      <c r="E46" s="267" t="s">
        <v>161</v>
      </c>
      <c r="F46" s="267" t="s">
        <v>108</v>
      </c>
      <c r="G46" s="267" t="s">
        <v>120</v>
      </c>
      <c r="H46" s="268">
        <v>0</v>
      </c>
      <c r="I46" s="269" t="str">
        <f t="shared" si="0"/>
        <v>EUR3F5Y_Quote</v>
      </c>
      <c r="J46" s="270" t="str">
        <f>_xll.qlSwapRateHelper2(,$I46,$C46,Calendar,$E46,$F46,$G46,$J$4,$H46,B46,Discounting,Permanent,,ObjectOverwrite)</f>
        <v>obj_00770#0000</v>
      </c>
      <c r="K46" s="271" t="str">
        <f>_xll.ohRangeRetrieveError(J46)</f>
        <v/>
      </c>
      <c r="L46" s="124"/>
      <c r="N46" s="275"/>
    </row>
    <row r="47" spans="1:14" x14ac:dyDescent="0.2">
      <c r="A47" s="68"/>
      <c r="B47" s="101" t="s">
        <v>31</v>
      </c>
      <c r="C47" s="101" t="s">
        <v>28</v>
      </c>
      <c r="D47" s="101" t="str">
        <f t="shared" si="3"/>
        <v>3F</v>
      </c>
      <c r="E47" s="267" t="s">
        <v>161</v>
      </c>
      <c r="F47" s="267" t="s">
        <v>108</v>
      </c>
      <c r="G47" s="267" t="s">
        <v>120</v>
      </c>
      <c r="H47" s="268">
        <v>0</v>
      </c>
      <c r="I47" s="269" t="str">
        <f t="shared" si="0"/>
        <v>EUR3F6Y_Quote</v>
      </c>
      <c r="J47" s="270" t="str">
        <f>_xll.qlSwapRateHelper2(,$I47,$C47,Calendar,$E47,$F47,$G47,$J$4,$H47,B47,Discounting,Permanent,,ObjectOverwrite)</f>
        <v>obj_00808#0000</v>
      </c>
      <c r="K47" s="271" t="str">
        <f>_xll.ohRangeRetrieveError(J47)</f>
        <v/>
      </c>
      <c r="L47" s="124"/>
      <c r="N47" s="275"/>
    </row>
    <row r="48" spans="1:14" x14ac:dyDescent="0.2">
      <c r="A48" s="68"/>
      <c r="B48" s="101" t="s">
        <v>31</v>
      </c>
      <c r="C48" s="101" t="s">
        <v>27</v>
      </c>
      <c r="D48" s="101" t="str">
        <f t="shared" si="3"/>
        <v>3F</v>
      </c>
      <c r="E48" s="267" t="s">
        <v>161</v>
      </c>
      <c r="F48" s="267" t="s">
        <v>108</v>
      </c>
      <c r="G48" s="267" t="s">
        <v>120</v>
      </c>
      <c r="H48" s="268">
        <v>0</v>
      </c>
      <c r="I48" s="269" t="str">
        <f t="shared" si="0"/>
        <v>EUR3F7Y_Quote</v>
      </c>
      <c r="J48" s="270" t="str">
        <f>_xll.qlSwapRateHelper2(,$I48,$C48,Calendar,$E48,$F48,$G48,$J$4,$H48,B48,Discounting,Permanent,,ObjectOverwrite)</f>
        <v>obj_007a7#0000</v>
      </c>
      <c r="K48" s="271" t="str">
        <f>_xll.ohRangeRetrieveError(J48)</f>
        <v/>
      </c>
      <c r="L48" s="124"/>
      <c r="N48" s="275"/>
    </row>
    <row r="49" spans="1:14" x14ac:dyDescent="0.2">
      <c r="A49" s="68"/>
      <c r="B49" s="101" t="s">
        <v>31</v>
      </c>
      <c r="C49" s="101" t="s">
        <v>26</v>
      </c>
      <c r="D49" s="101" t="str">
        <f t="shared" si="3"/>
        <v>3F</v>
      </c>
      <c r="E49" s="267" t="s">
        <v>161</v>
      </c>
      <c r="F49" s="267" t="s">
        <v>108</v>
      </c>
      <c r="G49" s="267" t="s">
        <v>120</v>
      </c>
      <c r="H49" s="268">
        <v>0</v>
      </c>
      <c r="I49" s="269" t="str">
        <f t="shared" si="0"/>
        <v>EUR3F8Y_Quote</v>
      </c>
      <c r="J49" s="270" t="str">
        <f>_xll.qlSwapRateHelper2(,$I49,$C49,Calendar,$E49,$F49,$G49,$J$4,$H49,B49,Discounting,Permanent,,ObjectOverwrite)</f>
        <v>obj_007b7#0000</v>
      </c>
      <c r="K49" s="271" t="str">
        <f>_xll.ohRangeRetrieveError(J49)</f>
        <v/>
      </c>
      <c r="L49" s="124"/>
      <c r="N49" s="275"/>
    </row>
    <row r="50" spans="1:14" x14ac:dyDescent="0.2">
      <c r="A50" s="68"/>
      <c r="B50" s="101" t="s">
        <v>31</v>
      </c>
      <c r="C50" s="101" t="s">
        <v>25</v>
      </c>
      <c r="D50" s="101" t="str">
        <f t="shared" si="3"/>
        <v>3F</v>
      </c>
      <c r="E50" s="267" t="s">
        <v>161</v>
      </c>
      <c r="F50" s="267" t="s">
        <v>108</v>
      </c>
      <c r="G50" s="267" t="s">
        <v>120</v>
      </c>
      <c r="H50" s="268">
        <v>0</v>
      </c>
      <c r="I50" s="269" t="str">
        <f t="shared" si="0"/>
        <v>EUR3F9Y_Quote</v>
      </c>
      <c r="J50" s="270" t="str">
        <f>_xll.qlSwapRateHelper2(,$I50,$C50,Calendar,$E50,$F50,$G50,$J$4,$H50,B50,Discounting,Permanent,,ObjectOverwrite)</f>
        <v>obj_0082e#0000</v>
      </c>
      <c r="K50" s="271" t="str">
        <f>_xll.ohRangeRetrieveError(J50)</f>
        <v/>
      </c>
      <c r="L50" s="124"/>
      <c r="N50" s="275"/>
    </row>
    <row r="51" spans="1:14" x14ac:dyDescent="0.2">
      <c r="A51" s="68"/>
      <c r="B51" s="101" t="s">
        <v>31</v>
      </c>
      <c r="C51" s="101" t="s">
        <v>24</v>
      </c>
      <c r="D51" s="101" t="str">
        <f t="shared" si="3"/>
        <v>3F</v>
      </c>
      <c r="E51" s="267" t="s">
        <v>161</v>
      </c>
      <c r="F51" s="267" t="s">
        <v>108</v>
      </c>
      <c r="G51" s="267" t="s">
        <v>120</v>
      </c>
      <c r="H51" s="268">
        <v>0</v>
      </c>
      <c r="I51" s="269" t="str">
        <f t="shared" si="0"/>
        <v>EUR3F10Y_Quote</v>
      </c>
      <c r="J51" s="270" t="str">
        <f>_xll.qlSwapRateHelper2(,$I51,$C51,Calendar,$E51,$F51,$G51,$J$4,$H51,B51,Discounting,Permanent,,ObjectOverwrite)</f>
        <v>obj_007bc#0000</v>
      </c>
      <c r="K51" s="271" t="str">
        <f>_xll.ohRangeRetrieveError(J51)</f>
        <v/>
      </c>
      <c r="L51" s="124"/>
      <c r="N51" s="275"/>
    </row>
    <row r="52" spans="1:14" x14ac:dyDescent="0.2">
      <c r="A52" s="68"/>
      <c r="B52" s="101" t="s">
        <v>31</v>
      </c>
      <c r="C52" s="101" t="s">
        <v>23</v>
      </c>
      <c r="D52" s="101" t="str">
        <f t="shared" si="3"/>
        <v>3F</v>
      </c>
      <c r="E52" s="267" t="s">
        <v>161</v>
      </c>
      <c r="F52" s="267" t="s">
        <v>108</v>
      </c>
      <c r="G52" s="267" t="s">
        <v>120</v>
      </c>
      <c r="H52" s="268">
        <v>0</v>
      </c>
      <c r="I52" s="269" t="str">
        <f t="shared" si="0"/>
        <v>EUR3F11Y_Quote</v>
      </c>
      <c r="J52" s="270" t="str">
        <f>_xll.qlSwapRateHelper2(,$I52,$C52,Calendar,$E52,$F52,$G52,$J$4,$H52,B52,Discounting,Permanent,,ObjectOverwrite)</f>
        <v>obj_0085a#0000</v>
      </c>
      <c r="K52" s="271" t="str">
        <f>_xll.ohRangeRetrieveError(J52)</f>
        <v/>
      </c>
      <c r="L52" s="124"/>
      <c r="N52" s="275"/>
    </row>
    <row r="53" spans="1:14" x14ac:dyDescent="0.2">
      <c r="A53" s="68"/>
      <c r="B53" s="101" t="s">
        <v>31</v>
      </c>
      <c r="C53" s="101" t="s">
        <v>22</v>
      </c>
      <c r="D53" s="101" t="str">
        <f t="shared" si="3"/>
        <v>3F</v>
      </c>
      <c r="E53" s="267" t="s">
        <v>161</v>
      </c>
      <c r="F53" s="267" t="s">
        <v>108</v>
      </c>
      <c r="G53" s="267" t="s">
        <v>120</v>
      </c>
      <c r="H53" s="268">
        <v>0</v>
      </c>
      <c r="I53" s="269" t="str">
        <f t="shared" si="0"/>
        <v>EUR3F12Y_Quote</v>
      </c>
      <c r="J53" s="270" t="str">
        <f>_xll.qlSwapRateHelper2(,$I53,$C53,Calendar,$E53,$F53,$G53,$J$4,$H53,B53,Discounting,Permanent,,ObjectOverwrite)</f>
        <v>obj_007fd#0000</v>
      </c>
      <c r="K53" s="271" t="str">
        <f>_xll.ohRangeRetrieveError(J53)</f>
        <v/>
      </c>
      <c r="L53" s="124"/>
      <c r="N53" s="275"/>
    </row>
    <row r="54" spans="1:14" x14ac:dyDescent="0.2">
      <c r="A54" s="68"/>
      <c r="B54" s="101" t="s">
        <v>31</v>
      </c>
      <c r="C54" s="101" t="s">
        <v>21</v>
      </c>
      <c r="D54" s="101" t="str">
        <f t="shared" si="3"/>
        <v>3F</v>
      </c>
      <c r="E54" s="267" t="s">
        <v>161</v>
      </c>
      <c r="F54" s="267" t="s">
        <v>108</v>
      </c>
      <c r="G54" s="267" t="s">
        <v>120</v>
      </c>
      <c r="H54" s="268">
        <v>0</v>
      </c>
      <c r="I54" s="269" t="str">
        <f t="shared" si="0"/>
        <v>EUR3F13Y_Quote</v>
      </c>
      <c r="J54" s="270" t="str">
        <f>_xll.qlSwapRateHelper2(,$I54,$C54,Calendar,$E54,$F54,$G54,$J$4,$H54,B54,Discounting,Permanent,,ObjectOverwrite)</f>
        <v>obj_00889#0000</v>
      </c>
      <c r="K54" s="271" t="str">
        <f>_xll.ohRangeRetrieveError(J54)</f>
        <v/>
      </c>
      <c r="L54" s="124"/>
      <c r="N54" s="275"/>
    </row>
    <row r="55" spans="1:14" x14ac:dyDescent="0.2">
      <c r="A55" s="68"/>
      <c r="B55" s="101" t="s">
        <v>31</v>
      </c>
      <c r="C55" s="101" t="s">
        <v>20</v>
      </c>
      <c r="D55" s="101" t="str">
        <f t="shared" si="3"/>
        <v>3F</v>
      </c>
      <c r="E55" s="267" t="s">
        <v>161</v>
      </c>
      <c r="F55" s="267" t="s">
        <v>108</v>
      </c>
      <c r="G55" s="267" t="s">
        <v>120</v>
      </c>
      <c r="H55" s="268">
        <v>0</v>
      </c>
      <c r="I55" s="269" t="str">
        <f t="shared" si="0"/>
        <v>EUR3F14Y_Quote</v>
      </c>
      <c r="J55" s="270" t="str">
        <f>_xll.qlSwapRateHelper2(,$I55,$C55,Calendar,$E55,$F55,$G55,$J$4,$H55,B55,Discounting,Permanent,,ObjectOverwrite)</f>
        <v>obj_00860#0000</v>
      </c>
      <c r="K55" s="271" t="str">
        <f>_xll.ohRangeRetrieveError(J55)</f>
        <v/>
      </c>
      <c r="L55" s="124"/>
      <c r="N55" s="275"/>
    </row>
    <row r="56" spans="1:14" x14ac:dyDescent="0.2">
      <c r="A56" s="68"/>
      <c r="B56" s="101" t="s">
        <v>31</v>
      </c>
      <c r="C56" s="101" t="s">
        <v>19</v>
      </c>
      <c r="D56" s="101" t="str">
        <f t="shared" si="3"/>
        <v>3F</v>
      </c>
      <c r="E56" s="267" t="s">
        <v>161</v>
      </c>
      <c r="F56" s="267" t="s">
        <v>108</v>
      </c>
      <c r="G56" s="267" t="s">
        <v>120</v>
      </c>
      <c r="H56" s="268">
        <v>0</v>
      </c>
      <c r="I56" s="269" t="str">
        <f t="shared" si="0"/>
        <v>EUR3F15Y_Quote</v>
      </c>
      <c r="J56" s="270" t="str">
        <f>_xll.qlSwapRateHelper2(,$I56,$C56,Calendar,$E56,$F56,$G56,$J$4,$H56,B56,Discounting,Permanent,,ObjectOverwrite)</f>
        <v>obj_0084e#0000</v>
      </c>
      <c r="K56" s="271" t="str">
        <f>_xll.ohRangeRetrieveError(J56)</f>
        <v/>
      </c>
      <c r="L56" s="124"/>
      <c r="N56" s="275"/>
    </row>
    <row r="57" spans="1:14" x14ac:dyDescent="0.2">
      <c r="A57" s="68"/>
      <c r="B57" s="101" t="s">
        <v>31</v>
      </c>
      <c r="C57" s="101" t="s">
        <v>14</v>
      </c>
      <c r="D57" s="101" t="str">
        <f t="shared" si="3"/>
        <v>3F</v>
      </c>
      <c r="E57" s="267" t="s">
        <v>161</v>
      </c>
      <c r="F57" s="267" t="s">
        <v>108</v>
      </c>
      <c r="G57" s="267" t="s">
        <v>120</v>
      </c>
      <c r="H57" s="268">
        <v>0</v>
      </c>
      <c r="I57" s="269" t="str">
        <f t="shared" si="0"/>
        <v>EUR3F20Y_Quote</v>
      </c>
      <c r="J57" s="270" t="str">
        <f>_xll.qlSwapRateHelper2(,$I57,$C57,Calendar,$E57,$F57,$G57,$J$4,$H57,B57,Discounting,Permanent,,ObjectOverwrite)</f>
        <v>obj_00777#0000</v>
      </c>
      <c r="K57" s="271" t="str">
        <f>_xll.ohRangeRetrieveError(J57)</f>
        <v/>
      </c>
      <c r="L57" s="124"/>
      <c r="N57" s="275"/>
    </row>
    <row r="58" spans="1:14" x14ac:dyDescent="0.2">
      <c r="A58" s="68"/>
      <c r="B58" s="101" t="s">
        <v>31</v>
      </c>
      <c r="C58" s="101" t="s">
        <v>9</v>
      </c>
      <c r="D58" s="101" t="str">
        <f t="shared" si="3"/>
        <v>3F</v>
      </c>
      <c r="E58" s="267" t="s">
        <v>161</v>
      </c>
      <c r="F58" s="267" t="s">
        <v>108</v>
      </c>
      <c r="G58" s="267" t="s">
        <v>120</v>
      </c>
      <c r="H58" s="268">
        <v>0</v>
      </c>
      <c r="I58" s="269" t="str">
        <f t="shared" si="0"/>
        <v>EUR3F25Y_Quote</v>
      </c>
      <c r="J58" s="270" t="str">
        <f>_xll.qlSwapRateHelper2(,$I58,$C58,Calendar,$E58,$F58,$G58,$J$4,$H58,B58,Discounting,Permanent,,ObjectOverwrite)</f>
        <v>obj_00894#0000</v>
      </c>
      <c r="K58" s="271" t="str">
        <f>_xll.ohRangeRetrieveError(J58)</f>
        <v/>
      </c>
      <c r="L58" s="124"/>
      <c r="N58" s="275"/>
    </row>
    <row r="59" spans="1:14" x14ac:dyDescent="0.2">
      <c r="A59" s="68"/>
      <c r="B59" s="272" t="s">
        <v>31</v>
      </c>
      <c r="C59" s="272" t="s">
        <v>4</v>
      </c>
      <c r="D59" s="272" t="str">
        <f t="shared" si="3"/>
        <v>3F</v>
      </c>
      <c r="E59" s="130" t="s">
        <v>161</v>
      </c>
      <c r="F59" s="130" t="s">
        <v>108</v>
      </c>
      <c r="G59" s="130" t="s">
        <v>120</v>
      </c>
      <c r="H59" s="273">
        <v>0</v>
      </c>
      <c r="I59" s="128" t="str">
        <f t="shared" si="0"/>
        <v>EUR3F30Y_Quote</v>
      </c>
      <c r="J59" s="157" t="str">
        <f>_xll.qlSwapRateHelper2(,$I59,$C59,Calendar,$E59,$F59,$G59,$J$4,$H59,B59,Discounting,Permanent,,ObjectOverwrite)</f>
        <v>obj_00880#0000</v>
      </c>
      <c r="K59" s="274" t="str">
        <f>_xll.ohRangeRetrieveError(J59)</f>
        <v/>
      </c>
      <c r="L59" s="124"/>
      <c r="N59" s="275"/>
    </row>
    <row r="60" spans="1:14" x14ac:dyDescent="0.2">
      <c r="A60" s="68"/>
      <c r="B60" s="106" t="s">
        <v>30</v>
      </c>
      <c r="C60" s="106" t="s">
        <v>36</v>
      </c>
      <c r="D60" s="106" t="str">
        <f>LEFT(B60,1)&amp;"F"</f>
        <v>4F</v>
      </c>
      <c r="E60" s="115" t="s">
        <v>161</v>
      </c>
      <c r="F60" s="115" t="s">
        <v>108</v>
      </c>
      <c r="G60" s="115" t="s">
        <v>120</v>
      </c>
      <c r="H60" s="263">
        <v>0</v>
      </c>
      <c r="I60" s="264" t="str">
        <f t="shared" si="0"/>
        <v>EUR4F1Y_Quote</v>
      </c>
      <c r="J60" s="265" t="str">
        <f>_xll.qlSwapRateHelper2(,$I60,$C60,Calendar,$E60,$F60,$G60,$J$4,$H60,B60,Discounting,Permanent,,ObjectOverwrite)</f>
        <v>obj_007a9#0000</v>
      </c>
      <c r="K60" s="266" t="str">
        <f>_xll.ohRangeRetrieveError(J60)</f>
        <v/>
      </c>
      <c r="L60" s="124"/>
      <c r="N60" s="275"/>
    </row>
    <row r="61" spans="1:14" x14ac:dyDescent="0.2">
      <c r="A61" s="68"/>
      <c r="B61" s="101" t="s">
        <v>30</v>
      </c>
      <c r="C61" s="101" t="s">
        <v>32</v>
      </c>
      <c r="D61" s="101" t="str">
        <f t="shared" ref="D61:D77" si="4">LEFT(B61,1)&amp;"F"</f>
        <v>4F</v>
      </c>
      <c r="E61" s="267" t="s">
        <v>161</v>
      </c>
      <c r="F61" s="267" t="s">
        <v>108</v>
      </c>
      <c r="G61" s="267" t="s">
        <v>120</v>
      </c>
      <c r="H61" s="268">
        <v>0</v>
      </c>
      <c r="I61" s="269" t="str">
        <f t="shared" si="0"/>
        <v>EUR4F2Y_Quote</v>
      </c>
      <c r="J61" s="270" t="str">
        <f>_xll.qlSwapRateHelper2(,$I61,$C61,Calendar,$E61,$F61,$G61,$J$4,$H61,B61,Discounting,Permanent,,ObjectOverwrite)</f>
        <v>obj_00796#0000</v>
      </c>
      <c r="K61" s="271" t="str">
        <f>_xll.ohRangeRetrieveError(J61)</f>
        <v/>
      </c>
      <c r="L61" s="124"/>
      <c r="N61" s="275"/>
    </row>
    <row r="62" spans="1:14" x14ac:dyDescent="0.2">
      <c r="A62" s="68"/>
      <c r="B62" s="101" t="s">
        <v>30</v>
      </c>
      <c r="C62" s="101" t="s">
        <v>31</v>
      </c>
      <c r="D62" s="101" t="str">
        <f t="shared" si="4"/>
        <v>4F</v>
      </c>
      <c r="E62" s="267" t="s">
        <v>161</v>
      </c>
      <c r="F62" s="267" t="s">
        <v>108</v>
      </c>
      <c r="G62" s="267" t="s">
        <v>120</v>
      </c>
      <c r="H62" s="268">
        <v>0</v>
      </c>
      <c r="I62" s="269" t="str">
        <f t="shared" si="0"/>
        <v>EUR4F3Y_Quote</v>
      </c>
      <c r="J62" s="270" t="str">
        <f>_xll.qlSwapRateHelper2(,$I62,$C62,Calendar,$E62,$F62,$G62,$J$4,$H62,B62,Discounting,Permanent,,ObjectOverwrite)</f>
        <v>obj_0087c#0000</v>
      </c>
      <c r="K62" s="271" t="str">
        <f>_xll.ohRangeRetrieveError(J62)</f>
        <v/>
      </c>
      <c r="L62" s="124"/>
      <c r="N62" s="275"/>
    </row>
    <row r="63" spans="1:14" x14ac:dyDescent="0.2">
      <c r="A63" s="68"/>
      <c r="B63" s="101" t="s">
        <v>30</v>
      </c>
      <c r="C63" s="101" t="s">
        <v>30</v>
      </c>
      <c r="D63" s="101" t="str">
        <f t="shared" si="4"/>
        <v>4F</v>
      </c>
      <c r="E63" s="267" t="s">
        <v>161</v>
      </c>
      <c r="F63" s="267" t="s">
        <v>108</v>
      </c>
      <c r="G63" s="267" t="s">
        <v>120</v>
      </c>
      <c r="H63" s="268">
        <v>0</v>
      </c>
      <c r="I63" s="269" t="str">
        <f t="shared" si="0"/>
        <v>EUR4F4Y_Quote</v>
      </c>
      <c r="J63" s="270" t="str">
        <f>_xll.qlSwapRateHelper2(,$I63,$C63,Calendar,$E63,$F63,$G63,$J$4,$H63,B63,Discounting,Permanent,,ObjectOverwrite)</f>
        <v>obj_0077b#0000</v>
      </c>
      <c r="K63" s="271" t="str">
        <f>_xll.ohRangeRetrieveError(J63)</f>
        <v/>
      </c>
      <c r="L63" s="124"/>
      <c r="N63" s="275"/>
    </row>
    <row r="64" spans="1:14" x14ac:dyDescent="0.2">
      <c r="A64" s="68"/>
      <c r="B64" s="101" t="s">
        <v>30</v>
      </c>
      <c r="C64" s="101" t="s">
        <v>29</v>
      </c>
      <c r="D64" s="101" t="str">
        <f t="shared" si="4"/>
        <v>4F</v>
      </c>
      <c r="E64" s="267" t="s">
        <v>161</v>
      </c>
      <c r="F64" s="267" t="s">
        <v>108</v>
      </c>
      <c r="G64" s="267" t="s">
        <v>120</v>
      </c>
      <c r="H64" s="268">
        <v>0</v>
      </c>
      <c r="I64" s="269" t="str">
        <f t="shared" si="0"/>
        <v>EUR4F5Y_Quote</v>
      </c>
      <c r="J64" s="270" t="str">
        <f>_xll.qlSwapRateHelper2(,$I64,$C64,Calendar,$E64,$F64,$G64,$J$4,$H64,B64,Discounting,Permanent,,ObjectOverwrite)</f>
        <v>obj_00827#0000</v>
      </c>
      <c r="K64" s="271" t="str">
        <f>_xll.ohRangeRetrieveError(J64)</f>
        <v/>
      </c>
      <c r="L64" s="124"/>
      <c r="N64" s="275"/>
    </row>
    <row r="65" spans="1:14" x14ac:dyDescent="0.2">
      <c r="A65" s="68"/>
      <c r="B65" s="101" t="s">
        <v>30</v>
      </c>
      <c r="C65" s="101" t="s">
        <v>28</v>
      </c>
      <c r="D65" s="101" t="str">
        <f t="shared" si="4"/>
        <v>4F</v>
      </c>
      <c r="E65" s="267" t="s">
        <v>161</v>
      </c>
      <c r="F65" s="267" t="s">
        <v>108</v>
      </c>
      <c r="G65" s="267" t="s">
        <v>120</v>
      </c>
      <c r="H65" s="268">
        <v>0</v>
      </c>
      <c r="I65" s="269" t="str">
        <f t="shared" si="0"/>
        <v>EUR4F6Y_Quote</v>
      </c>
      <c r="J65" s="270" t="str">
        <f>_xll.qlSwapRateHelper2(,$I65,$C65,Calendar,$E65,$F65,$G65,$J$4,$H65,B65,Discounting,Permanent,,ObjectOverwrite)</f>
        <v>obj_007cf#0000</v>
      </c>
      <c r="K65" s="271" t="str">
        <f>_xll.ohRangeRetrieveError(J65)</f>
        <v/>
      </c>
      <c r="L65" s="124"/>
      <c r="N65" s="275"/>
    </row>
    <row r="66" spans="1:14" x14ac:dyDescent="0.2">
      <c r="A66" s="68"/>
      <c r="B66" s="101" t="s">
        <v>30</v>
      </c>
      <c r="C66" s="101" t="s">
        <v>27</v>
      </c>
      <c r="D66" s="101" t="str">
        <f t="shared" si="4"/>
        <v>4F</v>
      </c>
      <c r="E66" s="267" t="s">
        <v>161</v>
      </c>
      <c r="F66" s="267" t="s">
        <v>108</v>
      </c>
      <c r="G66" s="267" t="s">
        <v>120</v>
      </c>
      <c r="H66" s="268">
        <v>0</v>
      </c>
      <c r="I66" s="269" t="str">
        <f t="shared" si="0"/>
        <v>EUR4F7Y_Quote</v>
      </c>
      <c r="J66" s="270" t="str">
        <f>_xll.qlSwapRateHelper2(,$I66,$C66,Calendar,$E66,$F66,$G66,$J$4,$H66,B66,Discounting,Permanent,,ObjectOverwrite)</f>
        <v>obj_0081b#0000</v>
      </c>
      <c r="K66" s="271" t="str">
        <f>_xll.ohRangeRetrieveError(J66)</f>
        <v/>
      </c>
      <c r="L66" s="124"/>
      <c r="N66" s="275"/>
    </row>
    <row r="67" spans="1:14" x14ac:dyDescent="0.2">
      <c r="A67" s="68"/>
      <c r="B67" s="101" t="s">
        <v>30</v>
      </c>
      <c r="C67" s="101" t="s">
        <v>26</v>
      </c>
      <c r="D67" s="101" t="str">
        <f t="shared" si="4"/>
        <v>4F</v>
      </c>
      <c r="E67" s="267" t="s">
        <v>161</v>
      </c>
      <c r="F67" s="267" t="s">
        <v>108</v>
      </c>
      <c r="G67" s="267" t="s">
        <v>120</v>
      </c>
      <c r="H67" s="268">
        <v>0</v>
      </c>
      <c r="I67" s="269" t="str">
        <f t="shared" si="0"/>
        <v>EUR4F8Y_Quote</v>
      </c>
      <c r="J67" s="270" t="str">
        <f>_xll.qlSwapRateHelper2(,$I67,$C67,Calendar,$E67,$F67,$G67,$J$4,$H67,B67,Discounting,Permanent,,ObjectOverwrite)</f>
        <v>obj_00858#0000</v>
      </c>
      <c r="K67" s="271" t="str">
        <f>_xll.ohRangeRetrieveError(J67)</f>
        <v/>
      </c>
      <c r="L67" s="124"/>
      <c r="N67" s="275"/>
    </row>
    <row r="68" spans="1:14" x14ac:dyDescent="0.2">
      <c r="A68" s="68"/>
      <c r="B68" s="101" t="s">
        <v>30</v>
      </c>
      <c r="C68" s="101" t="s">
        <v>25</v>
      </c>
      <c r="D68" s="101" t="str">
        <f t="shared" si="4"/>
        <v>4F</v>
      </c>
      <c r="E68" s="267" t="s">
        <v>161</v>
      </c>
      <c r="F68" s="267" t="s">
        <v>108</v>
      </c>
      <c r="G68" s="267" t="s">
        <v>120</v>
      </c>
      <c r="H68" s="268">
        <v>0</v>
      </c>
      <c r="I68" s="269" t="str">
        <f t="shared" si="0"/>
        <v>EUR4F9Y_Quote</v>
      </c>
      <c r="J68" s="270" t="str">
        <f>_xll.qlSwapRateHelper2(,$I68,$C68,Calendar,$E68,$F68,$G68,$J$4,$H68,B68,Discounting,Permanent,,ObjectOverwrite)</f>
        <v>obj_00802#0000</v>
      </c>
      <c r="K68" s="271" t="str">
        <f>_xll.ohRangeRetrieveError(J68)</f>
        <v/>
      </c>
      <c r="L68" s="124"/>
      <c r="N68" s="275"/>
    </row>
    <row r="69" spans="1:14" x14ac:dyDescent="0.2">
      <c r="A69" s="68"/>
      <c r="B69" s="101" t="s">
        <v>30</v>
      </c>
      <c r="C69" s="101" t="s">
        <v>24</v>
      </c>
      <c r="D69" s="101" t="str">
        <f t="shared" si="4"/>
        <v>4F</v>
      </c>
      <c r="E69" s="267" t="s">
        <v>161</v>
      </c>
      <c r="F69" s="267" t="s">
        <v>108</v>
      </c>
      <c r="G69" s="267" t="s">
        <v>120</v>
      </c>
      <c r="H69" s="268">
        <v>0</v>
      </c>
      <c r="I69" s="269" t="str">
        <f t="shared" si="0"/>
        <v>EUR4F10Y_Quote</v>
      </c>
      <c r="J69" s="270" t="str">
        <f>_xll.qlSwapRateHelper2(,$I69,$C69,Calendar,$E69,$F69,$G69,$J$4,$H69,B69,Discounting,Permanent,,ObjectOverwrite)</f>
        <v>obj_0077e#0000</v>
      </c>
      <c r="K69" s="271" t="str">
        <f>_xll.ohRangeRetrieveError(J69)</f>
        <v/>
      </c>
      <c r="L69" s="124"/>
      <c r="N69" s="275"/>
    </row>
    <row r="70" spans="1:14" x14ac:dyDescent="0.2">
      <c r="A70" s="68"/>
      <c r="B70" s="101" t="s">
        <v>30</v>
      </c>
      <c r="C70" s="101" t="s">
        <v>23</v>
      </c>
      <c r="D70" s="101" t="str">
        <f t="shared" si="4"/>
        <v>4F</v>
      </c>
      <c r="E70" s="267" t="s">
        <v>161</v>
      </c>
      <c r="F70" s="267" t="s">
        <v>108</v>
      </c>
      <c r="G70" s="267" t="s">
        <v>120</v>
      </c>
      <c r="H70" s="268">
        <v>0</v>
      </c>
      <c r="I70" s="269" t="str">
        <f t="shared" ref="I70:I133" si="5">Currency&amp;$D70&amp;$C70&amp;QuoteSuffix</f>
        <v>EUR4F11Y_Quote</v>
      </c>
      <c r="J70" s="270" t="str">
        <f>_xll.qlSwapRateHelper2(,$I70,$C70,Calendar,$E70,$F70,$G70,$J$4,$H70,B70,Discounting,Permanent,,ObjectOverwrite)</f>
        <v>obj_0084b#0000</v>
      </c>
      <c r="K70" s="271" t="str">
        <f>_xll.ohRangeRetrieveError(J70)</f>
        <v/>
      </c>
      <c r="L70" s="124"/>
      <c r="N70" s="275"/>
    </row>
    <row r="71" spans="1:14" x14ac:dyDescent="0.2">
      <c r="A71" s="68"/>
      <c r="B71" s="101" t="s">
        <v>30</v>
      </c>
      <c r="C71" s="101" t="s">
        <v>22</v>
      </c>
      <c r="D71" s="101" t="str">
        <f t="shared" si="4"/>
        <v>4F</v>
      </c>
      <c r="E71" s="267" t="s">
        <v>161</v>
      </c>
      <c r="F71" s="267" t="s">
        <v>108</v>
      </c>
      <c r="G71" s="267" t="s">
        <v>120</v>
      </c>
      <c r="H71" s="268">
        <v>0</v>
      </c>
      <c r="I71" s="269" t="str">
        <f t="shared" si="5"/>
        <v>EUR4F12Y_Quote</v>
      </c>
      <c r="J71" s="270" t="str">
        <f>_xll.qlSwapRateHelper2(,$I71,$C71,Calendar,$E71,$F71,$G71,$J$4,$H71,B71,Discounting,Permanent,,ObjectOverwrite)</f>
        <v>obj_007fe#0000</v>
      </c>
      <c r="K71" s="271" t="str">
        <f>_xll.ohRangeRetrieveError(J71)</f>
        <v/>
      </c>
      <c r="L71" s="124"/>
      <c r="N71" s="275"/>
    </row>
    <row r="72" spans="1:14" x14ac:dyDescent="0.2">
      <c r="A72" s="68"/>
      <c r="B72" s="101" t="s">
        <v>30</v>
      </c>
      <c r="C72" s="101" t="s">
        <v>21</v>
      </c>
      <c r="D72" s="101" t="str">
        <f t="shared" si="4"/>
        <v>4F</v>
      </c>
      <c r="E72" s="267" t="s">
        <v>161</v>
      </c>
      <c r="F72" s="267" t="s">
        <v>108</v>
      </c>
      <c r="G72" s="267" t="s">
        <v>120</v>
      </c>
      <c r="H72" s="268">
        <v>0</v>
      </c>
      <c r="I72" s="269" t="str">
        <f t="shared" si="5"/>
        <v>EUR4F13Y_Quote</v>
      </c>
      <c r="J72" s="270" t="str">
        <f>_xll.qlSwapRateHelper2(,$I72,$C72,Calendar,$E72,$F72,$G72,$J$4,$H72,B72,Discounting,Permanent,,ObjectOverwrite)</f>
        <v>obj_00809#0000</v>
      </c>
      <c r="K72" s="271" t="str">
        <f>_xll.ohRangeRetrieveError(J72)</f>
        <v/>
      </c>
      <c r="L72" s="124"/>
      <c r="N72" s="275"/>
    </row>
    <row r="73" spans="1:14" x14ac:dyDescent="0.2">
      <c r="A73" s="68"/>
      <c r="B73" s="101" t="s">
        <v>30</v>
      </c>
      <c r="C73" s="101" t="s">
        <v>20</v>
      </c>
      <c r="D73" s="101" t="str">
        <f t="shared" si="4"/>
        <v>4F</v>
      </c>
      <c r="E73" s="267" t="s">
        <v>161</v>
      </c>
      <c r="F73" s="267" t="s">
        <v>108</v>
      </c>
      <c r="G73" s="267" t="s">
        <v>120</v>
      </c>
      <c r="H73" s="268">
        <v>0</v>
      </c>
      <c r="I73" s="269" t="str">
        <f t="shared" si="5"/>
        <v>EUR4F14Y_Quote</v>
      </c>
      <c r="J73" s="270" t="str">
        <f>_xll.qlSwapRateHelper2(,$I73,$C73,Calendar,$E73,$F73,$G73,$J$4,$H73,B73,Discounting,Permanent,,ObjectOverwrite)</f>
        <v>obj_0081d#0000</v>
      </c>
      <c r="K73" s="271" t="str">
        <f>_xll.ohRangeRetrieveError(J73)</f>
        <v/>
      </c>
      <c r="L73" s="124"/>
      <c r="N73" s="275"/>
    </row>
    <row r="74" spans="1:14" x14ac:dyDescent="0.2">
      <c r="A74" s="68"/>
      <c r="B74" s="101" t="s">
        <v>30</v>
      </c>
      <c r="C74" s="101" t="s">
        <v>19</v>
      </c>
      <c r="D74" s="101" t="str">
        <f t="shared" si="4"/>
        <v>4F</v>
      </c>
      <c r="E74" s="267" t="s">
        <v>161</v>
      </c>
      <c r="F74" s="267" t="s">
        <v>108</v>
      </c>
      <c r="G74" s="267" t="s">
        <v>120</v>
      </c>
      <c r="H74" s="268">
        <v>0</v>
      </c>
      <c r="I74" s="269" t="str">
        <f t="shared" si="5"/>
        <v>EUR4F15Y_Quote</v>
      </c>
      <c r="J74" s="270" t="str">
        <f>_xll.qlSwapRateHelper2(,$I74,$C74,Calendar,$E74,$F74,$G74,$J$4,$H74,B74,Discounting,Permanent,,ObjectOverwrite)</f>
        <v>obj_00797#0000</v>
      </c>
      <c r="K74" s="271" t="str">
        <f>_xll.ohRangeRetrieveError(J74)</f>
        <v/>
      </c>
      <c r="L74" s="124"/>
      <c r="N74" s="275"/>
    </row>
    <row r="75" spans="1:14" x14ac:dyDescent="0.2">
      <c r="A75" s="68"/>
      <c r="B75" s="101" t="s">
        <v>30</v>
      </c>
      <c r="C75" s="101" t="s">
        <v>14</v>
      </c>
      <c r="D75" s="101" t="str">
        <f t="shared" si="4"/>
        <v>4F</v>
      </c>
      <c r="E75" s="267" t="s">
        <v>161</v>
      </c>
      <c r="F75" s="267" t="s">
        <v>108</v>
      </c>
      <c r="G75" s="267" t="s">
        <v>120</v>
      </c>
      <c r="H75" s="268">
        <v>0</v>
      </c>
      <c r="I75" s="269" t="str">
        <f t="shared" si="5"/>
        <v>EUR4F20Y_Quote</v>
      </c>
      <c r="J75" s="270" t="str">
        <f>_xll.qlSwapRateHelper2(,$I75,$C75,Calendar,$E75,$F75,$G75,$J$4,$H75,B75,Discounting,Permanent,,ObjectOverwrite)</f>
        <v>obj_00857#0000</v>
      </c>
      <c r="K75" s="271" t="str">
        <f>_xll.ohRangeRetrieveError(J75)</f>
        <v/>
      </c>
      <c r="L75" s="124"/>
      <c r="N75" s="275"/>
    </row>
    <row r="76" spans="1:14" x14ac:dyDescent="0.2">
      <c r="A76" s="68"/>
      <c r="B76" s="101" t="s">
        <v>30</v>
      </c>
      <c r="C76" s="101" t="s">
        <v>9</v>
      </c>
      <c r="D76" s="101" t="str">
        <f t="shared" si="4"/>
        <v>4F</v>
      </c>
      <c r="E76" s="267" t="s">
        <v>161</v>
      </c>
      <c r="F76" s="267" t="s">
        <v>108</v>
      </c>
      <c r="G76" s="267" t="s">
        <v>120</v>
      </c>
      <c r="H76" s="268">
        <v>0</v>
      </c>
      <c r="I76" s="269" t="str">
        <f t="shared" si="5"/>
        <v>EUR4F25Y_Quote</v>
      </c>
      <c r="J76" s="270" t="str">
        <f>_xll.qlSwapRateHelper2(,$I76,$C76,Calendar,$E76,$F76,$G76,$J$4,$H76,B76,Discounting,Permanent,,ObjectOverwrite)</f>
        <v>obj_0088d#0000</v>
      </c>
      <c r="K76" s="271" t="str">
        <f>_xll.ohRangeRetrieveError(J76)</f>
        <v/>
      </c>
      <c r="L76" s="124"/>
      <c r="N76" s="275"/>
    </row>
    <row r="77" spans="1:14" x14ac:dyDescent="0.2">
      <c r="A77" s="68"/>
      <c r="B77" s="272" t="s">
        <v>30</v>
      </c>
      <c r="C77" s="272" t="s">
        <v>4</v>
      </c>
      <c r="D77" s="272" t="str">
        <f t="shared" si="4"/>
        <v>4F</v>
      </c>
      <c r="E77" s="130" t="s">
        <v>161</v>
      </c>
      <c r="F77" s="130" t="s">
        <v>108</v>
      </c>
      <c r="G77" s="130" t="s">
        <v>120</v>
      </c>
      <c r="H77" s="273">
        <v>0</v>
      </c>
      <c r="I77" s="128" t="str">
        <f t="shared" si="5"/>
        <v>EUR4F30Y_Quote</v>
      </c>
      <c r="J77" s="157" t="str">
        <f>_xll.qlSwapRateHelper2(,$I77,$C77,Calendar,$E77,$F77,$G77,$J$4,$H77,B77,Discounting,Permanent,,ObjectOverwrite)</f>
        <v>obj_00886#0000</v>
      </c>
      <c r="K77" s="274" t="str">
        <f>_xll.ohRangeRetrieveError(J77)</f>
        <v/>
      </c>
      <c r="L77" s="124"/>
      <c r="N77" s="275"/>
    </row>
    <row r="78" spans="1:14" x14ac:dyDescent="0.2">
      <c r="A78" s="68"/>
      <c r="B78" s="106" t="s">
        <v>29</v>
      </c>
      <c r="C78" s="106" t="s">
        <v>36</v>
      </c>
      <c r="D78" s="106" t="str">
        <f>LEFT(B78,1)&amp;"F"</f>
        <v>5F</v>
      </c>
      <c r="E78" s="115" t="s">
        <v>161</v>
      </c>
      <c r="F78" s="115" t="s">
        <v>108</v>
      </c>
      <c r="G78" s="115" t="s">
        <v>120</v>
      </c>
      <c r="H78" s="263">
        <v>0</v>
      </c>
      <c r="I78" s="264" t="str">
        <f t="shared" si="5"/>
        <v>EUR5F1Y_Quote</v>
      </c>
      <c r="J78" s="265" t="str">
        <f>_xll.qlSwapRateHelper2(,$I78,$C78,Calendar,$E78,$F78,$G78,$J$4,$H78,B78,Discounting,Permanent,,ObjectOverwrite)</f>
        <v>obj_00783#0000</v>
      </c>
      <c r="K78" s="266" t="str">
        <f>_xll.ohRangeRetrieveError(J78)</f>
        <v/>
      </c>
      <c r="L78" s="124"/>
      <c r="N78" s="275"/>
    </row>
    <row r="79" spans="1:14" x14ac:dyDescent="0.2">
      <c r="A79" s="68"/>
      <c r="B79" s="101" t="s">
        <v>29</v>
      </c>
      <c r="C79" s="101" t="s">
        <v>32</v>
      </c>
      <c r="D79" s="101" t="str">
        <f t="shared" ref="D79:D95" si="6">LEFT(B79,1)&amp;"F"</f>
        <v>5F</v>
      </c>
      <c r="E79" s="267" t="s">
        <v>161</v>
      </c>
      <c r="F79" s="267" t="s">
        <v>108</v>
      </c>
      <c r="G79" s="267" t="s">
        <v>120</v>
      </c>
      <c r="H79" s="268">
        <v>0</v>
      </c>
      <c r="I79" s="269" t="str">
        <f t="shared" si="5"/>
        <v>EUR5F2Y_Quote</v>
      </c>
      <c r="J79" s="270" t="str">
        <f>_xll.qlSwapRateHelper2(,$I79,$C79,Calendar,$E79,$F79,$G79,$J$4,$H79,B79,Discounting,Permanent,,ObjectOverwrite)</f>
        <v>obj_0088c#0000</v>
      </c>
      <c r="K79" s="271" t="str">
        <f>_xll.ohRangeRetrieveError(J79)</f>
        <v/>
      </c>
      <c r="L79" s="124"/>
      <c r="N79" s="275"/>
    </row>
    <row r="80" spans="1:14" x14ac:dyDescent="0.2">
      <c r="A80" s="68"/>
      <c r="B80" s="101" t="s">
        <v>29</v>
      </c>
      <c r="C80" s="101" t="s">
        <v>31</v>
      </c>
      <c r="D80" s="101" t="str">
        <f t="shared" si="6"/>
        <v>5F</v>
      </c>
      <c r="E80" s="267" t="s">
        <v>161</v>
      </c>
      <c r="F80" s="267" t="s">
        <v>108</v>
      </c>
      <c r="G80" s="267" t="s">
        <v>120</v>
      </c>
      <c r="H80" s="268">
        <v>0</v>
      </c>
      <c r="I80" s="269" t="str">
        <f t="shared" si="5"/>
        <v>EUR5F3Y_Quote</v>
      </c>
      <c r="J80" s="270" t="str">
        <f>_xll.qlSwapRateHelper2(,$I80,$C80,Calendar,$E80,$F80,$G80,$J$4,$H80,B80,Discounting,Permanent,,ObjectOverwrite)</f>
        <v>obj_00888#0000</v>
      </c>
      <c r="K80" s="271" t="str">
        <f>_xll.ohRangeRetrieveError(J80)</f>
        <v/>
      </c>
      <c r="L80" s="124"/>
      <c r="N80" s="275"/>
    </row>
    <row r="81" spans="1:14" x14ac:dyDescent="0.2">
      <c r="A81" s="68"/>
      <c r="B81" s="101" t="s">
        <v>29</v>
      </c>
      <c r="C81" s="101" t="s">
        <v>30</v>
      </c>
      <c r="D81" s="101" t="str">
        <f t="shared" si="6"/>
        <v>5F</v>
      </c>
      <c r="E81" s="267" t="s">
        <v>161</v>
      </c>
      <c r="F81" s="267" t="s">
        <v>108</v>
      </c>
      <c r="G81" s="267" t="s">
        <v>120</v>
      </c>
      <c r="H81" s="268">
        <v>0</v>
      </c>
      <c r="I81" s="269" t="str">
        <f t="shared" si="5"/>
        <v>EUR5F4Y_Quote</v>
      </c>
      <c r="J81" s="270" t="str">
        <f>_xll.qlSwapRateHelper2(,$I81,$C81,Calendar,$E81,$F81,$G81,$J$4,$H81,B81,Discounting,Permanent,,ObjectOverwrite)</f>
        <v>obj_0084f#0000</v>
      </c>
      <c r="K81" s="271" t="str">
        <f>_xll.ohRangeRetrieveError(J81)</f>
        <v/>
      </c>
      <c r="L81" s="124"/>
      <c r="N81" s="275"/>
    </row>
    <row r="82" spans="1:14" x14ac:dyDescent="0.2">
      <c r="A82" s="68"/>
      <c r="B82" s="101" t="s">
        <v>29</v>
      </c>
      <c r="C82" s="101" t="s">
        <v>29</v>
      </c>
      <c r="D82" s="101" t="str">
        <f t="shared" si="6"/>
        <v>5F</v>
      </c>
      <c r="E82" s="267" t="s">
        <v>161</v>
      </c>
      <c r="F82" s="267" t="s">
        <v>108</v>
      </c>
      <c r="G82" s="267" t="s">
        <v>120</v>
      </c>
      <c r="H82" s="268">
        <v>0</v>
      </c>
      <c r="I82" s="269" t="str">
        <f t="shared" si="5"/>
        <v>EUR5F5Y_Quote</v>
      </c>
      <c r="J82" s="270" t="str">
        <f>_xll.qlSwapRateHelper2(,$I82,$C82,Calendar,$E82,$F82,$G82,$J$4,$H82,B82,Discounting,Permanent,,ObjectOverwrite)</f>
        <v>obj_00790#0000</v>
      </c>
      <c r="K82" s="271" t="str">
        <f>_xll.ohRangeRetrieveError(J82)</f>
        <v/>
      </c>
      <c r="L82" s="124"/>
      <c r="N82" s="275"/>
    </row>
    <row r="83" spans="1:14" x14ac:dyDescent="0.2">
      <c r="A83" s="68"/>
      <c r="B83" s="101" t="s">
        <v>29</v>
      </c>
      <c r="C83" s="101" t="s">
        <v>28</v>
      </c>
      <c r="D83" s="101" t="str">
        <f t="shared" si="6"/>
        <v>5F</v>
      </c>
      <c r="E83" s="267" t="s">
        <v>161</v>
      </c>
      <c r="F83" s="267" t="s">
        <v>108</v>
      </c>
      <c r="G83" s="267" t="s">
        <v>120</v>
      </c>
      <c r="H83" s="268">
        <v>0</v>
      </c>
      <c r="I83" s="269" t="str">
        <f t="shared" si="5"/>
        <v>EUR5F6Y_Quote</v>
      </c>
      <c r="J83" s="270" t="str">
        <f>_xll.qlSwapRateHelper2(,$I83,$C83,Calendar,$E83,$F83,$G83,$J$4,$H83,B83,Discounting,Permanent,,ObjectOverwrite)</f>
        <v>obj_0083b#0000</v>
      </c>
      <c r="K83" s="271" t="str">
        <f>_xll.ohRangeRetrieveError(J83)</f>
        <v/>
      </c>
      <c r="L83" s="124"/>
      <c r="N83" s="275"/>
    </row>
    <row r="84" spans="1:14" x14ac:dyDescent="0.2">
      <c r="A84" s="68"/>
      <c r="B84" s="101" t="s">
        <v>29</v>
      </c>
      <c r="C84" s="101" t="s">
        <v>27</v>
      </c>
      <c r="D84" s="101" t="str">
        <f t="shared" si="6"/>
        <v>5F</v>
      </c>
      <c r="E84" s="267" t="s">
        <v>161</v>
      </c>
      <c r="F84" s="267" t="s">
        <v>108</v>
      </c>
      <c r="G84" s="267" t="s">
        <v>120</v>
      </c>
      <c r="H84" s="268">
        <v>0</v>
      </c>
      <c r="I84" s="269" t="str">
        <f t="shared" si="5"/>
        <v>EUR5F7Y_Quote</v>
      </c>
      <c r="J84" s="270" t="str">
        <f>_xll.qlSwapRateHelper2(,$I84,$C84,Calendar,$E84,$F84,$G84,$J$4,$H84,B84,Discounting,Permanent,,ObjectOverwrite)</f>
        <v>obj_00771#0000</v>
      </c>
      <c r="K84" s="271" t="str">
        <f>_xll.ohRangeRetrieveError(J84)</f>
        <v/>
      </c>
      <c r="L84" s="124"/>
      <c r="N84" s="275"/>
    </row>
    <row r="85" spans="1:14" x14ac:dyDescent="0.2">
      <c r="A85" s="68"/>
      <c r="B85" s="101" t="s">
        <v>29</v>
      </c>
      <c r="C85" s="101" t="s">
        <v>26</v>
      </c>
      <c r="D85" s="101" t="str">
        <f t="shared" si="6"/>
        <v>5F</v>
      </c>
      <c r="E85" s="267" t="s">
        <v>161</v>
      </c>
      <c r="F85" s="267" t="s">
        <v>108</v>
      </c>
      <c r="G85" s="267" t="s">
        <v>120</v>
      </c>
      <c r="H85" s="268">
        <v>0</v>
      </c>
      <c r="I85" s="269" t="str">
        <f t="shared" si="5"/>
        <v>EUR5F8Y_Quote</v>
      </c>
      <c r="J85" s="270" t="str">
        <f>_xll.qlSwapRateHelper2(,$I85,$C85,Calendar,$E85,$F85,$G85,$J$4,$H85,B85,Discounting,Permanent,,ObjectOverwrite)</f>
        <v>obj_0080a#0000</v>
      </c>
      <c r="K85" s="271" t="str">
        <f>_xll.ohRangeRetrieveError(J85)</f>
        <v/>
      </c>
      <c r="L85" s="124"/>
      <c r="N85" s="275"/>
    </row>
    <row r="86" spans="1:14" x14ac:dyDescent="0.2">
      <c r="A86" s="68"/>
      <c r="B86" s="101" t="s">
        <v>29</v>
      </c>
      <c r="C86" s="101" t="s">
        <v>25</v>
      </c>
      <c r="D86" s="101" t="str">
        <f t="shared" si="6"/>
        <v>5F</v>
      </c>
      <c r="E86" s="267" t="s">
        <v>161</v>
      </c>
      <c r="F86" s="267" t="s">
        <v>108</v>
      </c>
      <c r="G86" s="267" t="s">
        <v>120</v>
      </c>
      <c r="H86" s="268">
        <v>0</v>
      </c>
      <c r="I86" s="269" t="str">
        <f t="shared" si="5"/>
        <v>EUR5F9Y_Quote</v>
      </c>
      <c r="J86" s="270" t="str">
        <f>_xll.qlSwapRateHelper2(,$I86,$C86,Calendar,$E86,$F86,$G86,$J$4,$H86,B86,Discounting,Permanent,,ObjectOverwrite)</f>
        <v>obj_00835#0000</v>
      </c>
      <c r="K86" s="271" t="str">
        <f>_xll.ohRangeRetrieveError(J86)</f>
        <v/>
      </c>
      <c r="L86" s="124"/>
      <c r="N86" s="275"/>
    </row>
    <row r="87" spans="1:14" x14ac:dyDescent="0.2">
      <c r="A87" s="68"/>
      <c r="B87" s="101" t="s">
        <v>29</v>
      </c>
      <c r="C87" s="101" t="s">
        <v>24</v>
      </c>
      <c r="D87" s="101" t="str">
        <f t="shared" si="6"/>
        <v>5F</v>
      </c>
      <c r="E87" s="267" t="s">
        <v>161</v>
      </c>
      <c r="F87" s="267" t="s">
        <v>108</v>
      </c>
      <c r="G87" s="267" t="s">
        <v>120</v>
      </c>
      <c r="H87" s="268">
        <v>0</v>
      </c>
      <c r="I87" s="269" t="str">
        <f t="shared" si="5"/>
        <v>EUR5F10Y_Quote</v>
      </c>
      <c r="J87" s="270" t="str">
        <f>_xll.qlSwapRateHelper2(,$I87,$C87,Calendar,$E87,$F87,$G87,$J$4,$H87,B87,Discounting,Permanent,,ObjectOverwrite)</f>
        <v>obj_007e0#0000</v>
      </c>
      <c r="K87" s="271" t="str">
        <f>_xll.ohRangeRetrieveError(J87)</f>
        <v/>
      </c>
      <c r="L87" s="124"/>
      <c r="N87" s="275"/>
    </row>
    <row r="88" spans="1:14" x14ac:dyDescent="0.2">
      <c r="A88" s="68"/>
      <c r="B88" s="101" t="s">
        <v>29</v>
      </c>
      <c r="C88" s="101" t="s">
        <v>23</v>
      </c>
      <c r="D88" s="101" t="str">
        <f t="shared" si="6"/>
        <v>5F</v>
      </c>
      <c r="E88" s="267" t="s">
        <v>161</v>
      </c>
      <c r="F88" s="267" t="s">
        <v>108</v>
      </c>
      <c r="G88" s="267" t="s">
        <v>120</v>
      </c>
      <c r="H88" s="268">
        <v>0</v>
      </c>
      <c r="I88" s="269" t="str">
        <f t="shared" si="5"/>
        <v>EUR5F11Y_Quote</v>
      </c>
      <c r="J88" s="270" t="str">
        <f>_xll.qlSwapRateHelper2(,$I88,$C88,Calendar,$E88,$F88,$G88,$J$4,$H88,B88,Discounting,Permanent,,ObjectOverwrite)</f>
        <v>obj_0078d#0000</v>
      </c>
      <c r="K88" s="271" t="str">
        <f>_xll.ohRangeRetrieveError(J88)</f>
        <v/>
      </c>
      <c r="L88" s="124"/>
      <c r="N88" s="275"/>
    </row>
    <row r="89" spans="1:14" x14ac:dyDescent="0.2">
      <c r="A89" s="68"/>
      <c r="B89" s="101" t="s">
        <v>29</v>
      </c>
      <c r="C89" s="101" t="s">
        <v>22</v>
      </c>
      <c r="D89" s="101" t="str">
        <f t="shared" si="6"/>
        <v>5F</v>
      </c>
      <c r="E89" s="267" t="s">
        <v>161</v>
      </c>
      <c r="F89" s="267" t="s">
        <v>108</v>
      </c>
      <c r="G89" s="267" t="s">
        <v>120</v>
      </c>
      <c r="H89" s="268">
        <v>0</v>
      </c>
      <c r="I89" s="269" t="str">
        <f t="shared" si="5"/>
        <v>EUR5F12Y_Quote</v>
      </c>
      <c r="J89" s="270" t="str">
        <f>_xll.qlSwapRateHelper2(,$I89,$C89,Calendar,$E89,$F89,$G89,$J$4,$H89,B89,Discounting,Permanent,,ObjectOverwrite)</f>
        <v>obj_0083d#0000</v>
      </c>
      <c r="K89" s="271" t="str">
        <f>_xll.ohRangeRetrieveError(J89)</f>
        <v/>
      </c>
      <c r="L89" s="124"/>
      <c r="N89" s="275"/>
    </row>
    <row r="90" spans="1:14" x14ac:dyDescent="0.2">
      <c r="A90" s="68"/>
      <c r="B90" s="101" t="s">
        <v>29</v>
      </c>
      <c r="C90" s="101" t="s">
        <v>21</v>
      </c>
      <c r="D90" s="101" t="str">
        <f t="shared" si="6"/>
        <v>5F</v>
      </c>
      <c r="E90" s="267" t="s">
        <v>161</v>
      </c>
      <c r="F90" s="267" t="s">
        <v>108</v>
      </c>
      <c r="G90" s="267" t="s">
        <v>120</v>
      </c>
      <c r="H90" s="268">
        <v>0</v>
      </c>
      <c r="I90" s="269" t="str">
        <f t="shared" si="5"/>
        <v>EUR5F13Y_Quote</v>
      </c>
      <c r="J90" s="270" t="str">
        <f>_xll.qlSwapRateHelper2(,$I90,$C90,Calendar,$E90,$F90,$G90,$J$4,$H90,B90,Discounting,Permanent,,ObjectOverwrite)</f>
        <v>obj_007b2#0000</v>
      </c>
      <c r="K90" s="271" t="str">
        <f>_xll.ohRangeRetrieveError(J90)</f>
        <v/>
      </c>
      <c r="L90" s="124"/>
      <c r="N90" s="275"/>
    </row>
    <row r="91" spans="1:14" x14ac:dyDescent="0.2">
      <c r="A91" s="68"/>
      <c r="B91" s="101" t="s">
        <v>29</v>
      </c>
      <c r="C91" s="101" t="s">
        <v>20</v>
      </c>
      <c r="D91" s="101" t="str">
        <f t="shared" si="6"/>
        <v>5F</v>
      </c>
      <c r="E91" s="267" t="s">
        <v>161</v>
      </c>
      <c r="F91" s="267" t="s">
        <v>108</v>
      </c>
      <c r="G91" s="267" t="s">
        <v>120</v>
      </c>
      <c r="H91" s="268">
        <v>0</v>
      </c>
      <c r="I91" s="269" t="str">
        <f t="shared" si="5"/>
        <v>EUR5F14Y_Quote</v>
      </c>
      <c r="J91" s="270" t="str">
        <f>_xll.qlSwapRateHelper2(,$I91,$C91,Calendar,$E91,$F91,$G91,$J$4,$H91,B91,Discounting,Permanent,,ObjectOverwrite)</f>
        <v>obj_007e7#0000</v>
      </c>
      <c r="K91" s="271" t="str">
        <f>_xll.ohRangeRetrieveError(J91)</f>
        <v/>
      </c>
      <c r="L91" s="124"/>
      <c r="N91" s="275"/>
    </row>
    <row r="92" spans="1:14" x14ac:dyDescent="0.2">
      <c r="A92" s="68"/>
      <c r="B92" s="101" t="s">
        <v>29</v>
      </c>
      <c r="C92" s="101" t="s">
        <v>19</v>
      </c>
      <c r="D92" s="101" t="str">
        <f t="shared" si="6"/>
        <v>5F</v>
      </c>
      <c r="E92" s="267" t="s">
        <v>161</v>
      </c>
      <c r="F92" s="267" t="s">
        <v>108</v>
      </c>
      <c r="G92" s="267" t="s">
        <v>120</v>
      </c>
      <c r="H92" s="268">
        <v>0</v>
      </c>
      <c r="I92" s="269" t="str">
        <f t="shared" si="5"/>
        <v>EUR5F15Y_Quote</v>
      </c>
      <c r="J92" s="270" t="str">
        <f>_xll.qlSwapRateHelper2(,$I92,$C92,Calendar,$E92,$F92,$G92,$J$4,$H92,B92,Discounting,Permanent,,ObjectOverwrite)</f>
        <v>obj_007bf#0000</v>
      </c>
      <c r="K92" s="271" t="str">
        <f>_xll.ohRangeRetrieveError(J92)</f>
        <v/>
      </c>
      <c r="L92" s="124"/>
      <c r="N92" s="275"/>
    </row>
    <row r="93" spans="1:14" x14ac:dyDescent="0.2">
      <c r="A93" s="68"/>
      <c r="B93" s="101" t="s">
        <v>29</v>
      </c>
      <c r="C93" s="101" t="s">
        <v>14</v>
      </c>
      <c r="D93" s="101" t="str">
        <f t="shared" si="6"/>
        <v>5F</v>
      </c>
      <c r="E93" s="267" t="s">
        <v>161</v>
      </c>
      <c r="F93" s="267" t="s">
        <v>108</v>
      </c>
      <c r="G93" s="267" t="s">
        <v>120</v>
      </c>
      <c r="H93" s="268">
        <v>0</v>
      </c>
      <c r="I93" s="269" t="str">
        <f t="shared" si="5"/>
        <v>EUR5F20Y_Quote</v>
      </c>
      <c r="J93" s="270" t="str">
        <f>_xll.qlSwapRateHelper2(,$I93,$C93,Calendar,$E93,$F93,$G93,$J$4,$H93,B93,Discounting,Permanent,,ObjectOverwrite)</f>
        <v>obj_007b6#0000</v>
      </c>
      <c r="K93" s="271" t="str">
        <f>_xll.ohRangeRetrieveError(J93)</f>
        <v/>
      </c>
      <c r="L93" s="124"/>
      <c r="N93" s="275"/>
    </row>
    <row r="94" spans="1:14" x14ac:dyDescent="0.2">
      <c r="A94" s="68"/>
      <c r="B94" s="101" t="s">
        <v>29</v>
      </c>
      <c r="C94" s="101" t="s">
        <v>9</v>
      </c>
      <c r="D94" s="101" t="str">
        <f t="shared" si="6"/>
        <v>5F</v>
      </c>
      <c r="E94" s="267" t="s">
        <v>161</v>
      </c>
      <c r="F94" s="267" t="s">
        <v>108</v>
      </c>
      <c r="G94" s="267" t="s">
        <v>120</v>
      </c>
      <c r="H94" s="268">
        <v>0</v>
      </c>
      <c r="I94" s="269" t="str">
        <f t="shared" si="5"/>
        <v>EUR5F25Y_Quote</v>
      </c>
      <c r="J94" s="270" t="str">
        <f>_xll.qlSwapRateHelper2(,$I94,$C94,Calendar,$E94,$F94,$G94,$J$4,$H94,B94,Discounting,Permanent,,ObjectOverwrite)</f>
        <v>obj_0077f#0000</v>
      </c>
      <c r="K94" s="271" t="str">
        <f>_xll.ohRangeRetrieveError(J94)</f>
        <v/>
      </c>
      <c r="L94" s="124"/>
      <c r="N94" s="275"/>
    </row>
    <row r="95" spans="1:14" x14ac:dyDescent="0.2">
      <c r="A95" s="68"/>
      <c r="B95" s="272" t="s">
        <v>29</v>
      </c>
      <c r="C95" s="272" t="s">
        <v>4</v>
      </c>
      <c r="D95" s="272" t="str">
        <f t="shared" si="6"/>
        <v>5F</v>
      </c>
      <c r="E95" s="130" t="s">
        <v>161</v>
      </c>
      <c r="F95" s="130" t="s">
        <v>108</v>
      </c>
      <c r="G95" s="130" t="s">
        <v>120</v>
      </c>
      <c r="H95" s="273">
        <v>0</v>
      </c>
      <c r="I95" s="128" t="str">
        <f t="shared" si="5"/>
        <v>EUR5F30Y_Quote</v>
      </c>
      <c r="J95" s="157" t="str">
        <f>_xll.qlSwapRateHelper2(,$I95,$C95,Calendar,$E95,$F95,$G95,$J$4,$H95,B95,Discounting,Permanent,,ObjectOverwrite)</f>
        <v>obj_0078b#0000</v>
      </c>
      <c r="K95" s="274" t="str">
        <f>_xll.ohRangeRetrieveError(J95)</f>
        <v/>
      </c>
      <c r="L95" s="124"/>
      <c r="N95" s="275"/>
    </row>
    <row r="96" spans="1:14" x14ac:dyDescent="0.2">
      <c r="A96" s="68"/>
      <c r="B96" s="106" t="s">
        <v>28</v>
      </c>
      <c r="C96" s="106" t="s">
        <v>36</v>
      </c>
      <c r="D96" s="106" t="str">
        <f>LEFT(B96,1)&amp;"F"</f>
        <v>6F</v>
      </c>
      <c r="E96" s="115" t="s">
        <v>161</v>
      </c>
      <c r="F96" s="115" t="s">
        <v>108</v>
      </c>
      <c r="G96" s="115" t="s">
        <v>120</v>
      </c>
      <c r="H96" s="263">
        <v>0</v>
      </c>
      <c r="I96" s="264" t="str">
        <f t="shared" si="5"/>
        <v>EUR6F1Y_Quote</v>
      </c>
      <c r="J96" s="265" t="str">
        <f>_xll.qlSwapRateHelper2(,$I96,$C96,Calendar,$E96,$F96,$G96,$J$4,$H96,B96,Discounting,Permanent,,ObjectOverwrite)</f>
        <v>obj_0087e#0000</v>
      </c>
      <c r="K96" s="266" t="str">
        <f>_xll.ohRangeRetrieveError(J96)</f>
        <v/>
      </c>
      <c r="L96" s="124"/>
      <c r="N96" s="275"/>
    </row>
    <row r="97" spans="1:14" x14ac:dyDescent="0.2">
      <c r="A97" s="68"/>
      <c r="B97" s="101" t="s">
        <v>28</v>
      </c>
      <c r="C97" s="101" t="s">
        <v>32</v>
      </c>
      <c r="D97" s="101" t="str">
        <f t="shared" ref="D97:D113" si="7">LEFT(B97,1)&amp;"F"</f>
        <v>6F</v>
      </c>
      <c r="E97" s="267" t="s">
        <v>161</v>
      </c>
      <c r="F97" s="267" t="s">
        <v>108</v>
      </c>
      <c r="G97" s="267" t="s">
        <v>120</v>
      </c>
      <c r="H97" s="268">
        <v>0</v>
      </c>
      <c r="I97" s="269" t="str">
        <f t="shared" si="5"/>
        <v>EUR6F2Y_Quote</v>
      </c>
      <c r="J97" s="270" t="str">
        <f>_xll.qlSwapRateHelper2(,$I97,$C97,Calendar,$E97,$F97,$G97,$J$4,$H97,B97,Discounting,Permanent,,ObjectOverwrite)</f>
        <v>obj_00854#0000</v>
      </c>
      <c r="K97" s="271" t="str">
        <f>_xll.ohRangeRetrieveError(J97)</f>
        <v/>
      </c>
      <c r="L97" s="124"/>
      <c r="N97" s="275"/>
    </row>
    <row r="98" spans="1:14" x14ac:dyDescent="0.2">
      <c r="A98" s="68"/>
      <c r="B98" s="101" t="s">
        <v>28</v>
      </c>
      <c r="C98" s="101" t="s">
        <v>31</v>
      </c>
      <c r="D98" s="101" t="str">
        <f t="shared" si="7"/>
        <v>6F</v>
      </c>
      <c r="E98" s="267" t="s">
        <v>161</v>
      </c>
      <c r="F98" s="267" t="s">
        <v>108</v>
      </c>
      <c r="G98" s="267" t="s">
        <v>120</v>
      </c>
      <c r="H98" s="268">
        <v>0</v>
      </c>
      <c r="I98" s="269" t="str">
        <f t="shared" si="5"/>
        <v>EUR6F3Y_Quote</v>
      </c>
      <c r="J98" s="270" t="str">
        <f>_xll.qlSwapRateHelper2(,$I98,$C98,Calendar,$E98,$F98,$G98,$J$4,$H98,B98,Discounting,Permanent,,ObjectOverwrite)</f>
        <v>obj_00820#0000</v>
      </c>
      <c r="K98" s="271" t="str">
        <f>_xll.ohRangeRetrieveError(J98)</f>
        <v/>
      </c>
      <c r="L98" s="124"/>
      <c r="N98" s="275"/>
    </row>
    <row r="99" spans="1:14" x14ac:dyDescent="0.2">
      <c r="A99" s="68"/>
      <c r="B99" s="101" t="s">
        <v>28</v>
      </c>
      <c r="C99" s="101" t="s">
        <v>30</v>
      </c>
      <c r="D99" s="101" t="str">
        <f t="shared" si="7"/>
        <v>6F</v>
      </c>
      <c r="E99" s="267" t="s">
        <v>161</v>
      </c>
      <c r="F99" s="267" t="s">
        <v>108</v>
      </c>
      <c r="G99" s="267" t="s">
        <v>120</v>
      </c>
      <c r="H99" s="268">
        <v>0</v>
      </c>
      <c r="I99" s="269" t="str">
        <f t="shared" si="5"/>
        <v>EUR6F4Y_Quote</v>
      </c>
      <c r="J99" s="270" t="str">
        <f>_xll.qlSwapRateHelper2(,$I99,$C99,Calendar,$E99,$F99,$G99,$J$4,$H99,B99,Discounting,Permanent,,ObjectOverwrite)</f>
        <v>obj_0078e#0000</v>
      </c>
      <c r="K99" s="271" t="str">
        <f>_xll.ohRangeRetrieveError(J99)</f>
        <v/>
      </c>
      <c r="L99" s="124"/>
      <c r="N99" s="275"/>
    </row>
    <row r="100" spans="1:14" x14ac:dyDescent="0.2">
      <c r="A100" s="68"/>
      <c r="B100" s="101" t="s">
        <v>28</v>
      </c>
      <c r="C100" s="101" t="s">
        <v>29</v>
      </c>
      <c r="D100" s="101" t="str">
        <f t="shared" si="7"/>
        <v>6F</v>
      </c>
      <c r="E100" s="267" t="s">
        <v>161</v>
      </c>
      <c r="F100" s="267" t="s">
        <v>108</v>
      </c>
      <c r="G100" s="267" t="s">
        <v>120</v>
      </c>
      <c r="H100" s="268">
        <v>0</v>
      </c>
      <c r="I100" s="269" t="str">
        <f t="shared" si="5"/>
        <v>EUR6F5Y_Quote</v>
      </c>
      <c r="J100" s="270" t="str">
        <f>_xll.qlSwapRateHelper2(,$I100,$C100,Calendar,$E100,$F100,$G100,$J$4,$H100,B100,Discounting,Permanent,,ObjectOverwrite)</f>
        <v>obj_007a3#0000</v>
      </c>
      <c r="K100" s="271" t="str">
        <f>_xll.ohRangeRetrieveError(J100)</f>
        <v/>
      </c>
      <c r="L100" s="124"/>
      <c r="N100" s="275"/>
    </row>
    <row r="101" spans="1:14" x14ac:dyDescent="0.2">
      <c r="A101" s="68"/>
      <c r="B101" s="101" t="s">
        <v>28</v>
      </c>
      <c r="C101" s="101" t="s">
        <v>28</v>
      </c>
      <c r="D101" s="101" t="str">
        <f t="shared" si="7"/>
        <v>6F</v>
      </c>
      <c r="E101" s="267" t="s">
        <v>161</v>
      </c>
      <c r="F101" s="267" t="s">
        <v>108</v>
      </c>
      <c r="G101" s="267" t="s">
        <v>120</v>
      </c>
      <c r="H101" s="268">
        <v>0</v>
      </c>
      <c r="I101" s="269" t="str">
        <f t="shared" si="5"/>
        <v>EUR6F6Y_Quote</v>
      </c>
      <c r="J101" s="270" t="str">
        <f>_xll.qlSwapRateHelper2(,$I101,$C101,Calendar,$E101,$F101,$G101,$J$4,$H101,B101,Discounting,Permanent,,ObjectOverwrite)</f>
        <v>obj_007cb#0000</v>
      </c>
      <c r="K101" s="271" t="str">
        <f>_xll.ohRangeRetrieveError(J101)</f>
        <v/>
      </c>
      <c r="L101" s="124"/>
      <c r="N101" s="275"/>
    </row>
    <row r="102" spans="1:14" x14ac:dyDescent="0.2">
      <c r="A102" s="68"/>
      <c r="B102" s="101" t="s">
        <v>28</v>
      </c>
      <c r="C102" s="101" t="s">
        <v>27</v>
      </c>
      <c r="D102" s="101" t="str">
        <f t="shared" si="7"/>
        <v>6F</v>
      </c>
      <c r="E102" s="267" t="s">
        <v>161</v>
      </c>
      <c r="F102" s="267" t="s">
        <v>108</v>
      </c>
      <c r="G102" s="267" t="s">
        <v>120</v>
      </c>
      <c r="H102" s="268">
        <v>0</v>
      </c>
      <c r="I102" s="269" t="str">
        <f t="shared" si="5"/>
        <v>EUR6F7Y_Quote</v>
      </c>
      <c r="J102" s="270" t="str">
        <f>_xll.qlSwapRateHelper2(,$I102,$C102,Calendar,$E102,$F102,$G102,$J$4,$H102,B102,Discounting,Permanent,,ObjectOverwrite)</f>
        <v>obj_0086b#0000</v>
      </c>
      <c r="K102" s="271" t="str">
        <f>_xll.ohRangeRetrieveError(J102)</f>
        <v/>
      </c>
      <c r="L102" s="124"/>
      <c r="N102" s="275"/>
    </row>
    <row r="103" spans="1:14" x14ac:dyDescent="0.2">
      <c r="A103" s="68"/>
      <c r="B103" s="101" t="s">
        <v>28</v>
      </c>
      <c r="C103" s="101" t="s">
        <v>26</v>
      </c>
      <c r="D103" s="101" t="str">
        <f t="shared" si="7"/>
        <v>6F</v>
      </c>
      <c r="E103" s="267" t="s">
        <v>161</v>
      </c>
      <c r="F103" s="267" t="s">
        <v>108</v>
      </c>
      <c r="G103" s="267" t="s">
        <v>120</v>
      </c>
      <c r="H103" s="268">
        <v>0</v>
      </c>
      <c r="I103" s="269" t="str">
        <f t="shared" si="5"/>
        <v>EUR6F8Y_Quote</v>
      </c>
      <c r="J103" s="270" t="str">
        <f>_xll.qlSwapRateHelper2(,$I103,$C103,Calendar,$E103,$F103,$G103,$J$4,$H103,B103,Discounting,Permanent,,ObjectOverwrite)</f>
        <v>obj_0081a#0000</v>
      </c>
      <c r="K103" s="271" t="str">
        <f>_xll.ohRangeRetrieveError(J103)</f>
        <v/>
      </c>
      <c r="L103" s="124"/>
      <c r="N103" s="275"/>
    </row>
    <row r="104" spans="1:14" x14ac:dyDescent="0.2">
      <c r="A104" s="68"/>
      <c r="B104" s="101" t="s">
        <v>28</v>
      </c>
      <c r="C104" s="101" t="s">
        <v>25</v>
      </c>
      <c r="D104" s="101" t="str">
        <f t="shared" si="7"/>
        <v>6F</v>
      </c>
      <c r="E104" s="267" t="s">
        <v>161</v>
      </c>
      <c r="F104" s="267" t="s">
        <v>108</v>
      </c>
      <c r="G104" s="267" t="s">
        <v>120</v>
      </c>
      <c r="H104" s="268">
        <v>0</v>
      </c>
      <c r="I104" s="269" t="str">
        <f t="shared" si="5"/>
        <v>EUR6F9Y_Quote</v>
      </c>
      <c r="J104" s="270" t="str">
        <f>_xll.qlSwapRateHelper2(,$I104,$C104,Calendar,$E104,$F104,$G104,$J$4,$H104,B104,Discounting,Permanent,,ObjectOverwrite)</f>
        <v>obj_0080f#0000</v>
      </c>
      <c r="K104" s="271" t="str">
        <f>_xll.ohRangeRetrieveError(J104)</f>
        <v/>
      </c>
      <c r="L104" s="124"/>
      <c r="N104" s="275"/>
    </row>
    <row r="105" spans="1:14" x14ac:dyDescent="0.2">
      <c r="A105" s="68"/>
      <c r="B105" s="101" t="s">
        <v>28</v>
      </c>
      <c r="C105" s="101" t="s">
        <v>24</v>
      </c>
      <c r="D105" s="101" t="str">
        <f t="shared" si="7"/>
        <v>6F</v>
      </c>
      <c r="E105" s="267" t="s">
        <v>161</v>
      </c>
      <c r="F105" s="267" t="s">
        <v>108</v>
      </c>
      <c r="G105" s="267" t="s">
        <v>120</v>
      </c>
      <c r="H105" s="268">
        <v>0</v>
      </c>
      <c r="I105" s="269" t="str">
        <f t="shared" si="5"/>
        <v>EUR6F10Y_Quote</v>
      </c>
      <c r="J105" s="270" t="str">
        <f>_xll.qlSwapRateHelper2(,$I105,$C105,Calendar,$E105,$F105,$G105,$J$4,$H105,B105,Discounting,Permanent,,ObjectOverwrite)</f>
        <v>obj_007cd#0000</v>
      </c>
      <c r="K105" s="271" t="str">
        <f>_xll.ohRangeRetrieveError(J105)</f>
        <v/>
      </c>
      <c r="L105" s="124"/>
      <c r="N105" s="275"/>
    </row>
    <row r="106" spans="1:14" x14ac:dyDescent="0.2">
      <c r="A106" s="68"/>
      <c r="B106" s="101" t="s">
        <v>28</v>
      </c>
      <c r="C106" s="101" t="s">
        <v>23</v>
      </c>
      <c r="D106" s="101" t="str">
        <f t="shared" si="7"/>
        <v>6F</v>
      </c>
      <c r="E106" s="267" t="s">
        <v>161</v>
      </c>
      <c r="F106" s="267" t="s">
        <v>108</v>
      </c>
      <c r="G106" s="267" t="s">
        <v>120</v>
      </c>
      <c r="H106" s="268">
        <v>0</v>
      </c>
      <c r="I106" s="269" t="str">
        <f t="shared" si="5"/>
        <v>EUR6F11Y_Quote</v>
      </c>
      <c r="J106" s="270" t="str">
        <f>_xll.qlSwapRateHelper2(,$I106,$C106,Calendar,$E106,$F106,$G106,$J$4,$H106,B106,Discounting,Permanent,,ObjectOverwrite)</f>
        <v>obj_007ea#0000</v>
      </c>
      <c r="K106" s="271" t="str">
        <f>_xll.ohRangeRetrieveError(J106)</f>
        <v/>
      </c>
      <c r="L106" s="124"/>
      <c r="N106" s="275"/>
    </row>
    <row r="107" spans="1:14" x14ac:dyDescent="0.2">
      <c r="A107" s="68"/>
      <c r="B107" s="101" t="s">
        <v>28</v>
      </c>
      <c r="C107" s="101" t="s">
        <v>22</v>
      </c>
      <c r="D107" s="101" t="str">
        <f t="shared" si="7"/>
        <v>6F</v>
      </c>
      <c r="E107" s="267" t="s">
        <v>161</v>
      </c>
      <c r="F107" s="267" t="s">
        <v>108</v>
      </c>
      <c r="G107" s="267" t="s">
        <v>120</v>
      </c>
      <c r="H107" s="268">
        <v>0</v>
      </c>
      <c r="I107" s="269" t="str">
        <f t="shared" si="5"/>
        <v>EUR6F12Y_Quote</v>
      </c>
      <c r="J107" s="270" t="str">
        <f>_xll.qlSwapRateHelper2(,$I107,$C107,Calendar,$E107,$F107,$G107,$J$4,$H107,B107,Discounting,Permanent,,ObjectOverwrite)</f>
        <v>obj_0082c#0000</v>
      </c>
      <c r="K107" s="271" t="str">
        <f>_xll.ohRangeRetrieveError(J107)</f>
        <v/>
      </c>
      <c r="L107" s="124"/>
      <c r="N107" s="275"/>
    </row>
    <row r="108" spans="1:14" x14ac:dyDescent="0.2">
      <c r="A108" s="68"/>
      <c r="B108" s="101" t="s">
        <v>28</v>
      </c>
      <c r="C108" s="101" t="s">
        <v>21</v>
      </c>
      <c r="D108" s="101" t="str">
        <f t="shared" si="7"/>
        <v>6F</v>
      </c>
      <c r="E108" s="267" t="s">
        <v>161</v>
      </c>
      <c r="F108" s="267" t="s">
        <v>108</v>
      </c>
      <c r="G108" s="267" t="s">
        <v>120</v>
      </c>
      <c r="H108" s="268">
        <v>0</v>
      </c>
      <c r="I108" s="269" t="str">
        <f t="shared" si="5"/>
        <v>EUR6F13Y_Quote</v>
      </c>
      <c r="J108" s="270" t="str">
        <f>_xll.qlSwapRateHelper2(,$I108,$C108,Calendar,$E108,$F108,$G108,$J$4,$H108,B108,Discounting,Permanent,,ObjectOverwrite)</f>
        <v>obj_0086f#0000</v>
      </c>
      <c r="K108" s="271" t="str">
        <f>_xll.ohRangeRetrieveError(J108)</f>
        <v/>
      </c>
      <c r="L108" s="124"/>
      <c r="N108" s="275"/>
    </row>
    <row r="109" spans="1:14" x14ac:dyDescent="0.2">
      <c r="A109" s="68"/>
      <c r="B109" s="101" t="s">
        <v>28</v>
      </c>
      <c r="C109" s="101" t="s">
        <v>20</v>
      </c>
      <c r="D109" s="101" t="str">
        <f t="shared" si="7"/>
        <v>6F</v>
      </c>
      <c r="E109" s="267" t="s">
        <v>161</v>
      </c>
      <c r="F109" s="267" t="s">
        <v>108</v>
      </c>
      <c r="G109" s="267" t="s">
        <v>120</v>
      </c>
      <c r="H109" s="268">
        <v>0</v>
      </c>
      <c r="I109" s="269" t="str">
        <f t="shared" si="5"/>
        <v>EUR6F14Y_Quote</v>
      </c>
      <c r="J109" s="270" t="str">
        <f>_xll.qlSwapRateHelper2(,$I109,$C109,Calendar,$E109,$F109,$G109,$J$4,$H109,B109,Discounting,Permanent,,ObjectOverwrite)</f>
        <v>obj_00848#0000</v>
      </c>
      <c r="K109" s="271" t="str">
        <f>_xll.ohRangeRetrieveError(J109)</f>
        <v/>
      </c>
      <c r="L109" s="124"/>
      <c r="N109" s="275"/>
    </row>
    <row r="110" spans="1:14" x14ac:dyDescent="0.2">
      <c r="A110" s="68"/>
      <c r="B110" s="101" t="s">
        <v>28</v>
      </c>
      <c r="C110" s="101" t="s">
        <v>19</v>
      </c>
      <c r="D110" s="101" t="str">
        <f t="shared" si="7"/>
        <v>6F</v>
      </c>
      <c r="E110" s="267" t="s">
        <v>161</v>
      </c>
      <c r="F110" s="267" t="s">
        <v>108</v>
      </c>
      <c r="G110" s="267" t="s">
        <v>120</v>
      </c>
      <c r="H110" s="268">
        <v>0</v>
      </c>
      <c r="I110" s="269" t="str">
        <f t="shared" si="5"/>
        <v>EUR6F15Y_Quote</v>
      </c>
      <c r="J110" s="270" t="str">
        <f>_xll.qlSwapRateHelper2(,$I110,$C110,Calendar,$E110,$F110,$G110,$J$4,$H110,B110,Discounting,Permanent,,ObjectOverwrite)</f>
        <v>obj_00865#0000</v>
      </c>
      <c r="K110" s="271" t="str">
        <f>_xll.ohRangeRetrieveError(J110)</f>
        <v/>
      </c>
      <c r="L110" s="124"/>
      <c r="N110" s="275"/>
    </row>
    <row r="111" spans="1:14" x14ac:dyDescent="0.2">
      <c r="A111" s="68"/>
      <c r="B111" s="101" t="s">
        <v>28</v>
      </c>
      <c r="C111" s="101" t="s">
        <v>14</v>
      </c>
      <c r="D111" s="101" t="str">
        <f t="shared" si="7"/>
        <v>6F</v>
      </c>
      <c r="E111" s="267" t="s">
        <v>161</v>
      </c>
      <c r="F111" s="267" t="s">
        <v>108</v>
      </c>
      <c r="G111" s="267" t="s">
        <v>120</v>
      </c>
      <c r="H111" s="268">
        <v>0</v>
      </c>
      <c r="I111" s="269" t="str">
        <f t="shared" si="5"/>
        <v>EUR6F20Y_Quote</v>
      </c>
      <c r="J111" s="270" t="str">
        <f>_xll.qlSwapRateHelper2(,$I111,$C111,Calendar,$E111,$F111,$G111,$J$4,$H111,B111,Discounting,Permanent,,ObjectOverwrite)</f>
        <v>obj_0088f#0000</v>
      </c>
      <c r="K111" s="271" t="str">
        <f>_xll.ohRangeRetrieveError(J111)</f>
        <v/>
      </c>
      <c r="L111" s="124"/>
      <c r="N111" s="275"/>
    </row>
    <row r="112" spans="1:14" x14ac:dyDescent="0.2">
      <c r="A112" s="68"/>
      <c r="B112" s="101" t="s">
        <v>28</v>
      </c>
      <c r="C112" s="101" t="s">
        <v>9</v>
      </c>
      <c r="D112" s="101" t="str">
        <f t="shared" si="7"/>
        <v>6F</v>
      </c>
      <c r="E112" s="267" t="s">
        <v>161</v>
      </c>
      <c r="F112" s="267" t="s">
        <v>108</v>
      </c>
      <c r="G112" s="267" t="s">
        <v>120</v>
      </c>
      <c r="H112" s="268">
        <v>0</v>
      </c>
      <c r="I112" s="269" t="str">
        <f t="shared" si="5"/>
        <v>EUR6F25Y_Quote</v>
      </c>
      <c r="J112" s="270" t="str">
        <f>_xll.qlSwapRateHelper2(,$I112,$C112,Calendar,$E112,$F112,$G112,$J$4,$H112,B112,Discounting,Permanent,,ObjectOverwrite)</f>
        <v>obj_00767#0000</v>
      </c>
      <c r="K112" s="271" t="str">
        <f>_xll.ohRangeRetrieveError(J112)</f>
        <v/>
      </c>
      <c r="L112" s="124"/>
      <c r="N112" s="275"/>
    </row>
    <row r="113" spans="1:14" x14ac:dyDescent="0.2">
      <c r="A113" s="68"/>
      <c r="B113" s="272" t="s">
        <v>28</v>
      </c>
      <c r="C113" s="272" t="s">
        <v>4</v>
      </c>
      <c r="D113" s="272" t="str">
        <f t="shared" si="7"/>
        <v>6F</v>
      </c>
      <c r="E113" s="130" t="s">
        <v>161</v>
      </c>
      <c r="F113" s="130" t="s">
        <v>108</v>
      </c>
      <c r="G113" s="130" t="s">
        <v>120</v>
      </c>
      <c r="H113" s="273">
        <v>0</v>
      </c>
      <c r="I113" s="128" t="str">
        <f t="shared" si="5"/>
        <v>EUR6F30Y_Quote</v>
      </c>
      <c r="J113" s="157" t="str">
        <f>_xll.qlSwapRateHelper2(,$I113,$C113,Calendar,$E113,$F113,$G113,$J$4,$H113,B113,Discounting,Permanent,,ObjectOverwrite)</f>
        <v>obj_00882#0000</v>
      </c>
      <c r="K113" s="274" t="str">
        <f>_xll.ohRangeRetrieveError(J113)</f>
        <v/>
      </c>
      <c r="L113" s="124"/>
      <c r="N113" s="275"/>
    </row>
    <row r="114" spans="1:14" x14ac:dyDescent="0.2">
      <c r="A114" s="68"/>
      <c r="B114" s="106" t="s">
        <v>27</v>
      </c>
      <c r="C114" s="106" t="s">
        <v>36</v>
      </c>
      <c r="D114" s="106" t="str">
        <f>LEFT(B114,1)&amp;"F"</f>
        <v>7F</v>
      </c>
      <c r="E114" s="115" t="s">
        <v>161</v>
      </c>
      <c r="F114" s="115" t="s">
        <v>108</v>
      </c>
      <c r="G114" s="115" t="s">
        <v>120</v>
      </c>
      <c r="H114" s="263">
        <v>0</v>
      </c>
      <c r="I114" s="264" t="str">
        <f t="shared" si="5"/>
        <v>EUR7F1Y_Quote</v>
      </c>
      <c r="J114" s="265" t="str">
        <f>_xll.qlSwapRateHelper2(,$I114,$C114,Calendar,$E114,$F114,$G114,$J$4,$H114,B114,Discounting,Permanent,,ObjectOverwrite)</f>
        <v>obj_007bb#0000</v>
      </c>
      <c r="K114" s="266" t="str">
        <f>_xll.ohRangeRetrieveError(J114)</f>
        <v/>
      </c>
      <c r="L114" s="124"/>
      <c r="N114" s="275"/>
    </row>
    <row r="115" spans="1:14" x14ac:dyDescent="0.2">
      <c r="A115" s="68"/>
      <c r="B115" s="101" t="s">
        <v>27</v>
      </c>
      <c r="C115" s="101" t="s">
        <v>32</v>
      </c>
      <c r="D115" s="101" t="str">
        <f t="shared" ref="D115:D131" si="8">LEFT(B115,1)&amp;"F"</f>
        <v>7F</v>
      </c>
      <c r="E115" s="267" t="s">
        <v>161</v>
      </c>
      <c r="F115" s="267" t="s">
        <v>108</v>
      </c>
      <c r="G115" s="267" t="s">
        <v>120</v>
      </c>
      <c r="H115" s="268">
        <v>0</v>
      </c>
      <c r="I115" s="269" t="str">
        <f t="shared" si="5"/>
        <v>EUR7F2Y_Quote</v>
      </c>
      <c r="J115" s="270" t="str">
        <f>_xll.qlSwapRateHelper2(,$I115,$C115,Calendar,$E115,$F115,$G115,$J$4,$H115,B115,Discounting,Permanent,,ObjectOverwrite)</f>
        <v>obj_0083a#0000</v>
      </c>
      <c r="K115" s="271" t="str">
        <f>_xll.ohRangeRetrieveError(J115)</f>
        <v/>
      </c>
      <c r="L115" s="124"/>
      <c r="N115" s="275"/>
    </row>
    <row r="116" spans="1:14" x14ac:dyDescent="0.2">
      <c r="A116" s="68"/>
      <c r="B116" s="101" t="s">
        <v>27</v>
      </c>
      <c r="C116" s="101" t="s">
        <v>31</v>
      </c>
      <c r="D116" s="101" t="str">
        <f t="shared" si="8"/>
        <v>7F</v>
      </c>
      <c r="E116" s="267" t="s">
        <v>161</v>
      </c>
      <c r="F116" s="267" t="s">
        <v>108</v>
      </c>
      <c r="G116" s="267" t="s">
        <v>120</v>
      </c>
      <c r="H116" s="268">
        <v>0</v>
      </c>
      <c r="I116" s="269" t="str">
        <f t="shared" si="5"/>
        <v>EUR7F3Y_Quote</v>
      </c>
      <c r="J116" s="270" t="str">
        <f>_xll.qlSwapRateHelper2(,$I116,$C116,Calendar,$E116,$F116,$G116,$J$4,$H116,B116,Discounting,Permanent,,ObjectOverwrite)</f>
        <v>obj_007c8#0000</v>
      </c>
      <c r="K116" s="271" t="str">
        <f>_xll.ohRangeRetrieveError(J116)</f>
        <v/>
      </c>
      <c r="L116" s="124"/>
      <c r="N116" s="275"/>
    </row>
    <row r="117" spans="1:14" x14ac:dyDescent="0.2">
      <c r="A117" s="68"/>
      <c r="B117" s="101" t="s">
        <v>27</v>
      </c>
      <c r="C117" s="101" t="s">
        <v>30</v>
      </c>
      <c r="D117" s="101" t="str">
        <f t="shared" si="8"/>
        <v>7F</v>
      </c>
      <c r="E117" s="267" t="s">
        <v>161</v>
      </c>
      <c r="F117" s="267" t="s">
        <v>108</v>
      </c>
      <c r="G117" s="267" t="s">
        <v>120</v>
      </c>
      <c r="H117" s="268">
        <v>0</v>
      </c>
      <c r="I117" s="269" t="str">
        <f t="shared" si="5"/>
        <v>EUR7F4Y_Quote</v>
      </c>
      <c r="J117" s="270" t="str">
        <f>_xll.qlSwapRateHelper2(,$I117,$C117,Calendar,$E117,$F117,$G117,$J$4,$H117,B117,Discounting,Permanent,,ObjectOverwrite)</f>
        <v>obj_0077c#0000</v>
      </c>
      <c r="K117" s="271" t="str">
        <f>_xll.ohRangeRetrieveError(J117)</f>
        <v/>
      </c>
      <c r="L117" s="124"/>
      <c r="N117" s="275"/>
    </row>
    <row r="118" spans="1:14" x14ac:dyDescent="0.2">
      <c r="A118" s="68"/>
      <c r="B118" s="101" t="s">
        <v>27</v>
      </c>
      <c r="C118" s="101" t="s">
        <v>29</v>
      </c>
      <c r="D118" s="101" t="str">
        <f t="shared" si="8"/>
        <v>7F</v>
      </c>
      <c r="E118" s="267" t="s">
        <v>161</v>
      </c>
      <c r="F118" s="267" t="s">
        <v>108</v>
      </c>
      <c r="G118" s="267" t="s">
        <v>120</v>
      </c>
      <c r="H118" s="268">
        <v>0</v>
      </c>
      <c r="I118" s="269" t="str">
        <f t="shared" si="5"/>
        <v>EUR7F5Y_Quote</v>
      </c>
      <c r="J118" s="270" t="str">
        <f>_xll.qlSwapRateHelper2(,$I118,$C118,Calendar,$E118,$F118,$G118,$J$4,$H118,B118,Discounting,Permanent,,ObjectOverwrite)</f>
        <v>obj_00824#0000</v>
      </c>
      <c r="K118" s="271" t="str">
        <f>_xll.ohRangeRetrieveError(J118)</f>
        <v/>
      </c>
      <c r="L118" s="124"/>
      <c r="N118" s="275"/>
    </row>
    <row r="119" spans="1:14" x14ac:dyDescent="0.2">
      <c r="A119" s="68"/>
      <c r="B119" s="101" t="s">
        <v>27</v>
      </c>
      <c r="C119" s="101" t="s">
        <v>28</v>
      </c>
      <c r="D119" s="101" t="str">
        <f t="shared" si="8"/>
        <v>7F</v>
      </c>
      <c r="E119" s="267" t="s">
        <v>161</v>
      </c>
      <c r="F119" s="267" t="s">
        <v>108</v>
      </c>
      <c r="G119" s="267" t="s">
        <v>120</v>
      </c>
      <c r="H119" s="268">
        <v>0</v>
      </c>
      <c r="I119" s="269" t="str">
        <f t="shared" si="5"/>
        <v>EUR7F6Y_Quote</v>
      </c>
      <c r="J119" s="270" t="str">
        <f>_xll.qlSwapRateHelper2(,$I119,$C119,Calendar,$E119,$F119,$G119,$J$4,$H119,B119,Discounting,Permanent,,ObjectOverwrite)</f>
        <v>obj_0086a#0000</v>
      </c>
      <c r="K119" s="271" t="str">
        <f>_xll.ohRangeRetrieveError(J119)</f>
        <v/>
      </c>
      <c r="L119" s="124"/>
      <c r="N119" s="275"/>
    </row>
    <row r="120" spans="1:14" x14ac:dyDescent="0.2">
      <c r="A120" s="68"/>
      <c r="B120" s="101" t="s">
        <v>27</v>
      </c>
      <c r="C120" s="101" t="s">
        <v>27</v>
      </c>
      <c r="D120" s="101" t="str">
        <f t="shared" si="8"/>
        <v>7F</v>
      </c>
      <c r="E120" s="267" t="s">
        <v>161</v>
      </c>
      <c r="F120" s="267" t="s">
        <v>108</v>
      </c>
      <c r="G120" s="267" t="s">
        <v>120</v>
      </c>
      <c r="H120" s="268">
        <v>0</v>
      </c>
      <c r="I120" s="269" t="str">
        <f t="shared" si="5"/>
        <v>EUR7F7Y_Quote</v>
      </c>
      <c r="J120" s="270" t="str">
        <f>_xll.qlSwapRateHelper2(,$I120,$C120,Calendar,$E120,$F120,$G120,$J$4,$H120,B120,Discounting,Permanent,,ObjectOverwrite)</f>
        <v>obj_00846#0000</v>
      </c>
      <c r="K120" s="271" t="str">
        <f>_xll.ohRangeRetrieveError(J120)</f>
        <v/>
      </c>
      <c r="L120" s="124"/>
      <c r="N120" s="275"/>
    </row>
    <row r="121" spans="1:14" x14ac:dyDescent="0.2">
      <c r="A121" s="68"/>
      <c r="B121" s="101" t="s">
        <v>27</v>
      </c>
      <c r="C121" s="101" t="s">
        <v>26</v>
      </c>
      <c r="D121" s="101" t="str">
        <f t="shared" si="8"/>
        <v>7F</v>
      </c>
      <c r="E121" s="267" t="s">
        <v>161</v>
      </c>
      <c r="F121" s="267" t="s">
        <v>108</v>
      </c>
      <c r="G121" s="267" t="s">
        <v>120</v>
      </c>
      <c r="H121" s="268">
        <v>0</v>
      </c>
      <c r="I121" s="269" t="str">
        <f t="shared" si="5"/>
        <v>EUR7F8Y_Quote</v>
      </c>
      <c r="J121" s="270" t="str">
        <f>_xll.qlSwapRateHelper2(,$I121,$C121,Calendar,$E121,$F121,$G121,$J$4,$H121,B121,Discounting,Permanent,,ObjectOverwrite)</f>
        <v>obj_007ba#0000</v>
      </c>
      <c r="K121" s="271" t="str">
        <f>_xll.ohRangeRetrieveError(J121)</f>
        <v/>
      </c>
      <c r="L121" s="124"/>
      <c r="N121" s="275"/>
    </row>
    <row r="122" spans="1:14" x14ac:dyDescent="0.2">
      <c r="A122" s="68"/>
      <c r="B122" s="101" t="s">
        <v>27</v>
      </c>
      <c r="C122" s="101" t="s">
        <v>25</v>
      </c>
      <c r="D122" s="101" t="str">
        <f t="shared" si="8"/>
        <v>7F</v>
      </c>
      <c r="E122" s="267" t="s">
        <v>161</v>
      </c>
      <c r="F122" s="267" t="s">
        <v>108</v>
      </c>
      <c r="G122" s="267" t="s">
        <v>120</v>
      </c>
      <c r="H122" s="268">
        <v>0</v>
      </c>
      <c r="I122" s="269" t="str">
        <f t="shared" si="5"/>
        <v>EUR7F9Y_Quote</v>
      </c>
      <c r="J122" s="270" t="str">
        <f>_xll.qlSwapRateHelper2(,$I122,$C122,Calendar,$E122,$F122,$G122,$J$4,$H122,B122,Discounting,Permanent,,ObjectOverwrite)</f>
        <v>obj_00873#0000</v>
      </c>
      <c r="K122" s="271" t="str">
        <f>_xll.ohRangeRetrieveError(J122)</f>
        <v/>
      </c>
      <c r="L122" s="124"/>
      <c r="N122" s="275"/>
    </row>
    <row r="123" spans="1:14" x14ac:dyDescent="0.2">
      <c r="A123" s="68"/>
      <c r="B123" s="101" t="s">
        <v>27</v>
      </c>
      <c r="C123" s="101" t="s">
        <v>24</v>
      </c>
      <c r="D123" s="101" t="str">
        <f t="shared" si="8"/>
        <v>7F</v>
      </c>
      <c r="E123" s="267" t="s">
        <v>161</v>
      </c>
      <c r="F123" s="267" t="s">
        <v>108</v>
      </c>
      <c r="G123" s="267" t="s">
        <v>120</v>
      </c>
      <c r="H123" s="268">
        <v>0</v>
      </c>
      <c r="I123" s="269" t="str">
        <f t="shared" si="5"/>
        <v>EUR7F10Y_Quote</v>
      </c>
      <c r="J123" s="270" t="str">
        <f>_xll.qlSwapRateHelper2(,$I123,$C123,Calendar,$E123,$F123,$G123,$J$4,$H123,B123,Discounting,Permanent,,ObjectOverwrite)</f>
        <v>obj_0085c#0000</v>
      </c>
      <c r="K123" s="271" t="str">
        <f>_xll.ohRangeRetrieveError(J123)</f>
        <v/>
      </c>
      <c r="L123" s="124"/>
      <c r="N123" s="275"/>
    </row>
    <row r="124" spans="1:14" x14ac:dyDescent="0.2">
      <c r="A124" s="68"/>
      <c r="B124" s="101" t="s">
        <v>27</v>
      </c>
      <c r="C124" s="101" t="s">
        <v>23</v>
      </c>
      <c r="D124" s="101" t="str">
        <f t="shared" si="8"/>
        <v>7F</v>
      </c>
      <c r="E124" s="267" t="s">
        <v>161</v>
      </c>
      <c r="F124" s="267" t="s">
        <v>108</v>
      </c>
      <c r="G124" s="267" t="s">
        <v>120</v>
      </c>
      <c r="H124" s="268">
        <v>0</v>
      </c>
      <c r="I124" s="269" t="str">
        <f t="shared" si="5"/>
        <v>EUR7F11Y_Quote</v>
      </c>
      <c r="J124" s="270" t="str">
        <f>_xll.qlSwapRateHelper2(,$I124,$C124,Calendar,$E124,$F124,$G124,$J$4,$H124,B124,Discounting,Permanent,,ObjectOverwrite)</f>
        <v>obj_00869#0000</v>
      </c>
      <c r="K124" s="271" t="str">
        <f>_xll.ohRangeRetrieveError(J124)</f>
        <v/>
      </c>
      <c r="L124" s="124"/>
      <c r="N124" s="275"/>
    </row>
    <row r="125" spans="1:14" x14ac:dyDescent="0.2">
      <c r="A125" s="68"/>
      <c r="B125" s="101" t="s">
        <v>27</v>
      </c>
      <c r="C125" s="101" t="s">
        <v>22</v>
      </c>
      <c r="D125" s="101" t="str">
        <f t="shared" si="8"/>
        <v>7F</v>
      </c>
      <c r="E125" s="267" t="s">
        <v>161</v>
      </c>
      <c r="F125" s="267" t="s">
        <v>108</v>
      </c>
      <c r="G125" s="267" t="s">
        <v>120</v>
      </c>
      <c r="H125" s="268">
        <v>0</v>
      </c>
      <c r="I125" s="269" t="str">
        <f t="shared" si="5"/>
        <v>EUR7F12Y_Quote</v>
      </c>
      <c r="J125" s="270" t="str">
        <f>_xll.qlSwapRateHelper2(,$I125,$C125,Calendar,$E125,$F125,$G125,$J$4,$H125,B125,Discounting,Permanent,,ObjectOverwrite)</f>
        <v>obj_00877#0000</v>
      </c>
      <c r="K125" s="271" t="str">
        <f>_xll.ohRangeRetrieveError(J125)</f>
        <v/>
      </c>
      <c r="L125" s="124"/>
      <c r="N125" s="275"/>
    </row>
    <row r="126" spans="1:14" x14ac:dyDescent="0.2">
      <c r="A126" s="68"/>
      <c r="B126" s="101" t="s">
        <v>27</v>
      </c>
      <c r="C126" s="101" t="s">
        <v>21</v>
      </c>
      <c r="D126" s="101" t="str">
        <f t="shared" si="8"/>
        <v>7F</v>
      </c>
      <c r="E126" s="267" t="s">
        <v>161</v>
      </c>
      <c r="F126" s="267" t="s">
        <v>108</v>
      </c>
      <c r="G126" s="267" t="s">
        <v>120</v>
      </c>
      <c r="H126" s="268">
        <v>0</v>
      </c>
      <c r="I126" s="269" t="str">
        <f t="shared" si="5"/>
        <v>EUR7F13Y_Quote</v>
      </c>
      <c r="J126" s="270" t="str">
        <f>_xll.qlSwapRateHelper2(,$I126,$C126,Calendar,$E126,$F126,$G126,$J$4,$H126,B126,Discounting,Permanent,,ObjectOverwrite)</f>
        <v>obj_007a5#0000</v>
      </c>
      <c r="K126" s="271" t="str">
        <f>_xll.ohRangeRetrieveError(J126)</f>
        <v/>
      </c>
      <c r="L126" s="124"/>
      <c r="N126" s="275"/>
    </row>
    <row r="127" spans="1:14" x14ac:dyDescent="0.2">
      <c r="A127" s="68"/>
      <c r="B127" s="101" t="s">
        <v>27</v>
      </c>
      <c r="C127" s="101" t="s">
        <v>20</v>
      </c>
      <c r="D127" s="101" t="str">
        <f t="shared" si="8"/>
        <v>7F</v>
      </c>
      <c r="E127" s="267" t="s">
        <v>161</v>
      </c>
      <c r="F127" s="267" t="s">
        <v>108</v>
      </c>
      <c r="G127" s="267" t="s">
        <v>120</v>
      </c>
      <c r="H127" s="268">
        <v>0</v>
      </c>
      <c r="I127" s="269" t="str">
        <f t="shared" si="5"/>
        <v>EUR7F14Y_Quote</v>
      </c>
      <c r="J127" s="270" t="str">
        <f>_xll.qlSwapRateHelper2(,$I127,$C127,Calendar,$E127,$F127,$G127,$J$4,$H127,B127,Discounting,Permanent,,ObjectOverwrite)</f>
        <v>obj_00829#0000</v>
      </c>
      <c r="K127" s="271" t="str">
        <f>_xll.ohRangeRetrieveError(J127)</f>
        <v/>
      </c>
      <c r="L127" s="124"/>
      <c r="N127" s="275"/>
    </row>
    <row r="128" spans="1:14" x14ac:dyDescent="0.2">
      <c r="A128" s="68"/>
      <c r="B128" s="101" t="s">
        <v>27</v>
      </c>
      <c r="C128" s="101" t="s">
        <v>19</v>
      </c>
      <c r="D128" s="101" t="str">
        <f t="shared" si="8"/>
        <v>7F</v>
      </c>
      <c r="E128" s="267" t="s">
        <v>161</v>
      </c>
      <c r="F128" s="267" t="s">
        <v>108</v>
      </c>
      <c r="G128" s="267" t="s">
        <v>120</v>
      </c>
      <c r="H128" s="268">
        <v>0</v>
      </c>
      <c r="I128" s="269" t="str">
        <f t="shared" si="5"/>
        <v>EUR7F15Y_Quote</v>
      </c>
      <c r="J128" s="270" t="str">
        <f>_xll.qlSwapRateHelper2(,$I128,$C128,Calendar,$E128,$F128,$G128,$J$4,$H128,B128,Discounting,Permanent,,ObjectOverwrite)</f>
        <v>obj_00821#0000</v>
      </c>
      <c r="K128" s="271" t="str">
        <f>_xll.ohRangeRetrieveError(J128)</f>
        <v/>
      </c>
      <c r="L128" s="124"/>
      <c r="N128" s="275"/>
    </row>
    <row r="129" spans="1:14" x14ac:dyDescent="0.2">
      <c r="A129" s="68"/>
      <c r="B129" s="101" t="s">
        <v>27</v>
      </c>
      <c r="C129" s="101" t="s">
        <v>14</v>
      </c>
      <c r="D129" s="101" t="str">
        <f t="shared" si="8"/>
        <v>7F</v>
      </c>
      <c r="E129" s="267" t="s">
        <v>161</v>
      </c>
      <c r="F129" s="267" t="s">
        <v>108</v>
      </c>
      <c r="G129" s="267" t="s">
        <v>120</v>
      </c>
      <c r="H129" s="268">
        <v>0</v>
      </c>
      <c r="I129" s="269" t="str">
        <f t="shared" si="5"/>
        <v>EUR7F20Y_Quote</v>
      </c>
      <c r="J129" s="270" t="str">
        <f>_xll.qlSwapRateHelper2(,$I129,$C129,Calendar,$E129,$F129,$G129,$J$4,$H129,B129,Discounting,Permanent,,ObjectOverwrite)</f>
        <v>obj_007e6#0000</v>
      </c>
      <c r="K129" s="271" t="str">
        <f>_xll.ohRangeRetrieveError(J129)</f>
        <v/>
      </c>
      <c r="L129" s="124"/>
      <c r="N129" s="275"/>
    </row>
    <row r="130" spans="1:14" x14ac:dyDescent="0.2">
      <c r="A130" s="68"/>
      <c r="B130" s="101" t="s">
        <v>27</v>
      </c>
      <c r="C130" s="101" t="s">
        <v>9</v>
      </c>
      <c r="D130" s="101" t="str">
        <f t="shared" si="8"/>
        <v>7F</v>
      </c>
      <c r="E130" s="267" t="s">
        <v>161</v>
      </c>
      <c r="F130" s="267" t="s">
        <v>108</v>
      </c>
      <c r="G130" s="267" t="s">
        <v>120</v>
      </c>
      <c r="H130" s="268">
        <v>0</v>
      </c>
      <c r="I130" s="269" t="str">
        <f t="shared" si="5"/>
        <v>EUR7F25Y_Quote</v>
      </c>
      <c r="J130" s="270" t="str">
        <f>_xll.qlSwapRateHelper2(,$I130,$C130,Calendar,$E130,$F130,$G130,$J$4,$H130,B130,Discounting,Permanent,,ObjectOverwrite)</f>
        <v>obj_00779#0000</v>
      </c>
      <c r="K130" s="271" t="str">
        <f>_xll.ohRangeRetrieveError(J130)</f>
        <v/>
      </c>
      <c r="L130" s="124"/>
      <c r="N130" s="275"/>
    </row>
    <row r="131" spans="1:14" x14ac:dyDescent="0.2">
      <c r="A131" s="68"/>
      <c r="B131" s="272" t="s">
        <v>27</v>
      </c>
      <c r="C131" s="272" t="s">
        <v>4</v>
      </c>
      <c r="D131" s="272" t="str">
        <f t="shared" si="8"/>
        <v>7F</v>
      </c>
      <c r="E131" s="130" t="s">
        <v>161</v>
      </c>
      <c r="F131" s="130" t="s">
        <v>108</v>
      </c>
      <c r="G131" s="130" t="s">
        <v>120</v>
      </c>
      <c r="H131" s="273">
        <v>0</v>
      </c>
      <c r="I131" s="128" t="str">
        <f t="shared" si="5"/>
        <v>EUR7F30Y_Quote</v>
      </c>
      <c r="J131" s="157" t="str">
        <f>_xll.qlSwapRateHelper2(,$I131,$C131,Calendar,$E131,$F131,$G131,$J$4,$H131,B131,Discounting,Permanent,,ObjectOverwrite)</f>
        <v>obj_00792#0000</v>
      </c>
      <c r="K131" s="274" t="str">
        <f>_xll.ohRangeRetrieveError(J131)</f>
        <v/>
      </c>
      <c r="L131" s="124"/>
      <c r="N131" s="275"/>
    </row>
    <row r="132" spans="1:14" x14ac:dyDescent="0.2">
      <c r="A132" s="68"/>
      <c r="B132" s="106" t="s">
        <v>26</v>
      </c>
      <c r="C132" s="106" t="s">
        <v>36</v>
      </c>
      <c r="D132" s="106" t="str">
        <f>LEFT(B132,1)&amp;"F"</f>
        <v>8F</v>
      </c>
      <c r="E132" s="115" t="s">
        <v>161</v>
      </c>
      <c r="F132" s="115" t="s">
        <v>108</v>
      </c>
      <c r="G132" s="115" t="s">
        <v>120</v>
      </c>
      <c r="H132" s="263">
        <v>0</v>
      </c>
      <c r="I132" s="264" t="str">
        <f t="shared" si="5"/>
        <v>EUR8F1Y_Quote</v>
      </c>
      <c r="J132" s="265" t="str">
        <f>_xll.qlSwapRateHelper2(,$I132,$C132,Calendar,$E132,$F132,$G132,$J$4,$H132,B132,Discounting,Permanent,,ObjectOverwrite)</f>
        <v>obj_00893#0000</v>
      </c>
      <c r="K132" s="266" t="str">
        <f>_xll.ohRangeRetrieveError(J132)</f>
        <v/>
      </c>
      <c r="L132" s="124"/>
      <c r="N132" s="275"/>
    </row>
    <row r="133" spans="1:14" x14ac:dyDescent="0.2">
      <c r="A133" s="68"/>
      <c r="B133" s="101" t="s">
        <v>26</v>
      </c>
      <c r="C133" s="101" t="s">
        <v>32</v>
      </c>
      <c r="D133" s="101" t="str">
        <f t="shared" ref="D133:D149" si="9">LEFT(B133,1)&amp;"F"</f>
        <v>8F</v>
      </c>
      <c r="E133" s="267" t="s">
        <v>161</v>
      </c>
      <c r="F133" s="267" t="s">
        <v>108</v>
      </c>
      <c r="G133" s="267" t="s">
        <v>120</v>
      </c>
      <c r="H133" s="268">
        <v>0</v>
      </c>
      <c r="I133" s="269" t="str">
        <f t="shared" si="5"/>
        <v>EUR8F2Y_Quote</v>
      </c>
      <c r="J133" s="270" t="str">
        <f>_xll.qlSwapRateHelper2(,$I133,$C133,Calendar,$E133,$F133,$G133,$J$4,$H133,B133,Discounting,Permanent,,ObjectOverwrite)</f>
        <v>obj_0082f#0000</v>
      </c>
      <c r="K133" s="271" t="str">
        <f>_xll.ohRangeRetrieveError(J133)</f>
        <v/>
      </c>
      <c r="L133" s="124"/>
      <c r="N133" s="275"/>
    </row>
    <row r="134" spans="1:14" x14ac:dyDescent="0.2">
      <c r="A134" s="68"/>
      <c r="B134" s="101" t="s">
        <v>26</v>
      </c>
      <c r="C134" s="101" t="s">
        <v>31</v>
      </c>
      <c r="D134" s="101" t="str">
        <f t="shared" si="9"/>
        <v>8F</v>
      </c>
      <c r="E134" s="267" t="s">
        <v>161</v>
      </c>
      <c r="F134" s="267" t="s">
        <v>108</v>
      </c>
      <c r="G134" s="267" t="s">
        <v>120</v>
      </c>
      <c r="H134" s="268">
        <v>0</v>
      </c>
      <c r="I134" s="269" t="str">
        <f t="shared" ref="I134:I197" si="10">Currency&amp;$D134&amp;$C134&amp;QuoteSuffix</f>
        <v>EUR8F3Y_Quote</v>
      </c>
      <c r="J134" s="270" t="str">
        <f>_xll.qlSwapRateHelper2(,$I134,$C134,Calendar,$E134,$F134,$G134,$J$4,$H134,B134,Discounting,Permanent,,ObjectOverwrite)</f>
        <v>obj_007ca#0000</v>
      </c>
      <c r="K134" s="271" t="str">
        <f>_xll.ohRangeRetrieveError(J134)</f>
        <v/>
      </c>
      <c r="L134" s="124"/>
      <c r="N134" s="275"/>
    </row>
    <row r="135" spans="1:14" x14ac:dyDescent="0.2">
      <c r="A135" s="68"/>
      <c r="B135" s="101" t="s">
        <v>26</v>
      </c>
      <c r="C135" s="101" t="s">
        <v>30</v>
      </c>
      <c r="D135" s="101" t="str">
        <f t="shared" si="9"/>
        <v>8F</v>
      </c>
      <c r="E135" s="267" t="s">
        <v>161</v>
      </c>
      <c r="F135" s="267" t="s">
        <v>108</v>
      </c>
      <c r="G135" s="267" t="s">
        <v>120</v>
      </c>
      <c r="H135" s="268">
        <v>0</v>
      </c>
      <c r="I135" s="269" t="str">
        <f t="shared" si="10"/>
        <v>EUR8F4Y_Quote</v>
      </c>
      <c r="J135" s="270" t="str">
        <f>_xll.qlSwapRateHelper2(,$I135,$C135,Calendar,$E135,$F135,$G135,$J$4,$H135,B135,Discounting,Permanent,,ObjectOverwrite)</f>
        <v>obj_007f8#0000</v>
      </c>
      <c r="K135" s="271" t="str">
        <f>_xll.ohRangeRetrieveError(J135)</f>
        <v/>
      </c>
      <c r="L135" s="124"/>
      <c r="N135" s="275"/>
    </row>
    <row r="136" spans="1:14" x14ac:dyDescent="0.2">
      <c r="A136" s="68"/>
      <c r="B136" s="101" t="s">
        <v>26</v>
      </c>
      <c r="C136" s="101" t="s">
        <v>29</v>
      </c>
      <c r="D136" s="101" t="str">
        <f t="shared" si="9"/>
        <v>8F</v>
      </c>
      <c r="E136" s="267" t="s">
        <v>161</v>
      </c>
      <c r="F136" s="267" t="s">
        <v>108</v>
      </c>
      <c r="G136" s="267" t="s">
        <v>120</v>
      </c>
      <c r="H136" s="268">
        <v>0</v>
      </c>
      <c r="I136" s="269" t="str">
        <f t="shared" si="10"/>
        <v>EUR8F5Y_Quote</v>
      </c>
      <c r="J136" s="270" t="str">
        <f>_xll.qlSwapRateHelper2(,$I136,$C136,Calendar,$E136,$F136,$G136,$J$4,$H136,B136,Discounting,Permanent,,ObjectOverwrite)</f>
        <v>obj_00828#0000</v>
      </c>
      <c r="K136" s="271" t="str">
        <f>_xll.ohRangeRetrieveError(J136)</f>
        <v/>
      </c>
      <c r="L136" s="124"/>
      <c r="N136" s="275"/>
    </row>
    <row r="137" spans="1:14" x14ac:dyDescent="0.2">
      <c r="A137" s="68"/>
      <c r="B137" s="101" t="s">
        <v>26</v>
      </c>
      <c r="C137" s="101" t="s">
        <v>28</v>
      </c>
      <c r="D137" s="101" t="str">
        <f t="shared" si="9"/>
        <v>8F</v>
      </c>
      <c r="E137" s="267" t="s">
        <v>161</v>
      </c>
      <c r="F137" s="267" t="s">
        <v>108</v>
      </c>
      <c r="G137" s="267" t="s">
        <v>120</v>
      </c>
      <c r="H137" s="268">
        <v>0</v>
      </c>
      <c r="I137" s="269" t="str">
        <f t="shared" si="10"/>
        <v>EUR8F6Y_Quote</v>
      </c>
      <c r="J137" s="270" t="str">
        <f>_xll.qlSwapRateHelper2(,$I137,$C137,Calendar,$E137,$F137,$G137,$J$4,$H137,B137,Discounting,Permanent,,ObjectOverwrite)</f>
        <v>obj_007ad#0000</v>
      </c>
      <c r="K137" s="271" t="str">
        <f>_xll.ohRangeRetrieveError(J137)</f>
        <v/>
      </c>
      <c r="L137" s="124"/>
      <c r="N137" s="275"/>
    </row>
    <row r="138" spans="1:14" x14ac:dyDescent="0.2">
      <c r="A138" s="68"/>
      <c r="B138" s="101" t="s">
        <v>26</v>
      </c>
      <c r="C138" s="101" t="s">
        <v>27</v>
      </c>
      <c r="D138" s="101" t="str">
        <f t="shared" si="9"/>
        <v>8F</v>
      </c>
      <c r="E138" s="267" t="s">
        <v>161</v>
      </c>
      <c r="F138" s="267" t="s">
        <v>108</v>
      </c>
      <c r="G138" s="267" t="s">
        <v>120</v>
      </c>
      <c r="H138" s="268">
        <v>0</v>
      </c>
      <c r="I138" s="269" t="str">
        <f t="shared" si="10"/>
        <v>EUR8F7Y_Quote</v>
      </c>
      <c r="J138" s="270" t="str">
        <f>_xll.qlSwapRateHelper2(,$I138,$C138,Calendar,$E138,$F138,$G138,$J$4,$H138,B138,Discounting,Permanent,,ObjectOverwrite)</f>
        <v>obj_007ec#0000</v>
      </c>
      <c r="K138" s="271" t="str">
        <f>_xll.ohRangeRetrieveError(J138)</f>
        <v/>
      </c>
      <c r="L138" s="124"/>
      <c r="N138" s="275"/>
    </row>
    <row r="139" spans="1:14" x14ac:dyDescent="0.2">
      <c r="A139" s="68"/>
      <c r="B139" s="101" t="s">
        <v>26</v>
      </c>
      <c r="C139" s="101" t="s">
        <v>26</v>
      </c>
      <c r="D139" s="101" t="str">
        <f t="shared" si="9"/>
        <v>8F</v>
      </c>
      <c r="E139" s="267" t="s">
        <v>161</v>
      </c>
      <c r="F139" s="267" t="s">
        <v>108</v>
      </c>
      <c r="G139" s="267" t="s">
        <v>120</v>
      </c>
      <c r="H139" s="268">
        <v>0</v>
      </c>
      <c r="I139" s="269" t="str">
        <f t="shared" si="10"/>
        <v>EUR8F8Y_Quote</v>
      </c>
      <c r="J139" s="270" t="str">
        <f>_xll.qlSwapRateHelper2(,$I139,$C139,Calendar,$E139,$F139,$G139,$J$4,$H139,B139,Discounting,Permanent,,ObjectOverwrite)</f>
        <v>obj_007e8#0000</v>
      </c>
      <c r="K139" s="271" t="str">
        <f>_xll.ohRangeRetrieveError(J139)</f>
        <v/>
      </c>
      <c r="L139" s="124"/>
      <c r="N139" s="275"/>
    </row>
    <row r="140" spans="1:14" x14ac:dyDescent="0.2">
      <c r="A140" s="68"/>
      <c r="B140" s="101" t="s">
        <v>26</v>
      </c>
      <c r="C140" s="101" t="s">
        <v>25</v>
      </c>
      <c r="D140" s="101" t="str">
        <f t="shared" si="9"/>
        <v>8F</v>
      </c>
      <c r="E140" s="267" t="s">
        <v>161</v>
      </c>
      <c r="F140" s="267" t="s">
        <v>108</v>
      </c>
      <c r="G140" s="267" t="s">
        <v>120</v>
      </c>
      <c r="H140" s="268">
        <v>0</v>
      </c>
      <c r="I140" s="269" t="str">
        <f t="shared" si="10"/>
        <v>EUR8F9Y_Quote</v>
      </c>
      <c r="J140" s="270" t="str">
        <f>_xll.qlSwapRateHelper2(,$I140,$C140,Calendar,$E140,$F140,$G140,$J$4,$H140,B140,Discounting,Permanent,,ObjectOverwrite)</f>
        <v>obj_007f5#0000</v>
      </c>
      <c r="K140" s="271" t="str">
        <f>_xll.ohRangeRetrieveError(J140)</f>
        <v/>
      </c>
      <c r="L140" s="124"/>
      <c r="N140" s="275"/>
    </row>
    <row r="141" spans="1:14" x14ac:dyDescent="0.2">
      <c r="A141" s="68"/>
      <c r="B141" s="101" t="s">
        <v>26</v>
      </c>
      <c r="C141" s="101" t="s">
        <v>24</v>
      </c>
      <c r="D141" s="101" t="str">
        <f t="shared" si="9"/>
        <v>8F</v>
      </c>
      <c r="E141" s="267" t="s">
        <v>161</v>
      </c>
      <c r="F141" s="267" t="s">
        <v>108</v>
      </c>
      <c r="G141" s="267" t="s">
        <v>120</v>
      </c>
      <c r="H141" s="268">
        <v>0</v>
      </c>
      <c r="I141" s="269" t="str">
        <f t="shared" si="10"/>
        <v>EUR8F10Y_Quote</v>
      </c>
      <c r="J141" s="270" t="str">
        <f>_xll.qlSwapRateHelper2(,$I141,$C141,Calendar,$E141,$F141,$G141,$J$4,$H141,B141,Discounting,Permanent,,ObjectOverwrite)</f>
        <v>obj_00815#0000</v>
      </c>
      <c r="K141" s="271" t="str">
        <f>_xll.ohRangeRetrieveError(J141)</f>
        <v/>
      </c>
      <c r="L141" s="124"/>
      <c r="N141" s="275"/>
    </row>
    <row r="142" spans="1:14" x14ac:dyDescent="0.2">
      <c r="A142" s="68"/>
      <c r="B142" s="101" t="s">
        <v>26</v>
      </c>
      <c r="C142" s="101" t="s">
        <v>23</v>
      </c>
      <c r="D142" s="101" t="str">
        <f t="shared" si="9"/>
        <v>8F</v>
      </c>
      <c r="E142" s="267" t="s">
        <v>161</v>
      </c>
      <c r="F142" s="267" t="s">
        <v>108</v>
      </c>
      <c r="G142" s="267" t="s">
        <v>120</v>
      </c>
      <c r="H142" s="268">
        <v>0</v>
      </c>
      <c r="I142" s="269" t="str">
        <f t="shared" si="10"/>
        <v>EUR8F11Y_Quote</v>
      </c>
      <c r="J142" s="270" t="str">
        <f>_xll.qlSwapRateHelper2(,$I142,$C142,Calendar,$E142,$F142,$G142,$J$4,$H142,B142,Discounting,Permanent,,ObjectOverwrite)</f>
        <v>obj_00890#0000</v>
      </c>
      <c r="K142" s="271" t="str">
        <f>_xll.ohRangeRetrieveError(J142)</f>
        <v/>
      </c>
      <c r="L142" s="124"/>
      <c r="N142" s="275"/>
    </row>
    <row r="143" spans="1:14" x14ac:dyDescent="0.2">
      <c r="A143" s="68"/>
      <c r="B143" s="101" t="s">
        <v>26</v>
      </c>
      <c r="C143" s="101" t="s">
        <v>22</v>
      </c>
      <c r="D143" s="101" t="str">
        <f t="shared" si="9"/>
        <v>8F</v>
      </c>
      <c r="E143" s="267" t="s">
        <v>161</v>
      </c>
      <c r="F143" s="267" t="s">
        <v>108</v>
      </c>
      <c r="G143" s="267" t="s">
        <v>120</v>
      </c>
      <c r="H143" s="268">
        <v>0</v>
      </c>
      <c r="I143" s="269" t="str">
        <f t="shared" si="10"/>
        <v>EUR8F12Y_Quote</v>
      </c>
      <c r="J143" s="270" t="str">
        <f>_xll.qlSwapRateHelper2(,$I143,$C143,Calendar,$E143,$F143,$G143,$J$4,$H143,B143,Discounting,Permanent,,ObjectOverwrite)</f>
        <v>obj_00766#0000</v>
      </c>
      <c r="K143" s="271" t="str">
        <f>_xll.ohRangeRetrieveError(J143)</f>
        <v/>
      </c>
      <c r="L143" s="124"/>
      <c r="N143" s="275"/>
    </row>
    <row r="144" spans="1:14" x14ac:dyDescent="0.2">
      <c r="A144" s="68"/>
      <c r="B144" s="101" t="s">
        <v>26</v>
      </c>
      <c r="C144" s="101" t="s">
        <v>21</v>
      </c>
      <c r="D144" s="101" t="str">
        <f t="shared" si="9"/>
        <v>8F</v>
      </c>
      <c r="E144" s="267" t="s">
        <v>161</v>
      </c>
      <c r="F144" s="267" t="s">
        <v>108</v>
      </c>
      <c r="G144" s="267" t="s">
        <v>120</v>
      </c>
      <c r="H144" s="268">
        <v>0</v>
      </c>
      <c r="I144" s="269" t="str">
        <f t="shared" si="10"/>
        <v>EUR8F13Y_Quote</v>
      </c>
      <c r="J144" s="270" t="str">
        <f>_xll.qlSwapRateHelper2(,$I144,$C144,Calendar,$E144,$F144,$G144,$J$4,$H144,B144,Discounting,Permanent,,ObjectOverwrite)</f>
        <v>obj_007c5#0000</v>
      </c>
      <c r="K144" s="271" t="str">
        <f>_xll.ohRangeRetrieveError(J144)</f>
        <v/>
      </c>
      <c r="L144" s="124"/>
      <c r="N144" s="275"/>
    </row>
    <row r="145" spans="1:14" x14ac:dyDescent="0.2">
      <c r="A145" s="68"/>
      <c r="B145" s="101" t="s">
        <v>26</v>
      </c>
      <c r="C145" s="101" t="s">
        <v>20</v>
      </c>
      <c r="D145" s="101" t="str">
        <f t="shared" si="9"/>
        <v>8F</v>
      </c>
      <c r="E145" s="267" t="s">
        <v>161</v>
      </c>
      <c r="F145" s="267" t="s">
        <v>108</v>
      </c>
      <c r="G145" s="267" t="s">
        <v>120</v>
      </c>
      <c r="H145" s="268">
        <v>0</v>
      </c>
      <c r="I145" s="269" t="str">
        <f t="shared" si="10"/>
        <v>EUR8F14Y_Quote</v>
      </c>
      <c r="J145" s="270" t="str">
        <f>_xll.qlSwapRateHelper2(,$I145,$C145,Calendar,$E145,$F145,$G145,$J$4,$H145,B145,Discounting,Permanent,,ObjectOverwrite)</f>
        <v>obj_00804#0000</v>
      </c>
      <c r="K145" s="271" t="str">
        <f>_xll.ohRangeRetrieveError(J145)</f>
        <v/>
      </c>
      <c r="L145" s="124"/>
      <c r="N145" s="275"/>
    </row>
    <row r="146" spans="1:14" x14ac:dyDescent="0.2">
      <c r="A146" s="68"/>
      <c r="B146" s="101" t="s">
        <v>26</v>
      </c>
      <c r="C146" s="101" t="s">
        <v>19</v>
      </c>
      <c r="D146" s="101" t="str">
        <f t="shared" si="9"/>
        <v>8F</v>
      </c>
      <c r="E146" s="267" t="s">
        <v>161</v>
      </c>
      <c r="F146" s="267" t="s">
        <v>108</v>
      </c>
      <c r="G146" s="267" t="s">
        <v>120</v>
      </c>
      <c r="H146" s="268">
        <v>0</v>
      </c>
      <c r="I146" s="269" t="str">
        <f t="shared" si="10"/>
        <v>EUR8F15Y_Quote</v>
      </c>
      <c r="J146" s="270" t="str">
        <f>_xll.qlSwapRateHelper2(,$I146,$C146,Calendar,$E146,$F146,$G146,$J$4,$H146,B146,Discounting,Permanent,,ObjectOverwrite)</f>
        <v>obj_007c0#0000</v>
      </c>
      <c r="K146" s="271" t="str">
        <f>_xll.ohRangeRetrieveError(J146)</f>
        <v/>
      </c>
      <c r="L146" s="124"/>
      <c r="N146" s="275"/>
    </row>
    <row r="147" spans="1:14" x14ac:dyDescent="0.2">
      <c r="A147" s="68"/>
      <c r="B147" s="101" t="s">
        <v>26</v>
      </c>
      <c r="C147" s="101" t="s">
        <v>14</v>
      </c>
      <c r="D147" s="101" t="str">
        <f t="shared" si="9"/>
        <v>8F</v>
      </c>
      <c r="E147" s="267" t="s">
        <v>161</v>
      </c>
      <c r="F147" s="267" t="s">
        <v>108</v>
      </c>
      <c r="G147" s="267" t="s">
        <v>120</v>
      </c>
      <c r="H147" s="268">
        <v>0</v>
      </c>
      <c r="I147" s="269" t="str">
        <f t="shared" si="10"/>
        <v>EUR8F20Y_Quote</v>
      </c>
      <c r="J147" s="270" t="str">
        <f>_xll.qlSwapRateHelper2(,$I147,$C147,Calendar,$E147,$F147,$G147,$J$4,$H147,B147,Discounting,Permanent,,ObjectOverwrite)</f>
        <v>obj_00812#0000</v>
      </c>
      <c r="K147" s="271" t="str">
        <f>_xll.ohRangeRetrieveError(J147)</f>
        <v/>
      </c>
      <c r="L147" s="124"/>
      <c r="N147" s="275"/>
    </row>
    <row r="148" spans="1:14" x14ac:dyDescent="0.2">
      <c r="A148" s="68"/>
      <c r="B148" s="101" t="s">
        <v>26</v>
      </c>
      <c r="C148" s="101" t="s">
        <v>9</v>
      </c>
      <c r="D148" s="101" t="str">
        <f t="shared" si="9"/>
        <v>8F</v>
      </c>
      <c r="E148" s="267" t="s">
        <v>161</v>
      </c>
      <c r="F148" s="267" t="s">
        <v>108</v>
      </c>
      <c r="G148" s="267" t="s">
        <v>120</v>
      </c>
      <c r="H148" s="268">
        <v>0</v>
      </c>
      <c r="I148" s="269" t="str">
        <f t="shared" si="10"/>
        <v>EUR8F25Y_Quote</v>
      </c>
      <c r="J148" s="270" t="str">
        <f>_xll.qlSwapRateHelper2(,$I148,$C148,Calendar,$E148,$F148,$G148,$J$4,$H148,B148,Discounting,Permanent,,ObjectOverwrite)</f>
        <v>obj_0079e#0000</v>
      </c>
      <c r="K148" s="271" t="str">
        <f>_xll.ohRangeRetrieveError(J148)</f>
        <v/>
      </c>
      <c r="L148" s="124"/>
      <c r="N148" s="275"/>
    </row>
    <row r="149" spans="1:14" x14ac:dyDescent="0.2">
      <c r="A149" s="68"/>
      <c r="B149" s="272" t="s">
        <v>26</v>
      </c>
      <c r="C149" s="272" t="s">
        <v>4</v>
      </c>
      <c r="D149" s="272" t="str">
        <f t="shared" si="9"/>
        <v>8F</v>
      </c>
      <c r="E149" s="130" t="s">
        <v>161</v>
      </c>
      <c r="F149" s="130" t="s">
        <v>108</v>
      </c>
      <c r="G149" s="130" t="s">
        <v>120</v>
      </c>
      <c r="H149" s="273">
        <v>0</v>
      </c>
      <c r="I149" s="128" t="str">
        <f t="shared" si="10"/>
        <v>EUR8F30Y_Quote</v>
      </c>
      <c r="J149" s="157" t="str">
        <f>_xll.qlSwapRateHelper2(,$I149,$C149,Calendar,$E149,$F149,$G149,$J$4,$H149,B149,Discounting,Permanent,,ObjectOverwrite)</f>
        <v>obj_00816#0000</v>
      </c>
      <c r="K149" s="274" t="str">
        <f>_xll.ohRangeRetrieveError(J149)</f>
        <v/>
      </c>
      <c r="L149" s="124"/>
      <c r="N149" s="275"/>
    </row>
    <row r="150" spans="1:14" x14ac:dyDescent="0.2">
      <c r="A150" s="68"/>
      <c r="B150" s="106" t="s">
        <v>25</v>
      </c>
      <c r="C150" s="106" t="s">
        <v>36</v>
      </c>
      <c r="D150" s="106" t="str">
        <f>LEFT(B150,1)&amp;"F"</f>
        <v>9F</v>
      </c>
      <c r="E150" s="115" t="s">
        <v>161</v>
      </c>
      <c r="F150" s="115" t="s">
        <v>108</v>
      </c>
      <c r="G150" s="115" t="s">
        <v>120</v>
      </c>
      <c r="H150" s="263">
        <v>0</v>
      </c>
      <c r="I150" s="264" t="str">
        <f t="shared" si="10"/>
        <v>EUR9F1Y_Quote</v>
      </c>
      <c r="J150" s="265" t="str">
        <f>_xll.qlSwapRateHelper2(,$I150,$C150,Calendar,$E150,$F150,$G150,$J$4,$H150,B150,Discounting,Permanent,,ObjectOverwrite)</f>
        <v>obj_007e4#0000</v>
      </c>
      <c r="K150" s="266" t="str">
        <f>_xll.ohRangeRetrieveError(J150)</f>
        <v/>
      </c>
      <c r="L150" s="124"/>
      <c r="N150" s="275"/>
    </row>
    <row r="151" spans="1:14" x14ac:dyDescent="0.2">
      <c r="A151" s="68"/>
      <c r="B151" s="101" t="s">
        <v>25</v>
      </c>
      <c r="C151" s="101" t="s">
        <v>32</v>
      </c>
      <c r="D151" s="101" t="str">
        <f t="shared" ref="D151:D167" si="11">LEFT(B151,1)&amp;"F"</f>
        <v>9F</v>
      </c>
      <c r="E151" s="267" t="s">
        <v>161</v>
      </c>
      <c r="F151" s="267" t="s">
        <v>108</v>
      </c>
      <c r="G151" s="267" t="s">
        <v>120</v>
      </c>
      <c r="H151" s="268">
        <v>0</v>
      </c>
      <c r="I151" s="269" t="str">
        <f t="shared" si="10"/>
        <v>EUR9F2Y_Quote</v>
      </c>
      <c r="J151" s="270" t="str">
        <f>_xll.qlSwapRateHelper2(,$I151,$C151,Calendar,$E151,$F151,$G151,$J$4,$H151,B151,Discounting,Permanent,,ObjectOverwrite)</f>
        <v>obj_007e3#0000</v>
      </c>
      <c r="K151" s="271" t="str">
        <f>_xll.ohRangeRetrieveError(J151)</f>
        <v/>
      </c>
      <c r="L151" s="124"/>
      <c r="N151" s="275"/>
    </row>
    <row r="152" spans="1:14" x14ac:dyDescent="0.2">
      <c r="A152" s="68"/>
      <c r="B152" s="101" t="s">
        <v>25</v>
      </c>
      <c r="C152" s="101" t="s">
        <v>31</v>
      </c>
      <c r="D152" s="101" t="str">
        <f t="shared" si="11"/>
        <v>9F</v>
      </c>
      <c r="E152" s="267" t="s">
        <v>161</v>
      </c>
      <c r="F152" s="267" t="s">
        <v>108</v>
      </c>
      <c r="G152" s="267" t="s">
        <v>120</v>
      </c>
      <c r="H152" s="268">
        <v>0</v>
      </c>
      <c r="I152" s="269" t="str">
        <f t="shared" si="10"/>
        <v>EUR9F3Y_Quote</v>
      </c>
      <c r="J152" s="270" t="str">
        <f>_xll.qlSwapRateHelper2(,$I152,$C152,Calendar,$E152,$F152,$G152,$J$4,$H152,B152,Discounting,Permanent,,ObjectOverwrite)</f>
        <v>obj_0082a#0000</v>
      </c>
      <c r="K152" s="271" t="str">
        <f>_xll.ohRangeRetrieveError(J152)</f>
        <v/>
      </c>
      <c r="L152" s="124"/>
      <c r="N152" s="275"/>
    </row>
    <row r="153" spans="1:14" x14ac:dyDescent="0.2">
      <c r="A153" s="68"/>
      <c r="B153" s="101" t="s">
        <v>25</v>
      </c>
      <c r="C153" s="101" t="s">
        <v>30</v>
      </c>
      <c r="D153" s="101" t="str">
        <f t="shared" si="11"/>
        <v>9F</v>
      </c>
      <c r="E153" s="267" t="s">
        <v>161</v>
      </c>
      <c r="F153" s="267" t="s">
        <v>108</v>
      </c>
      <c r="G153" s="267" t="s">
        <v>120</v>
      </c>
      <c r="H153" s="268">
        <v>0</v>
      </c>
      <c r="I153" s="269" t="str">
        <f t="shared" si="10"/>
        <v>EUR9F4Y_Quote</v>
      </c>
      <c r="J153" s="270" t="str">
        <f>_xll.qlSwapRateHelper2(,$I153,$C153,Calendar,$E153,$F153,$G153,$J$4,$H153,B153,Discounting,Permanent,,ObjectOverwrite)</f>
        <v>obj_0086d#0000</v>
      </c>
      <c r="K153" s="271" t="str">
        <f>_xll.ohRangeRetrieveError(J153)</f>
        <v/>
      </c>
      <c r="L153" s="124"/>
      <c r="N153" s="275"/>
    </row>
    <row r="154" spans="1:14" x14ac:dyDescent="0.2">
      <c r="A154" s="68"/>
      <c r="B154" s="101" t="s">
        <v>25</v>
      </c>
      <c r="C154" s="101" t="s">
        <v>29</v>
      </c>
      <c r="D154" s="101" t="str">
        <f t="shared" si="11"/>
        <v>9F</v>
      </c>
      <c r="E154" s="267" t="s">
        <v>161</v>
      </c>
      <c r="F154" s="267" t="s">
        <v>108</v>
      </c>
      <c r="G154" s="267" t="s">
        <v>120</v>
      </c>
      <c r="H154" s="268">
        <v>0</v>
      </c>
      <c r="I154" s="269" t="str">
        <f t="shared" si="10"/>
        <v>EUR9F5Y_Quote</v>
      </c>
      <c r="J154" s="270" t="str">
        <f>_xll.qlSwapRateHelper2(,$I154,$C154,Calendar,$E154,$F154,$G154,$J$4,$H154,B154,Discounting,Permanent,,ObjectOverwrite)</f>
        <v>obj_007b5#0000</v>
      </c>
      <c r="K154" s="271" t="str">
        <f>_xll.ohRangeRetrieveError(J154)</f>
        <v/>
      </c>
      <c r="L154" s="124"/>
      <c r="N154" s="275"/>
    </row>
    <row r="155" spans="1:14" x14ac:dyDescent="0.2">
      <c r="A155" s="68"/>
      <c r="B155" s="101" t="s">
        <v>25</v>
      </c>
      <c r="C155" s="101" t="s">
        <v>28</v>
      </c>
      <c r="D155" s="101" t="str">
        <f t="shared" si="11"/>
        <v>9F</v>
      </c>
      <c r="E155" s="267" t="s">
        <v>161</v>
      </c>
      <c r="F155" s="267" t="s">
        <v>108</v>
      </c>
      <c r="G155" s="267" t="s">
        <v>120</v>
      </c>
      <c r="H155" s="268">
        <v>0</v>
      </c>
      <c r="I155" s="269" t="str">
        <f t="shared" si="10"/>
        <v>EUR9F6Y_Quote</v>
      </c>
      <c r="J155" s="270" t="str">
        <f>_xll.qlSwapRateHelper2(,$I155,$C155,Calendar,$E155,$F155,$G155,$J$4,$H155,B155,Discounting,Permanent,,ObjectOverwrite)</f>
        <v>obj_007da#0000</v>
      </c>
      <c r="K155" s="271" t="str">
        <f>_xll.ohRangeRetrieveError(J155)</f>
        <v/>
      </c>
      <c r="L155" s="124"/>
      <c r="N155" s="275"/>
    </row>
    <row r="156" spans="1:14" x14ac:dyDescent="0.2">
      <c r="A156" s="68"/>
      <c r="B156" s="101" t="s">
        <v>25</v>
      </c>
      <c r="C156" s="101" t="s">
        <v>27</v>
      </c>
      <c r="D156" s="101" t="str">
        <f t="shared" si="11"/>
        <v>9F</v>
      </c>
      <c r="E156" s="267" t="s">
        <v>161</v>
      </c>
      <c r="F156" s="267" t="s">
        <v>108</v>
      </c>
      <c r="G156" s="267" t="s">
        <v>120</v>
      </c>
      <c r="H156" s="268">
        <v>0</v>
      </c>
      <c r="I156" s="269" t="str">
        <f t="shared" si="10"/>
        <v>EUR9F7Y_Quote</v>
      </c>
      <c r="J156" s="270" t="str">
        <f>_xll.qlSwapRateHelper2(,$I156,$C156,Calendar,$E156,$F156,$G156,$J$4,$H156,B156,Discounting,Permanent,,ObjectOverwrite)</f>
        <v>obj_00776#0000</v>
      </c>
      <c r="K156" s="271" t="str">
        <f>_xll.ohRangeRetrieveError(J156)</f>
        <v/>
      </c>
      <c r="L156" s="124"/>
      <c r="N156" s="275"/>
    </row>
    <row r="157" spans="1:14" x14ac:dyDescent="0.2">
      <c r="A157" s="68"/>
      <c r="B157" s="101" t="s">
        <v>25</v>
      </c>
      <c r="C157" s="101" t="s">
        <v>26</v>
      </c>
      <c r="D157" s="101" t="str">
        <f t="shared" si="11"/>
        <v>9F</v>
      </c>
      <c r="E157" s="267" t="s">
        <v>161</v>
      </c>
      <c r="F157" s="267" t="s">
        <v>108</v>
      </c>
      <c r="G157" s="267" t="s">
        <v>120</v>
      </c>
      <c r="H157" s="268">
        <v>0</v>
      </c>
      <c r="I157" s="269" t="str">
        <f t="shared" si="10"/>
        <v>EUR9F8Y_Quote</v>
      </c>
      <c r="J157" s="270" t="str">
        <f>_xll.qlSwapRateHelper2(,$I157,$C157,Calendar,$E157,$F157,$G157,$J$4,$H157,B157,Discounting,Permanent,,ObjectOverwrite)</f>
        <v>obj_007db#0000</v>
      </c>
      <c r="K157" s="271" t="str">
        <f>_xll.ohRangeRetrieveError(J157)</f>
        <v/>
      </c>
      <c r="L157" s="124"/>
      <c r="N157" s="275"/>
    </row>
    <row r="158" spans="1:14" x14ac:dyDescent="0.2">
      <c r="A158" s="68"/>
      <c r="B158" s="101" t="s">
        <v>25</v>
      </c>
      <c r="C158" s="101" t="s">
        <v>25</v>
      </c>
      <c r="D158" s="101" t="str">
        <f t="shared" si="11"/>
        <v>9F</v>
      </c>
      <c r="E158" s="267" t="s">
        <v>161</v>
      </c>
      <c r="F158" s="267" t="s">
        <v>108</v>
      </c>
      <c r="G158" s="267" t="s">
        <v>120</v>
      </c>
      <c r="H158" s="268">
        <v>0</v>
      </c>
      <c r="I158" s="269" t="str">
        <f t="shared" si="10"/>
        <v>EUR9F9Y_Quote</v>
      </c>
      <c r="J158" s="270" t="str">
        <f>_xll.qlSwapRateHelper2(,$I158,$C158,Calendar,$E158,$F158,$G158,$J$4,$H158,B158,Discounting,Permanent,,ObjectOverwrite)</f>
        <v>obj_007c1#0000</v>
      </c>
      <c r="K158" s="271" t="str">
        <f>_xll.ohRangeRetrieveError(J158)</f>
        <v/>
      </c>
      <c r="L158" s="124"/>
      <c r="N158" s="275"/>
    </row>
    <row r="159" spans="1:14" x14ac:dyDescent="0.2">
      <c r="A159" s="68"/>
      <c r="B159" s="101" t="s">
        <v>25</v>
      </c>
      <c r="C159" s="101" t="s">
        <v>24</v>
      </c>
      <c r="D159" s="101" t="str">
        <f t="shared" si="11"/>
        <v>9F</v>
      </c>
      <c r="E159" s="267" t="s">
        <v>161</v>
      </c>
      <c r="F159" s="267" t="s">
        <v>108</v>
      </c>
      <c r="G159" s="267" t="s">
        <v>120</v>
      </c>
      <c r="H159" s="268">
        <v>0</v>
      </c>
      <c r="I159" s="269" t="str">
        <f t="shared" si="10"/>
        <v>EUR9F10Y_Quote</v>
      </c>
      <c r="J159" s="270" t="str">
        <f>_xll.qlSwapRateHelper2(,$I159,$C159,Calendar,$E159,$F159,$G159,$J$4,$H159,B159,Discounting,Permanent,,ObjectOverwrite)</f>
        <v>obj_007d9#0000</v>
      </c>
      <c r="K159" s="271" t="str">
        <f>_xll.ohRangeRetrieveError(J159)</f>
        <v/>
      </c>
      <c r="L159" s="124"/>
      <c r="N159" s="275"/>
    </row>
    <row r="160" spans="1:14" x14ac:dyDescent="0.2">
      <c r="A160" s="68"/>
      <c r="B160" s="101" t="s">
        <v>25</v>
      </c>
      <c r="C160" s="101" t="s">
        <v>23</v>
      </c>
      <c r="D160" s="101" t="str">
        <f t="shared" si="11"/>
        <v>9F</v>
      </c>
      <c r="E160" s="267" t="s">
        <v>161</v>
      </c>
      <c r="F160" s="267" t="s">
        <v>108</v>
      </c>
      <c r="G160" s="267" t="s">
        <v>120</v>
      </c>
      <c r="H160" s="268">
        <v>0</v>
      </c>
      <c r="I160" s="269" t="str">
        <f t="shared" si="10"/>
        <v>EUR9F11Y_Quote</v>
      </c>
      <c r="J160" s="270" t="str">
        <f>_xll.qlSwapRateHelper2(,$I160,$C160,Calendar,$E160,$F160,$G160,$J$4,$H160,B160,Discounting,Permanent,,ObjectOverwrite)</f>
        <v>obj_00811#0000</v>
      </c>
      <c r="K160" s="271" t="str">
        <f>_xll.ohRangeRetrieveError(J160)</f>
        <v/>
      </c>
      <c r="L160" s="124"/>
      <c r="N160" s="275"/>
    </row>
    <row r="161" spans="1:14" x14ac:dyDescent="0.2">
      <c r="A161" s="68"/>
      <c r="B161" s="101" t="s">
        <v>25</v>
      </c>
      <c r="C161" s="101" t="s">
        <v>22</v>
      </c>
      <c r="D161" s="101" t="str">
        <f t="shared" si="11"/>
        <v>9F</v>
      </c>
      <c r="E161" s="267" t="s">
        <v>161</v>
      </c>
      <c r="F161" s="267" t="s">
        <v>108</v>
      </c>
      <c r="G161" s="267" t="s">
        <v>120</v>
      </c>
      <c r="H161" s="268">
        <v>0</v>
      </c>
      <c r="I161" s="269" t="str">
        <f t="shared" si="10"/>
        <v>EUR9F12Y_Quote</v>
      </c>
      <c r="J161" s="270" t="str">
        <f>_xll.qlSwapRateHelper2(,$I161,$C161,Calendar,$E161,$F161,$G161,$J$4,$H161,B161,Discounting,Permanent,,ObjectOverwrite)</f>
        <v>obj_007ff#0000</v>
      </c>
      <c r="K161" s="271" t="str">
        <f>_xll.ohRangeRetrieveError(J161)</f>
        <v/>
      </c>
      <c r="L161" s="124"/>
      <c r="N161" s="275"/>
    </row>
    <row r="162" spans="1:14" x14ac:dyDescent="0.2">
      <c r="A162" s="68"/>
      <c r="B162" s="101" t="s">
        <v>25</v>
      </c>
      <c r="C162" s="101" t="s">
        <v>21</v>
      </c>
      <c r="D162" s="101" t="str">
        <f t="shared" si="11"/>
        <v>9F</v>
      </c>
      <c r="E162" s="267" t="s">
        <v>161</v>
      </c>
      <c r="F162" s="267" t="s">
        <v>108</v>
      </c>
      <c r="G162" s="267" t="s">
        <v>120</v>
      </c>
      <c r="H162" s="268">
        <v>0</v>
      </c>
      <c r="I162" s="269" t="str">
        <f t="shared" si="10"/>
        <v>EUR9F13Y_Quote</v>
      </c>
      <c r="J162" s="270" t="str">
        <f>_xll.qlSwapRateHelper2(,$I162,$C162,Calendar,$E162,$F162,$G162,$J$4,$H162,B162,Discounting,Permanent,,ObjectOverwrite)</f>
        <v>obj_007aa#0000</v>
      </c>
      <c r="K162" s="271" t="str">
        <f>_xll.ohRangeRetrieveError(J162)</f>
        <v/>
      </c>
      <c r="L162" s="124"/>
      <c r="N162" s="275"/>
    </row>
    <row r="163" spans="1:14" x14ac:dyDescent="0.2">
      <c r="A163" s="68"/>
      <c r="B163" s="101" t="s">
        <v>25</v>
      </c>
      <c r="C163" s="101" t="s">
        <v>20</v>
      </c>
      <c r="D163" s="101" t="str">
        <f t="shared" si="11"/>
        <v>9F</v>
      </c>
      <c r="E163" s="267" t="s">
        <v>161</v>
      </c>
      <c r="F163" s="267" t="s">
        <v>108</v>
      </c>
      <c r="G163" s="267" t="s">
        <v>120</v>
      </c>
      <c r="H163" s="268">
        <v>0</v>
      </c>
      <c r="I163" s="269" t="str">
        <f t="shared" si="10"/>
        <v>EUR9F14Y_Quote</v>
      </c>
      <c r="J163" s="270" t="str">
        <f>_xll.qlSwapRateHelper2(,$I163,$C163,Calendar,$E163,$F163,$G163,$J$4,$H163,B163,Discounting,Permanent,,ObjectOverwrite)</f>
        <v>obj_007d2#0000</v>
      </c>
      <c r="K163" s="271" t="str">
        <f>_xll.ohRangeRetrieveError(J163)</f>
        <v/>
      </c>
      <c r="L163" s="124"/>
      <c r="N163" s="275"/>
    </row>
    <row r="164" spans="1:14" x14ac:dyDescent="0.2">
      <c r="A164" s="68"/>
      <c r="B164" s="101" t="s">
        <v>25</v>
      </c>
      <c r="C164" s="101" t="s">
        <v>19</v>
      </c>
      <c r="D164" s="101" t="str">
        <f t="shared" si="11"/>
        <v>9F</v>
      </c>
      <c r="E164" s="267" t="s">
        <v>161</v>
      </c>
      <c r="F164" s="267" t="s">
        <v>108</v>
      </c>
      <c r="G164" s="267" t="s">
        <v>120</v>
      </c>
      <c r="H164" s="268">
        <v>0</v>
      </c>
      <c r="I164" s="269" t="str">
        <f t="shared" si="10"/>
        <v>EUR9F15Y_Quote</v>
      </c>
      <c r="J164" s="270" t="str">
        <f>_xll.qlSwapRateHelper2(,$I164,$C164,Calendar,$E164,$F164,$G164,$J$4,$H164,B164,Discounting,Permanent,,ObjectOverwrite)</f>
        <v>obj_0077d#0000</v>
      </c>
      <c r="K164" s="271" t="str">
        <f>_xll.ohRangeRetrieveError(J164)</f>
        <v/>
      </c>
      <c r="L164" s="124"/>
      <c r="N164" s="275"/>
    </row>
    <row r="165" spans="1:14" x14ac:dyDescent="0.2">
      <c r="A165" s="68"/>
      <c r="B165" s="101" t="s">
        <v>25</v>
      </c>
      <c r="C165" s="101" t="s">
        <v>14</v>
      </c>
      <c r="D165" s="101" t="str">
        <f t="shared" si="11"/>
        <v>9F</v>
      </c>
      <c r="E165" s="267" t="s">
        <v>161</v>
      </c>
      <c r="F165" s="267" t="s">
        <v>108</v>
      </c>
      <c r="G165" s="267" t="s">
        <v>120</v>
      </c>
      <c r="H165" s="268">
        <v>0</v>
      </c>
      <c r="I165" s="269" t="str">
        <f t="shared" si="10"/>
        <v>EUR9F20Y_Quote</v>
      </c>
      <c r="J165" s="270" t="str">
        <f>_xll.qlSwapRateHelper2(,$I165,$C165,Calendar,$E165,$F165,$G165,$J$4,$H165,B165,Discounting,Permanent,,ObjectOverwrite)</f>
        <v>obj_00762#0000</v>
      </c>
      <c r="K165" s="271" t="str">
        <f>_xll.ohRangeRetrieveError(J165)</f>
        <v/>
      </c>
      <c r="L165" s="124"/>
      <c r="N165" s="275"/>
    </row>
    <row r="166" spans="1:14" x14ac:dyDescent="0.2">
      <c r="A166" s="68"/>
      <c r="B166" s="101" t="s">
        <v>25</v>
      </c>
      <c r="C166" s="101" t="s">
        <v>9</v>
      </c>
      <c r="D166" s="101" t="str">
        <f t="shared" si="11"/>
        <v>9F</v>
      </c>
      <c r="E166" s="267" t="s">
        <v>161</v>
      </c>
      <c r="F166" s="267" t="s">
        <v>108</v>
      </c>
      <c r="G166" s="267" t="s">
        <v>120</v>
      </c>
      <c r="H166" s="268">
        <v>0</v>
      </c>
      <c r="I166" s="269" t="str">
        <f t="shared" si="10"/>
        <v>EUR9F25Y_Quote</v>
      </c>
      <c r="J166" s="270" t="str">
        <f>_xll.qlSwapRateHelper2(,$I166,$C166,Calendar,$E166,$F166,$G166,$J$4,$H166,B166,Discounting,Permanent,,ObjectOverwrite)</f>
        <v>obj_007c2#0000</v>
      </c>
      <c r="K166" s="271" t="str">
        <f>_xll.ohRangeRetrieveError(J166)</f>
        <v/>
      </c>
      <c r="L166" s="124"/>
      <c r="N166" s="275"/>
    </row>
    <row r="167" spans="1:14" x14ac:dyDescent="0.2">
      <c r="A167" s="68"/>
      <c r="B167" s="272" t="s">
        <v>25</v>
      </c>
      <c r="C167" s="272" t="s">
        <v>4</v>
      </c>
      <c r="D167" s="272" t="str">
        <f t="shared" si="11"/>
        <v>9F</v>
      </c>
      <c r="E167" s="130" t="s">
        <v>161</v>
      </c>
      <c r="F167" s="130" t="s">
        <v>108</v>
      </c>
      <c r="G167" s="130" t="s">
        <v>120</v>
      </c>
      <c r="H167" s="273">
        <v>0</v>
      </c>
      <c r="I167" s="128" t="str">
        <f t="shared" si="10"/>
        <v>EUR9F30Y_Quote</v>
      </c>
      <c r="J167" s="157" t="str">
        <f>_xll.qlSwapRateHelper2(,$I167,$C167,Calendar,$E167,$F167,$G167,$J$4,$H167,B167,Discounting,Permanent,,ObjectOverwrite)</f>
        <v>obj_00763#0000</v>
      </c>
      <c r="K167" s="274" t="str">
        <f>_xll.ohRangeRetrieveError(J167)</f>
        <v/>
      </c>
      <c r="L167" s="124"/>
      <c r="N167" s="275"/>
    </row>
    <row r="168" spans="1:14" x14ac:dyDescent="0.2">
      <c r="A168" s="68"/>
      <c r="B168" s="106" t="s">
        <v>24</v>
      </c>
      <c r="C168" s="106" t="s">
        <v>36</v>
      </c>
      <c r="D168" s="106" t="str">
        <f>LEFT(B168,2)&amp;"F"</f>
        <v>10F</v>
      </c>
      <c r="E168" s="115" t="s">
        <v>161</v>
      </c>
      <c r="F168" s="115" t="s">
        <v>108</v>
      </c>
      <c r="G168" s="115" t="s">
        <v>120</v>
      </c>
      <c r="H168" s="263">
        <v>0</v>
      </c>
      <c r="I168" s="264" t="str">
        <f t="shared" si="10"/>
        <v>EUR10F1Y_Quote</v>
      </c>
      <c r="J168" s="265" t="str">
        <f>_xll.qlSwapRateHelper2(,$I168,$C168,Calendar,$E168,$F168,$G168,$J$4,$H168,B168,Discounting,Permanent,,ObjectOverwrite)</f>
        <v>obj_007d7#0000</v>
      </c>
      <c r="K168" s="266" t="str">
        <f>_xll.ohRangeRetrieveError(J168)</f>
        <v/>
      </c>
      <c r="L168" s="124"/>
      <c r="N168" s="275"/>
    </row>
    <row r="169" spans="1:14" x14ac:dyDescent="0.2">
      <c r="A169" s="68"/>
      <c r="B169" s="101" t="s">
        <v>24</v>
      </c>
      <c r="C169" s="101" t="s">
        <v>32</v>
      </c>
      <c r="D169" s="101" t="str">
        <f t="shared" ref="D169:D185" si="12">LEFT(B169,2)&amp;"F"</f>
        <v>10F</v>
      </c>
      <c r="E169" s="267" t="s">
        <v>161</v>
      </c>
      <c r="F169" s="267" t="s">
        <v>108</v>
      </c>
      <c r="G169" s="267" t="s">
        <v>120</v>
      </c>
      <c r="H169" s="268">
        <v>0</v>
      </c>
      <c r="I169" s="269" t="str">
        <f t="shared" si="10"/>
        <v>EUR10F2Y_Quote</v>
      </c>
      <c r="J169" s="270" t="str">
        <f>_xll.qlSwapRateHelper2(,$I169,$C169,Calendar,$E169,$F169,$G169,$J$4,$H169,B169,Discounting,Permanent,,ObjectOverwrite)</f>
        <v>obj_007e5#0000</v>
      </c>
      <c r="K169" s="271" t="str">
        <f>_xll.ohRangeRetrieveError(J169)</f>
        <v/>
      </c>
      <c r="L169" s="124"/>
      <c r="N169" s="275"/>
    </row>
    <row r="170" spans="1:14" x14ac:dyDescent="0.2">
      <c r="A170" s="68"/>
      <c r="B170" s="101" t="s">
        <v>24</v>
      </c>
      <c r="C170" s="101" t="s">
        <v>31</v>
      </c>
      <c r="D170" s="101" t="str">
        <f t="shared" si="12"/>
        <v>10F</v>
      </c>
      <c r="E170" s="267" t="s">
        <v>161</v>
      </c>
      <c r="F170" s="267" t="s">
        <v>108</v>
      </c>
      <c r="G170" s="267" t="s">
        <v>120</v>
      </c>
      <c r="H170" s="268">
        <v>0</v>
      </c>
      <c r="I170" s="269" t="str">
        <f t="shared" si="10"/>
        <v>EUR10F3Y_Quote</v>
      </c>
      <c r="J170" s="270" t="str">
        <f>_xll.qlSwapRateHelper2(,$I170,$C170,Calendar,$E170,$F170,$G170,$J$4,$H170,B170,Discounting,Permanent,,ObjectOverwrite)</f>
        <v>obj_0086c#0000</v>
      </c>
      <c r="K170" s="271" t="str">
        <f>_xll.ohRangeRetrieveError(J170)</f>
        <v/>
      </c>
      <c r="L170" s="124"/>
      <c r="N170" s="275"/>
    </row>
    <row r="171" spans="1:14" x14ac:dyDescent="0.2">
      <c r="A171" s="68"/>
      <c r="B171" s="101" t="s">
        <v>24</v>
      </c>
      <c r="C171" s="101" t="s">
        <v>30</v>
      </c>
      <c r="D171" s="101" t="str">
        <f t="shared" si="12"/>
        <v>10F</v>
      </c>
      <c r="E171" s="267" t="s">
        <v>161</v>
      </c>
      <c r="F171" s="267" t="s">
        <v>108</v>
      </c>
      <c r="G171" s="267" t="s">
        <v>120</v>
      </c>
      <c r="H171" s="268">
        <v>0</v>
      </c>
      <c r="I171" s="269" t="str">
        <f t="shared" si="10"/>
        <v>EUR10F4Y_Quote</v>
      </c>
      <c r="J171" s="270" t="str">
        <f>_xll.qlSwapRateHelper2(,$I171,$C171,Calendar,$E171,$F171,$G171,$J$4,$H171,B171,Discounting,Permanent,,ObjectOverwrite)</f>
        <v>obj_0078c#0000</v>
      </c>
      <c r="K171" s="271" t="str">
        <f>_xll.ohRangeRetrieveError(J171)</f>
        <v/>
      </c>
      <c r="L171" s="124"/>
      <c r="N171" s="275"/>
    </row>
    <row r="172" spans="1:14" x14ac:dyDescent="0.2">
      <c r="A172" s="68"/>
      <c r="B172" s="101" t="s">
        <v>24</v>
      </c>
      <c r="C172" s="101" t="s">
        <v>29</v>
      </c>
      <c r="D172" s="101" t="str">
        <f t="shared" si="12"/>
        <v>10F</v>
      </c>
      <c r="E172" s="267" t="s">
        <v>161</v>
      </c>
      <c r="F172" s="267" t="s">
        <v>108</v>
      </c>
      <c r="G172" s="267" t="s">
        <v>120</v>
      </c>
      <c r="H172" s="268">
        <v>0</v>
      </c>
      <c r="I172" s="269" t="str">
        <f t="shared" si="10"/>
        <v>EUR10F5Y_Quote</v>
      </c>
      <c r="J172" s="270" t="str">
        <f>_xll.qlSwapRateHelper2(,$I172,$C172,Calendar,$E172,$F172,$G172,$J$4,$H172,B172,Discounting,Permanent,,ObjectOverwrite)</f>
        <v>obj_0088a#0000</v>
      </c>
      <c r="K172" s="271" t="str">
        <f>_xll.ohRangeRetrieveError(J172)</f>
        <v/>
      </c>
      <c r="L172" s="124"/>
      <c r="N172" s="275"/>
    </row>
    <row r="173" spans="1:14" x14ac:dyDescent="0.2">
      <c r="A173" s="68"/>
      <c r="B173" s="101" t="s">
        <v>24</v>
      </c>
      <c r="C173" s="101" t="s">
        <v>28</v>
      </c>
      <c r="D173" s="101" t="str">
        <f t="shared" si="12"/>
        <v>10F</v>
      </c>
      <c r="E173" s="267" t="s">
        <v>161</v>
      </c>
      <c r="F173" s="267" t="s">
        <v>108</v>
      </c>
      <c r="G173" s="267" t="s">
        <v>120</v>
      </c>
      <c r="H173" s="268">
        <v>0</v>
      </c>
      <c r="I173" s="269" t="str">
        <f t="shared" si="10"/>
        <v>EUR10F6Y_Quote</v>
      </c>
      <c r="J173" s="270" t="str">
        <f>_xll.qlSwapRateHelper2(,$I173,$C173,Calendar,$E173,$F173,$G173,$J$4,$H173,B173,Discounting,Permanent,,ObjectOverwrite)</f>
        <v>obj_00844#0000</v>
      </c>
      <c r="K173" s="271" t="str">
        <f>_xll.ohRangeRetrieveError(J173)</f>
        <v/>
      </c>
      <c r="L173" s="124"/>
      <c r="N173" s="275"/>
    </row>
    <row r="174" spans="1:14" x14ac:dyDescent="0.2">
      <c r="A174" s="68"/>
      <c r="B174" s="101" t="s">
        <v>24</v>
      </c>
      <c r="C174" s="101" t="s">
        <v>27</v>
      </c>
      <c r="D174" s="101" t="str">
        <f t="shared" si="12"/>
        <v>10F</v>
      </c>
      <c r="E174" s="267" t="s">
        <v>161</v>
      </c>
      <c r="F174" s="267" t="s">
        <v>108</v>
      </c>
      <c r="G174" s="267" t="s">
        <v>120</v>
      </c>
      <c r="H174" s="268">
        <v>0</v>
      </c>
      <c r="I174" s="269" t="str">
        <f t="shared" si="10"/>
        <v>EUR10F7Y_Quote</v>
      </c>
      <c r="J174" s="270" t="str">
        <f>_xll.qlSwapRateHelper2(,$I174,$C174,Calendar,$E174,$F174,$G174,$J$4,$H174,B174,Discounting,Permanent,,ObjectOverwrite)</f>
        <v>obj_00799#0000</v>
      </c>
      <c r="K174" s="271" t="str">
        <f>_xll.ohRangeRetrieveError(J174)</f>
        <v/>
      </c>
      <c r="L174" s="124"/>
      <c r="N174" s="275"/>
    </row>
    <row r="175" spans="1:14" x14ac:dyDescent="0.2">
      <c r="A175" s="68"/>
      <c r="B175" s="101" t="s">
        <v>24</v>
      </c>
      <c r="C175" s="101" t="s">
        <v>26</v>
      </c>
      <c r="D175" s="101" t="str">
        <f t="shared" si="12"/>
        <v>10F</v>
      </c>
      <c r="E175" s="267" t="s">
        <v>161</v>
      </c>
      <c r="F175" s="267" t="s">
        <v>108</v>
      </c>
      <c r="G175" s="267" t="s">
        <v>120</v>
      </c>
      <c r="H175" s="268">
        <v>0</v>
      </c>
      <c r="I175" s="269" t="str">
        <f t="shared" si="10"/>
        <v>EUR10F8Y_Quote</v>
      </c>
      <c r="J175" s="270" t="str">
        <f>_xll.qlSwapRateHelper2(,$I175,$C175,Calendar,$E175,$F175,$G175,$J$4,$H175,B175,Discounting,Permanent,,ObjectOverwrite)</f>
        <v>obj_007a2#0000</v>
      </c>
      <c r="K175" s="271" t="str">
        <f>_xll.ohRangeRetrieveError(J175)</f>
        <v/>
      </c>
      <c r="L175" s="124"/>
      <c r="N175" s="275"/>
    </row>
    <row r="176" spans="1:14" x14ac:dyDescent="0.2">
      <c r="A176" s="68"/>
      <c r="B176" s="101" t="s">
        <v>24</v>
      </c>
      <c r="C176" s="101" t="s">
        <v>25</v>
      </c>
      <c r="D176" s="101" t="str">
        <f t="shared" si="12"/>
        <v>10F</v>
      </c>
      <c r="E176" s="267" t="s">
        <v>161</v>
      </c>
      <c r="F176" s="267" t="s">
        <v>108</v>
      </c>
      <c r="G176" s="267" t="s">
        <v>120</v>
      </c>
      <c r="H176" s="268">
        <v>0</v>
      </c>
      <c r="I176" s="269" t="str">
        <f t="shared" si="10"/>
        <v>EUR10F9Y_Quote</v>
      </c>
      <c r="J176" s="270" t="str">
        <f>_xll.qlSwapRateHelper2(,$I176,$C176,Calendar,$E176,$F176,$G176,$J$4,$H176,B176,Discounting,Permanent,,ObjectOverwrite)</f>
        <v>obj_007c4#0000</v>
      </c>
      <c r="K176" s="271" t="str">
        <f>_xll.ohRangeRetrieveError(J176)</f>
        <v/>
      </c>
      <c r="L176" s="124"/>
      <c r="N176" s="275"/>
    </row>
    <row r="177" spans="1:14" x14ac:dyDescent="0.2">
      <c r="A177" s="68"/>
      <c r="B177" s="101" t="s">
        <v>24</v>
      </c>
      <c r="C177" s="101" t="s">
        <v>24</v>
      </c>
      <c r="D177" s="101" t="str">
        <f t="shared" si="12"/>
        <v>10F</v>
      </c>
      <c r="E177" s="267" t="s">
        <v>161</v>
      </c>
      <c r="F177" s="267" t="s">
        <v>108</v>
      </c>
      <c r="G177" s="267" t="s">
        <v>120</v>
      </c>
      <c r="H177" s="268">
        <v>0</v>
      </c>
      <c r="I177" s="269" t="str">
        <f t="shared" si="10"/>
        <v>EUR10F10Y_Quote</v>
      </c>
      <c r="J177" s="270" t="str">
        <f>_xll.qlSwapRateHelper2(,$I177,$C177,Calendar,$E177,$F177,$G177,$J$4,$H177,B177,Discounting,Permanent,,ObjectOverwrite)</f>
        <v>obj_0084d#0000</v>
      </c>
      <c r="K177" s="271" t="str">
        <f>_xll.ohRangeRetrieveError(J177)</f>
        <v/>
      </c>
      <c r="L177" s="124"/>
      <c r="N177" s="275"/>
    </row>
    <row r="178" spans="1:14" x14ac:dyDescent="0.2">
      <c r="A178" s="68"/>
      <c r="B178" s="101" t="s">
        <v>24</v>
      </c>
      <c r="C178" s="101" t="s">
        <v>23</v>
      </c>
      <c r="D178" s="101" t="str">
        <f t="shared" si="12"/>
        <v>10F</v>
      </c>
      <c r="E178" s="267" t="s">
        <v>161</v>
      </c>
      <c r="F178" s="267" t="s">
        <v>108</v>
      </c>
      <c r="G178" s="267" t="s">
        <v>120</v>
      </c>
      <c r="H178" s="268">
        <v>0</v>
      </c>
      <c r="I178" s="269" t="str">
        <f t="shared" si="10"/>
        <v>EUR10F11Y_Quote</v>
      </c>
      <c r="J178" s="270" t="str">
        <f>_xll.qlSwapRateHelper2(,$I178,$C178,Calendar,$E178,$F178,$G178,$J$4,$H178,B178,Discounting,Permanent,,ObjectOverwrite)</f>
        <v>obj_00856#0000</v>
      </c>
      <c r="K178" s="271" t="str">
        <f>_xll.ohRangeRetrieveError(J178)</f>
        <v/>
      </c>
      <c r="L178" s="124"/>
      <c r="N178" s="275"/>
    </row>
    <row r="179" spans="1:14" x14ac:dyDescent="0.2">
      <c r="A179" s="68"/>
      <c r="B179" s="101" t="s">
        <v>24</v>
      </c>
      <c r="C179" s="101" t="s">
        <v>22</v>
      </c>
      <c r="D179" s="101" t="str">
        <f t="shared" si="12"/>
        <v>10F</v>
      </c>
      <c r="E179" s="267" t="s">
        <v>161</v>
      </c>
      <c r="F179" s="267" t="s">
        <v>108</v>
      </c>
      <c r="G179" s="267" t="s">
        <v>120</v>
      </c>
      <c r="H179" s="268">
        <v>0</v>
      </c>
      <c r="I179" s="269" t="str">
        <f t="shared" si="10"/>
        <v>EUR10F12Y_Quote</v>
      </c>
      <c r="J179" s="270" t="str">
        <f>_xll.qlSwapRateHelper2(,$I179,$C179,Calendar,$E179,$F179,$G179,$J$4,$H179,B179,Discounting,Permanent,,ObjectOverwrite)</f>
        <v>obj_00793#0000</v>
      </c>
      <c r="K179" s="271" t="str">
        <f>_xll.ohRangeRetrieveError(J179)</f>
        <v/>
      </c>
      <c r="L179" s="124"/>
      <c r="N179" s="275"/>
    </row>
    <row r="180" spans="1:14" x14ac:dyDescent="0.2">
      <c r="A180" s="68"/>
      <c r="B180" s="101" t="s">
        <v>24</v>
      </c>
      <c r="C180" s="101" t="s">
        <v>21</v>
      </c>
      <c r="D180" s="101" t="str">
        <f t="shared" si="12"/>
        <v>10F</v>
      </c>
      <c r="E180" s="267" t="s">
        <v>161</v>
      </c>
      <c r="F180" s="267" t="s">
        <v>108</v>
      </c>
      <c r="G180" s="267" t="s">
        <v>120</v>
      </c>
      <c r="H180" s="268">
        <v>0</v>
      </c>
      <c r="I180" s="269" t="str">
        <f t="shared" si="10"/>
        <v>EUR10F13Y_Quote</v>
      </c>
      <c r="J180" s="270" t="str">
        <f>_xll.qlSwapRateHelper2(,$I180,$C180,Calendar,$E180,$F180,$G180,$J$4,$H180,B180,Discounting,Permanent,,ObjectOverwrite)</f>
        <v>obj_007ab#0000</v>
      </c>
      <c r="K180" s="271" t="str">
        <f>_xll.ohRangeRetrieveError(J180)</f>
        <v/>
      </c>
      <c r="L180" s="124"/>
      <c r="N180" s="275"/>
    </row>
    <row r="181" spans="1:14" x14ac:dyDescent="0.2">
      <c r="A181" s="68"/>
      <c r="B181" s="101" t="s">
        <v>24</v>
      </c>
      <c r="C181" s="101" t="s">
        <v>20</v>
      </c>
      <c r="D181" s="101" t="str">
        <f t="shared" si="12"/>
        <v>10F</v>
      </c>
      <c r="E181" s="267" t="s">
        <v>161</v>
      </c>
      <c r="F181" s="267" t="s">
        <v>108</v>
      </c>
      <c r="G181" s="267" t="s">
        <v>120</v>
      </c>
      <c r="H181" s="268">
        <v>0</v>
      </c>
      <c r="I181" s="269" t="str">
        <f t="shared" si="10"/>
        <v>EUR10F14Y_Quote</v>
      </c>
      <c r="J181" s="270" t="str">
        <f>_xll.qlSwapRateHelper2(,$I181,$C181,Calendar,$E181,$F181,$G181,$J$4,$H181,B181,Discounting,Permanent,,ObjectOverwrite)</f>
        <v>obj_00850#0000</v>
      </c>
      <c r="K181" s="271" t="str">
        <f>_xll.ohRangeRetrieveError(J181)</f>
        <v/>
      </c>
      <c r="L181" s="124"/>
      <c r="N181" s="275"/>
    </row>
    <row r="182" spans="1:14" x14ac:dyDescent="0.2">
      <c r="A182" s="68"/>
      <c r="B182" s="101" t="s">
        <v>24</v>
      </c>
      <c r="C182" s="101" t="s">
        <v>19</v>
      </c>
      <c r="D182" s="101" t="str">
        <f t="shared" si="12"/>
        <v>10F</v>
      </c>
      <c r="E182" s="267" t="s">
        <v>161</v>
      </c>
      <c r="F182" s="267" t="s">
        <v>108</v>
      </c>
      <c r="G182" s="267" t="s">
        <v>120</v>
      </c>
      <c r="H182" s="268">
        <v>0</v>
      </c>
      <c r="I182" s="269" t="str">
        <f t="shared" si="10"/>
        <v>EUR10F15Y_Quote</v>
      </c>
      <c r="J182" s="270" t="str">
        <f>_xll.qlSwapRateHelper2(,$I182,$C182,Calendar,$E182,$F182,$G182,$J$4,$H182,B182,Discounting,Permanent,,ObjectOverwrite)</f>
        <v>obj_007c6#0000</v>
      </c>
      <c r="K182" s="271" t="str">
        <f>_xll.ohRangeRetrieveError(J182)</f>
        <v/>
      </c>
      <c r="L182" s="124"/>
      <c r="N182" s="275"/>
    </row>
    <row r="183" spans="1:14" x14ac:dyDescent="0.2">
      <c r="A183" s="68"/>
      <c r="B183" s="101" t="s">
        <v>24</v>
      </c>
      <c r="C183" s="101" t="s">
        <v>14</v>
      </c>
      <c r="D183" s="101" t="str">
        <f t="shared" si="12"/>
        <v>10F</v>
      </c>
      <c r="E183" s="267" t="s">
        <v>161</v>
      </c>
      <c r="F183" s="267" t="s">
        <v>108</v>
      </c>
      <c r="G183" s="267" t="s">
        <v>120</v>
      </c>
      <c r="H183" s="268">
        <v>0</v>
      </c>
      <c r="I183" s="269" t="str">
        <f t="shared" si="10"/>
        <v>EUR10F20Y_Quote</v>
      </c>
      <c r="J183" s="270" t="str">
        <f>_xll.qlSwapRateHelper2(,$I183,$C183,Calendar,$E183,$F183,$G183,$J$4,$H183,B183,Discounting,Permanent,,ObjectOverwrite)</f>
        <v>obj_00834#0000</v>
      </c>
      <c r="K183" s="271" t="str">
        <f>_xll.ohRangeRetrieveError(J183)</f>
        <v/>
      </c>
      <c r="L183" s="124"/>
      <c r="N183" s="275"/>
    </row>
    <row r="184" spans="1:14" x14ac:dyDescent="0.2">
      <c r="A184" s="68"/>
      <c r="B184" s="101" t="s">
        <v>24</v>
      </c>
      <c r="C184" s="101" t="s">
        <v>9</v>
      </c>
      <c r="D184" s="101" t="str">
        <f t="shared" si="12"/>
        <v>10F</v>
      </c>
      <c r="E184" s="267" t="s">
        <v>161</v>
      </c>
      <c r="F184" s="267" t="s">
        <v>108</v>
      </c>
      <c r="G184" s="267" t="s">
        <v>120</v>
      </c>
      <c r="H184" s="268">
        <v>0</v>
      </c>
      <c r="I184" s="269" t="str">
        <f t="shared" si="10"/>
        <v>EUR10F25Y_Quote</v>
      </c>
      <c r="J184" s="270" t="str">
        <f>_xll.qlSwapRateHelper2(,$I184,$C184,Calendar,$E184,$F184,$G184,$J$4,$H184,B184,Discounting,Permanent,,ObjectOverwrite)</f>
        <v>obj_00849#0000</v>
      </c>
      <c r="K184" s="271" t="str">
        <f>_xll.ohRangeRetrieveError(J184)</f>
        <v/>
      </c>
      <c r="L184" s="124"/>
      <c r="N184" s="275"/>
    </row>
    <row r="185" spans="1:14" x14ac:dyDescent="0.2">
      <c r="A185" s="68"/>
      <c r="B185" s="272" t="s">
        <v>24</v>
      </c>
      <c r="C185" s="272" t="s">
        <v>4</v>
      </c>
      <c r="D185" s="272" t="str">
        <f t="shared" si="12"/>
        <v>10F</v>
      </c>
      <c r="E185" s="130" t="s">
        <v>161</v>
      </c>
      <c r="F185" s="130" t="s">
        <v>108</v>
      </c>
      <c r="G185" s="130" t="s">
        <v>120</v>
      </c>
      <c r="H185" s="273">
        <v>0</v>
      </c>
      <c r="I185" s="128" t="str">
        <f t="shared" si="10"/>
        <v>EUR10F30Y_Quote</v>
      </c>
      <c r="J185" s="157" t="str">
        <f>_xll.qlSwapRateHelper2(,$I185,$C185,Calendar,$E185,$F185,$G185,$J$4,$H185,B185,Discounting,Permanent,,ObjectOverwrite)</f>
        <v>obj_007d3#0000</v>
      </c>
      <c r="K185" s="274" t="str">
        <f>_xll.ohRangeRetrieveError(J185)</f>
        <v/>
      </c>
      <c r="L185" s="124"/>
      <c r="N185" s="275"/>
    </row>
    <row r="186" spans="1:14" x14ac:dyDescent="0.2">
      <c r="A186" s="68"/>
      <c r="B186" s="106" t="s">
        <v>23</v>
      </c>
      <c r="C186" s="106" t="s">
        <v>36</v>
      </c>
      <c r="D186" s="106" t="str">
        <f>LEFT(B186,2)&amp;"F"</f>
        <v>11F</v>
      </c>
      <c r="E186" s="115" t="s">
        <v>161</v>
      </c>
      <c r="F186" s="115" t="s">
        <v>108</v>
      </c>
      <c r="G186" s="115" t="s">
        <v>120</v>
      </c>
      <c r="H186" s="263">
        <v>0</v>
      </c>
      <c r="I186" s="264" t="str">
        <f t="shared" si="10"/>
        <v>EUR11F1Y_Quote</v>
      </c>
      <c r="J186" s="265" t="str">
        <f>_xll.qlSwapRateHelper2(,$I186,$C186,Calendar,$E186,$F186,$G186,$J$4,$H186,B186,Discounting,Permanent,,ObjectOverwrite)</f>
        <v>obj_00868#0000</v>
      </c>
      <c r="K186" s="266" t="str">
        <f>_xll.ohRangeRetrieveError(J186)</f>
        <v/>
      </c>
      <c r="L186" s="124"/>
      <c r="N186" s="275"/>
    </row>
    <row r="187" spans="1:14" x14ac:dyDescent="0.2">
      <c r="A187" s="68"/>
      <c r="B187" s="101" t="s">
        <v>23</v>
      </c>
      <c r="C187" s="101" t="s">
        <v>32</v>
      </c>
      <c r="D187" s="101" t="str">
        <f t="shared" ref="D187:D203" si="13">LEFT(B187,2)&amp;"F"</f>
        <v>11F</v>
      </c>
      <c r="E187" s="267" t="s">
        <v>161</v>
      </c>
      <c r="F187" s="267" t="s">
        <v>108</v>
      </c>
      <c r="G187" s="267" t="s">
        <v>120</v>
      </c>
      <c r="H187" s="268">
        <v>0</v>
      </c>
      <c r="I187" s="269" t="str">
        <f t="shared" si="10"/>
        <v>EUR11F2Y_Quote</v>
      </c>
      <c r="J187" s="270" t="str">
        <f>_xll.qlSwapRateHelper2(,$I187,$C187,Calendar,$E187,$F187,$G187,$J$4,$H187,B187,Discounting,Permanent,,ObjectOverwrite)</f>
        <v>obj_00863#0000</v>
      </c>
      <c r="K187" s="271" t="str">
        <f>_xll.ohRangeRetrieveError(J187)</f>
        <v/>
      </c>
      <c r="L187" s="124"/>
      <c r="N187" s="275"/>
    </row>
    <row r="188" spans="1:14" x14ac:dyDescent="0.2">
      <c r="A188" s="68"/>
      <c r="B188" s="101" t="s">
        <v>23</v>
      </c>
      <c r="C188" s="101" t="s">
        <v>31</v>
      </c>
      <c r="D188" s="101" t="str">
        <f t="shared" si="13"/>
        <v>11F</v>
      </c>
      <c r="E188" s="267" t="s">
        <v>161</v>
      </c>
      <c r="F188" s="267" t="s">
        <v>108</v>
      </c>
      <c r="G188" s="267" t="s">
        <v>120</v>
      </c>
      <c r="H188" s="268">
        <v>0</v>
      </c>
      <c r="I188" s="269" t="str">
        <f t="shared" si="10"/>
        <v>EUR11F3Y_Quote</v>
      </c>
      <c r="J188" s="270" t="str">
        <f>_xll.qlSwapRateHelper2(,$I188,$C188,Calendar,$E188,$F188,$G188,$J$4,$H188,B188,Discounting,Permanent,,ObjectOverwrite)</f>
        <v>obj_007f3#0000</v>
      </c>
      <c r="K188" s="271" t="str">
        <f>_xll.ohRangeRetrieveError(J188)</f>
        <v/>
      </c>
      <c r="L188" s="124"/>
      <c r="N188" s="275"/>
    </row>
    <row r="189" spans="1:14" x14ac:dyDescent="0.2">
      <c r="A189" s="68"/>
      <c r="B189" s="101" t="s">
        <v>23</v>
      </c>
      <c r="C189" s="101" t="s">
        <v>30</v>
      </c>
      <c r="D189" s="101" t="str">
        <f t="shared" si="13"/>
        <v>11F</v>
      </c>
      <c r="E189" s="267" t="s">
        <v>161</v>
      </c>
      <c r="F189" s="267" t="s">
        <v>108</v>
      </c>
      <c r="G189" s="267" t="s">
        <v>120</v>
      </c>
      <c r="H189" s="268">
        <v>0</v>
      </c>
      <c r="I189" s="269" t="str">
        <f t="shared" si="10"/>
        <v>EUR11F4Y_Quote</v>
      </c>
      <c r="J189" s="270" t="str">
        <f>_xll.qlSwapRateHelper2(,$I189,$C189,Calendar,$E189,$F189,$G189,$J$4,$H189,B189,Discounting,Permanent,,ObjectOverwrite)</f>
        <v>obj_00810#0000</v>
      </c>
      <c r="K189" s="271" t="str">
        <f>_xll.ohRangeRetrieveError(J189)</f>
        <v/>
      </c>
      <c r="L189" s="124"/>
      <c r="N189" s="275"/>
    </row>
    <row r="190" spans="1:14" x14ac:dyDescent="0.2">
      <c r="A190" s="68"/>
      <c r="B190" s="101" t="s">
        <v>23</v>
      </c>
      <c r="C190" s="101" t="s">
        <v>29</v>
      </c>
      <c r="D190" s="101" t="str">
        <f t="shared" si="13"/>
        <v>11F</v>
      </c>
      <c r="E190" s="267" t="s">
        <v>161</v>
      </c>
      <c r="F190" s="267" t="s">
        <v>108</v>
      </c>
      <c r="G190" s="267" t="s">
        <v>120</v>
      </c>
      <c r="H190" s="268">
        <v>0</v>
      </c>
      <c r="I190" s="269" t="str">
        <f t="shared" si="10"/>
        <v>EUR11F5Y_Quote</v>
      </c>
      <c r="J190" s="270" t="str">
        <f>_xll.qlSwapRateHelper2(,$I190,$C190,Calendar,$E190,$F190,$G190,$J$4,$H190,B190,Discounting,Permanent,,ObjectOverwrite)</f>
        <v>obj_00822#0000</v>
      </c>
      <c r="K190" s="271" t="str">
        <f>_xll.ohRangeRetrieveError(J190)</f>
        <v/>
      </c>
      <c r="L190" s="124"/>
      <c r="N190" s="275"/>
    </row>
    <row r="191" spans="1:14" x14ac:dyDescent="0.2">
      <c r="A191" s="68"/>
      <c r="B191" s="101" t="s">
        <v>23</v>
      </c>
      <c r="C191" s="101" t="s">
        <v>28</v>
      </c>
      <c r="D191" s="101" t="str">
        <f t="shared" si="13"/>
        <v>11F</v>
      </c>
      <c r="E191" s="267" t="s">
        <v>161</v>
      </c>
      <c r="F191" s="267" t="s">
        <v>108</v>
      </c>
      <c r="G191" s="267" t="s">
        <v>120</v>
      </c>
      <c r="H191" s="268">
        <v>0</v>
      </c>
      <c r="I191" s="269" t="str">
        <f t="shared" si="10"/>
        <v>EUR11F6Y_Quote</v>
      </c>
      <c r="J191" s="270" t="str">
        <f>_xll.qlSwapRateHelper2(,$I191,$C191,Calendar,$E191,$F191,$G191,$J$4,$H191,B191,Discounting,Permanent,,ObjectOverwrite)</f>
        <v>obj_00859#0000</v>
      </c>
      <c r="K191" s="271" t="str">
        <f>_xll.ohRangeRetrieveError(J191)</f>
        <v/>
      </c>
      <c r="L191" s="124"/>
      <c r="N191" s="275"/>
    </row>
    <row r="192" spans="1:14" x14ac:dyDescent="0.2">
      <c r="A192" s="68"/>
      <c r="B192" s="101" t="s">
        <v>23</v>
      </c>
      <c r="C192" s="101" t="s">
        <v>27</v>
      </c>
      <c r="D192" s="101" t="str">
        <f t="shared" si="13"/>
        <v>11F</v>
      </c>
      <c r="E192" s="267" t="s">
        <v>161</v>
      </c>
      <c r="F192" s="267" t="s">
        <v>108</v>
      </c>
      <c r="G192" s="267" t="s">
        <v>120</v>
      </c>
      <c r="H192" s="268">
        <v>0</v>
      </c>
      <c r="I192" s="269" t="str">
        <f t="shared" si="10"/>
        <v>EUR11F7Y_Quote</v>
      </c>
      <c r="J192" s="270" t="str">
        <f>_xll.qlSwapRateHelper2(,$I192,$C192,Calendar,$E192,$F192,$G192,$J$4,$H192,B192,Discounting,Permanent,,ObjectOverwrite)</f>
        <v>obj_00768#0000</v>
      </c>
      <c r="K192" s="271" t="str">
        <f>_xll.ohRangeRetrieveError(J192)</f>
        <v/>
      </c>
      <c r="L192" s="124"/>
      <c r="N192" s="275"/>
    </row>
    <row r="193" spans="1:14" x14ac:dyDescent="0.2">
      <c r="A193" s="68"/>
      <c r="B193" s="101" t="s">
        <v>23</v>
      </c>
      <c r="C193" s="101" t="s">
        <v>26</v>
      </c>
      <c r="D193" s="101" t="str">
        <f t="shared" si="13"/>
        <v>11F</v>
      </c>
      <c r="E193" s="267" t="s">
        <v>161</v>
      </c>
      <c r="F193" s="267" t="s">
        <v>108</v>
      </c>
      <c r="G193" s="267" t="s">
        <v>120</v>
      </c>
      <c r="H193" s="268">
        <v>0</v>
      </c>
      <c r="I193" s="269" t="str">
        <f t="shared" si="10"/>
        <v>EUR11F8Y_Quote</v>
      </c>
      <c r="J193" s="270" t="str">
        <f>_xll.qlSwapRateHelper2(,$I193,$C193,Calendar,$E193,$F193,$G193,$J$4,$H193,B193,Discounting,Permanent,,ObjectOverwrite)</f>
        <v>obj_0077a#0000</v>
      </c>
      <c r="K193" s="271" t="str">
        <f>_xll.ohRangeRetrieveError(J193)</f>
        <v/>
      </c>
      <c r="L193" s="124"/>
      <c r="N193" s="275"/>
    </row>
    <row r="194" spans="1:14" x14ac:dyDescent="0.2">
      <c r="A194" s="68"/>
      <c r="B194" s="101" t="s">
        <v>23</v>
      </c>
      <c r="C194" s="101" t="s">
        <v>25</v>
      </c>
      <c r="D194" s="101" t="str">
        <f t="shared" si="13"/>
        <v>11F</v>
      </c>
      <c r="E194" s="267" t="s">
        <v>161</v>
      </c>
      <c r="F194" s="267" t="s">
        <v>108</v>
      </c>
      <c r="G194" s="267" t="s">
        <v>120</v>
      </c>
      <c r="H194" s="268">
        <v>0</v>
      </c>
      <c r="I194" s="269" t="str">
        <f t="shared" si="10"/>
        <v>EUR11F9Y_Quote</v>
      </c>
      <c r="J194" s="270" t="str">
        <f>_xll.qlSwapRateHelper2(,$I194,$C194,Calendar,$E194,$F194,$G194,$J$4,$H194,B194,Discounting,Permanent,,ObjectOverwrite)</f>
        <v>obj_007f6#0000</v>
      </c>
      <c r="K194" s="271" t="str">
        <f>_xll.ohRangeRetrieveError(J194)</f>
        <v/>
      </c>
      <c r="L194" s="124"/>
      <c r="N194" s="275"/>
    </row>
    <row r="195" spans="1:14" x14ac:dyDescent="0.2">
      <c r="A195" s="68"/>
      <c r="B195" s="101" t="s">
        <v>23</v>
      </c>
      <c r="C195" s="101" t="s">
        <v>24</v>
      </c>
      <c r="D195" s="101" t="str">
        <f t="shared" si="13"/>
        <v>11F</v>
      </c>
      <c r="E195" s="267" t="s">
        <v>161</v>
      </c>
      <c r="F195" s="267" t="s">
        <v>108</v>
      </c>
      <c r="G195" s="267" t="s">
        <v>120</v>
      </c>
      <c r="H195" s="268">
        <v>0</v>
      </c>
      <c r="I195" s="269" t="str">
        <f t="shared" si="10"/>
        <v>EUR11F10Y_Quote</v>
      </c>
      <c r="J195" s="270" t="str">
        <f>_xll.qlSwapRateHelper2(,$I195,$C195,Calendar,$E195,$F195,$G195,$J$4,$H195,B195,Discounting,Permanent,,ObjectOverwrite)</f>
        <v>obj_00887#0000</v>
      </c>
      <c r="K195" s="271" t="str">
        <f>_xll.ohRangeRetrieveError(J195)</f>
        <v/>
      </c>
      <c r="L195" s="124"/>
      <c r="N195" s="275"/>
    </row>
    <row r="196" spans="1:14" x14ac:dyDescent="0.2">
      <c r="A196" s="68"/>
      <c r="B196" s="101" t="s">
        <v>23</v>
      </c>
      <c r="C196" s="101" t="s">
        <v>23</v>
      </c>
      <c r="D196" s="101" t="str">
        <f t="shared" si="13"/>
        <v>11F</v>
      </c>
      <c r="E196" s="267" t="s">
        <v>161</v>
      </c>
      <c r="F196" s="267" t="s">
        <v>108</v>
      </c>
      <c r="G196" s="267" t="s">
        <v>120</v>
      </c>
      <c r="H196" s="268">
        <v>0</v>
      </c>
      <c r="I196" s="269" t="str">
        <f t="shared" si="10"/>
        <v>EUR11F11Y_Quote</v>
      </c>
      <c r="J196" s="270" t="str">
        <f>_xll.qlSwapRateHelper2(,$I196,$C196,Calendar,$E196,$F196,$G196,$J$4,$H196,B196,Discounting,Permanent,,ObjectOverwrite)</f>
        <v>obj_00855#0000</v>
      </c>
      <c r="K196" s="271" t="str">
        <f>_xll.ohRangeRetrieveError(J196)</f>
        <v/>
      </c>
      <c r="L196" s="124"/>
      <c r="N196" s="275"/>
    </row>
    <row r="197" spans="1:14" x14ac:dyDescent="0.2">
      <c r="A197" s="68"/>
      <c r="B197" s="101" t="s">
        <v>23</v>
      </c>
      <c r="C197" s="101" t="s">
        <v>22</v>
      </c>
      <c r="D197" s="101" t="str">
        <f t="shared" si="13"/>
        <v>11F</v>
      </c>
      <c r="E197" s="267" t="s">
        <v>161</v>
      </c>
      <c r="F197" s="267" t="s">
        <v>108</v>
      </c>
      <c r="G197" s="267" t="s">
        <v>120</v>
      </c>
      <c r="H197" s="268">
        <v>0</v>
      </c>
      <c r="I197" s="269" t="str">
        <f t="shared" si="10"/>
        <v>EUR11F12Y_Quote</v>
      </c>
      <c r="J197" s="270" t="str">
        <f>_xll.qlSwapRateHelper2(,$I197,$C197,Calendar,$E197,$F197,$G197,$J$4,$H197,B197,Discounting,Permanent,,ObjectOverwrite)</f>
        <v>obj_00838#0000</v>
      </c>
      <c r="K197" s="271" t="str">
        <f>_xll.ohRangeRetrieveError(J197)</f>
        <v/>
      </c>
      <c r="L197" s="124"/>
      <c r="N197" s="275"/>
    </row>
    <row r="198" spans="1:14" x14ac:dyDescent="0.2">
      <c r="A198" s="68"/>
      <c r="B198" s="101" t="s">
        <v>23</v>
      </c>
      <c r="C198" s="101" t="s">
        <v>21</v>
      </c>
      <c r="D198" s="101" t="str">
        <f t="shared" si="13"/>
        <v>11F</v>
      </c>
      <c r="E198" s="267" t="s">
        <v>161</v>
      </c>
      <c r="F198" s="267" t="s">
        <v>108</v>
      </c>
      <c r="G198" s="267" t="s">
        <v>120</v>
      </c>
      <c r="H198" s="268">
        <v>0</v>
      </c>
      <c r="I198" s="269" t="str">
        <f t="shared" ref="I198:I261" si="14">Currency&amp;$D198&amp;$C198&amp;QuoteSuffix</f>
        <v>EUR11F13Y_Quote</v>
      </c>
      <c r="J198" s="270" t="str">
        <f>_xll.qlSwapRateHelper2(,$I198,$C198,Calendar,$E198,$F198,$G198,$J$4,$H198,B198,Discounting,Permanent,,ObjectOverwrite)</f>
        <v>obj_0088b#0000</v>
      </c>
      <c r="K198" s="271" t="str">
        <f>_xll.ohRangeRetrieveError(J198)</f>
        <v/>
      </c>
      <c r="L198" s="124"/>
      <c r="N198" s="275"/>
    </row>
    <row r="199" spans="1:14" x14ac:dyDescent="0.2">
      <c r="A199" s="68"/>
      <c r="B199" s="101" t="s">
        <v>23</v>
      </c>
      <c r="C199" s="101" t="s">
        <v>20</v>
      </c>
      <c r="D199" s="101" t="str">
        <f t="shared" si="13"/>
        <v>11F</v>
      </c>
      <c r="E199" s="267" t="s">
        <v>161</v>
      </c>
      <c r="F199" s="267" t="s">
        <v>108</v>
      </c>
      <c r="G199" s="267" t="s">
        <v>120</v>
      </c>
      <c r="H199" s="268">
        <v>0</v>
      </c>
      <c r="I199" s="269" t="str">
        <f t="shared" si="14"/>
        <v>EUR11F14Y_Quote</v>
      </c>
      <c r="J199" s="270" t="str">
        <f>_xll.qlSwapRateHelper2(,$I199,$C199,Calendar,$E199,$F199,$G199,$J$4,$H199,B199,Discounting,Permanent,,ObjectOverwrite)</f>
        <v>obj_0086e#0000</v>
      </c>
      <c r="K199" s="271" t="str">
        <f>_xll.ohRangeRetrieveError(J199)</f>
        <v/>
      </c>
      <c r="L199" s="124"/>
      <c r="N199" s="275"/>
    </row>
    <row r="200" spans="1:14" x14ac:dyDescent="0.2">
      <c r="A200" s="68"/>
      <c r="B200" s="101" t="s">
        <v>23</v>
      </c>
      <c r="C200" s="101" t="s">
        <v>19</v>
      </c>
      <c r="D200" s="101" t="str">
        <f t="shared" si="13"/>
        <v>11F</v>
      </c>
      <c r="E200" s="267" t="s">
        <v>161</v>
      </c>
      <c r="F200" s="267" t="s">
        <v>108</v>
      </c>
      <c r="G200" s="267" t="s">
        <v>120</v>
      </c>
      <c r="H200" s="268">
        <v>0</v>
      </c>
      <c r="I200" s="269" t="str">
        <f t="shared" si="14"/>
        <v>EUR11F15Y_Quote</v>
      </c>
      <c r="J200" s="270" t="str">
        <f>_xll.qlSwapRateHelper2(,$I200,$C200,Calendar,$E200,$F200,$G200,$J$4,$H200,B200,Discounting,Permanent,,ObjectOverwrite)</f>
        <v>obj_00794#0000</v>
      </c>
      <c r="K200" s="271" t="str">
        <f>_xll.ohRangeRetrieveError(J200)</f>
        <v/>
      </c>
      <c r="L200" s="124"/>
      <c r="N200" s="275"/>
    </row>
    <row r="201" spans="1:14" x14ac:dyDescent="0.2">
      <c r="A201" s="68"/>
      <c r="B201" s="101" t="s">
        <v>23</v>
      </c>
      <c r="C201" s="101" t="s">
        <v>14</v>
      </c>
      <c r="D201" s="101" t="str">
        <f t="shared" si="13"/>
        <v>11F</v>
      </c>
      <c r="E201" s="267" t="s">
        <v>161</v>
      </c>
      <c r="F201" s="267" t="s">
        <v>108</v>
      </c>
      <c r="G201" s="267" t="s">
        <v>120</v>
      </c>
      <c r="H201" s="268">
        <v>0</v>
      </c>
      <c r="I201" s="269" t="str">
        <f t="shared" si="14"/>
        <v>EUR11F20Y_Quote</v>
      </c>
      <c r="J201" s="270" t="str">
        <f>_xll.qlSwapRateHelper2(,$I201,$C201,Calendar,$E201,$F201,$G201,$J$4,$H201,B201,Discounting,Permanent,,ObjectOverwrite)</f>
        <v>obj_0083c#0000</v>
      </c>
      <c r="K201" s="271" t="str">
        <f>_xll.ohRangeRetrieveError(J201)</f>
        <v/>
      </c>
      <c r="L201" s="124"/>
      <c r="N201" s="275"/>
    </row>
    <row r="202" spans="1:14" x14ac:dyDescent="0.2">
      <c r="A202" s="68"/>
      <c r="B202" s="101" t="s">
        <v>23</v>
      </c>
      <c r="C202" s="101" t="s">
        <v>9</v>
      </c>
      <c r="D202" s="101" t="str">
        <f t="shared" si="13"/>
        <v>11F</v>
      </c>
      <c r="E202" s="267" t="s">
        <v>161</v>
      </c>
      <c r="F202" s="267" t="s">
        <v>108</v>
      </c>
      <c r="G202" s="267" t="s">
        <v>120</v>
      </c>
      <c r="H202" s="268">
        <v>0</v>
      </c>
      <c r="I202" s="269" t="str">
        <f t="shared" si="14"/>
        <v>EUR11F25Y_Quote</v>
      </c>
      <c r="J202" s="270" t="str">
        <f>_xll.qlSwapRateHelper2(,$I202,$C202,Calendar,$E202,$F202,$G202,$J$4,$H202,B202,Discounting,Permanent,,ObjectOverwrite)</f>
        <v>obj_00892#0000</v>
      </c>
      <c r="K202" s="271" t="str">
        <f>_xll.ohRangeRetrieveError(J202)</f>
        <v/>
      </c>
      <c r="L202" s="124"/>
      <c r="N202" s="275"/>
    </row>
    <row r="203" spans="1:14" x14ac:dyDescent="0.2">
      <c r="A203" s="68"/>
      <c r="B203" s="272" t="s">
        <v>23</v>
      </c>
      <c r="C203" s="272" t="s">
        <v>4</v>
      </c>
      <c r="D203" s="272" t="str">
        <f t="shared" si="13"/>
        <v>11F</v>
      </c>
      <c r="E203" s="130" t="s">
        <v>161</v>
      </c>
      <c r="F203" s="130" t="s">
        <v>108</v>
      </c>
      <c r="G203" s="130" t="s">
        <v>120</v>
      </c>
      <c r="H203" s="273">
        <v>0</v>
      </c>
      <c r="I203" s="128" t="str">
        <f t="shared" si="14"/>
        <v>EUR11F30Y_Quote</v>
      </c>
      <c r="J203" s="157" t="str">
        <f>_xll.qlSwapRateHelper2(,$I203,$C203,Calendar,$E203,$F203,$G203,$J$4,$H203,B203,Discounting,Permanent,,ObjectOverwrite)</f>
        <v>obj_0085d#0000</v>
      </c>
      <c r="K203" s="274" t="str">
        <f>_xll.ohRangeRetrieveError(J203)</f>
        <v/>
      </c>
      <c r="L203" s="124"/>
      <c r="N203" s="275"/>
    </row>
    <row r="204" spans="1:14" x14ac:dyDescent="0.2">
      <c r="A204" s="68"/>
      <c r="B204" s="106" t="s">
        <v>22</v>
      </c>
      <c r="C204" s="106" t="s">
        <v>36</v>
      </c>
      <c r="D204" s="106" t="str">
        <f>LEFT(B204,2)&amp;"F"</f>
        <v>12F</v>
      </c>
      <c r="E204" s="115" t="s">
        <v>161</v>
      </c>
      <c r="F204" s="115" t="s">
        <v>108</v>
      </c>
      <c r="G204" s="115" t="s">
        <v>120</v>
      </c>
      <c r="H204" s="263">
        <v>0</v>
      </c>
      <c r="I204" s="264" t="str">
        <f t="shared" si="14"/>
        <v>EUR12F1Y_Quote</v>
      </c>
      <c r="J204" s="265" t="str">
        <f>_xll.qlSwapRateHelper2(,$I204,$C204,Calendar,$E204,$F204,$G204,$J$4,$H204,B204,Discounting,Permanent,,ObjectOverwrite)</f>
        <v>obj_00784#0000</v>
      </c>
      <c r="K204" s="266" t="str">
        <f>_xll.ohRangeRetrieveError(J204)</f>
        <v/>
      </c>
      <c r="L204" s="124"/>
      <c r="N204" s="275"/>
    </row>
    <row r="205" spans="1:14" x14ac:dyDescent="0.2">
      <c r="A205" s="68"/>
      <c r="B205" s="101" t="s">
        <v>22</v>
      </c>
      <c r="C205" s="101" t="s">
        <v>32</v>
      </c>
      <c r="D205" s="101" t="str">
        <f t="shared" ref="D205:D221" si="15">LEFT(B205,2)&amp;"F"</f>
        <v>12F</v>
      </c>
      <c r="E205" s="267" t="s">
        <v>161</v>
      </c>
      <c r="F205" s="267" t="s">
        <v>108</v>
      </c>
      <c r="G205" s="267" t="s">
        <v>120</v>
      </c>
      <c r="H205" s="268">
        <v>0</v>
      </c>
      <c r="I205" s="269" t="str">
        <f t="shared" si="14"/>
        <v>EUR12F2Y_Quote</v>
      </c>
      <c r="J205" s="270" t="str">
        <f>_xll.qlSwapRateHelper2(,$I205,$C205,Calendar,$E205,$F205,$G205,$J$4,$H205,B205,Discounting,Permanent,,ObjectOverwrite)</f>
        <v>obj_00788#0000</v>
      </c>
      <c r="K205" s="271" t="str">
        <f>_xll.ohRangeRetrieveError(J205)</f>
        <v/>
      </c>
      <c r="L205" s="124"/>
      <c r="N205" s="275"/>
    </row>
    <row r="206" spans="1:14" x14ac:dyDescent="0.2">
      <c r="A206" s="68"/>
      <c r="B206" s="101" t="s">
        <v>22</v>
      </c>
      <c r="C206" s="101" t="s">
        <v>31</v>
      </c>
      <c r="D206" s="101" t="str">
        <f t="shared" si="15"/>
        <v>12F</v>
      </c>
      <c r="E206" s="267" t="s">
        <v>161</v>
      </c>
      <c r="F206" s="267" t="s">
        <v>108</v>
      </c>
      <c r="G206" s="267" t="s">
        <v>120</v>
      </c>
      <c r="H206" s="268">
        <v>0</v>
      </c>
      <c r="I206" s="269" t="str">
        <f t="shared" si="14"/>
        <v>EUR12F3Y_Quote</v>
      </c>
      <c r="J206" s="270" t="str">
        <f>_xll.qlSwapRateHelper2(,$I206,$C206,Calendar,$E206,$F206,$G206,$J$4,$H206,B206,Discounting,Permanent,,ObjectOverwrite)</f>
        <v>obj_00826#0000</v>
      </c>
      <c r="K206" s="271" t="str">
        <f>_xll.ohRangeRetrieveError(J206)</f>
        <v/>
      </c>
      <c r="L206" s="124"/>
      <c r="N206" s="275"/>
    </row>
    <row r="207" spans="1:14" x14ac:dyDescent="0.2">
      <c r="A207" s="68"/>
      <c r="B207" s="101" t="s">
        <v>22</v>
      </c>
      <c r="C207" s="101" t="s">
        <v>30</v>
      </c>
      <c r="D207" s="101" t="str">
        <f t="shared" si="15"/>
        <v>12F</v>
      </c>
      <c r="E207" s="267" t="s">
        <v>161</v>
      </c>
      <c r="F207" s="267" t="s">
        <v>108</v>
      </c>
      <c r="G207" s="267" t="s">
        <v>120</v>
      </c>
      <c r="H207" s="268">
        <v>0</v>
      </c>
      <c r="I207" s="269" t="str">
        <f t="shared" si="14"/>
        <v>EUR12F4Y_Quote</v>
      </c>
      <c r="J207" s="270" t="str">
        <f>_xll.qlSwapRateHelper2(,$I207,$C207,Calendar,$E207,$F207,$G207,$J$4,$H207,B207,Discounting,Permanent,,ObjectOverwrite)</f>
        <v>obj_00885#0000</v>
      </c>
      <c r="K207" s="271" t="str">
        <f>_xll.ohRangeRetrieveError(J207)</f>
        <v/>
      </c>
      <c r="L207" s="124"/>
      <c r="N207" s="275"/>
    </row>
    <row r="208" spans="1:14" x14ac:dyDescent="0.2">
      <c r="A208" s="68"/>
      <c r="B208" s="101" t="s">
        <v>22</v>
      </c>
      <c r="C208" s="101" t="s">
        <v>29</v>
      </c>
      <c r="D208" s="101" t="str">
        <f t="shared" si="15"/>
        <v>12F</v>
      </c>
      <c r="E208" s="267" t="s">
        <v>161</v>
      </c>
      <c r="F208" s="267" t="s">
        <v>108</v>
      </c>
      <c r="G208" s="267" t="s">
        <v>120</v>
      </c>
      <c r="H208" s="268">
        <v>0</v>
      </c>
      <c r="I208" s="269" t="str">
        <f t="shared" si="14"/>
        <v>EUR12F5Y_Quote</v>
      </c>
      <c r="J208" s="270" t="str">
        <f>_xll.qlSwapRateHelper2(,$I208,$C208,Calendar,$E208,$F208,$G208,$J$4,$H208,B208,Discounting,Permanent,,ObjectOverwrite)</f>
        <v>obj_0080b#0000</v>
      </c>
      <c r="K208" s="271" t="str">
        <f>_xll.ohRangeRetrieveError(J208)</f>
        <v/>
      </c>
      <c r="L208" s="124"/>
      <c r="N208" s="275"/>
    </row>
    <row r="209" spans="1:14" x14ac:dyDescent="0.2">
      <c r="A209" s="68"/>
      <c r="B209" s="101" t="s">
        <v>22</v>
      </c>
      <c r="C209" s="101" t="s">
        <v>28</v>
      </c>
      <c r="D209" s="101" t="str">
        <f t="shared" si="15"/>
        <v>12F</v>
      </c>
      <c r="E209" s="267" t="s">
        <v>161</v>
      </c>
      <c r="F209" s="267" t="s">
        <v>108</v>
      </c>
      <c r="G209" s="267" t="s">
        <v>120</v>
      </c>
      <c r="H209" s="268">
        <v>0</v>
      </c>
      <c r="I209" s="269" t="str">
        <f t="shared" si="14"/>
        <v>EUR12F6Y_Quote</v>
      </c>
      <c r="J209" s="270" t="str">
        <f>_xll.qlSwapRateHelper2(,$I209,$C209,Calendar,$E209,$F209,$G209,$J$4,$H209,B209,Discounting,Permanent,,ObjectOverwrite)</f>
        <v>obj_00875#0000</v>
      </c>
      <c r="K209" s="271" t="str">
        <f>_xll.ohRangeRetrieveError(J209)</f>
        <v/>
      </c>
      <c r="L209" s="124"/>
      <c r="N209" s="275"/>
    </row>
    <row r="210" spans="1:14" x14ac:dyDescent="0.2">
      <c r="A210" s="68"/>
      <c r="B210" s="101" t="s">
        <v>22</v>
      </c>
      <c r="C210" s="101" t="s">
        <v>27</v>
      </c>
      <c r="D210" s="101" t="str">
        <f t="shared" si="15"/>
        <v>12F</v>
      </c>
      <c r="E210" s="267" t="s">
        <v>161</v>
      </c>
      <c r="F210" s="267" t="s">
        <v>108</v>
      </c>
      <c r="G210" s="267" t="s">
        <v>120</v>
      </c>
      <c r="H210" s="268">
        <v>0</v>
      </c>
      <c r="I210" s="269" t="str">
        <f t="shared" si="14"/>
        <v>EUR12F7Y_Quote</v>
      </c>
      <c r="J210" s="270" t="str">
        <f>_xll.qlSwapRateHelper2(,$I210,$C210,Calendar,$E210,$F210,$G210,$J$4,$H210,B210,Discounting,Permanent,,ObjectOverwrite)</f>
        <v>obj_00801#0000</v>
      </c>
      <c r="K210" s="271" t="str">
        <f>_xll.ohRangeRetrieveError(J210)</f>
        <v/>
      </c>
      <c r="L210" s="124"/>
      <c r="N210" s="275"/>
    </row>
    <row r="211" spans="1:14" x14ac:dyDescent="0.2">
      <c r="A211" s="68"/>
      <c r="B211" s="101" t="s">
        <v>22</v>
      </c>
      <c r="C211" s="101" t="s">
        <v>26</v>
      </c>
      <c r="D211" s="101" t="str">
        <f t="shared" si="15"/>
        <v>12F</v>
      </c>
      <c r="E211" s="267" t="s">
        <v>161</v>
      </c>
      <c r="F211" s="267" t="s">
        <v>108</v>
      </c>
      <c r="G211" s="267" t="s">
        <v>120</v>
      </c>
      <c r="H211" s="268">
        <v>0</v>
      </c>
      <c r="I211" s="269" t="str">
        <f t="shared" si="14"/>
        <v>EUR12F8Y_Quote</v>
      </c>
      <c r="J211" s="270" t="str">
        <f>_xll.qlSwapRateHelper2(,$I211,$C211,Calendar,$E211,$F211,$G211,$J$4,$H211,B211,Discounting,Permanent,,ObjectOverwrite)</f>
        <v>obj_007a1#0000</v>
      </c>
      <c r="K211" s="271" t="str">
        <f>_xll.ohRangeRetrieveError(J211)</f>
        <v/>
      </c>
      <c r="L211" s="124"/>
      <c r="N211" s="275"/>
    </row>
    <row r="212" spans="1:14" x14ac:dyDescent="0.2">
      <c r="A212" s="68"/>
      <c r="B212" s="101" t="s">
        <v>22</v>
      </c>
      <c r="C212" s="101" t="s">
        <v>25</v>
      </c>
      <c r="D212" s="101" t="str">
        <f t="shared" si="15"/>
        <v>12F</v>
      </c>
      <c r="E212" s="267" t="s">
        <v>161</v>
      </c>
      <c r="F212" s="267" t="s">
        <v>108</v>
      </c>
      <c r="G212" s="267" t="s">
        <v>120</v>
      </c>
      <c r="H212" s="268">
        <v>0</v>
      </c>
      <c r="I212" s="269" t="str">
        <f t="shared" si="14"/>
        <v>EUR12F9Y_Quote</v>
      </c>
      <c r="J212" s="270" t="str">
        <f>_xll.qlSwapRateHelper2(,$I212,$C212,Calendar,$E212,$F212,$G212,$J$4,$H212,B212,Discounting,Permanent,,ObjectOverwrite)</f>
        <v>obj_00823#0000</v>
      </c>
      <c r="K212" s="271" t="str">
        <f>_xll.ohRangeRetrieveError(J212)</f>
        <v/>
      </c>
      <c r="L212" s="124"/>
      <c r="N212" s="275"/>
    </row>
    <row r="213" spans="1:14" x14ac:dyDescent="0.2">
      <c r="A213" s="68"/>
      <c r="B213" s="101" t="s">
        <v>22</v>
      </c>
      <c r="C213" s="101" t="s">
        <v>24</v>
      </c>
      <c r="D213" s="101" t="str">
        <f t="shared" si="15"/>
        <v>12F</v>
      </c>
      <c r="E213" s="267" t="s">
        <v>161</v>
      </c>
      <c r="F213" s="267" t="s">
        <v>108</v>
      </c>
      <c r="G213" s="267" t="s">
        <v>120</v>
      </c>
      <c r="H213" s="268">
        <v>0</v>
      </c>
      <c r="I213" s="269" t="str">
        <f t="shared" si="14"/>
        <v>EUR12F10Y_Quote</v>
      </c>
      <c r="J213" s="270" t="str">
        <f>_xll.qlSwapRateHelper2(,$I213,$C213,Calendar,$E213,$F213,$G213,$J$4,$H213,B213,Discounting,Permanent,,ObjectOverwrite)</f>
        <v>obj_007de#0000</v>
      </c>
      <c r="K213" s="271" t="str">
        <f>_xll.ohRangeRetrieveError(J213)</f>
        <v/>
      </c>
      <c r="L213" s="124"/>
      <c r="N213" s="275"/>
    </row>
    <row r="214" spans="1:14" x14ac:dyDescent="0.2">
      <c r="A214" s="68"/>
      <c r="B214" s="101" t="s">
        <v>22</v>
      </c>
      <c r="C214" s="101" t="s">
        <v>23</v>
      </c>
      <c r="D214" s="101" t="str">
        <f t="shared" si="15"/>
        <v>12F</v>
      </c>
      <c r="E214" s="267" t="s">
        <v>161</v>
      </c>
      <c r="F214" s="267" t="s">
        <v>108</v>
      </c>
      <c r="G214" s="267" t="s">
        <v>120</v>
      </c>
      <c r="H214" s="268">
        <v>0</v>
      </c>
      <c r="I214" s="269" t="str">
        <f t="shared" si="14"/>
        <v>EUR12F11Y_Quote</v>
      </c>
      <c r="J214" s="270" t="str">
        <f>_xll.qlSwapRateHelper2(,$I214,$C214,Calendar,$E214,$F214,$G214,$J$4,$H214,B214,Discounting,Permanent,,ObjectOverwrite)</f>
        <v>obj_007ee#0000</v>
      </c>
      <c r="K214" s="271" t="str">
        <f>_xll.ohRangeRetrieveError(J214)</f>
        <v/>
      </c>
      <c r="L214" s="124"/>
      <c r="N214" s="275"/>
    </row>
    <row r="215" spans="1:14" x14ac:dyDescent="0.2">
      <c r="A215" s="68"/>
      <c r="B215" s="101" t="s">
        <v>22</v>
      </c>
      <c r="C215" s="101" t="s">
        <v>22</v>
      </c>
      <c r="D215" s="101" t="str">
        <f t="shared" si="15"/>
        <v>12F</v>
      </c>
      <c r="E215" s="267" t="s">
        <v>161</v>
      </c>
      <c r="F215" s="267" t="s">
        <v>108</v>
      </c>
      <c r="G215" s="267" t="s">
        <v>120</v>
      </c>
      <c r="H215" s="268">
        <v>0</v>
      </c>
      <c r="I215" s="269" t="str">
        <f t="shared" si="14"/>
        <v>EUR12F12Y_Quote</v>
      </c>
      <c r="J215" s="270" t="str">
        <f>_xll.qlSwapRateHelper2(,$I215,$C215,Calendar,$E215,$F215,$G215,$J$4,$H215,B215,Discounting,Permanent,,ObjectOverwrite)</f>
        <v>obj_00832#0000</v>
      </c>
      <c r="K215" s="271" t="str">
        <f>_xll.ohRangeRetrieveError(J215)</f>
        <v/>
      </c>
      <c r="L215" s="124"/>
      <c r="N215" s="275"/>
    </row>
    <row r="216" spans="1:14" x14ac:dyDescent="0.2">
      <c r="A216" s="68"/>
      <c r="B216" s="101" t="s">
        <v>22</v>
      </c>
      <c r="C216" s="101" t="s">
        <v>21</v>
      </c>
      <c r="D216" s="101" t="str">
        <f t="shared" si="15"/>
        <v>12F</v>
      </c>
      <c r="E216" s="267" t="s">
        <v>161</v>
      </c>
      <c r="F216" s="267" t="s">
        <v>108</v>
      </c>
      <c r="G216" s="267" t="s">
        <v>120</v>
      </c>
      <c r="H216" s="268">
        <v>0</v>
      </c>
      <c r="I216" s="269" t="str">
        <f t="shared" si="14"/>
        <v>EUR12F13Y_Quote</v>
      </c>
      <c r="J216" s="270" t="str">
        <f>_xll.qlSwapRateHelper2(,$I216,$C216,Calendar,$E216,$F216,$G216,$J$4,$H216,B216,Discounting,Permanent,,ObjectOverwrite)</f>
        <v>obj_00805#0000</v>
      </c>
      <c r="K216" s="271" t="str">
        <f>_xll.ohRangeRetrieveError(J216)</f>
        <v/>
      </c>
      <c r="L216" s="124"/>
      <c r="N216" s="275"/>
    </row>
    <row r="217" spans="1:14" x14ac:dyDescent="0.2">
      <c r="A217" s="68"/>
      <c r="B217" s="101" t="s">
        <v>22</v>
      </c>
      <c r="C217" s="101" t="s">
        <v>20</v>
      </c>
      <c r="D217" s="101" t="str">
        <f t="shared" si="15"/>
        <v>12F</v>
      </c>
      <c r="E217" s="267" t="s">
        <v>161</v>
      </c>
      <c r="F217" s="267" t="s">
        <v>108</v>
      </c>
      <c r="G217" s="267" t="s">
        <v>120</v>
      </c>
      <c r="H217" s="268">
        <v>0</v>
      </c>
      <c r="I217" s="269" t="str">
        <f t="shared" si="14"/>
        <v>EUR12F14Y_Quote</v>
      </c>
      <c r="J217" s="270" t="str">
        <f>_xll.qlSwapRateHelper2(,$I217,$C217,Calendar,$E217,$F217,$G217,$J$4,$H217,B217,Discounting,Permanent,,ObjectOverwrite)</f>
        <v>obj_007be#0000</v>
      </c>
      <c r="K217" s="271" t="str">
        <f>_xll.ohRangeRetrieveError(J217)</f>
        <v/>
      </c>
      <c r="L217" s="124"/>
      <c r="N217" s="275"/>
    </row>
    <row r="218" spans="1:14" x14ac:dyDescent="0.2">
      <c r="A218" s="68"/>
      <c r="B218" s="101" t="s">
        <v>22</v>
      </c>
      <c r="C218" s="101" t="s">
        <v>19</v>
      </c>
      <c r="D218" s="101" t="str">
        <f t="shared" si="15"/>
        <v>12F</v>
      </c>
      <c r="E218" s="267" t="s">
        <v>161</v>
      </c>
      <c r="F218" s="267" t="s">
        <v>108</v>
      </c>
      <c r="G218" s="267" t="s">
        <v>120</v>
      </c>
      <c r="H218" s="268">
        <v>0</v>
      </c>
      <c r="I218" s="269" t="str">
        <f t="shared" si="14"/>
        <v>EUR12F15Y_Quote</v>
      </c>
      <c r="J218" s="270" t="str">
        <f>_xll.qlSwapRateHelper2(,$I218,$C218,Calendar,$E218,$F218,$G218,$J$4,$H218,B218,Discounting,Permanent,,ObjectOverwrite)</f>
        <v>obj_00883#0000</v>
      </c>
      <c r="K218" s="271" t="str">
        <f>_xll.ohRangeRetrieveError(J218)</f>
        <v/>
      </c>
      <c r="L218" s="124"/>
      <c r="N218" s="275"/>
    </row>
    <row r="219" spans="1:14" x14ac:dyDescent="0.2">
      <c r="A219" s="68"/>
      <c r="B219" s="101" t="s">
        <v>22</v>
      </c>
      <c r="C219" s="101" t="s">
        <v>14</v>
      </c>
      <c r="D219" s="101" t="str">
        <f t="shared" si="15"/>
        <v>12F</v>
      </c>
      <c r="E219" s="267" t="s">
        <v>161</v>
      </c>
      <c r="F219" s="267" t="s">
        <v>108</v>
      </c>
      <c r="G219" s="267" t="s">
        <v>120</v>
      </c>
      <c r="H219" s="268">
        <v>0</v>
      </c>
      <c r="I219" s="269" t="str">
        <f t="shared" si="14"/>
        <v>EUR12F20Y_Quote</v>
      </c>
      <c r="J219" s="270" t="str">
        <f>_xll.qlSwapRateHelper2(,$I219,$C219,Calendar,$E219,$F219,$G219,$J$4,$H219,B219,Discounting,Permanent,,ObjectOverwrite)</f>
        <v>obj_00872#0000</v>
      </c>
      <c r="K219" s="271" t="str">
        <f>_xll.ohRangeRetrieveError(J219)</f>
        <v/>
      </c>
      <c r="L219" s="124"/>
      <c r="N219" s="275"/>
    </row>
    <row r="220" spans="1:14" x14ac:dyDescent="0.2">
      <c r="A220" s="68"/>
      <c r="B220" s="101" t="s">
        <v>22</v>
      </c>
      <c r="C220" s="101" t="s">
        <v>9</v>
      </c>
      <c r="D220" s="101" t="str">
        <f t="shared" si="15"/>
        <v>12F</v>
      </c>
      <c r="E220" s="267" t="s">
        <v>161</v>
      </c>
      <c r="F220" s="267" t="s">
        <v>108</v>
      </c>
      <c r="G220" s="267" t="s">
        <v>120</v>
      </c>
      <c r="H220" s="268">
        <v>0</v>
      </c>
      <c r="I220" s="269" t="str">
        <f t="shared" si="14"/>
        <v>EUR12F25Y_Quote</v>
      </c>
      <c r="J220" s="270" t="str">
        <f>_xll.qlSwapRateHelper2(,$I220,$C220,Calendar,$E220,$F220,$G220,$J$4,$H220,B220,Discounting,Permanent,,ObjectOverwrite)</f>
        <v>obj_007bd#0000</v>
      </c>
      <c r="K220" s="271" t="str">
        <f>_xll.ohRangeRetrieveError(J220)</f>
        <v/>
      </c>
      <c r="L220" s="124"/>
      <c r="N220" s="275"/>
    </row>
    <row r="221" spans="1:14" x14ac:dyDescent="0.2">
      <c r="A221" s="68"/>
      <c r="B221" s="272" t="s">
        <v>22</v>
      </c>
      <c r="C221" s="272" t="s">
        <v>4</v>
      </c>
      <c r="D221" s="272" t="str">
        <f t="shared" si="15"/>
        <v>12F</v>
      </c>
      <c r="E221" s="130" t="s">
        <v>161</v>
      </c>
      <c r="F221" s="130" t="s">
        <v>108</v>
      </c>
      <c r="G221" s="130" t="s">
        <v>120</v>
      </c>
      <c r="H221" s="273">
        <v>0</v>
      </c>
      <c r="I221" s="128" t="str">
        <f t="shared" si="14"/>
        <v>EUR12F30Y_Quote</v>
      </c>
      <c r="J221" s="157" t="str">
        <f>_xll.qlSwapRateHelper2(,$I221,$C221,Calendar,$E221,$F221,$G221,$J$4,$H221,B221,Discounting,Permanent,,ObjectOverwrite)</f>
        <v>obj_00866#0000</v>
      </c>
      <c r="K221" s="274" t="str">
        <f>_xll.ohRangeRetrieveError(J221)</f>
        <v/>
      </c>
      <c r="L221" s="124"/>
      <c r="N221" s="275"/>
    </row>
    <row r="222" spans="1:14" x14ac:dyDescent="0.2">
      <c r="A222" s="68"/>
      <c r="B222" s="106" t="s">
        <v>21</v>
      </c>
      <c r="C222" s="106" t="s">
        <v>36</v>
      </c>
      <c r="D222" s="106" t="str">
        <f>LEFT(B222,2)&amp;"F"</f>
        <v>13F</v>
      </c>
      <c r="E222" s="115" t="s">
        <v>161</v>
      </c>
      <c r="F222" s="115" t="s">
        <v>108</v>
      </c>
      <c r="G222" s="115" t="s">
        <v>120</v>
      </c>
      <c r="H222" s="263">
        <v>0</v>
      </c>
      <c r="I222" s="264" t="str">
        <f t="shared" si="14"/>
        <v>EUR13F1Y_Quote</v>
      </c>
      <c r="J222" s="265" t="str">
        <f>_xll.qlSwapRateHelper2(,$I222,$C222,Calendar,$E222,$F222,$G222,$J$4,$H222,B222,Discounting,Permanent,,ObjectOverwrite)</f>
        <v>obj_007f9#0000</v>
      </c>
      <c r="K222" s="266" t="str">
        <f>_xll.ohRangeRetrieveError(J222)</f>
        <v/>
      </c>
      <c r="L222" s="124"/>
      <c r="N222" s="275"/>
    </row>
    <row r="223" spans="1:14" x14ac:dyDescent="0.2">
      <c r="A223" s="68"/>
      <c r="B223" s="101" t="s">
        <v>21</v>
      </c>
      <c r="C223" s="101" t="s">
        <v>32</v>
      </c>
      <c r="D223" s="101" t="str">
        <f t="shared" ref="D223:D239" si="16">LEFT(B223,2)&amp;"F"</f>
        <v>13F</v>
      </c>
      <c r="E223" s="267" t="s">
        <v>161</v>
      </c>
      <c r="F223" s="267" t="s">
        <v>108</v>
      </c>
      <c r="G223" s="267" t="s">
        <v>120</v>
      </c>
      <c r="H223" s="268">
        <v>0</v>
      </c>
      <c r="I223" s="269" t="str">
        <f t="shared" si="14"/>
        <v>EUR13F2Y_Quote</v>
      </c>
      <c r="J223" s="270" t="str">
        <f>_xll.qlSwapRateHelper2(,$I223,$C223,Calendar,$E223,$F223,$G223,$J$4,$H223,B223,Discounting,Permanent,,ObjectOverwrite)</f>
        <v>obj_0084a#0000</v>
      </c>
      <c r="K223" s="271" t="str">
        <f>_xll.ohRangeRetrieveError(J223)</f>
        <v/>
      </c>
      <c r="L223" s="124"/>
      <c r="N223" s="275"/>
    </row>
    <row r="224" spans="1:14" x14ac:dyDescent="0.2">
      <c r="A224" s="68"/>
      <c r="B224" s="101" t="s">
        <v>21</v>
      </c>
      <c r="C224" s="101" t="s">
        <v>31</v>
      </c>
      <c r="D224" s="101" t="str">
        <f t="shared" si="16"/>
        <v>13F</v>
      </c>
      <c r="E224" s="267" t="s">
        <v>161</v>
      </c>
      <c r="F224" s="267" t="s">
        <v>108</v>
      </c>
      <c r="G224" s="267" t="s">
        <v>120</v>
      </c>
      <c r="H224" s="268">
        <v>0</v>
      </c>
      <c r="I224" s="269" t="str">
        <f t="shared" si="14"/>
        <v>EUR13F3Y_Quote</v>
      </c>
      <c r="J224" s="270" t="str">
        <f>_xll.qlSwapRateHelper2(,$I224,$C224,Calendar,$E224,$F224,$G224,$J$4,$H224,B224,Discounting,Permanent,,ObjectOverwrite)</f>
        <v>obj_007e9#0000</v>
      </c>
      <c r="K224" s="271" t="str">
        <f>_xll.ohRangeRetrieveError(J224)</f>
        <v/>
      </c>
      <c r="L224" s="124"/>
      <c r="N224" s="275"/>
    </row>
    <row r="225" spans="1:14" x14ac:dyDescent="0.2">
      <c r="A225" s="68"/>
      <c r="B225" s="101" t="s">
        <v>21</v>
      </c>
      <c r="C225" s="101" t="s">
        <v>30</v>
      </c>
      <c r="D225" s="101" t="str">
        <f t="shared" si="16"/>
        <v>13F</v>
      </c>
      <c r="E225" s="267" t="s">
        <v>161</v>
      </c>
      <c r="F225" s="267" t="s">
        <v>108</v>
      </c>
      <c r="G225" s="267" t="s">
        <v>120</v>
      </c>
      <c r="H225" s="268">
        <v>0</v>
      </c>
      <c r="I225" s="269" t="str">
        <f t="shared" si="14"/>
        <v>EUR13F4Y_Quote</v>
      </c>
      <c r="J225" s="270" t="str">
        <f>_xll.qlSwapRateHelper2(,$I225,$C225,Calendar,$E225,$F225,$G225,$J$4,$H225,B225,Discounting,Permanent,,ObjectOverwrite)</f>
        <v>obj_0078f#0000</v>
      </c>
      <c r="K225" s="271" t="str">
        <f>_xll.ohRangeRetrieveError(J225)</f>
        <v/>
      </c>
      <c r="L225" s="124"/>
      <c r="N225" s="275"/>
    </row>
    <row r="226" spans="1:14" x14ac:dyDescent="0.2">
      <c r="A226" s="68"/>
      <c r="B226" s="101" t="s">
        <v>21</v>
      </c>
      <c r="C226" s="101" t="s">
        <v>29</v>
      </c>
      <c r="D226" s="101" t="str">
        <f t="shared" si="16"/>
        <v>13F</v>
      </c>
      <c r="E226" s="267" t="s">
        <v>161</v>
      </c>
      <c r="F226" s="267" t="s">
        <v>108</v>
      </c>
      <c r="G226" s="267" t="s">
        <v>120</v>
      </c>
      <c r="H226" s="268">
        <v>0</v>
      </c>
      <c r="I226" s="269" t="str">
        <f t="shared" si="14"/>
        <v>EUR13F5Y_Quote</v>
      </c>
      <c r="J226" s="270" t="str">
        <f>_xll.qlSwapRateHelper2(,$I226,$C226,Calendar,$E226,$F226,$G226,$J$4,$H226,B226,Discounting,Permanent,,ObjectOverwrite)</f>
        <v>obj_00876#0000</v>
      </c>
      <c r="K226" s="271" t="str">
        <f>_xll.ohRangeRetrieveError(J226)</f>
        <v/>
      </c>
      <c r="L226" s="124"/>
      <c r="N226" s="275"/>
    </row>
    <row r="227" spans="1:14" x14ac:dyDescent="0.2">
      <c r="A227" s="68"/>
      <c r="B227" s="101" t="s">
        <v>21</v>
      </c>
      <c r="C227" s="101" t="s">
        <v>28</v>
      </c>
      <c r="D227" s="101" t="str">
        <f t="shared" si="16"/>
        <v>13F</v>
      </c>
      <c r="E227" s="267" t="s">
        <v>161</v>
      </c>
      <c r="F227" s="267" t="s">
        <v>108</v>
      </c>
      <c r="G227" s="267" t="s">
        <v>120</v>
      </c>
      <c r="H227" s="268">
        <v>0</v>
      </c>
      <c r="I227" s="269" t="str">
        <f t="shared" si="14"/>
        <v>EUR13F6Y_Quote</v>
      </c>
      <c r="J227" s="270" t="str">
        <f>_xll.qlSwapRateHelper2(,$I227,$C227,Calendar,$E227,$F227,$G227,$J$4,$H227,B227,Discounting,Permanent,,ObjectOverwrite)</f>
        <v>obj_00825#0000</v>
      </c>
      <c r="K227" s="271" t="str">
        <f>_xll.ohRangeRetrieveError(J227)</f>
        <v/>
      </c>
      <c r="L227" s="124"/>
      <c r="N227" s="275"/>
    </row>
    <row r="228" spans="1:14" x14ac:dyDescent="0.2">
      <c r="A228" s="68"/>
      <c r="B228" s="101" t="s">
        <v>21</v>
      </c>
      <c r="C228" s="101" t="s">
        <v>27</v>
      </c>
      <c r="D228" s="101" t="str">
        <f t="shared" si="16"/>
        <v>13F</v>
      </c>
      <c r="E228" s="267" t="s">
        <v>161</v>
      </c>
      <c r="F228" s="267" t="s">
        <v>108</v>
      </c>
      <c r="G228" s="267" t="s">
        <v>120</v>
      </c>
      <c r="H228" s="268">
        <v>0</v>
      </c>
      <c r="I228" s="269" t="str">
        <f t="shared" si="14"/>
        <v>EUR13F7Y_Quote</v>
      </c>
      <c r="J228" s="270" t="str">
        <f>_xll.qlSwapRateHelper2(,$I228,$C228,Calendar,$E228,$F228,$G228,$J$4,$H228,B228,Discounting,Permanent,,ObjectOverwrite)</f>
        <v>obj_0081f#0000</v>
      </c>
      <c r="K228" s="271" t="str">
        <f>_xll.ohRangeRetrieveError(J228)</f>
        <v/>
      </c>
      <c r="L228" s="124"/>
      <c r="N228" s="275"/>
    </row>
    <row r="229" spans="1:14" x14ac:dyDescent="0.2">
      <c r="A229" s="68"/>
      <c r="B229" s="101" t="s">
        <v>21</v>
      </c>
      <c r="C229" s="101" t="s">
        <v>26</v>
      </c>
      <c r="D229" s="101" t="str">
        <f t="shared" si="16"/>
        <v>13F</v>
      </c>
      <c r="E229" s="267" t="s">
        <v>161</v>
      </c>
      <c r="F229" s="267" t="s">
        <v>108</v>
      </c>
      <c r="G229" s="267" t="s">
        <v>120</v>
      </c>
      <c r="H229" s="268">
        <v>0</v>
      </c>
      <c r="I229" s="269" t="str">
        <f t="shared" si="14"/>
        <v>EUR13F8Y_Quote</v>
      </c>
      <c r="J229" s="270" t="str">
        <f>_xll.qlSwapRateHelper2(,$I229,$C229,Calendar,$E229,$F229,$G229,$J$4,$H229,B229,Discounting,Permanent,,ObjectOverwrite)</f>
        <v>obj_007ef#0000</v>
      </c>
      <c r="K229" s="271" t="str">
        <f>_xll.ohRangeRetrieveError(J229)</f>
        <v/>
      </c>
      <c r="L229" s="124"/>
      <c r="N229" s="275"/>
    </row>
    <row r="230" spans="1:14" x14ac:dyDescent="0.2">
      <c r="A230" s="68"/>
      <c r="B230" s="101" t="s">
        <v>21</v>
      </c>
      <c r="C230" s="101" t="s">
        <v>25</v>
      </c>
      <c r="D230" s="101" t="str">
        <f t="shared" si="16"/>
        <v>13F</v>
      </c>
      <c r="E230" s="267" t="s">
        <v>161</v>
      </c>
      <c r="F230" s="267" t="s">
        <v>108</v>
      </c>
      <c r="G230" s="267" t="s">
        <v>120</v>
      </c>
      <c r="H230" s="268">
        <v>0</v>
      </c>
      <c r="I230" s="269" t="str">
        <f t="shared" si="14"/>
        <v>EUR13F9Y_Quote</v>
      </c>
      <c r="J230" s="270" t="str">
        <f>_xll.qlSwapRateHelper2(,$I230,$C230,Calendar,$E230,$F230,$G230,$J$4,$H230,B230,Discounting,Permanent,,ObjectOverwrite)</f>
        <v>obj_0079f#0000</v>
      </c>
      <c r="K230" s="271" t="str">
        <f>_xll.ohRangeRetrieveError(J230)</f>
        <v/>
      </c>
      <c r="L230" s="124"/>
      <c r="N230" s="275"/>
    </row>
    <row r="231" spans="1:14" x14ac:dyDescent="0.2">
      <c r="A231" s="68"/>
      <c r="B231" s="101" t="s">
        <v>21</v>
      </c>
      <c r="C231" s="101" t="s">
        <v>24</v>
      </c>
      <c r="D231" s="101" t="str">
        <f t="shared" si="16"/>
        <v>13F</v>
      </c>
      <c r="E231" s="267" t="s">
        <v>161</v>
      </c>
      <c r="F231" s="267" t="s">
        <v>108</v>
      </c>
      <c r="G231" s="267" t="s">
        <v>120</v>
      </c>
      <c r="H231" s="268">
        <v>0</v>
      </c>
      <c r="I231" s="269" t="str">
        <f t="shared" si="14"/>
        <v>EUR13F10Y_Quote</v>
      </c>
      <c r="J231" s="270" t="str">
        <f>_xll.qlSwapRateHelper2(,$I231,$C231,Calendar,$E231,$F231,$G231,$J$4,$H231,B231,Discounting,Permanent,,ObjectOverwrite)</f>
        <v>obj_0079c#0000</v>
      </c>
      <c r="K231" s="271" t="str">
        <f>_xll.ohRangeRetrieveError(J231)</f>
        <v/>
      </c>
      <c r="L231" s="124"/>
      <c r="N231" s="275"/>
    </row>
    <row r="232" spans="1:14" x14ac:dyDescent="0.2">
      <c r="A232" s="68"/>
      <c r="B232" s="101" t="s">
        <v>21</v>
      </c>
      <c r="C232" s="101" t="s">
        <v>23</v>
      </c>
      <c r="D232" s="101" t="str">
        <f t="shared" si="16"/>
        <v>13F</v>
      </c>
      <c r="E232" s="267" t="s">
        <v>161</v>
      </c>
      <c r="F232" s="267" t="s">
        <v>108</v>
      </c>
      <c r="G232" s="267" t="s">
        <v>120</v>
      </c>
      <c r="H232" s="268">
        <v>0</v>
      </c>
      <c r="I232" s="269" t="str">
        <f t="shared" si="14"/>
        <v>EUR13F11Y_Quote</v>
      </c>
      <c r="J232" s="270" t="str">
        <f>_xll.qlSwapRateHelper2(,$I232,$C232,Calendar,$E232,$F232,$G232,$J$4,$H232,B232,Discounting,Permanent,,ObjectOverwrite)</f>
        <v>obj_00772#0000</v>
      </c>
      <c r="K232" s="271" t="str">
        <f>_xll.ohRangeRetrieveError(J232)</f>
        <v/>
      </c>
      <c r="L232" s="124"/>
      <c r="N232" s="275"/>
    </row>
    <row r="233" spans="1:14" x14ac:dyDescent="0.2">
      <c r="A233" s="68"/>
      <c r="B233" s="101" t="s">
        <v>21</v>
      </c>
      <c r="C233" s="101" t="s">
        <v>22</v>
      </c>
      <c r="D233" s="101" t="str">
        <f t="shared" si="16"/>
        <v>13F</v>
      </c>
      <c r="E233" s="267" t="s">
        <v>161</v>
      </c>
      <c r="F233" s="267" t="s">
        <v>108</v>
      </c>
      <c r="G233" s="267" t="s">
        <v>120</v>
      </c>
      <c r="H233" s="268">
        <v>0</v>
      </c>
      <c r="I233" s="269" t="str">
        <f t="shared" si="14"/>
        <v>EUR13F12Y_Quote</v>
      </c>
      <c r="J233" s="270" t="str">
        <f>_xll.qlSwapRateHelper2(,$I233,$C233,Calendar,$E233,$F233,$G233,$J$4,$H233,B233,Discounting,Permanent,,ObjectOverwrite)</f>
        <v>obj_00795#0000</v>
      </c>
      <c r="K233" s="271" t="str">
        <f>_xll.ohRangeRetrieveError(J233)</f>
        <v/>
      </c>
      <c r="L233" s="124"/>
      <c r="N233" s="275"/>
    </row>
    <row r="234" spans="1:14" x14ac:dyDescent="0.2">
      <c r="A234" s="68"/>
      <c r="B234" s="101" t="s">
        <v>21</v>
      </c>
      <c r="C234" s="101" t="s">
        <v>21</v>
      </c>
      <c r="D234" s="101" t="str">
        <f t="shared" si="16"/>
        <v>13F</v>
      </c>
      <c r="E234" s="267" t="s">
        <v>161</v>
      </c>
      <c r="F234" s="267" t="s">
        <v>108</v>
      </c>
      <c r="G234" s="267" t="s">
        <v>120</v>
      </c>
      <c r="H234" s="268">
        <v>0</v>
      </c>
      <c r="I234" s="269" t="str">
        <f t="shared" si="14"/>
        <v>EUR13F13Y_Quote</v>
      </c>
      <c r="J234" s="270" t="str">
        <f>_xll.qlSwapRateHelper2(,$I234,$C234,Calendar,$E234,$F234,$G234,$J$4,$H234,B234,Discounting,Permanent,,ObjectOverwrite)</f>
        <v>obj_007d5#0000</v>
      </c>
      <c r="K234" s="271" t="str">
        <f>_xll.ohRangeRetrieveError(J234)</f>
        <v/>
      </c>
      <c r="L234" s="124"/>
      <c r="N234" s="275"/>
    </row>
    <row r="235" spans="1:14" x14ac:dyDescent="0.2">
      <c r="A235" s="68"/>
      <c r="B235" s="101" t="s">
        <v>21</v>
      </c>
      <c r="C235" s="101" t="s">
        <v>20</v>
      </c>
      <c r="D235" s="101" t="str">
        <f t="shared" si="16"/>
        <v>13F</v>
      </c>
      <c r="E235" s="267" t="s">
        <v>161</v>
      </c>
      <c r="F235" s="267" t="s">
        <v>108</v>
      </c>
      <c r="G235" s="267" t="s">
        <v>120</v>
      </c>
      <c r="H235" s="268">
        <v>0</v>
      </c>
      <c r="I235" s="269" t="str">
        <f t="shared" si="14"/>
        <v>EUR13F14Y_Quote</v>
      </c>
      <c r="J235" s="270" t="str">
        <f>_xll.qlSwapRateHelper2(,$I235,$C235,Calendar,$E235,$F235,$G235,$J$4,$H235,B235,Discounting,Permanent,,ObjectOverwrite)</f>
        <v>obj_00837#0000</v>
      </c>
      <c r="K235" s="271" t="str">
        <f>_xll.ohRangeRetrieveError(J235)</f>
        <v/>
      </c>
      <c r="L235" s="124"/>
      <c r="N235" s="275"/>
    </row>
    <row r="236" spans="1:14" x14ac:dyDescent="0.2">
      <c r="A236" s="68"/>
      <c r="B236" s="101" t="s">
        <v>21</v>
      </c>
      <c r="C236" s="101" t="s">
        <v>19</v>
      </c>
      <c r="D236" s="101" t="str">
        <f t="shared" si="16"/>
        <v>13F</v>
      </c>
      <c r="E236" s="267" t="s">
        <v>161</v>
      </c>
      <c r="F236" s="267" t="s">
        <v>108</v>
      </c>
      <c r="G236" s="267" t="s">
        <v>120</v>
      </c>
      <c r="H236" s="268">
        <v>0</v>
      </c>
      <c r="I236" s="269" t="str">
        <f t="shared" si="14"/>
        <v>EUR13F15Y_Quote</v>
      </c>
      <c r="J236" s="270" t="str">
        <f>_xll.qlSwapRateHelper2(,$I236,$C236,Calendar,$E236,$F236,$G236,$J$4,$H236,B236,Discounting,Permanent,,ObjectOverwrite)</f>
        <v>obj_0076f#0000</v>
      </c>
      <c r="K236" s="271" t="str">
        <f>_xll.ohRangeRetrieveError(J236)</f>
        <v/>
      </c>
      <c r="L236" s="124"/>
      <c r="N236" s="275"/>
    </row>
    <row r="237" spans="1:14" x14ac:dyDescent="0.2">
      <c r="A237" s="68"/>
      <c r="B237" s="101" t="s">
        <v>21</v>
      </c>
      <c r="C237" s="101" t="s">
        <v>14</v>
      </c>
      <c r="D237" s="101" t="str">
        <f t="shared" si="16"/>
        <v>13F</v>
      </c>
      <c r="E237" s="267" t="s">
        <v>161</v>
      </c>
      <c r="F237" s="267" t="s">
        <v>108</v>
      </c>
      <c r="G237" s="267" t="s">
        <v>120</v>
      </c>
      <c r="H237" s="268">
        <v>0</v>
      </c>
      <c r="I237" s="269" t="str">
        <f t="shared" si="14"/>
        <v>EUR13F20Y_Quote</v>
      </c>
      <c r="J237" s="270" t="str">
        <f>_xll.qlSwapRateHelper2(,$I237,$C237,Calendar,$E237,$F237,$G237,$J$4,$H237,B237,Discounting,Permanent,,ObjectOverwrite)</f>
        <v>obj_00845#0000</v>
      </c>
      <c r="K237" s="271" t="str">
        <f>_xll.ohRangeRetrieveError(J237)</f>
        <v/>
      </c>
      <c r="L237" s="124"/>
      <c r="N237" s="275"/>
    </row>
    <row r="238" spans="1:14" x14ac:dyDescent="0.2">
      <c r="A238" s="68"/>
      <c r="B238" s="101" t="s">
        <v>21</v>
      </c>
      <c r="C238" s="101" t="s">
        <v>9</v>
      </c>
      <c r="D238" s="101" t="str">
        <f t="shared" si="16"/>
        <v>13F</v>
      </c>
      <c r="E238" s="267" t="s">
        <v>161</v>
      </c>
      <c r="F238" s="267" t="s">
        <v>108</v>
      </c>
      <c r="G238" s="267" t="s">
        <v>120</v>
      </c>
      <c r="H238" s="268">
        <v>0</v>
      </c>
      <c r="I238" s="269" t="str">
        <f t="shared" si="14"/>
        <v>EUR13F25Y_Quote</v>
      </c>
      <c r="J238" s="270" t="str">
        <f>_xll.qlSwapRateHelper2(,$I238,$C238,Calendar,$E238,$F238,$G238,$J$4,$H238,B238,Discounting,Permanent,,ObjectOverwrite)</f>
        <v>obj_007b8#0000</v>
      </c>
      <c r="K238" s="271" t="str">
        <f>_xll.ohRangeRetrieveError(J238)</f>
        <v/>
      </c>
      <c r="L238" s="124"/>
      <c r="N238" s="275"/>
    </row>
    <row r="239" spans="1:14" x14ac:dyDescent="0.2">
      <c r="A239" s="68"/>
      <c r="B239" s="272" t="s">
        <v>21</v>
      </c>
      <c r="C239" s="272" t="s">
        <v>4</v>
      </c>
      <c r="D239" s="272" t="str">
        <f t="shared" si="16"/>
        <v>13F</v>
      </c>
      <c r="E239" s="130" t="s">
        <v>161</v>
      </c>
      <c r="F239" s="130" t="s">
        <v>108</v>
      </c>
      <c r="G239" s="130" t="s">
        <v>120</v>
      </c>
      <c r="H239" s="273">
        <v>0</v>
      </c>
      <c r="I239" s="128" t="str">
        <f t="shared" si="14"/>
        <v>EUR13F30Y_Quote</v>
      </c>
      <c r="J239" s="157" t="str">
        <f>_xll.qlSwapRateHelper2(,$I239,$C239,Calendar,$E239,$F239,$G239,$J$4,$H239,B239,Discounting,Permanent,,ObjectOverwrite)</f>
        <v>obj_00830#0000</v>
      </c>
      <c r="K239" s="274" t="str">
        <f>_xll.ohRangeRetrieveError(J239)</f>
        <v/>
      </c>
      <c r="L239" s="124"/>
      <c r="N239" s="275"/>
    </row>
    <row r="240" spans="1:14" x14ac:dyDescent="0.2">
      <c r="A240" s="68"/>
      <c r="B240" s="106" t="s">
        <v>20</v>
      </c>
      <c r="C240" s="106" t="s">
        <v>36</v>
      </c>
      <c r="D240" s="106" t="str">
        <f>LEFT(B240,2)&amp;"F"</f>
        <v>14F</v>
      </c>
      <c r="E240" s="115" t="s">
        <v>161</v>
      </c>
      <c r="F240" s="115" t="s">
        <v>108</v>
      </c>
      <c r="G240" s="115" t="s">
        <v>120</v>
      </c>
      <c r="H240" s="263">
        <v>0</v>
      </c>
      <c r="I240" s="264" t="str">
        <f t="shared" si="14"/>
        <v>EUR14F1Y_Quote</v>
      </c>
      <c r="J240" s="265" t="str">
        <f>_xll.qlSwapRateHelper2(,$I240,$C240,Calendar,$E240,$F240,$G240,$J$4,$H240,B240,Discounting,Permanent,,ObjectOverwrite)</f>
        <v>obj_007b4#0000</v>
      </c>
      <c r="K240" s="266" t="str">
        <f>_xll.ohRangeRetrieveError(J240)</f>
        <v/>
      </c>
      <c r="L240" s="124"/>
      <c r="N240" s="275"/>
    </row>
    <row r="241" spans="1:14" x14ac:dyDescent="0.2">
      <c r="A241" s="68"/>
      <c r="B241" s="101" t="s">
        <v>20</v>
      </c>
      <c r="C241" s="101" t="s">
        <v>32</v>
      </c>
      <c r="D241" s="101" t="str">
        <f t="shared" ref="D241:D257" si="17">LEFT(B241,2)&amp;"F"</f>
        <v>14F</v>
      </c>
      <c r="E241" s="267" t="s">
        <v>161</v>
      </c>
      <c r="F241" s="267" t="s">
        <v>108</v>
      </c>
      <c r="G241" s="267" t="s">
        <v>120</v>
      </c>
      <c r="H241" s="268">
        <v>0</v>
      </c>
      <c r="I241" s="269" t="str">
        <f t="shared" si="14"/>
        <v>EUR14F2Y_Quote</v>
      </c>
      <c r="J241" s="270" t="str">
        <f>_xll.qlSwapRateHelper2(,$I241,$C241,Calendar,$E241,$F241,$G241,$J$4,$H241,B241,Discounting,Permanent,,ObjectOverwrite)</f>
        <v>obj_00817#0000</v>
      </c>
      <c r="K241" s="271" t="str">
        <f>_xll.ohRangeRetrieveError(J241)</f>
        <v/>
      </c>
      <c r="L241" s="124"/>
      <c r="N241" s="275"/>
    </row>
    <row r="242" spans="1:14" x14ac:dyDescent="0.2">
      <c r="A242" s="68"/>
      <c r="B242" s="101" t="s">
        <v>20</v>
      </c>
      <c r="C242" s="101" t="s">
        <v>31</v>
      </c>
      <c r="D242" s="101" t="str">
        <f t="shared" si="17"/>
        <v>14F</v>
      </c>
      <c r="E242" s="267" t="s">
        <v>161</v>
      </c>
      <c r="F242" s="267" t="s">
        <v>108</v>
      </c>
      <c r="G242" s="267" t="s">
        <v>120</v>
      </c>
      <c r="H242" s="268">
        <v>0</v>
      </c>
      <c r="I242" s="269" t="str">
        <f t="shared" si="14"/>
        <v>EUR14F3Y_Quote</v>
      </c>
      <c r="J242" s="270" t="str">
        <f>_xll.qlSwapRateHelper2(,$I242,$C242,Calendar,$E242,$F242,$G242,$J$4,$H242,B242,Discounting,Permanent,,ObjectOverwrite)</f>
        <v>obj_007e1#0000</v>
      </c>
      <c r="K242" s="271" t="str">
        <f>_xll.ohRangeRetrieveError(J242)</f>
        <v/>
      </c>
      <c r="L242" s="124"/>
      <c r="N242" s="275"/>
    </row>
    <row r="243" spans="1:14" x14ac:dyDescent="0.2">
      <c r="A243" s="68"/>
      <c r="B243" s="101" t="s">
        <v>20</v>
      </c>
      <c r="C243" s="101" t="s">
        <v>30</v>
      </c>
      <c r="D243" s="101" t="str">
        <f t="shared" si="17"/>
        <v>14F</v>
      </c>
      <c r="E243" s="267" t="s">
        <v>161</v>
      </c>
      <c r="F243" s="267" t="s">
        <v>108</v>
      </c>
      <c r="G243" s="267" t="s">
        <v>120</v>
      </c>
      <c r="H243" s="268">
        <v>0</v>
      </c>
      <c r="I243" s="269" t="str">
        <f t="shared" si="14"/>
        <v>EUR14F4Y_Quote</v>
      </c>
      <c r="J243" s="270" t="str">
        <f>_xll.qlSwapRateHelper2(,$I243,$C243,Calendar,$E243,$F243,$G243,$J$4,$H243,B243,Discounting,Permanent,,ObjectOverwrite)</f>
        <v>obj_00813#0000</v>
      </c>
      <c r="K243" s="271" t="str">
        <f>_xll.ohRangeRetrieveError(J243)</f>
        <v/>
      </c>
      <c r="L243" s="124"/>
      <c r="N243" s="275"/>
    </row>
    <row r="244" spans="1:14" x14ac:dyDescent="0.2">
      <c r="A244" s="68"/>
      <c r="B244" s="101" t="s">
        <v>20</v>
      </c>
      <c r="C244" s="101" t="s">
        <v>29</v>
      </c>
      <c r="D244" s="101" t="str">
        <f t="shared" si="17"/>
        <v>14F</v>
      </c>
      <c r="E244" s="267" t="s">
        <v>161</v>
      </c>
      <c r="F244" s="267" t="s">
        <v>108</v>
      </c>
      <c r="G244" s="267" t="s">
        <v>120</v>
      </c>
      <c r="H244" s="268">
        <v>0</v>
      </c>
      <c r="I244" s="269" t="str">
        <f t="shared" si="14"/>
        <v>EUR14F5Y_Quote</v>
      </c>
      <c r="J244" s="270" t="str">
        <f>_xll.qlSwapRateHelper2(,$I244,$C244,Calendar,$E244,$F244,$G244,$J$4,$H244,B244,Discounting,Permanent,,ObjectOverwrite)</f>
        <v>obj_0076c#0000</v>
      </c>
      <c r="K244" s="271" t="str">
        <f>_xll.ohRangeRetrieveError(J244)</f>
        <v/>
      </c>
      <c r="L244" s="124"/>
      <c r="N244" s="275"/>
    </row>
    <row r="245" spans="1:14" x14ac:dyDescent="0.2">
      <c r="A245" s="68"/>
      <c r="B245" s="101" t="s">
        <v>20</v>
      </c>
      <c r="C245" s="101" t="s">
        <v>28</v>
      </c>
      <c r="D245" s="101" t="str">
        <f t="shared" si="17"/>
        <v>14F</v>
      </c>
      <c r="E245" s="267" t="s">
        <v>161</v>
      </c>
      <c r="F245" s="267" t="s">
        <v>108</v>
      </c>
      <c r="G245" s="267" t="s">
        <v>120</v>
      </c>
      <c r="H245" s="268">
        <v>0</v>
      </c>
      <c r="I245" s="269" t="str">
        <f t="shared" si="14"/>
        <v>EUR14F6Y_Quote</v>
      </c>
      <c r="J245" s="270" t="str">
        <f>_xll.qlSwapRateHelper2(,$I245,$C245,Calendar,$E245,$F245,$G245,$J$4,$H245,B245,Discounting,Permanent,,ObjectOverwrite)</f>
        <v>obj_007d6#0000</v>
      </c>
      <c r="K245" s="271" t="str">
        <f>_xll.ohRangeRetrieveError(J245)</f>
        <v/>
      </c>
      <c r="L245" s="124"/>
      <c r="N245" s="275"/>
    </row>
    <row r="246" spans="1:14" x14ac:dyDescent="0.2">
      <c r="A246" s="68"/>
      <c r="B246" s="101" t="s">
        <v>20</v>
      </c>
      <c r="C246" s="101" t="s">
        <v>27</v>
      </c>
      <c r="D246" s="101" t="str">
        <f t="shared" si="17"/>
        <v>14F</v>
      </c>
      <c r="E246" s="267" t="s">
        <v>161</v>
      </c>
      <c r="F246" s="267" t="s">
        <v>108</v>
      </c>
      <c r="G246" s="267" t="s">
        <v>120</v>
      </c>
      <c r="H246" s="268">
        <v>0</v>
      </c>
      <c r="I246" s="269" t="str">
        <f t="shared" si="14"/>
        <v>EUR14F7Y_Quote</v>
      </c>
      <c r="J246" s="270" t="str">
        <f>_xll.qlSwapRateHelper2(,$I246,$C246,Calendar,$E246,$F246,$G246,$J$4,$H246,B246,Discounting,Permanent,,ObjectOverwrite)</f>
        <v>obj_00782#0000</v>
      </c>
      <c r="K246" s="271" t="str">
        <f>_xll.ohRangeRetrieveError(J246)</f>
        <v/>
      </c>
      <c r="L246" s="124"/>
      <c r="N246" s="275"/>
    </row>
    <row r="247" spans="1:14" x14ac:dyDescent="0.2">
      <c r="A247" s="68"/>
      <c r="B247" s="101" t="s">
        <v>20</v>
      </c>
      <c r="C247" s="101" t="s">
        <v>26</v>
      </c>
      <c r="D247" s="101" t="str">
        <f t="shared" si="17"/>
        <v>14F</v>
      </c>
      <c r="E247" s="267" t="s">
        <v>161</v>
      </c>
      <c r="F247" s="267" t="s">
        <v>108</v>
      </c>
      <c r="G247" s="267" t="s">
        <v>120</v>
      </c>
      <c r="H247" s="268">
        <v>0</v>
      </c>
      <c r="I247" s="269" t="str">
        <f t="shared" si="14"/>
        <v>EUR14F8Y_Quote</v>
      </c>
      <c r="J247" s="270" t="str">
        <f>_xll.qlSwapRateHelper2(,$I247,$C247,Calendar,$E247,$F247,$G247,$J$4,$H247,B247,Discounting,Permanent,,ObjectOverwrite)</f>
        <v>obj_007eb#0000</v>
      </c>
      <c r="K247" s="271" t="str">
        <f>_xll.ohRangeRetrieveError(J247)</f>
        <v/>
      </c>
      <c r="L247" s="124"/>
      <c r="N247" s="275"/>
    </row>
    <row r="248" spans="1:14" x14ac:dyDescent="0.2">
      <c r="A248" s="68"/>
      <c r="B248" s="101" t="s">
        <v>20</v>
      </c>
      <c r="C248" s="101" t="s">
        <v>25</v>
      </c>
      <c r="D248" s="101" t="str">
        <f t="shared" si="17"/>
        <v>14F</v>
      </c>
      <c r="E248" s="267" t="s">
        <v>161</v>
      </c>
      <c r="F248" s="267" t="s">
        <v>108</v>
      </c>
      <c r="G248" s="267" t="s">
        <v>120</v>
      </c>
      <c r="H248" s="268">
        <v>0</v>
      </c>
      <c r="I248" s="269" t="str">
        <f t="shared" si="14"/>
        <v>EUR14F9Y_Quote</v>
      </c>
      <c r="J248" s="270" t="str">
        <f>_xll.qlSwapRateHelper2(,$I248,$C248,Calendar,$E248,$F248,$G248,$J$4,$H248,B248,Discounting,Permanent,,ObjectOverwrite)</f>
        <v>obj_0088e#0000</v>
      </c>
      <c r="K248" s="271" t="str">
        <f>_xll.ohRangeRetrieveError(J248)</f>
        <v/>
      </c>
      <c r="L248" s="124"/>
      <c r="N248" s="275"/>
    </row>
    <row r="249" spans="1:14" x14ac:dyDescent="0.2">
      <c r="A249" s="68"/>
      <c r="B249" s="101" t="s">
        <v>20</v>
      </c>
      <c r="C249" s="101" t="s">
        <v>24</v>
      </c>
      <c r="D249" s="101" t="str">
        <f t="shared" si="17"/>
        <v>14F</v>
      </c>
      <c r="E249" s="267" t="s">
        <v>161</v>
      </c>
      <c r="F249" s="267" t="s">
        <v>108</v>
      </c>
      <c r="G249" s="267" t="s">
        <v>120</v>
      </c>
      <c r="H249" s="268">
        <v>0</v>
      </c>
      <c r="I249" s="269" t="str">
        <f t="shared" si="14"/>
        <v>EUR14F10Y_Quote</v>
      </c>
      <c r="J249" s="270" t="str">
        <f>_xll.qlSwapRateHelper2(,$I249,$C249,Calendar,$E249,$F249,$G249,$J$4,$H249,B249,Discounting,Permanent,,ObjectOverwrite)</f>
        <v>obj_00775#0000</v>
      </c>
      <c r="K249" s="271" t="str">
        <f>_xll.ohRangeRetrieveError(J249)</f>
        <v/>
      </c>
      <c r="L249" s="124"/>
      <c r="N249" s="275"/>
    </row>
    <row r="250" spans="1:14" x14ac:dyDescent="0.2">
      <c r="A250" s="68"/>
      <c r="B250" s="101" t="s">
        <v>20</v>
      </c>
      <c r="C250" s="101" t="s">
        <v>23</v>
      </c>
      <c r="D250" s="101" t="str">
        <f t="shared" si="17"/>
        <v>14F</v>
      </c>
      <c r="E250" s="267" t="s">
        <v>161</v>
      </c>
      <c r="F250" s="267" t="s">
        <v>108</v>
      </c>
      <c r="G250" s="267" t="s">
        <v>120</v>
      </c>
      <c r="H250" s="268">
        <v>0</v>
      </c>
      <c r="I250" s="269" t="str">
        <f t="shared" si="14"/>
        <v>EUR14F11Y_Quote</v>
      </c>
      <c r="J250" s="270" t="str">
        <f>_xll.qlSwapRateHelper2(,$I250,$C250,Calendar,$E250,$F250,$G250,$J$4,$H250,B250,Discounting,Permanent,,ObjectOverwrite)</f>
        <v>obj_0085f#0000</v>
      </c>
      <c r="K250" s="271" t="str">
        <f>_xll.ohRangeRetrieveError(J250)</f>
        <v/>
      </c>
      <c r="L250" s="124"/>
      <c r="N250" s="275"/>
    </row>
    <row r="251" spans="1:14" x14ac:dyDescent="0.2">
      <c r="A251" s="68"/>
      <c r="B251" s="101" t="s">
        <v>20</v>
      </c>
      <c r="C251" s="101" t="s">
        <v>22</v>
      </c>
      <c r="D251" s="101" t="str">
        <f t="shared" si="17"/>
        <v>14F</v>
      </c>
      <c r="E251" s="267" t="s">
        <v>161</v>
      </c>
      <c r="F251" s="267" t="s">
        <v>108</v>
      </c>
      <c r="G251" s="267" t="s">
        <v>120</v>
      </c>
      <c r="H251" s="268">
        <v>0</v>
      </c>
      <c r="I251" s="269" t="str">
        <f t="shared" si="14"/>
        <v>EUR14F12Y_Quote</v>
      </c>
      <c r="J251" s="270" t="str">
        <f>_xll.qlSwapRateHelper2(,$I251,$C251,Calendar,$E251,$F251,$G251,$J$4,$H251,B251,Discounting,Permanent,,ObjectOverwrite)</f>
        <v>obj_007ac#0000</v>
      </c>
      <c r="K251" s="271" t="str">
        <f>_xll.ohRangeRetrieveError(J251)</f>
        <v/>
      </c>
      <c r="L251" s="124"/>
      <c r="N251" s="275"/>
    </row>
    <row r="252" spans="1:14" x14ac:dyDescent="0.2">
      <c r="A252" s="68"/>
      <c r="B252" s="101" t="s">
        <v>20</v>
      </c>
      <c r="C252" s="101" t="s">
        <v>21</v>
      </c>
      <c r="D252" s="101" t="str">
        <f t="shared" si="17"/>
        <v>14F</v>
      </c>
      <c r="E252" s="267" t="s">
        <v>161</v>
      </c>
      <c r="F252" s="267" t="s">
        <v>108</v>
      </c>
      <c r="G252" s="267" t="s">
        <v>120</v>
      </c>
      <c r="H252" s="268">
        <v>0</v>
      </c>
      <c r="I252" s="269" t="str">
        <f t="shared" si="14"/>
        <v>EUR14F13Y_Quote</v>
      </c>
      <c r="J252" s="270" t="str">
        <f>_xll.qlSwapRateHelper2(,$I252,$C252,Calendar,$E252,$F252,$G252,$J$4,$H252,B252,Discounting,Permanent,,ObjectOverwrite)</f>
        <v>obj_00774#0000</v>
      </c>
      <c r="K252" s="271" t="str">
        <f>_xll.ohRangeRetrieveError(J252)</f>
        <v/>
      </c>
      <c r="L252" s="124"/>
      <c r="N252" s="275"/>
    </row>
    <row r="253" spans="1:14" x14ac:dyDescent="0.2">
      <c r="A253" s="68"/>
      <c r="B253" s="101" t="s">
        <v>20</v>
      </c>
      <c r="C253" s="101" t="s">
        <v>20</v>
      </c>
      <c r="D253" s="101" t="str">
        <f t="shared" si="17"/>
        <v>14F</v>
      </c>
      <c r="E253" s="267" t="s">
        <v>161</v>
      </c>
      <c r="F253" s="267" t="s">
        <v>108</v>
      </c>
      <c r="G253" s="267" t="s">
        <v>120</v>
      </c>
      <c r="H253" s="268">
        <v>0</v>
      </c>
      <c r="I253" s="269" t="str">
        <f t="shared" si="14"/>
        <v>EUR14F14Y_Quote</v>
      </c>
      <c r="J253" s="270" t="str">
        <f>_xll.qlSwapRateHelper2(,$I253,$C253,Calendar,$E253,$F253,$G253,$J$4,$H253,B253,Discounting,Permanent,,ObjectOverwrite)</f>
        <v>obj_0076d#0000</v>
      </c>
      <c r="K253" s="271" t="str">
        <f>_xll.ohRangeRetrieveError(J253)</f>
        <v/>
      </c>
      <c r="L253" s="124"/>
      <c r="N253" s="275"/>
    </row>
    <row r="254" spans="1:14" x14ac:dyDescent="0.2">
      <c r="A254" s="68"/>
      <c r="B254" s="101" t="s">
        <v>20</v>
      </c>
      <c r="C254" s="101" t="s">
        <v>19</v>
      </c>
      <c r="D254" s="101" t="str">
        <f t="shared" si="17"/>
        <v>14F</v>
      </c>
      <c r="E254" s="267" t="s">
        <v>161</v>
      </c>
      <c r="F254" s="267" t="s">
        <v>108</v>
      </c>
      <c r="G254" s="267" t="s">
        <v>120</v>
      </c>
      <c r="H254" s="268">
        <v>0</v>
      </c>
      <c r="I254" s="269" t="str">
        <f t="shared" si="14"/>
        <v>EUR14F15Y_Quote</v>
      </c>
      <c r="J254" s="270" t="str">
        <f>_xll.qlSwapRateHelper2(,$I254,$C254,Calendar,$E254,$F254,$G254,$J$4,$H254,B254,Discounting,Permanent,,ObjectOverwrite)</f>
        <v>obj_0081c#0000</v>
      </c>
      <c r="K254" s="271" t="str">
        <f>_xll.ohRangeRetrieveError(J254)</f>
        <v/>
      </c>
      <c r="L254" s="124"/>
      <c r="N254" s="275"/>
    </row>
    <row r="255" spans="1:14" x14ac:dyDescent="0.2">
      <c r="A255" s="68"/>
      <c r="B255" s="101" t="s">
        <v>20</v>
      </c>
      <c r="C255" s="101" t="s">
        <v>14</v>
      </c>
      <c r="D255" s="101" t="str">
        <f t="shared" si="17"/>
        <v>14F</v>
      </c>
      <c r="E255" s="267" t="s">
        <v>161</v>
      </c>
      <c r="F255" s="267" t="s">
        <v>108</v>
      </c>
      <c r="G255" s="267" t="s">
        <v>120</v>
      </c>
      <c r="H255" s="268">
        <v>0</v>
      </c>
      <c r="I255" s="269" t="str">
        <f t="shared" si="14"/>
        <v>EUR14F20Y_Quote</v>
      </c>
      <c r="J255" s="270" t="str">
        <f>_xll.qlSwapRateHelper2(,$I255,$C255,Calendar,$E255,$F255,$G255,$J$4,$H255,B255,Discounting,Permanent,,ObjectOverwrite)</f>
        <v>obj_007ce#0000</v>
      </c>
      <c r="K255" s="271" t="str">
        <f>_xll.ohRangeRetrieveError(J255)</f>
        <v/>
      </c>
      <c r="L255" s="124"/>
      <c r="N255" s="275"/>
    </row>
    <row r="256" spans="1:14" x14ac:dyDescent="0.2">
      <c r="A256" s="68"/>
      <c r="B256" s="101" t="s">
        <v>20</v>
      </c>
      <c r="C256" s="101" t="s">
        <v>9</v>
      </c>
      <c r="D256" s="101" t="str">
        <f t="shared" si="17"/>
        <v>14F</v>
      </c>
      <c r="E256" s="267" t="s">
        <v>161</v>
      </c>
      <c r="F256" s="267" t="s">
        <v>108</v>
      </c>
      <c r="G256" s="267" t="s">
        <v>120</v>
      </c>
      <c r="H256" s="268">
        <v>0</v>
      </c>
      <c r="I256" s="269" t="str">
        <f t="shared" si="14"/>
        <v>EUR14F25Y_Quote</v>
      </c>
      <c r="J256" s="270" t="str">
        <f>_xll.qlSwapRateHelper2(,$I256,$C256,Calendar,$E256,$F256,$G256,$J$4,$H256,B256,Discounting,Permanent,,ObjectOverwrite)</f>
        <v>obj_007b1#0000</v>
      </c>
      <c r="K256" s="271" t="str">
        <f>_xll.ohRangeRetrieveError(J256)</f>
        <v/>
      </c>
      <c r="L256" s="124"/>
      <c r="N256" s="275"/>
    </row>
    <row r="257" spans="1:14" x14ac:dyDescent="0.2">
      <c r="A257" s="68"/>
      <c r="B257" s="272" t="s">
        <v>20</v>
      </c>
      <c r="C257" s="272" t="s">
        <v>4</v>
      </c>
      <c r="D257" s="272" t="str">
        <f t="shared" si="17"/>
        <v>14F</v>
      </c>
      <c r="E257" s="130" t="s">
        <v>161</v>
      </c>
      <c r="F257" s="130" t="s">
        <v>108</v>
      </c>
      <c r="G257" s="130" t="s">
        <v>120</v>
      </c>
      <c r="H257" s="273">
        <v>0</v>
      </c>
      <c r="I257" s="128" t="str">
        <f t="shared" si="14"/>
        <v>EUR14F30Y_Quote</v>
      </c>
      <c r="J257" s="157" t="str">
        <f>_xll.qlSwapRateHelper2(,$I257,$C257,Calendar,$E257,$F257,$G257,$J$4,$H257,B257,Discounting,Permanent,,ObjectOverwrite)</f>
        <v>obj_00791#0000</v>
      </c>
      <c r="K257" s="274" t="str">
        <f>_xll.ohRangeRetrieveError(J257)</f>
        <v/>
      </c>
      <c r="L257" s="124"/>
      <c r="N257" s="275"/>
    </row>
    <row r="258" spans="1:14" x14ac:dyDescent="0.2">
      <c r="A258" s="68"/>
      <c r="B258" s="106" t="s">
        <v>19</v>
      </c>
      <c r="C258" s="106" t="s">
        <v>36</v>
      </c>
      <c r="D258" s="106" t="str">
        <f>LEFT(B258,2)&amp;"F"</f>
        <v>15F</v>
      </c>
      <c r="E258" s="115" t="s">
        <v>161</v>
      </c>
      <c r="F258" s="115" t="s">
        <v>108</v>
      </c>
      <c r="G258" s="115" t="s">
        <v>120</v>
      </c>
      <c r="H258" s="263">
        <v>0</v>
      </c>
      <c r="I258" s="264" t="str">
        <f t="shared" si="14"/>
        <v>EUR15F1Y_Quote</v>
      </c>
      <c r="J258" s="265" t="str">
        <f>_xll.qlSwapRateHelper2(,$I258,$C258,Calendar,$E258,$F258,$G258,$J$4,$H258,B258,Discounting,Permanent,,ObjectOverwrite)</f>
        <v>obj_0085e#0000</v>
      </c>
      <c r="K258" s="266" t="str">
        <f>_xll.ohRangeRetrieveError(J258)</f>
        <v/>
      </c>
      <c r="L258" s="124"/>
      <c r="N258" s="275"/>
    </row>
    <row r="259" spans="1:14" x14ac:dyDescent="0.2">
      <c r="A259" s="68"/>
      <c r="B259" s="101" t="s">
        <v>19</v>
      </c>
      <c r="C259" s="101" t="s">
        <v>32</v>
      </c>
      <c r="D259" s="101" t="str">
        <f t="shared" ref="D259:D275" si="18">LEFT(B259,2)&amp;"F"</f>
        <v>15F</v>
      </c>
      <c r="E259" s="267" t="s">
        <v>161</v>
      </c>
      <c r="F259" s="267" t="s">
        <v>108</v>
      </c>
      <c r="G259" s="267" t="s">
        <v>120</v>
      </c>
      <c r="H259" s="268">
        <v>0</v>
      </c>
      <c r="I259" s="269" t="str">
        <f t="shared" si="14"/>
        <v>EUR15F2Y_Quote</v>
      </c>
      <c r="J259" s="270" t="str">
        <f>_xll.qlSwapRateHelper2(,$I259,$C259,Calendar,$E259,$F259,$G259,$J$4,$H259,B259,Discounting,Permanent,,ObjectOverwrite)</f>
        <v>obj_0079d#0000</v>
      </c>
      <c r="K259" s="271" t="str">
        <f>_xll.ohRangeRetrieveError(J259)</f>
        <v/>
      </c>
      <c r="L259" s="124"/>
      <c r="N259" s="275"/>
    </row>
    <row r="260" spans="1:14" x14ac:dyDescent="0.2">
      <c r="A260" s="68"/>
      <c r="B260" s="101" t="s">
        <v>19</v>
      </c>
      <c r="C260" s="101" t="s">
        <v>31</v>
      </c>
      <c r="D260" s="101" t="str">
        <f t="shared" si="18"/>
        <v>15F</v>
      </c>
      <c r="E260" s="267" t="s">
        <v>161</v>
      </c>
      <c r="F260" s="267" t="s">
        <v>108</v>
      </c>
      <c r="G260" s="267" t="s">
        <v>120</v>
      </c>
      <c r="H260" s="268">
        <v>0</v>
      </c>
      <c r="I260" s="269" t="str">
        <f t="shared" si="14"/>
        <v>EUR15F3Y_Quote</v>
      </c>
      <c r="J260" s="270" t="str">
        <f>_xll.qlSwapRateHelper2(,$I260,$C260,Calendar,$E260,$F260,$G260,$J$4,$H260,B260,Discounting,Permanent,,ObjectOverwrite)</f>
        <v>obj_007d8#0000</v>
      </c>
      <c r="K260" s="271" t="str">
        <f>_xll.ohRangeRetrieveError(J260)</f>
        <v/>
      </c>
      <c r="L260" s="124"/>
      <c r="N260" s="275"/>
    </row>
    <row r="261" spans="1:14" x14ac:dyDescent="0.2">
      <c r="A261" s="68"/>
      <c r="B261" s="101" t="s">
        <v>19</v>
      </c>
      <c r="C261" s="101" t="s">
        <v>30</v>
      </c>
      <c r="D261" s="101" t="str">
        <f t="shared" si="18"/>
        <v>15F</v>
      </c>
      <c r="E261" s="267" t="s">
        <v>161</v>
      </c>
      <c r="F261" s="267" t="s">
        <v>108</v>
      </c>
      <c r="G261" s="267" t="s">
        <v>120</v>
      </c>
      <c r="H261" s="268">
        <v>0</v>
      </c>
      <c r="I261" s="269" t="str">
        <f t="shared" si="14"/>
        <v>EUR15F4Y_Quote</v>
      </c>
      <c r="J261" s="270" t="str">
        <f>_xll.qlSwapRateHelper2(,$I261,$C261,Calendar,$E261,$F261,$G261,$J$4,$H261,B261,Discounting,Permanent,,ObjectOverwrite)</f>
        <v>obj_00787#0000</v>
      </c>
      <c r="K261" s="271" t="str">
        <f>_xll.ohRangeRetrieveError(J261)</f>
        <v/>
      </c>
      <c r="L261" s="124"/>
      <c r="N261" s="275"/>
    </row>
    <row r="262" spans="1:14" x14ac:dyDescent="0.2">
      <c r="A262" s="68"/>
      <c r="B262" s="101" t="s">
        <v>19</v>
      </c>
      <c r="C262" s="101" t="s">
        <v>29</v>
      </c>
      <c r="D262" s="101" t="str">
        <f t="shared" si="18"/>
        <v>15F</v>
      </c>
      <c r="E262" s="267" t="s">
        <v>161</v>
      </c>
      <c r="F262" s="267" t="s">
        <v>108</v>
      </c>
      <c r="G262" s="267" t="s">
        <v>120</v>
      </c>
      <c r="H262" s="268">
        <v>0</v>
      </c>
      <c r="I262" s="269" t="str">
        <f t="shared" ref="I262:I329" si="19">Currency&amp;$D262&amp;$C262&amp;QuoteSuffix</f>
        <v>EUR15F5Y_Quote</v>
      </c>
      <c r="J262" s="270" t="str">
        <f>_xll.qlSwapRateHelper2(,$I262,$C262,Calendar,$E262,$F262,$G262,$J$4,$H262,B262,Discounting,Permanent,,ObjectOverwrite)</f>
        <v>obj_00765#0000</v>
      </c>
      <c r="K262" s="271" t="str">
        <f>_xll.ohRangeRetrieveError(J262)</f>
        <v/>
      </c>
      <c r="L262" s="124"/>
      <c r="N262" s="275"/>
    </row>
    <row r="263" spans="1:14" x14ac:dyDescent="0.2">
      <c r="A263" s="68"/>
      <c r="B263" s="101" t="s">
        <v>19</v>
      </c>
      <c r="C263" s="101" t="s">
        <v>28</v>
      </c>
      <c r="D263" s="101" t="str">
        <f t="shared" si="18"/>
        <v>15F</v>
      </c>
      <c r="E263" s="267" t="s">
        <v>161</v>
      </c>
      <c r="F263" s="267" t="s">
        <v>108</v>
      </c>
      <c r="G263" s="267" t="s">
        <v>120</v>
      </c>
      <c r="H263" s="268">
        <v>0</v>
      </c>
      <c r="I263" s="269" t="str">
        <f t="shared" si="19"/>
        <v>EUR15F6Y_Quote</v>
      </c>
      <c r="J263" s="270" t="str">
        <f>_xll.qlSwapRateHelper2(,$I263,$C263,Calendar,$E263,$F263,$G263,$J$4,$H263,B263,Discounting,Permanent,,ObjectOverwrite)</f>
        <v>obj_007df#0000</v>
      </c>
      <c r="K263" s="271" t="str">
        <f>_xll.ohRangeRetrieveError(J263)</f>
        <v/>
      </c>
      <c r="L263" s="124"/>
      <c r="N263" s="275"/>
    </row>
    <row r="264" spans="1:14" x14ac:dyDescent="0.2">
      <c r="A264" s="68"/>
      <c r="B264" s="101" t="s">
        <v>19</v>
      </c>
      <c r="C264" s="101" t="s">
        <v>27</v>
      </c>
      <c r="D264" s="101" t="str">
        <f t="shared" si="18"/>
        <v>15F</v>
      </c>
      <c r="E264" s="267" t="s">
        <v>161</v>
      </c>
      <c r="F264" s="267" t="s">
        <v>108</v>
      </c>
      <c r="G264" s="267" t="s">
        <v>120</v>
      </c>
      <c r="H264" s="268">
        <v>0</v>
      </c>
      <c r="I264" s="269" t="str">
        <f t="shared" si="19"/>
        <v>EUR15F7Y_Quote</v>
      </c>
      <c r="J264" s="270" t="str">
        <f>_xll.qlSwapRateHelper2(,$I264,$C264,Calendar,$E264,$F264,$G264,$J$4,$H264,B264,Discounting,Permanent,,ObjectOverwrite)</f>
        <v>obj_00831#0000</v>
      </c>
      <c r="K264" s="271" t="str">
        <f>_xll.ohRangeRetrieveError(J264)</f>
        <v/>
      </c>
      <c r="L264" s="124"/>
      <c r="N264" s="275"/>
    </row>
    <row r="265" spans="1:14" x14ac:dyDescent="0.2">
      <c r="A265" s="68"/>
      <c r="B265" s="101" t="s">
        <v>19</v>
      </c>
      <c r="C265" s="101" t="s">
        <v>26</v>
      </c>
      <c r="D265" s="101" t="str">
        <f t="shared" si="18"/>
        <v>15F</v>
      </c>
      <c r="E265" s="267" t="s">
        <v>161</v>
      </c>
      <c r="F265" s="267" t="s">
        <v>108</v>
      </c>
      <c r="G265" s="267" t="s">
        <v>120</v>
      </c>
      <c r="H265" s="268">
        <v>0</v>
      </c>
      <c r="I265" s="269" t="str">
        <f t="shared" si="19"/>
        <v>EUR15F8Y_Quote</v>
      </c>
      <c r="J265" s="270" t="str">
        <f>_xll.qlSwapRateHelper2(,$I265,$C265,Calendar,$E265,$F265,$G265,$J$4,$H265,B265,Discounting,Permanent,,ObjectOverwrite)</f>
        <v>obj_007c9#0000</v>
      </c>
      <c r="K265" s="271" t="str">
        <f>_xll.ohRangeRetrieveError(J265)</f>
        <v/>
      </c>
      <c r="L265" s="124"/>
      <c r="N265" s="275"/>
    </row>
    <row r="266" spans="1:14" x14ac:dyDescent="0.2">
      <c r="A266" s="68"/>
      <c r="B266" s="101" t="s">
        <v>19</v>
      </c>
      <c r="C266" s="101" t="s">
        <v>25</v>
      </c>
      <c r="D266" s="101" t="str">
        <f t="shared" si="18"/>
        <v>15F</v>
      </c>
      <c r="E266" s="267" t="s">
        <v>161</v>
      </c>
      <c r="F266" s="267" t="s">
        <v>108</v>
      </c>
      <c r="G266" s="267" t="s">
        <v>120</v>
      </c>
      <c r="H266" s="268">
        <v>0</v>
      </c>
      <c r="I266" s="269" t="str">
        <f t="shared" si="19"/>
        <v>EUR15F9Y_Quote</v>
      </c>
      <c r="J266" s="270" t="str">
        <f>_xll.qlSwapRateHelper2(,$I266,$C266,Calendar,$E266,$F266,$G266,$J$4,$H266,B266,Discounting,Permanent,,ObjectOverwrite)</f>
        <v>obj_00839#0000</v>
      </c>
      <c r="K266" s="271" t="str">
        <f>_xll.ohRangeRetrieveError(J266)</f>
        <v/>
      </c>
      <c r="L266" s="124"/>
      <c r="N266" s="275"/>
    </row>
    <row r="267" spans="1:14" x14ac:dyDescent="0.2">
      <c r="A267" s="68"/>
      <c r="B267" s="101" t="s">
        <v>19</v>
      </c>
      <c r="C267" s="101" t="s">
        <v>24</v>
      </c>
      <c r="D267" s="101" t="str">
        <f t="shared" si="18"/>
        <v>15F</v>
      </c>
      <c r="E267" s="267" t="s">
        <v>161</v>
      </c>
      <c r="F267" s="267" t="s">
        <v>108</v>
      </c>
      <c r="G267" s="267" t="s">
        <v>120</v>
      </c>
      <c r="H267" s="268">
        <v>0</v>
      </c>
      <c r="I267" s="269" t="str">
        <f t="shared" si="19"/>
        <v>EUR15F10Y_Quote</v>
      </c>
      <c r="J267" s="270" t="str">
        <f>_xll.qlSwapRateHelper2(,$I267,$C267,Calendar,$E267,$F267,$G267,$J$4,$H267,B267,Discounting,Permanent,,ObjectOverwrite)</f>
        <v>obj_00862#0000</v>
      </c>
      <c r="K267" s="271" t="str">
        <f>_xll.ohRangeRetrieveError(J267)</f>
        <v/>
      </c>
      <c r="L267" s="124"/>
      <c r="N267" s="275"/>
    </row>
    <row r="268" spans="1:14" x14ac:dyDescent="0.2">
      <c r="A268" s="68"/>
      <c r="B268" s="101" t="s">
        <v>19</v>
      </c>
      <c r="C268" s="101" t="s">
        <v>23</v>
      </c>
      <c r="D268" s="101" t="str">
        <f t="shared" si="18"/>
        <v>15F</v>
      </c>
      <c r="E268" s="267" t="s">
        <v>161</v>
      </c>
      <c r="F268" s="267" t="s">
        <v>108</v>
      </c>
      <c r="G268" s="267" t="s">
        <v>120</v>
      </c>
      <c r="H268" s="268">
        <v>0</v>
      </c>
      <c r="I268" s="269" t="str">
        <f t="shared" si="19"/>
        <v>EUR15F11Y_Quote</v>
      </c>
      <c r="J268" s="270" t="str">
        <f>_xll.qlSwapRateHelper2(,$I268,$C268,Calendar,$E268,$F268,$G268,$J$4,$H268,B268,Discounting,Permanent,,ObjectOverwrite)</f>
        <v>obj_007d4#0000</v>
      </c>
      <c r="K268" s="271" t="str">
        <f>_xll.ohRangeRetrieveError(J268)</f>
        <v/>
      </c>
      <c r="L268" s="124"/>
      <c r="N268" s="275"/>
    </row>
    <row r="269" spans="1:14" x14ac:dyDescent="0.2">
      <c r="A269" s="68"/>
      <c r="B269" s="101" t="s">
        <v>19</v>
      </c>
      <c r="C269" s="101" t="s">
        <v>22</v>
      </c>
      <c r="D269" s="101" t="str">
        <f t="shared" si="18"/>
        <v>15F</v>
      </c>
      <c r="E269" s="267" t="s">
        <v>161</v>
      </c>
      <c r="F269" s="267" t="s">
        <v>108</v>
      </c>
      <c r="G269" s="267" t="s">
        <v>120</v>
      </c>
      <c r="H269" s="268">
        <v>0</v>
      </c>
      <c r="I269" s="269" t="str">
        <f t="shared" si="19"/>
        <v>EUR15F12Y_Quote</v>
      </c>
      <c r="J269" s="270" t="str">
        <f>_xll.qlSwapRateHelper2(,$I269,$C269,Calendar,$E269,$F269,$G269,$J$4,$H269,B269,Discounting,Permanent,,ObjectOverwrite)</f>
        <v>obj_00878#0000</v>
      </c>
      <c r="K269" s="271" t="str">
        <f>_xll.ohRangeRetrieveError(J269)</f>
        <v/>
      </c>
      <c r="L269" s="124"/>
      <c r="N269" s="275"/>
    </row>
    <row r="270" spans="1:14" x14ac:dyDescent="0.2">
      <c r="A270" s="68"/>
      <c r="B270" s="101" t="s">
        <v>19</v>
      </c>
      <c r="C270" s="101" t="s">
        <v>21</v>
      </c>
      <c r="D270" s="101" t="str">
        <f t="shared" si="18"/>
        <v>15F</v>
      </c>
      <c r="E270" s="267" t="s">
        <v>161</v>
      </c>
      <c r="F270" s="267" t="s">
        <v>108</v>
      </c>
      <c r="G270" s="267" t="s">
        <v>120</v>
      </c>
      <c r="H270" s="268">
        <v>0</v>
      </c>
      <c r="I270" s="269" t="str">
        <f t="shared" si="19"/>
        <v>EUR15F13Y_Quote</v>
      </c>
      <c r="J270" s="270" t="str">
        <f>_xll.qlSwapRateHelper2(,$I270,$C270,Calendar,$E270,$F270,$G270,$J$4,$H270,B270,Discounting,Permanent,,ObjectOverwrite)</f>
        <v>obj_0079a#0000</v>
      </c>
      <c r="K270" s="271" t="str">
        <f>_xll.ohRangeRetrieveError(J270)</f>
        <v/>
      </c>
      <c r="L270" s="124"/>
      <c r="N270" s="275"/>
    </row>
    <row r="271" spans="1:14" x14ac:dyDescent="0.2">
      <c r="A271" s="68"/>
      <c r="B271" s="101" t="s">
        <v>19</v>
      </c>
      <c r="C271" s="101" t="s">
        <v>20</v>
      </c>
      <c r="D271" s="101" t="str">
        <f t="shared" si="18"/>
        <v>15F</v>
      </c>
      <c r="E271" s="267" t="s">
        <v>161</v>
      </c>
      <c r="F271" s="267" t="s">
        <v>108</v>
      </c>
      <c r="G271" s="267" t="s">
        <v>120</v>
      </c>
      <c r="H271" s="268">
        <v>0</v>
      </c>
      <c r="I271" s="269" t="str">
        <f t="shared" si="19"/>
        <v>EUR15F14Y_Quote</v>
      </c>
      <c r="J271" s="270" t="str">
        <f>_xll.qlSwapRateHelper2(,$I271,$C271,Calendar,$E271,$F271,$G271,$J$4,$H271,B271,Discounting,Permanent,,ObjectOverwrite)</f>
        <v>obj_0084c#0000</v>
      </c>
      <c r="K271" s="271" t="str">
        <f>_xll.ohRangeRetrieveError(J271)</f>
        <v/>
      </c>
      <c r="L271" s="124"/>
      <c r="N271" s="275"/>
    </row>
    <row r="272" spans="1:14" x14ac:dyDescent="0.2">
      <c r="A272" s="68"/>
      <c r="B272" s="101" t="s">
        <v>19</v>
      </c>
      <c r="C272" s="101" t="s">
        <v>19</v>
      </c>
      <c r="D272" s="101" t="str">
        <f t="shared" si="18"/>
        <v>15F</v>
      </c>
      <c r="E272" s="267" t="s">
        <v>161</v>
      </c>
      <c r="F272" s="267" t="s">
        <v>108</v>
      </c>
      <c r="G272" s="267" t="s">
        <v>120</v>
      </c>
      <c r="H272" s="268">
        <v>0</v>
      </c>
      <c r="I272" s="269" t="str">
        <f t="shared" si="19"/>
        <v>EUR15F15Y_Quote</v>
      </c>
      <c r="J272" s="270" t="str">
        <f>_xll.qlSwapRateHelper2(,$I272,$C272,Calendar,$E272,$F272,$G272,$J$4,$H272,B272,Discounting,Permanent,,ObjectOverwrite)</f>
        <v>obj_007a6#0000</v>
      </c>
      <c r="K272" s="271" t="str">
        <f>_xll.ohRangeRetrieveError(J272)</f>
        <v/>
      </c>
      <c r="L272" s="124"/>
      <c r="N272" s="275"/>
    </row>
    <row r="273" spans="1:14" x14ac:dyDescent="0.2">
      <c r="A273" s="68"/>
      <c r="B273" s="101" t="s">
        <v>19</v>
      </c>
      <c r="C273" s="101" t="s">
        <v>14</v>
      </c>
      <c r="D273" s="101" t="str">
        <f t="shared" si="18"/>
        <v>15F</v>
      </c>
      <c r="E273" s="267" t="s">
        <v>161</v>
      </c>
      <c r="F273" s="267" t="s">
        <v>108</v>
      </c>
      <c r="G273" s="267" t="s">
        <v>120</v>
      </c>
      <c r="H273" s="268">
        <v>0</v>
      </c>
      <c r="I273" s="269" t="str">
        <f t="shared" si="19"/>
        <v>EUR15F20Y_Quote</v>
      </c>
      <c r="J273" s="270" t="str">
        <f>_xll.qlSwapRateHelper2(,$I273,$C273,Calendar,$E273,$F273,$G273,$J$4,$H273,B273,Discounting,Permanent,,ObjectOverwrite)</f>
        <v>obj_0076e#0000</v>
      </c>
      <c r="K273" s="271" t="str">
        <f>_xll.ohRangeRetrieveError(J273)</f>
        <v/>
      </c>
      <c r="L273" s="124"/>
      <c r="N273" s="275"/>
    </row>
    <row r="274" spans="1:14" x14ac:dyDescent="0.2">
      <c r="A274" s="68"/>
      <c r="B274" s="101" t="s">
        <v>19</v>
      </c>
      <c r="C274" s="101" t="s">
        <v>9</v>
      </c>
      <c r="D274" s="101" t="str">
        <f t="shared" si="18"/>
        <v>15F</v>
      </c>
      <c r="E274" s="267" t="s">
        <v>161</v>
      </c>
      <c r="F274" s="267" t="s">
        <v>108</v>
      </c>
      <c r="G274" s="267" t="s">
        <v>120</v>
      </c>
      <c r="H274" s="268">
        <v>0</v>
      </c>
      <c r="I274" s="269" t="str">
        <f t="shared" si="19"/>
        <v>EUR15F25Y_Quote</v>
      </c>
      <c r="J274" s="270" t="str">
        <f>_xll.qlSwapRateHelper2(,$I274,$C274,Calendar,$E274,$F274,$G274,$J$4,$H274,B274,Discounting,Permanent,,ObjectOverwrite)</f>
        <v>obj_007f7#0000</v>
      </c>
      <c r="K274" s="271" t="str">
        <f>_xll.ohRangeRetrieveError(J274)</f>
        <v/>
      </c>
      <c r="L274" s="124"/>
      <c r="N274" s="275"/>
    </row>
    <row r="275" spans="1:14" x14ac:dyDescent="0.2">
      <c r="A275" s="68"/>
      <c r="B275" s="272" t="s">
        <v>19</v>
      </c>
      <c r="C275" s="272" t="s">
        <v>4</v>
      </c>
      <c r="D275" s="272" t="str">
        <f t="shared" si="18"/>
        <v>15F</v>
      </c>
      <c r="E275" s="130" t="s">
        <v>161</v>
      </c>
      <c r="F275" s="130" t="s">
        <v>108</v>
      </c>
      <c r="G275" s="130" t="s">
        <v>120</v>
      </c>
      <c r="H275" s="273">
        <v>0</v>
      </c>
      <c r="I275" s="128" t="str">
        <f t="shared" si="19"/>
        <v>EUR15F30Y_Quote</v>
      </c>
      <c r="J275" s="157" t="str">
        <f>_xll.qlSwapRateHelper2(,$I275,$C275,Calendar,$E275,$F275,$G275,$J$4,$H275,B275,Discounting,Permanent,,ObjectOverwrite)</f>
        <v>obj_007d1#0000</v>
      </c>
      <c r="K275" s="274" t="str">
        <f>_xll.ohRangeRetrieveError(J275)</f>
        <v/>
      </c>
      <c r="L275" s="124"/>
      <c r="N275" s="275"/>
    </row>
    <row r="276" spans="1:14" x14ac:dyDescent="0.2">
      <c r="A276" s="68"/>
      <c r="B276" s="106" t="s">
        <v>14</v>
      </c>
      <c r="C276" s="106" t="s">
        <v>36</v>
      </c>
      <c r="D276" s="106" t="str">
        <f>LEFT(B276,2)&amp;"F"</f>
        <v>20F</v>
      </c>
      <c r="E276" s="115" t="s">
        <v>161</v>
      </c>
      <c r="F276" s="115" t="s">
        <v>108</v>
      </c>
      <c r="G276" s="115" t="s">
        <v>120</v>
      </c>
      <c r="H276" s="263">
        <v>0</v>
      </c>
      <c r="I276" s="264" t="str">
        <f t="shared" si="19"/>
        <v>EUR20F1Y_Quote</v>
      </c>
      <c r="J276" s="265" t="str">
        <f>_xll.qlSwapRateHelper2(,$I276,$C276,Calendar,$E276,$F276,$G276,$J$4,$H276,B276,Discounting,Permanent,,ObjectOverwrite)</f>
        <v>obj_007fa#0000</v>
      </c>
      <c r="K276" s="266" t="str">
        <f>_xll.ohRangeRetrieveError(J276)</f>
        <v/>
      </c>
      <c r="L276" s="124"/>
      <c r="N276" s="275"/>
    </row>
    <row r="277" spans="1:14" x14ac:dyDescent="0.2">
      <c r="A277" s="68"/>
      <c r="B277" s="101" t="s">
        <v>14</v>
      </c>
      <c r="C277" s="101" t="s">
        <v>32</v>
      </c>
      <c r="D277" s="101" t="str">
        <f t="shared" ref="D277:D293" si="20">LEFT(B277,2)&amp;"F"</f>
        <v>20F</v>
      </c>
      <c r="E277" s="267" t="s">
        <v>161</v>
      </c>
      <c r="F277" s="267" t="s">
        <v>108</v>
      </c>
      <c r="G277" s="267" t="s">
        <v>120</v>
      </c>
      <c r="H277" s="268">
        <v>0</v>
      </c>
      <c r="I277" s="269" t="str">
        <f t="shared" si="19"/>
        <v>EUR20F2Y_Quote</v>
      </c>
      <c r="J277" s="270" t="str">
        <f>_xll.qlSwapRateHelper2(,$I277,$C277,Calendar,$E277,$F277,$G277,$J$4,$H277,B277,Discounting,Permanent,,ObjectOverwrite)</f>
        <v>obj_00785#0000</v>
      </c>
      <c r="K277" s="271" t="str">
        <f>_xll.ohRangeRetrieveError(J277)</f>
        <v/>
      </c>
      <c r="L277" s="124"/>
      <c r="N277" s="275"/>
    </row>
    <row r="278" spans="1:14" x14ac:dyDescent="0.2">
      <c r="A278" s="68"/>
      <c r="B278" s="101" t="s">
        <v>14</v>
      </c>
      <c r="C278" s="101" t="s">
        <v>31</v>
      </c>
      <c r="D278" s="101" t="str">
        <f t="shared" si="20"/>
        <v>20F</v>
      </c>
      <c r="E278" s="267" t="s">
        <v>161</v>
      </c>
      <c r="F278" s="267" t="s">
        <v>108</v>
      </c>
      <c r="G278" s="267" t="s">
        <v>120</v>
      </c>
      <c r="H278" s="268">
        <v>0</v>
      </c>
      <c r="I278" s="269" t="str">
        <f t="shared" si="19"/>
        <v>EUR20F3Y_Quote</v>
      </c>
      <c r="J278" s="270" t="str">
        <f>_xll.qlSwapRateHelper2(,$I278,$C278,Calendar,$E278,$F278,$G278,$J$4,$H278,B278,Discounting,Permanent,,ObjectOverwrite)</f>
        <v>obj_00861#0000</v>
      </c>
      <c r="K278" s="271" t="str">
        <f>_xll.ohRangeRetrieveError(J278)</f>
        <v/>
      </c>
      <c r="L278" s="124"/>
      <c r="N278" s="275"/>
    </row>
    <row r="279" spans="1:14" x14ac:dyDescent="0.2">
      <c r="A279" s="68"/>
      <c r="B279" s="101" t="s">
        <v>14</v>
      </c>
      <c r="C279" s="101" t="s">
        <v>30</v>
      </c>
      <c r="D279" s="101" t="str">
        <f t="shared" si="20"/>
        <v>20F</v>
      </c>
      <c r="E279" s="267" t="s">
        <v>161</v>
      </c>
      <c r="F279" s="267" t="s">
        <v>108</v>
      </c>
      <c r="G279" s="267" t="s">
        <v>120</v>
      </c>
      <c r="H279" s="268">
        <v>0</v>
      </c>
      <c r="I279" s="269" t="str">
        <f t="shared" si="19"/>
        <v>EUR20F4Y_Quote</v>
      </c>
      <c r="J279" s="270" t="str">
        <f>_xll.qlSwapRateHelper2(,$I279,$C279,Calendar,$E279,$F279,$G279,$J$4,$H279,B279,Discounting,Permanent,,ObjectOverwrite)</f>
        <v>obj_00851#0000</v>
      </c>
      <c r="K279" s="271" t="str">
        <f>_xll.ohRangeRetrieveError(J279)</f>
        <v/>
      </c>
      <c r="L279" s="124"/>
      <c r="N279" s="275"/>
    </row>
    <row r="280" spans="1:14" x14ac:dyDescent="0.2">
      <c r="A280" s="68"/>
      <c r="B280" s="101" t="s">
        <v>14</v>
      </c>
      <c r="C280" s="101" t="s">
        <v>29</v>
      </c>
      <c r="D280" s="101" t="str">
        <f t="shared" si="20"/>
        <v>20F</v>
      </c>
      <c r="E280" s="267" t="s">
        <v>161</v>
      </c>
      <c r="F280" s="267" t="s">
        <v>108</v>
      </c>
      <c r="G280" s="267" t="s">
        <v>120</v>
      </c>
      <c r="H280" s="268">
        <v>0</v>
      </c>
      <c r="I280" s="269" t="str">
        <f t="shared" si="19"/>
        <v>EUR20F5Y_Quote</v>
      </c>
      <c r="J280" s="270" t="str">
        <f>_xll.qlSwapRateHelper2(,$I280,$C280,Calendar,$E280,$F280,$G280,$J$4,$H280,B280,Discounting,Permanent,,ObjectOverwrite)</f>
        <v>obj_00853#0000</v>
      </c>
      <c r="K280" s="271" t="str">
        <f>_xll.ohRangeRetrieveError(J280)</f>
        <v/>
      </c>
      <c r="L280" s="124"/>
      <c r="N280" s="275"/>
    </row>
    <row r="281" spans="1:14" x14ac:dyDescent="0.2">
      <c r="A281" s="68"/>
      <c r="B281" s="101" t="s">
        <v>14</v>
      </c>
      <c r="C281" s="101" t="s">
        <v>28</v>
      </c>
      <c r="D281" s="101" t="str">
        <f t="shared" si="20"/>
        <v>20F</v>
      </c>
      <c r="E281" s="267" t="s">
        <v>161</v>
      </c>
      <c r="F281" s="267" t="s">
        <v>108</v>
      </c>
      <c r="G281" s="267" t="s">
        <v>120</v>
      </c>
      <c r="H281" s="268">
        <v>0</v>
      </c>
      <c r="I281" s="269" t="str">
        <f t="shared" si="19"/>
        <v>EUR20F6Y_Quote</v>
      </c>
      <c r="J281" s="270" t="str">
        <f>_xll.qlSwapRateHelper2(,$I281,$C281,Calendar,$E281,$F281,$G281,$J$4,$H281,B281,Discounting,Permanent,,ObjectOverwrite)</f>
        <v>obj_0087b#0000</v>
      </c>
      <c r="K281" s="271" t="str">
        <f>_xll.ohRangeRetrieveError(J281)</f>
        <v/>
      </c>
      <c r="L281" s="124"/>
      <c r="N281" s="275"/>
    </row>
    <row r="282" spans="1:14" x14ac:dyDescent="0.2">
      <c r="A282" s="68"/>
      <c r="B282" s="101" t="s">
        <v>14</v>
      </c>
      <c r="C282" s="101" t="s">
        <v>27</v>
      </c>
      <c r="D282" s="101" t="str">
        <f t="shared" si="20"/>
        <v>20F</v>
      </c>
      <c r="E282" s="267" t="s">
        <v>161</v>
      </c>
      <c r="F282" s="267" t="s">
        <v>108</v>
      </c>
      <c r="G282" s="267" t="s">
        <v>120</v>
      </c>
      <c r="H282" s="268">
        <v>0</v>
      </c>
      <c r="I282" s="269" t="str">
        <f t="shared" si="19"/>
        <v>EUR20F7Y_Quote</v>
      </c>
      <c r="J282" s="270" t="str">
        <f>_xll.qlSwapRateHelper2(,$I282,$C282,Calendar,$E282,$F282,$G282,$J$4,$H282,B282,Discounting,Permanent,,ObjectOverwrite)</f>
        <v>obj_00871#0000</v>
      </c>
      <c r="K282" s="271" t="str">
        <f>_xll.ohRangeRetrieveError(J282)</f>
        <v/>
      </c>
      <c r="L282" s="124"/>
      <c r="N282" s="275"/>
    </row>
    <row r="283" spans="1:14" x14ac:dyDescent="0.2">
      <c r="A283" s="68"/>
      <c r="B283" s="101" t="s">
        <v>14</v>
      </c>
      <c r="C283" s="101" t="s">
        <v>26</v>
      </c>
      <c r="D283" s="101" t="str">
        <f t="shared" si="20"/>
        <v>20F</v>
      </c>
      <c r="E283" s="267" t="s">
        <v>161</v>
      </c>
      <c r="F283" s="267" t="s">
        <v>108</v>
      </c>
      <c r="G283" s="267" t="s">
        <v>120</v>
      </c>
      <c r="H283" s="268">
        <v>0</v>
      </c>
      <c r="I283" s="269" t="str">
        <f t="shared" si="19"/>
        <v>EUR20F8Y_Quote</v>
      </c>
      <c r="J283" s="270" t="str">
        <f>_xll.qlSwapRateHelper2(,$I283,$C283,Calendar,$E283,$F283,$G283,$J$4,$H283,B283,Discounting,Permanent,,ObjectOverwrite)</f>
        <v>obj_00881#0000</v>
      </c>
      <c r="K283" s="271" t="str">
        <f>_xll.ohRangeRetrieveError(J283)</f>
        <v/>
      </c>
      <c r="L283" s="124"/>
      <c r="N283" s="275"/>
    </row>
    <row r="284" spans="1:14" x14ac:dyDescent="0.2">
      <c r="A284" s="68"/>
      <c r="B284" s="101" t="s">
        <v>14</v>
      </c>
      <c r="C284" s="101" t="s">
        <v>25</v>
      </c>
      <c r="D284" s="101" t="str">
        <f t="shared" si="20"/>
        <v>20F</v>
      </c>
      <c r="E284" s="267" t="s">
        <v>161</v>
      </c>
      <c r="F284" s="267" t="s">
        <v>108</v>
      </c>
      <c r="G284" s="267" t="s">
        <v>120</v>
      </c>
      <c r="H284" s="268">
        <v>0</v>
      </c>
      <c r="I284" s="269" t="str">
        <f t="shared" si="19"/>
        <v>EUR20F9Y_Quote</v>
      </c>
      <c r="J284" s="270" t="str">
        <f>_xll.qlSwapRateHelper2(,$I284,$C284,Calendar,$E284,$F284,$G284,$J$4,$H284,B284,Discounting,Permanent,,ObjectOverwrite)</f>
        <v>obj_0080e#0000</v>
      </c>
      <c r="K284" s="271" t="str">
        <f>_xll.ohRangeRetrieveError(J284)</f>
        <v/>
      </c>
      <c r="L284" s="124"/>
      <c r="N284" s="275"/>
    </row>
    <row r="285" spans="1:14" x14ac:dyDescent="0.2">
      <c r="A285" s="68"/>
      <c r="B285" s="101" t="s">
        <v>14</v>
      </c>
      <c r="C285" s="101" t="s">
        <v>24</v>
      </c>
      <c r="D285" s="101" t="str">
        <f t="shared" si="20"/>
        <v>20F</v>
      </c>
      <c r="E285" s="267" t="s">
        <v>161</v>
      </c>
      <c r="F285" s="267" t="s">
        <v>108</v>
      </c>
      <c r="G285" s="267" t="s">
        <v>120</v>
      </c>
      <c r="H285" s="268">
        <v>0</v>
      </c>
      <c r="I285" s="269" t="str">
        <f t="shared" si="19"/>
        <v>EUR20F10Y_Quote</v>
      </c>
      <c r="J285" s="270" t="str">
        <f>_xll.qlSwapRateHelper2(,$I285,$C285,Calendar,$E285,$F285,$G285,$J$4,$H285,B285,Discounting,Permanent,,ObjectOverwrite)</f>
        <v>obj_00874#0000</v>
      </c>
      <c r="K285" s="271" t="str">
        <f>_xll.ohRangeRetrieveError(J285)</f>
        <v/>
      </c>
      <c r="L285" s="124"/>
      <c r="N285" s="275"/>
    </row>
    <row r="286" spans="1:14" x14ac:dyDescent="0.2">
      <c r="A286" s="68"/>
      <c r="B286" s="101" t="s">
        <v>14</v>
      </c>
      <c r="C286" s="101" t="s">
        <v>23</v>
      </c>
      <c r="D286" s="101" t="str">
        <f t="shared" si="20"/>
        <v>20F</v>
      </c>
      <c r="E286" s="267" t="s">
        <v>161</v>
      </c>
      <c r="F286" s="267" t="s">
        <v>108</v>
      </c>
      <c r="G286" s="267" t="s">
        <v>120</v>
      </c>
      <c r="H286" s="268">
        <v>0</v>
      </c>
      <c r="I286" s="269" t="str">
        <f t="shared" si="19"/>
        <v>EUR20F11Y_Quote</v>
      </c>
      <c r="J286" s="270" t="str">
        <f>_xll.qlSwapRateHelper2(,$I286,$C286,Calendar,$E286,$F286,$G286,$J$4,$H286,B286,Discounting,Permanent,,ObjectOverwrite)</f>
        <v>obj_007d0#0000</v>
      </c>
      <c r="K286" s="271" t="str">
        <f>_xll.ohRangeRetrieveError(J286)</f>
        <v/>
      </c>
      <c r="L286" s="124"/>
      <c r="N286" s="275"/>
    </row>
    <row r="287" spans="1:14" x14ac:dyDescent="0.2">
      <c r="A287" s="68"/>
      <c r="B287" s="101" t="s">
        <v>14</v>
      </c>
      <c r="C287" s="101" t="s">
        <v>22</v>
      </c>
      <c r="D287" s="101" t="str">
        <f t="shared" si="20"/>
        <v>20F</v>
      </c>
      <c r="E287" s="267" t="s">
        <v>161</v>
      </c>
      <c r="F287" s="267" t="s">
        <v>108</v>
      </c>
      <c r="G287" s="267" t="s">
        <v>120</v>
      </c>
      <c r="H287" s="268">
        <v>0</v>
      </c>
      <c r="I287" s="269" t="str">
        <f t="shared" si="19"/>
        <v>EUR20F12Y_Quote</v>
      </c>
      <c r="J287" s="270" t="str">
        <f>_xll.qlSwapRateHelper2(,$I287,$C287,Calendar,$E287,$F287,$G287,$J$4,$H287,B287,Discounting,Permanent,,ObjectOverwrite)</f>
        <v>obj_00806#0000</v>
      </c>
      <c r="K287" s="271" t="str">
        <f>_xll.ohRangeRetrieveError(J287)</f>
        <v/>
      </c>
      <c r="L287" s="124"/>
      <c r="N287" s="275"/>
    </row>
    <row r="288" spans="1:14" x14ac:dyDescent="0.2">
      <c r="A288" s="68"/>
      <c r="B288" s="101" t="s">
        <v>14</v>
      </c>
      <c r="C288" s="101" t="s">
        <v>21</v>
      </c>
      <c r="D288" s="101" t="str">
        <f t="shared" si="20"/>
        <v>20F</v>
      </c>
      <c r="E288" s="267" t="s">
        <v>161</v>
      </c>
      <c r="F288" s="267" t="s">
        <v>108</v>
      </c>
      <c r="G288" s="267" t="s">
        <v>120</v>
      </c>
      <c r="H288" s="268">
        <v>0</v>
      </c>
      <c r="I288" s="269" t="str">
        <f t="shared" si="19"/>
        <v>EUR20F13Y_Quote</v>
      </c>
      <c r="J288" s="270" t="str">
        <f>_xll.qlSwapRateHelper2(,$I288,$C288,Calendar,$E288,$F288,$G288,$J$4,$H288,B288,Discounting,Permanent,,ObjectOverwrite)</f>
        <v>obj_0082d#0000</v>
      </c>
      <c r="K288" s="271" t="str">
        <f>_xll.ohRangeRetrieveError(J288)</f>
        <v/>
      </c>
      <c r="L288" s="124"/>
      <c r="N288" s="275"/>
    </row>
    <row r="289" spans="1:14" x14ac:dyDescent="0.2">
      <c r="A289" s="68"/>
      <c r="B289" s="101" t="s">
        <v>14</v>
      </c>
      <c r="C289" s="101" t="s">
        <v>20</v>
      </c>
      <c r="D289" s="101" t="str">
        <f t="shared" si="20"/>
        <v>20F</v>
      </c>
      <c r="E289" s="267" t="s">
        <v>161</v>
      </c>
      <c r="F289" s="267" t="s">
        <v>108</v>
      </c>
      <c r="G289" s="267" t="s">
        <v>120</v>
      </c>
      <c r="H289" s="268">
        <v>0</v>
      </c>
      <c r="I289" s="269" t="str">
        <f t="shared" si="19"/>
        <v>EUR20F14Y_Quote</v>
      </c>
      <c r="J289" s="270" t="str">
        <f>_xll.qlSwapRateHelper2(,$I289,$C289,Calendar,$E289,$F289,$G289,$J$4,$H289,B289,Discounting,Permanent,,ObjectOverwrite)</f>
        <v>obj_0079b#0000</v>
      </c>
      <c r="K289" s="271" t="str">
        <f>_xll.ohRangeRetrieveError(J289)</f>
        <v/>
      </c>
      <c r="L289" s="124"/>
      <c r="N289" s="275"/>
    </row>
    <row r="290" spans="1:14" x14ac:dyDescent="0.2">
      <c r="A290" s="68"/>
      <c r="B290" s="101" t="s">
        <v>14</v>
      </c>
      <c r="C290" s="101" t="s">
        <v>19</v>
      </c>
      <c r="D290" s="101" t="str">
        <f t="shared" si="20"/>
        <v>20F</v>
      </c>
      <c r="E290" s="267" t="s">
        <v>161</v>
      </c>
      <c r="F290" s="267" t="s">
        <v>108</v>
      </c>
      <c r="G290" s="267" t="s">
        <v>120</v>
      </c>
      <c r="H290" s="268">
        <v>0</v>
      </c>
      <c r="I290" s="269" t="str">
        <f t="shared" si="19"/>
        <v>EUR20F15Y_Quote</v>
      </c>
      <c r="J290" s="270" t="str">
        <f>_xll.qlSwapRateHelper2(,$I290,$C290,Calendar,$E290,$F290,$G290,$J$4,$H290,B290,Discounting,Permanent,,ObjectOverwrite)</f>
        <v>obj_00833#0000</v>
      </c>
      <c r="K290" s="271" t="str">
        <f>_xll.ohRangeRetrieveError(J290)</f>
        <v/>
      </c>
      <c r="L290" s="124"/>
      <c r="N290" s="275"/>
    </row>
    <row r="291" spans="1:14" x14ac:dyDescent="0.2">
      <c r="A291" s="68"/>
      <c r="B291" s="101" t="s">
        <v>14</v>
      </c>
      <c r="C291" s="101" t="s">
        <v>14</v>
      </c>
      <c r="D291" s="101" t="str">
        <f t="shared" si="20"/>
        <v>20F</v>
      </c>
      <c r="E291" s="267" t="s">
        <v>161</v>
      </c>
      <c r="F291" s="267" t="s">
        <v>108</v>
      </c>
      <c r="G291" s="267" t="s">
        <v>120</v>
      </c>
      <c r="H291" s="268">
        <v>0</v>
      </c>
      <c r="I291" s="269" t="str">
        <f t="shared" si="19"/>
        <v>EUR20F20Y_Quote</v>
      </c>
      <c r="J291" s="270" t="str">
        <f>_xll.qlSwapRateHelper2(,$I291,$C291,Calendar,$E291,$F291,$G291,$J$4,$H291,B291,Discounting,Permanent,,ObjectOverwrite)</f>
        <v>obj_00807#0000</v>
      </c>
      <c r="K291" s="271" t="str">
        <f>_xll.ohRangeRetrieveError(J291)</f>
        <v/>
      </c>
      <c r="L291" s="124"/>
      <c r="N291" s="275"/>
    </row>
    <row r="292" spans="1:14" x14ac:dyDescent="0.2">
      <c r="A292" s="68"/>
      <c r="B292" s="101" t="s">
        <v>14</v>
      </c>
      <c r="C292" s="101" t="s">
        <v>9</v>
      </c>
      <c r="D292" s="101" t="str">
        <f t="shared" si="20"/>
        <v>20F</v>
      </c>
      <c r="E292" s="267" t="s">
        <v>161</v>
      </c>
      <c r="F292" s="267" t="s">
        <v>108</v>
      </c>
      <c r="G292" s="267" t="s">
        <v>120</v>
      </c>
      <c r="H292" s="268">
        <v>0</v>
      </c>
      <c r="I292" s="269" t="str">
        <f t="shared" si="19"/>
        <v>EUR20F25Y_Quote</v>
      </c>
      <c r="J292" s="270" t="str">
        <f>_xll.qlSwapRateHelper2(,$I292,$C292,Calendar,$E292,$F292,$G292,$J$4,$H292,B292,Discounting,Permanent,,ObjectOverwrite)</f>
        <v>obj_007c7#0000</v>
      </c>
      <c r="K292" s="271" t="str">
        <f>_xll.ohRangeRetrieveError(J292)</f>
        <v/>
      </c>
      <c r="L292" s="124"/>
      <c r="N292" s="275"/>
    </row>
    <row r="293" spans="1:14" x14ac:dyDescent="0.2">
      <c r="A293" s="68"/>
      <c r="B293" s="272" t="s">
        <v>14</v>
      </c>
      <c r="C293" s="272" t="s">
        <v>4</v>
      </c>
      <c r="D293" s="272" t="str">
        <f t="shared" si="20"/>
        <v>20F</v>
      </c>
      <c r="E293" s="130" t="s">
        <v>161</v>
      </c>
      <c r="F293" s="130" t="s">
        <v>108</v>
      </c>
      <c r="G293" s="130" t="s">
        <v>120</v>
      </c>
      <c r="H293" s="273">
        <v>0</v>
      </c>
      <c r="I293" s="128" t="str">
        <f t="shared" si="19"/>
        <v>EUR20F30Y_Quote</v>
      </c>
      <c r="J293" s="157" t="str">
        <f>_xll.qlSwapRateHelper2(,$I293,$C293,Calendar,$E293,$F293,$G293,$J$4,$H293,B293,Discounting,Permanent,,ObjectOverwrite)</f>
        <v>obj_00800#0000</v>
      </c>
      <c r="K293" s="274" t="str">
        <f>_xll.ohRangeRetrieveError(J293)</f>
        <v/>
      </c>
      <c r="L293" s="124"/>
      <c r="N293" s="275"/>
    </row>
    <row r="294" spans="1:14" x14ac:dyDescent="0.2">
      <c r="A294" s="68"/>
      <c r="B294" s="106" t="s">
        <v>9</v>
      </c>
      <c r="C294" s="106" t="s">
        <v>36</v>
      </c>
      <c r="D294" s="106" t="str">
        <f>LEFT(B294,2)&amp;"F"</f>
        <v>25F</v>
      </c>
      <c r="E294" s="115" t="s">
        <v>161</v>
      </c>
      <c r="F294" s="115" t="s">
        <v>108</v>
      </c>
      <c r="G294" s="115" t="s">
        <v>120</v>
      </c>
      <c r="H294" s="263">
        <v>0</v>
      </c>
      <c r="I294" s="264" t="str">
        <f t="shared" si="19"/>
        <v>EUR25F1Y_Quote</v>
      </c>
      <c r="J294" s="265" t="str">
        <f>_xll.qlSwapRateHelper2(,$I294,$C294,Calendar,$E294,$F294,$G294,$J$4,$H294,B294,Discounting,Permanent,,ObjectOverwrite)</f>
        <v>obj_00769#0000</v>
      </c>
      <c r="K294" s="266" t="str">
        <f>_xll.ohRangeRetrieveError(J294)</f>
        <v/>
      </c>
      <c r="L294" s="124"/>
      <c r="N294" s="275"/>
    </row>
    <row r="295" spans="1:14" x14ac:dyDescent="0.2">
      <c r="A295" s="68"/>
      <c r="B295" s="101" t="s">
        <v>9</v>
      </c>
      <c r="C295" s="101" t="s">
        <v>32</v>
      </c>
      <c r="D295" s="101" t="str">
        <f t="shared" ref="D295:D311" si="21">LEFT(B295,2)&amp;"F"</f>
        <v>25F</v>
      </c>
      <c r="E295" s="267" t="s">
        <v>161</v>
      </c>
      <c r="F295" s="267" t="s">
        <v>108</v>
      </c>
      <c r="G295" s="267" t="s">
        <v>120</v>
      </c>
      <c r="H295" s="268">
        <v>0</v>
      </c>
      <c r="I295" s="269" t="str">
        <f t="shared" si="19"/>
        <v>EUR25F2Y_Quote</v>
      </c>
      <c r="J295" s="270" t="str">
        <f>_xll.qlSwapRateHelper2(,$I295,$C295,Calendar,$E295,$F295,$G295,$J$4,$H295,B295,Discounting,Permanent,,ObjectOverwrite)</f>
        <v>obj_0085b#0000</v>
      </c>
      <c r="K295" s="271" t="str">
        <f>_xll.ohRangeRetrieveError(J295)</f>
        <v/>
      </c>
      <c r="L295" s="124"/>
      <c r="N295" s="275"/>
    </row>
    <row r="296" spans="1:14" x14ac:dyDescent="0.2">
      <c r="A296" s="68"/>
      <c r="B296" s="101" t="s">
        <v>9</v>
      </c>
      <c r="C296" s="101" t="s">
        <v>31</v>
      </c>
      <c r="D296" s="101" t="str">
        <f t="shared" si="21"/>
        <v>25F</v>
      </c>
      <c r="E296" s="267" t="s">
        <v>161</v>
      </c>
      <c r="F296" s="267" t="s">
        <v>108</v>
      </c>
      <c r="G296" s="267" t="s">
        <v>120</v>
      </c>
      <c r="H296" s="268">
        <v>0</v>
      </c>
      <c r="I296" s="269" t="str">
        <f t="shared" si="19"/>
        <v>EUR25F3Y_Quote</v>
      </c>
      <c r="J296" s="270" t="str">
        <f>_xll.qlSwapRateHelper2(,$I296,$C296,Calendar,$E296,$F296,$G296,$J$4,$H296,B296,Discounting,Permanent,,ObjectOverwrite)</f>
        <v>obj_00803#0000</v>
      </c>
      <c r="K296" s="271" t="str">
        <f>_xll.ohRangeRetrieveError(J296)</f>
        <v/>
      </c>
      <c r="L296" s="124"/>
      <c r="N296" s="275"/>
    </row>
    <row r="297" spans="1:14" x14ac:dyDescent="0.2">
      <c r="A297" s="68"/>
      <c r="B297" s="101" t="s">
        <v>9</v>
      </c>
      <c r="C297" s="101" t="s">
        <v>30</v>
      </c>
      <c r="D297" s="101" t="str">
        <f t="shared" si="21"/>
        <v>25F</v>
      </c>
      <c r="E297" s="267" t="s">
        <v>161</v>
      </c>
      <c r="F297" s="267" t="s">
        <v>108</v>
      </c>
      <c r="G297" s="267" t="s">
        <v>120</v>
      </c>
      <c r="H297" s="268">
        <v>0</v>
      </c>
      <c r="I297" s="269" t="str">
        <f t="shared" si="19"/>
        <v>EUR25F4Y_Quote</v>
      </c>
      <c r="J297" s="270" t="str">
        <f>_xll.qlSwapRateHelper2(,$I297,$C297,Calendar,$E297,$F297,$G297,$J$4,$H297,B297,Discounting,Permanent,,ObjectOverwrite)</f>
        <v>obj_00867#0000</v>
      </c>
      <c r="K297" s="271" t="str">
        <f>_xll.ohRangeRetrieveError(J297)</f>
        <v/>
      </c>
      <c r="L297" s="124"/>
      <c r="N297" s="275"/>
    </row>
    <row r="298" spans="1:14" x14ac:dyDescent="0.2">
      <c r="A298" s="68"/>
      <c r="B298" s="101" t="s">
        <v>9</v>
      </c>
      <c r="C298" s="101" t="s">
        <v>29</v>
      </c>
      <c r="D298" s="101" t="str">
        <f t="shared" si="21"/>
        <v>25F</v>
      </c>
      <c r="E298" s="267" t="s">
        <v>161</v>
      </c>
      <c r="F298" s="267" t="s">
        <v>108</v>
      </c>
      <c r="G298" s="267" t="s">
        <v>120</v>
      </c>
      <c r="H298" s="268">
        <v>0</v>
      </c>
      <c r="I298" s="269" t="str">
        <f t="shared" si="19"/>
        <v>EUR25F5Y_Quote</v>
      </c>
      <c r="J298" s="270" t="str">
        <f>_xll.qlSwapRateHelper2(,$I298,$C298,Calendar,$E298,$F298,$G298,$J$4,$H298,B298,Discounting,Permanent,,ObjectOverwrite)</f>
        <v>obj_0087a#0000</v>
      </c>
      <c r="K298" s="271" t="str">
        <f>_xll.ohRangeRetrieveError(J298)</f>
        <v/>
      </c>
      <c r="L298" s="124"/>
      <c r="N298" s="275"/>
    </row>
    <row r="299" spans="1:14" x14ac:dyDescent="0.2">
      <c r="A299" s="68"/>
      <c r="B299" s="101" t="s">
        <v>9</v>
      </c>
      <c r="C299" s="101" t="s">
        <v>28</v>
      </c>
      <c r="D299" s="101" t="str">
        <f t="shared" si="21"/>
        <v>25F</v>
      </c>
      <c r="E299" s="267" t="s">
        <v>161</v>
      </c>
      <c r="F299" s="267" t="s">
        <v>108</v>
      </c>
      <c r="G299" s="267" t="s">
        <v>120</v>
      </c>
      <c r="H299" s="268">
        <v>0</v>
      </c>
      <c r="I299" s="269" t="str">
        <f t="shared" si="19"/>
        <v>EUR25F6Y_Quote</v>
      </c>
      <c r="J299" s="270" t="str">
        <f>_xll.qlSwapRateHelper2(,$I299,$C299,Calendar,$E299,$F299,$G299,$J$4,$H299,B299,Discounting,Permanent,,ObjectOverwrite)</f>
        <v>obj_00870#0000</v>
      </c>
      <c r="K299" s="271" t="str">
        <f>_xll.ohRangeRetrieveError(J299)</f>
        <v/>
      </c>
      <c r="L299" s="124"/>
      <c r="N299" s="275"/>
    </row>
    <row r="300" spans="1:14" x14ac:dyDescent="0.2">
      <c r="A300" s="68"/>
      <c r="B300" s="101" t="s">
        <v>9</v>
      </c>
      <c r="C300" s="101" t="s">
        <v>27</v>
      </c>
      <c r="D300" s="101" t="str">
        <f t="shared" si="21"/>
        <v>25F</v>
      </c>
      <c r="E300" s="267" t="s">
        <v>161</v>
      </c>
      <c r="F300" s="267" t="s">
        <v>108</v>
      </c>
      <c r="G300" s="267" t="s">
        <v>120</v>
      </c>
      <c r="H300" s="268">
        <v>0</v>
      </c>
      <c r="I300" s="269" t="str">
        <f t="shared" si="19"/>
        <v>EUR25F7Y_Quote</v>
      </c>
      <c r="J300" s="270" t="str">
        <f>_xll.qlSwapRateHelper2(,$I300,$C300,Calendar,$E300,$F300,$G300,$J$4,$H300,B300,Discounting,Permanent,,ObjectOverwrite)</f>
        <v>obj_0078a#0000</v>
      </c>
      <c r="K300" s="271" t="str">
        <f>_xll.ohRangeRetrieveError(J300)</f>
        <v/>
      </c>
      <c r="L300" s="124"/>
      <c r="N300" s="275"/>
    </row>
    <row r="301" spans="1:14" x14ac:dyDescent="0.2">
      <c r="A301" s="68"/>
      <c r="B301" s="101" t="s">
        <v>9</v>
      </c>
      <c r="C301" s="101" t="s">
        <v>26</v>
      </c>
      <c r="D301" s="101" t="str">
        <f t="shared" si="21"/>
        <v>25F</v>
      </c>
      <c r="E301" s="267" t="s">
        <v>161</v>
      </c>
      <c r="F301" s="267" t="s">
        <v>108</v>
      </c>
      <c r="G301" s="267" t="s">
        <v>120</v>
      </c>
      <c r="H301" s="268">
        <v>0</v>
      </c>
      <c r="I301" s="269" t="str">
        <f t="shared" si="19"/>
        <v>EUR25F8Y_Quote</v>
      </c>
      <c r="J301" s="270" t="str">
        <f>_xll.qlSwapRateHelper2(,$I301,$C301,Calendar,$E301,$F301,$G301,$J$4,$H301,B301,Discounting,Permanent,,ObjectOverwrite)</f>
        <v>obj_007b0#0000</v>
      </c>
      <c r="K301" s="271" t="str">
        <f>_xll.ohRangeRetrieveError(J301)</f>
        <v/>
      </c>
      <c r="L301" s="124"/>
      <c r="N301" s="275"/>
    </row>
    <row r="302" spans="1:14" x14ac:dyDescent="0.2">
      <c r="A302" s="68"/>
      <c r="B302" s="101" t="s">
        <v>9</v>
      </c>
      <c r="C302" s="101" t="s">
        <v>25</v>
      </c>
      <c r="D302" s="101" t="str">
        <f t="shared" si="21"/>
        <v>25F</v>
      </c>
      <c r="E302" s="267" t="s">
        <v>161</v>
      </c>
      <c r="F302" s="267" t="s">
        <v>108</v>
      </c>
      <c r="G302" s="267" t="s">
        <v>120</v>
      </c>
      <c r="H302" s="268">
        <v>0</v>
      </c>
      <c r="I302" s="269" t="str">
        <f t="shared" si="19"/>
        <v>EUR25F9Y_Quote</v>
      </c>
      <c r="J302" s="270" t="str">
        <f>_xll.qlSwapRateHelper2(,$I302,$C302,Calendar,$E302,$F302,$G302,$J$4,$H302,B302,Discounting,Permanent,,ObjectOverwrite)</f>
        <v>obj_007ed#0000</v>
      </c>
      <c r="K302" s="271" t="str">
        <f>_xll.ohRangeRetrieveError(J302)</f>
        <v/>
      </c>
      <c r="L302" s="124"/>
      <c r="N302" s="275"/>
    </row>
    <row r="303" spans="1:14" x14ac:dyDescent="0.2">
      <c r="A303" s="68"/>
      <c r="B303" s="101" t="s">
        <v>9</v>
      </c>
      <c r="C303" s="101" t="s">
        <v>24</v>
      </c>
      <c r="D303" s="101" t="str">
        <f t="shared" si="21"/>
        <v>25F</v>
      </c>
      <c r="E303" s="267" t="s">
        <v>161</v>
      </c>
      <c r="F303" s="267" t="s">
        <v>108</v>
      </c>
      <c r="G303" s="267" t="s">
        <v>120</v>
      </c>
      <c r="H303" s="268">
        <v>0</v>
      </c>
      <c r="I303" s="269" t="str">
        <f t="shared" si="19"/>
        <v>EUR25F10Y_Quote</v>
      </c>
      <c r="J303" s="270" t="str">
        <f>_xll.qlSwapRateHelper2(,$I303,$C303,Calendar,$E303,$F303,$G303,$J$4,$H303,B303,Discounting,Permanent,,ObjectOverwrite)</f>
        <v>obj_0087d#0000</v>
      </c>
      <c r="K303" s="271" t="str">
        <f>_xll.ohRangeRetrieveError(J303)</f>
        <v/>
      </c>
      <c r="L303" s="124"/>
      <c r="N303" s="275"/>
    </row>
    <row r="304" spans="1:14" x14ac:dyDescent="0.2">
      <c r="A304" s="68"/>
      <c r="B304" s="101" t="s">
        <v>9</v>
      </c>
      <c r="C304" s="101" t="s">
        <v>23</v>
      </c>
      <c r="D304" s="101" t="str">
        <f t="shared" si="21"/>
        <v>25F</v>
      </c>
      <c r="E304" s="267" t="s">
        <v>161</v>
      </c>
      <c r="F304" s="267" t="s">
        <v>108</v>
      </c>
      <c r="G304" s="267" t="s">
        <v>120</v>
      </c>
      <c r="H304" s="268">
        <v>0</v>
      </c>
      <c r="I304" s="269" t="str">
        <f t="shared" si="19"/>
        <v>EUR25F11Y_Quote</v>
      </c>
      <c r="J304" s="270" t="str">
        <f>_xll.qlSwapRateHelper2(,$I304,$C304,Calendar,$E304,$F304,$G304,$J$4,$H304,B304,Discounting,Permanent,,ObjectOverwrite)</f>
        <v>obj_00781#0000</v>
      </c>
      <c r="K304" s="271" t="str">
        <f>_xll.ohRangeRetrieveError(J304)</f>
        <v/>
      </c>
      <c r="L304" s="124"/>
      <c r="N304" s="275"/>
    </row>
    <row r="305" spans="1:14" x14ac:dyDescent="0.2">
      <c r="A305" s="68"/>
      <c r="B305" s="101" t="s">
        <v>9</v>
      </c>
      <c r="C305" s="101" t="s">
        <v>22</v>
      </c>
      <c r="D305" s="101" t="str">
        <f t="shared" si="21"/>
        <v>25F</v>
      </c>
      <c r="E305" s="267" t="s">
        <v>161</v>
      </c>
      <c r="F305" s="267" t="s">
        <v>108</v>
      </c>
      <c r="G305" s="267" t="s">
        <v>120</v>
      </c>
      <c r="H305" s="268">
        <v>0</v>
      </c>
      <c r="I305" s="269" t="str">
        <f t="shared" si="19"/>
        <v>EUR25F12Y_Quote</v>
      </c>
      <c r="J305" s="270" t="str">
        <f>_xll.qlSwapRateHelper2(,$I305,$C305,Calendar,$E305,$F305,$G305,$J$4,$H305,B305,Discounting,Permanent,,ObjectOverwrite)</f>
        <v>obj_007a4#0000</v>
      </c>
      <c r="K305" s="271" t="str">
        <f>_xll.ohRangeRetrieveError(J305)</f>
        <v/>
      </c>
      <c r="L305" s="124"/>
      <c r="N305" s="275"/>
    </row>
    <row r="306" spans="1:14" x14ac:dyDescent="0.2">
      <c r="A306" s="68"/>
      <c r="B306" s="101" t="s">
        <v>9</v>
      </c>
      <c r="C306" s="101" t="s">
        <v>21</v>
      </c>
      <c r="D306" s="101" t="str">
        <f t="shared" si="21"/>
        <v>25F</v>
      </c>
      <c r="E306" s="267" t="s">
        <v>161</v>
      </c>
      <c r="F306" s="267" t="s">
        <v>108</v>
      </c>
      <c r="G306" s="267" t="s">
        <v>120</v>
      </c>
      <c r="H306" s="268">
        <v>0</v>
      </c>
      <c r="I306" s="269" t="str">
        <f t="shared" si="19"/>
        <v>EUR25F13Y_Quote</v>
      </c>
      <c r="J306" s="270" t="str">
        <f>_xll.qlSwapRateHelper2(,$I306,$C306,Calendar,$E306,$F306,$G306,$J$4,$H306,B306,Discounting,Permanent,,ObjectOverwrite)</f>
        <v>obj_007f2#0000</v>
      </c>
      <c r="K306" s="271" t="str">
        <f>_xll.ohRangeRetrieveError(J306)</f>
        <v/>
      </c>
      <c r="L306" s="124"/>
      <c r="N306" s="275"/>
    </row>
    <row r="307" spans="1:14" x14ac:dyDescent="0.2">
      <c r="A307" s="68"/>
      <c r="B307" s="101" t="s">
        <v>9</v>
      </c>
      <c r="C307" s="101" t="s">
        <v>20</v>
      </c>
      <c r="D307" s="101" t="str">
        <f t="shared" si="21"/>
        <v>25F</v>
      </c>
      <c r="E307" s="267" t="s">
        <v>161</v>
      </c>
      <c r="F307" s="267" t="s">
        <v>108</v>
      </c>
      <c r="G307" s="267" t="s">
        <v>120</v>
      </c>
      <c r="H307" s="268">
        <v>0</v>
      </c>
      <c r="I307" s="269" t="str">
        <f t="shared" si="19"/>
        <v>EUR25F14Y_Quote</v>
      </c>
      <c r="J307" s="270" t="str">
        <f>_xll.qlSwapRateHelper2(,$I307,$C307,Calendar,$E307,$F307,$G307,$J$4,$H307,B307,Discounting,Permanent,,ObjectOverwrite)</f>
        <v>obj_00852#0000</v>
      </c>
      <c r="K307" s="271" t="str">
        <f>_xll.ohRangeRetrieveError(J307)</f>
        <v/>
      </c>
      <c r="L307" s="124"/>
      <c r="N307" s="275"/>
    </row>
    <row r="308" spans="1:14" x14ac:dyDescent="0.2">
      <c r="A308" s="68"/>
      <c r="B308" s="101" t="s">
        <v>9</v>
      </c>
      <c r="C308" s="101" t="s">
        <v>19</v>
      </c>
      <c r="D308" s="101" t="str">
        <f t="shared" si="21"/>
        <v>25F</v>
      </c>
      <c r="E308" s="267" t="s">
        <v>161</v>
      </c>
      <c r="F308" s="267" t="s">
        <v>108</v>
      </c>
      <c r="G308" s="267" t="s">
        <v>120</v>
      </c>
      <c r="H308" s="268">
        <v>0</v>
      </c>
      <c r="I308" s="269" t="str">
        <f t="shared" si="19"/>
        <v>EUR25F15Y_Quote</v>
      </c>
      <c r="J308" s="270" t="str">
        <f>_xll.qlSwapRateHelper2(,$I308,$C308,Calendar,$E308,$F308,$G308,$J$4,$H308,B308,Discounting,Permanent,,ObjectOverwrite)</f>
        <v>obj_00780#0000</v>
      </c>
      <c r="K308" s="271" t="str">
        <f>_xll.ohRangeRetrieveError(J308)</f>
        <v/>
      </c>
      <c r="L308" s="124"/>
      <c r="N308" s="275"/>
    </row>
    <row r="309" spans="1:14" x14ac:dyDescent="0.2">
      <c r="A309" s="68"/>
      <c r="B309" s="101" t="s">
        <v>9</v>
      </c>
      <c r="C309" s="101" t="s">
        <v>14</v>
      </c>
      <c r="D309" s="101" t="str">
        <f t="shared" si="21"/>
        <v>25F</v>
      </c>
      <c r="E309" s="267" t="s">
        <v>161</v>
      </c>
      <c r="F309" s="267" t="s">
        <v>108</v>
      </c>
      <c r="G309" s="267" t="s">
        <v>120</v>
      </c>
      <c r="H309" s="268">
        <v>0</v>
      </c>
      <c r="I309" s="269" t="str">
        <f t="shared" si="19"/>
        <v>EUR25F20Y_Quote</v>
      </c>
      <c r="J309" s="270" t="str">
        <f>_xll.qlSwapRateHelper2(,$I309,$C309,Calendar,$E309,$F309,$G309,$J$4,$H309,B309,Discounting,Permanent,,ObjectOverwrite)</f>
        <v>obj_0080d#0000</v>
      </c>
      <c r="K309" s="271" t="str">
        <f>_xll.ohRangeRetrieveError(J309)</f>
        <v/>
      </c>
      <c r="L309" s="124"/>
      <c r="N309" s="275"/>
    </row>
    <row r="310" spans="1:14" x14ac:dyDescent="0.2">
      <c r="A310" s="68"/>
      <c r="B310" s="101" t="s">
        <v>9</v>
      </c>
      <c r="C310" s="101" t="s">
        <v>9</v>
      </c>
      <c r="D310" s="101" t="str">
        <f t="shared" si="21"/>
        <v>25F</v>
      </c>
      <c r="E310" s="267" t="s">
        <v>161</v>
      </c>
      <c r="F310" s="267" t="s">
        <v>108</v>
      </c>
      <c r="G310" s="267" t="s">
        <v>120</v>
      </c>
      <c r="H310" s="268">
        <v>0</v>
      </c>
      <c r="I310" s="269" t="str">
        <f t="shared" si="19"/>
        <v>EUR25F25Y_Quote</v>
      </c>
      <c r="J310" s="270" t="str">
        <f>_xll.qlSwapRateHelper2(,$I310,$C310,Calendar,$E310,$F310,$G310,$J$4,$H310,B310,Discounting,Permanent,,ObjectOverwrite)</f>
        <v>obj_007b9#0000</v>
      </c>
      <c r="K310" s="271" t="str">
        <f>_xll.ohRangeRetrieveError(J310)</f>
        <v/>
      </c>
      <c r="L310" s="124"/>
      <c r="N310" s="275"/>
    </row>
    <row r="311" spans="1:14" x14ac:dyDescent="0.2">
      <c r="A311" s="68"/>
      <c r="B311" s="272" t="s">
        <v>9</v>
      </c>
      <c r="C311" s="272" t="s">
        <v>4</v>
      </c>
      <c r="D311" s="272" t="str">
        <f t="shared" si="21"/>
        <v>25F</v>
      </c>
      <c r="E311" s="130" t="s">
        <v>161</v>
      </c>
      <c r="F311" s="130" t="s">
        <v>108</v>
      </c>
      <c r="G311" s="130" t="s">
        <v>120</v>
      </c>
      <c r="H311" s="273">
        <v>0</v>
      </c>
      <c r="I311" s="128" t="str">
        <f t="shared" si="19"/>
        <v>EUR25F30Y_Quote</v>
      </c>
      <c r="J311" s="157" t="str">
        <f>_xll.qlSwapRateHelper2(,$I311,$C311,Calendar,$E311,$F311,$G311,$J$4,$H311,B311,Discounting,Permanent,,ObjectOverwrite)</f>
        <v>obj_00840#0000</v>
      </c>
      <c r="K311" s="274" t="str">
        <f>_xll.ohRangeRetrieveError(J311)</f>
        <v/>
      </c>
      <c r="L311" s="124"/>
      <c r="N311" s="275"/>
    </row>
    <row r="312" spans="1:14" x14ac:dyDescent="0.2">
      <c r="A312" s="68"/>
      <c r="B312" s="106" t="s">
        <v>4</v>
      </c>
      <c r="C312" s="106" t="s">
        <v>36</v>
      </c>
      <c r="D312" s="106" t="str">
        <f>LEFT(B312,2)&amp;"F"</f>
        <v>30F</v>
      </c>
      <c r="E312" s="115" t="s">
        <v>161</v>
      </c>
      <c r="F312" s="115" t="s">
        <v>108</v>
      </c>
      <c r="G312" s="115" t="s">
        <v>120</v>
      </c>
      <c r="H312" s="263">
        <v>0</v>
      </c>
      <c r="I312" s="264" t="str">
        <f t="shared" si="19"/>
        <v>EUR30F1Y_Quote</v>
      </c>
      <c r="J312" s="265" t="str">
        <f>_xll.qlSwapRateHelper2(,$I312,$C312,Calendar,$E312,$F312,$G312,$J$4,$H312,B312,Discounting,Permanent,,ObjectOverwrite)</f>
        <v>obj_0082b#0000</v>
      </c>
      <c r="K312" s="266" t="str">
        <f>_xll.ohRangeRetrieveError(J312)</f>
        <v/>
      </c>
      <c r="L312" s="124"/>
      <c r="N312" s="275"/>
    </row>
    <row r="313" spans="1:14" x14ac:dyDescent="0.2">
      <c r="A313" s="68"/>
      <c r="B313" s="101" t="s">
        <v>4</v>
      </c>
      <c r="C313" s="101" t="s">
        <v>32</v>
      </c>
      <c r="D313" s="101" t="str">
        <f t="shared" ref="D313:D329" si="22">LEFT(B313,2)&amp;"F"</f>
        <v>30F</v>
      </c>
      <c r="E313" s="267" t="s">
        <v>161</v>
      </c>
      <c r="F313" s="267" t="s">
        <v>108</v>
      </c>
      <c r="G313" s="267" t="s">
        <v>120</v>
      </c>
      <c r="H313" s="268">
        <v>0</v>
      </c>
      <c r="I313" s="269" t="str">
        <f t="shared" si="19"/>
        <v>EUR30F2Y_Quote</v>
      </c>
      <c r="J313" s="270" t="str">
        <f>_xll.qlSwapRateHelper2(,$I313,$C313,Calendar,$E313,$F313,$G313,$J$4,$H313,B313,Discounting,Permanent,,ObjectOverwrite)</f>
        <v>obj_0083f#0000</v>
      </c>
      <c r="K313" s="271" t="str">
        <f>_xll.ohRangeRetrieveError(J313)</f>
        <v/>
      </c>
      <c r="L313" s="124"/>
      <c r="N313" s="275"/>
    </row>
    <row r="314" spans="1:14" x14ac:dyDescent="0.2">
      <c r="A314" s="68"/>
      <c r="B314" s="101" t="s">
        <v>4</v>
      </c>
      <c r="C314" s="101" t="s">
        <v>31</v>
      </c>
      <c r="D314" s="101" t="str">
        <f t="shared" si="22"/>
        <v>30F</v>
      </c>
      <c r="E314" s="267" t="s">
        <v>161</v>
      </c>
      <c r="F314" s="267" t="s">
        <v>108</v>
      </c>
      <c r="G314" s="267" t="s">
        <v>120</v>
      </c>
      <c r="H314" s="268">
        <v>0</v>
      </c>
      <c r="I314" s="269" t="str">
        <f t="shared" si="19"/>
        <v>EUR30F3Y_Quote</v>
      </c>
      <c r="J314" s="270" t="str">
        <f>_xll.qlSwapRateHelper2(,$I314,$C314,Calendar,$E314,$F314,$G314,$J$4,$H314,B314,Discounting,Permanent,,ObjectOverwrite)</f>
        <v>obj_00819#0000</v>
      </c>
      <c r="K314" s="271" t="str">
        <f>_xll.ohRangeRetrieveError(J314)</f>
        <v/>
      </c>
      <c r="L314" s="124"/>
      <c r="N314" s="275"/>
    </row>
    <row r="315" spans="1:14" x14ac:dyDescent="0.2">
      <c r="A315" s="68"/>
      <c r="B315" s="101" t="s">
        <v>4</v>
      </c>
      <c r="C315" s="101" t="s">
        <v>30</v>
      </c>
      <c r="D315" s="101" t="str">
        <f t="shared" si="22"/>
        <v>30F</v>
      </c>
      <c r="E315" s="267" t="s">
        <v>161</v>
      </c>
      <c r="F315" s="267" t="s">
        <v>108</v>
      </c>
      <c r="G315" s="267" t="s">
        <v>120</v>
      </c>
      <c r="H315" s="268">
        <v>0</v>
      </c>
      <c r="I315" s="269" t="str">
        <f t="shared" si="19"/>
        <v>EUR30F4Y_Quote</v>
      </c>
      <c r="J315" s="270" t="str">
        <f>_xll.qlSwapRateHelper2(,$I315,$C315,Calendar,$E315,$F315,$G315,$J$4,$H315,B315,Discounting,Permanent,,ObjectOverwrite)</f>
        <v>obj_00778#0000</v>
      </c>
      <c r="K315" s="271" t="str">
        <f>_xll.ohRangeRetrieveError(J315)</f>
        <v/>
      </c>
      <c r="L315" s="124"/>
      <c r="N315" s="275"/>
    </row>
    <row r="316" spans="1:14" x14ac:dyDescent="0.2">
      <c r="A316" s="68"/>
      <c r="B316" s="101" t="s">
        <v>4</v>
      </c>
      <c r="C316" s="101" t="s">
        <v>29</v>
      </c>
      <c r="D316" s="101" t="str">
        <f t="shared" si="22"/>
        <v>30F</v>
      </c>
      <c r="E316" s="267" t="s">
        <v>161</v>
      </c>
      <c r="F316" s="267" t="s">
        <v>108</v>
      </c>
      <c r="G316" s="267" t="s">
        <v>120</v>
      </c>
      <c r="H316" s="268">
        <v>0</v>
      </c>
      <c r="I316" s="269" t="str">
        <f t="shared" si="19"/>
        <v>EUR30F5Y_Quote</v>
      </c>
      <c r="J316" s="270" t="str">
        <f>_xll.qlSwapRateHelper2(,$I316,$C316,Calendar,$E316,$F316,$G316,$J$4,$H316,B316,Discounting,Permanent,,ObjectOverwrite)</f>
        <v>obj_00786#0000</v>
      </c>
      <c r="K316" s="271" t="str">
        <f>_xll.ohRangeRetrieveError(J316)</f>
        <v/>
      </c>
      <c r="L316" s="124"/>
      <c r="N316" s="275"/>
    </row>
    <row r="317" spans="1:14" x14ac:dyDescent="0.2">
      <c r="A317" s="68"/>
      <c r="B317" s="101" t="s">
        <v>4</v>
      </c>
      <c r="C317" s="101" t="s">
        <v>28</v>
      </c>
      <c r="D317" s="101" t="str">
        <f t="shared" si="22"/>
        <v>30F</v>
      </c>
      <c r="E317" s="267" t="s">
        <v>161</v>
      </c>
      <c r="F317" s="267" t="s">
        <v>108</v>
      </c>
      <c r="G317" s="267" t="s">
        <v>120</v>
      </c>
      <c r="H317" s="268">
        <v>0</v>
      </c>
      <c r="I317" s="269" t="str">
        <f t="shared" si="19"/>
        <v>EUR30F6Y_Quote</v>
      </c>
      <c r="J317" s="270" t="str">
        <f>_xll.qlSwapRateHelper2(,$I317,$C317,Calendar,$E317,$F317,$G317,$J$4,$H317,B317,Discounting,Permanent,,ObjectOverwrite)</f>
        <v>obj_007f0#0000</v>
      </c>
      <c r="K317" s="271" t="str">
        <f>_xll.ohRangeRetrieveError(J317)</f>
        <v/>
      </c>
      <c r="L317" s="124"/>
      <c r="N317" s="275"/>
    </row>
    <row r="318" spans="1:14" x14ac:dyDescent="0.2">
      <c r="A318" s="68"/>
      <c r="B318" s="101" t="s">
        <v>4</v>
      </c>
      <c r="C318" s="101" t="s">
        <v>27</v>
      </c>
      <c r="D318" s="101" t="str">
        <f t="shared" si="22"/>
        <v>30F</v>
      </c>
      <c r="E318" s="267" t="s">
        <v>161</v>
      </c>
      <c r="F318" s="267" t="s">
        <v>108</v>
      </c>
      <c r="G318" s="267" t="s">
        <v>120</v>
      </c>
      <c r="H318" s="268">
        <v>0</v>
      </c>
      <c r="I318" s="269" t="str">
        <f t="shared" si="19"/>
        <v>EUR30F7Y_Quote</v>
      </c>
      <c r="J318" s="270" t="str">
        <f>_xll.qlSwapRateHelper2(,$I318,$C318,Calendar,$E318,$F318,$G318,$J$4,$H318,B318,Discounting,Permanent,,ObjectOverwrite)</f>
        <v>obj_007dd#0000</v>
      </c>
      <c r="K318" s="271" t="str">
        <f>_xll.ohRangeRetrieveError(J318)</f>
        <v/>
      </c>
      <c r="L318" s="124"/>
      <c r="N318" s="275"/>
    </row>
    <row r="319" spans="1:14" x14ac:dyDescent="0.2">
      <c r="A319" s="68"/>
      <c r="B319" s="101" t="s">
        <v>4</v>
      </c>
      <c r="C319" s="101" t="s">
        <v>26</v>
      </c>
      <c r="D319" s="101" t="str">
        <f t="shared" si="22"/>
        <v>30F</v>
      </c>
      <c r="E319" s="267" t="s">
        <v>161</v>
      </c>
      <c r="F319" s="267" t="s">
        <v>108</v>
      </c>
      <c r="G319" s="267" t="s">
        <v>120</v>
      </c>
      <c r="H319" s="268">
        <v>0</v>
      </c>
      <c r="I319" s="269" t="str">
        <f t="shared" si="19"/>
        <v>EUR30F8Y_Quote</v>
      </c>
      <c r="J319" s="270" t="str">
        <f>_xll.qlSwapRateHelper2(,$I319,$C319,Calendar,$E319,$F319,$G319,$J$4,$H319,B319,Discounting,Permanent,,ObjectOverwrite)</f>
        <v>obj_007f4#0000</v>
      </c>
      <c r="K319" s="271" t="str">
        <f>_xll.ohRangeRetrieveError(J319)</f>
        <v/>
      </c>
      <c r="L319" s="124"/>
      <c r="N319" s="275"/>
    </row>
    <row r="320" spans="1:14" x14ac:dyDescent="0.2">
      <c r="A320" s="68"/>
      <c r="B320" s="101" t="s">
        <v>4</v>
      </c>
      <c r="C320" s="101" t="s">
        <v>25</v>
      </c>
      <c r="D320" s="101" t="str">
        <f t="shared" si="22"/>
        <v>30F</v>
      </c>
      <c r="E320" s="267" t="s">
        <v>161</v>
      </c>
      <c r="F320" s="267" t="s">
        <v>108</v>
      </c>
      <c r="G320" s="267" t="s">
        <v>120</v>
      </c>
      <c r="H320" s="268">
        <v>0</v>
      </c>
      <c r="I320" s="269" t="str">
        <f t="shared" si="19"/>
        <v>EUR30F9Y_Quote</v>
      </c>
      <c r="J320" s="270" t="str">
        <f>_xll.qlSwapRateHelper2(,$I320,$C320,Calendar,$E320,$F320,$G320,$J$4,$H320,B320,Discounting,Permanent,,ObjectOverwrite)</f>
        <v>obj_007a0#0000</v>
      </c>
      <c r="K320" s="271" t="str">
        <f>_xll.ohRangeRetrieveError(J320)</f>
        <v/>
      </c>
      <c r="L320" s="124"/>
      <c r="N320" s="275"/>
    </row>
    <row r="321" spans="1:14" x14ac:dyDescent="0.2">
      <c r="A321" s="68"/>
      <c r="B321" s="101" t="s">
        <v>4</v>
      </c>
      <c r="C321" s="101" t="s">
        <v>24</v>
      </c>
      <c r="D321" s="101" t="str">
        <f t="shared" si="22"/>
        <v>30F</v>
      </c>
      <c r="E321" s="267" t="s">
        <v>161</v>
      </c>
      <c r="F321" s="267" t="s">
        <v>108</v>
      </c>
      <c r="G321" s="267" t="s">
        <v>120</v>
      </c>
      <c r="H321" s="268">
        <v>0</v>
      </c>
      <c r="I321" s="269" t="str">
        <f t="shared" si="19"/>
        <v>EUR30F10Y_Quote</v>
      </c>
      <c r="J321" s="270" t="str">
        <f>_xll.qlSwapRateHelper2(,$I321,$C321,Calendar,$E321,$F321,$G321,$J$4,$H321,B321,Discounting,Permanent,,ObjectOverwrite)</f>
        <v>obj_0076b#0000</v>
      </c>
      <c r="K321" s="271" t="str">
        <f>_xll.ohRangeRetrieveError(J321)</f>
        <v/>
      </c>
      <c r="L321" s="124"/>
      <c r="N321" s="275"/>
    </row>
    <row r="322" spans="1:14" x14ac:dyDescent="0.2">
      <c r="A322" s="68"/>
      <c r="B322" s="101" t="s">
        <v>4</v>
      </c>
      <c r="C322" s="101" t="s">
        <v>23</v>
      </c>
      <c r="D322" s="101" t="str">
        <f t="shared" si="22"/>
        <v>30F</v>
      </c>
      <c r="E322" s="267" t="s">
        <v>161</v>
      </c>
      <c r="F322" s="267" t="s">
        <v>108</v>
      </c>
      <c r="G322" s="267" t="s">
        <v>120</v>
      </c>
      <c r="H322" s="268">
        <v>0</v>
      </c>
      <c r="I322" s="269" t="str">
        <f t="shared" si="19"/>
        <v>EUR30F11Y_Quote</v>
      </c>
      <c r="J322" s="270" t="str">
        <f>_xll.qlSwapRateHelper2(,$I322,$C322,Calendar,$E322,$F322,$G322,$J$4,$H322,B322,Discounting,Permanent,,ObjectOverwrite)</f>
        <v>obj_00764#0000</v>
      </c>
      <c r="K322" s="271" t="str">
        <f>_xll.ohRangeRetrieveError(J322)</f>
        <v/>
      </c>
      <c r="L322" s="124"/>
      <c r="N322" s="275"/>
    </row>
    <row r="323" spans="1:14" x14ac:dyDescent="0.2">
      <c r="A323" s="68"/>
      <c r="B323" s="101" t="s">
        <v>4</v>
      </c>
      <c r="C323" s="101" t="s">
        <v>22</v>
      </c>
      <c r="D323" s="101" t="str">
        <f t="shared" si="22"/>
        <v>30F</v>
      </c>
      <c r="E323" s="267" t="s">
        <v>161</v>
      </c>
      <c r="F323" s="267" t="s">
        <v>108</v>
      </c>
      <c r="G323" s="267" t="s">
        <v>120</v>
      </c>
      <c r="H323" s="268">
        <v>0</v>
      </c>
      <c r="I323" s="269" t="str">
        <f t="shared" si="19"/>
        <v>EUR30F12Y_Quote</v>
      </c>
      <c r="J323" s="270" t="str">
        <f>_xll.qlSwapRateHelper2(,$I323,$C323,Calendar,$E323,$F323,$G323,$J$4,$H323,B323,Discounting,Permanent,,ObjectOverwrite)</f>
        <v>obj_00884#0000</v>
      </c>
      <c r="K323" s="271" t="str">
        <f>_xll.ohRangeRetrieveError(J323)</f>
        <v/>
      </c>
      <c r="L323" s="124"/>
      <c r="N323" s="275"/>
    </row>
    <row r="324" spans="1:14" x14ac:dyDescent="0.2">
      <c r="A324" s="68"/>
      <c r="B324" s="101" t="s">
        <v>4</v>
      </c>
      <c r="C324" s="101" t="s">
        <v>21</v>
      </c>
      <c r="D324" s="101" t="str">
        <f t="shared" si="22"/>
        <v>30F</v>
      </c>
      <c r="E324" s="267" t="s">
        <v>161</v>
      </c>
      <c r="F324" s="267" t="s">
        <v>108</v>
      </c>
      <c r="G324" s="267" t="s">
        <v>120</v>
      </c>
      <c r="H324" s="268">
        <v>0</v>
      </c>
      <c r="I324" s="269" t="str">
        <f t="shared" si="19"/>
        <v>EUR30F13Y_Quote</v>
      </c>
      <c r="J324" s="270" t="str">
        <f>_xll.qlSwapRateHelper2(,$I324,$C324,Calendar,$E324,$F324,$G324,$J$4,$H324,B324,Discounting,Permanent,,ObjectOverwrite)</f>
        <v>obj_007c3#0000</v>
      </c>
      <c r="K324" s="271" t="str">
        <f>_xll.ohRangeRetrieveError(J324)</f>
        <v/>
      </c>
      <c r="L324" s="124"/>
      <c r="N324" s="275"/>
    </row>
    <row r="325" spans="1:14" x14ac:dyDescent="0.2">
      <c r="A325" s="68"/>
      <c r="B325" s="101" t="s">
        <v>4</v>
      </c>
      <c r="C325" s="101" t="s">
        <v>20</v>
      </c>
      <c r="D325" s="101" t="str">
        <f t="shared" si="22"/>
        <v>30F</v>
      </c>
      <c r="E325" s="267" t="s">
        <v>161</v>
      </c>
      <c r="F325" s="267" t="s">
        <v>108</v>
      </c>
      <c r="G325" s="267" t="s">
        <v>120</v>
      </c>
      <c r="H325" s="268">
        <v>0</v>
      </c>
      <c r="I325" s="269" t="str">
        <f t="shared" si="19"/>
        <v>EUR30F14Y_Quote</v>
      </c>
      <c r="J325" s="270" t="str">
        <f>_xll.qlSwapRateHelper2(,$I325,$C325,Calendar,$E325,$F325,$G325,$J$4,$H325,B325,Discounting,Permanent,,ObjectOverwrite)</f>
        <v>obj_00841#0000</v>
      </c>
      <c r="K325" s="271" t="str">
        <f>_xll.ohRangeRetrieveError(J325)</f>
        <v/>
      </c>
      <c r="L325" s="124"/>
      <c r="N325" s="275"/>
    </row>
    <row r="326" spans="1:14" x14ac:dyDescent="0.2">
      <c r="A326" s="68"/>
      <c r="B326" s="101" t="s">
        <v>4</v>
      </c>
      <c r="C326" s="101" t="s">
        <v>19</v>
      </c>
      <c r="D326" s="101" t="str">
        <f t="shared" si="22"/>
        <v>30F</v>
      </c>
      <c r="E326" s="267" t="s">
        <v>161</v>
      </c>
      <c r="F326" s="267" t="s">
        <v>108</v>
      </c>
      <c r="G326" s="267" t="s">
        <v>120</v>
      </c>
      <c r="H326" s="268">
        <v>0</v>
      </c>
      <c r="I326" s="269" t="str">
        <f t="shared" si="19"/>
        <v>EUR30F15Y_Quote</v>
      </c>
      <c r="J326" s="270" t="str">
        <f>_xll.qlSwapRateHelper2(,$I326,$C326,Calendar,$E326,$F326,$G326,$J$4,$H326,B326,Discounting,Permanent,,ObjectOverwrite)</f>
        <v>obj_0083e#0000</v>
      </c>
      <c r="K326" s="271" t="str">
        <f>_xll.ohRangeRetrieveError(J326)</f>
        <v/>
      </c>
      <c r="L326" s="124"/>
      <c r="N326" s="275"/>
    </row>
    <row r="327" spans="1:14" x14ac:dyDescent="0.2">
      <c r="A327" s="68"/>
      <c r="B327" s="101" t="s">
        <v>4</v>
      </c>
      <c r="C327" s="101" t="s">
        <v>14</v>
      </c>
      <c r="D327" s="101" t="str">
        <f t="shared" si="22"/>
        <v>30F</v>
      </c>
      <c r="E327" s="267" t="s">
        <v>161</v>
      </c>
      <c r="F327" s="267" t="s">
        <v>108</v>
      </c>
      <c r="G327" s="267" t="s">
        <v>120</v>
      </c>
      <c r="H327" s="268">
        <v>0</v>
      </c>
      <c r="I327" s="269" t="str">
        <f t="shared" si="19"/>
        <v>EUR30F20Y_Quote</v>
      </c>
      <c r="J327" s="270" t="str">
        <f>_xll.qlSwapRateHelper2(,$I327,$C327,Calendar,$E327,$F327,$G327,$J$4,$H327,B327,Discounting,Permanent,,ObjectOverwrite)</f>
        <v>obj_0087f#0000</v>
      </c>
      <c r="K327" s="271" t="str">
        <f>_xll.ohRangeRetrieveError(J327)</f>
        <v/>
      </c>
      <c r="L327" s="124"/>
      <c r="N327" s="275"/>
    </row>
    <row r="328" spans="1:14" x14ac:dyDescent="0.2">
      <c r="A328" s="68"/>
      <c r="B328" s="101" t="s">
        <v>4</v>
      </c>
      <c r="C328" s="101" t="s">
        <v>9</v>
      </c>
      <c r="D328" s="101" t="str">
        <f t="shared" si="22"/>
        <v>30F</v>
      </c>
      <c r="E328" s="267" t="s">
        <v>161</v>
      </c>
      <c r="F328" s="267" t="s">
        <v>108</v>
      </c>
      <c r="G328" s="267" t="s">
        <v>120</v>
      </c>
      <c r="H328" s="268">
        <v>0</v>
      </c>
      <c r="I328" s="269" t="str">
        <f t="shared" si="19"/>
        <v>EUR30F25Y_Quote</v>
      </c>
      <c r="J328" s="270" t="str">
        <f>_xll.qlSwapRateHelper2(,$I328,$C328,Calendar,$E328,$F328,$G328,$J$4,$H328,B328,Discounting,Permanent,,ObjectOverwrite)</f>
        <v>obj_007a8#0000</v>
      </c>
      <c r="K328" s="271" t="str">
        <f>_xll.ohRangeRetrieveError(J328)</f>
        <v/>
      </c>
      <c r="L328" s="124"/>
      <c r="N328" s="275"/>
    </row>
    <row r="329" spans="1:14" x14ac:dyDescent="0.2">
      <c r="A329" s="68"/>
      <c r="B329" s="272" t="s">
        <v>4</v>
      </c>
      <c r="C329" s="272" t="s">
        <v>4</v>
      </c>
      <c r="D329" s="272" t="str">
        <f t="shared" si="22"/>
        <v>30F</v>
      </c>
      <c r="E329" s="130" t="s">
        <v>161</v>
      </c>
      <c r="F329" s="130" t="s">
        <v>108</v>
      </c>
      <c r="G329" s="130" t="s">
        <v>120</v>
      </c>
      <c r="H329" s="273">
        <v>0</v>
      </c>
      <c r="I329" s="128" t="str">
        <f t="shared" si="19"/>
        <v>EUR30F30Y_Quote</v>
      </c>
      <c r="J329" s="157" t="str">
        <f>_xll.qlSwapRateHelper2(,$I329,$C329,Calendar,$E329,$F329,$G329,$J$4,$H329,B329,Discounting,Permanent,,ObjectOverwrite)</f>
        <v>obj_007b3#0000</v>
      </c>
      <c r="K329" s="274" t="str">
        <f>_xll.ohRangeRetrieveError(J329)</f>
        <v/>
      </c>
      <c r="L329" s="124"/>
      <c r="N329" s="275"/>
    </row>
    <row r="330" spans="1:14" ht="13.5" thickBot="1" x14ac:dyDescent="0.25">
      <c r="A330" s="61"/>
      <c r="B330" s="55"/>
      <c r="C330" s="55"/>
      <c r="D330" s="55"/>
      <c r="E330" s="55"/>
      <c r="F330" s="55"/>
      <c r="G330" s="55"/>
      <c r="H330" s="55"/>
      <c r="I330" s="55"/>
      <c r="J330" s="123"/>
      <c r="K330" s="123"/>
      <c r="L330" s="122"/>
    </row>
  </sheetData>
  <dataValidations count="3">
    <dataValidation type="list" allowBlank="1" showInputMessage="1" showErrorMessage="1" sqref="F6:F329">
      <formula1>"Following,Modified Following,Preceding,Modified Preceding,Month End Reference,Unadjusted Month End,Unadjusted"</formula1>
    </dataValidation>
    <dataValidation type="list" allowBlank="1" showInputMessage="1" showErrorMessage="1" sqref="E6:E329">
      <formula1>"Annual,Semiannual,EveryFourthMonth,Quarterly,Bimonthly,Monthly,Biweekly,Weekly,Daily,Once,NoFrequency"</formula1>
    </dataValidation>
    <dataValidation type="list" allowBlank="1" showInputMessage="1" showErrorMessage="1" sqref="G6:G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C3553"/>
  <sheetViews>
    <sheetView topLeftCell="A17" workbookViewId="0">
      <selection activeCell="J20" sqref="J20"/>
    </sheetView>
  </sheetViews>
  <sheetFormatPr defaultRowHeight="11.25" outlineLevelRow="1" outlineLevelCol="1" x14ac:dyDescent="0.2"/>
  <cols>
    <col min="1" max="1" width="7.5703125" style="60" customWidth="1"/>
    <col min="2" max="2" width="6" style="196" bestFit="1" customWidth="1"/>
    <col min="3" max="3" width="17.28515625" style="196" bestFit="1" customWidth="1"/>
    <col min="4" max="4" width="7" style="60" bestFit="1" customWidth="1"/>
    <col min="5" max="5" width="17.28515625" style="60" bestFit="1" customWidth="1"/>
    <col min="6" max="6" width="20.28515625" style="196" customWidth="1"/>
    <col min="7" max="8" width="7" style="196" customWidth="1"/>
    <col min="9" max="9" width="11" style="196" customWidth="1"/>
    <col min="10" max="10" width="15.7109375" style="196" customWidth="1"/>
    <col min="11" max="11" width="13.5703125" style="196" customWidth="1"/>
    <col min="12" max="12" width="6" style="196" customWidth="1"/>
    <col min="13" max="13" width="15.140625" style="196" hidden="1" customWidth="1" outlineLevel="1"/>
    <col min="14" max="14" width="19.28515625" style="60" bestFit="1" customWidth="1" collapsed="1"/>
    <col min="15" max="15" width="17.28515625" style="60" bestFit="1" customWidth="1"/>
    <col min="16" max="16" width="12" style="60" bestFit="1" customWidth="1"/>
    <col min="17" max="17" width="6" style="60" hidden="1" customWidth="1" outlineLevel="1"/>
    <col min="18" max="19" width="17.28515625" style="60" hidden="1" customWidth="1" outlineLevel="1"/>
    <col min="20" max="20" width="15.140625" style="60" hidden="1" customWidth="1" outlineLevel="1"/>
    <col min="21" max="21" width="16.140625" style="188" bestFit="1" customWidth="1" collapsed="1"/>
    <col min="22" max="22" width="18.28515625" style="60" bestFit="1" customWidth="1"/>
    <col min="23" max="23" width="3.7109375" style="60" customWidth="1"/>
    <col min="24" max="24" width="19.28515625" style="60" customWidth="1"/>
    <col min="25" max="26" width="17.28515625" style="60" bestFit="1" customWidth="1"/>
    <col min="27" max="28" width="15.140625" style="60" bestFit="1" customWidth="1"/>
    <col min="29" max="29" width="22.42578125" style="60" bestFit="1" customWidth="1"/>
    <col min="30" max="30" width="13.140625" style="60" bestFit="1" customWidth="1"/>
    <col min="31" max="16384" width="9.140625" style="60"/>
  </cols>
  <sheetData>
    <row r="1" spans="1:29" s="196" customFormat="1" ht="11.25" hidden="1" customHeight="1" outlineLevel="1" thickBot="1" x14ac:dyDescent="0.25">
      <c r="A1" s="220"/>
      <c r="B1" s="215" t="s">
        <v>154</v>
      </c>
      <c r="C1" s="214"/>
      <c r="D1" s="214"/>
      <c r="E1" s="214"/>
      <c r="F1" s="214"/>
      <c r="G1" s="215" t="s">
        <v>155</v>
      </c>
      <c r="H1" s="214"/>
      <c r="I1" s="214"/>
      <c r="J1" s="214"/>
      <c r="K1" s="214"/>
      <c r="L1" s="245"/>
      <c r="M1" s="204"/>
      <c r="N1" s="60"/>
    </row>
    <row r="2" spans="1:29" ht="11.25" hidden="1" customHeight="1" outlineLevel="1" thickBot="1" x14ac:dyDescent="0.2">
      <c r="A2" s="221"/>
      <c r="B2" s="213" t="s">
        <v>149</v>
      </c>
      <c r="C2" s="213" t="s">
        <v>151</v>
      </c>
      <c r="D2" s="213" t="s">
        <v>80</v>
      </c>
      <c r="E2" s="213" t="s">
        <v>152</v>
      </c>
      <c r="F2" s="216" t="s">
        <v>153</v>
      </c>
      <c r="G2" s="213" t="s">
        <v>151</v>
      </c>
      <c r="H2" s="213" t="s">
        <v>152</v>
      </c>
      <c r="I2" s="213" t="s">
        <v>153</v>
      </c>
      <c r="J2" s="249" t="s">
        <v>157</v>
      </c>
      <c r="K2" s="213" t="s">
        <v>158</v>
      </c>
      <c r="L2" s="245"/>
      <c r="M2" s="204"/>
    </row>
    <row r="3" spans="1:29" ht="11.25" hidden="1" customHeight="1" outlineLevel="1" x14ac:dyDescent="0.2">
      <c r="A3" s="234"/>
      <c r="B3" s="238" t="str">
        <f>_xll.qlPeriodEquivalent(D3&amp;"M")</f>
        <v>1Y</v>
      </c>
      <c r="C3" s="222">
        <f>_xll.qlDateEndOfMonth(EDATE(_xll.qlSettingsEvaluationDate(Trigger),-1))</f>
        <v>41912</v>
      </c>
      <c r="D3" s="219">
        <v>12</v>
      </c>
      <c r="E3" s="222">
        <f t="shared" ref="E3:E16" si="0">EDATE($Z$19,D3)</f>
        <v>42311</v>
      </c>
      <c r="F3" s="241">
        <f>IF(D3&lt;=12,1,IF(D3&lt;=24,3,IF(D3&lt;=120,6,IF(D3&lt;=240,12,IF(D3&lt;=360,36,60)))))</f>
        <v>1</v>
      </c>
      <c r="G3" s="252">
        <f>ROUNDDOWN(J3*10,2)/10</f>
        <v>2E-3</v>
      </c>
      <c r="H3" s="231">
        <f>IF(K3-J3&gt;1%,(QUOTIENT(K3*10000,50)+1)*0.5%,(QUOTIENT(K3*10000,10)+1)*0.1%)</f>
        <v>3.0000000000000001E-3</v>
      </c>
      <c r="I3" s="246">
        <f>IF(H3-G3&lt;0.5%,0.05%,IF(H3-G3&lt;1%,0.1%,IF(H3-G3&lt;2%,0.25%,0.5%)))</f>
        <v>5.0000000000000001E-4</v>
      </c>
      <c r="J3" s="231">
        <f>MIN(_xll.ohPack($AA$19:INDEX($AA$19:$AA$3552,MATCH(E3+1,$Z$19:$Z$3552,1),1)))</f>
        <v>2.0219999995714638E-3</v>
      </c>
      <c r="K3" s="246">
        <f>MAX(_xll.ohPack($AA$19:INDEX($AA$19:$AA$3552,MATCH(E3+1,$Z$19:$Z$3552,1),1)))</f>
        <v>2.3526506828488425E-3</v>
      </c>
      <c r="L3" s="245"/>
      <c r="M3" s="204"/>
    </row>
    <row r="4" spans="1:29" ht="11.25" hidden="1" customHeight="1" outlineLevel="1" x14ac:dyDescent="0.2">
      <c r="A4" s="235"/>
      <c r="B4" s="239" t="str">
        <f>_xll.qlPeriodEquivalent(D4&amp;"M")</f>
        <v>2Y</v>
      </c>
      <c r="C4" s="223">
        <f>_xll.qlDateEndOfMonth(EDATE(_xll.qlIMMNextDate(_xll.qlSettingsEvaluationDate(Trigger)-1,TRUE),-3))</f>
        <v>41912</v>
      </c>
      <c r="D4" s="212">
        <v>24</v>
      </c>
      <c r="E4" s="223">
        <f t="shared" si="0"/>
        <v>42677</v>
      </c>
      <c r="F4" s="242">
        <f t="shared" ref="F4:F16" si="1">IF(D4&lt;=12,1,IF(D4&lt;=24,3,IF(D4&lt;=120,6,IF(D4&lt;=240,12,IF(D4&lt;=360,36,60)))))</f>
        <v>3</v>
      </c>
      <c r="G4" s="253">
        <f t="shared" ref="G4:G16" si="2">ROUNDDOWN(J4*10,2)/10</f>
        <v>2E-3</v>
      </c>
      <c r="H4" s="232">
        <f t="shared" ref="H4:H16" si="3">IF(K4-J4&gt;1%,(QUOTIENT(K4*10000,50)+1)*0.5%,(QUOTIENT(K4*10000,10)+1)*0.1%)</f>
        <v>4.0000000000000001E-3</v>
      </c>
      <c r="I4" s="247">
        <f t="shared" ref="I4:I16" si="4">IF(H4-G4&lt;0.5%,0.05%,IF(H4-G4&lt;1%,0.1%,IF(H4-G4&lt;2%,0.25%,0.5%)))</f>
        <v>5.0000000000000001E-4</v>
      </c>
      <c r="J4" s="232">
        <f>MIN(_xll.ohPack($AA$19:INDEX($AA$19:$AA$3552,MATCH(E4+1,$Z$19:$Z$3552,1),1)))</f>
        <v>2.0219999995714638E-3</v>
      </c>
      <c r="K4" s="247">
        <f>MAX(_xll.ohPack($AA$19:INDEX($AA$19:$AA$3552,MATCH(E4+1,$Z$19:$Z$3552,1),1)))</f>
        <v>3.5704157386434701E-3</v>
      </c>
      <c r="L4" s="245"/>
      <c r="M4" s="204"/>
    </row>
    <row r="5" spans="1:29" ht="11.25" hidden="1" customHeight="1" outlineLevel="1" x14ac:dyDescent="0.2">
      <c r="A5" s="235"/>
      <c r="B5" s="239" t="str">
        <f>_xll.qlPeriodEquivalent(D5&amp;"M")</f>
        <v>5Y</v>
      </c>
      <c r="C5" s="22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2">
        <v>60</v>
      </c>
      <c r="E5" s="223">
        <f t="shared" si="0"/>
        <v>43772</v>
      </c>
      <c r="F5" s="242">
        <f t="shared" si="1"/>
        <v>6</v>
      </c>
      <c r="G5" s="253">
        <f t="shared" si="2"/>
        <v>2E-3</v>
      </c>
      <c r="H5" s="232">
        <f t="shared" si="3"/>
        <v>1.0999999999999999E-2</v>
      </c>
      <c r="I5" s="247">
        <f t="shared" si="4"/>
        <v>1E-3</v>
      </c>
      <c r="J5" s="232">
        <f>MIN(_xll.ohPack($AA$19:INDEX($AA$19:$AA$3552,MATCH(E5+1,$Z$19:$Z$3552,1),1)))</f>
        <v>2.0219999995714638E-3</v>
      </c>
      <c r="K5" s="247">
        <f>MAX(_xll.ohPack($AA$19:INDEX($AA$19:$AA$3552,MATCH(E5+1,$Z$19:$Z$3552,1),1)))</f>
        <v>1.0824552866853982E-2</v>
      </c>
      <c r="L5" s="245"/>
      <c r="M5" s="204"/>
    </row>
    <row r="6" spans="1:29" ht="11.25" hidden="1" customHeight="1" outlineLevel="1" x14ac:dyDescent="0.2">
      <c r="A6" s="236" t="s">
        <v>150</v>
      </c>
      <c r="B6" s="239" t="str">
        <f>_xll.qlPeriodEquivalent(D6&amp;"M")</f>
        <v>10Y</v>
      </c>
      <c r="C6" s="223">
        <f t="shared" ref="C6:C9" si="5">C5</f>
        <v>41820</v>
      </c>
      <c r="D6" s="212">
        <v>120</v>
      </c>
      <c r="E6" s="223">
        <f t="shared" si="0"/>
        <v>45599</v>
      </c>
      <c r="F6" s="242">
        <f t="shared" si="1"/>
        <v>6</v>
      </c>
      <c r="G6" s="253">
        <f t="shared" si="2"/>
        <v>2E-3</v>
      </c>
      <c r="H6" s="232">
        <f t="shared" si="3"/>
        <v>2.5000000000000001E-2</v>
      </c>
      <c r="I6" s="247">
        <f t="shared" si="4"/>
        <v>5.0000000000000001E-3</v>
      </c>
      <c r="J6" s="232">
        <f>MIN(_xll.ohPack($AA$19:INDEX($AA$19:$AA$3552,MATCH(E6+1,$Z$19:$Z$3552,1),1)))</f>
        <v>2.0219999995714638E-3</v>
      </c>
      <c r="K6" s="247">
        <f>MAX(_xll.ohPack($AA$19:INDEX($AA$19:$AA$3552,MATCH(E6+1,$Z$19:$Z$3552,1),1)))</f>
        <v>2.2516331702533469E-2</v>
      </c>
      <c r="L6" s="245"/>
      <c r="M6" s="204"/>
    </row>
    <row r="7" spans="1:29" ht="11.25" hidden="1" customHeight="1" outlineLevel="1" x14ac:dyDescent="0.2">
      <c r="A7" s="235"/>
      <c r="B7" s="239" t="str">
        <f>_xll.qlPeriodEquivalent(D7&amp;"M")</f>
        <v>20Y</v>
      </c>
      <c r="C7" s="223">
        <f>IF(AND(MONTH(C6)=12),C6,_xll.qlDateEndOfMonth(EDATE(C6,-6)))</f>
        <v>41639</v>
      </c>
      <c r="D7" s="212">
        <v>240</v>
      </c>
      <c r="E7" s="223">
        <f t="shared" si="0"/>
        <v>49251</v>
      </c>
      <c r="F7" s="243">
        <f t="shared" si="1"/>
        <v>12</v>
      </c>
      <c r="G7" s="253">
        <f t="shared" si="2"/>
        <v>2E-3</v>
      </c>
      <c r="H7" s="232">
        <f t="shared" si="3"/>
        <v>2.5000000000000001E-2</v>
      </c>
      <c r="I7" s="247">
        <f t="shared" si="4"/>
        <v>5.0000000000000001E-3</v>
      </c>
      <c r="J7" s="250">
        <f>MIN(_xll.ohPack($AA$19:INDEX($AA$19:$AA$3552,MATCH(E7+1,$Z$19:$Z$3552,1),1)))</f>
        <v>2.0219999995714638E-3</v>
      </c>
      <c r="K7" s="247">
        <f>MAX(_xll.ohPack($AA$19:INDEX($AA$19:$AA$3552,MATCH(E7+1,$Z$19:$Z$3552,1),1)))</f>
        <v>2.4255288574876587E-2</v>
      </c>
      <c r="L7" s="245"/>
      <c r="M7" s="204"/>
    </row>
    <row r="8" spans="1:29" ht="11.25" hidden="1" customHeight="1" outlineLevel="1" x14ac:dyDescent="0.2">
      <c r="A8" s="235"/>
      <c r="B8" s="239" t="str">
        <f>_xll.qlPeriodEquivalent(D8&amp;"M")</f>
        <v>30Y</v>
      </c>
      <c r="C8" s="223">
        <f t="shared" si="5"/>
        <v>41639</v>
      </c>
      <c r="D8" s="212">
        <v>360</v>
      </c>
      <c r="E8" s="223">
        <f t="shared" si="0"/>
        <v>52904</v>
      </c>
      <c r="F8" s="243">
        <f t="shared" si="1"/>
        <v>36</v>
      </c>
      <c r="G8" s="253">
        <f t="shared" si="2"/>
        <v>2E-3</v>
      </c>
      <c r="H8" s="232">
        <f t="shared" si="3"/>
        <v>2.5000000000000001E-2</v>
      </c>
      <c r="I8" s="247">
        <f t="shared" si="4"/>
        <v>5.0000000000000001E-3</v>
      </c>
      <c r="J8" s="250">
        <f>MIN(_xll.ohPack($AA$19:INDEX($AA$19:$AA$3552,MATCH(E8+1,$Z$19:$Z$3552,1),1)))</f>
        <v>2.0219999995714638E-3</v>
      </c>
      <c r="K8" s="247">
        <f>MAX(_xll.ohPack($AA$19:INDEX($AA$19:$AA$3552,MATCH(E8+1,$Z$19:$Z$3552,1),1)))</f>
        <v>2.4255288574876587E-2</v>
      </c>
      <c r="L8" s="245"/>
      <c r="M8" s="204"/>
    </row>
    <row r="9" spans="1:29" ht="11.25" hidden="1" customHeight="1" outlineLevel="1" thickBot="1" x14ac:dyDescent="0.2">
      <c r="A9" s="235"/>
      <c r="B9" s="239" t="str">
        <f>_xll.qlPeriodEquivalent(D9&amp;"M")</f>
        <v>60Y</v>
      </c>
      <c r="C9" s="223">
        <f t="shared" si="5"/>
        <v>41639</v>
      </c>
      <c r="D9" s="212">
        <v>720</v>
      </c>
      <c r="E9" s="223">
        <f t="shared" si="0"/>
        <v>63861</v>
      </c>
      <c r="F9" s="243">
        <f t="shared" si="1"/>
        <v>60</v>
      </c>
      <c r="G9" s="253">
        <f t="shared" si="2"/>
        <v>2E-3</v>
      </c>
      <c r="H9" s="232">
        <f t="shared" si="3"/>
        <v>2.5000000000000001E-2</v>
      </c>
      <c r="I9" s="247">
        <f t="shared" si="4"/>
        <v>5.0000000000000001E-3</v>
      </c>
      <c r="J9" s="250">
        <f>MIN(_xll.ohPack($AA$19:INDEX($AA$19:$AA$3552,MATCH(E9+1,$Z$19:$Z$3552,1),1)))</f>
        <v>2.0219999995714638E-3</v>
      </c>
      <c r="K9" s="247">
        <f>MAX(_xll.ohPack($AA$19:INDEX($AA$19:$AA$3552,MATCH(E9+1,$Z$19:$Z$3552,1),1)))</f>
        <v>2.4255288574876587E-2</v>
      </c>
      <c r="L9" s="245"/>
      <c r="M9" s="204"/>
      <c r="AC9" s="199"/>
    </row>
    <row r="10" spans="1:29" ht="11.25" hidden="1" customHeight="1" outlineLevel="1" x14ac:dyDescent="0.2">
      <c r="A10" s="234"/>
      <c r="B10" s="238" t="str">
        <f>_xll.qlPeriodEquivalent(D10&amp;"M")</f>
        <v>1Y</v>
      </c>
      <c r="C10" s="222">
        <f>C3</f>
        <v>41912</v>
      </c>
      <c r="D10" s="219">
        <v>12</v>
      </c>
      <c r="E10" s="222">
        <f t="shared" si="0"/>
        <v>42311</v>
      </c>
      <c r="F10" s="241">
        <f t="shared" si="1"/>
        <v>1</v>
      </c>
      <c r="G10" s="252">
        <f t="shared" si="2"/>
        <v>1E-3</v>
      </c>
      <c r="H10" s="231">
        <f t="shared" si="3"/>
        <v>3.0000000000000001E-3</v>
      </c>
      <c r="I10" s="246">
        <f t="shared" si="4"/>
        <v>5.0000000000000001E-4</v>
      </c>
      <c r="J10" s="231">
        <f>MIN(_xll.ohPack($AB$19:INDEX($AB$19:$AB$3552,MATCH(E10+1,$Z$19:$Z$3552,1),1)))</f>
        <v>1.8384561179818348E-3</v>
      </c>
      <c r="K10" s="246">
        <f>MAX(_xll.ohPack($AB$19:INDEX($AB$19:$AB$3552,MATCH(E10+1,$Z$19:$Z$3552,1),1)))</f>
        <v>2.3068450589747158E-3</v>
      </c>
      <c r="L10" s="245"/>
      <c r="M10" s="204"/>
    </row>
    <row r="11" spans="1:29" ht="11.25" hidden="1" customHeight="1" outlineLevel="1" x14ac:dyDescent="0.2">
      <c r="A11" s="235"/>
      <c r="B11" s="239" t="str">
        <f>_xll.qlPeriodEquivalent(D11&amp;"M")</f>
        <v>2Y</v>
      </c>
      <c r="C11" s="223">
        <f t="shared" ref="C11:C15" si="6">C4</f>
        <v>41912</v>
      </c>
      <c r="D11" s="212">
        <v>24</v>
      </c>
      <c r="E11" s="223">
        <f t="shared" si="0"/>
        <v>42677</v>
      </c>
      <c r="F11" s="242">
        <f t="shared" si="1"/>
        <v>3</v>
      </c>
      <c r="G11" s="253">
        <f t="shared" si="2"/>
        <v>1E-3</v>
      </c>
      <c r="H11" s="232">
        <f t="shared" si="3"/>
        <v>4.0000000000000001E-3</v>
      </c>
      <c r="I11" s="247">
        <f t="shared" si="4"/>
        <v>5.0000000000000001E-4</v>
      </c>
      <c r="J11" s="232">
        <f>MIN(_xll.ohPack($AB$19:INDEX($AB$19:$AB$3552,MATCH(E11+1,$Z$19:$Z$3552,1),1)))</f>
        <v>1.8384561179818348E-3</v>
      </c>
      <c r="K11" s="247">
        <f>MAX(_xll.ohPack($AB$19:INDEX($AB$19:$AB$3552,MATCH(E11+1,$Z$19:$Z$3552,1),1)))</f>
        <v>3.2804020827725822E-3</v>
      </c>
      <c r="L11" s="245"/>
      <c r="M11" s="204"/>
    </row>
    <row r="12" spans="1:29" ht="11.25" hidden="1" customHeight="1" outlineLevel="1" x14ac:dyDescent="0.2">
      <c r="A12" s="235"/>
      <c r="B12" s="239" t="str">
        <f>_xll.qlPeriodEquivalent(D12&amp;"M")</f>
        <v>5Y</v>
      </c>
      <c r="C12" s="223">
        <f t="shared" si="6"/>
        <v>41820</v>
      </c>
      <c r="D12" s="212">
        <v>60</v>
      </c>
      <c r="E12" s="223">
        <f t="shared" si="0"/>
        <v>43772</v>
      </c>
      <c r="F12" s="242">
        <f t="shared" si="1"/>
        <v>6</v>
      </c>
      <c r="G12" s="253">
        <f t="shared" si="2"/>
        <v>1E-3</v>
      </c>
      <c r="H12" s="232">
        <f t="shared" si="3"/>
        <v>1.0999999999999999E-2</v>
      </c>
      <c r="I12" s="247">
        <f t="shared" si="4"/>
        <v>2.5000000000000001E-3</v>
      </c>
      <c r="J12" s="232">
        <f>MIN(_xll.ohPack($AB$19:INDEX($AB$19:$AB$3552,MATCH(E12+1,$Z$19:$Z$3552,1),1)))</f>
        <v>1.8384561179818348E-3</v>
      </c>
      <c r="K12" s="247">
        <f>MAX(_xll.ohPack($AB$19:INDEX($AB$19:$AB$3552,MATCH(E12+1,$Z$19:$Z$3552,1),1)))</f>
        <v>1.0121478371027948E-2</v>
      </c>
      <c r="L12" s="245"/>
      <c r="M12" s="204"/>
    </row>
    <row r="13" spans="1:29" ht="11.25" hidden="1" customHeight="1" outlineLevel="1" x14ac:dyDescent="0.2">
      <c r="A13" s="236" t="s">
        <v>135</v>
      </c>
      <c r="B13" s="239" t="str">
        <f>_xll.qlPeriodEquivalent(D13&amp;"M")</f>
        <v>10Y</v>
      </c>
      <c r="C13" s="223">
        <f t="shared" si="6"/>
        <v>41820</v>
      </c>
      <c r="D13" s="212">
        <v>120</v>
      </c>
      <c r="E13" s="223">
        <f t="shared" si="0"/>
        <v>45599</v>
      </c>
      <c r="F13" s="242">
        <f t="shared" si="1"/>
        <v>6</v>
      </c>
      <c r="G13" s="253">
        <f t="shared" si="2"/>
        <v>1E-3</v>
      </c>
      <c r="H13" s="232">
        <f t="shared" si="3"/>
        <v>2.5000000000000001E-2</v>
      </c>
      <c r="I13" s="247">
        <f t="shared" si="4"/>
        <v>5.0000000000000001E-3</v>
      </c>
      <c r="J13" s="232">
        <f>MIN(_xll.ohPack($AB$19:INDEX($AB$19:$AB$3552,MATCH(E13+1,$Z$19:$Z$3552,1),1)))</f>
        <v>1.8384561179818348E-3</v>
      </c>
      <c r="K13" s="247">
        <f>MAX(_xll.ohPack($AB$19:INDEX($AB$19:$AB$3552,MATCH(E13+1,$Z$19:$Z$3552,1),1)))</f>
        <v>2.2114230808316648E-2</v>
      </c>
      <c r="L13" s="245"/>
      <c r="M13" s="204"/>
    </row>
    <row r="14" spans="1:29" ht="11.25" hidden="1" customHeight="1" outlineLevel="1" x14ac:dyDescent="0.2">
      <c r="A14" s="235"/>
      <c r="B14" s="239" t="str">
        <f>_xll.qlPeriodEquivalent(D14&amp;"M")</f>
        <v>20Y</v>
      </c>
      <c r="C14" s="223">
        <f t="shared" si="6"/>
        <v>41639</v>
      </c>
      <c r="D14" s="212">
        <v>240</v>
      </c>
      <c r="E14" s="223">
        <f t="shared" si="0"/>
        <v>49251</v>
      </c>
      <c r="F14" s="243">
        <f>IF(D14&lt;=12,1,IF(D14&lt;=24,3,IF(D14&lt;=120,6,IF(D14&lt;=240,12,IF(D14&lt;=360,36,60)))))</f>
        <v>12</v>
      </c>
      <c r="G14" s="253">
        <f>ROUNDDOWN(J14*10,2)/10</f>
        <v>1E-3</v>
      </c>
      <c r="H14" s="232">
        <f t="shared" si="3"/>
        <v>2.5000000000000001E-2</v>
      </c>
      <c r="I14" s="247">
        <f t="shared" si="4"/>
        <v>5.0000000000000001E-3</v>
      </c>
      <c r="J14" s="250">
        <f>MIN(_xll.ohPack($AB$19:INDEX($AB$19:$AB$3552,MATCH(E14+1,$Z$19:$Z$3552,1),1)))</f>
        <v>1.8384561179818348E-3</v>
      </c>
      <c r="K14" s="247">
        <f>MAX(_xll.ohPack($AB$19:INDEX($AB$19:$AB$3552,MATCH(E14+1,$Z$19:$Z$3552,1),1)))</f>
        <v>2.4107458629831768E-2</v>
      </c>
      <c r="L14" s="245"/>
      <c r="M14" s="204"/>
    </row>
    <row r="15" spans="1:29" ht="11.25" hidden="1" customHeight="1" outlineLevel="1" x14ac:dyDescent="0.2">
      <c r="A15" s="235"/>
      <c r="B15" s="239" t="str">
        <f>_xll.qlPeriodEquivalent(D15&amp;"M")</f>
        <v>30Y</v>
      </c>
      <c r="C15" s="223">
        <f t="shared" si="6"/>
        <v>41639</v>
      </c>
      <c r="D15" s="212">
        <v>360</v>
      </c>
      <c r="E15" s="223">
        <f t="shared" si="0"/>
        <v>52904</v>
      </c>
      <c r="F15" s="243">
        <f t="shared" si="1"/>
        <v>36</v>
      </c>
      <c r="G15" s="253">
        <f t="shared" si="2"/>
        <v>1E-3</v>
      </c>
      <c r="H15" s="232">
        <f t="shared" si="3"/>
        <v>2.5000000000000001E-2</v>
      </c>
      <c r="I15" s="247">
        <f t="shared" si="4"/>
        <v>5.0000000000000001E-3</v>
      </c>
      <c r="J15" s="250">
        <f>MIN(_xll.ohPack($AB$19:INDEX($AB$19:$AB$3552,MATCH(E15+1,$Z$19:$Z$3552,1),1)))</f>
        <v>1.8384561179818348E-3</v>
      </c>
      <c r="K15" s="247">
        <f>MAX(_xll.ohPack($AB$19:INDEX($AB$19:$AB$3552,MATCH(E15+1,$Z$19:$Z$3552,1),1)))</f>
        <v>2.4107458629831768E-2</v>
      </c>
      <c r="L15" s="245"/>
      <c r="M15" s="204"/>
      <c r="O15" s="196"/>
      <c r="P15" s="196"/>
      <c r="Q15" s="196"/>
      <c r="R15" s="196"/>
      <c r="S15" s="196"/>
      <c r="T15" s="196"/>
      <c r="U15" s="197"/>
      <c r="V15" s="196"/>
      <c r="W15" s="196"/>
      <c r="AA15" s="195" t="s">
        <v>133</v>
      </c>
      <c r="AB15" s="195" t="s">
        <v>134</v>
      </c>
    </row>
    <row r="16" spans="1:29" ht="11.25" hidden="1" customHeight="1" outlineLevel="1" thickBot="1" x14ac:dyDescent="0.25">
      <c r="A16" s="237"/>
      <c r="B16" s="240" t="str">
        <f>_xll.qlPeriodEquivalent(D16&amp;"M")</f>
        <v>60Y</v>
      </c>
      <c r="C16" s="228">
        <f>C9</f>
        <v>41639</v>
      </c>
      <c r="D16" s="229">
        <v>720</v>
      </c>
      <c r="E16" s="228">
        <f t="shared" si="0"/>
        <v>63861</v>
      </c>
      <c r="F16" s="244">
        <f t="shared" si="1"/>
        <v>60</v>
      </c>
      <c r="G16" s="254">
        <f t="shared" si="2"/>
        <v>1E-3</v>
      </c>
      <c r="H16" s="233">
        <f t="shared" si="3"/>
        <v>2.5000000000000001E-2</v>
      </c>
      <c r="I16" s="248">
        <f t="shared" si="4"/>
        <v>5.0000000000000001E-3</v>
      </c>
      <c r="J16" s="251">
        <f>MIN(_xll.ohPack($AB$19:INDEX($AB$19:$AB$3552,MATCH(E16+1,$Z$19:$Z$3552,1),1)))</f>
        <v>1.8384561179818348E-3</v>
      </c>
      <c r="K16" s="248">
        <f>MAX(_xll.ohPack($AB$19:INDEX($AB$19:$AB$3552,MATCH(E16+1,$Z$19:$Z$3552,1),1)))</f>
        <v>2.4107458629831768E-2</v>
      </c>
      <c r="L16" s="245"/>
      <c r="M16" s="204"/>
      <c r="W16" s="172"/>
      <c r="AA16" s="177" t="str">
        <f>_xll.qlEuribor(,IndexTenor,YieldCurve)</f>
        <v>obj_008ea#0000</v>
      </c>
      <c r="AB16" s="177" t="str">
        <f>_xll.qlEonia(,YieldCurve)</f>
        <v>obj_008e9#0000</v>
      </c>
    </row>
    <row r="17" spans="10:28" ht="12" collapsed="1" thickBot="1" x14ac:dyDescent="0.25"/>
    <row r="18" spans="10:28" ht="12" thickBot="1" x14ac:dyDescent="0.25">
      <c r="M18" s="178" t="s">
        <v>44</v>
      </c>
      <c r="N18" s="178" t="s">
        <v>138</v>
      </c>
      <c r="O18" s="179" t="s">
        <v>131</v>
      </c>
      <c r="P18" s="179" t="s">
        <v>43</v>
      </c>
      <c r="Q18" s="179" t="s">
        <v>144</v>
      </c>
      <c r="R18" s="179" t="s">
        <v>132</v>
      </c>
      <c r="S18" s="179"/>
      <c r="T18" s="179" t="s">
        <v>156</v>
      </c>
      <c r="U18" s="190" t="s">
        <v>145</v>
      </c>
      <c r="V18" s="195" t="s">
        <v>147</v>
      </c>
      <c r="X18" s="208" t="s">
        <v>139</v>
      </c>
      <c r="Y18" s="209" t="s">
        <v>132</v>
      </c>
      <c r="Z18" s="209" t="s">
        <v>131</v>
      </c>
      <c r="AA18" s="210" t="s">
        <v>136</v>
      </c>
      <c r="AB18" s="211" t="s">
        <v>135</v>
      </c>
    </row>
    <row r="19" spans="10:28" ht="12" thickBot="1" x14ac:dyDescent="0.25">
      <c r="J19" s="206" t="s">
        <v>148</v>
      </c>
      <c r="M19" s="180" t="str">
        <f t="array" ref="M19:M36">_xll.ohFilter(RateHelpers!B12:B29,IF(ISERROR(RateHelpers!D12:D29),FALSE,TRUE))</f>
        <v>obj_008b0#0000</v>
      </c>
      <c r="N19" s="260" t="str">
        <f>_xll.qlRateHelperQuoteName(M19)</f>
        <v>EUR1x7F_Quote</v>
      </c>
      <c r="O19" s="176">
        <f>_xll.qlRateHelperEarliestDate(M19,Trigger)</f>
        <v>41976</v>
      </c>
      <c r="P19" s="224">
        <f>_xll.qlRateHelperQuoteValue(M19,_xll.ohTrigger(RecalcTrigger,Trigger))</f>
        <v>2.0500000000000002E-3</v>
      </c>
      <c r="Q19" s="224" t="e">
        <f>NA()</f>
        <v>#N/A</v>
      </c>
      <c r="R19" s="176">
        <f>_xll.qlInterestRateIndexFixingDate(IborIndex,O19,_xll.ohTrigger(RecalcTrigger,Trigger))</f>
        <v>41974</v>
      </c>
      <c r="S19" s="176"/>
      <c r="T19" s="224">
        <f>_xll.qlIndexFixing(IborIndex,R19,TRUE,RecalcTrigger)</f>
        <v>2.0500000000096968E-3</v>
      </c>
      <c r="U19" s="225">
        <f>T19-P19</f>
        <v>9.6966705498413575E-15</v>
      </c>
      <c r="V19" s="262">
        <f t="array" ref="V19">MAX(ABS(U19:U36))</f>
        <v>2.9912487417571576E-13</v>
      </c>
      <c r="X19" s="186" t="s">
        <v>105</v>
      </c>
      <c r="Y19" s="198">
        <f>_xll.qlSettingsEvaluationDate(Trigger)</f>
        <v>41942</v>
      </c>
      <c r="Z19" s="198">
        <f>_xll.qlCalendarAdvance(Calendar,Y19,NDays&amp;"D")</f>
        <v>41946</v>
      </c>
      <c r="AA19" s="173">
        <f t="array" ref="AA19:AA3552">IFERROR(_xll.qlIndexFixing(IborIndex,Y19:Y3552,TRUE,RecalcTrigger),NA())</f>
        <v>2.0219999995714638E-3</v>
      </c>
      <c r="AB19" s="182">
        <f t="array" ref="AB19:AB3552">IFERROR(_xll.qlIndexFixing(OverNightIndex,Z19:Z3552,TRUE,RecalcTrigger),NA())</f>
        <v>1.8384561179818348E-3</v>
      </c>
    </row>
    <row r="20" spans="10:28" ht="12" thickBot="1" x14ac:dyDescent="0.25">
      <c r="J20" s="217"/>
      <c r="M20" s="181" t="str">
        <v>obj_008ad#0000</v>
      </c>
      <c r="N20" s="186" t="str">
        <f>_xll.qlRateHelperQuoteName(M20)</f>
        <v>EUR2x8F_Quote</v>
      </c>
      <c r="O20" s="174">
        <f>_xll.qlRateHelperEarliestDate(M20,Trigger)</f>
        <v>42009</v>
      </c>
      <c r="P20" s="173">
        <f>_xll.qlRateHelperQuoteValue(M20,_xll.ohTrigger(RecalcTrigger,Trigger))</f>
        <v>2.0800000000000003E-3</v>
      </c>
      <c r="Q20" s="173" t="e">
        <f>NA()</f>
        <v>#N/A</v>
      </c>
      <c r="R20" s="174">
        <f>_xll.qlInterestRateIndexFixingDate(IborIndex,O20,_xll.ohTrigger(RecalcTrigger,Trigger))</f>
        <v>42004</v>
      </c>
      <c r="S20" s="174"/>
      <c r="T20" s="173">
        <f>_xll.qlIndexFixing(IborIndex,R20,TRUE,RecalcTrigger)</f>
        <v>2.0799999998527005E-3</v>
      </c>
      <c r="U20" s="226">
        <f t="shared" ref="U20:U36" si="7">T20-P20</f>
        <v>-1.4729970715388063E-13</v>
      </c>
      <c r="X20" s="186" t="str">
        <f>X19</f>
        <v>1D</v>
      </c>
      <c r="Y20" s="174">
        <f>_xll.qlCalendarAdvance(Calendar,Y19,X20,"f",FALSE)</f>
        <v>41943</v>
      </c>
      <c r="Z20" s="198">
        <f>_xll.qlCalendarAdvance(Calendar,Y20,NDays&amp;"D")</f>
        <v>41947</v>
      </c>
      <c r="AA20" s="173">
        <v>2.0230037230451713E-3</v>
      </c>
      <c r="AB20" s="182">
        <v>1.8386123199132243E-3</v>
      </c>
    </row>
    <row r="21" spans="10:28" ht="12" thickBot="1" x14ac:dyDescent="0.25">
      <c r="M21" s="181" t="str">
        <v>obj_008b7#0000</v>
      </c>
      <c r="N21" s="186" t="str">
        <f>_xll.qlRateHelperQuoteName(M21)</f>
        <v>EUR3x9F_Quote</v>
      </c>
      <c r="O21" s="174">
        <f>_xll.qlRateHelperEarliestDate(M21,Trigger)</f>
        <v>42038</v>
      </c>
      <c r="P21" s="173">
        <f>_xll.qlRateHelperQuoteValue(M21,_xll.ohTrigger(RecalcTrigger,Trigger))</f>
        <v>2.0900000000000003E-3</v>
      </c>
      <c r="Q21" s="173" t="e">
        <f>NA()</f>
        <v>#N/A</v>
      </c>
      <c r="R21" s="174">
        <f>_xll.qlInterestRateIndexFixingDate(IborIndex,O21,_xll.ohTrigger(RecalcTrigger,Trigger))</f>
        <v>42034</v>
      </c>
      <c r="S21" s="174"/>
      <c r="T21" s="173">
        <f>_xll.qlIndexFixing(IborIndex,R21,TRUE,RecalcTrigger)</f>
        <v>2.0900000000000675E-3</v>
      </c>
      <c r="U21" s="226">
        <f t="shared" si="7"/>
        <v>6.7220534694101275E-17</v>
      </c>
      <c r="X21" s="186" t="str">
        <f t="shared" ref="X21:X84" si="8">X20</f>
        <v>1D</v>
      </c>
      <c r="Y21" s="174">
        <f>_xll.qlCalendarAdvance(Calendar,Y20,X21,"f",FALSE)</f>
        <v>41946</v>
      </c>
      <c r="Z21" s="198">
        <f>_xll.qlCalendarAdvance(Calendar,Y21,NDays&amp;"D")</f>
        <v>41948</v>
      </c>
      <c r="AA21" s="173">
        <v>2.024062884734354E-3</v>
      </c>
      <c r="AB21" s="182">
        <v>1.8389247236960671E-3</v>
      </c>
    </row>
    <row r="22" spans="10:28" ht="23.25" thickBot="1" x14ac:dyDescent="0.25">
      <c r="J22" s="307" t="s">
        <v>165</v>
      </c>
      <c r="M22" s="181" t="str">
        <v>obj_008b3#0000</v>
      </c>
      <c r="N22" s="186" t="str">
        <f>_xll.qlRateHelperQuoteName(M22)</f>
        <v>EUR4x10F_Quote</v>
      </c>
      <c r="O22" s="174">
        <f>_xll.qlRateHelperEarliestDate(M22,Trigger)</f>
        <v>42066</v>
      </c>
      <c r="P22" s="173">
        <f>_xll.qlRateHelperQuoteValue(M22,_xll.ohTrigger(RecalcTrigger,Trigger))</f>
        <v>2.0800000000000003E-3</v>
      </c>
      <c r="Q22" s="173" t="e">
        <f>NA()</f>
        <v>#N/A</v>
      </c>
      <c r="R22" s="174">
        <f>_xll.qlInterestRateIndexFixingDate(IborIndex,O22,_xll.ohTrigger(RecalcTrigger,Trigger))</f>
        <v>42062</v>
      </c>
      <c r="S22" s="174"/>
      <c r="T22" s="173">
        <f>_xll.qlIndexFixing(IborIndex,R22,TRUE,RecalcTrigger)</f>
        <v>2.0799999999998116E-3</v>
      </c>
      <c r="U22" s="226">
        <f t="shared" si="7"/>
        <v>-1.8865117801247777E-16</v>
      </c>
      <c r="X22" s="186" t="str">
        <f t="shared" si="8"/>
        <v>1D</v>
      </c>
      <c r="Y22" s="174">
        <f>_xll.qlCalendarAdvance(Calendar,Y21,X22,"f",FALSE)</f>
        <v>41947</v>
      </c>
      <c r="Z22" s="198">
        <f>_xll.qlCalendarAdvance(Calendar,Y22,NDays&amp;"D")</f>
        <v>41949</v>
      </c>
      <c r="AA22" s="173">
        <v>2.025104339886306E-3</v>
      </c>
      <c r="AB22" s="182">
        <v>1.8393933294102993E-3</v>
      </c>
    </row>
    <row r="23" spans="10:28" ht="12" thickBot="1" x14ac:dyDescent="0.25">
      <c r="J23" s="306" t="str">
        <f>ROUNDDOWN((_xll.qlTermStructureMaxDate(YieldCurve,Trigger)-_xll.qlTermStructureReferenceDate(YieldCurve,Trigger))/365,)&amp;"Y"</f>
        <v>60Y</v>
      </c>
      <c r="M23" s="181" t="str">
        <v>obj_008b1#0000</v>
      </c>
      <c r="N23" s="186" t="str">
        <f>_xll.qlRateHelperQuoteName(M23)</f>
        <v>EUR5x11F_Quote</v>
      </c>
      <c r="O23" s="174">
        <f>_xll.qlRateHelperEarliestDate(M23,Trigger)</f>
        <v>42101</v>
      </c>
      <c r="P23" s="173">
        <f>_xll.qlRateHelperQuoteValue(M23,_xll.ohTrigger(RecalcTrigger,Trigger))</f>
        <v>2.0800000000000003E-3</v>
      </c>
      <c r="Q23" s="173" t="e">
        <f>NA()</f>
        <v>#N/A</v>
      </c>
      <c r="R23" s="174">
        <f>_xll.qlInterestRateIndexFixingDate(IborIndex,O23,_xll.ohTrigger(RecalcTrigger,Trigger))</f>
        <v>42095</v>
      </c>
      <c r="S23" s="174"/>
      <c r="T23" s="173">
        <f>_xll.qlIndexFixing(IborIndex,R23,TRUE,RecalcTrigger)</f>
        <v>2.0799999999998233E-3</v>
      </c>
      <c r="U23" s="226">
        <f t="shared" si="7"/>
        <v>-1.7694179454963432E-16</v>
      </c>
      <c r="X23" s="186" t="str">
        <f t="shared" si="8"/>
        <v>1D</v>
      </c>
      <c r="Y23" s="174">
        <f>_xll.qlCalendarAdvance(Calendar,Y22,X23,"f",FALSE)</f>
        <v>41948</v>
      </c>
      <c r="Z23" s="198">
        <f>_xll.qlCalendarAdvance(Calendar,Y23,NDays&amp;"D")</f>
        <v>41950</v>
      </c>
      <c r="AA23" s="173">
        <v>2.0261289949754808E-3</v>
      </c>
      <c r="AB23" s="182">
        <v>1.8408606269204597E-3</v>
      </c>
    </row>
    <row r="24" spans="10:28" x14ac:dyDescent="0.2">
      <c r="M24" s="181" t="str">
        <v>obj_008af#0000</v>
      </c>
      <c r="N24" s="186" t="str">
        <f>_xll.qlRateHelperQuoteName(M24)</f>
        <v>EUR6x12F_Quote</v>
      </c>
      <c r="O24" s="174">
        <f>_xll.qlRateHelperEarliestDate(M24,Trigger)</f>
        <v>42128</v>
      </c>
      <c r="P24" s="173">
        <f>_xll.qlRateHelperQuoteValue(M24,_xll.ohTrigger(RecalcTrigger,Trigger))</f>
        <v>2.0900000000000003E-3</v>
      </c>
      <c r="Q24" s="173" t="e">
        <f>NA()</f>
        <v>#N/A</v>
      </c>
      <c r="R24" s="174">
        <f>_xll.qlInterestRateIndexFixingDate(IborIndex,O24,_xll.ohTrigger(RecalcTrigger,Trigger))</f>
        <v>42123</v>
      </c>
      <c r="S24" s="174"/>
      <c r="T24" s="173">
        <f>_xll.qlIndexFixing(IborIndex,R24,TRUE,RecalcTrigger)</f>
        <v>2.090000000000051E-3</v>
      </c>
      <c r="U24" s="226">
        <f t="shared" si="7"/>
        <v>5.0740661672321608E-17</v>
      </c>
      <c r="X24" s="186" t="str">
        <f t="shared" si="8"/>
        <v>1D</v>
      </c>
      <c r="Y24" s="174">
        <f>_xll.qlCalendarAdvance(Calendar,Y23,X24,"f",FALSE)</f>
        <v>41949</v>
      </c>
      <c r="Z24" s="198">
        <f>_xll.qlCalendarAdvance(Calendar,Y24,NDays&amp;"D")</f>
        <v>41953</v>
      </c>
      <c r="AA24" s="173">
        <v>2.0290592440729417E-3</v>
      </c>
      <c r="AB24" s="182">
        <v>1.8428297711015063E-3</v>
      </c>
    </row>
    <row r="25" spans="10:28" x14ac:dyDescent="0.2">
      <c r="M25" s="181" t="str">
        <v>obj_008a7#0000</v>
      </c>
      <c r="N25" s="186" t="str">
        <f>_xll.qlRateHelperQuoteName(M25)</f>
        <v>EUR7x13F_Quote</v>
      </c>
      <c r="O25" s="174">
        <f>_xll.qlRateHelperEarliestDate(M25,Trigger)</f>
        <v>42158</v>
      </c>
      <c r="P25" s="173">
        <f>_xll.qlRateHelperQuoteValue(M25,_xll.ohTrigger(RecalcTrigger,Trigger))</f>
        <v>2.0900000000000003E-3</v>
      </c>
      <c r="Q25" s="173" t="e">
        <f>NA()</f>
        <v>#N/A</v>
      </c>
      <c r="R25" s="174">
        <f>_xll.qlInterestRateIndexFixingDate(IborIndex,O25,_xll.ohTrigger(RecalcTrigger,Trigger))</f>
        <v>42156</v>
      </c>
      <c r="S25" s="174"/>
      <c r="T25" s="173">
        <f>_xll.qlIndexFixing(IborIndex,R25,TRUE,RecalcTrigger)</f>
        <v>2.0900000002991252E-3</v>
      </c>
      <c r="U25" s="226">
        <f t="shared" si="7"/>
        <v>2.9912487417571576E-13</v>
      </c>
      <c r="X25" s="186" t="str">
        <f t="shared" si="8"/>
        <v>1D</v>
      </c>
      <c r="Y25" s="174">
        <f>_xll.qlCalendarAdvance(Calendar,Y24,X25,"f",FALSE)</f>
        <v>41950</v>
      </c>
      <c r="Z25" s="198">
        <f>_xll.qlCalendarAdvance(Calendar,Y25,NDays&amp;"D")</f>
        <v>41954</v>
      </c>
      <c r="AA25" s="173">
        <v>2.0300777442782696E-3</v>
      </c>
      <c r="AB25" s="182">
        <v>1.8440793862328775E-3</v>
      </c>
    </row>
    <row r="26" spans="10:28" x14ac:dyDescent="0.2">
      <c r="M26" s="181" t="str">
        <v>obj_008a9#0000</v>
      </c>
      <c r="N26" s="186" t="str">
        <f>_xll.qlRateHelperQuoteName(M26)</f>
        <v>EUR8x14F_Quote</v>
      </c>
      <c r="O26" s="174">
        <f>_xll.qlRateHelperEarliestDate(M26,Trigger)</f>
        <v>42188</v>
      </c>
      <c r="P26" s="173">
        <f>_xll.qlRateHelperQuoteValue(M26,_xll.ohTrigger(RecalcTrigger,Trigger))</f>
        <v>2.1199999999999999E-3</v>
      </c>
      <c r="Q26" s="173" t="e">
        <f>NA()</f>
        <v>#N/A</v>
      </c>
      <c r="R26" s="174">
        <f>_xll.qlInterestRateIndexFixingDate(IborIndex,O26,_xll.ohTrigger(RecalcTrigger,Trigger))</f>
        <v>42186</v>
      </c>
      <c r="S26" s="174"/>
      <c r="T26" s="173">
        <f>_xll.qlIndexFixing(IborIndex,R26,TRUE,RecalcTrigger)</f>
        <v>2.11999999999963E-3</v>
      </c>
      <c r="U26" s="226">
        <f t="shared" si="7"/>
        <v>-3.6992978125205411E-16</v>
      </c>
      <c r="X26" s="186" t="str">
        <f t="shared" si="8"/>
        <v>1D</v>
      </c>
      <c r="Y26" s="174">
        <f>_xll.qlCalendarAdvance(Calendar,Y25,X26,"f",FALSE)</f>
        <v>41953</v>
      </c>
      <c r="Z26" s="198">
        <f>_xll.qlCalendarAdvance(Calendar,Y26,NDays&amp;"D")</f>
        <v>41955</v>
      </c>
      <c r="AA26" s="173">
        <v>2.0310319962520622E-3</v>
      </c>
      <c r="AB26" s="182">
        <v>1.8454852033755742E-3</v>
      </c>
    </row>
    <row r="27" spans="10:28" x14ac:dyDescent="0.2">
      <c r="M27" s="181" t="str">
        <v>obj_008b5#0000</v>
      </c>
      <c r="N27" s="186" t="str">
        <f>_xll.qlRateHelperQuoteName(M27)</f>
        <v>EUR9x15F_Quote</v>
      </c>
      <c r="O27" s="174">
        <f>_xll.qlRateHelperEarliestDate(M27,Trigger)</f>
        <v>42219</v>
      </c>
      <c r="P27" s="173">
        <f>_xll.qlRateHelperQuoteValue(M27,_xll.ohTrigger(RecalcTrigger,Trigger))</f>
        <v>2.1700000000000001E-3</v>
      </c>
      <c r="Q27" s="173" t="e">
        <f>NA()</f>
        <v>#N/A</v>
      </c>
      <c r="R27" s="174">
        <f>_xll.qlInterestRateIndexFixingDate(IborIndex,O27,_xll.ohTrigger(RecalcTrigger,Trigger))</f>
        <v>42215</v>
      </c>
      <c r="S27" s="174"/>
      <c r="T27" s="173">
        <f>_xll.qlIndexFixing(IborIndex,R27,TRUE,RecalcTrigger)</f>
        <v>2.1699999999997932E-3</v>
      </c>
      <c r="U27" s="226">
        <f t="shared" si="7"/>
        <v>-2.0686577451023425E-16</v>
      </c>
      <c r="X27" s="186" t="str">
        <f t="shared" si="8"/>
        <v>1D</v>
      </c>
      <c r="Y27" s="174">
        <f>_xll.qlCalendarAdvance(Calendar,Y26,X27,"f",FALSE)</f>
        <v>41954</v>
      </c>
      <c r="Z27" s="198">
        <f>_xll.qlCalendarAdvance(Calendar,Y27,NDays&amp;"D")</f>
        <v>41956</v>
      </c>
      <c r="AA27" s="173">
        <v>2.0319748870566124E-3</v>
      </c>
      <c r="AB27" s="182">
        <v>1.8470472223697243E-3</v>
      </c>
    </row>
    <row r="28" spans="10:28" x14ac:dyDescent="0.2">
      <c r="M28" s="181" t="str">
        <v>obj_008b6#0000</v>
      </c>
      <c r="N28" s="186" t="str">
        <f>_xll.qlRateHelperQuoteName(M28)</f>
        <v>EUR10x16F_Quote</v>
      </c>
      <c r="O28" s="174">
        <f>_xll.qlRateHelperEarliestDate(M28,Trigger)</f>
        <v>42250</v>
      </c>
      <c r="P28" s="173">
        <f>_xll.qlRateHelperQuoteValue(M28,_xll.ohTrigger(RecalcTrigger,Trigger))</f>
        <v>2.2200000000000002E-3</v>
      </c>
      <c r="Q28" s="173" t="e">
        <f>NA()</f>
        <v>#N/A</v>
      </c>
      <c r="R28" s="174">
        <f>_xll.qlInterestRateIndexFixingDate(IborIndex,O28,_xll.ohTrigger(RecalcTrigger,Trigger))</f>
        <v>42248</v>
      </c>
      <c r="S28" s="174"/>
      <c r="T28" s="173">
        <f>_xll.qlIndexFixing(IborIndex,R28,TRUE,RecalcTrigger)</f>
        <v>2.2200000000002257E-3</v>
      </c>
      <c r="U28" s="226">
        <f t="shared" si="7"/>
        <v>2.2551405187698492E-16</v>
      </c>
      <c r="X28" s="186" t="str">
        <f t="shared" si="8"/>
        <v>1D</v>
      </c>
      <c r="Y28" s="174">
        <f>_xll.qlCalendarAdvance(Calendar,Y27,X28,"f",FALSE)</f>
        <v>41955</v>
      </c>
      <c r="Z28" s="198">
        <f>_xll.qlCalendarAdvance(Calendar,Y28,NDays&amp;"D")</f>
        <v>41957</v>
      </c>
      <c r="AA28" s="173">
        <v>2.0329073231809469E-3</v>
      </c>
      <c r="AB28" s="182">
        <v>1.8507014473989614E-3</v>
      </c>
    </row>
    <row r="29" spans="10:28" x14ac:dyDescent="0.2">
      <c r="M29" s="181" t="str">
        <v>obj_008b2#0000</v>
      </c>
      <c r="N29" s="186" t="str">
        <f>_xll.qlRateHelperQuoteName(M29)</f>
        <v>EUR11x17F_Quote</v>
      </c>
      <c r="O29" s="174">
        <f>_xll.qlRateHelperEarliestDate(M29,Trigger)</f>
        <v>42282</v>
      </c>
      <c r="P29" s="173">
        <f>_xll.qlRateHelperQuoteValue(M29,_xll.ohTrigger(RecalcTrigger,Trigger))</f>
        <v>2.2799999999999999E-3</v>
      </c>
      <c r="Q29" s="173" t="e">
        <f>NA()</f>
        <v>#N/A</v>
      </c>
      <c r="R29" s="174">
        <f>_xll.qlInterestRateIndexFixingDate(IborIndex,O29,_xll.ohTrigger(RecalcTrigger,Trigger))</f>
        <v>42278</v>
      </c>
      <c r="S29" s="174"/>
      <c r="T29" s="173">
        <f>_xll.qlIndexFixing(IborIndex,R29,TRUE,RecalcTrigger)</f>
        <v>2.2799999997582679E-3</v>
      </c>
      <c r="U29" s="226">
        <f t="shared" si="7"/>
        <v>-2.4173198165389209E-13</v>
      </c>
      <c r="X29" s="186" t="str">
        <f t="shared" si="8"/>
        <v>1D</v>
      </c>
      <c r="Y29" s="174">
        <f>_xll.qlCalendarAdvance(Calendar,Y28,X29,"f",FALSE)</f>
        <v>41956</v>
      </c>
      <c r="Z29" s="198">
        <f>_xll.qlCalendarAdvance(Calendar,Y29,NDays&amp;"D")</f>
        <v>41960</v>
      </c>
      <c r="AA29" s="173">
        <v>2.0355627711449837E-3</v>
      </c>
      <c r="AB29" s="182">
        <v>1.8548573173404748E-3</v>
      </c>
    </row>
    <row r="30" spans="10:28" x14ac:dyDescent="0.2">
      <c r="M30" s="181" t="str">
        <v>obj_008ab#0000</v>
      </c>
      <c r="N30" s="186" t="str">
        <f>_xll.qlRateHelperQuoteName(M30)</f>
        <v>EUR12x18F_Quote</v>
      </c>
      <c r="O30" s="174">
        <f>_xll.qlRateHelperEarliestDate(M30,Trigger)</f>
        <v>42311</v>
      </c>
      <c r="P30" s="173">
        <f>_xll.qlRateHelperQuoteValue(M30,_xll.ohTrigger(RecalcTrigger,Trigger))</f>
        <v>2.3499999999999997E-3</v>
      </c>
      <c r="Q30" s="173" t="e">
        <f>NA()</f>
        <v>#N/A</v>
      </c>
      <c r="R30" s="174">
        <f>_xll.qlInterestRateIndexFixingDate(IborIndex,O30,_xll.ohTrigger(RecalcTrigger,Trigger))</f>
        <v>42307</v>
      </c>
      <c r="S30" s="174"/>
      <c r="T30" s="173">
        <f>_xll.qlIndexFixing(IborIndex,R30,TRUE,RecalcTrigger)</f>
        <v>2.3499999999993643E-3</v>
      </c>
      <c r="U30" s="226">
        <f t="shared" si="7"/>
        <v>-6.353424730765056E-16</v>
      </c>
      <c r="X30" s="186" t="str">
        <f t="shared" si="8"/>
        <v>1D</v>
      </c>
      <c r="Y30" s="174">
        <f>_xll.qlCalendarAdvance(Calendar,Y29,X30,"f",FALSE)</f>
        <v>41957</v>
      </c>
      <c r="Z30" s="198">
        <f>_xll.qlCalendarAdvance(Calendar,Y30,NDays&amp;"D")</f>
        <v>41961</v>
      </c>
      <c r="AA30" s="173">
        <v>2.0365506507321993E-3</v>
      </c>
      <c r="AB30" s="182">
        <v>1.857200345911636E-3</v>
      </c>
    </row>
    <row r="31" spans="10:28" x14ac:dyDescent="0.2">
      <c r="M31" s="181" t="str">
        <v>obj_008ac#0000</v>
      </c>
      <c r="N31" s="186" t="str">
        <f>_xll.qlRateHelperQuoteName(M31)</f>
        <v>EUR13x19F_Quote</v>
      </c>
      <c r="O31" s="174">
        <f>_xll.qlRateHelperEarliestDate(M31,Trigger)</f>
        <v>42341</v>
      </c>
      <c r="P31" s="173">
        <f>_xll.qlRateHelperQuoteValue(M31,_xll.ohTrigger(RecalcTrigger,Trigger))</f>
        <v>2.4299999999999999E-3</v>
      </c>
      <c r="Q31" s="173" t="e">
        <f>NA()</f>
        <v>#N/A</v>
      </c>
      <c r="R31" s="174">
        <f>_xll.qlInterestRateIndexFixingDate(IborIndex,O31,_xll.ohTrigger(RecalcTrigger,Trigger))</f>
        <v>42339</v>
      </c>
      <c r="S31" s="174"/>
      <c r="T31" s="173">
        <f>_xll.qlIndexFixing(IborIndex,R31,TRUE,RecalcTrigger)</f>
        <v>2.4299999999998234E-3</v>
      </c>
      <c r="U31" s="226">
        <f t="shared" si="7"/>
        <v>-1.7650811368064012E-16</v>
      </c>
      <c r="X31" s="186" t="str">
        <f t="shared" si="8"/>
        <v>1D</v>
      </c>
      <c r="Y31" s="174">
        <f>_xll.qlCalendarAdvance(Calendar,Y30,X31,"f",FALSE)</f>
        <v>41960</v>
      </c>
      <c r="Z31" s="198">
        <f>_xll.qlCalendarAdvance(Calendar,Y31,NDays&amp;"D")</f>
        <v>41962</v>
      </c>
      <c r="AA31" s="173">
        <v>2.0374444108619723E-3</v>
      </c>
      <c r="AB31" s="182">
        <v>1.8596995763342505E-3</v>
      </c>
    </row>
    <row r="32" spans="10:28" x14ac:dyDescent="0.2">
      <c r="M32" s="181" t="str">
        <v>obj_008aa#0000</v>
      </c>
      <c r="N32" s="186" t="str">
        <f>_xll.qlRateHelperQuoteName(M32)</f>
        <v>EUR14x20F_Quote</v>
      </c>
      <c r="O32" s="174">
        <f>_xll.qlRateHelperEarliestDate(M32,Trigger)</f>
        <v>42373</v>
      </c>
      <c r="P32" s="173">
        <f>_xll.qlRateHelperQuoteValue(M32,_xll.ohTrigger(RecalcTrigger,Trigger))</f>
        <v>2.5100000000000001E-3</v>
      </c>
      <c r="Q32" s="173" t="e">
        <f>NA()</f>
        <v>#N/A</v>
      </c>
      <c r="R32" s="174">
        <f>_xll.qlInterestRateIndexFixingDate(IborIndex,O32,_xll.ohTrigger(RecalcTrigger,Trigger))</f>
        <v>42368</v>
      </c>
      <c r="S32" s="174"/>
      <c r="T32" s="173">
        <f>_xll.qlIndexFixing(IborIndex,R32,TRUE,RecalcTrigger)</f>
        <v>2.5100000000000612E-3</v>
      </c>
      <c r="U32" s="226">
        <f t="shared" si="7"/>
        <v>6.114900252818245E-17</v>
      </c>
      <c r="X32" s="186" t="str">
        <f t="shared" si="8"/>
        <v>1D</v>
      </c>
      <c r="Y32" s="174">
        <f>_xll.qlCalendarAdvance(Calendar,Y31,X32,"f",FALSE)</f>
        <v>41961</v>
      </c>
      <c r="Z32" s="198">
        <f>_xll.qlCalendarAdvance(Calendar,Y32,NDays&amp;"D")</f>
        <v>41963</v>
      </c>
      <c r="AA32" s="173">
        <v>2.0383331552849999E-3</v>
      </c>
      <c r="AB32" s="182">
        <v>1.8623550087681906E-3</v>
      </c>
    </row>
    <row r="33" spans="13:28" x14ac:dyDescent="0.2">
      <c r="M33" s="181" t="str">
        <v>obj_008b8#0000</v>
      </c>
      <c r="N33" s="186" t="str">
        <f>_xll.qlRateHelperQuoteName(M33)</f>
        <v>EUR15x21F_Quote</v>
      </c>
      <c r="O33" s="174">
        <f>_xll.qlRateHelperEarliestDate(M33,Trigger)</f>
        <v>42403</v>
      </c>
      <c r="P33" s="173">
        <f>_xll.qlRateHelperQuoteValue(M33,_xll.ohTrigger(RecalcTrigger,Trigger))</f>
        <v>2.5900000000000003E-3</v>
      </c>
      <c r="Q33" s="173" t="e">
        <f>NA()</f>
        <v>#N/A</v>
      </c>
      <c r="R33" s="174">
        <f>_xll.qlInterestRateIndexFixingDate(IborIndex,O33,_xll.ohTrigger(RecalcTrigger,Trigger))</f>
        <v>42401</v>
      </c>
      <c r="S33" s="174"/>
      <c r="T33" s="173">
        <f>_xll.qlIndexFixing(IborIndex,R33,TRUE,RecalcTrigger)</f>
        <v>2.589999999999531E-3</v>
      </c>
      <c r="U33" s="226">
        <f t="shared" si="7"/>
        <v>-4.6924270025172632E-16</v>
      </c>
      <c r="X33" s="186" t="str">
        <f t="shared" si="8"/>
        <v>1D</v>
      </c>
      <c r="Y33" s="174">
        <f>_xll.qlCalendarAdvance(Calendar,Y32,X33,"f",FALSE)</f>
        <v>41962</v>
      </c>
      <c r="Z33" s="198">
        <f>_xll.qlCalendarAdvance(Calendar,Y33,NDays&amp;"D")</f>
        <v>41964</v>
      </c>
      <c r="AA33" s="173">
        <v>2.0392177905040011E-3</v>
      </c>
      <c r="AB33" s="182">
        <v>1.8681962413857889E-3</v>
      </c>
    </row>
    <row r="34" spans="13:28" x14ac:dyDescent="0.2">
      <c r="M34" s="181" t="str">
        <v>obj_008ae#0000</v>
      </c>
      <c r="N34" s="186" t="str">
        <f>_xll.qlRateHelperQuoteName(M34)</f>
        <v>EUR16x22F_Quote</v>
      </c>
      <c r="O34" s="174">
        <f>_xll.qlRateHelperEarliestDate(M34,Trigger)</f>
        <v>42432</v>
      </c>
      <c r="P34" s="173">
        <f>_xll.qlRateHelperQuoteValue(M34,_xll.ohTrigger(RecalcTrigger,Trigger))</f>
        <v>2.6800000000000001E-3</v>
      </c>
      <c r="Q34" s="173" t="e">
        <f>NA()</f>
        <v>#N/A</v>
      </c>
      <c r="R34" s="174">
        <f>_xll.qlInterestRateIndexFixingDate(IborIndex,O34,_xll.ohTrigger(RecalcTrigger,Trigger))</f>
        <v>42430</v>
      </c>
      <c r="S34" s="174"/>
      <c r="T34" s="173">
        <f>_xll.qlIndexFixing(IborIndex,R34,TRUE,RecalcTrigger)</f>
        <v>2.6799999999998509E-3</v>
      </c>
      <c r="U34" s="226">
        <f t="shared" si="7"/>
        <v>-1.4918621893400541E-16</v>
      </c>
      <c r="X34" s="186" t="str">
        <f t="shared" si="8"/>
        <v>1D</v>
      </c>
      <c r="Y34" s="174">
        <f>_xll.qlCalendarAdvance(Calendar,Y33,X34,"f",FALSE)</f>
        <v>41963</v>
      </c>
      <c r="Z34" s="198">
        <f>_xll.qlCalendarAdvance(Calendar,Y34,NDays&amp;"D")</f>
        <v>41967</v>
      </c>
      <c r="AA34" s="173">
        <v>2.0418198013817746E-3</v>
      </c>
      <c r="AB34" s="182">
        <v>1.874538757578037E-3</v>
      </c>
    </row>
    <row r="35" spans="13:28" x14ac:dyDescent="0.2">
      <c r="M35" s="181" t="str">
        <v>obj_008c1#0000</v>
      </c>
      <c r="N35" s="186" t="str">
        <f>_xll.qlRateHelperQuoteName(M35)</f>
        <v>EUR17x23F_Quote</v>
      </c>
      <c r="O35" s="174">
        <f>_xll.qlRateHelperEarliestDate(M35,Trigger)</f>
        <v>42464</v>
      </c>
      <c r="P35" s="173">
        <f>_xll.qlRateHelperQuoteValue(M35,_xll.ohTrigger(RecalcTrigger,Trigger))</f>
        <v>2.7800000000000004E-3</v>
      </c>
      <c r="Q35" s="173" t="e">
        <f>NA()</f>
        <v>#N/A</v>
      </c>
      <c r="R35" s="174">
        <f>_xll.qlInterestRateIndexFixingDate(IborIndex,O35,_xll.ohTrigger(RecalcTrigger,Trigger))</f>
        <v>42460</v>
      </c>
      <c r="S35" s="174"/>
      <c r="T35" s="173">
        <f>_xll.qlIndexFixing(IborIndex,R35,TRUE,RecalcTrigger)</f>
        <v>2.7800000000011331E-3</v>
      </c>
      <c r="U35" s="226">
        <f t="shared" si="7"/>
        <v>1.132774429812855E-15</v>
      </c>
      <c r="X35" s="186" t="str">
        <f t="shared" si="8"/>
        <v>1D</v>
      </c>
      <c r="Y35" s="174">
        <f>_xll.qlCalendarAdvance(Calendar,Y34,X35,"f",FALSE)</f>
        <v>41964</v>
      </c>
      <c r="Z35" s="198">
        <f>_xll.qlCalendarAdvance(Calendar,Y35,NDays&amp;"D")</f>
        <v>41968</v>
      </c>
      <c r="AA35" s="173">
        <v>2.0427333694245744E-3</v>
      </c>
      <c r="AB35" s="182">
        <v>1.8779751996689242E-3</v>
      </c>
    </row>
    <row r="36" spans="13:28" ht="12" thickBot="1" x14ac:dyDescent="0.25">
      <c r="M36" s="183" t="str">
        <v>obj_008b4#0000</v>
      </c>
      <c r="N36" s="187" t="str">
        <f>_xll.qlRateHelperQuoteName(M36)</f>
        <v>EUR18x24F_Quote</v>
      </c>
      <c r="O36" s="184">
        <f>_xll.qlRateHelperEarliestDate(M36,Trigger)</f>
        <v>42493</v>
      </c>
      <c r="P36" s="200">
        <f>_xll.qlRateHelperQuoteValue(M36,_xll.ohTrigger(RecalcTrigger,Trigger))</f>
        <v>2.8800000000000002E-3</v>
      </c>
      <c r="Q36" s="200" t="e">
        <f>NA()</f>
        <v>#N/A</v>
      </c>
      <c r="R36" s="184">
        <f>_xll.qlInterestRateIndexFixingDate(IborIndex,O36,_xll.ohTrigger(RecalcTrigger,Trigger))</f>
        <v>42489</v>
      </c>
      <c r="S36" s="184"/>
      <c r="T36" s="200">
        <f>_xll.qlIndexFixing(IborIndex,R36,TRUE,RecalcTrigger)</f>
        <v>2.8799999999998393E-3</v>
      </c>
      <c r="U36" s="227">
        <f t="shared" si="7"/>
        <v>-1.6089560239684886E-16</v>
      </c>
      <c r="X36" s="186" t="str">
        <f t="shared" si="8"/>
        <v>1D</v>
      </c>
      <c r="Y36" s="174">
        <f>_xll.qlCalendarAdvance(Calendar,Y35,X36,"f",FALSE)</f>
        <v>41967</v>
      </c>
      <c r="Z36" s="198">
        <f>_xll.qlCalendarAdvance(Calendar,Y36,NDays&amp;"D")</f>
        <v>41969</v>
      </c>
      <c r="AA36" s="173">
        <v>2.0436110562021951E-3</v>
      </c>
      <c r="AB36" s="182">
        <v>1.8815678436112648E-3</v>
      </c>
    </row>
    <row r="37" spans="13:28" ht="12" thickBot="1" x14ac:dyDescent="0.25">
      <c r="N37" s="259"/>
      <c r="X37" s="186" t="str">
        <f t="shared" si="8"/>
        <v>1D</v>
      </c>
      <c r="Y37" s="174">
        <f>_xll.qlCalendarAdvance(Calendar,Y36,X37,"f",FALSE)</f>
        <v>41968</v>
      </c>
      <c r="Z37" s="198">
        <f>_xll.qlCalendarAdvance(Calendar,Y37,NDays&amp;"D")</f>
        <v>41970</v>
      </c>
      <c r="AA37" s="173">
        <v>2.0444900728194795E-3</v>
      </c>
      <c r="AB37" s="182">
        <v>1.8853166895649309E-3</v>
      </c>
    </row>
    <row r="38" spans="13:28" x14ac:dyDescent="0.2">
      <c r="M38" s="178" t="s">
        <v>44</v>
      </c>
      <c r="N38" s="178" t="s">
        <v>146</v>
      </c>
      <c r="O38" s="179" t="s">
        <v>37</v>
      </c>
      <c r="P38" s="179" t="s">
        <v>43</v>
      </c>
      <c r="Q38" s="189" t="s">
        <v>141</v>
      </c>
      <c r="R38" s="179" t="s">
        <v>140</v>
      </c>
      <c r="S38" s="179"/>
      <c r="T38" s="179" t="s">
        <v>156</v>
      </c>
      <c r="U38" s="190" t="s">
        <v>145</v>
      </c>
      <c r="X38" s="186" t="str">
        <f t="shared" si="8"/>
        <v>1D</v>
      </c>
      <c r="Y38" s="174">
        <f>_xll.qlCalendarAdvance(Calendar,Y37,X38,"f",FALSE)</f>
        <v>41969</v>
      </c>
      <c r="Z38" s="198">
        <f>_xll.qlCalendarAdvance(Calendar,Y38,NDays&amp;"D")</f>
        <v>41971</v>
      </c>
      <c r="AA38" s="173">
        <v>2.0454035769521444E-3</v>
      </c>
      <c r="AB38" s="182">
        <v>1.8933450122116113E-3</v>
      </c>
    </row>
    <row r="39" spans="13:28" x14ac:dyDescent="0.2">
      <c r="M39" s="186" t="str">
        <f t="array" ref="M39:M75">_xll.ohFilter(RateHelpers!B30:B66,IF(ISERROR(RateHelpers!D30:D66),FALSE,TRUE))</f>
        <v>obj_008be#0000</v>
      </c>
      <c r="N39" s="186" t="str">
        <f>_xll.qlRateHelperQuoteName(M39)</f>
        <v>EURAB6E1Y_Quote</v>
      </c>
      <c r="O39" s="174">
        <f>_xll.qlRateHelperLatestDate(M39,Trigger)</f>
        <v>42311</v>
      </c>
      <c r="P39" s="201">
        <f>_xll.qlRateHelperQuoteValue(M39,_xll.ohTrigger(RecalcTrigger,YieldCurve))</f>
        <v>2.0200000000000001E-3</v>
      </c>
      <c r="Q39" s="203" t="str">
        <f t="shared" ref="Q39:Q75" si="9">SUBSTITUTE(SUBSTITUTE(N39,"_Quote",""),"EURAB6E","")</f>
        <v>1Y</v>
      </c>
      <c r="R39" s="204" t="str">
        <f>_xll.qlEuriborSwap(,"IsdaFixA",Monitor!Q39,YieldCurve,"EurON",,_xll.ohTrigger(Trigger,RecalcTrigger))</f>
        <v>obj_00aea#0000</v>
      </c>
      <c r="S39" s="204"/>
      <c r="T39" s="191">
        <f>_xll.qlIndexFixing(R39,$Y$19,TRUE,Trigger)</f>
        <v>2.0838804544711649E-3</v>
      </c>
      <c r="U39" s="192">
        <f t="shared" ref="U39:U75" si="10">T39-P39</f>
        <v>6.3880454471164794E-5</v>
      </c>
      <c r="X39" s="186" t="str">
        <f t="shared" si="8"/>
        <v>1D</v>
      </c>
      <c r="Y39" s="174">
        <f>_xll.qlCalendarAdvance(Calendar,Y38,X39,"f",FALSE)</f>
        <v>41970</v>
      </c>
      <c r="Z39" s="198">
        <f>_xll.qlCalendarAdvance(Calendar,Y39,NDays&amp;"D")</f>
        <v>41974</v>
      </c>
      <c r="AA39" s="173">
        <v>2.0481395595007947E-3</v>
      </c>
      <c r="AB39" s="182">
        <v>1.9018740930132338E-3</v>
      </c>
    </row>
    <row r="40" spans="13:28" x14ac:dyDescent="0.2">
      <c r="M40" s="186" t="str">
        <v>obj_008c7#0000</v>
      </c>
      <c r="N40" s="186" t="str">
        <f>_xll.qlRateHelperQuoteName(M40)</f>
        <v>EURAB6E15M_Quote</v>
      </c>
      <c r="O40" s="174">
        <f>_xll.qlRateHelperLatestDate(M40,Trigger)</f>
        <v>42403</v>
      </c>
      <c r="P40" s="201">
        <f>_xll.qlRateHelperQuoteValue(M40,_xll.ohTrigger(RecalcTrigger,YieldCurve))</f>
        <v>1.91E-3</v>
      </c>
      <c r="Q40" s="203" t="str">
        <f t="shared" si="9"/>
        <v>15M</v>
      </c>
      <c r="R40" s="204" t="str">
        <f>_xll.qlEuriborSwap(,"IsdaFixA",Monitor!Q40,YieldCurve,Discounting,,_xll.ohTrigger(Trigger,RecalcTrigger))</f>
        <v>obj_00b85#0000</v>
      </c>
      <c r="S40" s="204"/>
      <c r="T40" s="191">
        <f>_xll.qlIndexFixing(R40,$Y$19,TRUE,Trigger)</f>
        <v>2.1172237855429819E-3</v>
      </c>
      <c r="U40" s="192">
        <f t="shared" si="10"/>
        <v>2.0722378554298188E-4</v>
      </c>
      <c r="V40" s="175"/>
      <c r="X40" s="186" t="str">
        <f t="shared" si="8"/>
        <v>1D</v>
      </c>
      <c r="Y40" s="174">
        <f>_xll.qlCalendarAdvance(Calendar,Y39,X40,"f",FALSE)</f>
        <v>41971</v>
      </c>
      <c r="Z40" s="198">
        <f>_xll.qlCalendarAdvance(Calendar,Y40,NDays&amp;"D")</f>
        <v>41975</v>
      </c>
      <c r="AA40" s="173">
        <v>2.0490655335090339E-3</v>
      </c>
      <c r="AB40" s="182">
        <v>1.9064039487837192E-3</v>
      </c>
    </row>
    <row r="41" spans="13:28" x14ac:dyDescent="0.2">
      <c r="M41" s="186" t="str">
        <v>obj_008a8#0000</v>
      </c>
      <c r="N41" s="186" t="str">
        <f>_xll.qlRateHelperQuoteName(M41)</f>
        <v>EURAB6E18M_Quote</v>
      </c>
      <c r="O41" s="174">
        <f>_xll.qlRateHelperLatestDate(M41,Trigger)</f>
        <v>42493</v>
      </c>
      <c r="P41" s="201">
        <f>_xll.qlRateHelperQuoteValue(M41,_xll.ohTrigger(RecalcTrigger,YieldCurve))</f>
        <v>2.14E-3</v>
      </c>
      <c r="Q41" s="203" t="str">
        <f t="shared" si="9"/>
        <v>18M</v>
      </c>
      <c r="R41" s="204" t="str">
        <f>_xll.qlEuriborSwap(,"IsdaFixA",Monitor!Q41,YieldCurve,Discounting,,_xll.ohTrigger(Trigger,RecalcTrigger))</f>
        <v>obj_00ac8#0000</v>
      </c>
      <c r="S41" s="204"/>
      <c r="T41" s="191">
        <f>_xll.qlIndexFixing(R41,$Y$19,TRUE,Trigger)</f>
        <v>2.1817413556158944E-3</v>
      </c>
      <c r="U41" s="192">
        <f t="shared" si="10"/>
        <v>4.1741355615894458E-5</v>
      </c>
      <c r="V41" s="175"/>
      <c r="X41" s="186" t="str">
        <f t="shared" si="8"/>
        <v>1D</v>
      </c>
      <c r="Y41" s="174">
        <f>_xll.qlCalendarAdvance(Calendar,Y40,X41,"f",FALSE)</f>
        <v>41974</v>
      </c>
      <c r="Z41" s="198">
        <f>_xll.qlCalendarAdvance(Calendar,Y41,NDays&amp;"D")</f>
        <v>41976</v>
      </c>
      <c r="AA41" s="173">
        <v>2.0500000000096968E-3</v>
      </c>
      <c r="AB41" s="182">
        <v>1.9110215151929566E-3</v>
      </c>
    </row>
    <row r="42" spans="13:28" x14ac:dyDescent="0.2">
      <c r="M42" s="186" t="str">
        <v>obj_008c2#0000</v>
      </c>
      <c r="N42" s="186" t="str">
        <f>_xll.qlRateHelperQuoteName(M42)</f>
        <v>EURAB6E21M_Quote</v>
      </c>
      <c r="O42" s="174">
        <f>_xll.qlRateHelperLatestDate(M42,Trigger)</f>
        <v>42585</v>
      </c>
      <c r="P42" s="201">
        <f>_xll.qlRateHelperQuoteValue(M42,_xll.ohTrigger(RecalcTrigger,YieldCurve))</f>
        <v>2.1099999999999999E-3</v>
      </c>
      <c r="Q42" s="203" t="str">
        <f t="shared" si="9"/>
        <v>21M</v>
      </c>
      <c r="R42" s="204" t="str">
        <f>_xll.qlEuriborSwap(,"IsdaFixA",Monitor!Q42,YieldCurve,Discounting,,_xll.ohTrigger(Trigger,RecalcTrigger))</f>
        <v>obj_00a5a#0000</v>
      </c>
      <c r="S42" s="204"/>
      <c r="T42" s="191">
        <f>_xll.qlIndexFixing(R42,$Y$19,TRUE,Trigger)</f>
        <v>2.260553948081204E-3</v>
      </c>
      <c r="U42" s="192">
        <f t="shared" si="10"/>
        <v>1.5055394808120414E-4</v>
      </c>
      <c r="V42" s="175"/>
      <c r="X42" s="186" t="str">
        <f t="shared" si="8"/>
        <v>1D</v>
      </c>
      <c r="Y42" s="174">
        <f>_xll.qlCalendarAdvance(Calendar,Y41,X42,"f",FALSE)</f>
        <v>41975</v>
      </c>
      <c r="Z42" s="198">
        <f>_xll.qlCalendarAdvance(Calendar,Y42,NDays&amp;"D")</f>
        <v>41977</v>
      </c>
      <c r="AA42" s="173">
        <v>2.0509435404853379E-3</v>
      </c>
      <c r="AB42" s="182">
        <v>1.9154528268305882E-3</v>
      </c>
    </row>
    <row r="43" spans="13:28" x14ac:dyDescent="0.2">
      <c r="M43" s="186" t="str">
        <v>obj_008b9#0000</v>
      </c>
      <c r="N43" s="186" t="str">
        <f>_xll.qlRateHelperQuoteName(M43)</f>
        <v>EURAB6E2Y_Quote</v>
      </c>
      <c r="O43" s="174">
        <f>_xll.qlRateHelperLatestDate(M43,Trigger)</f>
        <v>42677</v>
      </c>
      <c r="P43" s="201">
        <f>_xll.qlRateHelperQuoteValue(M43,_xll.ohTrigger(RecalcTrigger,YieldCurve))</f>
        <v>2.3400000000000001E-3</v>
      </c>
      <c r="Q43" s="203" t="str">
        <f t="shared" si="9"/>
        <v>2Y</v>
      </c>
      <c r="R43" s="204" t="str">
        <f>_xll.qlEuriborSwap(,"IsdaFixA",Monitor!Q43,YieldCurve,Discounting,,_xll.ohTrigger(Trigger,RecalcTrigger))</f>
        <v>obj_00ab7#0000</v>
      </c>
      <c r="S43" s="204"/>
      <c r="T43" s="191">
        <f>_xll.qlIndexFixing(R43,$Y$19,TRUE,Trigger)</f>
        <v>2.3722929890297949E-3</v>
      </c>
      <c r="U43" s="192">
        <f t="shared" si="10"/>
        <v>3.2292989029794866E-5</v>
      </c>
      <c r="V43" s="195" t="s">
        <v>147</v>
      </c>
      <c r="X43" s="186" t="str">
        <f t="shared" si="8"/>
        <v>1D</v>
      </c>
      <c r="Y43" s="174">
        <f>_xll.qlCalendarAdvance(Calendar,Y42,X43,"f",FALSE)</f>
        <v>41976</v>
      </c>
      <c r="Z43" s="198">
        <f>_xll.qlCalendarAdvance(Calendar,Y43,NDays&amp;"D")</f>
        <v>41978</v>
      </c>
      <c r="AA43" s="173">
        <v>2.0518954561516297E-3</v>
      </c>
      <c r="AB43" s="182">
        <v>1.9234765730846703E-3</v>
      </c>
    </row>
    <row r="44" spans="13:28" x14ac:dyDescent="0.2">
      <c r="M44" s="186" t="str">
        <v>obj_008d3#0000</v>
      </c>
      <c r="N44" s="186" t="str">
        <f>_xll.qlRateHelperQuoteName(M44)</f>
        <v>EURAB6E3Y_Quote</v>
      </c>
      <c r="O44" s="174">
        <f>_xll.qlRateHelperLatestDate(M44,Trigger)</f>
        <v>43042</v>
      </c>
      <c r="P44" s="201">
        <f>_xll.qlRateHelperQuoteValue(M44,_xll.ohTrigger(RecalcTrigger,YieldCurve))</f>
        <v>2.9300000000000003E-3</v>
      </c>
      <c r="Q44" s="203" t="str">
        <f t="shared" si="9"/>
        <v>3Y</v>
      </c>
      <c r="R44" s="204" t="str">
        <f>_xll.qlEuriborSwap(,"IsdaFixA",Monitor!Q44,YieldCurve,Discounting,,_xll.ohTrigger(Trigger,RecalcTrigger))</f>
        <v>obj_00b2c#0000</v>
      </c>
      <c r="S44" s="204"/>
      <c r="T44" s="191">
        <f>_xll.qlIndexFixing(R44,$Y$19,TRUE,Trigger)</f>
        <v>2.9299999993255407E-3</v>
      </c>
      <c r="U44" s="192">
        <f t="shared" si="10"/>
        <v>-6.7445962009804461E-13</v>
      </c>
      <c r="V44" s="218">
        <f t="array" ref="V44">MAX(ABS(U44:U75))</f>
        <v>8.8386255872562047E-6</v>
      </c>
      <c r="X44" s="186" t="str">
        <f t="shared" si="8"/>
        <v>1D</v>
      </c>
      <c r="Y44" s="174">
        <f>_xll.qlCalendarAdvance(Calendar,Y43,X44,"f",FALSE)</f>
        <v>41977</v>
      </c>
      <c r="Z44" s="198">
        <f>_xll.qlCalendarAdvance(Calendar,Y44,NDays&amp;"D")</f>
        <v>41981</v>
      </c>
      <c r="AA44" s="173">
        <v>2.0547912657674651E-3</v>
      </c>
      <c r="AB44" s="182">
        <v>1.9306306113797689E-3</v>
      </c>
    </row>
    <row r="45" spans="13:28" x14ac:dyDescent="0.2">
      <c r="M45" s="186" t="str">
        <v>obj_008d7#0000</v>
      </c>
      <c r="N45" s="186" t="str">
        <f>_xll.qlRateHelperQuoteName(M45)</f>
        <v>EURAB6E4Y_Quote</v>
      </c>
      <c r="O45" s="174">
        <f>_xll.qlRateHelperLatestDate(M45,Trigger)</f>
        <v>43409</v>
      </c>
      <c r="P45" s="201">
        <f>_xll.qlRateHelperQuoteValue(M45,_xll.ohTrigger(RecalcTrigger,YieldCurve))</f>
        <v>3.7699999999999999E-3</v>
      </c>
      <c r="Q45" s="203" t="str">
        <f t="shared" si="9"/>
        <v>4Y</v>
      </c>
      <c r="R45" s="204" t="str">
        <f>_xll.qlEuriborSwap(,"IsdaFixA",Monitor!Q45,YieldCurve,Discounting,,_xll.ohTrigger(Trigger,RecalcTrigger))</f>
        <v>obj_00ada#0000</v>
      </c>
      <c r="S45" s="204"/>
      <c r="T45" s="191">
        <f>_xll.qlIndexFixing(R45,$Y$19,TRUE,Trigger)</f>
        <v>3.7700000002290706E-3</v>
      </c>
      <c r="U45" s="192">
        <f t="shared" si="10"/>
        <v>2.2907066868360637E-13</v>
      </c>
      <c r="V45" s="175"/>
      <c r="X45" s="186" t="str">
        <f t="shared" si="8"/>
        <v>1D</v>
      </c>
      <c r="Y45" s="174">
        <f>_xll.qlCalendarAdvance(Calendar,Y44,X45,"f",FALSE)</f>
        <v>41978</v>
      </c>
      <c r="Z45" s="198">
        <f>_xll.qlCalendarAdvance(Calendar,Y45,NDays&amp;"D")</f>
        <v>41982</v>
      </c>
      <c r="AA45" s="173">
        <v>2.0557664936588743E-3</v>
      </c>
      <c r="AB45" s="182">
        <v>1.9337881921366318E-3</v>
      </c>
    </row>
    <row r="46" spans="13:28" x14ac:dyDescent="0.2">
      <c r="M46" s="186" t="str">
        <v>obj_008ca#0000</v>
      </c>
      <c r="N46" s="186" t="str">
        <f>_xll.qlRateHelperQuoteName(M46)</f>
        <v>EURAB6E5Y_Quote</v>
      </c>
      <c r="O46" s="174">
        <f>_xll.qlRateHelperLatestDate(M46,Trigger)</f>
        <v>43773</v>
      </c>
      <c r="P46" s="201">
        <f>_xll.qlRateHelperQuoteValue(M46,_xll.ohTrigger(RecalcTrigger,YieldCurve))</f>
        <v>4.7999999999999996E-3</v>
      </c>
      <c r="Q46" s="203" t="str">
        <f t="shared" si="9"/>
        <v>5Y</v>
      </c>
      <c r="R46" s="204" t="str">
        <f>_xll.qlEuriborSwap(,"IsdaFixA",Monitor!Q46,YieldCurve,Discounting,,_xll.ohTrigger(Trigger,RecalcTrigger))</f>
        <v>obj_00b3b#0000</v>
      </c>
      <c r="S46" s="204"/>
      <c r="T46" s="191">
        <f>_xll.qlIndexFixing(R46,$Y$19,TRUE,Trigger)</f>
        <v>4.7999999999927883E-3</v>
      </c>
      <c r="U46" s="192">
        <f t="shared" si="10"/>
        <v>-7.2112454896355871E-15</v>
      </c>
      <c r="V46" s="175"/>
      <c r="X46" s="186" t="str">
        <f t="shared" si="8"/>
        <v>1D</v>
      </c>
      <c r="Y46" s="174">
        <f>_xll.qlCalendarAdvance(Calendar,Y45,X46,"f",FALSE)</f>
        <v>41981</v>
      </c>
      <c r="Z46" s="198">
        <f>_xll.qlCalendarAdvance(Calendar,Y46,NDays&amp;"D")</f>
        <v>41983</v>
      </c>
      <c r="AA46" s="173">
        <v>2.0567450024612109E-3</v>
      </c>
      <c r="AB46" s="182">
        <v>1.9366910265095072E-3</v>
      </c>
    </row>
    <row r="47" spans="13:28" x14ac:dyDescent="0.2">
      <c r="M47" s="186" t="str">
        <v>obj_008d6#0000</v>
      </c>
      <c r="N47" s="186" t="str">
        <f>_xll.qlRateHelperQuoteName(M47)</f>
        <v>EURAB6E6Y_Quote</v>
      </c>
      <c r="O47" s="174">
        <f>_xll.qlRateHelperLatestDate(M47,Trigger)</f>
        <v>44138</v>
      </c>
      <c r="P47" s="201">
        <f>_xll.qlRateHelperQuoteValue(M47,_xll.ohTrigger(RecalcTrigger,YieldCurve))</f>
        <v>5.9499999999999996E-3</v>
      </c>
      <c r="Q47" s="203" t="str">
        <f t="shared" si="9"/>
        <v>6Y</v>
      </c>
      <c r="R47" s="204" t="str">
        <f>_xll.qlEuriborSwap(,"IsdaFixA",Monitor!Q47,YieldCurve,Discounting,,_xll.ohTrigger(Trigger,RecalcTrigger))</f>
        <v>obj_00aa0#0000</v>
      </c>
      <c r="S47" s="204"/>
      <c r="T47" s="191">
        <f>_xll.qlIndexFixing(R47,$Y$19,TRUE,Trigger)</f>
        <v>5.949999999982975E-3</v>
      </c>
      <c r="U47" s="192">
        <f t="shared" si="10"/>
        <v>-1.7024576193236385E-14</v>
      </c>
      <c r="V47" s="175"/>
      <c r="X47" s="186" t="str">
        <f t="shared" si="8"/>
        <v>1D</v>
      </c>
      <c r="Y47" s="174">
        <f>_xll.qlCalendarAdvance(Calendar,Y46,X47,"f",FALSE)</f>
        <v>41982</v>
      </c>
      <c r="Z47" s="198">
        <f>_xll.qlCalendarAdvance(Calendar,Y47,NDays&amp;"D")</f>
        <v>41984</v>
      </c>
      <c r="AA47" s="173">
        <v>2.057725773313875E-3</v>
      </c>
      <c r="AB47" s="182">
        <v>1.9393391148181394E-3</v>
      </c>
    </row>
    <row r="48" spans="13:28" x14ac:dyDescent="0.2">
      <c r="M48" s="186" t="str">
        <v>obj_008cf#0000</v>
      </c>
      <c r="N48" s="186" t="str">
        <f>_xll.qlRateHelperQuoteName(M48)</f>
        <v>EURAB6E7Y_Quote</v>
      </c>
      <c r="O48" s="174">
        <f>_xll.qlRateHelperLatestDate(M48,Trigger)</f>
        <v>44503</v>
      </c>
      <c r="P48" s="201">
        <f>_xll.qlRateHelperQuoteValue(M48,_xll.ohTrigger(RecalcTrigger,YieldCurve))</f>
        <v>7.2299999999999994E-3</v>
      </c>
      <c r="Q48" s="203" t="str">
        <f t="shared" si="9"/>
        <v>7Y</v>
      </c>
      <c r="R48" s="204" t="str">
        <f>_xll.qlEuriborSwap(,"IsdaFixA",Monitor!Q48,YieldCurve,Discounting,,_xll.ohTrigger(Trigger,RecalcTrigger))</f>
        <v>obj_00a6a#0000</v>
      </c>
      <c r="S48" s="204"/>
      <c r="T48" s="191">
        <f>_xll.qlIndexFixing(R48,$Y$19,TRUE,Trigger)</f>
        <v>7.2299999999906415E-3</v>
      </c>
      <c r="U48" s="192">
        <f t="shared" si="10"/>
        <v>-9.3579657911568859E-15</v>
      </c>
      <c r="V48" s="175"/>
      <c r="X48" s="186" t="str">
        <f t="shared" si="8"/>
        <v>1D</v>
      </c>
      <c r="Y48" s="174">
        <f>_xll.qlCalendarAdvance(Calendar,Y47,X48,"f",FALSE)</f>
        <v>41983</v>
      </c>
      <c r="Z48" s="198">
        <f>_xll.qlCalendarAdvance(Calendar,Y48,NDays&amp;"D")</f>
        <v>41985</v>
      </c>
      <c r="AA48" s="173">
        <v>2.0587077873514348E-3</v>
      </c>
      <c r="AB48" s="182">
        <v>1.9437966325597245E-3</v>
      </c>
    </row>
    <row r="49" spans="10:28" x14ac:dyDescent="0.2">
      <c r="J49" s="196" t="b">
        <v>1</v>
      </c>
      <c r="M49" s="186" t="str">
        <v>obj_008e5#0000</v>
      </c>
      <c r="N49" s="186" t="str">
        <f>_xll.qlRateHelperQuoteName(M49)</f>
        <v>EURAB6E8Y_Quote</v>
      </c>
      <c r="O49" s="174">
        <f>_xll.qlRateHelperLatestDate(M49,Trigger)</f>
        <v>44868</v>
      </c>
      <c r="P49" s="201">
        <f>_xll.qlRateHelperQuoteValue(M49,_xll.ohTrigger(RecalcTrigger,YieldCurve))</f>
        <v>8.5500000000000003E-3</v>
      </c>
      <c r="Q49" s="203" t="str">
        <f t="shared" si="9"/>
        <v>8Y</v>
      </c>
      <c r="R49" s="204" t="str">
        <f>_xll.qlEuriborSwap(,"IsdaFixA",Monitor!Q49,YieldCurve,Discounting,,_xll.ohTrigger(Trigger,RecalcTrigger))</f>
        <v>obj_00b1d#0000</v>
      </c>
      <c r="S49" s="204"/>
      <c r="T49" s="191">
        <f>_xll.qlIndexFixing(R49,$Y$19,TRUE,Trigger)</f>
        <v>8.5499999999527239E-3</v>
      </c>
      <c r="U49" s="192">
        <f t="shared" si="10"/>
        <v>-4.7276418890795924E-14</v>
      </c>
      <c r="V49" s="175"/>
      <c r="X49" s="186" t="str">
        <f t="shared" si="8"/>
        <v>1D</v>
      </c>
      <c r="Y49" s="174">
        <f>_xll.qlCalendarAdvance(Calendar,Y48,X49,"f",FALSE)</f>
        <v>41984</v>
      </c>
      <c r="Z49" s="198">
        <f>_xll.qlCalendarAdvance(Calendar,Y49,NDays&amp;"D")</f>
        <v>41988</v>
      </c>
      <c r="AA49" s="173">
        <v>2.0616510999112662E-3</v>
      </c>
      <c r="AB49" s="182">
        <v>1.9473840055717062E-3</v>
      </c>
    </row>
    <row r="50" spans="10:28" x14ac:dyDescent="0.2">
      <c r="M50" s="186" t="str">
        <v>obj_008ce#0000</v>
      </c>
      <c r="N50" s="186" t="str">
        <f>_xll.qlRateHelperQuoteName(M50)</f>
        <v>EURAB6E9Y_Quote</v>
      </c>
      <c r="O50" s="174">
        <f>_xll.qlRateHelperLatestDate(M50,Trigger)</f>
        <v>45233</v>
      </c>
      <c r="P50" s="201">
        <f>_xll.qlRateHelperQuoteValue(M50,_xll.ohTrigger(RecalcTrigger,YieldCurve))</f>
        <v>9.8099999999999993E-3</v>
      </c>
      <c r="Q50" s="203" t="str">
        <f t="shared" si="9"/>
        <v>9Y</v>
      </c>
      <c r="R50" s="204" t="str">
        <f>_xll.qlEuriborSwap(,"IsdaFixA",Monitor!Q50,YieldCurve,Discounting,,_xll.ohTrigger(Trigger,RecalcTrigger))</f>
        <v>obj_00b83#0000</v>
      </c>
      <c r="S50" s="204"/>
      <c r="T50" s="191">
        <f>_xll.qlIndexFixing(R50,$Y$19,TRUE,Trigger)</f>
        <v>9.8100000001060481E-3</v>
      </c>
      <c r="U50" s="192">
        <f t="shared" si="10"/>
        <v>1.0604885025689015E-13</v>
      </c>
      <c r="V50" s="175"/>
      <c r="X50" s="186" t="str">
        <f t="shared" si="8"/>
        <v>1D</v>
      </c>
      <c r="Y50" s="174">
        <f>_xll.qlCalendarAdvance(Calendar,Y49,X50,"f",FALSE)</f>
        <v>41985</v>
      </c>
      <c r="Z50" s="198">
        <f>_xll.qlCalendarAdvance(Calendar,Y50,NDays&amp;"D")</f>
        <v>41989</v>
      </c>
      <c r="AA50" s="173">
        <v>2.0626278980134501E-3</v>
      </c>
      <c r="AB50" s="182">
        <v>1.9487583626798255E-3</v>
      </c>
    </row>
    <row r="51" spans="10:28" x14ac:dyDescent="0.2">
      <c r="M51" s="186" t="str">
        <v>obj_008da#0000</v>
      </c>
      <c r="N51" s="186" t="str">
        <f>_xll.qlRateHelperQuoteName(M51)</f>
        <v>EURAB6E10Y_Quote</v>
      </c>
      <c r="O51" s="174">
        <f>_xll.qlRateHelperLatestDate(M51,Trigger)</f>
        <v>45600</v>
      </c>
      <c r="P51" s="201">
        <f>_xll.qlRateHelperQuoteValue(M51,_xll.ohTrigger(RecalcTrigger,YieldCurve))</f>
        <v>1.0970000000000001E-2</v>
      </c>
      <c r="Q51" s="203" t="str">
        <f t="shared" si="9"/>
        <v>10Y</v>
      </c>
      <c r="R51" s="204" t="str">
        <f>_xll.qlEuriborSwap(,"IsdaFixA",Monitor!Q51,YieldCurve,Discounting,,_xll.ohTrigger(Trigger,RecalcTrigger))</f>
        <v>obj_00b62#0000</v>
      </c>
      <c r="S51" s="204"/>
      <c r="T51" s="191">
        <f>_xll.qlIndexFixing(R51,$Y$19,TRUE,Trigger)</f>
        <v>1.0970000000001541E-2</v>
      </c>
      <c r="U51" s="192">
        <f t="shared" si="10"/>
        <v>1.5404344466674047E-15</v>
      </c>
      <c r="V51" s="175"/>
      <c r="X51" s="186" t="str">
        <f t="shared" si="8"/>
        <v>1D</v>
      </c>
      <c r="Y51" s="174">
        <f>_xll.qlCalendarAdvance(Calendar,Y50,X51,"f",FALSE)</f>
        <v>41988</v>
      </c>
      <c r="Z51" s="198">
        <f>_xll.qlCalendarAdvance(Calendar,Y51,NDays&amp;"D")</f>
        <v>41990</v>
      </c>
      <c r="AA51" s="173">
        <v>2.0636008449518503E-3</v>
      </c>
      <c r="AB51" s="182">
        <v>1.9498779735638294E-3</v>
      </c>
    </row>
    <row r="52" spans="10:28" x14ac:dyDescent="0.2">
      <c r="M52" s="186" t="str">
        <v>obj_008cd#0000</v>
      </c>
      <c r="N52" s="186" t="str">
        <f>_xll.qlRateHelperQuoteName(M52)</f>
        <v>EURAB6E11Y_Quote</v>
      </c>
      <c r="O52" s="174">
        <f>_xll.qlRateHelperLatestDate(M52,Trigger)</f>
        <v>45964</v>
      </c>
      <c r="P52" s="201">
        <f>_xll.qlRateHelperQuoteValue(M52,_xll.ohTrigger(RecalcTrigger,YieldCurve))</f>
        <v>1.201E-2</v>
      </c>
      <c r="Q52" s="203" t="str">
        <f t="shared" si="9"/>
        <v>11Y</v>
      </c>
      <c r="R52" s="204" t="str">
        <f>_xll.qlEuriborSwap(,"IsdaFixA",Monitor!Q52,YieldCurve,Discounting,,_xll.ohTrigger(Trigger,RecalcTrigger))</f>
        <v>obj_00b93#0000</v>
      </c>
      <c r="S52" s="204"/>
      <c r="T52" s="191">
        <f>_xll.qlIndexFixing(R52,$Y$19,TRUE,Trigger)</f>
        <v>1.2003396836215856E-2</v>
      </c>
      <c r="U52" s="192">
        <f t="shared" si="10"/>
        <v>-6.6031637841433566E-6</v>
      </c>
      <c r="V52" s="175"/>
      <c r="X52" s="186" t="str">
        <f t="shared" si="8"/>
        <v>1D</v>
      </c>
      <c r="Y52" s="174">
        <f>_xll.qlCalendarAdvance(Calendar,Y51,X52,"f",FALSE)</f>
        <v>41989</v>
      </c>
      <c r="Z52" s="198">
        <f>_xll.qlCalendarAdvance(Calendar,Y52,NDays&amp;"D")</f>
        <v>41991</v>
      </c>
      <c r="AA52" s="173">
        <v>2.0645689218509338E-3</v>
      </c>
      <c r="AB52" s="182">
        <v>1.9507428381437819E-3</v>
      </c>
    </row>
    <row r="53" spans="10:28" x14ac:dyDescent="0.2">
      <c r="M53" s="186" t="str">
        <v>obj_008d1#0000</v>
      </c>
      <c r="N53" s="186" t="str">
        <f>_xll.qlRateHelperQuoteName(M53)</f>
        <v>EURAB6E12Y_Quote</v>
      </c>
      <c r="O53" s="174">
        <f>_xll.qlRateHelperLatestDate(M53,Trigger)</f>
        <v>46329</v>
      </c>
      <c r="P53" s="201">
        <f>_xll.qlRateHelperQuoteValue(M53,_xll.ohTrigger(RecalcTrigger,YieldCurve))</f>
        <v>1.2920000000000001E-2</v>
      </c>
      <c r="Q53" s="203" t="str">
        <f t="shared" si="9"/>
        <v>12Y</v>
      </c>
      <c r="R53" s="204" t="str">
        <f>_xll.qlEuriborSwap(,"IsdaFixA",Monitor!Q53,YieldCurve,Discounting,,_xll.ohTrigger(Trigger,RecalcTrigger))</f>
        <v>obj_00a5d#0000</v>
      </c>
      <c r="S53" s="204"/>
      <c r="T53" s="191">
        <f>_xll.qlIndexFixing(R53,$Y$19,TRUE,Trigger)</f>
        <v>1.2920000000016052E-2</v>
      </c>
      <c r="U53" s="192">
        <f t="shared" si="10"/>
        <v>1.6051396323213396E-14</v>
      </c>
      <c r="V53" s="175"/>
      <c r="X53" s="186" t="str">
        <f t="shared" si="8"/>
        <v>1D</v>
      </c>
      <c r="Y53" s="174">
        <f>_xll.qlCalendarAdvance(Calendar,Y52,X53,"f",FALSE)</f>
        <v>41990</v>
      </c>
      <c r="Z53" s="198">
        <f>_xll.qlCalendarAdvance(Calendar,Y53,NDays&amp;"D")</f>
        <v>41992</v>
      </c>
      <c r="AA53" s="173">
        <v>2.0655311098325317E-3</v>
      </c>
      <c r="AB53" s="182">
        <v>1.9516339934533278E-3</v>
      </c>
    </row>
    <row r="54" spans="10:28" x14ac:dyDescent="0.2">
      <c r="M54" s="186" t="str">
        <v>obj_008c6#0000</v>
      </c>
      <c r="N54" s="186" t="str">
        <f>_xll.qlRateHelperQuoteName(M54)</f>
        <v>EURAB6E13Y_Quote</v>
      </c>
      <c r="O54" s="174">
        <f>_xll.qlRateHelperLatestDate(M54,Trigger)</f>
        <v>46694</v>
      </c>
      <c r="P54" s="201">
        <f>_xll.qlRateHelperQuoteValue(M54,_xll.ohTrigger(RecalcTrigger,YieldCurve))</f>
        <v>1.372E-2</v>
      </c>
      <c r="Q54" s="203" t="str">
        <f t="shared" si="9"/>
        <v>13Y</v>
      </c>
      <c r="R54" s="204" t="str">
        <f>_xll.qlEuriborSwap(,"IsdaFixA",Monitor!Q54,YieldCurve,Discounting,,_xll.ohTrigger(Trigger,RecalcTrigger))</f>
        <v>obj_00a8e#0000</v>
      </c>
      <c r="S54" s="204"/>
      <c r="T54" s="191">
        <f>_xll.qlIndexFixing(R54,$Y$19,TRUE,Trigger)</f>
        <v>1.3716539740919463E-2</v>
      </c>
      <c r="U54" s="192">
        <f t="shared" si="10"/>
        <v>-3.4602590805368066E-6</v>
      </c>
      <c r="V54" s="175"/>
      <c r="X54" s="186" t="str">
        <f t="shared" si="8"/>
        <v>1D</v>
      </c>
      <c r="Y54" s="174">
        <f>_xll.qlCalendarAdvance(Calendar,Y53,X54,"f",FALSE)</f>
        <v>41991</v>
      </c>
      <c r="Z54" s="198">
        <f>_xll.qlCalendarAdvance(Calendar,Y54,NDays&amp;"D")</f>
        <v>41995</v>
      </c>
      <c r="AA54" s="173">
        <v>2.0683721514652515E-3</v>
      </c>
      <c r="AB54" s="182">
        <v>1.9516548343023743E-3</v>
      </c>
    </row>
    <row r="55" spans="10:28" x14ac:dyDescent="0.2">
      <c r="M55" s="186" t="str">
        <v>obj_008c8#0000</v>
      </c>
      <c r="N55" s="186" t="str">
        <f>_xll.qlRateHelperQuoteName(M55)</f>
        <v>EURAB6E14Y_Quote</v>
      </c>
      <c r="O55" s="174">
        <f>_xll.qlRateHelperLatestDate(M55,Trigger)</f>
        <v>47060</v>
      </c>
      <c r="P55" s="201">
        <f>_xll.qlRateHelperQuoteValue(M55,_xll.ohTrigger(RecalcTrigger,YieldCurve))</f>
        <v>1.4419999999999999E-2</v>
      </c>
      <c r="Q55" s="203" t="str">
        <f t="shared" si="9"/>
        <v>14Y</v>
      </c>
      <c r="R55" s="204" t="str">
        <f>_xll.qlEuriborSwap(,"IsdaFixA",Monitor!Q55,YieldCurve,Discounting,,_xll.ohTrigger(Trigger,RecalcTrigger))</f>
        <v>obj_00b10#0000</v>
      </c>
      <c r="S55" s="204"/>
      <c r="T55" s="191">
        <f>_xll.qlIndexFixing(R55,$Y$19,TRUE,Trigger)</f>
        <v>1.4413314194040988E-2</v>
      </c>
      <c r="U55" s="192">
        <f t="shared" si="10"/>
        <v>-6.6858059590106655E-6</v>
      </c>
      <c r="V55" s="175"/>
      <c r="X55" s="186" t="str">
        <f t="shared" si="8"/>
        <v>1D</v>
      </c>
      <c r="Y55" s="174">
        <f>_xll.qlCalendarAdvance(Calendar,Y54,X55,"f",FALSE)</f>
        <v>41992</v>
      </c>
      <c r="Z55" s="198">
        <f>_xll.qlCalendarAdvance(Calendar,Y55,NDays&amp;"D")</f>
        <v>41996</v>
      </c>
      <c r="AA55" s="173">
        <v>2.0693005949600843E-3</v>
      </c>
      <c r="AB55" s="182">
        <v>1.9512459676818139E-3</v>
      </c>
    </row>
    <row r="56" spans="10:28" x14ac:dyDescent="0.2">
      <c r="M56" s="186" t="str">
        <v>obj_008bf#0000</v>
      </c>
      <c r="N56" s="186" t="str">
        <f>_xll.qlRateHelperQuoteName(M56)</f>
        <v>EURAB6E15Y_Quote</v>
      </c>
      <c r="O56" s="174">
        <f>_xll.qlRateHelperLatestDate(M56,Trigger)</f>
        <v>47427</v>
      </c>
      <c r="P56" s="201">
        <f>_xll.qlRateHelperQuoteValue(M56,_xll.ohTrigger(RecalcTrigger,YieldCurve))</f>
        <v>1.502E-2</v>
      </c>
      <c r="Q56" s="203" t="str">
        <f t="shared" si="9"/>
        <v>15Y</v>
      </c>
      <c r="R56" s="204" t="str">
        <f>_xll.qlEuriborSwap(,"IsdaFixA",Monitor!Q56,YieldCurve,Discounting,,_xll.ohTrigger(Trigger,RecalcTrigger))</f>
        <v>obj_00a8c#0000</v>
      </c>
      <c r="S56" s="204"/>
      <c r="T56" s="191">
        <f>_xll.qlIndexFixing(R56,$Y$19,TRUE,Trigger)</f>
        <v>1.5020000000085632E-2</v>
      </c>
      <c r="U56" s="192">
        <f t="shared" si="10"/>
        <v>8.5631154944643129E-14</v>
      </c>
      <c r="V56" s="175"/>
      <c r="X56" s="186" t="str">
        <f t="shared" si="8"/>
        <v>1D</v>
      </c>
      <c r="Y56" s="174">
        <f>_xll.qlCalendarAdvance(Calendar,Y55,X56,"f",FALSE)</f>
        <v>41995</v>
      </c>
      <c r="Z56" s="198">
        <f>_xll.qlCalendarAdvance(Calendar,Y56,NDays&amp;"D")</f>
        <v>41997</v>
      </c>
      <c r="AA56" s="173">
        <v>2.0702180551197963E-3</v>
      </c>
      <c r="AB56" s="182">
        <v>1.9482572311115831E-3</v>
      </c>
    </row>
    <row r="57" spans="10:28" x14ac:dyDescent="0.2">
      <c r="M57" s="186" t="str">
        <v>obj_008d2#0000</v>
      </c>
      <c r="N57" s="186" t="str">
        <f>_xll.qlRateHelperQuoteName(M57)</f>
        <v>EURAB6E16Y_Quote</v>
      </c>
      <c r="O57" s="174">
        <f>_xll.qlRateHelperLatestDate(M57,Trigger)</f>
        <v>47791</v>
      </c>
      <c r="P57" s="201">
        <f>_xll.qlRateHelperQuoteValue(M57,_xll.ohTrigger(RecalcTrigger,YieldCurve))</f>
        <v>1.555E-2</v>
      </c>
      <c r="Q57" s="203" t="str">
        <f t="shared" si="9"/>
        <v>16Y</v>
      </c>
      <c r="R57" s="204" t="str">
        <f>_xll.qlEuriborSwap(,"IsdaFixA",Monitor!Q57,YieldCurve,Discounting,,_xll.ohTrigger(Trigger,RecalcTrigger))</f>
        <v>obj_00b46#0000</v>
      </c>
      <c r="S57" s="204"/>
      <c r="T57" s="191">
        <f>_xll.qlIndexFixing(R57,$Y$19,TRUE,Trigger)</f>
        <v>1.5544851892382189E-2</v>
      </c>
      <c r="U57" s="192">
        <f t="shared" si="10"/>
        <v>-5.1481076178104546E-6</v>
      </c>
      <c r="V57" s="175"/>
      <c r="X57" s="186" t="str">
        <f t="shared" si="8"/>
        <v>1D</v>
      </c>
      <c r="Y57" s="174">
        <f>_xll.qlCalendarAdvance(Calendar,Y56,X57,"f",FALSE)</f>
        <v>41996</v>
      </c>
      <c r="Z57" s="198">
        <f>_xll.qlCalendarAdvance(Calendar,Y57,NDays&amp;"D")</f>
        <v>42002</v>
      </c>
      <c r="AA57" s="173">
        <v>2.0746049447287348E-3</v>
      </c>
      <c r="AB57" s="182">
        <v>1.9434430970122207E-3</v>
      </c>
    </row>
    <row r="58" spans="10:28" x14ac:dyDescent="0.2">
      <c r="M58" s="186" t="str">
        <v>obj_008d9#0000</v>
      </c>
      <c r="N58" s="186" t="str">
        <f>_xll.qlRateHelperQuoteName(M58)</f>
        <v>EURAB6E17Y_Quote</v>
      </c>
      <c r="O58" s="174">
        <f>_xll.qlRateHelperLatestDate(M58,Trigger)</f>
        <v>48155</v>
      </c>
      <c r="P58" s="201">
        <f>_xll.qlRateHelperQuoteValue(M58,_xll.ohTrigger(RecalcTrigger,YieldCurve))</f>
        <v>1.601E-2</v>
      </c>
      <c r="Q58" s="203" t="str">
        <f t="shared" si="9"/>
        <v>17Y</v>
      </c>
      <c r="R58" s="204" t="str">
        <f>_xll.qlEuriborSwap(,"IsdaFixA",Monitor!Q58,YieldCurve,Discounting,,_xll.ohTrigger(Trigger,RecalcTrigger))</f>
        <v>obj_00a71#0000</v>
      </c>
      <c r="S58" s="204"/>
      <c r="T58" s="191">
        <f>_xll.qlIndexFixing(R58,$Y$19,TRUE,Trigger)</f>
        <v>1.6001161374412744E-2</v>
      </c>
      <c r="U58" s="192">
        <f t="shared" si="10"/>
        <v>-8.8386255872562047E-6</v>
      </c>
      <c r="V58" s="175"/>
      <c r="X58" s="186" t="str">
        <f t="shared" si="8"/>
        <v>1D</v>
      </c>
      <c r="Y58" s="174">
        <f>_xll.qlCalendarAdvance(Calendar,Y57,X58,"f",FALSE)</f>
        <v>41997</v>
      </c>
      <c r="Z58" s="198">
        <f>_xll.qlCalendarAdvance(Calendar,Y58,NDays&amp;"D")</f>
        <v>42003</v>
      </c>
      <c r="AA58" s="173">
        <v>2.0754351081572844E-3</v>
      </c>
      <c r="AB58" s="182">
        <v>1.9412510067429167E-3</v>
      </c>
    </row>
    <row r="59" spans="10:28" x14ac:dyDescent="0.2">
      <c r="M59" s="186" t="str">
        <v>obj_008c5#0000</v>
      </c>
      <c r="N59" s="186" t="str">
        <f>_xll.qlRateHelperQuoteName(M59)</f>
        <v>EURAB6E18Y_Quote</v>
      </c>
      <c r="O59" s="174">
        <f>_xll.qlRateHelperLatestDate(M59,Trigger)</f>
        <v>48521</v>
      </c>
      <c r="P59" s="201">
        <f>_xll.qlRateHelperQuoteValue(M59,_xll.ohTrigger(RecalcTrigger,YieldCurve))</f>
        <v>1.6400000000000001E-2</v>
      </c>
      <c r="Q59" s="203" t="str">
        <f t="shared" si="9"/>
        <v>18Y</v>
      </c>
      <c r="R59" s="204" t="str">
        <f>_xll.qlEuriborSwap(,"IsdaFixA",Monitor!Q59,YieldCurve,Discounting,,_xll.ohTrigger(Trigger,RecalcTrigger))</f>
        <v>obj_00a72#0000</v>
      </c>
      <c r="S59" s="204"/>
      <c r="T59" s="191">
        <f>_xll.qlIndexFixing(R59,$Y$19,TRUE,Trigger)</f>
        <v>1.6399237635776564E-2</v>
      </c>
      <c r="U59" s="192">
        <f t="shared" si="10"/>
        <v>-7.6236422343750609E-7</v>
      </c>
      <c r="V59" s="175"/>
      <c r="X59" s="186" t="str">
        <f t="shared" si="8"/>
        <v>1D</v>
      </c>
      <c r="Y59" s="174">
        <f>_xll.qlCalendarAdvance(Calendar,Y58,X59,"f",FALSE)</f>
        <v>42002</v>
      </c>
      <c r="Z59" s="198">
        <f>_xll.qlCalendarAdvance(Calendar,Y59,NDays&amp;"D")</f>
        <v>42004</v>
      </c>
      <c r="AA59" s="173">
        <v>2.0761652613450528E-3</v>
      </c>
      <c r="AB59" s="182">
        <v>1.937458592440322E-3</v>
      </c>
    </row>
    <row r="60" spans="10:28" x14ac:dyDescent="0.2">
      <c r="M60" s="186" t="str">
        <v>obj_008de#0000</v>
      </c>
      <c r="N60" s="186" t="str">
        <f>_xll.qlRateHelperQuoteName(M60)</f>
        <v>EURAB6E19Y_Quote</v>
      </c>
      <c r="O60" s="174">
        <f>_xll.qlRateHelperLatestDate(M60,Trigger)</f>
        <v>48886</v>
      </c>
      <c r="P60" s="201">
        <f>_xll.qlRateHelperQuoteValue(M60,_xll.ohTrigger(RecalcTrigger,YieldCurve))</f>
        <v>1.6739999999999998E-2</v>
      </c>
      <c r="Q60" s="203" t="str">
        <f t="shared" si="9"/>
        <v>19Y</v>
      </c>
      <c r="R60" s="204" t="str">
        <f>_xll.qlEuriborSwap(,"IsdaFixA",Monitor!Q60,YieldCurve,Discounting,,_xll.ohTrigger(Trigger,RecalcTrigger))</f>
        <v>obj_00b97#0000</v>
      </c>
      <c r="S60" s="204"/>
      <c r="T60" s="191">
        <f>_xll.qlIndexFixing(R60,$Y$19,TRUE,Trigger)</f>
        <v>1.6736342100536761E-2</v>
      </c>
      <c r="U60" s="192">
        <f t="shared" si="10"/>
        <v>-3.6578994632371908E-6</v>
      </c>
      <c r="V60" s="175"/>
      <c r="X60" s="186" t="str">
        <f t="shared" si="8"/>
        <v>1D</v>
      </c>
      <c r="Y60" s="174">
        <f>_xll.qlCalendarAdvance(Calendar,Y59,X60,"f",FALSE)</f>
        <v>42003</v>
      </c>
      <c r="Z60" s="198">
        <f>_xll.qlCalendarAdvance(Calendar,Y60,NDays&amp;"D")</f>
        <v>42006</v>
      </c>
      <c r="AA60" s="173">
        <v>2.0778075548877587E-3</v>
      </c>
      <c r="AB60" s="182">
        <v>1.9298606134743324E-3</v>
      </c>
    </row>
    <row r="61" spans="10:28" x14ac:dyDescent="0.2">
      <c r="M61" s="186" t="str">
        <v>obj_008bd#0000</v>
      </c>
      <c r="N61" s="186" t="str">
        <f>_xll.qlRateHelperQuoteName(M61)</f>
        <v>EURAB6E20Y_Quote</v>
      </c>
      <c r="O61" s="174">
        <f>_xll.qlRateHelperLatestDate(M61,Trigger)</f>
        <v>49251</v>
      </c>
      <c r="P61" s="201">
        <f>_xll.qlRateHelperQuoteValue(M61,_xll.ohTrigger(RecalcTrigger,YieldCurve))</f>
        <v>1.702E-2</v>
      </c>
      <c r="Q61" s="203" t="str">
        <f t="shared" si="9"/>
        <v>20Y</v>
      </c>
      <c r="R61" s="204" t="str">
        <f>_xll.qlEuriborSwap(,"IsdaFixA",Monitor!Q61,YieldCurve,Discounting,,_xll.ohTrigger(Trigger,RecalcTrigger))</f>
        <v>obj_00a5c#0000</v>
      </c>
      <c r="S61" s="204"/>
      <c r="T61" s="191">
        <f>_xll.qlIndexFixing(R61,$Y$19,TRUE,Trigger)</f>
        <v>1.7020000000004719E-2</v>
      </c>
      <c r="U61" s="192">
        <f t="shared" si="10"/>
        <v>4.7184478546569153E-15</v>
      </c>
      <c r="V61" s="175"/>
      <c r="X61" s="186" t="str">
        <f t="shared" si="8"/>
        <v>1D</v>
      </c>
      <c r="Y61" s="174">
        <f>_xll.qlCalendarAdvance(Calendar,Y60,X61,"f",FALSE)</f>
        <v>42004</v>
      </c>
      <c r="Z61" s="198">
        <f>_xll.qlCalendarAdvance(Calendar,Y61,NDays&amp;"D")</f>
        <v>42009</v>
      </c>
      <c r="AA61" s="173">
        <v>2.0799999998527005E-3</v>
      </c>
      <c r="AB61" s="182">
        <v>1.922836275243256E-3</v>
      </c>
    </row>
    <row r="62" spans="10:28" x14ac:dyDescent="0.2">
      <c r="M62" s="186" t="str">
        <v>obj_008db#0000</v>
      </c>
      <c r="N62" s="186" t="str">
        <f>_xll.qlRateHelperQuoteName(M62)</f>
        <v>EURAB6E21Y_Quote</v>
      </c>
      <c r="O62" s="174">
        <f>_xll.qlRateHelperLatestDate(M62,Trigger)</f>
        <v>49618</v>
      </c>
      <c r="P62" s="201">
        <f>_xll.qlRateHelperQuoteValue(M62,_xll.ohTrigger(RecalcTrigger,YieldCurve))</f>
        <v>1.7260000000000001E-2</v>
      </c>
      <c r="Q62" s="203" t="str">
        <f t="shared" si="9"/>
        <v>21Y</v>
      </c>
      <c r="R62" s="204" t="str">
        <f>_xll.qlEuriborSwap(,"IsdaFixA",Monitor!Q62,YieldCurve,Discounting,,_xll.ohTrigger(Trigger,RecalcTrigger))</f>
        <v>obj_00ab3#0000</v>
      </c>
      <c r="S62" s="204"/>
      <c r="T62" s="191">
        <f>_xll.qlIndexFixing(R62,$Y$19,TRUE,Trigger)</f>
        <v>1.7255903968771694E-2</v>
      </c>
      <c r="U62" s="192">
        <f t="shared" si="10"/>
        <v>-4.0960312283067069E-6</v>
      </c>
      <c r="V62" s="175"/>
      <c r="X62" s="186" t="str">
        <f t="shared" si="8"/>
        <v>1D</v>
      </c>
      <c r="Y62" s="174">
        <f>_xll.qlCalendarAdvance(Calendar,Y61,X62,"f",FALSE)</f>
        <v>42006</v>
      </c>
      <c r="Z62" s="198">
        <f>_xll.qlCalendarAdvance(Calendar,Y62,NDays&amp;"D")</f>
        <v>42010</v>
      </c>
      <c r="AA62" s="173">
        <v>2.0808571934241558E-3</v>
      </c>
      <c r="AB62" s="182">
        <v>1.9193858448218748E-3</v>
      </c>
    </row>
    <row r="63" spans="10:28" x14ac:dyDescent="0.2">
      <c r="M63" s="186" t="str">
        <v>obj_008e0#0000</v>
      </c>
      <c r="N63" s="186" t="str">
        <f>_xll.qlRateHelperQuoteName(M63)</f>
        <v>EURAB6E22Y_Quote</v>
      </c>
      <c r="O63" s="174">
        <f>_xll.qlRateHelperLatestDate(M63,Trigger)</f>
        <v>49982</v>
      </c>
      <c r="P63" s="201">
        <f>_xll.qlRateHelperQuoteValue(M63,_xll.ohTrigger(RecalcTrigger,YieldCurve))</f>
        <v>1.745E-2</v>
      </c>
      <c r="Q63" s="203" t="str">
        <f t="shared" si="9"/>
        <v>22Y</v>
      </c>
      <c r="R63" s="204" t="str">
        <f>_xll.qlEuriborSwap(,"IsdaFixA",Monitor!Q63,YieldCurve,Discounting,,_xll.ohTrigger(Trigger,RecalcTrigger))</f>
        <v>obj_00ae9#0000</v>
      </c>
      <c r="S63" s="204"/>
      <c r="T63" s="191">
        <f>_xll.qlIndexFixing(R63,$Y$19,TRUE,Trigger)</f>
        <v>1.7450551538259501E-2</v>
      </c>
      <c r="U63" s="192">
        <f t="shared" si="10"/>
        <v>5.5153825950088331E-7</v>
      </c>
      <c r="V63" s="175"/>
      <c r="X63" s="186" t="str">
        <f t="shared" si="8"/>
        <v>1D</v>
      </c>
      <c r="Y63" s="174">
        <f>_xll.qlCalendarAdvance(Calendar,Y62,X63,"f",FALSE)</f>
        <v>42009</v>
      </c>
      <c r="Z63" s="198">
        <f>_xll.qlCalendarAdvance(Calendar,Y63,NDays&amp;"D")</f>
        <v>42011</v>
      </c>
      <c r="AA63" s="173">
        <v>2.0815621311522361E-3</v>
      </c>
      <c r="AB63" s="182">
        <v>1.9162055514332366E-3</v>
      </c>
    </row>
    <row r="64" spans="10:28" x14ac:dyDescent="0.2">
      <c r="M64" s="186" t="str">
        <v>obj_008df#0000</v>
      </c>
      <c r="N64" s="186" t="str">
        <f>_xll.qlRateHelperQuoteName(M64)</f>
        <v>EURAB6E23Y_Quote</v>
      </c>
      <c r="O64" s="174">
        <f>_xll.qlRateHelperLatestDate(M64,Trigger)</f>
        <v>50347</v>
      </c>
      <c r="P64" s="201">
        <f>_xll.qlRateHelperQuoteValue(M64,_xll.ohTrigger(RecalcTrigger,YieldCurve))</f>
        <v>1.7610000000000001E-2</v>
      </c>
      <c r="Q64" s="203" t="str">
        <f t="shared" si="9"/>
        <v>23Y</v>
      </c>
      <c r="R64" s="204" t="str">
        <f>_xll.qlEuriborSwap(,"IsdaFixA",Monitor!Q64,YieldCurve,Discounting,,_xll.ohTrigger(Trigger,RecalcTrigger))</f>
        <v>obj_00a8d#0000</v>
      </c>
      <c r="S64" s="204"/>
      <c r="T64" s="191">
        <f>_xll.qlIndexFixing(R64,$Y$19,TRUE,Trigger)</f>
        <v>1.7610038493906435E-2</v>
      </c>
      <c r="U64" s="192">
        <f t="shared" si="10"/>
        <v>3.8493906433928471E-8</v>
      </c>
      <c r="V64" s="175"/>
      <c r="X64" s="186" t="str">
        <f t="shared" si="8"/>
        <v>1D</v>
      </c>
      <c r="Y64" s="174">
        <f>_xll.qlCalendarAdvance(Calendar,Y63,X64,"f",FALSE)</f>
        <v>42010</v>
      </c>
      <c r="Z64" s="198">
        <f>_xll.qlCalendarAdvance(Calendar,Y64,NDays&amp;"D")</f>
        <v>42012</v>
      </c>
      <c r="AA64" s="173">
        <v>2.0822409872864153E-3</v>
      </c>
      <c r="AB64" s="182">
        <v>1.9132953951572773E-3</v>
      </c>
    </row>
    <row r="65" spans="13:28" x14ac:dyDescent="0.2">
      <c r="M65" s="186" t="str">
        <v>obj_008cc#0000</v>
      </c>
      <c r="N65" s="186" t="str">
        <f>_xll.qlRateHelperQuoteName(M65)</f>
        <v>EURAB6E24Y_Quote</v>
      </c>
      <c r="O65" s="174">
        <f>_xll.qlRateHelperLatestDate(M65,Trigger)</f>
        <v>50712</v>
      </c>
      <c r="P65" s="201">
        <f>_xll.qlRateHelperQuoteValue(M65,_xll.ohTrigger(RecalcTrigger,YieldCurve))</f>
        <v>1.7739999999999999E-2</v>
      </c>
      <c r="Q65" s="203" t="str">
        <f t="shared" si="9"/>
        <v>24Y</v>
      </c>
      <c r="R65" s="204" t="str">
        <f>_xll.qlEuriborSwap(,"IsdaFixA",Monitor!Q65,YieldCurve,Discounting,,_xll.ohTrigger(Trigger,RecalcTrigger))</f>
        <v>obj_00a87#0000</v>
      </c>
      <c r="S65" s="204"/>
      <c r="T65" s="191">
        <f>_xll.qlIndexFixing(R65,$Y$19,TRUE,Trigger)</f>
        <v>1.7741545630772543E-2</v>
      </c>
      <c r="U65" s="192">
        <f t="shared" si="10"/>
        <v>1.5456307725439378E-6</v>
      </c>
      <c r="V65" s="175"/>
      <c r="X65" s="186" t="str">
        <f t="shared" si="8"/>
        <v>1D</v>
      </c>
      <c r="Y65" s="174">
        <f>_xll.qlCalendarAdvance(Calendar,Y64,X65,"f",FALSE)</f>
        <v>42011</v>
      </c>
      <c r="Z65" s="198">
        <f>_xll.qlCalendarAdvance(Calendar,Y65,NDays&amp;"D")</f>
        <v>42013</v>
      </c>
      <c r="AA65" s="173">
        <v>2.082893536971421E-3</v>
      </c>
      <c r="AB65" s="182">
        <v>1.9083856557955414E-3</v>
      </c>
    </row>
    <row r="66" spans="13:28" x14ac:dyDescent="0.2">
      <c r="M66" s="186" t="str">
        <v>obj_008c9#0000</v>
      </c>
      <c r="N66" s="186" t="str">
        <f>_xll.qlRateHelperQuoteName(M66)</f>
        <v>EURAB6E25Y_Quote</v>
      </c>
      <c r="O66" s="174">
        <f>_xll.qlRateHelperLatestDate(M66,Trigger)</f>
        <v>51077</v>
      </c>
      <c r="P66" s="201">
        <f>_xll.qlRateHelperQuoteValue(M66,_xll.ohTrigger(RecalcTrigger,YieldCurve))</f>
        <v>1.7849999999999998E-2</v>
      </c>
      <c r="Q66" s="203" t="str">
        <f t="shared" si="9"/>
        <v>25Y</v>
      </c>
      <c r="R66" s="204" t="str">
        <f>_xll.qlEuriborSwap(,"IsdaFixA",Monitor!Q66,YieldCurve,Discounting,,_xll.ohTrigger(Trigger,RecalcTrigger))</f>
        <v>obj_00a73#0000</v>
      </c>
      <c r="S66" s="204"/>
      <c r="T66" s="191">
        <f>_xll.qlIndexFixing(R66,$Y$19,TRUE,Trigger)</f>
        <v>1.7850000000000091E-2</v>
      </c>
      <c r="U66" s="192">
        <f t="shared" si="10"/>
        <v>9.3675067702747583E-17</v>
      </c>
      <c r="V66" s="175"/>
      <c r="X66" s="186" t="str">
        <f t="shared" si="8"/>
        <v>1D</v>
      </c>
      <c r="Y66" s="174">
        <f>_xll.qlCalendarAdvance(Calendar,Y65,X66,"f",FALSE)</f>
        <v>42012</v>
      </c>
      <c r="Z66" s="198">
        <f>_xll.qlCalendarAdvance(Calendar,Y66,NDays&amp;"D")</f>
        <v>42016</v>
      </c>
      <c r="AA66" s="173">
        <v>2.0842532978412359E-3</v>
      </c>
      <c r="AB66" s="182">
        <v>1.9043561404608056E-3</v>
      </c>
    </row>
    <row r="67" spans="13:28" x14ac:dyDescent="0.2">
      <c r="M67" s="186" t="str">
        <v>obj_008e6#0000</v>
      </c>
      <c r="N67" s="186" t="str">
        <f>_xll.qlRateHelperQuoteName(M67)</f>
        <v>EURAB6E26Y_Quote</v>
      </c>
      <c r="O67" s="174">
        <f>_xll.qlRateHelperLatestDate(M67,Trigger)</f>
        <v>51445</v>
      </c>
      <c r="P67" s="201">
        <f>_xll.qlRateHelperQuoteValue(M67,_xll.ohTrigger(RecalcTrigger,YieldCurve))</f>
        <v>1.7940000000000001E-2</v>
      </c>
      <c r="Q67" s="203" t="str">
        <f t="shared" si="9"/>
        <v>26Y</v>
      </c>
      <c r="R67" s="204" t="str">
        <f>_xll.qlEuriborSwap(,"IsdaFixA",Monitor!Q67,YieldCurve,Discounting,,_xll.ohTrigger(Trigger,RecalcTrigger))</f>
        <v>obj_00b94#0000</v>
      </c>
      <c r="S67" s="204"/>
      <c r="T67" s="191">
        <f>_xll.qlIndexFixing(R67,$Y$19,TRUE,Trigger)</f>
        <v>1.7941901129636645E-2</v>
      </c>
      <c r="U67" s="192">
        <f t="shared" si="10"/>
        <v>1.9011296366437669E-6</v>
      </c>
      <c r="V67" s="175"/>
      <c r="X67" s="186" t="str">
        <f t="shared" si="8"/>
        <v>1D</v>
      </c>
      <c r="Y67" s="174">
        <f>_xll.qlCalendarAdvance(Calendar,Y66,X67,"f",FALSE)</f>
        <v>42013</v>
      </c>
      <c r="Z67" s="198">
        <f>_xll.qlCalendarAdvance(Calendar,Y67,NDays&amp;"D")</f>
        <v>42017</v>
      </c>
      <c r="AA67" s="173">
        <v>2.0852361741429625E-3</v>
      </c>
      <c r="AB67" s="182">
        <v>1.902796669348561E-3</v>
      </c>
    </row>
    <row r="68" spans="13:28" x14ac:dyDescent="0.2">
      <c r="M68" s="186" t="str">
        <v>obj_008d4#0000</v>
      </c>
      <c r="N68" s="186" t="str">
        <f>_xll.qlRateHelperQuoteName(M68)</f>
        <v>EURAB6E27Y_Quote</v>
      </c>
      <c r="O68" s="174">
        <f>_xll.qlRateHelperLatestDate(M68,Trigger)</f>
        <v>51809</v>
      </c>
      <c r="P68" s="201">
        <f>_xll.qlRateHelperQuoteValue(M68,_xll.ohTrigger(RecalcTrigger,YieldCurve))</f>
        <v>1.8020000000000001E-2</v>
      </c>
      <c r="Q68" s="203" t="str">
        <f t="shared" si="9"/>
        <v>27Y</v>
      </c>
      <c r="R68" s="204" t="str">
        <f>_xll.qlEuriborSwap(,"IsdaFixA",Monitor!Q68,YieldCurve,Discounting,,_xll.ohTrigger(Trigger,RecalcTrigger))</f>
        <v>obj_00b6a#0000</v>
      </c>
      <c r="S68" s="204"/>
      <c r="T68" s="191">
        <f>_xll.qlIndexFixing(R68,$Y$19,TRUE,Trigger)</f>
        <v>1.8017332678635516E-2</v>
      </c>
      <c r="U68" s="192">
        <f t="shared" si="10"/>
        <v>-2.6673213644849703E-6</v>
      </c>
      <c r="V68" s="175"/>
      <c r="X68" s="186" t="str">
        <f t="shared" si="8"/>
        <v>1D</v>
      </c>
      <c r="Y68" s="174">
        <f>_xll.qlCalendarAdvance(Calendar,Y67,X68,"f",FALSE)</f>
        <v>42016</v>
      </c>
      <c r="Z68" s="198">
        <f>_xll.qlCalendarAdvance(Calendar,Y68,NDays&amp;"D")</f>
        <v>42018</v>
      </c>
      <c r="AA68" s="173">
        <v>2.0857538187821593E-3</v>
      </c>
      <c r="AB68" s="182">
        <v>1.9015073353489953E-3</v>
      </c>
    </row>
    <row r="69" spans="13:28" x14ac:dyDescent="0.2">
      <c r="M69" s="186" t="str">
        <v>obj_008d5#0000</v>
      </c>
      <c r="N69" s="186" t="str">
        <f>_xll.qlRateHelperQuoteName(M69)</f>
        <v>EURAB6E28Y_Quote</v>
      </c>
      <c r="O69" s="174">
        <f>_xll.qlRateHelperLatestDate(M69,Trigger)</f>
        <v>52173</v>
      </c>
      <c r="P69" s="201">
        <f>_xll.qlRateHelperQuoteValue(M69,_xll.ohTrigger(RecalcTrigger,YieldCurve))</f>
        <v>1.8079999999999999E-2</v>
      </c>
      <c r="Q69" s="203" t="str">
        <f t="shared" si="9"/>
        <v>28Y</v>
      </c>
      <c r="R69" s="204" t="str">
        <f>_xll.qlEuriborSwap(,"IsdaFixA",Monitor!Q69,YieldCurve,Discounting,,_xll.ohTrigger(Trigger,RecalcTrigger))</f>
        <v>obj_00b79#0000</v>
      </c>
      <c r="S69" s="204"/>
      <c r="T69" s="191">
        <f>_xll.qlIndexFixing(R69,$Y$19,TRUE,Trigger)</f>
        <v>1.8082974216031871E-2</v>
      </c>
      <c r="U69" s="192">
        <f t="shared" si="10"/>
        <v>2.9742160318722843E-6</v>
      </c>
      <c r="V69" s="175"/>
      <c r="X69" s="186" t="str">
        <f t="shared" si="8"/>
        <v>1D</v>
      </c>
      <c r="Y69" s="174">
        <f>_xll.qlCalendarAdvance(Calendar,Y68,X69,"f",FALSE)</f>
        <v>42017</v>
      </c>
      <c r="Z69" s="198">
        <f>_xll.qlCalendarAdvance(Calendar,Y69,NDays&amp;"D")</f>
        <v>42019</v>
      </c>
      <c r="AA69" s="173">
        <v>2.0862438078573303E-3</v>
      </c>
      <c r="AB69" s="182">
        <v>1.9004881383821726E-3</v>
      </c>
    </row>
    <row r="70" spans="13:28" x14ac:dyDescent="0.2">
      <c r="M70" s="186" t="str">
        <v>obj_008ba#0000</v>
      </c>
      <c r="N70" s="186" t="str">
        <f>_xll.qlRateHelperQuoteName(M70)</f>
        <v>EURAB6E29Y_Quote</v>
      </c>
      <c r="O70" s="174">
        <f>_xll.qlRateHelperLatestDate(M70,Trigger)</f>
        <v>52538</v>
      </c>
      <c r="P70" s="201">
        <f>_xll.qlRateHelperQuoteValue(M70,_xll.ohTrigger(RecalcTrigger,YieldCurve))</f>
        <v>1.814E-2</v>
      </c>
      <c r="Q70" s="203" t="str">
        <f t="shared" si="9"/>
        <v>29Y</v>
      </c>
      <c r="R70" s="204" t="str">
        <f>_xll.qlEuriborSwap(,"IsdaFixA",Monitor!Q70,YieldCurve,Discounting,,_xll.ohTrigger(Trigger,RecalcTrigger))</f>
        <v>obj_00a5b#0000</v>
      </c>
      <c r="S70" s="204"/>
      <c r="T70" s="191">
        <f>_xll.qlIndexFixing(R70,$Y$19,TRUE,Trigger)</f>
        <v>1.8142466743664917E-2</v>
      </c>
      <c r="U70" s="192">
        <f t="shared" si="10"/>
        <v>2.4667436649174201E-6</v>
      </c>
      <c r="V70" s="175"/>
      <c r="X70" s="186" t="str">
        <f t="shared" si="8"/>
        <v>1D</v>
      </c>
      <c r="Y70" s="174">
        <f>_xll.qlCalendarAdvance(Calendar,Y69,X70,"f",FALSE)</f>
        <v>42018</v>
      </c>
      <c r="Z70" s="198">
        <f>_xll.qlCalendarAdvance(Calendar,Y70,NDays&amp;"D")</f>
        <v>42020</v>
      </c>
      <c r="AA70" s="173">
        <v>2.0867059165198261E-3</v>
      </c>
      <c r="AB70" s="182">
        <v>1.8993602220351846E-3</v>
      </c>
    </row>
    <row r="71" spans="13:28" x14ac:dyDescent="0.2">
      <c r="M71" s="186" t="str">
        <v>obj_008e7#0000</v>
      </c>
      <c r="N71" s="186" t="str">
        <f>_xll.qlRateHelperQuoteName(M71)</f>
        <v>EURAB6E30Y_Quote</v>
      </c>
      <c r="O71" s="174">
        <f>_xll.qlRateHelperLatestDate(M71,Trigger)</f>
        <v>52904</v>
      </c>
      <c r="P71" s="201">
        <f>_xll.qlRateHelperQuoteValue(M71,_xll.ohTrigger(RecalcTrigger,YieldCurve))</f>
        <v>1.8200000000000001E-2</v>
      </c>
      <c r="Q71" s="203" t="str">
        <f t="shared" si="9"/>
        <v>30Y</v>
      </c>
      <c r="R71" s="204" t="str">
        <f>_xll.qlEuriborSwap(,"IsdaFixA",Monitor!Q71,YieldCurve,Discounting,,_xll.ohTrigger(Trigger,RecalcTrigger))</f>
        <v>obj_00b53#0000</v>
      </c>
      <c r="S71" s="204"/>
      <c r="T71" s="191">
        <f>_xll.qlIndexFixing(R71,$Y$19,TRUE,Trigger)</f>
        <v>1.8199999999956831E-2</v>
      </c>
      <c r="U71" s="192">
        <f t="shared" si="10"/>
        <v>-4.3170328423158821E-14</v>
      </c>
      <c r="V71" s="175"/>
      <c r="X71" s="186" t="str">
        <f t="shared" si="8"/>
        <v>1D</v>
      </c>
      <c r="Y71" s="174">
        <f>_xll.qlCalendarAdvance(Calendar,Y70,X71,"f",FALSE)</f>
        <v>42019</v>
      </c>
      <c r="Z71" s="198">
        <f>_xll.qlCalendarAdvance(Calendar,Y71,NDays&amp;"D")</f>
        <v>42023</v>
      </c>
      <c r="AA71" s="173">
        <v>2.0872426743638213E-3</v>
      </c>
      <c r="AB71" s="182">
        <v>1.8991127206025027E-3</v>
      </c>
    </row>
    <row r="72" spans="13:28" x14ac:dyDescent="0.2">
      <c r="M72" s="186" t="str">
        <v>obj_008cb#0000</v>
      </c>
      <c r="N72" s="186" t="str">
        <f>_xll.qlRateHelperQuoteName(M72)</f>
        <v>EURAB6E35Y_Quote</v>
      </c>
      <c r="O72" s="174">
        <f>_xll.qlRateHelperLatestDate(M72,Trigger)</f>
        <v>54730</v>
      </c>
      <c r="P72" s="201">
        <f>_xll.qlRateHelperQuoteValue(M72,_xll.ohTrigger(RecalcTrigger,YieldCurve))</f>
        <v>1.848E-2</v>
      </c>
      <c r="Q72" s="203" t="str">
        <f t="shared" si="9"/>
        <v>35Y</v>
      </c>
      <c r="R72" s="204" t="str">
        <f>_xll.qlEuriborSwap(,"IsdaFixA",Monitor!Q72,YieldCurve,Discounting,,_xll.ohTrigger(Trigger,RecalcTrigger))</f>
        <v>obj_00ac4#0000</v>
      </c>
      <c r="S72" s="204"/>
      <c r="T72" s="191">
        <f>_xll.qlIndexFixing(R72,$Y$19,TRUE,Trigger)</f>
        <v>1.8479999999984297E-2</v>
      </c>
      <c r="U72" s="192">
        <f t="shared" si="10"/>
        <v>-1.5702716904542058E-14</v>
      </c>
      <c r="V72" s="175"/>
      <c r="X72" s="186" t="str">
        <f t="shared" si="8"/>
        <v>1D</v>
      </c>
      <c r="Y72" s="174">
        <f>_xll.qlCalendarAdvance(Calendar,Y71,X72,"f",FALSE)</f>
        <v>42020</v>
      </c>
      <c r="Z72" s="198">
        <f>_xll.qlCalendarAdvance(Calendar,Y72,NDays&amp;"D")</f>
        <v>42024</v>
      </c>
      <c r="AA72" s="173">
        <v>2.0882710500899765E-3</v>
      </c>
      <c r="AB72" s="182">
        <v>1.8994442087194585E-3</v>
      </c>
    </row>
    <row r="73" spans="13:28" x14ac:dyDescent="0.2">
      <c r="M73" s="186" t="str">
        <v>obj_008e3#0000</v>
      </c>
      <c r="N73" s="186" t="str">
        <f>_xll.qlRateHelperQuoteName(M73)</f>
        <v>EURAB6E40Y_Quote</v>
      </c>
      <c r="O73" s="174">
        <f>_xll.qlRateHelperLatestDate(M73,Trigger)</f>
        <v>56556</v>
      </c>
      <c r="P73" s="201">
        <f>_xll.qlRateHelperQuoteValue(M73,_xll.ohTrigger(RecalcTrigger,YieldCurve))</f>
        <v>1.873E-2</v>
      </c>
      <c r="Q73" s="203" t="str">
        <f t="shared" si="9"/>
        <v>40Y</v>
      </c>
      <c r="R73" s="204" t="str">
        <f>_xll.qlEuriborSwap(,"IsdaFixA",Monitor!Q73,YieldCurve,Discounting,,_xll.ohTrigger(Trigger,RecalcTrigger))</f>
        <v>obj_00b47#0000</v>
      </c>
      <c r="S73" s="204"/>
      <c r="T73" s="191">
        <f>_xll.qlIndexFixing(R73,$Y$19,TRUE,Trigger)</f>
        <v>1.8729999999974954E-2</v>
      </c>
      <c r="U73" s="192">
        <f t="shared" si="10"/>
        <v>-2.5045937546153141E-14</v>
      </c>
      <c r="V73" s="175"/>
      <c r="X73" s="186" t="str">
        <f t="shared" si="8"/>
        <v>1D</v>
      </c>
      <c r="Y73" s="174">
        <f>_xll.qlCalendarAdvance(Calendar,Y72,X73,"f",FALSE)</f>
        <v>42023</v>
      </c>
      <c r="Z73" s="198">
        <f>_xll.qlCalendarAdvance(Calendar,Y73,NDays&amp;"D")</f>
        <v>42025</v>
      </c>
      <c r="AA73" s="173">
        <v>2.0885903839832276E-3</v>
      </c>
      <c r="AB73" s="182">
        <v>1.9000458339490933E-3</v>
      </c>
    </row>
    <row r="74" spans="13:28" x14ac:dyDescent="0.2">
      <c r="M74" s="186" t="str">
        <v>obj_008e1#0000</v>
      </c>
      <c r="N74" s="186" t="str">
        <f>_xll.qlRateHelperQuoteName(M74)</f>
        <v>EURAB6E50Y_Quote</v>
      </c>
      <c r="O74" s="174">
        <f>_xll.qlRateHelperLatestDate(M74,Trigger)</f>
        <v>60209</v>
      </c>
      <c r="P74" s="201">
        <f>_xll.qlRateHelperQuoteValue(M74,_xll.ohTrigger(RecalcTrigger,YieldCurve))</f>
        <v>1.8839999999999999E-2</v>
      </c>
      <c r="Q74" s="203" t="str">
        <f t="shared" si="9"/>
        <v>50Y</v>
      </c>
      <c r="R74" s="204" t="str">
        <f>_xll.qlEuriborSwap(,"IsdaFixA",Monitor!Q74,YieldCurve,Discounting,,_xll.ohTrigger(Trigger,RecalcTrigger))</f>
        <v>obj_00a4e#0000</v>
      </c>
      <c r="S74" s="204"/>
      <c r="T74" s="191">
        <f>_xll.qlIndexFixing(R74,$Y$19,TRUE,Trigger)</f>
        <v>1.8840000000026329E-2</v>
      </c>
      <c r="U74" s="192">
        <f t="shared" si="10"/>
        <v>2.6329632918375978E-14</v>
      </c>
      <c r="V74" s="175"/>
      <c r="X74" s="186" t="str">
        <f t="shared" si="8"/>
        <v>1D</v>
      </c>
      <c r="Y74" s="174">
        <f>_xll.qlCalendarAdvance(Calendar,Y73,X74,"f",FALSE)</f>
        <v>42024</v>
      </c>
      <c r="Z74" s="198">
        <f>_xll.qlCalendarAdvance(Calendar,Y74,NDays&amp;"D")</f>
        <v>42026</v>
      </c>
      <c r="AA74" s="173">
        <v>2.088880488388698E-3</v>
      </c>
      <c r="AB74" s="182">
        <v>1.9009175960515989E-3</v>
      </c>
    </row>
    <row r="75" spans="13:28" ht="12" thickBot="1" x14ac:dyDescent="0.25">
      <c r="M75" s="187" t="str">
        <v>obj_008dd#0000</v>
      </c>
      <c r="N75" s="187" t="str">
        <f>_xll.qlRateHelperQuoteName(M75)</f>
        <v>EURAB6E60Y_Quote</v>
      </c>
      <c r="O75" s="184">
        <f>_xll.qlRateHelperLatestDate(M75,Trigger)</f>
        <v>63863</v>
      </c>
      <c r="P75" s="202">
        <f>_xll.qlRateHelperQuoteValue(M75,_xll.ohTrigger(RecalcTrigger,YieldCurve))</f>
        <v>1.8970000000000001E-2</v>
      </c>
      <c r="Q75" s="283" t="str">
        <f t="shared" si="9"/>
        <v>60Y</v>
      </c>
      <c r="R75" s="205" t="str">
        <f>_xll.qlEuriborSwap(,"IsdaFixA",Monitor!Q75,YieldCurve,Discounting,,_xll.ohTrigger(Trigger,RecalcTrigger))</f>
        <v>obj_00b01#0000</v>
      </c>
      <c r="S75" s="205"/>
      <c r="T75" s="193">
        <f>_xll.qlIndexFixing(R75,$Y$19,TRUE,Trigger)</f>
        <v>1.8969999999999747E-2</v>
      </c>
      <c r="U75" s="194">
        <f t="shared" si="10"/>
        <v>-2.5326962749261384E-16</v>
      </c>
      <c r="V75" s="175"/>
      <c r="X75" s="186" t="str">
        <f t="shared" si="8"/>
        <v>1D</v>
      </c>
      <c r="Y75" s="174">
        <f>_xll.qlCalendarAdvance(Calendar,Y74,X75,"f",FALSE)</f>
        <v>42025</v>
      </c>
      <c r="Z75" s="198">
        <f>_xll.qlCalendarAdvance(Calendar,Y75,NDays&amp;"D")</f>
        <v>42027</v>
      </c>
      <c r="AA75" s="173">
        <v>2.0891411384648061E-3</v>
      </c>
      <c r="AB75" s="182">
        <v>1.9035716426607507E-3</v>
      </c>
    </row>
    <row r="76" spans="13:28" ht="12" thickBot="1" x14ac:dyDescent="0.25">
      <c r="X76" s="186" t="str">
        <f t="shared" si="8"/>
        <v>1D</v>
      </c>
      <c r="Y76" s="174">
        <f>_xll.qlCalendarAdvance(Calendar,Y75,X76,"f",FALSE)</f>
        <v>42026</v>
      </c>
      <c r="Z76" s="198">
        <f>_xll.qlCalendarAdvance(Calendar,Y76,NDays&amp;"D")</f>
        <v>42030</v>
      </c>
      <c r="AA76" s="173">
        <v>2.0888914305639606E-3</v>
      </c>
      <c r="AB76" s="182">
        <v>1.9071060151887309E-3</v>
      </c>
    </row>
    <row r="77" spans="13:28" x14ac:dyDescent="0.2">
      <c r="M77" s="284" t="s">
        <v>44</v>
      </c>
      <c r="N77" s="178" t="s">
        <v>164</v>
      </c>
      <c r="O77" s="179" t="s">
        <v>132</v>
      </c>
      <c r="P77" s="179" t="s">
        <v>43</v>
      </c>
      <c r="Q77" s="189" t="s">
        <v>141</v>
      </c>
      <c r="R77" s="179" t="s">
        <v>140</v>
      </c>
      <c r="S77" s="179" t="s">
        <v>162</v>
      </c>
      <c r="T77" s="179" t="s">
        <v>156</v>
      </c>
      <c r="U77" s="190" t="s">
        <v>145</v>
      </c>
      <c r="V77" s="195" t="s">
        <v>163</v>
      </c>
      <c r="X77" s="186" t="str">
        <f t="shared" si="8"/>
        <v>1D</v>
      </c>
      <c r="Y77" s="174">
        <f>_xll.qlCalendarAdvance(Calendar,Y76,X77,"f",FALSE)</f>
        <v>42027</v>
      </c>
      <c r="Z77" s="198">
        <f>_xll.qlCalendarAdvance(Calendar,Y77,NDays&amp;"D")</f>
        <v>42031</v>
      </c>
      <c r="AA77" s="173">
        <v>2.0898846986762199E-3</v>
      </c>
      <c r="AB77" s="182">
        <v>1.9093284625348872E-3</v>
      </c>
    </row>
    <row r="78" spans="13:28" x14ac:dyDescent="0.2">
      <c r="M78" s="303" t="str">
        <f t="array" ref="M78:M401">_xll.ohFilter(RateHelpers!B67:B390,IF(ISERROR(RateHelpers!D67:D390),FALSE,TRUE))</f>
        <v>obj_0089e#0000</v>
      </c>
      <c r="N78" s="186" t="str">
        <f>_xll.qlRateHelperQuoteName(M78)</f>
        <v>EUR1F1Y_Quote</v>
      </c>
      <c r="O78" s="174">
        <f>_xll.qlInterestRateIndexFixingDate(R78,_xll.qlRateHelperEarliestDate(M78,Trigger),)</f>
        <v>42307</v>
      </c>
      <c r="P78" s="201">
        <f>_xll.qlRateHelperQuoteValue(M78,_xll.ohTrigger(RecalcTrigger,YieldCurve))</f>
        <v>2.66E-3</v>
      </c>
      <c r="Q78" s="204" t="str">
        <f t="shared" ref="Q78:Q95" si="11">SUBSTITUTE(SUBSTITUTE(N78,"_Quote",""),"EUR1F","")</f>
        <v>1Y</v>
      </c>
      <c r="R78" s="204" t="str">
        <f>_xll.qlSwapIndex(,"Euribor",Q78,NDays,Currency,Calendar,"1Y","mf","30/360 (Bond Basis)",IborIndex,Discounting,,_xll.ohTrigger(Trigger,RecalcTrigger))</f>
        <v>obj_009c6#0000</v>
      </c>
      <c r="S78" s="204" t="str">
        <f>_xll.qlVanillaSwapFromSwapIndex(,R78,O78)</f>
        <v>obj_00b89#0000</v>
      </c>
      <c r="T78" s="191">
        <f>_xll.qlVanillaSwapFairRate(S78)</f>
        <v>2.660024182589552E-3</v>
      </c>
      <c r="U78" s="300">
        <f>T78-P78</f>
        <v>2.4182589551929173E-8</v>
      </c>
      <c r="V78" s="218">
        <f t="array" ref="V78">MAX(ABS(U78:U400))</f>
        <v>1.2380976031121579E-4</v>
      </c>
      <c r="X78" s="186" t="str">
        <f t="shared" si="8"/>
        <v>1D</v>
      </c>
      <c r="Y78" s="174">
        <f>_xll.qlCalendarAdvance(Calendar,Y77,X78,"f",FALSE)</f>
        <v>42030</v>
      </c>
      <c r="Z78" s="198">
        <f>_xll.qlCalendarAdvance(Calendar,Y78,NDays&amp;"D")</f>
        <v>42032</v>
      </c>
      <c r="AA78" s="173">
        <v>2.0899947045175619E-3</v>
      </c>
      <c r="AB78" s="182">
        <v>1.9118210469137864E-3</v>
      </c>
    </row>
    <row r="79" spans="13:28" x14ac:dyDescent="0.2">
      <c r="M79" s="303" t="str">
        <v>obj_0089c#0000</v>
      </c>
      <c r="N79" s="186" t="str">
        <f>_xll.qlRateHelperQuoteName(M79)</f>
        <v>EUR1F2Y_Quote</v>
      </c>
      <c r="O79" s="174">
        <f>_xll.qlInterestRateIndexFixingDate(R79,_xll.qlRateHelperEarliestDate(M79,Trigger),)</f>
        <v>42307</v>
      </c>
      <c r="P79" s="201">
        <f>_xll.qlRateHelperQuoteValue(M79,_xll.ohTrigger(RecalcTrigger,YieldCurve))</f>
        <v>3.3800000000000002E-3</v>
      </c>
      <c r="Q79" s="204" t="str">
        <f t="shared" si="11"/>
        <v>2Y</v>
      </c>
      <c r="R79" s="204" t="str">
        <f>_xll.qlSwapIndex(,"Euribor",Q79,NDays,Currency,Calendar,"1Y","mf","30/360 (Bond Basis)",IborIndex,Discounting,,_xll.ohTrigger(Trigger,RecalcTrigger))</f>
        <v>obj_009bc#0000</v>
      </c>
      <c r="S79" s="204" t="str">
        <f>_xll.qlVanillaSwapFromSwapIndex(,R79,O79)</f>
        <v>obj_00b13#0000</v>
      </c>
      <c r="T79" s="191">
        <f>_xll.qlVanillaSwapFairRate(S79)</f>
        <v>3.3528491389685825E-3</v>
      </c>
      <c r="U79" s="300">
        <f t="shared" ref="U79:U142" si="12">T79-P79</f>
        <v>-2.7150861031417697E-5</v>
      </c>
      <c r="X79" s="186" t="str">
        <f t="shared" si="8"/>
        <v>1D</v>
      </c>
      <c r="Y79" s="174">
        <f>_xll.qlCalendarAdvance(Calendar,Y78,X79,"f",FALSE)</f>
        <v>42031</v>
      </c>
      <c r="Z79" s="198">
        <f>_xll.qlCalendarAdvance(Calendar,Y79,NDays&amp;"D")</f>
        <v>42033</v>
      </c>
      <c r="AA79" s="173">
        <v>2.0900739070038995E-3</v>
      </c>
      <c r="AB79" s="182">
        <v>1.9145837684053646E-3</v>
      </c>
    </row>
    <row r="80" spans="13:28" x14ac:dyDescent="0.2">
      <c r="M80" s="303" t="str">
        <v>obj_00842#0000</v>
      </c>
      <c r="N80" s="186" t="str">
        <f>_xll.qlRateHelperQuoteName(M80)</f>
        <v>EUR1F3Y_Quote</v>
      </c>
      <c r="O80" s="174">
        <f>_xll.qlInterestRateIndexFixingDate(R80,_xll.qlRateHelperEarliestDate(M80,Trigger),)</f>
        <v>42307</v>
      </c>
      <c r="P80" s="201">
        <f>_xll.qlRateHelperQuoteValue(M80,_xll.ohTrigger(RecalcTrigger,YieldCurve))</f>
        <v>4.3499999999999997E-3</v>
      </c>
      <c r="Q80" s="204" t="str">
        <f t="shared" si="11"/>
        <v>3Y</v>
      </c>
      <c r="R80" s="204" t="str">
        <f>_xll.qlSwapIndex(,"Euribor",Q80,NDays,Currency,Calendar,"1Y","mf","30/360 (Bond Basis)",IborIndex,Discounting,,_xll.ohTrigger(Trigger,RecalcTrigger))</f>
        <v>obj_008eb#0000</v>
      </c>
      <c r="S80" s="204" t="str">
        <f>_xll.qlVanillaSwapFromSwapIndex(,R80,O80)</f>
        <v>obj_00a67#0000</v>
      </c>
      <c r="T80" s="191">
        <f>_xll.qlVanillaSwapFairRate(S80)</f>
        <v>4.3315510909969109E-3</v>
      </c>
      <c r="U80" s="300">
        <f t="shared" si="12"/>
        <v>-1.8448909003088848E-5</v>
      </c>
      <c r="X80" s="186" t="str">
        <f t="shared" si="8"/>
        <v>1D</v>
      </c>
      <c r="Y80" s="174">
        <f>_xll.qlCalendarAdvance(Calendar,Y79,X80,"f",FALSE)</f>
        <v>42032</v>
      </c>
      <c r="Z80" s="198">
        <f>_xll.qlCalendarAdvance(Calendar,Y80,NDays&amp;"D")</f>
        <v>42034</v>
      </c>
      <c r="AA80" s="173">
        <v>2.089202149835372E-3</v>
      </c>
      <c r="AB80" s="182">
        <v>1.9210199190045074E-3</v>
      </c>
    </row>
    <row r="81" spans="13:28" x14ac:dyDescent="0.2">
      <c r="M81" s="303" t="str">
        <v>obj_008a1#0000</v>
      </c>
      <c r="N81" s="186" t="str">
        <f>_xll.qlRateHelperQuoteName(M81)</f>
        <v>EUR1F4Y_Quote</v>
      </c>
      <c r="O81" s="174">
        <f>_xll.qlInterestRateIndexFixingDate(R81,_xll.qlRateHelperEarliestDate(M81,Trigger),)</f>
        <v>42307</v>
      </c>
      <c r="P81" s="201">
        <f>_xll.qlRateHelperQuoteValue(M81,_xll.ohTrigger(RecalcTrigger,YieldCurve))</f>
        <v>5.5000000000000005E-3</v>
      </c>
      <c r="Q81" s="204" t="str">
        <f t="shared" si="11"/>
        <v>4Y</v>
      </c>
      <c r="R81" s="204" t="str">
        <f>_xll.qlSwapIndex(,"Euribor",Q81,NDays,Currency,Calendar,"1Y","mf","30/360 (Bond Basis)",IborIndex,Discounting,,_xll.ohTrigger(Trigger,RecalcTrigger))</f>
        <v>obj_0095c#0000</v>
      </c>
      <c r="S81" s="204" t="str">
        <f>_xll.qlVanillaSwapFromSwapIndex(,R81,O81)</f>
        <v>obj_00a84#0000</v>
      </c>
      <c r="T81" s="191">
        <f>_xll.qlVanillaSwapFairRate(S81)</f>
        <v>5.4805818696921759E-3</v>
      </c>
      <c r="U81" s="300">
        <f t="shared" si="12"/>
        <v>-1.941813030782464E-5</v>
      </c>
      <c r="X81" s="186" t="str">
        <f t="shared" si="8"/>
        <v>1D</v>
      </c>
      <c r="Y81" s="174">
        <f>_xll.qlCalendarAdvance(Calendar,Y80,X81,"f",FALSE)</f>
        <v>42033</v>
      </c>
      <c r="Z81" s="198">
        <f>_xll.qlCalendarAdvance(Calendar,Y81,NDays&amp;"D")</f>
        <v>42037</v>
      </c>
      <c r="AA81" s="173">
        <v>2.0891228699516152E-3</v>
      </c>
      <c r="AB81" s="182">
        <v>1.9283360249389148E-3</v>
      </c>
    </row>
    <row r="82" spans="13:28" x14ac:dyDescent="0.2">
      <c r="M82" s="303" t="str">
        <v>obj_00899#0000</v>
      </c>
      <c r="N82" s="186" t="str">
        <f>_xll.qlRateHelperQuoteName(M82)</f>
        <v>EUR1F5Y_Quote</v>
      </c>
      <c r="O82" s="174">
        <f>_xll.qlInterestRateIndexFixingDate(R82,_xll.qlRateHelperEarliestDate(M82,Trigger),)</f>
        <v>42307</v>
      </c>
      <c r="P82" s="201">
        <f>_xll.qlRateHelperQuoteValue(M82,_xll.ohTrigger(RecalcTrigger,YieldCurve))</f>
        <v>6.7400000000000003E-3</v>
      </c>
      <c r="Q82" s="204" t="str">
        <f t="shared" si="11"/>
        <v>5Y</v>
      </c>
      <c r="R82" s="204" t="str">
        <f>_xll.qlSwapIndex(,"Euribor",Q82,NDays,Currency,Calendar,"1Y","mf","30/360 (Bond Basis)",IborIndex,Discounting,,_xll.ohTrigger(Trigger,RecalcTrigger))</f>
        <v>obj_00956#0000</v>
      </c>
      <c r="S82" s="204" t="str">
        <f>_xll.qlVanillaSwapFromSwapIndex(,R82,O82)</f>
        <v>obj_00b0d#0000</v>
      </c>
      <c r="T82" s="191">
        <f>_xll.qlVanillaSwapFairRate(S82)</f>
        <v>6.7277317042513411E-3</v>
      </c>
      <c r="U82" s="300">
        <f t="shared" si="12"/>
        <v>-1.2268295748659244E-5</v>
      </c>
      <c r="X82" s="186" t="str">
        <f t="shared" si="8"/>
        <v>1D</v>
      </c>
      <c r="Y82" s="174">
        <f>_xll.qlCalendarAdvance(Calendar,Y81,X82,"f",FALSE)</f>
        <v>42034</v>
      </c>
      <c r="Z82" s="198">
        <f>_xll.qlCalendarAdvance(Calendar,Y82,NDays&amp;"D")</f>
        <v>42038</v>
      </c>
      <c r="AA82" s="173">
        <v>2.0900000000000675E-3</v>
      </c>
      <c r="AB82" s="182">
        <v>1.9324556954636307E-3</v>
      </c>
    </row>
    <row r="83" spans="13:28" x14ac:dyDescent="0.2">
      <c r="M83" s="303" t="str">
        <v>obj_008a6#0000</v>
      </c>
      <c r="N83" s="186" t="str">
        <f>_xll.qlRateHelperQuoteName(M83)</f>
        <v>EUR1F6Y_Quote</v>
      </c>
      <c r="O83" s="174">
        <f>_xll.qlInterestRateIndexFixingDate(R83,_xll.qlRateHelperEarliestDate(M83,Trigger),)</f>
        <v>42307</v>
      </c>
      <c r="P83" s="201">
        <f>_xll.qlRateHelperQuoteValue(M83,_xll.ohTrigger(RecalcTrigger,YieldCurve))</f>
        <v>8.1100000000000009E-3</v>
      </c>
      <c r="Q83" s="204" t="str">
        <f t="shared" si="11"/>
        <v>6Y</v>
      </c>
      <c r="R83" s="204" t="str">
        <f>_xll.qlSwapIndex(,"Euribor",Q83,NDays,Currency,Calendar,"1Y","mf","30/360 (Bond Basis)",IborIndex,Discounting,,_xll.ohTrigger(Trigger,RecalcTrigger))</f>
        <v>obj_009f3#0000</v>
      </c>
      <c r="S83" s="204" t="str">
        <f>_xll.qlVanillaSwapFromSwapIndex(,R83,O83)</f>
        <v>obj_00ace#0000</v>
      </c>
      <c r="T83" s="191">
        <f>_xll.qlVanillaSwapFairRate(S83)</f>
        <v>8.0960015553770744E-3</v>
      </c>
      <c r="U83" s="300">
        <f t="shared" si="12"/>
        <v>-1.3998444622926459E-5</v>
      </c>
      <c r="X83" s="186" t="str">
        <f t="shared" si="8"/>
        <v>1D</v>
      </c>
      <c r="Y83" s="174">
        <f>_xll.qlCalendarAdvance(Calendar,Y82,X83,"f",FALSE)</f>
        <v>42037</v>
      </c>
      <c r="Z83" s="198">
        <f>_xll.qlCalendarAdvance(Calendar,Y83,NDays&amp;"D")</f>
        <v>42039</v>
      </c>
      <c r="AA83" s="173">
        <v>2.0898899192581975E-3</v>
      </c>
      <c r="AB83" s="182">
        <v>1.9368768212491005E-3</v>
      </c>
    </row>
    <row r="84" spans="13:28" x14ac:dyDescent="0.2">
      <c r="M84" s="303" t="str">
        <v>obj_008a0#0000</v>
      </c>
      <c r="N84" s="186" t="str">
        <f>_xll.qlRateHelperQuoteName(M84)</f>
        <v>EUR1F7Y_Quote</v>
      </c>
      <c r="O84" s="174">
        <f>_xll.qlInterestRateIndexFixingDate(R84,_xll.qlRateHelperEarliestDate(M84,Trigger),)</f>
        <v>42307</v>
      </c>
      <c r="P84" s="201">
        <f>_xll.qlRateHelperQuoteValue(M84,_xll.ohTrigger(RecalcTrigger,YieldCurve))</f>
        <v>9.4999999999999998E-3</v>
      </c>
      <c r="Q84" s="204" t="str">
        <f t="shared" si="11"/>
        <v>7Y</v>
      </c>
      <c r="R84" s="204" t="str">
        <f>_xll.qlSwapIndex(,"Euribor",Q84,NDays,Currency,Calendar,"1Y","mf","30/360 (Bond Basis)",IborIndex,Discounting,,_xll.ohTrigger(Trigger,RecalcTrigger))</f>
        <v>obj_00a0c#0000</v>
      </c>
      <c r="S84" s="204" t="str">
        <f>_xll.qlVanillaSwapFromSwapIndex(,R84,O84)</f>
        <v>obj_00aa3#0000</v>
      </c>
      <c r="T84" s="191">
        <f>_xll.qlVanillaSwapFairRate(S84)</f>
        <v>9.4872017305137491E-3</v>
      </c>
      <c r="U84" s="300">
        <f t="shared" si="12"/>
        <v>-1.2798269486250652E-5</v>
      </c>
      <c r="X84" s="186" t="str">
        <f t="shared" si="8"/>
        <v>1D</v>
      </c>
      <c r="Y84" s="174">
        <f>_xll.qlCalendarAdvance(Calendar,Y83,X84,"f",FALSE)</f>
        <v>42038</v>
      </c>
      <c r="Z84" s="198">
        <f>_xll.qlCalendarAdvance(Calendar,Y84,NDays&amp;"D")</f>
        <v>42040</v>
      </c>
      <c r="AA84" s="173">
        <v>2.0897490114357709E-3</v>
      </c>
      <c r="AB84" s="182">
        <v>1.9416056658450032E-3</v>
      </c>
    </row>
    <row r="85" spans="13:28" x14ac:dyDescent="0.2">
      <c r="M85" s="303" t="str">
        <v>obj_00898#0000</v>
      </c>
      <c r="N85" s="186" t="str">
        <f>_xll.qlRateHelperQuoteName(M85)</f>
        <v>EUR1F8Y_Quote</v>
      </c>
      <c r="O85" s="174">
        <f>_xll.qlInterestRateIndexFixingDate(R85,_xll.qlRateHelperEarliestDate(M85,Trigger),)</f>
        <v>42307</v>
      </c>
      <c r="P85" s="201">
        <f>_xll.qlRateHelperQuoteValue(M85,_xll.ohTrigger(RecalcTrigger,YieldCurve))</f>
        <v>1.0800000000000001E-2</v>
      </c>
      <c r="Q85" s="204" t="str">
        <f t="shared" si="11"/>
        <v>8Y</v>
      </c>
      <c r="R85" s="204" t="str">
        <f>_xll.qlSwapIndex(,"Euribor",Q85,NDays,Currency,Calendar,"1Y","mf","30/360 (Bond Basis)",IborIndex,Discounting,,_xll.ohTrigger(Trigger,RecalcTrigger))</f>
        <v>obj_00943#0000</v>
      </c>
      <c r="S85" s="204" t="str">
        <f>_xll.qlVanillaSwapFromSwapIndex(,R85,O85)</f>
        <v>obj_00a48#0000</v>
      </c>
      <c r="T85" s="191">
        <f>_xll.qlVanillaSwapFairRate(S85)</f>
        <v>1.0795471045284494E-2</v>
      </c>
      <c r="U85" s="300">
        <f t="shared" si="12"/>
        <v>-4.5289547155064752E-6</v>
      </c>
      <c r="X85" s="186" t="str">
        <f t="shared" ref="X85:X148" si="13">X84</f>
        <v>1D</v>
      </c>
      <c r="Y85" s="174">
        <f>_xll.qlCalendarAdvance(Calendar,Y84,X85,"f",FALSE)</f>
        <v>42039</v>
      </c>
      <c r="Z85" s="198">
        <f>_xll.qlCalendarAdvance(Calendar,Y85,NDays&amp;"D")</f>
        <v>42041</v>
      </c>
      <c r="AA85" s="173">
        <v>2.0895786017847396E-3</v>
      </c>
      <c r="AB85" s="182">
        <v>1.9520996701771764E-3</v>
      </c>
    </row>
    <row r="86" spans="13:28" x14ac:dyDescent="0.2">
      <c r="M86" s="303" t="str">
        <v>obj_0089d#0000</v>
      </c>
      <c r="N86" s="186" t="str">
        <f>_xll.qlRateHelperQuoteName(M86)</f>
        <v>EUR1F9Y_Quote</v>
      </c>
      <c r="O86" s="174">
        <f>_xll.qlInterestRateIndexFixingDate(R86,_xll.qlRateHelperEarliestDate(M86,Trigger),)</f>
        <v>42307</v>
      </c>
      <c r="P86" s="201">
        <f>_xll.qlRateHelperQuoteValue(M86,_xll.ohTrigger(RecalcTrigger,YieldCurve))</f>
        <v>1.1990000000000001E-2</v>
      </c>
      <c r="Q86" s="204" t="str">
        <f t="shared" si="11"/>
        <v>9Y</v>
      </c>
      <c r="R86" s="204" t="str">
        <f>_xll.qlSwapIndex(,"Euribor",Q86,NDays,Currency,Calendar,"1Y","mf","30/360 (Bond Basis)",IborIndex,Discounting,,_xll.ohTrigger(Trigger,RecalcTrigger))</f>
        <v>obj_009a7#0000</v>
      </c>
      <c r="S86" s="204" t="str">
        <f>_xll.qlVanillaSwapFromSwapIndex(,R86,O86)</f>
        <v>obj_00af9#0000</v>
      </c>
      <c r="T86" s="191">
        <f>_xll.qlVanillaSwapFairRate(S86)</f>
        <v>1.1983777908988472E-2</v>
      </c>
      <c r="U86" s="300">
        <f t="shared" si="12"/>
        <v>-6.2220910115283468E-6</v>
      </c>
      <c r="X86" s="186" t="str">
        <f t="shared" si="13"/>
        <v>1D</v>
      </c>
      <c r="Y86" s="174">
        <f>_xll.qlCalendarAdvance(Calendar,Y85,X86,"f",FALSE)</f>
        <v>42040</v>
      </c>
      <c r="Z86" s="198">
        <f>_xll.qlCalendarAdvance(Calendar,Y86,NDays&amp;"D")</f>
        <v>42044</v>
      </c>
      <c r="AA86" s="173">
        <v>2.087952800441762E-3</v>
      </c>
      <c r="AB86" s="182">
        <v>1.9635982340915348E-3</v>
      </c>
    </row>
    <row r="87" spans="13:28" x14ac:dyDescent="0.2">
      <c r="M87" s="303" t="str">
        <v>obj_008a5#0000</v>
      </c>
      <c r="N87" s="186" t="str">
        <f>_xll.qlRateHelperQuoteName(M87)</f>
        <v>EUR1F10Y_Quote</v>
      </c>
      <c r="O87" s="174">
        <f>_xll.qlInterestRateIndexFixingDate(R87,_xll.qlRateHelperEarliestDate(M87,Trigger),)</f>
        <v>42307</v>
      </c>
      <c r="P87" s="201">
        <f>_xll.qlRateHelperQuoteValue(M87,_xll.ohTrigger(RecalcTrigger,YieldCurve))</f>
        <v>1.3040000000000001E-2</v>
      </c>
      <c r="Q87" s="204" t="str">
        <f t="shared" si="11"/>
        <v>10Y</v>
      </c>
      <c r="R87" s="204" t="str">
        <f>_xll.qlSwapIndex(,"Euribor",Q87,NDays,Currency,Calendar,"1Y","mf","30/360 (Bond Basis)",IborIndex,Discounting,,_xll.ohTrigger(Trigger,RecalcTrigger))</f>
        <v>obj_00975#0000</v>
      </c>
      <c r="S87" s="204" t="str">
        <f>_xll.qlVanillaSwapFromSwapIndex(,R87,O87)</f>
        <v>obj_00a9d#0000</v>
      </c>
      <c r="T87" s="191">
        <f>_xll.qlVanillaSwapFairRate(S87)</f>
        <v>1.3029525943097989E-2</v>
      </c>
      <c r="U87" s="300">
        <f t="shared" si="12"/>
        <v>-1.0474056902012516E-5</v>
      </c>
      <c r="X87" s="186" t="str">
        <f t="shared" si="13"/>
        <v>1D</v>
      </c>
      <c r="Y87" s="174">
        <f>_xll.qlCalendarAdvance(Calendar,Y86,X87,"f",FALSE)</f>
        <v>42041</v>
      </c>
      <c r="Z87" s="198">
        <f>_xll.qlCalendarAdvance(Calendar,Y87,NDays&amp;"D")</f>
        <v>42045</v>
      </c>
      <c r="AA87" s="173">
        <v>2.0886284499473098E-3</v>
      </c>
      <c r="AB87" s="182">
        <v>1.9698656735389619E-3</v>
      </c>
    </row>
    <row r="88" spans="13:28" x14ac:dyDescent="0.2">
      <c r="M88" s="303" t="str">
        <v>obj_008a3#0000</v>
      </c>
      <c r="N88" s="186" t="str">
        <f>_xll.qlRateHelperQuoteName(M88)</f>
        <v>EUR1F11Y_Quote</v>
      </c>
      <c r="O88" s="174">
        <f>_xll.qlInterestRateIndexFixingDate(R88,_xll.qlRateHelperEarliestDate(M88,Trigger),)</f>
        <v>42307</v>
      </c>
      <c r="P88" s="201">
        <f>_xll.qlRateHelperQuoteValue(M88,_xll.ohTrigger(RecalcTrigger,YieldCurve))</f>
        <v>1.3950000000000001E-2</v>
      </c>
      <c r="Q88" s="204" t="str">
        <f t="shared" si="11"/>
        <v>11Y</v>
      </c>
      <c r="R88" s="204" t="str">
        <f>_xll.qlSwapIndex(,"Euribor",Q88,NDays,Currency,Calendar,"1Y","mf","30/360 (Bond Basis)",IborIndex,Discounting,,_xll.ohTrigger(Trigger,RecalcTrigger))</f>
        <v>obj_00959#0000</v>
      </c>
      <c r="S88" s="204" t="str">
        <f>_xll.qlVanillaSwapFromSwapIndex(,R88,O88)</f>
        <v>obj_00a51#0000</v>
      </c>
      <c r="T88" s="191">
        <f>_xll.qlVanillaSwapFairRate(S88)</f>
        <v>1.3946941133745092E-2</v>
      </c>
      <c r="U88" s="300">
        <f t="shared" si="12"/>
        <v>-3.0588662549083101E-6</v>
      </c>
      <c r="X88" s="186" t="str">
        <f t="shared" si="13"/>
        <v>1D</v>
      </c>
      <c r="Y88" s="174">
        <f>_xll.qlCalendarAdvance(Calendar,Y87,X88,"f",FALSE)</f>
        <v>42044</v>
      </c>
      <c r="Z88" s="198">
        <f>_xll.qlCalendarAdvance(Calendar,Y88,NDays&amp;"D")</f>
        <v>42046</v>
      </c>
      <c r="AA88" s="173">
        <v>2.0883304099497666E-3</v>
      </c>
      <c r="AB88" s="182">
        <v>1.9764408321165661E-3</v>
      </c>
    </row>
    <row r="89" spans="13:28" x14ac:dyDescent="0.2">
      <c r="M89" s="303" t="str">
        <v>obj_0089a#0000</v>
      </c>
      <c r="N89" s="186" t="str">
        <f>_xll.qlRateHelperQuoteName(M89)</f>
        <v>EUR1F12Y_Quote</v>
      </c>
      <c r="O89" s="174">
        <f>_xll.qlInterestRateIndexFixingDate(R89,_xll.qlRateHelperEarliestDate(M89,Trigger),)</f>
        <v>42307</v>
      </c>
      <c r="P89" s="201">
        <f>_xll.qlRateHelperQuoteValue(M89,_xll.ohTrigger(RecalcTrigger,YieldCurve))</f>
        <v>1.474E-2</v>
      </c>
      <c r="Q89" s="204" t="str">
        <f t="shared" si="11"/>
        <v>12Y</v>
      </c>
      <c r="R89" s="204" t="str">
        <f>_xll.qlSwapIndex(,"Euribor",Q89,NDays,Currency,Calendar,"1Y","mf","30/360 (Bond Basis)",IborIndex,Discounting,,_xll.ohTrigger(Trigger,RecalcTrigger))</f>
        <v>obj_00987#0000</v>
      </c>
      <c r="S89" s="204" t="str">
        <f>_xll.qlVanillaSwapFromSwapIndex(,R89,O89)</f>
        <v>obj_00b15#0000</v>
      </c>
      <c r="T89" s="191">
        <f>_xll.qlVanillaSwapFairRate(S89)</f>
        <v>1.4735391880224392E-2</v>
      </c>
      <c r="U89" s="300">
        <f t="shared" si="12"/>
        <v>-4.6081197756075304E-6</v>
      </c>
      <c r="X89" s="186" t="str">
        <f t="shared" si="13"/>
        <v>1D</v>
      </c>
      <c r="Y89" s="174">
        <f>_xll.qlCalendarAdvance(Calendar,Y88,X89,"f",FALSE)</f>
        <v>42045</v>
      </c>
      <c r="Z89" s="198">
        <f>_xll.qlCalendarAdvance(Calendar,Y89,NDays&amp;"D")</f>
        <v>42047</v>
      </c>
      <c r="AA89" s="173">
        <v>2.0880108196446073E-3</v>
      </c>
      <c r="AB89" s="182">
        <v>1.9833237095845391E-3</v>
      </c>
    </row>
    <row r="90" spans="13:28" x14ac:dyDescent="0.2">
      <c r="M90" s="303" t="str">
        <v>obj_0089b#0000</v>
      </c>
      <c r="N90" s="186" t="str">
        <f>_xll.qlRateHelperQuoteName(M90)</f>
        <v>EUR1F13Y_Quote</v>
      </c>
      <c r="O90" s="174">
        <f>_xll.qlInterestRateIndexFixingDate(R90,_xll.qlRateHelperEarliestDate(M90,Trigger),)</f>
        <v>42307</v>
      </c>
      <c r="P90" s="201">
        <f>_xll.qlRateHelperQuoteValue(M90,_xll.ohTrigger(RecalcTrigger,YieldCurve))</f>
        <v>1.5429999999999999E-2</v>
      </c>
      <c r="Q90" s="204" t="str">
        <f t="shared" si="11"/>
        <v>13Y</v>
      </c>
      <c r="R90" s="204" t="str">
        <f>_xll.qlSwapIndex(,"Euribor",Q90,NDays,Currency,Calendar,"1Y","mf","30/360 (Bond Basis)",IborIndex,Discounting,,_xll.ohTrigger(Trigger,RecalcTrigger))</f>
        <v>obj_00986#0000</v>
      </c>
      <c r="S90" s="204" t="str">
        <f>_xll.qlVanillaSwapFromSwapIndex(,R90,O90)</f>
        <v>obj_00a2f#0000</v>
      </c>
      <c r="T90" s="191">
        <f>_xll.qlVanillaSwapFairRate(S90)</f>
        <v>1.5418682173296274E-2</v>
      </c>
      <c r="U90" s="300">
        <f t="shared" si="12"/>
        <v>-1.1317826703724845E-5</v>
      </c>
      <c r="X90" s="186" t="str">
        <f t="shared" si="13"/>
        <v>1D</v>
      </c>
      <c r="Y90" s="174">
        <f>_xll.qlCalendarAdvance(Calendar,Y89,X90,"f",FALSE)</f>
        <v>42046</v>
      </c>
      <c r="Z90" s="198">
        <f>_xll.qlCalendarAdvance(Calendar,Y90,NDays&amp;"D")</f>
        <v>42048</v>
      </c>
      <c r="AA90" s="173">
        <v>2.0876710042868761E-3</v>
      </c>
      <c r="AB90" s="182">
        <v>1.9981262849633197E-3</v>
      </c>
    </row>
    <row r="91" spans="13:28" x14ac:dyDescent="0.2">
      <c r="M91" s="303" t="str">
        <v>obj_00896#0000</v>
      </c>
      <c r="N91" s="186" t="str">
        <f>_xll.qlRateHelperQuoteName(M91)</f>
        <v>EUR1F14Y_Quote</v>
      </c>
      <c r="O91" s="174">
        <f>_xll.qlInterestRateIndexFixingDate(R91,_xll.qlRateHelperEarliestDate(M91,Trigger),)</f>
        <v>42307</v>
      </c>
      <c r="P91" s="201">
        <f>_xll.qlRateHelperQuoteValue(M91,_xll.ohTrigger(RecalcTrigger,YieldCurve))</f>
        <v>1.601E-2</v>
      </c>
      <c r="Q91" s="204" t="str">
        <f t="shared" si="11"/>
        <v>14Y</v>
      </c>
      <c r="R91" s="204" t="str">
        <f>_xll.qlSwapIndex(,"Euribor",Q91,NDays,Currency,Calendar,"1Y","mf","30/360 (Bond Basis)",IborIndex,Discounting,,_xll.ohTrigger(Trigger,RecalcTrigger))</f>
        <v>obj_0098a#0000</v>
      </c>
      <c r="S91" s="204" t="str">
        <f>_xll.qlVanillaSwapFromSwapIndex(,R91,O91)</f>
        <v>obj_00a68#0000</v>
      </c>
      <c r="T91" s="191">
        <f>_xll.qlVanillaSwapFairRate(S91)</f>
        <v>1.6007861023704325E-2</v>
      </c>
      <c r="U91" s="300">
        <f t="shared" si="12"/>
        <v>-2.1389762956749991E-6</v>
      </c>
      <c r="X91" s="186" t="str">
        <f t="shared" si="13"/>
        <v>1D</v>
      </c>
      <c r="Y91" s="174">
        <f>_xll.qlCalendarAdvance(Calendar,Y90,X91,"f",FALSE)</f>
        <v>42047</v>
      </c>
      <c r="Z91" s="198">
        <f>_xll.qlCalendarAdvance(Calendar,Y91,NDays&amp;"D")</f>
        <v>42051</v>
      </c>
      <c r="AA91" s="173">
        <v>2.0857508806515247E-3</v>
      </c>
      <c r="AB91" s="182">
        <v>2.0139324102785849E-3</v>
      </c>
    </row>
    <row r="92" spans="13:28" x14ac:dyDescent="0.2">
      <c r="M92" s="303" t="str">
        <v>obj_008a4#0000</v>
      </c>
      <c r="N92" s="186" t="str">
        <f>_xll.qlRateHelperQuoteName(M92)</f>
        <v>EUR1F15Y_Quote</v>
      </c>
      <c r="O92" s="174">
        <f>_xll.qlInterestRateIndexFixingDate(R92,_xll.qlRateHelperEarliestDate(M92,Trigger),)</f>
        <v>42307</v>
      </c>
      <c r="P92" s="201">
        <f>_xll.qlRateHelperQuoteValue(M92,_xll.ohTrigger(RecalcTrigger,YieldCurve))</f>
        <v>1.652E-2</v>
      </c>
      <c r="Q92" s="204" t="str">
        <f t="shared" si="11"/>
        <v>15Y</v>
      </c>
      <c r="R92" s="204" t="str">
        <f>_xll.qlSwapIndex(,"Euribor",Q92,NDays,Currency,Calendar,"1Y","mf","30/360 (Bond Basis)",IborIndex,Discounting,,_xll.ohTrigger(Trigger,RecalcTrigger))</f>
        <v>obj_00a1b#0000</v>
      </c>
      <c r="S92" s="204" t="str">
        <f>_xll.qlVanillaSwapFromSwapIndex(,R92,O92)</f>
        <v>obj_00b6b#0000</v>
      </c>
      <c r="T92" s="191">
        <f>_xll.qlVanillaSwapFairRate(S92)</f>
        <v>1.6513208725295065E-2</v>
      </c>
      <c r="U92" s="300">
        <f t="shared" si="12"/>
        <v>-6.7912747049349298E-6</v>
      </c>
      <c r="X92" s="186" t="str">
        <f t="shared" si="13"/>
        <v>1D</v>
      </c>
      <c r="Y92" s="174">
        <f>_xll.qlCalendarAdvance(Calendar,Y91,X92,"f",FALSE)</f>
        <v>42048</v>
      </c>
      <c r="Z92" s="198">
        <f>_xll.qlCalendarAdvance(Calendar,Y92,NDays&amp;"D")</f>
        <v>42052</v>
      </c>
      <c r="AA92" s="173">
        <v>2.0861359974001939E-3</v>
      </c>
      <c r="AB92" s="182">
        <v>2.0223538831576349E-3</v>
      </c>
    </row>
    <row r="93" spans="13:28" x14ac:dyDescent="0.2">
      <c r="M93" s="303" t="str">
        <v>obj_00897#0000</v>
      </c>
      <c r="N93" s="186" t="str">
        <f>_xll.qlRateHelperQuoteName(M93)</f>
        <v>EUR1F20Y_Quote</v>
      </c>
      <c r="O93" s="174">
        <f>_xll.qlInterestRateIndexFixingDate(R93,_xll.qlRateHelperEarliestDate(M93,Trigger),)</f>
        <v>42307</v>
      </c>
      <c r="P93" s="201">
        <f>_xll.qlRateHelperQuoteValue(M93,_xll.ohTrigger(RecalcTrigger,YieldCurve))</f>
        <v>1.8120000000000001E-2</v>
      </c>
      <c r="Q93" s="204" t="str">
        <f t="shared" si="11"/>
        <v>20Y</v>
      </c>
      <c r="R93" s="204" t="str">
        <f>_xll.qlSwapIndex(,"Euribor",Q93,NDays,Currency,Calendar,"1Y","mf","30/360 (Bond Basis)",IborIndex,Discounting,,_xll.ohTrigger(Trigger,RecalcTrigger))</f>
        <v>obj_00a1a#0000</v>
      </c>
      <c r="S93" s="204" t="str">
        <f>_xll.qlVanillaSwapFromSwapIndex(,R93,O93)</f>
        <v>obj_00b7a#0000</v>
      </c>
      <c r="T93" s="191">
        <f>_xll.qlVanillaSwapFairRate(S93)</f>
        <v>1.8114257849797248E-2</v>
      </c>
      <c r="U93" s="300">
        <f t="shared" si="12"/>
        <v>-5.7421502027525662E-6</v>
      </c>
      <c r="X93" s="186" t="str">
        <f t="shared" si="13"/>
        <v>1D</v>
      </c>
      <c r="Y93" s="174">
        <f>_xll.qlCalendarAdvance(Calendar,Y92,X93,"f",FALSE)</f>
        <v>42051</v>
      </c>
      <c r="Z93" s="198">
        <f>_xll.qlCalendarAdvance(Calendar,Y93,NDays&amp;"D")</f>
        <v>42053</v>
      </c>
      <c r="AA93" s="173">
        <v>2.0857149355778789E-3</v>
      </c>
      <c r="AB93" s="182">
        <v>2.0310830753267339E-3</v>
      </c>
    </row>
    <row r="94" spans="13:28" x14ac:dyDescent="0.2">
      <c r="M94" s="303" t="str">
        <v>obj_0089f#0000</v>
      </c>
      <c r="N94" s="186" t="str">
        <f>_xll.qlRateHelperQuoteName(M94)</f>
        <v>EUR1F25Y_Quote</v>
      </c>
      <c r="O94" s="174">
        <f>_xll.qlInterestRateIndexFixingDate(R94,_xll.qlRateHelperEarliestDate(M94,Trigger),)</f>
        <v>42307</v>
      </c>
      <c r="P94" s="201">
        <f>_xll.qlRateHelperQuoteValue(M94,_xll.ohTrigger(RecalcTrigger,YieldCurve))</f>
        <v>1.8700000000000001E-2</v>
      </c>
      <c r="Q94" s="204" t="str">
        <f t="shared" si="11"/>
        <v>25Y</v>
      </c>
      <c r="R94" s="204" t="str">
        <f>_xll.qlSwapIndex(,"Euribor",Q94,NDays,Currency,Calendar,"1Y","mf","30/360 (Bond Basis)",IborIndex,Discounting,,_xll.ohTrigger(Trigger,RecalcTrigger))</f>
        <v>obj_00a1d#0000</v>
      </c>
      <c r="S94" s="204" t="str">
        <f>_xll.qlVanillaSwapFromSwapIndex(,R94,O94)</f>
        <v>obj_00b56#0000</v>
      </c>
      <c r="T94" s="191">
        <f>_xll.qlVanillaSwapFairRate(S94)</f>
        <v>1.8694772791424195E-2</v>
      </c>
      <c r="U94" s="300">
        <f t="shared" si="12"/>
        <v>-5.2272085758059417E-6</v>
      </c>
      <c r="X94" s="186" t="str">
        <f t="shared" si="13"/>
        <v>1D</v>
      </c>
      <c r="Y94" s="174">
        <f>_xll.qlCalendarAdvance(Calendar,Y93,X94,"f",FALSE)</f>
        <v>42052</v>
      </c>
      <c r="Z94" s="198">
        <f>_xll.qlCalendarAdvance(Calendar,Y94,NDays&amp;"D")</f>
        <v>42054</v>
      </c>
      <c r="AA94" s="173">
        <v>2.0852816002177978E-3</v>
      </c>
      <c r="AB94" s="182">
        <v>2.0401199864661379E-3</v>
      </c>
    </row>
    <row r="95" spans="13:28" ht="12" thickBot="1" x14ac:dyDescent="0.25">
      <c r="M95" s="304" t="str">
        <v>obj_008a2#0000</v>
      </c>
      <c r="N95" s="187" t="str">
        <f>_xll.qlRateHelperQuoteName(M95)</f>
        <v>EUR1F30Y_Quote</v>
      </c>
      <c r="O95" s="184">
        <f>_xll.qlInterestRateIndexFixingDate(R95,_xll.qlRateHelperEarliestDate(M95,Trigger),)</f>
        <v>42307</v>
      </c>
      <c r="P95" s="202">
        <f>_xll.qlRateHelperQuoteValue(M95,_xll.ohTrigger(RecalcTrigger,YieldCurve))</f>
        <v>1.8929999999999999E-2</v>
      </c>
      <c r="Q95" s="205" t="str">
        <f t="shared" si="11"/>
        <v>30Y</v>
      </c>
      <c r="R95" s="205" t="str">
        <f>_xll.qlSwapIndex(,"Euribor",Q95,NDays,Currency,Calendar,"1Y","mf","30/360 (Bond Basis)",IborIndex,Discounting,,_xll.ohTrigger(Trigger,RecalcTrigger))</f>
        <v>obj_0092e#0000</v>
      </c>
      <c r="S95" s="205" t="str">
        <f>_xll.qlVanillaSwapFromSwapIndex(,R95,O95)</f>
        <v>obj_00b68#0000</v>
      </c>
      <c r="T95" s="193">
        <f>_xll.qlVanillaSwapFairRate(S95)</f>
        <v>1.8925284786829217E-2</v>
      </c>
      <c r="U95" s="301">
        <f t="shared" si="12"/>
        <v>-4.7152131707819955E-6</v>
      </c>
      <c r="X95" s="186" t="str">
        <f t="shared" si="13"/>
        <v>1D</v>
      </c>
      <c r="Y95" s="174">
        <f>_xll.qlCalendarAdvance(Calendar,Y94,X95,"f",FALSE)</f>
        <v>42053</v>
      </c>
      <c r="Z95" s="198">
        <f>_xll.qlCalendarAdvance(Calendar,Y95,NDays&amp;"D")</f>
        <v>42055</v>
      </c>
      <c r="AA95" s="173">
        <v>2.0848373165705779E-3</v>
      </c>
      <c r="AB95" s="182">
        <v>2.0592313184231159E-3</v>
      </c>
    </row>
    <row r="96" spans="13:28" x14ac:dyDescent="0.2">
      <c r="M96" s="305" t="str">
        <v>obj_007fb#0000</v>
      </c>
      <c r="N96" s="289" t="str">
        <f>_xll.qlRateHelperQuoteName(M96)</f>
        <v>EUR2F1Y_Quote</v>
      </c>
      <c r="O96" s="286">
        <f>_xll.qlInterestRateIndexFixingDate(R96,_xll.qlRateHelperEarliestDate(M96,Trigger),)</f>
        <v>42675</v>
      </c>
      <c r="P96" s="287">
        <f>_xll.qlRateHelperQuoteValue(M96,_xll.ohTrigger(RecalcTrigger,YieldCurve))</f>
        <v>4.1099999999999999E-3</v>
      </c>
      <c r="Q96" s="285" t="str">
        <f t="shared" ref="Q96:Q113" si="14">SUBSTITUTE(SUBSTITUTE(N96,"_Quote",""),"EUR2F","")</f>
        <v>1Y</v>
      </c>
      <c r="R96" s="285" t="str">
        <f>_xll.qlSwapIndex(,"Euribor",Q96,NDays,Currency,Calendar,"1Y","mf","30/360 (Bond Basis)",IborIndex,Discounting,,_xll.ohTrigger(Trigger,RecalcTrigger))</f>
        <v>obj_008f7#0000</v>
      </c>
      <c r="S96" s="285" t="str">
        <f>_xll.qlVanillaSwapFromSwapIndex(,R96,O96)</f>
        <v>obj_00b55#0000</v>
      </c>
      <c r="T96" s="288">
        <f>_xll.qlVanillaSwapFairRate(S96)</f>
        <v>4.0463144855681634E-3</v>
      </c>
      <c r="U96" s="302">
        <f t="shared" si="12"/>
        <v>-6.3685514431836496E-5</v>
      </c>
      <c r="X96" s="186" t="str">
        <f t="shared" si="13"/>
        <v>1D</v>
      </c>
      <c r="Y96" s="174">
        <f>_xll.qlCalendarAdvance(Calendar,Y95,X96,"f",FALSE)</f>
        <v>42054</v>
      </c>
      <c r="Z96" s="198">
        <f>_xll.qlCalendarAdvance(Calendar,Y96,NDays&amp;"D")</f>
        <v>42058</v>
      </c>
      <c r="AA96" s="173">
        <v>2.0829692110153545E-3</v>
      </c>
      <c r="AB96" s="182">
        <v>2.0793448236045009E-3</v>
      </c>
    </row>
    <row r="97" spans="13:28" x14ac:dyDescent="0.2">
      <c r="M97" s="303" t="str">
        <v>obj_00843#0000</v>
      </c>
      <c r="N97" s="186" t="str">
        <f>_xll.qlRateHelperQuoteName(M97)</f>
        <v>EUR2F2Y_Quote</v>
      </c>
      <c r="O97" s="174">
        <f>_xll.qlInterestRateIndexFixingDate(R97,_xll.qlRateHelperEarliestDate(M97,Trigger),)</f>
        <v>42675</v>
      </c>
      <c r="P97" s="201">
        <f>_xll.qlRateHelperQuoteValue(M97,_xll.ohTrigger(RecalcTrigger,YieldCurve))</f>
        <v>5.1999999999999998E-3</v>
      </c>
      <c r="Q97" s="204" t="str">
        <f t="shared" si="14"/>
        <v>2Y</v>
      </c>
      <c r="R97" s="204" t="str">
        <f>_xll.qlSwapIndex(,"Euribor",Q97,NDays,Currency,Calendar,"1Y","mf","30/360 (Bond Basis)",IborIndex,Discounting,,_xll.ohTrigger(Trigger,RecalcTrigger))</f>
        <v>obj_00a21#0000</v>
      </c>
      <c r="S97" s="204" t="str">
        <f>_xll.qlVanillaSwapFromSwapIndex(,R97,O97)</f>
        <v>obj_00b86#0000</v>
      </c>
      <c r="T97" s="191">
        <f>_xll.qlVanillaSwapFairRate(S97)</f>
        <v>5.1669737847741502E-3</v>
      </c>
      <c r="U97" s="300">
        <f t="shared" si="12"/>
        <v>-3.3026215225849531E-5</v>
      </c>
      <c r="X97" s="186" t="str">
        <f t="shared" si="13"/>
        <v>1D</v>
      </c>
      <c r="Y97" s="174">
        <f>_xll.qlCalendarAdvance(Calendar,Y96,X97,"f",FALSE)</f>
        <v>42055</v>
      </c>
      <c r="Z97" s="198">
        <f>_xll.qlCalendarAdvance(Calendar,Y97,NDays&amp;"D")</f>
        <v>42059</v>
      </c>
      <c r="AA97" s="173">
        <v>2.0829772040667723E-3</v>
      </c>
      <c r="AB97" s="182">
        <v>2.0899203309543424E-3</v>
      </c>
    </row>
    <row r="98" spans="13:28" x14ac:dyDescent="0.2">
      <c r="M98" s="303" t="str">
        <v>obj_007fc#0000</v>
      </c>
      <c r="N98" s="186" t="str">
        <f>_xll.qlRateHelperQuoteName(M98)</f>
        <v>EUR2F3Y_Quote</v>
      </c>
      <c r="O98" s="174">
        <f>_xll.qlInterestRateIndexFixingDate(R98,_xll.qlRateHelperEarliestDate(M98,Trigger),)</f>
        <v>42675</v>
      </c>
      <c r="P98" s="201">
        <f>_xll.qlRateHelperQuoteValue(M98,_xll.ohTrigger(RecalcTrigger,YieldCurve))</f>
        <v>6.45E-3</v>
      </c>
      <c r="Q98" s="204" t="str">
        <f t="shared" si="14"/>
        <v>3Y</v>
      </c>
      <c r="R98" s="204" t="str">
        <f>_xll.qlSwapIndex(,"Euribor",Q98,NDays,Currency,Calendar,"1Y","mf","30/360 (Bond Basis)",IborIndex,Discounting,,_xll.ohTrigger(Trigger,RecalcTrigger))</f>
        <v>obj_00a0d#0000</v>
      </c>
      <c r="S98" s="204" t="str">
        <f>_xll.qlVanillaSwapFromSwapIndex(,R98,O98)</f>
        <v>obj_00a91#0000</v>
      </c>
      <c r="T98" s="191">
        <f>_xll.qlVanillaSwapFairRate(S98)</f>
        <v>6.4242141406687034E-3</v>
      </c>
      <c r="U98" s="300">
        <f t="shared" si="12"/>
        <v>-2.5785859331296616E-5</v>
      </c>
      <c r="X98" s="186" t="str">
        <f t="shared" si="13"/>
        <v>1D</v>
      </c>
      <c r="Y98" s="174">
        <f>_xll.qlCalendarAdvance(Calendar,Y97,X98,"f",FALSE)</f>
        <v>42058</v>
      </c>
      <c r="Z98" s="198">
        <f>_xll.qlCalendarAdvance(Calendar,Y98,NDays&amp;"D")</f>
        <v>42060</v>
      </c>
      <c r="AA98" s="173">
        <v>2.082498057693366E-3</v>
      </c>
      <c r="AB98" s="182">
        <v>2.100803557674169E-3</v>
      </c>
    </row>
    <row r="99" spans="13:28" x14ac:dyDescent="0.2">
      <c r="M99" s="303" t="str">
        <v>obj_0080c#0000</v>
      </c>
      <c r="N99" s="186" t="str">
        <f>_xll.qlRateHelperQuoteName(M99)</f>
        <v>EUR2F4Y_Quote</v>
      </c>
      <c r="O99" s="174">
        <f>_xll.qlInterestRateIndexFixingDate(R99,_xll.qlRateHelperEarliestDate(M99,Trigger),)</f>
        <v>42675</v>
      </c>
      <c r="P99" s="201">
        <f>_xll.qlRateHelperQuoteValue(M99,_xll.ohTrigger(RecalcTrigger,YieldCurve))</f>
        <v>7.77E-3</v>
      </c>
      <c r="Q99" s="204" t="str">
        <f t="shared" si="14"/>
        <v>4Y</v>
      </c>
      <c r="R99" s="204" t="str">
        <f>_xll.qlSwapIndex(,"Euribor",Q99,NDays,Currency,Calendar,"1Y","mf","30/360 (Bond Basis)",IborIndex,Discounting,,_xll.ohTrigger(Trigger,RecalcTrigger))</f>
        <v>obj_009eb#0000</v>
      </c>
      <c r="S99" s="204" t="str">
        <f>_xll.qlVanillaSwapFromSwapIndex(,R99,O99)</f>
        <v>obj_00b7b#0000</v>
      </c>
      <c r="T99" s="191">
        <f>_xll.qlVanillaSwapFairRate(S99)</f>
        <v>7.7525838011518623E-3</v>
      </c>
      <c r="U99" s="300">
        <f t="shared" si="12"/>
        <v>-1.7416198848137741E-5</v>
      </c>
      <c r="X99" s="186" t="str">
        <f t="shared" si="13"/>
        <v>1D</v>
      </c>
      <c r="Y99" s="174">
        <f>_xll.qlCalendarAdvance(Calendar,Y98,X99,"f",FALSE)</f>
        <v>42059</v>
      </c>
      <c r="Z99" s="198">
        <f>_xll.qlCalendarAdvance(Calendar,Y99,NDays&amp;"D")</f>
        <v>42061</v>
      </c>
      <c r="AA99" s="173">
        <v>2.082015914509204E-3</v>
      </c>
      <c r="AB99" s="182">
        <v>2.1119945037639809E-3</v>
      </c>
    </row>
    <row r="100" spans="13:28" x14ac:dyDescent="0.2">
      <c r="M100" s="303" t="str">
        <v>obj_00789#0000</v>
      </c>
      <c r="N100" s="186" t="str">
        <f>_xll.qlRateHelperQuoteName(M100)</f>
        <v>EUR2F5Y_Quote</v>
      </c>
      <c r="O100" s="174">
        <f>_xll.qlInterestRateIndexFixingDate(R100,_xll.qlRateHelperEarliestDate(M100,Trigger),)</f>
        <v>42675</v>
      </c>
      <c r="P100" s="201">
        <f>_xll.qlRateHelperQuoteValue(M100,_xll.ohTrigger(RecalcTrigger,YieldCurve))</f>
        <v>9.2100000000000012E-3</v>
      </c>
      <c r="Q100" s="204" t="str">
        <f t="shared" si="14"/>
        <v>5Y</v>
      </c>
      <c r="R100" s="204" t="str">
        <f>_xll.qlSwapIndex(,"Euribor",Q100,NDays,Currency,Calendar,"1Y","mf","30/360 (Bond Basis)",IborIndex,Discounting,,_xll.ohTrigger(Trigger,RecalcTrigger))</f>
        <v>obj_00a2c#0000</v>
      </c>
      <c r="S100" s="204" t="str">
        <f>_xll.qlVanillaSwapFromSwapIndex(,R100,O100)</f>
        <v>obj_00a8f#0000</v>
      </c>
      <c r="T100" s="191">
        <f>_xll.qlVanillaSwapFairRate(S100)</f>
        <v>9.196336741966276E-3</v>
      </c>
      <c r="U100" s="300">
        <f t="shared" si="12"/>
        <v>-1.3663258033725159E-5</v>
      </c>
      <c r="X100" s="186" t="str">
        <f t="shared" si="13"/>
        <v>1D</v>
      </c>
      <c r="Y100" s="174">
        <f>_xll.qlCalendarAdvance(Calendar,Y99,X100,"f",FALSE)</f>
        <v>42060</v>
      </c>
      <c r="Z100" s="198">
        <f>_xll.qlCalendarAdvance(Calendar,Y100,NDays&amp;"D")</f>
        <v>42062</v>
      </c>
      <c r="AA100" s="173">
        <v>2.0809939181704851E-3</v>
      </c>
      <c r="AB100" s="182">
        <v>2.1354147936047951E-3</v>
      </c>
    </row>
    <row r="101" spans="13:28" x14ac:dyDescent="0.2">
      <c r="M101" s="303" t="str">
        <v>obj_00818#0000</v>
      </c>
      <c r="N101" s="186" t="str">
        <f>_xll.qlRateHelperQuoteName(M101)</f>
        <v>EUR2F6Y_Quote</v>
      </c>
      <c r="O101" s="174">
        <f>_xll.qlInterestRateIndexFixingDate(R101,_xll.qlRateHelperEarliestDate(M101,Trigger),)</f>
        <v>42675</v>
      </c>
      <c r="P101" s="201">
        <f>_xll.qlRateHelperQuoteValue(M101,_xll.ohTrigger(RecalcTrigger,YieldCurve))</f>
        <v>1.0660000000000001E-2</v>
      </c>
      <c r="Q101" s="204" t="str">
        <f t="shared" si="14"/>
        <v>6Y</v>
      </c>
      <c r="R101" s="204" t="str">
        <f>_xll.qlSwapIndex(,"Euribor",Q101,NDays,Currency,Calendar,"1Y","mf","30/360 (Bond Basis)",IborIndex,Discounting,,_xll.ohTrigger(Trigger,RecalcTrigger))</f>
        <v>obj_00968#0000</v>
      </c>
      <c r="S101" s="204" t="str">
        <f>_xll.qlVanillaSwapFromSwapIndex(,R101,O101)</f>
        <v>obj_00b0a#0000</v>
      </c>
      <c r="T101" s="191">
        <f>_xll.qlVanillaSwapFairRate(S101)</f>
        <v>1.0644915410577278E-2</v>
      </c>
      <c r="U101" s="300">
        <f t="shared" si="12"/>
        <v>-1.5084589422722713E-5</v>
      </c>
      <c r="X101" s="186" t="str">
        <f t="shared" si="13"/>
        <v>1D</v>
      </c>
      <c r="Y101" s="174">
        <f>_xll.qlCalendarAdvance(Calendar,Y100,X101,"f",FALSE)</f>
        <v>42061</v>
      </c>
      <c r="Z101" s="198">
        <f>_xll.qlCalendarAdvance(Calendar,Y101,NDays&amp;"D")</f>
        <v>42065</v>
      </c>
      <c r="AA101" s="173">
        <v>2.0802381544272946E-3</v>
      </c>
      <c r="AB101" s="182">
        <v>2.1598354820628884E-3</v>
      </c>
    </row>
    <row r="102" spans="13:28" x14ac:dyDescent="0.2">
      <c r="M102" s="303" t="str">
        <v>obj_0081e#0000</v>
      </c>
      <c r="N102" s="186" t="str">
        <f>_xll.qlRateHelperQuoteName(M102)</f>
        <v>EUR2F7Y_Quote</v>
      </c>
      <c r="O102" s="174">
        <f>_xll.qlInterestRateIndexFixingDate(R102,_xll.qlRateHelperEarliestDate(M102,Trigger),)</f>
        <v>42675</v>
      </c>
      <c r="P102" s="201">
        <f>_xll.qlRateHelperQuoteValue(M102,_xll.ohTrigger(RecalcTrigger,YieldCurve))</f>
        <v>1.1990000000000001E-2</v>
      </c>
      <c r="Q102" s="204" t="str">
        <f t="shared" si="14"/>
        <v>7Y</v>
      </c>
      <c r="R102" s="204" t="str">
        <f>_xll.qlSwapIndex(,"Euribor",Q102,NDays,Currency,Calendar,"1Y","mf","30/360 (Bond Basis)",IborIndex,Discounting,,_xll.ohTrigger(Trigger,RecalcTrigger))</f>
        <v>obj_00920#0000</v>
      </c>
      <c r="S102" s="204" t="str">
        <f>_xll.qlVanillaSwapFromSwapIndex(,R102,O102)</f>
        <v>obj_00a45#0000</v>
      </c>
      <c r="T102" s="191">
        <f>_xll.qlVanillaSwapFairRate(S102)</f>
        <v>1.198528643172812E-2</v>
      </c>
      <c r="U102" s="300">
        <f t="shared" si="12"/>
        <v>-4.7135682718808802E-6</v>
      </c>
      <c r="X102" s="186" t="str">
        <f t="shared" si="13"/>
        <v>1D</v>
      </c>
      <c r="Y102" s="174">
        <f>_xll.qlCalendarAdvance(Calendar,Y101,X102,"f",FALSE)</f>
        <v>42062</v>
      </c>
      <c r="Z102" s="198">
        <f>_xll.qlCalendarAdvance(Calendar,Y102,NDays&amp;"D")</f>
        <v>42066</v>
      </c>
      <c r="AA102" s="173">
        <v>2.0799999999998116E-3</v>
      </c>
      <c r="AB102" s="182">
        <v>2.1724049022076031E-3</v>
      </c>
    </row>
    <row r="103" spans="13:28" x14ac:dyDescent="0.2">
      <c r="M103" s="303" t="str">
        <v>obj_00836#0000</v>
      </c>
      <c r="N103" s="186" t="str">
        <f>_xll.qlRateHelperQuoteName(M103)</f>
        <v>EUR2F8Y_Quote</v>
      </c>
      <c r="O103" s="174">
        <f>_xll.qlInterestRateIndexFixingDate(R103,_xll.qlRateHelperEarliestDate(M103,Trigger),)</f>
        <v>42675</v>
      </c>
      <c r="P103" s="201">
        <f>_xll.qlRateHelperQuoteValue(M103,_xll.ohTrigger(RecalcTrigger,YieldCurve))</f>
        <v>1.319E-2</v>
      </c>
      <c r="Q103" s="204" t="str">
        <f t="shared" si="14"/>
        <v>8Y</v>
      </c>
      <c r="R103" s="204" t="str">
        <f>_xll.qlSwapIndex(,"Euribor",Q103,NDays,Currency,Calendar,"1Y","mf","30/360 (Bond Basis)",IborIndex,Discounting,,_xll.ohTrigger(Trigger,RecalcTrigger))</f>
        <v>obj_008f2#0000</v>
      </c>
      <c r="S103" s="204" t="str">
        <f>_xll.qlVanillaSwapFromSwapIndex(,R103,O103)</f>
        <v>obj_00a9e#0000</v>
      </c>
      <c r="T103" s="191">
        <f>_xll.qlVanillaSwapFairRate(S103)</f>
        <v>1.31848752536914E-2</v>
      </c>
      <c r="U103" s="300">
        <f t="shared" si="12"/>
        <v>-5.1247463086004363E-6</v>
      </c>
      <c r="X103" s="186" t="str">
        <f t="shared" si="13"/>
        <v>1D</v>
      </c>
      <c r="Y103" s="174">
        <f>_xll.qlCalendarAdvance(Calendar,Y102,X103,"f",FALSE)</f>
        <v>42065</v>
      </c>
      <c r="Z103" s="198">
        <f>_xll.qlCalendarAdvance(Calendar,Y103,NDays&amp;"D")</f>
        <v>42067</v>
      </c>
      <c r="AA103" s="173">
        <v>2.0797754519670353E-3</v>
      </c>
      <c r="AB103" s="182">
        <v>2.18448142646821E-3</v>
      </c>
    </row>
    <row r="104" spans="13:28" x14ac:dyDescent="0.2">
      <c r="M104" s="303" t="str">
        <v>obj_007e2#0000</v>
      </c>
      <c r="N104" s="186" t="str">
        <f>_xll.qlRateHelperQuoteName(M104)</f>
        <v>EUR2F9Y_Quote</v>
      </c>
      <c r="O104" s="174">
        <f>_xll.qlInterestRateIndexFixingDate(R104,_xll.qlRateHelperEarliestDate(M104,Trigger),)</f>
        <v>42675</v>
      </c>
      <c r="P104" s="201">
        <f>_xll.qlRateHelperQuoteValue(M104,_xll.ohTrigger(RecalcTrigger,YieldCurve))</f>
        <v>1.4239999999999999E-2</v>
      </c>
      <c r="Q104" s="204" t="str">
        <f t="shared" si="14"/>
        <v>9Y</v>
      </c>
      <c r="R104" s="204" t="str">
        <f>_xll.qlSwapIndex(,"Euribor",Q104,NDays,Currency,Calendar,"1Y","mf","30/360 (Bond Basis)",IborIndex,Discounting,,_xll.ohTrigger(Trigger,RecalcTrigger))</f>
        <v>obj_008fa#0000</v>
      </c>
      <c r="S104" s="204" t="str">
        <f>_xll.qlVanillaSwapFromSwapIndex(,R104,O104)</f>
        <v>obj_00b4e#0000</v>
      </c>
      <c r="T104" s="191">
        <f>_xll.qlVanillaSwapFairRate(S104)</f>
        <v>1.4226365581094896E-2</v>
      </c>
      <c r="U104" s="300">
        <f t="shared" si="12"/>
        <v>-1.3634418905103529E-5</v>
      </c>
      <c r="X104" s="186" t="str">
        <f t="shared" si="13"/>
        <v>1D</v>
      </c>
      <c r="Y104" s="174">
        <f>_xll.qlCalendarAdvance(Calendar,Y103,X104,"f",FALSE)</f>
        <v>42066</v>
      </c>
      <c r="Z104" s="198">
        <f>_xll.qlCalendarAdvance(Calendar,Y104,NDays&amp;"D")</f>
        <v>42068</v>
      </c>
      <c r="AA104" s="173">
        <v>2.0805238139786466E-3</v>
      </c>
      <c r="AB104" s="182">
        <v>2.1959049316500057E-3</v>
      </c>
    </row>
    <row r="105" spans="13:28" x14ac:dyDescent="0.2">
      <c r="M105" s="303" t="str">
        <v>obj_007dc#0000</v>
      </c>
      <c r="N105" s="186" t="str">
        <f>_xll.qlRateHelperQuoteName(M105)</f>
        <v>EUR2F10Y_Quote</v>
      </c>
      <c r="O105" s="174">
        <f>_xll.qlInterestRateIndexFixingDate(R105,_xll.qlRateHelperEarliestDate(M105,Trigger),)</f>
        <v>42675</v>
      </c>
      <c r="P105" s="201">
        <f>_xll.qlRateHelperQuoteValue(M105,_xll.ohTrigger(RecalcTrigger,YieldCurve))</f>
        <v>1.5140000000000001E-2</v>
      </c>
      <c r="Q105" s="204" t="str">
        <f t="shared" si="14"/>
        <v>10Y</v>
      </c>
      <c r="R105" s="204" t="str">
        <f>_xll.qlSwapIndex(,"Euribor",Q105,NDays,Currency,Calendar,"1Y","mf","30/360 (Bond Basis)",IborIndex,Discounting,,_xll.ohTrigger(Trigger,RecalcTrigger))</f>
        <v>obj_009ae#0000</v>
      </c>
      <c r="S105" s="204" t="str">
        <f>_xll.qlVanillaSwapFromSwapIndex(,R105,O105)</f>
        <v>obj_00a7f#0000</v>
      </c>
      <c r="T105" s="191">
        <f>_xll.qlVanillaSwapFairRate(S105)</f>
        <v>1.5128968774257272E-2</v>
      </c>
      <c r="U105" s="300">
        <f t="shared" si="12"/>
        <v>-1.1031225742728218E-5</v>
      </c>
      <c r="X105" s="186" t="str">
        <f t="shared" si="13"/>
        <v>1D</v>
      </c>
      <c r="Y105" s="174">
        <f>_xll.qlCalendarAdvance(Calendar,Y104,X105,"f",FALSE)</f>
        <v>42067</v>
      </c>
      <c r="Z105" s="198">
        <f>_xll.qlCalendarAdvance(Calendar,Y105,NDays&amp;"D")</f>
        <v>42069</v>
      </c>
      <c r="AA105" s="173">
        <v>2.0798874454974331E-3</v>
      </c>
      <c r="AB105" s="182">
        <v>2.2165888591274552E-3</v>
      </c>
    </row>
    <row r="106" spans="13:28" x14ac:dyDescent="0.2">
      <c r="M106" s="303" t="str">
        <v>obj_00773#0000</v>
      </c>
      <c r="N106" s="186" t="str">
        <f>_xll.qlRateHelperQuoteName(M106)</f>
        <v>EUR2F11Y_Quote</v>
      </c>
      <c r="O106" s="174">
        <f>_xll.qlInterestRateIndexFixingDate(R106,_xll.qlRateHelperEarliestDate(M106,Trigger),)</f>
        <v>42675</v>
      </c>
      <c r="P106" s="201">
        <f>_xll.qlRateHelperQuoteValue(M106,_xll.ohTrigger(RecalcTrigger,YieldCurve))</f>
        <v>1.5910000000000001E-2</v>
      </c>
      <c r="Q106" s="204" t="str">
        <f t="shared" si="14"/>
        <v>11Y</v>
      </c>
      <c r="R106" s="204" t="str">
        <f>_xll.qlSwapIndex(,"Euribor",Q106,NDays,Currency,Calendar,"1Y","mf","30/360 (Bond Basis)",IborIndex,Discounting,,_xll.ohTrigger(Trigger,RecalcTrigger))</f>
        <v>obj_00910#0000</v>
      </c>
      <c r="S106" s="204" t="str">
        <f>_xll.qlVanillaSwapFromSwapIndex(,R106,O106)</f>
        <v>obj_00b52#0000</v>
      </c>
      <c r="T106" s="191">
        <f>_xll.qlVanillaSwapFairRate(S106)</f>
        <v>1.5894907958884607E-2</v>
      </c>
      <c r="U106" s="300">
        <f t="shared" si="12"/>
        <v>-1.5092041115393612E-5</v>
      </c>
      <c r="X106" s="186" t="str">
        <f t="shared" si="13"/>
        <v>1D</v>
      </c>
      <c r="Y106" s="174">
        <f>_xll.qlCalendarAdvance(Calendar,Y105,X106,"f",FALSE)</f>
        <v>42068</v>
      </c>
      <c r="Z106" s="198">
        <f>_xll.qlCalendarAdvance(Calendar,Y106,NDays&amp;"D")</f>
        <v>42072</v>
      </c>
      <c r="AA106" s="173">
        <v>2.0788632657761049E-3</v>
      </c>
      <c r="AB106" s="182">
        <v>2.2350687603100994E-3</v>
      </c>
    </row>
    <row r="107" spans="13:28" x14ac:dyDescent="0.2">
      <c r="M107" s="303" t="str">
        <v>obj_00847#0000</v>
      </c>
      <c r="N107" s="186" t="str">
        <f>_xll.qlRateHelperQuoteName(M107)</f>
        <v>EUR2F12Y_Quote</v>
      </c>
      <c r="O107" s="174">
        <f>_xll.qlInterestRateIndexFixingDate(R107,_xll.qlRateHelperEarliestDate(M107,Trigger),)</f>
        <v>42675</v>
      </c>
      <c r="P107" s="201">
        <f>_xll.qlRateHelperQuoteValue(M107,_xll.ohTrigger(RecalcTrigger,YieldCurve))</f>
        <v>1.6570000000000001E-2</v>
      </c>
      <c r="Q107" s="204" t="str">
        <f t="shared" si="14"/>
        <v>12Y</v>
      </c>
      <c r="R107" s="204" t="str">
        <f>_xll.qlSwapIndex(,"Euribor",Q107,NDays,Currency,Calendar,"1Y","mf","30/360 (Bond Basis)",IborIndex,Discounting,,_xll.ohTrigger(Trigger,RecalcTrigger))</f>
        <v>obj_008ed#0000</v>
      </c>
      <c r="S107" s="204" t="str">
        <f>_xll.qlVanillaSwapFromSwapIndex(,R107,O107)</f>
        <v>obj_00b3a#0000</v>
      </c>
      <c r="T107" s="191">
        <f>_xll.qlVanillaSwapFairRate(S107)</f>
        <v>1.6551765360010292E-2</v>
      </c>
      <c r="U107" s="300">
        <f t="shared" si="12"/>
        <v>-1.823463998970945E-5</v>
      </c>
      <c r="X107" s="186" t="str">
        <f t="shared" si="13"/>
        <v>1D</v>
      </c>
      <c r="Y107" s="174">
        <f>_xll.qlCalendarAdvance(Calendar,Y106,X107,"f",FALSE)</f>
        <v>42069</v>
      </c>
      <c r="Z107" s="198">
        <f>_xll.qlCalendarAdvance(Calendar,Y107,NDays&amp;"D")</f>
        <v>42073</v>
      </c>
      <c r="AA107" s="173">
        <v>2.0787236283353644E-3</v>
      </c>
      <c r="AB107" s="182">
        <v>2.2432271692984784E-3</v>
      </c>
    </row>
    <row r="108" spans="13:28" x14ac:dyDescent="0.2">
      <c r="M108" s="303" t="str">
        <v>obj_00798#0000</v>
      </c>
      <c r="N108" s="186" t="str">
        <f>_xll.qlRateHelperQuoteName(M108)</f>
        <v>EUR2F13Y_Quote</v>
      </c>
      <c r="O108" s="174">
        <f>_xll.qlInterestRateIndexFixingDate(R108,_xll.qlRateHelperEarliestDate(M108,Trigger),)</f>
        <v>42675</v>
      </c>
      <c r="P108" s="201">
        <f>_xll.qlRateHelperQuoteValue(M108,_xll.ohTrigger(RecalcTrigger,YieldCurve))</f>
        <v>1.712E-2</v>
      </c>
      <c r="Q108" s="204" t="str">
        <f t="shared" si="14"/>
        <v>13Y</v>
      </c>
      <c r="R108" s="204" t="str">
        <f>_xll.qlSwapIndex(,"Euribor",Q108,NDays,Currency,Calendar,"1Y","mf","30/360 (Bond Basis)",IborIndex,Discounting,,_xll.ohTrigger(Trigger,RecalcTrigger))</f>
        <v>obj_009a2#0000</v>
      </c>
      <c r="S108" s="204" t="str">
        <f>_xll.qlVanillaSwapFromSwapIndex(,R108,O108)</f>
        <v>obj_00b7e#0000</v>
      </c>
      <c r="T108" s="191">
        <f>_xll.qlVanillaSwapFairRate(S108)</f>
        <v>1.7111772916085736E-2</v>
      </c>
      <c r="U108" s="300">
        <f t="shared" si="12"/>
        <v>-8.2270839142639662E-6</v>
      </c>
      <c r="X108" s="186" t="str">
        <f t="shared" si="13"/>
        <v>1D</v>
      </c>
      <c r="Y108" s="174">
        <f>_xll.qlCalendarAdvance(Calendar,Y107,X108,"f",FALSE)</f>
        <v>42072</v>
      </c>
      <c r="Z108" s="198">
        <f>_xll.qlCalendarAdvance(Calendar,Y108,NDays&amp;"D")</f>
        <v>42074</v>
      </c>
      <c r="AA108" s="173">
        <v>2.0785984871618535E-3</v>
      </c>
      <c r="AB108" s="182">
        <v>2.250732558808366E-3</v>
      </c>
    </row>
    <row r="109" spans="13:28" x14ac:dyDescent="0.2">
      <c r="M109" s="303" t="str">
        <v>obj_00891#0000</v>
      </c>
      <c r="N109" s="186" t="str">
        <f>_xll.qlRateHelperQuoteName(M109)</f>
        <v>EUR2F14Y_Quote</v>
      </c>
      <c r="O109" s="174">
        <f>_xll.qlInterestRateIndexFixingDate(R109,_xll.qlRateHelperEarliestDate(M109,Trigger),)</f>
        <v>42675</v>
      </c>
      <c r="P109" s="201">
        <f>_xll.qlRateHelperQuoteValue(M109,_xll.ohTrigger(RecalcTrigger,YieldCurve))</f>
        <v>1.7600000000000001E-2</v>
      </c>
      <c r="Q109" s="204" t="str">
        <f t="shared" si="14"/>
        <v>14Y</v>
      </c>
      <c r="R109" s="204" t="str">
        <f>_xll.qlSwapIndex(,"Euribor",Q109,NDays,Currency,Calendar,"1Y","mf","30/360 (Bond Basis)",IborIndex,Discounting,,_xll.ohTrigger(Trigger,RecalcTrigger))</f>
        <v>obj_009ff#0000</v>
      </c>
      <c r="S109" s="204" t="str">
        <f>_xll.qlVanillaSwapFromSwapIndex(,R109,O109)</f>
        <v>obj_00af1#0000</v>
      </c>
      <c r="T109" s="191">
        <f>_xll.qlVanillaSwapFairRate(S109)</f>
        <v>1.7587352669731982E-2</v>
      </c>
      <c r="U109" s="300">
        <f t="shared" si="12"/>
        <v>-1.2647330268018842E-5</v>
      </c>
      <c r="X109" s="186" t="str">
        <f t="shared" si="13"/>
        <v>1D</v>
      </c>
      <c r="Y109" s="174">
        <f>_xll.qlCalendarAdvance(Calendar,Y108,X109,"f",FALSE)</f>
        <v>42073</v>
      </c>
      <c r="Z109" s="198">
        <f>_xll.qlCalendarAdvance(Calendar,Y109,NDays&amp;"D")</f>
        <v>42075</v>
      </c>
      <c r="AA109" s="173">
        <v>2.080297929763658E-3</v>
      </c>
      <c r="AB109" s="182">
        <v>2.2575849289196981E-3</v>
      </c>
    </row>
    <row r="110" spans="13:28" x14ac:dyDescent="0.2">
      <c r="M110" s="303" t="str">
        <v>obj_007cc#0000</v>
      </c>
      <c r="N110" s="186" t="str">
        <f>_xll.qlRateHelperQuoteName(M110)</f>
        <v>EUR2F15Y_Quote</v>
      </c>
      <c r="O110" s="174">
        <f>_xll.qlInterestRateIndexFixingDate(R110,_xll.qlRateHelperEarliestDate(M110,Trigger),)</f>
        <v>42675</v>
      </c>
      <c r="P110" s="201">
        <f>_xll.qlRateHelperQuoteValue(M110,_xll.ohTrigger(RecalcTrigger,YieldCurve))</f>
        <v>1.8009999999999998E-2</v>
      </c>
      <c r="Q110" s="204" t="str">
        <f t="shared" si="14"/>
        <v>15Y</v>
      </c>
      <c r="R110" s="204" t="str">
        <f>_xll.qlSwapIndex(,"Euribor",Q110,NDays,Currency,Calendar,"1Y","mf","30/360 (Bond Basis)",IborIndex,Discounting,,_xll.ohTrigger(Trigger,RecalcTrigger))</f>
        <v>obj_00996#0000</v>
      </c>
      <c r="S110" s="204" t="str">
        <f>_xll.qlVanillaSwapFromSwapIndex(,R110,O110)</f>
        <v>obj_00b07#0000</v>
      </c>
      <c r="T110" s="191">
        <f>_xll.qlVanillaSwapFairRate(S110)</f>
        <v>1.7992861144540646E-2</v>
      </c>
      <c r="U110" s="300">
        <f t="shared" si="12"/>
        <v>-1.7138855459352537E-5</v>
      </c>
      <c r="X110" s="186" t="str">
        <f t="shared" si="13"/>
        <v>1D</v>
      </c>
      <c r="Y110" s="174">
        <f>_xll.qlCalendarAdvance(Calendar,Y109,X110,"f",FALSE)</f>
        <v>42074</v>
      </c>
      <c r="Z110" s="198">
        <f>_xll.qlCalendarAdvance(Calendar,Y110,NDays&amp;"D")</f>
        <v>42076</v>
      </c>
      <c r="AA110" s="173">
        <v>2.0793265820591459E-3</v>
      </c>
      <c r="AB110" s="182">
        <v>2.2691272399733009E-3</v>
      </c>
    </row>
    <row r="111" spans="13:28" x14ac:dyDescent="0.2">
      <c r="M111" s="303" t="str">
        <v>obj_00814#0000</v>
      </c>
      <c r="N111" s="186" t="str">
        <f>_xll.qlRateHelperQuoteName(M111)</f>
        <v>EUR2F20Y_Quote</v>
      </c>
      <c r="O111" s="174">
        <f>_xll.qlInterestRateIndexFixingDate(R111,_xll.qlRateHelperEarliestDate(M111,Trigger),)</f>
        <v>42675</v>
      </c>
      <c r="P111" s="201">
        <f>_xll.qlRateHelperQuoteValue(M111,_xll.ohTrigger(RecalcTrigger,YieldCurve))</f>
        <v>1.9189999999999999E-2</v>
      </c>
      <c r="Q111" s="204" t="str">
        <f t="shared" si="14"/>
        <v>20Y</v>
      </c>
      <c r="R111" s="204" t="str">
        <f>_xll.qlSwapIndex(,"Euribor",Q111,NDays,Currency,Calendar,"1Y","mf","30/360 (Bond Basis)",IborIndex,Discounting,,_xll.ohTrigger(Trigger,RecalcTrigger))</f>
        <v>obj_009b7#0000</v>
      </c>
      <c r="S111" s="204" t="str">
        <f>_xll.qlVanillaSwapFromSwapIndex(,R111,O111)</f>
        <v>obj_00af8#0000</v>
      </c>
      <c r="T111" s="191">
        <f>_xll.qlVanillaSwapFairRate(S111)</f>
        <v>1.9186220011521076E-2</v>
      </c>
      <c r="U111" s="300">
        <f t="shared" si="12"/>
        <v>-3.7799884789226079E-6</v>
      </c>
      <c r="X111" s="186" t="str">
        <f t="shared" si="13"/>
        <v>1D</v>
      </c>
      <c r="Y111" s="174">
        <f>_xll.qlCalendarAdvance(Calendar,Y110,X111,"f",FALSE)</f>
        <v>42075</v>
      </c>
      <c r="Z111" s="198">
        <f>_xll.qlCalendarAdvance(Calendar,Y111,NDays&amp;"D")</f>
        <v>42079</v>
      </c>
      <c r="AA111" s="173">
        <v>2.0781936703761087E-3</v>
      </c>
      <c r="AB111" s="182">
        <v>2.2784642143403033E-3</v>
      </c>
    </row>
    <row r="112" spans="13:28" x14ac:dyDescent="0.2">
      <c r="M112" s="303" t="str">
        <v>obj_00879#0000</v>
      </c>
      <c r="N112" s="186" t="str">
        <f>_xll.qlRateHelperQuoteName(M112)</f>
        <v>EUR2F25Y_Quote</v>
      </c>
      <c r="O112" s="174">
        <f>_xll.qlInterestRateIndexFixingDate(R112,_xll.qlRateHelperEarliestDate(M112,Trigger),)</f>
        <v>42675</v>
      </c>
      <c r="P112" s="201">
        <f>_xll.qlRateHelperQuoteValue(M112,_xll.ohTrigger(RecalcTrigger,YieldCurve))</f>
        <v>1.9539999999999998E-2</v>
      </c>
      <c r="Q112" s="204" t="str">
        <f t="shared" si="14"/>
        <v>25Y</v>
      </c>
      <c r="R112" s="204" t="str">
        <f>_xll.qlSwapIndex(,"Euribor",Q112,NDays,Currency,Calendar,"1Y","mf","30/360 (Bond Basis)",IborIndex,Discounting,,_xll.ohTrigger(Trigger,RecalcTrigger))</f>
        <v>obj_00914#0000</v>
      </c>
      <c r="S112" s="204" t="str">
        <f>_xll.qlVanillaSwapFromSwapIndex(,R112,O112)</f>
        <v>obj_00ac6#0000</v>
      </c>
      <c r="T112" s="191">
        <f>_xll.qlVanillaSwapFairRate(S112)</f>
        <v>1.9529223980454879E-2</v>
      </c>
      <c r="U112" s="300">
        <f t="shared" si="12"/>
        <v>-1.0776019545119531E-5</v>
      </c>
      <c r="X112" s="186" t="str">
        <f t="shared" si="13"/>
        <v>1D</v>
      </c>
      <c r="Y112" s="174">
        <f>_xll.qlCalendarAdvance(Calendar,Y111,X112,"f",FALSE)</f>
        <v>42076</v>
      </c>
      <c r="Z112" s="198">
        <f>_xll.qlCalendarAdvance(Calendar,Y112,NDays&amp;"D")</f>
        <v>42080</v>
      </c>
      <c r="AA112" s="173">
        <v>2.0781575738516435E-3</v>
      </c>
      <c r="AB112" s="182">
        <v>2.2820514868993058E-3</v>
      </c>
    </row>
    <row r="113" spans="13:28" ht="12" thickBot="1" x14ac:dyDescent="0.25">
      <c r="M113" s="304" t="str">
        <v>obj_00864#0000</v>
      </c>
      <c r="N113" s="187" t="str">
        <f>_xll.qlRateHelperQuoteName(M113)</f>
        <v>EUR2F30Y_Quote</v>
      </c>
      <c r="O113" s="184">
        <f>_xll.qlInterestRateIndexFixingDate(R113,_xll.qlRateHelperEarliestDate(M113,Trigger),)</f>
        <v>42675</v>
      </c>
      <c r="P113" s="202">
        <f>_xll.qlRateHelperQuoteValue(M113,_xll.ohTrigger(RecalcTrigger,YieldCurve))</f>
        <v>1.966E-2</v>
      </c>
      <c r="Q113" s="205" t="str">
        <f t="shared" si="14"/>
        <v>30Y</v>
      </c>
      <c r="R113" s="205" t="str">
        <f>_xll.qlSwapIndex(,"Euribor",Q113,NDays,Currency,Calendar,"1Y","mf","30/360 (Bond Basis)",IborIndex,Discounting,,_xll.ohTrigger(Trigger,RecalcTrigger))</f>
        <v>obj_009e9#0000</v>
      </c>
      <c r="S113" s="205" t="str">
        <f>_xll.qlVanillaSwapFromSwapIndex(,R113,O113)</f>
        <v>obj_00a38#0000</v>
      </c>
      <c r="T113" s="193">
        <f>_xll.qlVanillaSwapFairRate(S113)</f>
        <v>1.965496717206492E-2</v>
      </c>
      <c r="U113" s="301">
        <f t="shared" si="12"/>
        <v>-5.0328279350801697E-6</v>
      </c>
      <c r="X113" s="186" t="str">
        <f t="shared" si="13"/>
        <v>1D</v>
      </c>
      <c r="Y113" s="174">
        <f>_xll.qlCalendarAdvance(Calendar,Y112,X113,"f",FALSE)</f>
        <v>42079</v>
      </c>
      <c r="Z113" s="198">
        <f>_xll.qlCalendarAdvance(Calendar,Y113,NDays&amp;"D")</f>
        <v>42081</v>
      </c>
      <c r="AA113" s="173">
        <v>2.0781366626128161E-3</v>
      </c>
      <c r="AB113" s="182">
        <v>2.2849857396600726E-3</v>
      </c>
    </row>
    <row r="114" spans="13:28" x14ac:dyDescent="0.2">
      <c r="M114" s="305" t="str">
        <v>obj_007ae#0000</v>
      </c>
      <c r="N114" s="289" t="str">
        <f>_xll.qlRateHelperQuoteName(M114)</f>
        <v>EUR3F1Y_Quote</v>
      </c>
      <c r="O114" s="286">
        <f>_xll.qlInterestRateIndexFixingDate(R114,_xll.qlRateHelperEarliestDate(M114,Trigger),)</f>
        <v>43040</v>
      </c>
      <c r="P114" s="287">
        <f>_xll.qlRateHelperQuoteValue(M114,_xll.ohTrigger(RecalcTrigger,YieldCurve))</f>
        <v>6.3E-3</v>
      </c>
      <c r="Q114" s="285" t="str">
        <f t="shared" ref="Q114:Q131" si="15">SUBSTITUTE(SUBSTITUTE(N114,"_Quote",""),"EUR3F","")</f>
        <v>1Y</v>
      </c>
      <c r="R114" s="285" t="str">
        <f>_xll.qlSwapIndex(,"Euribor",Q114,NDays,Currency,Calendar,"1Y","mf","30/360 (Bond Basis)",IborIndex,Discounting,,_xll.ohTrigger(Trigger,RecalcTrigger))</f>
        <v>obj_00a1c#0000</v>
      </c>
      <c r="S114" s="285" t="str">
        <f>_xll.qlVanillaSwapFromSwapIndex(,R114,O114)</f>
        <v>obj_00aa2#0000</v>
      </c>
      <c r="T114" s="288">
        <f>_xll.qlVanillaSwapFairRate(S114)</f>
        <v>6.2846542769364067E-3</v>
      </c>
      <c r="U114" s="302">
        <f t="shared" si="12"/>
        <v>-1.5345723063593317E-5</v>
      </c>
      <c r="X114" s="186" t="str">
        <f t="shared" si="13"/>
        <v>1D</v>
      </c>
      <c r="Y114" s="174">
        <f>_xll.qlCalendarAdvance(Calendar,Y113,X114,"f",FALSE)</f>
        <v>42080</v>
      </c>
      <c r="Z114" s="198">
        <f>_xll.qlCalendarAdvance(Calendar,Y114,NDays&amp;"D")</f>
        <v>42082</v>
      </c>
      <c r="AA114" s="173">
        <v>2.0804493870104023E-3</v>
      </c>
      <c r="AB114" s="182">
        <v>2.2872669729423478E-3</v>
      </c>
    </row>
    <row r="115" spans="13:28" x14ac:dyDescent="0.2">
      <c r="M115" s="303" t="str">
        <v>obj_007af#0000</v>
      </c>
      <c r="N115" s="186" t="str">
        <f>_xll.qlRateHelperQuoteName(M115)</f>
        <v>EUR3F2Y_Quote</v>
      </c>
      <c r="O115" s="174">
        <f>_xll.qlInterestRateIndexFixingDate(R115,_xll.qlRateHelperEarliestDate(M115,Trigger),)</f>
        <v>43040</v>
      </c>
      <c r="P115" s="201">
        <f>_xll.qlRateHelperQuoteValue(M115,_xll.ohTrigger(RecalcTrigger,YieldCurve))</f>
        <v>7.62E-3</v>
      </c>
      <c r="Q115" s="204" t="str">
        <f t="shared" si="15"/>
        <v>2Y</v>
      </c>
      <c r="R115" s="204" t="str">
        <f>_xll.qlSwapIndex(,"Euribor",Q115,NDays,Currency,Calendar,"1Y","mf","30/360 (Bond Basis)",IborIndex,Discounting,,_xll.ohTrigger(Trigger,RecalcTrigger))</f>
        <v>obj_00940#0000</v>
      </c>
      <c r="S115" s="204" t="str">
        <f>_xll.qlVanillaSwapFromSwapIndex(,R115,O115)</f>
        <v>obj_00b95#0000</v>
      </c>
      <c r="T115" s="191">
        <f>_xll.qlVanillaSwapFairRate(S115)</f>
        <v>7.6180550790117237E-3</v>
      </c>
      <c r="U115" s="300">
        <f t="shared" si="12"/>
        <v>-1.9449209882763455E-6</v>
      </c>
      <c r="X115" s="186" t="str">
        <f t="shared" si="13"/>
        <v>1D</v>
      </c>
      <c r="Y115" s="174">
        <f>_xll.qlCalendarAdvance(Calendar,Y114,X115,"f",FALSE)</f>
        <v>42081</v>
      </c>
      <c r="Z115" s="198">
        <f>_xll.qlCalendarAdvance(Calendar,Y115,NDays&amp;"D")</f>
        <v>42083</v>
      </c>
      <c r="AA115" s="173">
        <v>2.079318243124414E-3</v>
      </c>
      <c r="AB115" s="182">
        <v>2.2896672699168619E-3</v>
      </c>
    </row>
    <row r="116" spans="13:28" x14ac:dyDescent="0.2">
      <c r="M116" s="303" t="str">
        <v>obj_007f1#0000</v>
      </c>
      <c r="N116" s="186" t="str">
        <f>_xll.qlRateHelperQuoteName(M116)</f>
        <v>EUR3F3Y_Quote</v>
      </c>
      <c r="O116" s="174">
        <f>_xll.qlInterestRateIndexFixingDate(R116,_xll.qlRateHelperEarliestDate(M116,Trigger),)</f>
        <v>43040</v>
      </c>
      <c r="P116" s="201">
        <f>_xll.qlRateHelperQuoteValue(M116,_xll.ohTrigger(RecalcTrigger,YieldCurve))</f>
        <v>9.0000000000000011E-3</v>
      </c>
      <c r="Q116" s="204" t="str">
        <f t="shared" si="15"/>
        <v>3Y</v>
      </c>
      <c r="R116" s="204" t="str">
        <f>_xll.qlSwapIndex(,"Euribor",Q116,NDays,Currency,Calendar,"1Y","mf","30/360 (Bond Basis)",IborIndex,Discounting,,_xll.ohTrigger(Trigger,RecalcTrigger))</f>
        <v>obj_00951#0000</v>
      </c>
      <c r="S116" s="204" t="str">
        <f>_xll.qlVanillaSwapFromSwapIndex(,R116,O116)</f>
        <v>obj_00b44#0000</v>
      </c>
      <c r="T116" s="191">
        <f>_xll.qlVanillaSwapFairRate(S116)</f>
        <v>8.999337176037462E-3</v>
      </c>
      <c r="U116" s="300">
        <f t="shared" si="12"/>
        <v>-6.6282396253905529E-7</v>
      </c>
      <c r="X116" s="186" t="str">
        <f t="shared" si="13"/>
        <v>1D</v>
      </c>
      <c r="Y116" s="174">
        <f>_xll.qlCalendarAdvance(Calendar,Y115,X116,"f",FALSE)</f>
        <v>42082</v>
      </c>
      <c r="Z116" s="198">
        <f>_xll.qlCalendarAdvance(Calendar,Y116,NDays&amp;"D")</f>
        <v>42086</v>
      </c>
      <c r="AA116" s="173">
        <v>2.0782633308343798E-3</v>
      </c>
      <c r="AB116" s="182">
        <v>2.2898617096078766E-3</v>
      </c>
    </row>
    <row r="117" spans="13:28" x14ac:dyDescent="0.2">
      <c r="M117" s="303" t="str">
        <v>obj_0076a#0000</v>
      </c>
      <c r="N117" s="186" t="str">
        <f>_xll.qlRateHelperQuoteName(M117)</f>
        <v>EUR3F4Y_Quote</v>
      </c>
      <c r="O117" s="174">
        <f>_xll.qlInterestRateIndexFixingDate(R117,_xll.qlRateHelperEarliestDate(M117,Trigger),)</f>
        <v>43040</v>
      </c>
      <c r="P117" s="201">
        <f>_xll.qlRateHelperQuoteValue(M117,_xll.ohTrigger(RecalcTrigger,YieldCurve))</f>
        <v>1.0500000000000001E-2</v>
      </c>
      <c r="Q117" s="204" t="str">
        <f t="shared" si="15"/>
        <v>4Y</v>
      </c>
      <c r="R117" s="204" t="str">
        <f>_xll.qlSwapIndex(,"Euribor",Q117,NDays,Currency,Calendar,"1Y","mf","30/360 (Bond Basis)",IborIndex,Discounting,,_xll.ohTrigger(Trigger,RecalcTrigger))</f>
        <v>obj_00929#0000</v>
      </c>
      <c r="S117" s="204" t="str">
        <f>_xll.qlVanillaSwapFromSwapIndex(,R117,O117)</f>
        <v>obj_00b09#0000</v>
      </c>
      <c r="T117" s="191">
        <f>_xll.qlVanillaSwapFairRate(S117)</f>
        <v>1.0501839103726575E-2</v>
      </c>
      <c r="U117" s="300">
        <f t="shared" si="12"/>
        <v>1.8391037265742122E-6</v>
      </c>
      <c r="X117" s="186" t="str">
        <f t="shared" si="13"/>
        <v>1D</v>
      </c>
      <c r="Y117" s="174">
        <f>_xll.qlCalendarAdvance(Calendar,Y116,X117,"f",FALSE)</f>
        <v>42083</v>
      </c>
      <c r="Z117" s="198">
        <f>_xll.qlCalendarAdvance(Calendar,Y117,NDays&amp;"D")</f>
        <v>42087</v>
      </c>
      <c r="AA117" s="173">
        <v>2.078335598396749E-3</v>
      </c>
      <c r="AB117" s="182">
        <v>2.2888778446183977E-3</v>
      </c>
    </row>
    <row r="118" spans="13:28" x14ac:dyDescent="0.2">
      <c r="M118" s="303" t="str">
        <v>obj_00770#0000</v>
      </c>
      <c r="N118" s="186" t="str">
        <f>_xll.qlRateHelperQuoteName(M118)</f>
        <v>EUR3F5Y_Quote</v>
      </c>
      <c r="O118" s="174">
        <f>_xll.qlInterestRateIndexFixingDate(R118,_xll.qlRateHelperEarliestDate(M118,Trigger),)</f>
        <v>43040</v>
      </c>
      <c r="P118" s="201">
        <f>_xll.qlRateHelperQuoteValue(M118,_xll.ohTrigger(RecalcTrigger,YieldCurve))</f>
        <v>1.1990000000000001E-2</v>
      </c>
      <c r="Q118" s="204" t="str">
        <f t="shared" si="15"/>
        <v>5Y</v>
      </c>
      <c r="R118" s="204" t="str">
        <f>_xll.qlSwapIndex(,"Euribor",Q118,NDays,Currency,Calendar,"1Y","mf","30/360 (Bond Basis)",IborIndex,Discounting,,_xll.ohTrigger(Trigger,RecalcTrigger))</f>
        <v>obj_00905#0000</v>
      </c>
      <c r="S118" s="204" t="str">
        <f>_xll.qlVanillaSwapFromSwapIndex(,R118,O118)</f>
        <v>obj_00ad2#0000</v>
      </c>
      <c r="T118" s="191">
        <f>_xll.qlVanillaSwapFairRate(S118)</f>
        <v>1.1990862252811343E-2</v>
      </c>
      <c r="U118" s="300">
        <f t="shared" si="12"/>
        <v>8.6225281134208465E-7</v>
      </c>
      <c r="X118" s="186" t="str">
        <f t="shared" si="13"/>
        <v>1D</v>
      </c>
      <c r="Y118" s="174">
        <f>_xll.qlCalendarAdvance(Calendar,Y117,X118,"f",FALSE)</f>
        <v>42086</v>
      </c>
      <c r="Z118" s="198">
        <f>_xll.qlCalendarAdvance(Calendar,Y118,NDays&amp;"D")</f>
        <v>42088</v>
      </c>
      <c r="AA118" s="173">
        <v>2.0784237402779343E-3</v>
      </c>
      <c r="AB118" s="182">
        <v>2.2872409599905552E-3</v>
      </c>
    </row>
    <row r="119" spans="13:28" x14ac:dyDescent="0.2">
      <c r="M119" s="303" t="str">
        <v>obj_00808#0000</v>
      </c>
      <c r="N119" s="186" t="str">
        <f>_xll.qlRateHelperQuoteName(M119)</f>
        <v>EUR3F6Y_Quote</v>
      </c>
      <c r="O119" s="174">
        <f>_xll.qlInterestRateIndexFixingDate(R119,_xll.qlRateHelperEarliestDate(M119,Trigger),)</f>
        <v>43040</v>
      </c>
      <c r="P119" s="201">
        <f>_xll.qlRateHelperQuoteValue(M119,_xll.ohTrigger(RecalcTrigger,YieldCurve))</f>
        <v>1.3340000000000001E-2</v>
      </c>
      <c r="Q119" s="204" t="str">
        <f t="shared" si="15"/>
        <v>6Y</v>
      </c>
      <c r="R119" s="204" t="str">
        <f>_xll.qlSwapIndex(,"Euribor",Q119,NDays,Currency,Calendar,"1Y","mf","30/360 (Bond Basis)",IborIndex,Discounting,,_xll.ohTrigger(Trigger,RecalcTrigger))</f>
        <v>obj_00907#0000</v>
      </c>
      <c r="S119" s="204" t="str">
        <f>_xll.qlVanillaSwapFromSwapIndex(,R119,O119)</f>
        <v>obj_00ab6#0000</v>
      </c>
      <c r="T119" s="191">
        <f>_xll.qlVanillaSwapFairRate(S119)</f>
        <v>1.3343794349367942E-2</v>
      </c>
      <c r="U119" s="300">
        <f t="shared" si="12"/>
        <v>3.7943493679404999E-6</v>
      </c>
      <c r="X119" s="186" t="str">
        <f t="shared" si="13"/>
        <v>1D</v>
      </c>
      <c r="Y119" s="174">
        <f>_xll.qlCalendarAdvance(Calendar,Y118,X119,"f",FALSE)</f>
        <v>42087</v>
      </c>
      <c r="Z119" s="198">
        <f>_xll.qlCalendarAdvance(Calendar,Y119,NDays&amp;"D")</f>
        <v>42089</v>
      </c>
      <c r="AA119" s="173">
        <v>2.0810115856627655E-3</v>
      </c>
      <c r="AB119" s="182">
        <v>2.2849510558042851E-3</v>
      </c>
    </row>
    <row r="120" spans="13:28" x14ac:dyDescent="0.2">
      <c r="M120" s="303" t="str">
        <v>obj_007a7#0000</v>
      </c>
      <c r="N120" s="186" t="str">
        <f>_xll.qlRateHelperQuoteName(M120)</f>
        <v>EUR3F7Y_Quote</v>
      </c>
      <c r="O120" s="174">
        <f>_xll.qlInterestRateIndexFixingDate(R120,_xll.qlRateHelperEarliestDate(M120,Trigger),)</f>
        <v>43040</v>
      </c>
      <c r="P120" s="201">
        <f>_xll.qlRateHelperQuoteValue(M120,_xll.ohTrigger(RecalcTrigger,YieldCurve))</f>
        <v>1.4539999999999999E-2</v>
      </c>
      <c r="Q120" s="204" t="str">
        <f t="shared" si="15"/>
        <v>7Y</v>
      </c>
      <c r="R120" s="204" t="str">
        <f>_xll.qlSwapIndex(,"Euribor",Q120,NDays,Currency,Calendar,"1Y","mf","30/360 (Bond Basis)",IborIndex,Discounting,,_xll.ohTrigger(Trigger,RecalcTrigger))</f>
        <v>obj_0099a#0000</v>
      </c>
      <c r="S120" s="204" t="str">
        <f>_xll.qlVanillaSwapFromSwapIndex(,R120,O120)</f>
        <v>obj_00b40#0000</v>
      </c>
      <c r="T120" s="191">
        <f>_xll.qlVanillaSwapFairRate(S120)</f>
        <v>1.4534762173154922E-2</v>
      </c>
      <c r="U120" s="300">
        <f t="shared" si="12"/>
        <v>-5.2378268450767318E-6</v>
      </c>
      <c r="X120" s="186" t="str">
        <f t="shared" si="13"/>
        <v>1D</v>
      </c>
      <c r="Y120" s="174">
        <f>_xll.qlCalendarAdvance(Calendar,Y119,X120,"f",FALSE)</f>
        <v>42088</v>
      </c>
      <c r="Z120" s="198">
        <f>_xll.qlCalendarAdvance(Calendar,Y120,NDays&amp;"D")</f>
        <v>42090</v>
      </c>
      <c r="AA120" s="173">
        <v>2.0798960088688504E-3</v>
      </c>
      <c r="AB120" s="182">
        <v>2.2782089325179555E-3</v>
      </c>
    </row>
    <row r="121" spans="13:28" x14ac:dyDescent="0.2">
      <c r="M121" s="303" t="str">
        <v>obj_007b7#0000</v>
      </c>
      <c r="N121" s="186" t="str">
        <f>_xll.qlRateHelperQuoteName(M121)</f>
        <v>EUR3F8Y_Quote</v>
      </c>
      <c r="O121" s="174">
        <f>_xll.qlInterestRateIndexFixingDate(R121,_xll.qlRateHelperEarliestDate(M121,Trigger),)</f>
        <v>43040</v>
      </c>
      <c r="P121" s="201">
        <f>_xll.qlRateHelperQuoteValue(M121,_xll.ohTrigger(RecalcTrigger,YieldCurve))</f>
        <v>1.5560000000000001E-2</v>
      </c>
      <c r="Q121" s="204" t="str">
        <f t="shared" si="15"/>
        <v>8Y</v>
      </c>
      <c r="R121" s="204" t="str">
        <f>_xll.qlSwapIndex(,"Euribor",Q121,NDays,Currency,Calendar,"1Y","mf","30/360 (Bond Basis)",IborIndex,Discounting,,_xll.ohTrigger(Trigger,RecalcTrigger))</f>
        <v>obj_009ab#0000</v>
      </c>
      <c r="S121" s="204" t="str">
        <f>_xll.qlVanillaSwapFromSwapIndex(,R121,O121)</f>
        <v>obj_00abd#0000</v>
      </c>
      <c r="T121" s="191">
        <f>_xll.qlVanillaSwapFairRate(S121)</f>
        <v>1.5553261806805333E-2</v>
      </c>
      <c r="U121" s="300">
        <f t="shared" si="12"/>
        <v>-6.7381931946677853E-6</v>
      </c>
      <c r="X121" s="186" t="str">
        <f t="shared" si="13"/>
        <v>1D</v>
      </c>
      <c r="Y121" s="174">
        <f>_xll.qlCalendarAdvance(Calendar,Y120,X121,"f",FALSE)</f>
        <v>42089</v>
      </c>
      <c r="Z121" s="198">
        <f>_xll.qlCalendarAdvance(Calendar,Y121,NDays&amp;"D")</f>
        <v>42093</v>
      </c>
      <c r="AA121" s="173">
        <v>2.0791060097071481E-3</v>
      </c>
      <c r="AB121" s="182">
        <v>2.2692612429153769E-3</v>
      </c>
    </row>
    <row r="122" spans="13:28" x14ac:dyDescent="0.2">
      <c r="M122" s="303" t="str">
        <v>obj_0082e#0000</v>
      </c>
      <c r="N122" s="186" t="str">
        <f>_xll.qlRateHelperQuoteName(M122)</f>
        <v>EUR3F9Y_Quote</v>
      </c>
      <c r="O122" s="174">
        <f>_xll.qlInterestRateIndexFixingDate(R122,_xll.qlRateHelperEarliestDate(M122,Trigger),)</f>
        <v>43040</v>
      </c>
      <c r="P122" s="201">
        <f>_xll.qlRateHelperQuoteValue(M122,_xll.ohTrigger(RecalcTrigger,YieldCurve))</f>
        <v>1.6420000000000001E-2</v>
      </c>
      <c r="Q122" s="204" t="str">
        <f t="shared" si="15"/>
        <v>9Y</v>
      </c>
      <c r="R122" s="204" t="str">
        <f>_xll.qlSwapIndex(,"Euribor",Q122,NDays,Currency,Calendar,"1Y","mf","30/360 (Bond Basis)",IborIndex,Discounting,,_xll.ohTrigger(Trigger,RecalcTrigger))</f>
        <v>obj_008f5#0000</v>
      </c>
      <c r="S122" s="204" t="str">
        <f>_xll.qlVanillaSwapFromSwapIndex(,R122,O122)</f>
        <v>obj_00a6e#0000</v>
      </c>
      <c r="T122" s="191">
        <f>_xll.qlVanillaSwapFairRate(S122)</f>
        <v>1.6424034190126287E-2</v>
      </c>
      <c r="U122" s="300">
        <f t="shared" si="12"/>
        <v>4.0341901262862245E-6</v>
      </c>
      <c r="X122" s="186" t="str">
        <f t="shared" si="13"/>
        <v>1D</v>
      </c>
      <c r="Y122" s="174">
        <f>_xll.qlCalendarAdvance(Calendar,Y121,X122,"f",FALSE)</f>
        <v>42090</v>
      </c>
      <c r="Z122" s="198">
        <f>_xll.qlCalendarAdvance(Calendar,Y122,NDays&amp;"D")</f>
        <v>42094</v>
      </c>
      <c r="AA122" s="173">
        <v>2.0780538110529933E-3</v>
      </c>
      <c r="AB122" s="182">
        <v>2.2637062407770969E-3</v>
      </c>
    </row>
    <row r="123" spans="13:28" x14ac:dyDescent="0.2">
      <c r="M123" s="303" t="str">
        <v>obj_007bc#0000</v>
      </c>
      <c r="N123" s="186" t="str">
        <f>_xll.qlRateHelperQuoteName(M123)</f>
        <v>EUR3F10Y_Quote</v>
      </c>
      <c r="O123" s="174">
        <f>_xll.qlInterestRateIndexFixingDate(R123,_xll.qlRateHelperEarliestDate(M123,Trigger),)</f>
        <v>43040</v>
      </c>
      <c r="P123" s="201">
        <f>_xll.qlRateHelperQuoteValue(M123,_xll.ohTrigger(RecalcTrigger,YieldCurve))</f>
        <v>1.7159999999999998E-2</v>
      </c>
      <c r="Q123" s="204" t="str">
        <f t="shared" si="15"/>
        <v>10Y</v>
      </c>
      <c r="R123" s="204" t="str">
        <f>_xll.qlSwapIndex(,"Euribor",Q123,NDays,Currency,Calendar,"1Y","mf","30/360 (Bond Basis)",IborIndex,Discounting,,_xll.ohTrigger(Trigger,RecalcTrigger))</f>
        <v>obj_009de#0000</v>
      </c>
      <c r="S123" s="204" t="str">
        <f>_xll.qlVanillaSwapFromSwapIndex(,R123,O123)</f>
        <v>obj_00aa9#0000</v>
      </c>
      <c r="T123" s="191">
        <f>_xll.qlVanillaSwapFairRate(S123)</f>
        <v>1.7152217209414785E-2</v>
      </c>
      <c r="U123" s="300">
        <f t="shared" si="12"/>
        <v>-7.7827905852131951E-6</v>
      </c>
      <c r="X123" s="186" t="str">
        <f t="shared" si="13"/>
        <v>1D</v>
      </c>
      <c r="Y123" s="174">
        <f>_xll.qlCalendarAdvance(Calendar,Y122,X123,"f",FALSE)</f>
        <v>42093</v>
      </c>
      <c r="Z123" s="198">
        <f>_xll.qlCalendarAdvance(Calendar,Y123,NDays&amp;"D")</f>
        <v>42095</v>
      </c>
      <c r="AA123" s="173">
        <v>2.0782706653173747E-3</v>
      </c>
      <c r="AB123" s="182">
        <v>2.2574982191603254E-3</v>
      </c>
    </row>
    <row r="124" spans="13:28" x14ac:dyDescent="0.2">
      <c r="M124" s="303" t="str">
        <v>obj_0085a#0000</v>
      </c>
      <c r="N124" s="186" t="str">
        <f>_xll.qlRateHelperQuoteName(M124)</f>
        <v>EUR3F11Y_Quote</v>
      </c>
      <c r="O124" s="174">
        <f>_xll.qlInterestRateIndexFixingDate(R124,_xll.qlRateHelperEarliestDate(M124,Trigger),)</f>
        <v>43040</v>
      </c>
      <c r="P124" s="201">
        <f>_xll.qlRateHelperQuoteValue(M124,_xll.ohTrigger(RecalcTrigger,YieldCurve))</f>
        <v>1.7780000000000001E-2</v>
      </c>
      <c r="Q124" s="204" t="str">
        <f t="shared" si="15"/>
        <v>11Y</v>
      </c>
      <c r="R124" s="204" t="str">
        <f>_xll.qlSwapIndex(,"Euribor",Q124,NDays,Currency,Calendar,"1Y","mf","30/360 (Bond Basis)",IborIndex,Discounting,,_xll.ohTrigger(Trigger,RecalcTrigger))</f>
        <v>obj_009bb#0000</v>
      </c>
      <c r="S124" s="204" t="str">
        <f>_xll.qlVanillaSwapFromSwapIndex(,R124,O124)</f>
        <v>obj_00aac#0000</v>
      </c>
      <c r="T124" s="191">
        <f>_xll.qlVanillaSwapFairRate(S124)</f>
        <v>1.776937026045616E-2</v>
      </c>
      <c r="U124" s="300">
        <f t="shared" si="12"/>
        <v>-1.0629739543840944E-5</v>
      </c>
      <c r="X124" s="186" t="str">
        <f t="shared" si="13"/>
        <v>1D</v>
      </c>
      <c r="Y124" s="174">
        <f>_xll.qlCalendarAdvance(Calendar,Y123,X124,"f",FALSE)</f>
        <v>42094</v>
      </c>
      <c r="Z124" s="198">
        <f>_xll.qlCalendarAdvance(Calendar,Y124,NDays&amp;"D")</f>
        <v>42096</v>
      </c>
      <c r="AA124" s="173">
        <v>2.0785077455272648E-3</v>
      </c>
      <c r="AB124" s="182">
        <v>2.2343307522554312E-3</v>
      </c>
    </row>
    <row r="125" spans="13:28" x14ac:dyDescent="0.2">
      <c r="M125" s="303" t="str">
        <v>obj_007fd#0000</v>
      </c>
      <c r="N125" s="186" t="str">
        <f>_xll.qlRateHelperQuoteName(M125)</f>
        <v>EUR3F12Y_Quote</v>
      </c>
      <c r="O125" s="174">
        <f>_xll.qlInterestRateIndexFixingDate(R125,_xll.qlRateHelperEarliestDate(M125,Trigger),)</f>
        <v>43040</v>
      </c>
      <c r="P125" s="201">
        <f>_xll.qlRateHelperQuoteValue(M125,_xll.ohTrigger(RecalcTrigger,YieldCurve))</f>
        <v>1.8290000000000001E-2</v>
      </c>
      <c r="Q125" s="204" t="str">
        <f t="shared" si="15"/>
        <v>12Y</v>
      </c>
      <c r="R125" s="204" t="str">
        <f>_xll.qlSwapIndex(,"Euribor",Q125,NDays,Currency,Calendar,"1Y","mf","30/360 (Bond Basis)",IborIndex,Discounting,,_xll.ohTrigger(Trigger,RecalcTrigger))</f>
        <v>obj_00982#0000</v>
      </c>
      <c r="S125" s="204" t="str">
        <f>_xll.qlVanillaSwapFromSwapIndex(,R125,O125)</f>
        <v>obj_00b75#0000</v>
      </c>
      <c r="T125" s="191">
        <f>_xll.qlVanillaSwapFairRate(S125)</f>
        <v>1.8288568438999748E-2</v>
      </c>
      <c r="U125" s="300">
        <f t="shared" si="12"/>
        <v>-1.4315610002528512E-6</v>
      </c>
      <c r="X125" s="186" t="str">
        <f t="shared" si="13"/>
        <v>1D</v>
      </c>
      <c r="Y125" s="174">
        <f>_xll.qlCalendarAdvance(Calendar,Y124,X125,"f",FALSE)</f>
        <v>42095</v>
      </c>
      <c r="Z125" s="198">
        <f>_xll.qlCalendarAdvance(Calendar,Y125,NDays&amp;"D")</f>
        <v>42101</v>
      </c>
      <c r="AA125" s="173">
        <v>2.0799999999998233E-3</v>
      </c>
      <c r="AB125" s="182">
        <v>2.2066882142368627E-3</v>
      </c>
    </row>
    <row r="126" spans="13:28" x14ac:dyDescent="0.2">
      <c r="M126" s="303" t="str">
        <v>obj_00889#0000</v>
      </c>
      <c r="N126" s="186" t="str">
        <f>_xll.qlRateHelperQuoteName(M126)</f>
        <v>EUR3F13Y_Quote</v>
      </c>
      <c r="O126" s="174">
        <f>_xll.qlInterestRateIndexFixingDate(R126,_xll.qlRateHelperEarliestDate(M126,Trigger),)</f>
        <v>43040</v>
      </c>
      <c r="P126" s="201">
        <f>_xll.qlRateHelperQuoteValue(M126,_xll.ohTrigger(RecalcTrigger,YieldCurve))</f>
        <v>1.873E-2</v>
      </c>
      <c r="Q126" s="204" t="str">
        <f t="shared" si="15"/>
        <v>13Y</v>
      </c>
      <c r="R126" s="204" t="str">
        <f>_xll.qlSwapIndex(,"Euribor",Q126,NDays,Currency,Calendar,"1Y","mf","30/360 (Bond Basis)",IborIndex,Discounting,,_xll.ohTrigger(Trigger,RecalcTrigger))</f>
        <v>obj_0096e#0000</v>
      </c>
      <c r="S126" s="204" t="str">
        <f>_xll.qlVanillaSwapFromSwapIndex(,R126,O126)</f>
        <v>obj_00b16#0000</v>
      </c>
      <c r="T126" s="191">
        <f>_xll.qlVanillaSwapFairRate(S126)</f>
        <v>1.8724407080687011E-2</v>
      </c>
      <c r="U126" s="300">
        <f t="shared" si="12"/>
        <v>-5.5929193129890253E-6</v>
      </c>
      <c r="X126" s="186" t="str">
        <f t="shared" si="13"/>
        <v>1D</v>
      </c>
      <c r="Y126" s="174">
        <f>_xll.qlCalendarAdvance(Calendar,Y125,X126,"f",FALSE)</f>
        <v>42096</v>
      </c>
      <c r="Z126" s="198">
        <f>_xll.qlCalendarAdvance(Calendar,Y126,NDays&amp;"D")</f>
        <v>42102</v>
      </c>
      <c r="AA126" s="173">
        <v>2.0803601495261999E-3</v>
      </c>
      <c r="AB126" s="182">
        <v>2.1968182501908018E-3</v>
      </c>
    </row>
    <row r="127" spans="13:28" x14ac:dyDescent="0.2">
      <c r="M127" s="303" t="str">
        <v>obj_00860#0000</v>
      </c>
      <c r="N127" s="186" t="str">
        <f>_xll.qlRateHelperQuoteName(M127)</f>
        <v>EUR3F14Y_Quote</v>
      </c>
      <c r="O127" s="174">
        <f>_xll.qlInterestRateIndexFixingDate(R127,_xll.qlRateHelperEarliestDate(M127,Trigger),)</f>
        <v>43040</v>
      </c>
      <c r="P127" s="201">
        <f>_xll.qlRateHelperQuoteValue(M127,_xll.ohTrigger(RecalcTrigger,YieldCurve))</f>
        <v>1.9099999999999999E-2</v>
      </c>
      <c r="Q127" s="204" t="str">
        <f t="shared" si="15"/>
        <v>14Y</v>
      </c>
      <c r="R127" s="204" t="str">
        <f>_xll.qlSwapIndex(,"Euribor",Q127,NDays,Currency,Calendar,"1Y","mf","30/360 (Bond Basis)",IborIndex,Discounting,,_xll.ohTrigger(Trigger,RecalcTrigger))</f>
        <v>obj_008f9#0000</v>
      </c>
      <c r="S127" s="204" t="str">
        <f>_xll.qlVanillaSwapFromSwapIndex(,R127,O127)</f>
        <v>obj_00a66#0000</v>
      </c>
      <c r="T127" s="191">
        <f>_xll.qlVanillaSwapFairRate(S127)</f>
        <v>1.9091298651225906E-2</v>
      </c>
      <c r="U127" s="300">
        <f t="shared" si="12"/>
        <v>-8.7013487740927875E-6</v>
      </c>
      <c r="X127" s="186" t="str">
        <f t="shared" si="13"/>
        <v>1D</v>
      </c>
      <c r="Y127" s="174">
        <f>_xll.qlCalendarAdvance(Calendar,Y126,X127,"f",FALSE)</f>
        <v>42101</v>
      </c>
      <c r="Z127" s="198">
        <f>_xll.qlCalendarAdvance(Calendar,Y127,NDays&amp;"D")</f>
        <v>42103</v>
      </c>
      <c r="AA127" s="173">
        <v>2.0807390283985195E-3</v>
      </c>
      <c r="AB127" s="182">
        <v>2.187204459866976E-3</v>
      </c>
    </row>
    <row r="128" spans="13:28" x14ac:dyDescent="0.2">
      <c r="M128" s="303" t="str">
        <v>obj_0084e#0000</v>
      </c>
      <c r="N128" s="186" t="str">
        <f>_xll.qlRateHelperQuoteName(M128)</f>
        <v>EUR3F15Y_Quote</v>
      </c>
      <c r="O128" s="174">
        <f>_xll.qlInterestRateIndexFixingDate(R128,_xll.qlRateHelperEarliestDate(M128,Trigger),)</f>
        <v>43040</v>
      </c>
      <c r="P128" s="201">
        <f>_xll.qlRateHelperQuoteValue(M128,_xll.ohTrigger(RecalcTrigger,YieldCurve))</f>
        <v>1.9400000000000001E-2</v>
      </c>
      <c r="Q128" s="204" t="str">
        <f t="shared" si="15"/>
        <v>15Y</v>
      </c>
      <c r="R128" s="204" t="str">
        <f>_xll.qlSwapIndex(,"Euribor",Q128,NDays,Currency,Calendar,"1Y","mf","30/360 (Bond Basis)",IborIndex,Discounting,,_xll.ohTrigger(Trigger,RecalcTrigger))</f>
        <v>obj_00912#0000</v>
      </c>
      <c r="S128" s="204" t="str">
        <f>_xll.qlVanillaSwapFromSwapIndex(,R128,O128)</f>
        <v>obj_00ad9#0000</v>
      </c>
      <c r="T128" s="191">
        <f>_xll.qlVanillaSwapFairRate(S128)</f>
        <v>1.9400987598054552E-2</v>
      </c>
      <c r="U128" s="300">
        <f t="shared" si="12"/>
        <v>9.8759805455123084E-7</v>
      </c>
      <c r="X128" s="186" t="str">
        <f t="shared" si="13"/>
        <v>1D</v>
      </c>
      <c r="Y128" s="174">
        <f>_xll.qlCalendarAdvance(Calendar,Y127,X128,"f",FALSE)</f>
        <v>42102</v>
      </c>
      <c r="Z128" s="198">
        <f>_xll.qlCalendarAdvance(Calendar,Y128,NDays&amp;"D")</f>
        <v>42104</v>
      </c>
      <c r="AA128" s="173">
        <v>2.0829794133389785E-3</v>
      </c>
      <c r="AB128" s="182">
        <v>2.16884385773497E-3</v>
      </c>
    </row>
    <row r="129" spans="13:28" x14ac:dyDescent="0.2">
      <c r="M129" s="303" t="str">
        <v>obj_00777#0000</v>
      </c>
      <c r="N129" s="186" t="str">
        <f>_xll.qlRateHelperQuoteName(M129)</f>
        <v>EUR3F20Y_Quote</v>
      </c>
      <c r="O129" s="174">
        <f>_xll.qlInterestRateIndexFixingDate(R129,_xll.qlRateHelperEarliestDate(M129,Trigger),)</f>
        <v>43040</v>
      </c>
      <c r="P129" s="201">
        <f>_xll.qlRateHelperQuoteValue(M129,_xll.ohTrigger(RecalcTrigger,YieldCurve))</f>
        <v>2.019E-2</v>
      </c>
      <c r="Q129" s="204" t="str">
        <f t="shared" si="15"/>
        <v>20Y</v>
      </c>
      <c r="R129" s="204" t="str">
        <f>_xll.qlSwapIndex(,"Euribor",Q129,NDays,Currency,Calendar,"1Y","mf","30/360 (Bond Basis)",IborIndex,Discounting,,_xll.ohTrigger(Trigger,RecalcTrigger))</f>
        <v>obj_009cd#0000</v>
      </c>
      <c r="S129" s="204" t="str">
        <f>_xll.qlVanillaSwapFromSwapIndex(,R129,O129)</f>
        <v>obj_00a3c#0000</v>
      </c>
      <c r="T129" s="191">
        <f>_xll.qlVanillaSwapFairRate(S129)</f>
        <v>2.0189858719990083E-2</v>
      </c>
      <c r="U129" s="300">
        <f t="shared" si="12"/>
        <v>-1.4128000991667222E-7</v>
      </c>
      <c r="X129" s="186" t="str">
        <f t="shared" si="13"/>
        <v>1D</v>
      </c>
      <c r="Y129" s="174">
        <f>_xll.qlCalendarAdvance(Calendar,Y128,X129,"f",FALSE)</f>
        <v>42103</v>
      </c>
      <c r="Z129" s="198">
        <f>_xll.qlCalendarAdvance(Calendar,Y129,NDays&amp;"D")</f>
        <v>42107</v>
      </c>
      <c r="AA129" s="173">
        <v>2.0824000278021121E-3</v>
      </c>
      <c r="AB129" s="182">
        <v>2.1513110355542153E-3</v>
      </c>
    </row>
    <row r="130" spans="13:28" x14ac:dyDescent="0.2">
      <c r="M130" s="303" t="str">
        <v>obj_00894#0000</v>
      </c>
      <c r="N130" s="186" t="str">
        <f>_xll.qlRateHelperQuoteName(M130)</f>
        <v>EUR3F25Y_Quote</v>
      </c>
      <c r="O130" s="174">
        <f>_xll.qlInterestRateIndexFixingDate(R130,_xll.qlRateHelperEarliestDate(M130,Trigger),)</f>
        <v>43040</v>
      </c>
      <c r="P130" s="201">
        <f>_xll.qlRateHelperQuoteValue(M130,_xll.ohTrigger(RecalcTrigger,YieldCurve))</f>
        <v>2.0320000000000001E-2</v>
      </c>
      <c r="Q130" s="204" t="str">
        <f t="shared" si="15"/>
        <v>25Y</v>
      </c>
      <c r="R130" s="204" t="str">
        <f>_xll.qlSwapIndex(,"Euribor",Q130,NDays,Currency,Calendar,"1Y","mf","30/360 (Bond Basis)",IborIndex,Discounting,,_xll.ohTrigger(Trigger,RecalcTrigger))</f>
        <v>obj_00924#0000</v>
      </c>
      <c r="S130" s="204" t="str">
        <f>_xll.qlVanillaSwapFromSwapIndex(,R130,O130)</f>
        <v>obj_00a6d#0000</v>
      </c>
      <c r="T130" s="191">
        <f>_xll.qlVanillaSwapFairRate(S130)</f>
        <v>2.0319463813833337E-2</v>
      </c>
      <c r="U130" s="300">
        <f t="shared" si="12"/>
        <v>-5.3618616666431529E-7</v>
      </c>
      <c r="X130" s="186" t="str">
        <f t="shared" si="13"/>
        <v>1D</v>
      </c>
      <c r="Y130" s="174">
        <f>_xll.qlCalendarAdvance(Calendar,Y129,X130,"f",FALSE)</f>
        <v>42104</v>
      </c>
      <c r="Z130" s="198">
        <f>_xll.qlCalendarAdvance(Calendar,Y130,NDays&amp;"D")</f>
        <v>42108</v>
      </c>
      <c r="AA130" s="173">
        <v>2.082841196234171E-3</v>
      </c>
      <c r="AB130" s="182">
        <v>2.1429781136017567E-3</v>
      </c>
    </row>
    <row r="131" spans="13:28" ht="12" thickBot="1" x14ac:dyDescent="0.25">
      <c r="M131" s="304" t="str">
        <v>obj_00880#0000</v>
      </c>
      <c r="N131" s="187" t="str">
        <f>_xll.qlRateHelperQuoteName(M131)</f>
        <v>EUR3F30Y_Quote</v>
      </c>
      <c r="O131" s="184">
        <f>_xll.qlInterestRateIndexFixingDate(R131,_xll.qlRateHelperEarliestDate(M131,Trigger),)</f>
        <v>43040</v>
      </c>
      <c r="P131" s="202">
        <f>_xll.qlRateHelperQuoteValue(M131,_xll.ohTrigger(RecalcTrigger,YieldCurve))</f>
        <v>2.036E-2</v>
      </c>
      <c r="Q131" s="205" t="str">
        <f t="shared" si="15"/>
        <v>30Y</v>
      </c>
      <c r="R131" s="205" t="str">
        <f>_xll.qlSwapIndex(,"Euribor",Q131,NDays,Currency,Calendar,"1Y","mf","30/360 (Bond Basis)",IborIndex,Discounting,,_xll.ohTrigger(Trigger,RecalcTrigger))</f>
        <v>obj_00918#0000</v>
      </c>
      <c r="S131" s="205" t="str">
        <f>_xll.qlVanillaSwapFromSwapIndex(,R131,O131)</f>
        <v>obj_00b92#0000</v>
      </c>
      <c r="T131" s="193">
        <f>_xll.qlVanillaSwapFairRate(S131)</f>
        <v>2.0354854272334518E-2</v>
      </c>
      <c r="U131" s="301">
        <f t="shared" si="12"/>
        <v>-5.1457276654814921E-6</v>
      </c>
      <c r="X131" s="186" t="str">
        <f t="shared" si="13"/>
        <v>1D</v>
      </c>
      <c r="Y131" s="174">
        <f>_xll.qlCalendarAdvance(Calendar,Y130,X131,"f",FALSE)</f>
        <v>42107</v>
      </c>
      <c r="Z131" s="198">
        <f>_xll.qlCalendarAdvance(Calendar,Y131,NDays&amp;"D")</f>
        <v>42109</v>
      </c>
      <c r="AA131" s="173">
        <v>2.0832885511335251E-3</v>
      </c>
      <c r="AB131" s="182">
        <v>2.1349013652915971E-3</v>
      </c>
    </row>
    <row r="132" spans="13:28" x14ac:dyDescent="0.2">
      <c r="M132" s="305" t="str">
        <v>obj_007a9#0000</v>
      </c>
      <c r="N132" s="289" t="str">
        <f>_xll.qlRateHelperQuoteName(M132)</f>
        <v>EUR4F1Y_Quote</v>
      </c>
      <c r="O132" s="286">
        <f>_xll.qlInterestRateIndexFixingDate(R132,_xll.qlRateHelperEarliestDate(M132,Trigger),)</f>
        <v>43405</v>
      </c>
      <c r="P132" s="287">
        <f>_xll.qlRateHelperQuoteValue(M132,_xll.ohTrigger(RecalcTrigger,YieldCurve))</f>
        <v>8.9499999999999996E-3</v>
      </c>
      <c r="Q132" s="285" t="str">
        <f t="shared" ref="Q132:Q149" si="16">SUBSTITUTE(SUBSTITUTE(N132,"_Quote",""),"EUR4F","")</f>
        <v>1Y</v>
      </c>
      <c r="R132" s="285" t="str">
        <f>_xll.qlSwapIndex(,"Euribor",Q132,NDays,Currency,Calendar,"1Y","mf","30/360 (Bond Basis)",IborIndex,Discounting,,_xll.ohTrigger(Trigger,RecalcTrigger))</f>
        <v>obj_0094a#0000</v>
      </c>
      <c r="S132" s="285" t="str">
        <f>_xll.qlVanillaSwapFromSwapIndex(,R132,O132)</f>
        <v>obj_00a6b#0000</v>
      </c>
      <c r="T132" s="288">
        <f>_xll.qlVanillaSwapFairRate(S132)</f>
        <v>8.9730872351523119E-3</v>
      </c>
      <c r="U132" s="302">
        <f t="shared" si="12"/>
        <v>2.3087235152312313E-5</v>
      </c>
      <c r="X132" s="186" t="str">
        <f t="shared" si="13"/>
        <v>1D</v>
      </c>
      <c r="Y132" s="174">
        <f>_xll.qlCalendarAdvance(Calendar,Y131,X132,"f",FALSE)</f>
        <v>42108</v>
      </c>
      <c r="Z132" s="198">
        <f>_xll.qlCalendarAdvance(Calendar,Y132,NDays&amp;"D")</f>
        <v>42110</v>
      </c>
      <c r="AA132" s="173">
        <v>2.0837400020145749E-3</v>
      </c>
      <c r="AB132" s="182">
        <v>2.1270807905438005E-3</v>
      </c>
    </row>
    <row r="133" spans="13:28" x14ac:dyDescent="0.2">
      <c r="M133" s="303" t="str">
        <v>obj_00796#0000</v>
      </c>
      <c r="N133" s="186" t="str">
        <f>_xll.qlRateHelperQuoteName(M133)</f>
        <v>EUR4F2Y_Quote</v>
      </c>
      <c r="O133" s="174">
        <f>_xll.qlInterestRateIndexFixingDate(R133,_xll.qlRateHelperEarliestDate(M133,Trigger),)</f>
        <v>43405</v>
      </c>
      <c r="P133" s="201">
        <f>_xll.qlRateHelperQuoteValue(M133,_xll.ohTrigger(RecalcTrigger,YieldCurve))</f>
        <v>1.0360000000000001E-2</v>
      </c>
      <c r="Q133" s="204" t="str">
        <f t="shared" si="16"/>
        <v>2Y</v>
      </c>
      <c r="R133" s="204" t="str">
        <f>_xll.qlSwapIndex(,"Euribor",Q133,NDays,Currency,Calendar,"1Y","mf","30/360 (Bond Basis)",IborIndex,Discounting,,_xll.ohTrigger(Trigger,RecalcTrigger))</f>
        <v>obj_00903#0000</v>
      </c>
      <c r="S133" s="204" t="str">
        <f>_xll.qlVanillaSwapFromSwapIndex(,R133,O133)</f>
        <v>obj_00b08#0000</v>
      </c>
      <c r="T133" s="191">
        <f>_xll.qlVanillaSwapFairRate(S133)</f>
        <v>1.038892225532461E-2</v>
      </c>
      <c r="U133" s="300">
        <f t="shared" si="12"/>
        <v>2.8922255324609347E-5</v>
      </c>
      <c r="X133" s="186" t="str">
        <f t="shared" si="13"/>
        <v>1D</v>
      </c>
      <c r="Y133" s="174">
        <f>_xll.qlCalendarAdvance(Calendar,Y132,X133,"f",FALSE)</f>
        <v>42109</v>
      </c>
      <c r="Z133" s="198">
        <f>_xll.qlCalendarAdvance(Calendar,Y133,NDays&amp;"D")</f>
        <v>42111</v>
      </c>
      <c r="AA133" s="173">
        <v>2.0854549243610955E-3</v>
      </c>
      <c r="AB133" s="182">
        <v>2.1123059468219907E-3</v>
      </c>
    </row>
    <row r="134" spans="13:28" x14ac:dyDescent="0.2">
      <c r="M134" s="303" t="str">
        <v>obj_0087c#0000</v>
      </c>
      <c r="N134" s="186" t="str">
        <f>_xll.qlRateHelperQuoteName(M134)</f>
        <v>EUR4F3Y_Quote</v>
      </c>
      <c r="O134" s="174">
        <f>_xll.qlInterestRateIndexFixingDate(R134,_xll.qlRateHelperEarliestDate(M134,Trigger),)</f>
        <v>43405</v>
      </c>
      <c r="P134" s="201">
        <f>_xll.qlRateHelperQuoteValue(M134,_xll.ohTrigger(RecalcTrigger,YieldCurve))</f>
        <v>1.1930000000000001E-2</v>
      </c>
      <c r="Q134" s="204" t="str">
        <f t="shared" si="16"/>
        <v>3Y</v>
      </c>
      <c r="R134" s="204" t="str">
        <f>_xll.qlSwapIndex(,"Euribor",Q134,NDays,Currency,Calendar,"1Y","mf","30/360 (Bond Basis)",IborIndex,Discounting,,_xll.ohTrigger(Trigger,RecalcTrigger))</f>
        <v>obj_0098e#0000</v>
      </c>
      <c r="S134" s="204" t="str">
        <f>_xll.qlVanillaSwapFromSwapIndex(,R134,O134)</f>
        <v>obj_00b54#0000</v>
      </c>
      <c r="T134" s="191">
        <f>_xll.qlVanillaSwapFairRate(S134)</f>
        <v>1.1947401679359416E-2</v>
      </c>
      <c r="U134" s="300">
        <f t="shared" si="12"/>
        <v>1.7401679359414432E-5</v>
      </c>
      <c r="X134" s="186" t="str">
        <f t="shared" si="13"/>
        <v>1D</v>
      </c>
      <c r="Y134" s="174">
        <f>_xll.qlCalendarAdvance(Calendar,Y133,X134,"f",FALSE)</f>
        <v>42110</v>
      </c>
      <c r="Z134" s="198">
        <f>_xll.qlCalendarAdvance(Calendar,Y134,NDays&amp;"D")</f>
        <v>42114</v>
      </c>
      <c r="AA134" s="173">
        <v>2.0855449555808561E-3</v>
      </c>
      <c r="AB134" s="182">
        <v>2.0983602272561797E-3</v>
      </c>
    </row>
    <row r="135" spans="13:28" x14ac:dyDescent="0.2">
      <c r="M135" s="303" t="str">
        <v>obj_0077b#0000</v>
      </c>
      <c r="N135" s="186" t="str">
        <f>_xll.qlRateHelperQuoteName(M135)</f>
        <v>EUR4F4Y_Quote</v>
      </c>
      <c r="O135" s="174">
        <f>_xll.qlInterestRateIndexFixingDate(R135,_xll.qlRateHelperEarliestDate(M135,Trigger),)</f>
        <v>43405</v>
      </c>
      <c r="P135" s="201">
        <f>_xll.qlRateHelperQuoteValue(M135,_xll.ohTrigger(RecalcTrigger,YieldCurve))</f>
        <v>1.3440000000000001E-2</v>
      </c>
      <c r="Q135" s="204" t="str">
        <f t="shared" si="16"/>
        <v>4Y</v>
      </c>
      <c r="R135" s="204" t="str">
        <f>_xll.qlSwapIndex(,"Euribor",Q135,NDays,Currency,Calendar,"1Y","mf","30/360 (Bond Basis)",IborIndex,Discounting,,_xll.ohTrigger(Trigger,RecalcTrigger))</f>
        <v>obj_00944#0000</v>
      </c>
      <c r="S135" s="204" t="str">
        <f>_xll.qlVanillaSwapFromSwapIndex(,R135,O135)</f>
        <v>obj_00a9b#0000</v>
      </c>
      <c r="T135" s="191">
        <f>_xll.qlVanillaSwapFairRate(S135)</f>
        <v>1.3473486540852387E-2</v>
      </c>
      <c r="U135" s="300">
        <f t="shared" si="12"/>
        <v>3.3486540852386421E-5</v>
      </c>
      <c r="X135" s="186" t="str">
        <f t="shared" si="13"/>
        <v>1D</v>
      </c>
      <c r="Y135" s="174">
        <f>_xll.qlCalendarAdvance(Calendar,Y134,X135,"f",FALSE)</f>
        <v>42111</v>
      </c>
      <c r="Z135" s="198">
        <f>_xll.qlCalendarAdvance(Calendar,Y135,NDays&amp;"D")</f>
        <v>42115</v>
      </c>
      <c r="AA135" s="173">
        <v>2.0859855290221918E-3</v>
      </c>
      <c r="AB135" s="182">
        <v>2.0918205204001339E-3</v>
      </c>
    </row>
    <row r="136" spans="13:28" x14ac:dyDescent="0.2">
      <c r="M136" s="303" t="str">
        <v>obj_00827#0000</v>
      </c>
      <c r="N136" s="186" t="str">
        <f>_xll.qlRateHelperQuoteName(M136)</f>
        <v>EUR4F5Y_Quote</v>
      </c>
      <c r="O136" s="174">
        <f>_xll.qlInterestRateIndexFixingDate(R136,_xll.qlRateHelperEarliestDate(M136,Trigger),)</f>
        <v>43405</v>
      </c>
      <c r="P136" s="201">
        <f>_xll.qlRateHelperQuoteValue(M136,_xll.ohTrigger(RecalcTrigger,YieldCurve))</f>
        <v>1.4790000000000001E-2</v>
      </c>
      <c r="Q136" s="204" t="str">
        <f t="shared" si="16"/>
        <v>5Y</v>
      </c>
      <c r="R136" s="204" t="str">
        <f>_xll.qlSwapIndex(,"Euribor",Q136,NDays,Currency,Calendar,"1Y","mf","30/360 (Bond Basis)",IborIndex,Discounting,,_xll.ohTrigger(Trigger,RecalcTrigger))</f>
        <v>obj_00906#0000</v>
      </c>
      <c r="S136" s="204" t="str">
        <f>_xll.qlVanillaSwapFromSwapIndex(,R136,O136)</f>
        <v>obj_00ac7#0000</v>
      </c>
      <c r="T136" s="191">
        <f>_xll.qlVanillaSwapFairRate(S136)</f>
        <v>1.4815843018806564E-2</v>
      </c>
      <c r="U136" s="300">
        <f t="shared" si="12"/>
        <v>2.5843018806563298E-5</v>
      </c>
      <c r="X136" s="186" t="str">
        <f t="shared" si="13"/>
        <v>1D</v>
      </c>
      <c r="Y136" s="174">
        <f>_xll.qlCalendarAdvance(Calendar,Y135,X136,"f",FALSE)</f>
        <v>42114</v>
      </c>
      <c r="Z136" s="198">
        <f>_xll.qlCalendarAdvance(Calendar,Y136,NDays&amp;"D")</f>
        <v>42116</v>
      </c>
      <c r="AA136" s="173">
        <v>2.0864176554927548E-3</v>
      </c>
      <c r="AB136" s="182">
        <v>2.0855369868666429E-3</v>
      </c>
    </row>
    <row r="137" spans="13:28" x14ac:dyDescent="0.2">
      <c r="M137" s="303" t="str">
        <v>obj_007cf#0000</v>
      </c>
      <c r="N137" s="186" t="str">
        <f>_xll.qlRateHelperQuoteName(M137)</f>
        <v>EUR4F6Y_Quote</v>
      </c>
      <c r="O137" s="174">
        <f>_xll.qlInterestRateIndexFixingDate(R137,_xll.qlRateHelperEarliestDate(M137,Trigger),)</f>
        <v>43405</v>
      </c>
      <c r="P137" s="201">
        <f>_xll.qlRateHelperQuoteValue(M137,_xll.ohTrigger(RecalcTrigger,YieldCurve))</f>
        <v>1.5960000000000002E-2</v>
      </c>
      <c r="Q137" s="204" t="str">
        <f t="shared" si="16"/>
        <v>6Y</v>
      </c>
      <c r="R137" s="204" t="str">
        <f>_xll.qlSwapIndex(,"Euribor",Q137,NDays,Currency,Calendar,"1Y","mf","30/360 (Bond Basis)",IborIndex,Discounting,,_xll.ohTrigger(Trigger,RecalcTrigger))</f>
        <v>obj_009f4#0000</v>
      </c>
      <c r="S137" s="204" t="str">
        <f>_xll.qlVanillaSwapFromSwapIndex(,R137,O137)</f>
        <v>obj_00b2f#0000</v>
      </c>
      <c r="T137" s="191">
        <f>_xll.qlVanillaSwapFairRate(S137)</f>
        <v>1.597185674171242E-2</v>
      </c>
      <c r="U137" s="300">
        <f t="shared" si="12"/>
        <v>1.1856741712418239E-5</v>
      </c>
      <c r="X137" s="186" t="str">
        <f t="shared" si="13"/>
        <v>1D</v>
      </c>
      <c r="Y137" s="174">
        <f>_xll.qlCalendarAdvance(Calendar,Y136,X137,"f",FALSE)</f>
        <v>42115</v>
      </c>
      <c r="Z137" s="198">
        <f>_xll.qlCalendarAdvance(Calendar,Y137,NDays&amp;"D")</f>
        <v>42117</v>
      </c>
      <c r="AA137" s="173">
        <v>2.0868392444934043E-3</v>
      </c>
      <c r="AB137" s="182">
        <v>2.0795096268955149E-3</v>
      </c>
    </row>
    <row r="138" spans="13:28" x14ac:dyDescent="0.2">
      <c r="M138" s="303" t="str">
        <v>obj_0081b#0000</v>
      </c>
      <c r="N138" s="186" t="str">
        <f>_xll.qlRateHelperQuoteName(M138)</f>
        <v>EUR4F7Y_Quote</v>
      </c>
      <c r="O138" s="174">
        <f>_xll.qlInterestRateIndexFixingDate(R138,_xll.qlRateHelperEarliestDate(M138,Trigger),)</f>
        <v>43405</v>
      </c>
      <c r="P138" s="201">
        <f>_xll.qlRateHelperQuoteValue(M138,_xll.ohTrigger(RecalcTrigger,YieldCurve))</f>
        <v>1.695E-2</v>
      </c>
      <c r="Q138" s="204" t="str">
        <f t="shared" si="16"/>
        <v>7Y</v>
      </c>
      <c r="R138" s="204" t="str">
        <f>_xll.qlSwapIndex(,"Euribor",Q138,NDays,Currency,Calendar,"1Y","mf","30/360 (Bond Basis)",IborIndex,Discounting,,_xll.ohTrigger(Trigger,RecalcTrigger))</f>
        <v>obj_009ea#0000</v>
      </c>
      <c r="S138" s="204" t="str">
        <f>_xll.qlVanillaSwapFromSwapIndex(,R138,O138)</f>
        <v>obj_00b88#0000</v>
      </c>
      <c r="T138" s="191">
        <f>_xll.qlVanillaSwapFairRate(S138)</f>
        <v>1.6951469613322678E-2</v>
      </c>
      <c r="U138" s="300">
        <f t="shared" si="12"/>
        <v>1.4696133226778374E-6</v>
      </c>
      <c r="X138" s="186" t="str">
        <f t="shared" si="13"/>
        <v>1D</v>
      </c>
      <c r="Y138" s="174">
        <f>_xll.qlCalendarAdvance(Calendar,Y137,X138,"f",FALSE)</f>
        <v>42116</v>
      </c>
      <c r="Z138" s="198">
        <f>_xll.qlCalendarAdvance(Calendar,Y138,NDays&amp;"D")</f>
        <v>42118</v>
      </c>
      <c r="AA138" s="173">
        <v>2.0878595051865771E-3</v>
      </c>
      <c r="AB138" s="182">
        <v>2.0683207016425342E-3</v>
      </c>
    </row>
    <row r="139" spans="13:28" x14ac:dyDescent="0.2">
      <c r="M139" s="303" t="str">
        <v>obj_00858#0000</v>
      </c>
      <c r="N139" s="186" t="str">
        <f>_xll.qlRateHelperQuoteName(M139)</f>
        <v>EUR4F8Y_Quote</v>
      </c>
      <c r="O139" s="174">
        <f>_xll.qlInterestRateIndexFixingDate(R139,_xll.qlRateHelperEarliestDate(M139,Trigger),)</f>
        <v>43405</v>
      </c>
      <c r="P139" s="201">
        <f>_xll.qlRateHelperQuoteValue(M139,_xll.ohTrigger(RecalcTrigger,YieldCurve))</f>
        <v>1.7760000000000001E-2</v>
      </c>
      <c r="Q139" s="204" t="str">
        <f t="shared" si="16"/>
        <v>8Y</v>
      </c>
      <c r="R139" s="204" t="str">
        <f>_xll.qlSwapIndex(,"Euribor",Q139,NDays,Currency,Calendar,"1Y","mf","30/360 (Bond Basis)",IborIndex,Discounting,,_xll.ohTrigger(Trigger,RecalcTrigger))</f>
        <v>obj_0097c#0000</v>
      </c>
      <c r="S139" s="204" t="str">
        <f>_xll.qlVanillaSwapFromSwapIndex(,R139,O139)</f>
        <v>obj_00a69#0000</v>
      </c>
      <c r="T139" s="191">
        <f>_xll.qlVanillaSwapFairRate(S139)</f>
        <v>1.7773644829344796E-2</v>
      </c>
      <c r="U139" s="300">
        <f t="shared" si="12"/>
        <v>1.3644829344794385E-5</v>
      </c>
      <c r="X139" s="186" t="str">
        <f t="shared" si="13"/>
        <v>1D</v>
      </c>
      <c r="Y139" s="174">
        <f>_xll.qlCalendarAdvance(Calendar,Y138,X139,"f",FALSE)</f>
        <v>42117</v>
      </c>
      <c r="Z139" s="198">
        <f>_xll.qlCalendarAdvance(Calendar,Y139,NDays&amp;"D")</f>
        <v>42121</v>
      </c>
      <c r="AA139" s="173">
        <v>2.0883784157717041E-3</v>
      </c>
      <c r="AB139" s="182">
        <v>2.0579619217553358E-3</v>
      </c>
    </row>
    <row r="140" spans="13:28" x14ac:dyDescent="0.2">
      <c r="M140" s="303" t="str">
        <v>obj_00802#0000</v>
      </c>
      <c r="N140" s="186" t="str">
        <f>_xll.qlRateHelperQuoteName(M140)</f>
        <v>EUR4F9Y_Quote</v>
      </c>
      <c r="O140" s="174">
        <f>_xll.qlInterestRateIndexFixingDate(R140,_xll.qlRateHelperEarliestDate(M140,Trigger),)</f>
        <v>43405</v>
      </c>
      <c r="P140" s="201">
        <f>_xll.qlRateHelperQuoteValue(M140,_xll.ohTrigger(RecalcTrigger,YieldCurve))</f>
        <v>1.8440000000000002E-2</v>
      </c>
      <c r="Q140" s="204" t="str">
        <f t="shared" si="16"/>
        <v>9Y</v>
      </c>
      <c r="R140" s="204" t="str">
        <f>_xll.qlSwapIndex(,"Euribor",Q140,NDays,Currency,Calendar,"1Y","mf","30/360 (Bond Basis)",IborIndex,Discounting,,_xll.ohTrigger(Trigger,RecalcTrigger))</f>
        <v>obj_009b1#0000</v>
      </c>
      <c r="S140" s="204" t="str">
        <f>_xll.qlVanillaSwapFromSwapIndex(,R140,O140)</f>
        <v>obj_00ae0#0000</v>
      </c>
      <c r="T140" s="191">
        <f>_xll.qlVanillaSwapFairRate(S140)</f>
        <v>1.8449400705982062E-2</v>
      </c>
      <c r="U140" s="300">
        <f t="shared" si="12"/>
        <v>9.400705982060692E-6</v>
      </c>
      <c r="X140" s="186" t="str">
        <f t="shared" si="13"/>
        <v>1D</v>
      </c>
      <c r="Y140" s="174">
        <f>_xll.qlCalendarAdvance(Calendar,Y139,X140,"f",FALSE)</f>
        <v>42118</v>
      </c>
      <c r="Z140" s="198">
        <f>_xll.qlCalendarAdvance(Calendar,Y140,NDays&amp;"D")</f>
        <v>42122</v>
      </c>
      <c r="AA140" s="173">
        <v>2.0887159598920089E-3</v>
      </c>
      <c r="AB140" s="182">
        <v>2.0532154291164062E-3</v>
      </c>
    </row>
    <row r="141" spans="13:28" x14ac:dyDescent="0.2">
      <c r="M141" s="303" t="str">
        <v>obj_0077e#0000</v>
      </c>
      <c r="N141" s="186" t="str">
        <f>_xll.qlRateHelperQuoteName(M141)</f>
        <v>EUR4F10Y_Quote</v>
      </c>
      <c r="O141" s="174">
        <f>_xll.qlInterestRateIndexFixingDate(R141,_xll.qlRateHelperEarliestDate(M141,Trigger),)</f>
        <v>43405</v>
      </c>
      <c r="P141" s="201">
        <f>_xll.qlRateHelperQuoteValue(M141,_xll.ohTrigger(RecalcTrigger,YieldCurve))</f>
        <v>1.9009999999999999E-2</v>
      </c>
      <c r="Q141" s="204" t="str">
        <f t="shared" si="16"/>
        <v>10Y</v>
      </c>
      <c r="R141" s="204" t="str">
        <f>_xll.qlSwapIndex(,"Euribor",Q141,NDays,Currency,Calendar,"1Y","mf","30/360 (Bond Basis)",IborIndex,Discounting,,_xll.ohTrigger(Trigger,RecalcTrigger))</f>
        <v>obj_00908#0000</v>
      </c>
      <c r="S141" s="204" t="str">
        <f>_xll.qlVanillaSwapFromSwapIndex(,R141,O141)</f>
        <v>obj_00b1c#0000</v>
      </c>
      <c r="T141" s="191">
        <f>_xll.qlVanillaSwapFairRate(S141)</f>
        <v>1.9015922314631173E-2</v>
      </c>
      <c r="U141" s="300">
        <f t="shared" si="12"/>
        <v>5.922314631173764E-6</v>
      </c>
      <c r="X141" s="186" t="str">
        <f t="shared" si="13"/>
        <v>1D</v>
      </c>
      <c r="Y141" s="174">
        <f>_xll.qlCalendarAdvance(Calendar,Y140,X141,"f",FALSE)</f>
        <v>42121</v>
      </c>
      <c r="Z141" s="198">
        <f>_xll.qlCalendarAdvance(Calendar,Y141,NDays&amp;"D")</f>
        <v>42123</v>
      </c>
      <c r="AA141" s="173">
        <v>2.0890304235222264E-3</v>
      </c>
      <c r="AB141" s="182">
        <v>2.0487251098799675E-3</v>
      </c>
    </row>
    <row r="142" spans="13:28" x14ac:dyDescent="0.2">
      <c r="M142" s="303" t="str">
        <v>obj_0084b#0000</v>
      </c>
      <c r="N142" s="186" t="str">
        <f>_xll.qlRateHelperQuoteName(M142)</f>
        <v>EUR4F11Y_Quote</v>
      </c>
      <c r="O142" s="174">
        <f>_xll.qlInterestRateIndexFixingDate(R142,_xll.qlRateHelperEarliestDate(M142,Trigger),)</f>
        <v>43405</v>
      </c>
      <c r="P142" s="201">
        <f>_xll.qlRateHelperQuoteValue(M142,_xll.ohTrigger(RecalcTrigger,YieldCurve))</f>
        <v>1.9470000000000001E-2</v>
      </c>
      <c r="Q142" s="204" t="str">
        <f t="shared" si="16"/>
        <v>11Y</v>
      </c>
      <c r="R142" s="204" t="str">
        <f>_xll.qlSwapIndex(,"Euribor",Q142,NDays,Currency,Calendar,"1Y","mf","30/360 (Bond Basis)",IborIndex,Discounting,,_xll.ohTrigger(Trigger,RecalcTrigger))</f>
        <v>obj_00948#0000</v>
      </c>
      <c r="S142" s="204" t="str">
        <f>_xll.qlVanillaSwapFromSwapIndex(,R142,O142)</f>
        <v>obj_00a88#0000</v>
      </c>
      <c r="T142" s="191">
        <f>_xll.qlVanillaSwapFairRate(S142)</f>
        <v>1.9480154771118547E-2</v>
      </c>
      <c r="U142" s="300">
        <f t="shared" si="12"/>
        <v>1.0154771118545819E-5</v>
      </c>
      <c r="X142" s="186" t="str">
        <f t="shared" si="13"/>
        <v>1D</v>
      </c>
      <c r="Y142" s="174">
        <f>_xll.qlCalendarAdvance(Calendar,Y141,X142,"f",FALSE)</f>
        <v>42122</v>
      </c>
      <c r="Z142" s="198">
        <f>_xll.qlCalendarAdvance(Calendar,Y142,NDays&amp;"D")</f>
        <v>42124</v>
      </c>
      <c r="AA142" s="173">
        <v>2.0893197161544804E-3</v>
      </c>
      <c r="AB142" s="182">
        <v>2.0387974981272983E-3</v>
      </c>
    </row>
    <row r="143" spans="13:28" x14ac:dyDescent="0.2">
      <c r="M143" s="303" t="str">
        <v>obj_007fe#0000</v>
      </c>
      <c r="N143" s="186" t="str">
        <f>_xll.qlRateHelperQuoteName(M143)</f>
        <v>EUR4F12Y_Quote</v>
      </c>
      <c r="O143" s="174">
        <f>_xll.qlInterestRateIndexFixingDate(R143,_xll.qlRateHelperEarliestDate(M143,Trigger),)</f>
        <v>43405</v>
      </c>
      <c r="P143" s="201">
        <f>_xll.qlRateHelperQuoteValue(M143,_xll.ohTrigger(RecalcTrigger,YieldCurve))</f>
        <v>1.9870000000000002E-2</v>
      </c>
      <c r="Q143" s="204" t="str">
        <f t="shared" si="16"/>
        <v>12Y</v>
      </c>
      <c r="R143" s="204" t="str">
        <f>_xll.qlSwapIndex(,"Euribor",Q143,NDays,Currency,Calendar,"1Y","mf","30/360 (Bond Basis)",IborIndex,Discounting,,_xll.ohTrigger(Trigger,RecalcTrigger))</f>
        <v>obj_00a05#0000</v>
      </c>
      <c r="S143" s="204" t="str">
        <f>_xll.qlVanillaSwapFromSwapIndex(,R143,O143)</f>
        <v>obj_00a92#0000</v>
      </c>
      <c r="T143" s="191">
        <f>_xll.qlVanillaSwapFairRate(S143)</f>
        <v>1.9868928626870456E-2</v>
      </c>
      <c r="U143" s="300">
        <f t="shared" ref="U143:U206" si="17">T143-P143</f>
        <v>-1.0713731295464157E-6</v>
      </c>
      <c r="X143" s="186" t="str">
        <f t="shared" si="13"/>
        <v>1D</v>
      </c>
      <c r="Y143" s="174">
        <f>_xll.qlCalendarAdvance(Calendar,Y142,X143,"f",FALSE)</f>
        <v>42123</v>
      </c>
      <c r="Z143" s="198">
        <f>_xll.qlCalendarAdvance(Calendar,Y143,NDays&amp;"D")</f>
        <v>42128</v>
      </c>
      <c r="AA143" s="173">
        <v>2.090000000000051E-3</v>
      </c>
      <c r="AB143" s="182">
        <v>2.0301267713307425E-3</v>
      </c>
    </row>
    <row r="144" spans="13:28" x14ac:dyDescent="0.2">
      <c r="M144" s="303" t="str">
        <v>obj_00809#0000</v>
      </c>
      <c r="N144" s="186" t="str">
        <f>_xll.qlRateHelperQuoteName(M144)</f>
        <v>EUR4F13Y_Quote</v>
      </c>
      <c r="O144" s="174">
        <f>_xll.qlInterestRateIndexFixingDate(R144,_xll.qlRateHelperEarliestDate(M144,Trigger),)</f>
        <v>43405</v>
      </c>
      <c r="P144" s="201">
        <f>_xll.qlRateHelperQuoteValue(M144,_xll.ohTrigger(RecalcTrigger,YieldCurve))</f>
        <v>2.019E-2</v>
      </c>
      <c r="Q144" s="204" t="str">
        <f t="shared" si="16"/>
        <v>13Y</v>
      </c>
      <c r="R144" s="204" t="str">
        <f>_xll.qlSwapIndex(,"Euribor",Q144,NDays,Currency,Calendar,"1Y","mf","30/360 (Bond Basis)",IborIndex,Discounting,,_xll.ohTrigger(Trigger,RecalcTrigger))</f>
        <v>obj_00a1f#0000</v>
      </c>
      <c r="S144" s="204" t="str">
        <f>_xll.qlVanillaSwapFromSwapIndex(,R144,O144)</f>
        <v>obj_00aed#0000</v>
      </c>
      <c r="T144" s="191">
        <f>_xll.qlVanillaSwapFairRate(S144)</f>
        <v>2.0190852415758815E-2</v>
      </c>
      <c r="U144" s="300">
        <f t="shared" si="17"/>
        <v>8.5241575881536691E-7</v>
      </c>
      <c r="X144" s="186" t="str">
        <f t="shared" si="13"/>
        <v>1D</v>
      </c>
      <c r="Y144" s="174">
        <f>_xll.qlCalendarAdvance(Calendar,Y143,X144,"f",FALSE)</f>
        <v>42124</v>
      </c>
      <c r="Z144" s="198">
        <f>_xll.qlCalendarAdvance(Calendar,Y144,NDays&amp;"D")</f>
        <v>42129</v>
      </c>
      <c r="AA144" s="173">
        <v>2.0900786384657902E-3</v>
      </c>
      <c r="AB144" s="182">
        <v>2.0272374319230124E-3</v>
      </c>
    </row>
    <row r="145" spans="13:28" x14ac:dyDescent="0.2">
      <c r="M145" s="303" t="str">
        <v>obj_0081d#0000</v>
      </c>
      <c r="N145" s="186" t="str">
        <f>_xll.qlRateHelperQuoteName(M145)</f>
        <v>EUR4F14Y_Quote</v>
      </c>
      <c r="O145" s="174">
        <f>_xll.qlInterestRateIndexFixingDate(R145,_xll.qlRateHelperEarliestDate(M145,Trigger),)</f>
        <v>43405</v>
      </c>
      <c r="P145" s="201">
        <f>_xll.qlRateHelperQuoteValue(M145,_xll.ohTrigger(RecalcTrigger,YieldCurve))</f>
        <v>2.0449999999999999E-2</v>
      </c>
      <c r="Q145" s="204" t="str">
        <f t="shared" si="16"/>
        <v>14Y</v>
      </c>
      <c r="R145" s="204" t="str">
        <f>_xll.qlSwapIndex(,"Euribor",Q145,NDays,Currency,Calendar,"1Y","mf","30/360 (Bond Basis)",IborIndex,Discounting,,_xll.ohTrigger(Trigger,RecalcTrigger))</f>
        <v>obj_00993#0000</v>
      </c>
      <c r="S145" s="204" t="str">
        <f>_xll.qlVanillaSwapFromSwapIndex(,R145,O145)</f>
        <v>obj_00abe#0000</v>
      </c>
      <c r="T145" s="191">
        <f>_xll.qlVanillaSwapFairRate(S145)</f>
        <v>2.0457147474683565E-2</v>
      </c>
      <c r="U145" s="300">
        <f t="shared" si="17"/>
        <v>7.1474746835657743E-6</v>
      </c>
      <c r="X145" s="186" t="str">
        <f t="shared" si="13"/>
        <v>1D</v>
      </c>
      <c r="Y145" s="174">
        <f>_xll.qlCalendarAdvance(Calendar,Y144,X145,"f",FALSE)</f>
        <v>42128</v>
      </c>
      <c r="Z145" s="198">
        <f>_xll.qlCalendarAdvance(Calendar,Y145,NDays&amp;"D")</f>
        <v>42130</v>
      </c>
      <c r="AA145" s="173">
        <v>2.0901241958427913E-3</v>
      </c>
      <c r="AB145" s="182">
        <v>2.0246682054914089E-3</v>
      </c>
    </row>
    <row r="146" spans="13:28" x14ac:dyDescent="0.2">
      <c r="M146" s="303" t="str">
        <v>obj_00797#0000</v>
      </c>
      <c r="N146" s="186" t="str">
        <f>_xll.qlRateHelperQuoteName(M146)</f>
        <v>EUR4F15Y_Quote</v>
      </c>
      <c r="O146" s="174">
        <f>_xll.qlInterestRateIndexFixingDate(R146,_xll.qlRateHelperEarliestDate(M146,Trigger),)</f>
        <v>43405</v>
      </c>
      <c r="P146" s="201">
        <f>_xll.qlRateHelperQuoteValue(M146,_xll.ohTrigger(RecalcTrigger,YieldCurve))</f>
        <v>2.0659999999999998E-2</v>
      </c>
      <c r="Q146" s="204" t="str">
        <f t="shared" si="16"/>
        <v>15Y</v>
      </c>
      <c r="R146" s="204" t="str">
        <f>_xll.qlSwapIndex(,"Euribor",Q146,NDays,Currency,Calendar,"1Y","mf","30/360 (Bond Basis)",IborIndex,Discounting,,_xll.ohTrigger(Trigger,RecalcTrigger))</f>
        <v>obj_00926#0000</v>
      </c>
      <c r="S146" s="204" t="str">
        <f>_xll.qlVanillaSwapFromSwapIndex(,R146,O146)</f>
        <v>obj_00a82#0000</v>
      </c>
      <c r="T146" s="191">
        <f>_xll.qlVanillaSwapFairRate(S146)</f>
        <v>2.0665552336714948E-2</v>
      </c>
      <c r="U146" s="300">
        <f t="shared" si="17"/>
        <v>5.5523367149500069E-6</v>
      </c>
      <c r="X146" s="186" t="str">
        <f t="shared" si="13"/>
        <v>1D</v>
      </c>
      <c r="Y146" s="174">
        <f>_xll.qlCalendarAdvance(Calendar,Y145,X146,"f",FALSE)</f>
        <v>42129</v>
      </c>
      <c r="Z146" s="198">
        <f>_xll.qlCalendarAdvance(Calendar,Y146,NDays&amp;"D")</f>
        <v>42131</v>
      </c>
      <c r="AA146" s="173">
        <v>2.0893779627291719E-3</v>
      </c>
      <c r="AB146" s="182">
        <v>2.0224190918760598E-3</v>
      </c>
    </row>
    <row r="147" spans="13:28" x14ac:dyDescent="0.2">
      <c r="M147" s="303" t="str">
        <v>obj_00857#0000</v>
      </c>
      <c r="N147" s="186" t="str">
        <f>_xll.qlRateHelperQuoteName(M147)</f>
        <v>EUR4F20Y_Quote</v>
      </c>
      <c r="O147" s="174">
        <f>_xll.qlInterestRateIndexFixingDate(R147,_xll.qlRateHelperEarliestDate(M147,Trigger),)</f>
        <v>43405</v>
      </c>
      <c r="P147" s="201">
        <f>_xll.qlRateHelperQuoteValue(M147,_xll.ohTrigger(RecalcTrigger,YieldCurve))</f>
        <v>2.1070000000000002E-2</v>
      </c>
      <c r="Q147" s="204" t="str">
        <f t="shared" si="16"/>
        <v>20Y</v>
      </c>
      <c r="R147" s="204" t="str">
        <f>_xll.qlSwapIndex(,"Euribor",Q147,NDays,Currency,Calendar,"1Y","mf","30/360 (Bond Basis)",IborIndex,Discounting,,_xll.ohTrigger(Trigger,RecalcTrigger))</f>
        <v>obj_0096f#0000</v>
      </c>
      <c r="S147" s="204" t="str">
        <f>_xll.qlVanillaSwapFromSwapIndex(,R147,O147)</f>
        <v>obj_00b28#0000</v>
      </c>
      <c r="T147" s="191">
        <f>_xll.qlVanillaSwapFairRate(S147)</f>
        <v>2.1080602831799723E-2</v>
      </c>
      <c r="U147" s="300">
        <f t="shared" si="17"/>
        <v>1.0602831799721296E-5</v>
      </c>
      <c r="X147" s="186" t="str">
        <f t="shared" si="13"/>
        <v>1D</v>
      </c>
      <c r="Y147" s="174">
        <f>_xll.qlCalendarAdvance(Calendar,Y146,X147,"f",FALSE)</f>
        <v>42130</v>
      </c>
      <c r="Z147" s="198">
        <f>_xll.qlCalendarAdvance(Calendar,Y147,NDays&amp;"D")</f>
        <v>42132</v>
      </c>
      <c r="AA147" s="173">
        <v>2.0897281628324948E-3</v>
      </c>
      <c r="AB147" s="182">
        <v>2.0189992306018922E-3</v>
      </c>
    </row>
    <row r="148" spans="13:28" x14ac:dyDescent="0.2">
      <c r="M148" s="303" t="str">
        <v>obj_0088d#0000</v>
      </c>
      <c r="N148" s="186" t="str">
        <f>_xll.qlRateHelperQuoteName(M148)</f>
        <v>EUR4F25Y_Quote</v>
      </c>
      <c r="O148" s="174">
        <f>_xll.qlInterestRateIndexFixingDate(R148,_xll.qlRateHelperEarliestDate(M148,Trigger),)</f>
        <v>43405</v>
      </c>
      <c r="P148" s="201">
        <f>_xll.qlRateHelperQuoteValue(M148,_xll.ohTrigger(RecalcTrigger,YieldCurve))</f>
        <v>2.1019999999999997E-2</v>
      </c>
      <c r="Q148" s="204" t="str">
        <f t="shared" si="16"/>
        <v>25Y</v>
      </c>
      <c r="R148" s="204" t="str">
        <f>_xll.qlSwapIndex(,"Euribor",Q148,NDays,Currency,Calendar,"1Y","mf","30/360 (Bond Basis)",IborIndex,Discounting,,_xll.ohTrigger(Trigger,RecalcTrigger))</f>
        <v>obj_00991#0000</v>
      </c>
      <c r="S148" s="204" t="str">
        <f>_xll.qlVanillaSwapFromSwapIndex(,R148,O148)</f>
        <v>obj_00b8b#0000</v>
      </c>
      <c r="T148" s="191">
        <f>_xll.qlVanillaSwapFairRate(S148)</f>
        <v>2.1027345037549723E-2</v>
      </c>
      <c r="U148" s="300">
        <f t="shared" si="17"/>
        <v>7.3450375497260967E-6</v>
      </c>
      <c r="X148" s="186" t="str">
        <f t="shared" si="13"/>
        <v>1D</v>
      </c>
      <c r="Y148" s="174">
        <f>_xll.qlCalendarAdvance(Calendar,Y147,X148,"f",FALSE)</f>
        <v>42131</v>
      </c>
      <c r="Z148" s="198">
        <f>_xll.qlCalendarAdvance(Calendar,Y148,NDays&amp;"D")</f>
        <v>42135</v>
      </c>
      <c r="AA148" s="173">
        <v>2.089961972770425E-3</v>
      </c>
      <c r="AB148" s="182">
        <v>2.0166237659768882E-3</v>
      </c>
    </row>
    <row r="149" spans="13:28" ht="12" thickBot="1" x14ac:dyDescent="0.25">
      <c r="M149" s="304" t="str">
        <v>obj_00886#0000</v>
      </c>
      <c r="N149" s="187" t="str">
        <f>_xll.qlRateHelperQuoteName(M149)</f>
        <v>EUR4F30Y_Quote</v>
      </c>
      <c r="O149" s="184">
        <f>_xll.qlInterestRateIndexFixingDate(R149,_xll.qlRateHelperEarliestDate(M149,Trigger),)</f>
        <v>43405</v>
      </c>
      <c r="P149" s="202">
        <f>_xll.qlRateHelperQuoteValue(M149,_xll.ohTrigger(RecalcTrigger,YieldCurve))</f>
        <v>2.0990000000000002E-2</v>
      </c>
      <c r="Q149" s="205" t="str">
        <f t="shared" si="16"/>
        <v>30Y</v>
      </c>
      <c r="R149" s="205" t="str">
        <f>_xll.qlSwapIndex(,"Euribor",Q149,NDays,Currency,Calendar,"1Y","mf","30/360 (Bond Basis)",IborIndex,Discounting,,_xll.ohTrigger(Trigger,RecalcTrigger))</f>
        <v>obj_00970#0000</v>
      </c>
      <c r="S149" s="205" t="str">
        <f>_xll.qlVanillaSwapFromSwapIndex(,R149,O149)</f>
        <v>obj_00b50#0000</v>
      </c>
      <c r="T149" s="193">
        <f>_xll.qlVanillaSwapFairRate(S149)</f>
        <v>2.0991592060649808E-2</v>
      </c>
      <c r="U149" s="301">
        <f t="shared" si="17"/>
        <v>1.5920606498062706E-6</v>
      </c>
      <c r="X149" s="186" t="str">
        <f t="shared" ref="X149:X212" si="18">X148</f>
        <v>1D</v>
      </c>
      <c r="Y149" s="174">
        <f>_xll.qlCalendarAdvance(Calendar,Y148,X149,"f",FALSE)</f>
        <v>42132</v>
      </c>
      <c r="Z149" s="198">
        <f>_xll.qlCalendarAdvance(Calendar,Y149,NDays&amp;"D")</f>
        <v>42136</v>
      </c>
      <c r="AA149" s="173">
        <v>2.0898727674538132E-3</v>
      </c>
      <c r="AB149" s="182">
        <v>2.0159752166826195E-3</v>
      </c>
    </row>
    <row r="150" spans="13:28" x14ac:dyDescent="0.2">
      <c r="M150" s="305" t="str">
        <v>obj_00783#0000</v>
      </c>
      <c r="N150" s="289" t="str">
        <f>_xll.qlRateHelperQuoteName(M150)</f>
        <v>EUR5F1Y_Quote</v>
      </c>
      <c r="O150" s="286">
        <f>_xll.qlInterestRateIndexFixingDate(R150,_xll.qlRateHelperEarliestDate(M150,Trigger),)</f>
        <v>43769</v>
      </c>
      <c r="P150" s="287">
        <f>_xll.qlRateHelperQuoteValue(M150,_xll.ohTrigger(RecalcTrigger,YieldCurve))</f>
        <v>1.1779999999999999E-2</v>
      </c>
      <c r="Q150" s="285" t="str">
        <f t="shared" ref="Q150:Q167" si="19">SUBSTITUTE(SUBSTITUTE(N150,"_Quote",""),"EUR5F","")</f>
        <v>1Y</v>
      </c>
      <c r="R150" s="285" t="str">
        <f>_xll.qlSwapIndex(,"Euribor",Q150,NDays,Currency,Calendar,"1Y","mf","30/360 (Bond Basis)",IborIndex,Discounting,,_xll.ohTrigger(Trigger,RecalcTrigger))</f>
        <v>obj_00922#0000</v>
      </c>
      <c r="S150" s="285" t="str">
        <f>_xll.qlVanillaSwapFromSwapIndex(,R150,O150)</f>
        <v>obj_00ad5#0000</v>
      </c>
      <c r="T150" s="288">
        <f>_xll.qlVanillaSwapFairRate(S150)</f>
        <v>1.1808157473658336E-2</v>
      </c>
      <c r="U150" s="302">
        <f t="shared" si="17"/>
        <v>2.8157473658337387E-5</v>
      </c>
      <c r="X150" s="186" t="str">
        <f t="shared" si="18"/>
        <v>1D</v>
      </c>
      <c r="Y150" s="174">
        <f>_xll.qlCalendarAdvance(Calendar,Y149,X150,"f",FALSE)</f>
        <v>42135</v>
      </c>
      <c r="Z150" s="198">
        <f>_xll.qlCalendarAdvance(Calendar,Y150,NDays&amp;"D")</f>
        <v>42137</v>
      </c>
      <c r="AA150" s="173">
        <v>2.0897717223341502E-3</v>
      </c>
      <c r="AB150" s="182">
        <v>2.0156467801246691E-3</v>
      </c>
    </row>
    <row r="151" spans="13:28" x14ac:dyDescent="0.2">
      <c r="M151" s="303" t="str">
        <v>obj_0088c#0000</v>
      </c>
      <c r="N151" s="186" t="str">
        <f>_xll.qlRateHelperQuoteName(M151)</f>
        <v>EUR5F2Y_Quote</v>
      </c>
      <c r="O151" s="174">
        <f>_xll.qlInterestRateIndexFixingDate(R151,_xll.qlRateHelperEarliestDate(M151,Trigger),)</f>
        <v>43769</v>
      </c>
      <c r="P151" s="201">
        <f>_xll.qlRateHelperQuoteValue(M151,_xll.ohTrigger(RecalcTrigger,YieldCurve))</f>
        <v>1.3440000000000001E-2</v>
      </c>
      <c r="Q151" s="204" t="str">
        <f t="shared" si="19"/>
        <v>2Y</v>
      </c>
      <c r="R151" s="204" t="str">
        <f>_xll.qlSwapIndex(,"Euribor",Q151,NDays,Currency,Calendar,"1Y","mf","30/360 (Bond Basis)",IborIndex,Discounting,,_xll.ohTrigger(Trigger,RecalcTrigger))</f>
        <v>obj_00999#0000</v>
      </c>
      <c r="S151" s="204" t="str">
        <f>_xll.qlVanillaSwapFromSwapIndex(,R151,O151)</f>
        <v>obj_00ae1#0000</v>
      </c>
      <c r="T151" s="191">
        <f>_xll.qlVanillaSwapFairRate(S151)</f>
        <v>1.3447131077977242E-2</v>
      </c>
      <c r="U151" s="300">
        <f t="shared" si="17"/>
        <v>7.1310779772414817E-6</v>
      </c>
      <c r="X151" s="186" t="str">
        <f t="shared" si="18"/>
        <v>1D</v>
      </c>
      <c r="Y151" s="174">
        <f>_xll.qlCalendarAdvance(Calendar,Y150,X151,"f",FALSE)</f>
        <v>42136</v>
      </c>
      <c r="Z151" s="198">
        <f>_xll.qlCalendarAdvance(Calendar,Y151,NDays&amp;"D")</f>
        <v>42138</v>
      </c>
      <c r="AA151" s="173">
        <v>2.0886593426912873E-3</v>
      </c>
      <c r="AB151" s="182">
        <v>2.0156384564629093E-3</v>
      </c>
    </row>
    <row r="152" spans="13:28" x14ac:dyDescent="0.2">
      <c r="M152" s="303" t="str">
        <v>obj_00888#0000</v>
      </c>
      <c r="N152" s="186" t="str">
        <f>_xll.qlRateHelperQuoteName(M152)</f>
        <v>EUR5F3Y_Quote</v>
      </c>
      <c r="O152" s="174">
        <f>_xll.qlInterestRateIndexFixingDate(R152,_xll.qlRateHelperEarliestDate(M152,Trigger),)</f>
        <v>43769</v>
      </c>
      <c r="P152" s="201">
        <f>_xll.qlRateHelperQuoteValue(M152,_xll.ohTrigger(RecalcTrigger,YieldCurve))</f>
        <v>1.4970000000000001E-2</v>
      </c>
      <c r="Q152" s="204" t="str">
        <f t="shared" si="19"/>
        <v>3Y</v>
      </c>
      <c r="R152" s="204" t="str">
        <f>_xll.qlSwapIndex(,"Euribor",Q152,NDays,Currency,Calendar,"1Y","mf","30/360 (Bond Basis)",IborIndex,Discounting,,_xll.ohTrigger(Trigger,RecalcTrigger))</f>
        <v>obj_0091f#0000</v>
      </c>
      <c r="S152" s="204" t="str">
        <f>_xll.qlVanillaSwapFromSwapIndex(,R152,O152)</f>
        <v>obj_00a9f#0000</v>
      </c>
      <c r="T152" s="191">
        <f>_xll.qlVanillaSwapFairRate(S152)</f>
        <v>1.498694943152549E-2</v>
      </c>
      <c r="U152" s="300">
        <f t="shared" si="17"/>
        <v>1.6949431525489431E-5</v>
      </c>
      <c r="X152" s="186" t="str">
        <f t="shared" si="18"/>
        <v>1D</v>
      </c>
      <c r="Y152" s="174">
        <f>_xll.qlCalendarAdvance(Calendar,Y151,X152,"f",FALSE)</f>
        <v>42137</v>
      </c>
      <c r="Z152" s="198">
        <f>_xll.qlCalendarAdvance(Calendar,Y152,NDays&amp;"D")</f>
        <v>42139</v>
      </c>
      <c r="AA152" s="173">
        <v>2.0890423536453254E-3</v>
      </c>
      <c r="AB152" s="182">
        <v>2.0167001493032188E-3</v>
      </c>
    </row>
    <row r="153" spans="13:28" x14ac:dyDescent="0.2">
      <c r="M153" s="303" t="str">
        <v>obj_0084f#0000</v>
      </c>
      <c r="N153" s="186" t="str">
        <f>_xll.qlRateHelperQuoteName(M153)</f>
        <v>EUR5F4Y_Quote</v>
      </c>
      <c r="O153" s="174">
        <f>_xll.qlInterestRateIndexFixingDate(R153,_xll.qlRateHelperEarliestDate(M153,Trigger),)</f>
        <v>43769</v>
      </c>
      <c r="P153" s="201">
        <f>_xll.qlRateHelperQuoteValue(M153,_xll.ohTrigger(RecalcTrigger,YieldCurve))</f>
        <v>1.6299999999999999E-2</v>
      </c>
      <c r="Q153" s="204" t="str">
        <f t="shared" si="19"/>
        <v>4Y</v>
      </c>
      <c r="R153" s="204" t="str">
        <f>_xll.qlSwapIndex(,"Euribor",Q153,NDays,Currency,Calendar,"1Y","mf","30/360 (Bond Basis)",IborIndex,Discounting,,_xll.ohTrigger(Trigger,RecalcTrigger))</f>
        <v>obj_0093e#0000</v>
      </c>
      <c r="S153" s="204" t="str">
        <f>_xll.qlVanillaSwapFromSwapIndex(,R153,O153)</f>
        <v>obj_00b41#0000</v>
      </c>
      <c r="T153" s="191">
        <f>_xll.qlVanillaSwapFairRate(S153)</f>
        <v>1.6314116507687271E-2</v>
      </c>
      <c r="U153" s="300">
        <f t="shared" si="17"/>
        <v>1.4116507687272212E-5</v>
      </c>
      <c r="X153" s="186" t="str">
        <f t="shared" si="18"/>
        <v>1D</v>
      </c>
      <c r="Y153" s="174">
        <f>_xll.qlCalendarAdvance(Calendar,Y152,X153,"f",FALSE)</f>
        <v>42138</v>
      </c>
      <c r="Z153" s="198">
        <f>_xll.qlCalendarAdvance(Calendar,Y153,NDays&amp;"D")</f>
        <v>42142</v>
      </c>
      <c r="AA153" s="173">
        <v>2.0891951061224154E-3</v>
      </c>
      <c r="AB153" s="182">
        <v>2.0188062903780946E-3</v>
      </c>
    </row>
    <row r="154" spans="13:28" x14ac:dyDescent="0.2">
      <c r="M154" s="303" t="str">
        <v>obj_00790#0000</v>
      </c>
      <c r="N154" s="186" t="str">
        <f>_xll.qlRateHelperQuoteName(M154)</f>
        <v>EUR5F5Y_Quote</v>
      </c>
      <c r="O154" s="174">
        <f>_xll.qlInterestRateIndexFixingDate(R154,_xll.qlRateHelperEarliestDate(M154,Trigger),)</f>
        <v>43769</v>
      </c>
      <c r="P154" s="201">
        <f>_xll.qlRateHelperQuoteValue(M154,_xll.ohTrigger(RecalcTrigger,YieldCurve))</f>
        <v>1.7410000000000002E-2</v>
      </c>
      <c r="Q154" s="204" t="str">
        <f t="shared" si="19"/>
        <v>5Y</v>
      </c>
      <c r="R154" s="204" t="str">
        <f>_xll.qlSwapIndex(,"Euribor",Q154,NDays,Currency,Calendar,"1Y","mf","30/360 (Bond Basis)",IborIndex,Discounting,,_xll.ohTrigger(Trigger,RecalcTrigger))</f>
        <v>obj_0090d#0000</v>
      </c>
      <c r="S154" s="204" t="str">
        <f>_xll.qlVanillaSwapFromSwapIndex(,R154,O154)</f>
        <v>obj_00a6f#0000</v>
      </c>
      <c r="T154" s="191">
        <f>_xll.qlVanillaSwapFairRate(S154)</f>
        <v>1.7418021350809564E-2</v>
      </c>
      <c r="U154" s="300">
        <f t="shared" si="17"/>
        <v>8.021350809562372E-6</v>
      </c>
      <c r="X154" s="186" t="str">
        <f t="shared" si="18"/>
        <v>1D</v>
      </c>
      <c r="Y154" s="174">
        <f>_xll.qlCalendarAdvance(Calendar,Y153,X154,"f",FALSE)</f>
        <v>42139</v>
      </c>
      <c r="Z154" s="198">
        <f>_xll.qlCalendarAdvance(Calendar,Y154,NDays&amp;"D")</f>
        <v>42143</v>
      </c>
      <c r="AA154" s="173">
        <v>2.0890867460345566E-3</v>
      </c>
      <c r="AB154" s="182">
        <v>2.020398530877543E-3</v>
      </c>
    </row>
    <row r="155" spans="13:28" x14ac:dyDescent="0.2">
      <c r="M155" s="303" t="str">
        <v>obj_0083b#0000</v>
      </c>
      <c r="N155" s="186" t="str">
        <f>_xll.qlRateHelperQuoteName(M155)</f>
        <v>EUR5F6Y_Quote</v>
      </c>
      <c r="O155" s="174">
        <f>_xll.qlInterestRateIndexFixingDate(R155,_xll.qlRateHelperEarliestDate(M155,Trigger),)</f>
        <v>43769</v>
      </c>
      <c r="P155" s="201">
        <f>_xll.qlRateHelperQuoteValue(M155,_xll.ohTrigger(RecalcTrigger,YieldCurve))</f>
        <v>1.8340000000000002E-2</v>
      </c>
      <c r="Q155" s="204" t="str">
        <f t="shared" si="19"/>
        <v>6Y</v>
      </c>
      <c r="R155" s="204" t="str">
        <f>_xll.qlSwapIndex(,"Euribor",Q155,NDays,Currency,Calendar,"1Y","mf","30/360 (Bond Basis)",IborIndex,Discounting,,_xll.ohTrigger(Trigger,RecalcTrigger))</f>
        <v>obj_00a22#0000</v>
      </c>
      <c r="S155" s="204" t="str">
        <f>_xll.qlVanillaSwapFromSwapIndex(,R155,O155)</f>
        <v>obj_00b3c#0000</v>
      </c>
      <c r="T155" s="191">
        <f>_xll.qlVanillaSwapFairRate(S155)</f>
        <v>1.8337981686142753E-2</v>
      </c>
      <c r="U155" s="300">
        <f t="shared" si="17"/>
        <v>-2.0183138572486825E-6</v>
      </c>
      <c r="X155" s="186" t="str">
        <f t="shared" si="18"/>
        <v>1D</v>
      </c>
      <c r="Y155" s="174">
        <f>_xll.qlCalendarAdvance(Calendar,Y154,X155,"f",FALSE)</f>
        <v>42142</v>
      </c>
      <c r="Z155" s="198">
        <f>_xll.qlCalendarAdvance(Calendar,Y155,NDays&amp;"D")</f>
        <v>42144</v>
      </c>
      <c r="AA155" s="173">
        <v>2.0889877874210789E-3</v>
      </c>
      <c r="AB155" s="182">
        <v>2.0223108843531179E-3</v>
      </c>
    </row>
    <row r="156" spans="13:28" x14ac:dyDescent="0.2">
      <c r="M156" s="303" t="str">
        <v>obj_00771#0000</v>
      </c>
      <c r="N156" s="186" t="str">
        <f>_xll.qlRateHelperQuoteName(M156)</f>
        <v>EUR5F7Y_Quote</v>
      </c>
      <c r="O156" s="174">
        <f>_xll.qlInterestRateIndexFixingDate(R156,_xll.qlRateHelperEarliestDate(M156,Trigger),)</f>
        <v>43769</v>
      </c>
      <c r="P156" s="201">
        <f>_xll.qlRateHelperQuoteValue(M156,_xll.ohTrigger(RecalcTrigger,YieldCurve))</f>
        <v>1.9089999999999999E-2</v>
      </c>
      <c r="Q156" s="204" t="str">
        <f t="shared" si="19"/>
        <v>7Y</v>
      </c>
      <c r="R156" s="204" t="str">
        <f>_xll.qlSwapIndex(,"Euribor",Q156,NDays,Currency,Calendar,"1Y","mf","30/360 (Bond Basis)",IborIndex,Discounting,,_xll.ohTrigger(Trigger,RecalcTrigger))</f>
        <v>obj_00913#0000</v>
      </c>
      <c r="S156" s="204" t="str">
        <f>_xll.qlVanillaSwapFromSwapIndex(,R156,O156)</f>
        <v>obj_00b36#0000</v>
      </c>
      <c r="T156" s="191">
        <f>_xll.qlVanillaSwapFairRate(S156)</f>
        <v>1.9097214660263515E-2</v>
      </c>
      <c r="U156" s="300">
        <f t="shared" si="17"/>
        <v>7.2146602635159152E-6</v>
      </c>
      <c r="X156" s="186" t="str">
        <f t="shared" si="18"/>
        <v>1D</v>
      </c>
      <c r="Y156" s="174">
        <f>_xll.qlCalendarAdvance(Calendar,Y155,X156,"f",FALSE)</f>
        <v>42143</v>
      </c>
      <c r="Z156" s="198">
        <f>_xll.qlCalendarAdvance(Calendar,Y156,NDays&amp;"D")</f>
        <v>42145</v>
      </c>
      <c r="AA156" s="173">
        <v>2.088124013907405E-3</v>
      </c>
      <c r="AB156" s="182">
        <v>2.0245433506449473E-3</v>
      </c>
    </row>
    <row r="157" spans="13:28" x14ac:dyDescent="0.2">
      <c r="M157" s="303" t="str">
        <v>obj_0080a#0000</v>
      </c>
      <c r="N157" s="186" t="str">
        <f>_xll.qlRateHelperQuoteName(M157)</f>
        <v>EUR5F8Y_Quote</v>
      </c>
      <c r="O157" s="174">
        <f>_xll.qlInterestRateIndexFixingDate(R157,_xll.qlRateHelperEarliestDate(M157,Trigger),)</f>
        <v>43769</v>
      </c>
      <c r="P157" s="201">
        <f>_xll.qlRateHelperQuoteValue(M157,_xll.ohTrigger(RecalcTrigger,YieldCurve))</f>
        <v>1.9710000000000002E-2</v>
      </c>
      <c r="Q157" s="204" t="str">
        <f t="shared" si="19"/>
        <v>8Y</v>
      </c>
      <c r="R157" s="204" t="str">
        <f>_xll.qlSwapIndex(,"Euribor",Q157,NDays,Currency,Calendar,"1Y","mf","30/360 (Bond Basis)",IborIndex,Discounting,,_xll.ohTrigger(Trigger,RecalcTrigger))</f>
        <v>obj_009be#0000</v>
      </c>
      <c r="S157" s="204" t="str">
        <f>_xll.qlVanillaSwapFromSwapIndex(,R157,O157)</f>
        <v>obj_00a5e#0000</v>
      </c>
      <c r="T157" s="191">
        <f>_xll.qlVanillaSwapFairRate(S157)</f>
        <v>1.970885858995514E-2</v>
      </c>
      <c r="U157" s="300">
        <f t="shared" si="17"/>
        <v>-1.1414100448622899E-6</v>
      </c>
      <c r="X157" s="186" t="str">
        <f t="shared" si="18"/>
        <v>1D</v>
      </c>
      <c r="Y157" s="174">
        <f>_xll.qlCalendarAdvance(Calendar,Y156,X157,"f",FALSE)</f>
        <v>42144</v>
      </c>
      <c r="Z157" s="198">
        <f>_xll.qlCalendarAdvance(Calendar,Y157,NDays&amp;"D")</f>
        <v>42146</v>
      </c>
      <c r="AA157" s="173">
        <v>2.088455948252757E-3</v>
      </c>
      <c r="AB157" s="182">
        <v>2.0300867739653228E-3</v>
      </c>
    </row>
    <row r="158" spans="13:28" x14ac:dyDescent="0.2">
      <c r="M158" s="303" t="str">
        <v>obj_00835#0000</v>
      </c>
      <c r="N158" s="186" t="str">
        <f>_xll.qlRateHelperQuoteName(M158)</f>
        <v>EUR5F9Y_Quote</v>
      </c>
      <c r="O158" s="174">
        <f>_xll.qlInterestRateIndexFixingDate(R158,_xll.qlRateHelperEarliestDate(M158,Trigger),)</f>
        <v>43769</v>
      </c>
      <c r="P158" s="201">
        <f>_xll.qlRateHelperQuoteValue(M158,_xll.ohTrigger(RecalcTrigger,YieldCurve))</f>
        <v>2.0219999999999998E-2</v>
      </c>
      <c r="Q158" s="204" t="str">
        <f t="shared" si="19"/>
        <v>9Y</v>
      </c>
      <c r="R158" s="204" t="str">
        <f>_xll.qlSwapIndex(,"Euribor",Q158,NDays,Currency,Calendar,"1Y","mf","30/360 (Bond Basis)",IborIndex,Discounting,,_xll.ohTrigger(Trigger,RecalcTrigger))</f>
        <v>obj_009d4#0000</v>
      </c>
      <c r="S158" s="204" t="str">
        <f>_xll.qlVanillaSwapFromSwapIndex(,R158,O158)</f>
        <v>obj_00ad0#0000</v>
      </c>
      <c r="T158" s="191">
        <f>_xll.qlVanillaSwapFairRate(S158)</f>
        <v>2.0215307909484458E-2</v>
      </c>
      <c r="U158" s="300">
        <f t="shared" si="17"/>
        <v>-4.6920905155400927E-6</v>
      </c>
      <c r="X158" s="186" t="str">
        <f t="shared" si="18"/>
        <v>1D</v>
      </c>
      <c r="Y158" s="174">
        <f>_xll.qlCalendarAdvance(Calendar,Y157,X158,"f",FALSE)</f>
        <v>42145</v>
      </c>
      <c r="Z158" s="198">
        <f>_xll.qlCalendarAdvance(Calendar,Y158,NDays&amp;"D")</f>
        <v>42149</v>
      </c>
      <c r="AA158" s="173">
        <v>2.0887402227531826E-3</v>
      </c>
      <c r="AB158" s="182">
        <v>2.0366743446142976E-3</v>
      </c>
    </row>
    <row r="159" spans="13:28" x14ac:dyDescent="0.2">
      <c r="M159" s="303" t="str">
        <v>obj_007e0#0000</v>
      </c>
      <c r="N159" s="186" t="str">
        <f>_xll.qlRateHelperQuoteName(M159)</f>
        <v>EUR5F10Y_Quote</v>
      </c>
      <c r="O159" s="174">
        <f>_xll.qlInterestRateIndexFixingDate(R159,_xll.qlRateHelperEarliestDate(M159,Trigger),)</f>
        <v>43769</v>
      </c>
      <c r="P159" s="201">
        <f>_xll.qlRateHelperQuoteValue(M159,_xll.ohTrigger(RecalcTrigger,YieldCurve))</f>
        <v>2.0619999999999999E-2</v>
      </c>
      <c r="Q159" s="204" t="str">
        <f t="shared" si="19"/>
        <v>10Y</v>
      </c>
      <c r="R159" s="204" t="str">
        <f>_xll.qlSwapIndex(,"Euribor",Q159,NDays,Currency,Calendar,"1Y","mf","30/360 (Bond Basis)",IborIndex,Discounting,,_xll.ohTrigger(Trigger,RecalcTrigger))</f>
        <v>obj_00a20#0000</v>
      </c>
      <c r="S159" s="204" t="str">
        <f>_xll.qlVanillaSwapFromSwapIndex(,R159,O159)</f>
        <v>obj_00a31#0000</v>
      </c>
      <c r="T159" s="191">
        <f>_xll.qlVanillaSwapFairRate(S159)</f>
        <v>2.0621316457291528E-2</v>
      </c>
      <c r="U159" s="300">
        <f t="shared" si="17"/>
        <v>1.3164572915287664E-6</v>
      </c>
      <c r="X159" s="186" t="str">
        <f t="shared" si="18"/>
        <v>1D</v>
      </c>
      <c r="Y159" s="174">
        <f>_xll.qlCalendarAdvance(Calendar,Y158,X159,"f",FALSE)</f>
        <v>42146</v>
      </c>
      <c r="Z159" s="198">
        <f>_xll.qlCalendarAdvance(Calendar,Y159,NDays&amp;"D")</f>
        <v>42150</v>
      </c>
      <c r="AA159" s="173">
        <v>2.0887613967592094E-3</v>
      </c>
      <c r="AB159" s="182">
        <v>2.0405073753071434E-3</v>
      </c>
    </row>
    <row r="160" spans="13:28" x14ac:dyDescent="0.2">
      <c r="M160" s="303" t="str">
        <v>obj_0078d#0000</v>
      </c>
      <c r="N160" s="186" t="str">
        <f>_xll.qlRateHelperQuoteName(M160)</f>
        <v>EUR5F11Y_Quote</v>
      </c>
      <c r="O160" s="174">
        <f>_xll.qlInterestRateIndexFixingDate(R160,_xll.qlRateHelperEarliestDate(M160,Trigger),)</f>
        <v>43769</v>
      </c>
      <c r="P160" s="201">
        <f>_xll.qlRateHelperQuoteValue(M160,_xll.ohTrigger(RecalcTrigger,YieldCurve))</f>
        <v>2.0959999999999999E-2</v>
      </c>
      <c r="Q160" s="204" t="str">
        <f t="shared" si="19"/>
        <v>11Y</v>
      </c>
      <c r="R160" s="204" t="str">
        <f>_xll.qlSwapIndex(,"Euribor",Q160,NDays,Currency,Calendar,"1Y","mf","30/360 (Bond Basis)",IborIndex,Discounting,,_xll.ohTrigger(Trigger,RecalcTrigger))</f>
        <v>obj_00a12#0000</v>
      </c>
      <c r="S160" s="204" t="str">
        <f>_xll.qlVanillaSwapFromSwapIndex(,R160,O160)</f>
        <v>obj_00aca#0000</v>
      </c>
      <c r="T160" s="191">
        <f>_xll.qlVanillaSwapFairRate(S160)</f>
        <v>2.0955028432808661E-2</v>
      </c>
      <c r="U160" s="300">
        <f t="shared" si="17"/>
        <v>-4.9715671913384829E-6</v>
      </c>
      <c r="X160" s="186" t="str">
        <f t="shared" si="18"/>
        <v>1D</v>
      </c>
      <c r="Y160" s="174">
        <f>_xll.qlCalendarAdvance(Calendar,Y159,X160,"f",FALSE)</f>
        <v>42149</v>
      </c>
      <c r="Z160" s="198">
        <f>_xll.qlCalendarAdvance(Calendar,Y160,NDays&amp;"D")</f>
        <v>42151</v>
      </c>
      <c r="AA160" s="173">
        <v>2.088813213500542E-3</v>
      </c>
      <c r="AB160" s="182">
        <v>2.0446605189761158E-3</v>
      </c>
    </row>
    <row r="161" spans="13:28" x14ac:dyDescent="0.2">
      <c r="M161" s="303" t="str">
        <v>obj_0083d#0000</v>
      </c>
      <c r="N161" s="186" t="str">
        <f>_xll.qlRateHelperQuoteName(M161)</f>
        <v>EUR5F12Y_Quote</v>
      </c>
      <c r="O161" s="174">
        <f>_xll.qlInterestRateIndexFixingDate(R161,_xll.qlRateHelperEarliestDate(M161,Trigger),)</f>
        <v>43769</v>
      </c>
      <c r="P161" s="201">
        <f>_xll.qlRateHelperQuoteValue(M161,_xll.ohTrigger(RecalcTrigger,YieldCurve))</f>
        <v>2.1230000000000002E-2</v>
      </c>
      <c r="Q161" s="204" t="str">
        <f t="shared" si="19"/>
        <v>12Y</v>
      </c>
      <c r="R161" s="204" t="str">
        <f>_xll.qlSwapIndex(,"Euribor",Q161,NDays,Currency,Calendar,"1Y","mf","30/360 (Bond Basis)",IborIndex,Discounting,,_xll.ohTrigger(Trigger,RecalcTrigger))</f>
        <v>obj_00901#0000</v>
      </c>
      <c r="S161" s="204" t="str">
        <f>_xll.qlVanillaSwapFromSwapIndex(,R161,O161)</f>
        <v>obj_00b8c#0000</v>
      </c>
      <c r="T161" s="191">
        <f>_xll.qlVanillaSwapFairRate(S161)</f>
        <v>2.1226676132093086E-2</v>
      </c>
      <c r="U161" s="300">
        <f t="shared" si="17"/>
        <v>-3.3238679069159949E-6</v>
      </c>
      <c r="X161" s="186" t="str">
        <f t="shared" si="18"/>
        <v>1D</v>
      </c>
      <c r="Y161" s="174">
        <f>_xll.qlCalendarAdvance(Calendar,Y160,X161,"f",FALSE)</f>
        <v>42150</v>
      </c>
      <c r="Z161" s="198">
        <f>_xll.qlCalendarAdvance(Calendar,Y161,NDays&amp;"D")</f>
        <v>42152</v>
      </c>
      <c r="AA161" s="173">
        <v>2.0888016184020699E-3</v>
      </c>
      <c r="AB161" s="182">
        <v>2.0491337754613426E-3</v>
      </c>
    </row>
    <row r="162" spans="13:28" x14ac:dyDescent="0.2">
      <c r="M162" s="303" t="str">
        <v>obj_007b2#0000</v>
      </c>
      <c r="N162" s="186" t="str">
        <f>_xll.qlRateHelperQuoteName(M162)</f>
        <v>EUR5F13Y_Quote</v>
      </c>
      <c r="O162" s="174">
        <f>_xll.qlInterestRateIndexFixingDate(R162,_xll.qlRateHelperEarliestDate(M162,Trigger),)</f>
        <v>43769</v>
      </c>
      <c r="P162" s="201">
        <f>_xll.qlRateHelperQuoteValue(M162,_xll.ohTrigger(RecalcTrigger,YieldCurve))</f>
        <v>2.1440000000000001E-2</v>
      </c>
      <c r="Q162" s="204" t="str">
        <f t="shared" si="19"/>
        <v>13Y</v>
      </c>
      <c r="R162" s="204" t="str">
        <f>_xll.qlSwapIndex(,"Euribor",Q162,NDays,Currency,Calendar,"1Y","mf","30/360 (Bond Basis)",IborIndex,Discounting,,_xll.ohTrigger(Trigger,RecalcTrigger))</f>
        <v>obj_008f8#0000</v>
      </c>
      <c r="S162" s="204" t="str">
        <f>_xll.qlVanillaSwapFromSwapIndex(,R162,O162)</f>
        <v>obj_00b76#0000</v>
      </c>
      <c r="T162" s="191">
        <f>_xll.qlVanillaSwapFairRate(S162)</f>
        <v>2.1446384508926556E-2</v>
      </c>
      <c r="U162" s="300">
        <f t="shared" si="17"/>
        <v>6.3845089265553157E-6</v>
      </c>
      <c r="X162" s="186" t="str">
        <f t="shared" si="18"/>
        <v>1D</v>
      </c>
      <c r="Y162" s="174">
        <f>_xll.qlCalendarAdvance(Calendar,Y161,X162,"f",FALSE)</f>
        <v>42151</v>
      </c>
      <c r="Z162" s="198">
        <f>_xll.qlCalendarAdvance(Calendar,Y162,NDays&amp;"D")</f>
        <v>42153</v>
      </c>
      <c r="AA162" s="173">
        <v>2.0890041484830481E-3</v>
      </c>
      <c r="AB162" s="182">
        <v>2.0591591097574025E-3</v>
      </c>
    </row>
    <row r="163" spans="13:28" x14ac:dyDescent="0.2">
      <c r="M163" s="303" t="str">
        <v>obj_007e7#0000</v>
      </c>
      <c r="N163" s="186" t="str">
        <f>_xll.qlRateHelperQuoteName(M163)</f>
        <v>EUR5F14Y_Quote</v>
      </c>
      <c r="O163" s="174">
        <f>_xll.qlInterestRateIndexFixingDate(R163,_xll.qlRateHelperEarliestDate(M163,Trigger),)</f>
        <v>43769</v>
      </c>
      <c r="P163" s="201">
        <f>_xll.qlRateHelperQuoteValue(M163,_xll.ohTrigger(RecalcTrigger,YieldCurve))</f>
        <v>2.1610000000000001E-2</v>
      </c>
      <c r="Q163" s="204" t="str">
        <f t="shared" si="19"/>
        <v>14Y</v>
      </c>
      <c r="R163" s="204" t="str">
        <f>_xll.qlSwapIndex(,"Euribor",Q163,NDays,Currency,Calendar,"1Y","mf","30/360 (Bond Basis)",IborIndex,Discounting,,_xll.ohTrigger(Trigger,RecalcTrigger))</f>
        <v>obj_00a27#0000</v>
      </c>
      <c r="S163" s="204" t="str">
        <f>_xll.qlVanillaSwapFromSwapIndex(,R163,O163)</f>
        <v>obj_00a30#0000</v>
      </c>
      <c r="T163" s="191">
        <f>_xll.qlVanillaSwapFairRate(S163)</f>
        <v>2.1609691403746432E-2</v>
      </c>
      <c r="U163" s="300">
        <f t="shared" si="17"/>
        <v>-3.0859625356829956E-7</v>
      </c>
      <c r="X163" s="186" t="str">
        <f t="shared" si="18"/>
        <v>1D</v>
      </c>
      <c r="Y163" s="174">
        <f>_xll.qlCalendarAdvance(Calendar,Y162,X163,"f",FALSE)</f>
        <v>42152</v>
      </c>
      <c r="Z163" s="198">
        <f>_xll.qlCalendarAdvance(Calendar,Y163,NDays&amp;"D")</f>
        <v>42156</v>
      </c>
      <c r="AA163" s="173">
        <v>2.0895117532873427E-3</v>
      </c>
      <c r="AB163" s="182">
        <v>2.0702279311635152E-3</v>
      </c>
    </row>
    <row r="164" spans="13:28" x14ac:dyDescent="0.2">
      <c r="M164" s="303" t="str">
        <v>obj_007bf#0000</v>
      </c>
      <c r="N164" s="186" t="str">
        <f>_xll.qlRateHelperQuoteName(M164)</f>
        <v>EUR5F15Y_Quote</v>
      </c>
      <c r="O164" s="174">
        <f>_xll.qlInterestRateIndexFixingDate(R164,_xll.qlRateHelperEarliestDate(M164,Trigger),)</f>
        <v>43769</v>
      </c>
      <c r="P164" s="201">
        <f>_xll.qlRateHelperQuoteValue(M164,_xll.ohTrigger(RecalcTrigger,YieldCurve))</f>
        <v>2.1720000000000003E-2</v>
      </c>
      <c r="Q164" s="204" t="str">
        <f t="shared" si="19"/>
        <v>15Y</v>
      </c>
      <c r="R164" s="204" t="str">
        <f>_xll.qlSwapIndex(,"Euribor",Q164,NDays,Currency,Calendar,"1Y","mf","30/360 (Bond Basis)",IborIndex,Discounting,,_xll.ohTrigger(Trigger,RecalcTrigger))</f>
        <v>obj_00973#0000</v>
      </c>
      <c r="S164" s="204" t="str">
        <f>_xll.qlVanillaSwapFromSwapIndex(,R164,O164)</f>
        <v>obj_00ac2#0000</v>
      </c>
      <c r="T164" s="191">
        <f>_xll.qlVanillaSwapFairRate(S164)</f>
        <v>2.1725760727173794E-2</v>
      </c>
      <c r="U164" s="300">
        <f t="shared" si="17"/>
        <v>5.7607271737904198E-6</v>
      </c>
      <c r="X164" s="186" t="str">
        <f t="shared" si="18"/>
        <v>1D</v>
      </c>
      <c r="Y164" s="174">
        <f>_xll.qlCalendarAdvance(Calendar,Y163,X164,"f",FALSE)</f>
        <v>42153</v>
      </c>
      <c r="Z164" s="198">
        <f>_xll.qlCalendarAdvance(Calendar,Y164,NDays&amp;"D")</f>
        <v>42157</v>
      </c>
      <c r="AA164" s="173">
        <v>2.0897321942210463E-3</v>
      </c>
      <c r="AB164" s="182">
        <v>2.0763017525293748E-3</v>
      </c>
    </row>
    <row r="165" spans="13:28" x14ac:dyDescent="0.2">
      <c r="M165" s="303" t="str">
        <v>obj_007b6#0000</v>
      </c>
      <c r="N165" s="186" t="str">
        <f>_xll.qlRateHelperQuoteName(M165)</f>
        <v>EUR5F20Y_Quote</v>
      </c>
      <c r="O165" s="174">
        <f>_xll.qlInterestRateIndexFixingDate(R165,_xll.qlRateHelperEarliestDate(M165,Trigger),)</f>
        <v>43769</v>
      </c>
      <c r="P165" s="201">
        <f>_xll.qlRateHelperQuoteValue(M165,_xll.ohTrigger(RecalcTrigger,YieldCurve))</f>
        <v>2.181E-2</v>
      </c>
      <c r="Q165" s="204" t="str">
        <f t="shared" si="19"/>
        <v>20Y</v>
      </c>
      <c r="R165" s="204" t="str">
        <f>_xll.qlSwapIndex(,"Euribor",Q165,NDays,Currency,Calendar,"1Y","mf","30/360 (Bond Basis)",IborIndex,Discounting,,_xll.ohTrigger(Trigger,RecalcTrigger))</f>
        <v>obj_0098f#0000</v>
      </c>
      <c r="S165" s="204" t="str">
        <f>_xll.qlVanillaSwapFromSwapIndex(,R165,O165)</f>
        <v>obj_00afa#0000</v>
      </c>
      <c r="T165" s="191">
        <f>_xll.qlVanillaSwapFairRate(S165)</f>
        <v>2.1816076767413876E-2</v>
      </c>
      <c r="U165" s="300">
        <f t="shared" si="17"/>
        <v>6.076767413876194E-6</v>
      </c>
      <c r="X165" s="186" t="str">
        <f t="shared" si="18"/>
        <v>1D</v>
      </c>
      <c r="Y165" s="174">
        <f>_xll.qlCalendarAdvance(Calendar,Y164,X165,"f",FALSE)</f>
        <v>42156</v>
      </c>
      <c r="Z165" s="198">
        <f>_xll.qlCalendarAdvance(Calendar,Y165,NDays&amp;"D")</f>
        <v>42158</v>
      </c>
      <c r="AA165" s="173">
        <v>2.0900000002991252E-3</v>
      </c>
      <c r="AB165" s="182">
        <v>2.0825690034076416E-3</v>
      </c>
    </row>
    <row r="166" spans="13:28" x14ac:dyDescent="0.2">
      <c r="M166" s="303" t="str">
        <v>obj_0077f#0000</v>
      </c>
      <c r="N166" s="186" t="str">
        <f>_xll.qlRateHelperQuoteName(M166)</f>
        <v>EUR5F25Y_Quote</v>
      </c>
      <c r="O166" s="174">
        <f>_xll.qlInterestRateIndexFixingDate(R166,_xll.qlRateHelperEarliestDate(M166,Trigger),)</f>
        <v>43769</v>
      </c>
      <c r="P166" s="201">
        <f>_xll.qlRateHelperQuoteValue(M166,_xll.ohTrigger(RecalcTrigger,YieldCurve))</f>
        <v>2.162E-2</v>
      </c>
      <c r="Q166" s="204" t="str">
        <f t="shared" si="19"/>
        <v>25Y</v>
      </c>
      <c r="R166" s="204" t="str">
        <f>_xll.qlSwapIndex(,"Euribor",Q166,NDays,Currency,Calendar,"1Y","mf","30/360 (Bond Basis)",IborIndex,Discounting,,_xll.ohTrigger(Trigger,RecalcTrigger))</f>
        <v>obj_0092d#0000</v>
      </c>
      <c r="S166" s="204" t="str">
        <f>_xll.qlVanillaSwapFromSwapIndex(,R166,O166)</f>
        <v>obj_00a47#0000</v>
      </c>
      <c r="T166" s="191">
        <f>_xll.qlVanillaSwapFairRate(S166)</f>
        <v>2.1620572518849999E-2</v>
      </c>
      <c r="U166" s="300">
        <f t="shared" si="17"/>
        <v>5.7251884999845459E-7</v>
      </c>
      <c r="X166" s="186" t="str">
        <f t="shared" si="18"/>
        <v>1D</v>
      </c>
      <c r="Y166" s="174">
        <f>_xll.qlCalendarAdvance(Calendar,Y165,X166,"f",FALSE)</f>
        <v>42157</v>
      </c>
      <c r="Z166" s="198">
        <f>_xll.qlCalendarAdvance(Calendar,Y166,NDays&amp;"D")</f>
        <v>42159</v>
      </c>
      <c r="AA166" s="173">
        <v>2.0903175733956881E-3</v>
      </c>
      <c r="AB166" s="182">
        <v>2.0885229493838864E-3</v>
      </c>
    </row>
    <row r="167" spans="13:28" ht="12" thickBot="1" x14ac:dyDescent="0.25">
      <c r="M167" s="304" t="str">
        <v>obj_0078b#0000</v>
      </c>
      <c r="N167" s="187" t="str">
        <f>_xll.qlRateHelperQuoteName(M167)</f>
        <v>EUR5F30Y_Quote</v>
      </c>
      <c r="O167" s="184">
        <f>_xll.qlInterestRateIndexFixingDate(R167,_xll.qlRateHelperEarliestDate(M167,Trigger),)</f>
        <v>43769</v>
      </c>
      <c r="P167" s="202">
        <f>_xll.qlRateHelperQuoteValue(M167,_xll.ohTrigger(RecalcTrigger,YieldCurve))</f>
        <v>2.1530000000000001E-2</v>
      </c>
      <c r="Q167" s="205" t="str">
        <f t="shared" si="19"/>
        <v>30Y</v>
      </c>
      <c r="R167" s="205" t="str">
        <f>_xll.qlSwapIndex(,"Euribor",Q167,NDays,Currency,Calendar,"1Y","mf","30/360 (Bond Basis)",IborIndex,Discounting,,_xll.ohTrigger(Trigger,RecalcTrigger))</f>
        <v>obj_00952#0000</v>
      </c>
      <c r="S167" s="205" t="str">
        <f>_xll.qlVanillaSwapFromSwapIndex(,R167,O167)</f>
        <v>obj_00b77#0000</v>
      </c>
      <c r="T167" s="193">
        <f>_xll.qlVanillaSwapFairRate(S167)</f>
        <v>2.1530481131718668E-2</v>
      </c>
      <c r="U167" s="301">
        <f t="shared" si="17"/>
        <v>4.8113171866731586E-7</v>
      </c>
      <c r="X167" s="186" t="str">
        <f t="shared" si="18"/>
        <v>1D</v>
      </c>
      <c r="Y167" s="174">
        <f>_xll.qlCalendarAdvance(Calendar,Y166,X167,"f",FALSE)</f>
        <v>42158</v>
      </c>
      <c r="Z167" s="198">
        <f>_xll.qlCalendarAdvance(Calendar,Y167,NDays&amp;"D")</f>
        <v>42160</v>
      </c>
      <c r="AA167" s="173">
        <v>2.0916426714057915E-3</v>
      </c>
      <c r="AB167" s="182">
        <v>2.0989764514478537E-3</v>
      </c>
    </row>
    <row r="168" spans="13:28" x14ac:dyDescent="0.2">
      <c r="M168" s="305" t="str">
        <v>obj_0087e#0000</v>
      </c>
      <c r="N168" s="289" t="str">
        <f>_xll.qlRateHelperQuoteName(M168)</f>
        <v>EUR6F1Y_Quote</v>
      </c>
      <c r="O168" s="286">
        <f>_xll.qlInterestRateIndexFixingDate(R168,_xll.qlRateHelperEarliestDate(M168,Trigger),)</f>
        <v>44134</v>
      </c>
      <c r="P168" s="287">
        <f>_xll.qlRateHelperQuoteValue(M168,_xll.ohTrigger(RecalcTrigger,YieldCurve))</f>
        <v>1.512E-2</v>
      </c>
      <c r="Q168" s="285" t="str">
        <f t="shared" ref="Q168:Q185" si="20">SUBSTITUTE(SUBSTITUTE(N168,"_Quote",""),"EUR6F","")</f>
        <v>1Y</v>
      </c>
      <c r="R168" s="285" t="str">
        <f>_xll.qlSwapIndex(,"Euribor",Q168,NDays,Currency,Calendar,"1Y","mf","30/360 (Bond Basis)",IborIndex,Discounting,,_xll.ohTrigger(Trigger,RecalcTrigger))</f>
        <v>obj_00915#0000</v>
      </c>
      <c r="S168" s="285" t="str">
        <f>_xll.qlVanillaSwapFromSwapIndex(,R168,O168)</f>
        <v>obj_00b2b#0000</v>
      </c>
      <c r="T168" s="288">
        <f>_xll.qlVanillaSwapFairRate(S168)</f>
        <v>1.5096470213023133E-2</v>
      </c>
      <c r="U168" s="302">
        <f t="shared" si="17"/>
        <v>-2.3529786976866918E-5</v>
      </c>
      <c r="X168" s="186" t="str">
        <f t="shared" si="18"/>
        <v>1D</v>
      </c>
      <c r="Y168" s="174">
        <f>_xll.qlCalendarAdvance(Calendar,Y167,X168,"f",FALSE)</f>
        <v>42159</v>
      </c>
      <c r="Z168" s="198">
        <f>_xll.qlCalendarAdvance(Calendar,Y168,NDays&amp;"D")</f>
        <v>42163</v>
      </c>
      <c r="AA168" s="173">
        <v>2.0920751474767158E-3</v>
      </c>
      <c r="AB168" s="182">
        <v>2.1079388497113882E-3</v>
      </c>
    </row>
    <row r="169" spans="13:28" x14ac:dyDescent="0.2">
      <c r="M169" s="303" t="str">
        <v>obj_00854#0000</v>
      </c>
      <c r="N169" s="186" t="str">
        <f>_xll.qlRateHelperQuoteName(M169)</f>
        <v>EUR6F2Y_Quote</v>
      </c>
      <c r="O169" s="174">
        <f>_xll.qlInterestRateIndexFixingDate(R169,_xll.qlRateHelperEarliestDate(M169,Trigger),)</f>
        <v>44134</v>
      </c>
      <c r="P169" s="201">
        <f>_xll.qlRateHelperQuoteValue(M169,_xll.ohTrigger(RecalcTrigger,YieldCurve))</f>
        <v>1.66E-2</v>
      </c>
      <c r="Q169" s="204" t="str">
        <f t="shared" si="20"/>
        <v>2Y</v>
      </c>
      <c r="R169" s="204" t="str">
        <f>_xll.qlSwapIndex(,"Euribor",Q169,NDays,Currency,Calendar,"1Y","mf","30/360 (Bond Basis)",IborIndex,Discounting,,_xll.ohTrigger(Trigger,RecalcTrigger))</f>
        <v>obj_00955#0000</v>
      </c>
      <c r="S169" s="204" t="str">
        <f>_xll.qlVanillaSwapFromSwapIndex(,R169,O169)</f>
        <v>obj_00b17#0000</v>
      </c>
      <c r="T169" s="191">
        <f>_xll.qlVanillaSwapFairRate(S169)</f>
        <v>1.6599036054251219E-2</v>
      </c>
      <c r="U169" s="300">
        <f t="shared" si="17"/>
        <v>-9.6394574878103101E-7</v>
      </c>
      <c r="X169" s="186" t="str">
        <f t="shared" si="18"/>
        <v>1D</v>
      </c>
      <c r="Y169" s="174">
        <f>_xll.qlCalendarAdvance(Calendar,Y168,X169,"f",FALSE)</f>
        <v>42160</v>
      </c>
      <c r="Z169" s="198">
        <f>_xll.qlCalendarAdvance(Calendar,Y169,NDays&amp;"D")</f>
        <v>42164</v>
      </c>
      <c r="AA169" s="173">
        <v>2.0926321413773357E-3</v>
      </c>
      <c r="AB169" s="182">
        <v>2.1116928536990542E-3</v>
      </c>
    </row>
    <row r="170" spans="13:28" x14ac:dyDescent="0.2">
      <c r="M170" s="303" t="str">
        <v>obj_00820#0000</v>
      </c>
      <c r="N170" s="186" t="str">
        <f>_xll.qlRateHelperQuoteName(M170)</f>
        <v>EUR6F3Y_Quote</v>
      </c>
      <c r="O170" s="174">
        <f>_xll.qlInterestRateIndexFixingDate(R170,_xll.qlRateHelperEarliestDate(M170,Trigger),)</f>
        <v>44134</v>
      </c>
      <c r="P170" s="201">
        <f>_xll.qlRateHelperQuoteValue(M170,_xll.ohTrigger(RecalcTrigger,YieldCurve))</f>
        <v>1.7840000000000002E-2</v>
      </c>
      <c r="Q170" s="204" t="str">
        <f t="shared" si="20"/>
        <v>3Y</v>
      </c>
      <c r="R170" s="204" t="str">
        <f>_xll.qlSwapIndex(,"Euribor",Q170,NDays,Currency,Calendar,"1Y","mf","30/360 (Bond Basis)",IborIndex,Discounting,,_xll.ohTrigger(Trigger,RecalcTrigger))</f>
        <v>obj_009c3#0000</v>
      </c>
      <c r="S170" s="204" t="str">
        <f>_xll.qlVanillaSwapFromSwapIndex(,R170,O170)</f>
        <v>obj_00b58#0000</v>
      </c>
      <c r="T170" s="191">
        <f>_xll.qlVanillaSwapFairRate(S170)</f>
        <v>1.7841959667864577E-2</v>
      </c>
      <c r="U170" s="300">
        <f t="shared" si="17"/>
        <v>1.9596678645754373E-6</v>
      </c>
      <c r="X170" s="186" t="str">
        <f t="shared" si="18"/>
        <v>1D</v>
      </c>
      <c r="Y170" s="174">
        <f>_xll.qlCalendarAdvance(Calendar,Y169,X170,"f",FALSE)</f>
        <v>42163</v>
      </c>
      <c r="Z170" s="198">
        <f>_xll.qlCalendarAdvance(Calendar,Y170,NDays&amp;"D")</f>
        <v>42165</v>
      </c>
      <c r="AA170" s="173">
        <v>2.0932344874214168E-3</v>
      </c>
      <c r="AB170" s="182">
        <v>2.1150068693209789E-3</v>
      </c>
    </row>
    <row r="171" spans="13:28" x14ac:dyDescent="0.2">
      <c r="M171" s="303" t="str">
        <v>obj_0078e#0000</v>
      </c>
      <c r="N171" s="186" t="str">
        <f>_xll.qlRateHelperQuoteName(M171)</f>
        <v>EUR6F4Y_Quote</v>
      </c>
      <c r="O171" s="174">
        <f>_xll.qlInterestRateIndexFixingDate(R171,_xll.qlRateHelperEarliestDate(M171,Trigger),)</f>
        <v>44134</v>
      </c>
      <c r="P171" s="201">
        <f>_xll.qlRateHelperQuoteValue(M171,_xll.ohTrigger(RecalcTrigger,YieldCurve))</f>
        <v>1.8870000000000001E-2</v>
      </c>
      <c r="Q171" s="204" t="str">
        <f t="shared" si="20"/>
        <v>4Y</v>
      </c>
      <c r="R171" s="204" t="str">
        <f>_xll.qlSwapIndex(,"Euribor",Q171,NDays,Currency,Calendar,"1Y","mf","30/360 (Bond Basis)",IborIndex,Discounting,,_xll.ohTrigger(Trigger,RecalcTrigger))</f>
        <v>obj_009ad#0000</v>
      </c>
      <c r="S171" s="204" t="str">
        <f>_xll.qlVanillaSwapFromSwapIndex(,R171,O171)</f>
        <v>obj_00b59#0000</v>
      </c>
      <c r="T171" s="191">
        <f>_xll.qlVanillaSwapFairRate(S171)</f>
        <v>1.8868387665561353E-2</v>
      </c>
      <c r="U171" s="300">
        <f t="shared" si="17"/>
        <v>-1.6123344386484439E-6</v>
      </c>
      <c r="X171" s="186" t="str">
        <f t="shared" si="18"/>
        <v>1D</v>
      </c>
      <c r="Y171" s="174">
        <f>_xll.qlCalendarAdvance(Calendar,Y170,X171,"f",FALSE)</f>
        <v>42164</v>
      </c>
      <c r="Z171" s="198">
        <f>_xll.qlCalendarAdvance(Calendar,Y171,NDays&amp;"D")</f>
        <v>42166</v>
      </c>
      <c r="AA171" s="173">
        <v>2.093881341609117E-3</v>
      </c>
      <c r="AB171" s="182">
        <v>2.1178808964972262E-3</v>
      </c>
    </row>
    <row r="172" spans="13:28" x14ac:dyDescent="0.2">
      <c r="M172" s="303" t="str">
        <v>obj_007a3#0000</v>
      </c>
      <c r="N172" s="186" t="str">
        <f>_xll.qlRateHelperQuoteName(M172)</f>
        <v>EUR6F5Y_Quote</v>
      </c>
      <c r="O172" s="174">
        <f>_xll.qlInterestRateIndexFixingDate(R172,_xll.qlRateHelperEarliestDate(M172,Trigger),)</f>
        <v>44134</v>
      </c>
      <c r="P172" s="201">
        <f>_xll.qlRateHelperQuoteValue(M172,_xll.ohTrigger(RecalcTrigger,YieldCurve))</f>
        <v>1.9710000000000002E-2</v>
      </c>
      <c r="Q172" s="204" t="str">
        <f t="shared" si="20"/>
        <v>5Y</v>
      </c>
      <c r="R172" s="204" t="str">
        <f>_xll.qlSwapIndex(,"Euribor",Q172,NDays,Currency,Calendar,"1Y","mf","30/360 (Bond Basis)",IborIndex,Discounting,,_xll.ohTrigger(Trigger,RecalcTrigger))</f>
        <v>obj_009c9#0000</v>
      </c>
      <c r="S172" s="204" t="str">
        <f>_xll.qlVanillaSwapFromSwapIndex(,R172,O172)</f>
        <v>obj_00aab#0000</v>
      </c>
      <c r="T172" s="191">
        <f>_xll.qlVanillaSwapFairRate(S172)</f>
        <v>1.9699181438179308E-2</v>
      </c>
      <c r="U172" s="300">
        <f t="shared" si="17"/>
        <v>-1.0818561820693379E-5</v>
      </c>
      <c r="X172" s="186" t="str">
        <f t="shared" si="18"/>
        <v>1D</v>
      </c>
      <c r="Y172" s="174">
        <f>_xll.qlCalendarAdvance(Calendar,Y171,X172,"f",FALSE)</f>
        <v>42165</v>
      </c>
      <c r="Z172" s="198">
        <f>_xll.qlCalendarAdvance(Calendar,Y172,NDays&amp;"D")</f>
        <v>42167</v>
      </c>
      <c r="AA172" s="173">
        <v>2.096377788496002E-3</v>
      </c>
      <c r="AB172" s="182">
        <v>2.1221748324506962E-3</v>
      </c>
    </row>
    <row r="173" spans="13:28" x14ac:dyDescent="0.2">
      <c r="M173" s="303" t="str">
        <v>obj_007cb#0000</v>
      </c>
      <c r="N173" s="186" t="str">
        <f>_xll.qlRateHelperQuoteName(M173)</f>
        <v>EUR6F6Y_Quote</v>
      </c>
      <c r="O173" s="174">
        <f>_xll.qlInterestRateIndexFixingDate(R173,_xll.qlRateHelperEarliestDate(M173,Trigger),)</f>
        <v>44134</v>
      </c>
      <c r="P173" s="201">
        <f>_xll.qlRateHelperQuoteValue(M173,_xll.ohTrigger(RecalcTrigger,YieldCurve))</f>
        <v>2.0379999999999999E-2</v>
      </c>
      <c r="Q173" s="204" t="str">
        <f t="shared" si="20"/>
        <v>6Y</v>
      </c>
      <c r="R173" s="204" t="str">
        <f>_xll.qlSwapIndex(,"Euribor",Q173,NDays,Currency,Calendar,"1Y","mf","30/360 (Bond Basis)",IborIndex,Discounting,,_xll.ohTrigger(Trigger,RecalcTrigger))</f>
        <v>obj_009c7#0000</v>
      </c>
      <c r="S173" s="204" t="str">
        <f>_xll.qlVanillaSwapFromSwapIndex(,R173,O173)</f>
        <v>obj_00b3e#0000</v>
      </c>
      <c r="T173" s="191">
        <f>_xll.qlVanillaSwapFairRate(S173)</f>
        <v>2.0376084352117053E-2</v>
      </c>
      <c r="U173" s="300">
        <f t="shared" si="17"/>
        <v>-3.9156478829453778E-6</v>
      </c>
      <c r="X173" s="186" t="str">
        <f t="shared" si="18"/>
        <v>1D</v>
      </c>
      <c r="Y173" s="174">
        <f>_xll.qlCalendarAdvance(Calendar,Y172,X173,"f",FALSE)</f>
        <v>42166</v>
      </c>
      <c r="Z173" s="198">
        <f>_xll.qlCalendarAdvance(Calendar,Y173,NDays&amp;"D")</f>
        <v>42170</v>
      </c>
      <c r="AA173" s="173">
        <v>2.096896959857346E-3</v>
      </c>
      <c r="AB173" s="182">
        <v>2.1249771202658252E-3</v>
      </c>
    </row>
    <row r="174" spans="13:28" x14ac:dyDescent="0.2">
      <c r="M174" s="303" t="str">
        <v>obj_0086b#0000</v>
      </c>
      <c r="N174" s="186" t="str">
        <f>_xll.qlRateHelperQuoteName(M174)</f>
        <v>EUR6F7Y_Quote</v>
      </c>
      <c r="O174" s="174">
        <f>_xll.qlInterestRateIndexFixingDate(R174,_xll.qlRateHelperEarliestDate(M174,Trigger),)</f>
        <v>44134</v>
      </c>
      <c r="P174" s="201">
        <f>_xll.qlRateHelperQuoteValue(M174,_xll.ohTrigger(RecalcTrigger,YieldCurve))</f>
        <v>2.0920000000000001E-2</v>
      </c>
      <c r="Q174" s="204" t="str">
        <f t="shared" si="20"/>
        <v>7Y</v>
      </c>
      <c r="R174" s="204" t="str">
        <f>_xll.qlSwapIndex(,"Euribor",Q174,NDays,Currency,Calendar,"1Y","mf","30/360 (Bond Basis)",IborIndex,Discounting,,_xll.ohTrigger(Trigger,RecalcTrigger))</f>
        <v>obj_009f5#0000</v>
      </c>
      <c r="S174" s="204" t="str">
        <f>_xll.qlVanillaSwapFromSwapIndex(,R174,O174)</f>
        <v>obj_00aa6#0000</v>
      </c>
      <c r="T174" s="191">
        <f>_xll.qlVanillaSwapFairRate(S174)</f>
        <v>2.0909190990261752E-2</v>
      </c>
      <c r="U174" s="300">
        <f t="shared" si="17"/>
        <v>-1.0809009738248915E-5</v>
      </c>
      <c r="X174" s="186" t="str">
        <f t="shared" si="18"/>
        <v>1D</v>
      </c>
      <c r="Y174" s="174">
        <f>_xll.qlCalendarAdvance(Calendar,Y173,X174,"f",FALSE)</f>
        <v>42167</v>
      </c>
      <c r="Z174" s="198">
        <f>_xll.qlCalendarAdvance(Calendar,Y174,NDays&amp;"D")</f>
        <v>42171</v>
      </c>
      <c r="AA174" s="173">
        <v>2.0977536948214109E-3</v>
      </c>
      <c r="AB174" s="182">
        <v>2.1256512049738774E-3</v>
      </c>
    </row>
    <row r="175" spans="13:28" x14ac:dyDescent="0.2">
      <c r="M175" s="303" t="str">
        <v>obj_0081a#0000</v>
      </c>
      <c r="N175" s="186" t="str">
        <f>_xll.qlRateHelperQuoteName(M175)</f>
        <v>EUR6F8Y_Quote</v>
      </c>
      <c r="O175" s="174">
        <f>_xll.qlInterestRateIndexFixingDate(R175,_xll.qlRateHelperEarliestDate(M175,Trigger),)</f>
        <v>44134</v>
      </c>
      <c r="P175" s="201">
        <f>_xll.qlRateHelperQuoteValue(M175,_xll.ohTrigger(RecalcTrigger,YieldCurve))</f>
        <v>2.1349999999999997E-2</v>
      </c>
      <c r="Q175" s="204" t="str">
        <f t="shared" si="20"/>
        <v>8Y</v>
      </c>
      <c r="R175" s="204" t="str">
        <f>_xll.qlSwapIndex(,"Euribor",Q175,NDays,Currency,Calendar,"1Y","mf","30/360 (Bond Basis)",IborIndex,Discounting,,_xll.ohTrigger(Trigger,RecalcTrigger))</f>
        <v>obj_0095d#0000</v>
      </c>
      <c r="S175" s="204" t="str">
        <f>_xll.qlVanillaSwapFromSwapIndex(,R175,O175)</f>
        <v>obj_00a65#0000</v>
      </c>
      <c r="T175" s="191">
        <f>_xll.qlVanillaSwapFairRate(S175)</f>
        <v>2.1341818361407014E-2</v>
      </c>
      <c r="U175" s="300">
        <f t="shared" si="17"/>
        <v>-8.1816385929835145E-6</v>
      </c>
      <c r="X175" s="186" t="str">
        <f t="shared" si="18"/>
        <v>1D</v>
      </c>
      <c r="Y175" s="174">
        <f>_xll.qlCalendarAdvance(Calendar,Y174,X175,"f",FALSE)</f>
        <v>42170</v>
      </c>
      <c r="Z175" s="198">
        <f>_xll.qlCalendarAdvance(Calendar,Y175,NDays&amp;"D")</f>
        <v>42172</v>
      </c>
      <c r="AA175" s="173">
        <v>2.0986498739623623E-3</v>
      </c>
      <c r="AB175" s="182">
        <v>2.1258853012362522E-3</v>
      </c>
    </row>
    <row r="176" spans="13:28" x14ac:dyDescent="0.2">
      <c r="M176" s="303" t="str">
        <v>obj_0080f#0000</v>
      </c>
      <c r="N176" s="186" t="str">
        <f>_xll.qlRateHelperQuoteName(M176)</f>
        <v>EUR6F9Y_Quote</v>
      </c>
      <c r="O176" s="174">
        <f>_xll.qlInterestRateIndexFixingDate(R176,_xll.qlRateHelperEarliestDate(M176,Trigger),)</f>
        <v>44134</v>
      </c>
      <c r="P176" s="201">
        <f>_xll.qlRateHelperQuoteValue(M176,_xll.ohTrigger(RecalcTrigger,YieldCurve))</f>
        <v>2.1690000000000001E-2</v>
      </c>
      <c r="Q176" s="204" t="str">
        <f t="shared" si="20"/>
        <v>9Y</v>
      </c>
      <c r="R176" s="204" t="str">
        <f>_xll.qlSwapIndex(,"Euribor",Q176,NDays,Currency,Calendar,"1Y","mf","30/360 (Bond Basis)",IborIndex,Discounting,,_xll.ohTrigger(Trigger,RecalcTrigger))</f>
        <v>obj_009c5#0000</v>
      </c>
      <c r="S176" s="204" t="str">
        <f>_xll.qlVanillaSwapFromSwapIndex(,R176,O176)</f>
        <v>obj_00a3d#0000</v>
      </c>
      <c r="T176" s="191">
        <f>_xll.qlVanillaSwapFairRate(S176)</f>
        <v>2.168524642747054E-2</v>
      </c>
      <c r="U176" s="300">
        <f t="shared" si="17"/>
        <v>-4.753572529461042E-6</v>
      </c>
      <c r="X176" s="186" t="str">
        <f t="shared" si="18"/>
        <v>1D</v>
      </c>
      <c r="Y176" s="174">
        <f>_xll.qlCalendarAdvance(Calendar,Y175,X176,"f",FALSE)</f>
        <v>42171</v>
      </c>
      <c r="Z176" s="198">
        <f>_xll.qlCalendarAdvance(Calendar,Y176,NDays&amp;"D")</f>
        <v>42173</v>
      </c>
      <c r="AA176" s="173">
        <v>2.0995846532895304E-3</v>
      </c>
      <c r="AB176" s="182">
        <v>2.1256794089730136E-3</v>
      </c>
    </row>
    <row r="177" spans="13:28" x14ac:dyDescent="0.2">
      <c r="M177" s="303" t="str">
        <v>obj_007cd#0000</v>
      </c>
      <c r="N177" s="186" t="str">
        <f>_xll.qlRateHelperQuoteName(M177)</f>
        <v>EUR6F10Y_Quote</v>
      </c>
      <c r="O177" s="174">
        <f>_xll.qlInterestRateIndexFixingDate(R177,_xll.qlRateHelperEarliestDate(M177,Trigger),)</f>
        <v>44134</v>
      </c>
      <c r="P177" s="201">
        <f>_xll.qlRateHelperQuoteValue(M177,_xll.ohTrigger(RecalcTrigger,YieldCurve))</f>
        <v>2.197E-2</v>
      </c>
      <c r="Q177" s="204" t="str">
        <f t="shared" si="20"/>
        <v>10Y</v>
      </c>
      <c r="R177" s="204" t="str">
        <f>_xll.qlSwapIndex(,"Euribor",Q177,NDays,Currency,Calendar,"1Y","mf","30/360 (Bond Basis)",IborIndex,Discounting,,_xll.ohTrigger(Trigger,RecalcTrigger))</f>
        <v>obj_009b3#0000</v>
      </c>
      <c r="S177" s="204" t="str">
        <f>_xll.qlVanillaSwapFromSwapIndex(,R177,O177)</f>
        <v>obj_00b32#0000</v>
      </c>
      <c r="T177" s="191">
        <f>_xll.qlVanillaSwapFairRate(S177)</f>
        <v>2.1959593363456389E-2</v>
      </c>
      <c r="U177" s="300">
        <f t="shared" si="17"/>
        <v>-1.0406636543610487E-5</v>
      </c>
      <c r="X177" s="186" t="str">
        <f t="shared" si="18"/>
        <v>1D</v>
      </c>
      <c r="Y177" s="174">
        <f>_xll.qlCalendarAdvance(Calendar,Y176,X177,"f",FALSE)</f>
        <v>42172</v>
      </c>
      <c r="Z177" s="198">
        <f>_xll.qlCalendarAdvance(Calendar,Y177,NDays&amp;"D")</f>
        <v>42174</v>
      </c>
      <c r="AA177" s="173">
        <v>2.1028732922909444E-3</v>
      </c>
      <c r="AB177" s="182">
        <v>2.123813525418683E-3</v>
      </c>
    </row>
    <row r="178" spans="13:28" x14ac:dyDescent="0.2">
      <c r="M178" s="303" t="str">
        <v>obj_007ea#0000</v>
      </c>
      <c r="N178" s="186" t="str">
        <f>_xll.qlRateHelperQuoteName(M178)</f>
        <v>EUR6F11Y_Quote</v>
      </c>
      <c r="O178" s="174">
        <f>_xll.qlInterestRateIndexFixingDate(R178,_xll.qlRateHelperEarliestDate(M178,Trigger),)</f>
        <v>44134</v>
      </c>
      <c r="P178" s="201">
        <f>_xll.qlRateHelperQuoteValue(M178,_xll.ohTrigger(RecalcTrigger,YieldCurve))</f>
        <v>2.2189999999999998E-2</v>
      </c>
      <c r="Q178" s="204" t="str">
        <f t="shared" si="20"/>
        <v>11Y</v>
      </c>
      <c r="R178" s="204" t="str">
        <f>_xll.qlSwapIndex(,"Euribor",Q178,NDays,Currency,Calendar,"1Y","mf","30/360 (Bond Basis)",IborIndex,Discounting,,_xll.ohTrigger(Trigger,RecalcTrigger))</f>
        <v>obj_0092a#0000</v>
      </c>
      <c r="S178" s="204" t="str">
        <f>_xll.qlVanillaSwapFromSwapIndex(,R178,O178)</f>
        <v>obj_00ae8#0000</v>
      </c>
      <c r="T178" s="191">
        <f>_xll.qlVanillaSwapFairRate(S178)</f>
        <v>2.2176532380890599E-2</v>
      </c>
      <c r="U178" s="300">
        <f t="shared" si="17"/>
        <v>-1.346761910939881E-5</v>
      </c>
      <c r="X178" s="186" t="str">
        <f t="shared" si="18"/>
        <v>1D</v>
      </c>
      <c r="Y178" s="174">
        <f>_xll.qlCalendarAdvance(Calendar,Y177,X178,"f",FALSE)</f>
        <v>42173</v>
      </c>
      <c r="Z178" s="198">
        <f>_xll.qlCalendarAdvance(Calendar,Y178,NDays&amp;"D")</f>
        <v>42177</v>
      </c>
      <c r="AA178" s="173">
        <v>2.1036928926744958E-3</v>
      </c>
      <c r="AB178" s="182">
        <v>2.1204559549836688E-3</v>
      </c>
    </row>
    <row r="179" spans="13:28" x14ac:dyDescent="0.2">
      <c r="M179" s="303" t="str">
        <v>obj_0082c#0000</v>
      </c>
      <c r="N179" s="186" t="str">
        <f>_xll.qlRateHelperQuoteName(M179)</f>
        <v>EUR6F12Y_Quote</v>
      </c>
      <c r="O179" s="174">
        <f>_xll.qlInterestRateIndexFixingDate(R179,_xll.qlRateHelperEarliestDate(M179,Trigger),)</f>
        <v>44134</v>
      </c>
      <c r="P179" s="201">
        <f>_xll.qlRateHelperQuoteValue(M179,_xll.ohTrigger(RecalcTrigger,YieldCurve))</f>
        <v>2.2349999999999998E-2</v>
      </c>
      <c r="Q179" s="204" t="str">
        <f t="shared" si="20"/>
        <v>12Y</v>
      </c>
      <c r="R179" s="204" t="str">
        <f>_xll.qlSwapIndex(,"Euribor",Q179,NDays,Currency,Calendar,"1Y","mf","30/360 (Bond Basis)",IborIndex,Discounting,,_xll.ohTrigger(Trigger,RecalcTrigger))</f>
        <v>obj_0094f#0000</v>
      </c>
      <c r="S179" s="204" t="str">
        <f>_xll.qlVanillaSwapFromSwapIndex(,R179,O179)</f>
        <v>obj_00b90#0000</v>
      </c>
      <c r="T179" s="191">
        <f>_xll.qlVanillaSwapFairRate(S179)</f>
        <v>2.2347031770601128E-2</v>
      </c>
      <c r="U179" s="300">
        <f t="shared" si="17"/>
        <v>-2.9682293988704533E-6</v>
      </c>
      <c r="X179" s="186" t="str">
        <f t="shared" si="18"/>
        <v>1D</v>
      </c>
      <c r="Y179" s="174">
        <f>_xll.qlCalendarAdvance(Calendar,Y178,X179,"f",FALSE)</f>
        <v>42174</v>
      </c>
      <c r="Z179" s="198">
        <f>_xll.qlCalendarAdvance(Calendar,Y179,NDays&amp;"D")</f>
        <v>42178</v>
      </c>
      <c r="AA179" s="173">
        <v>2.1048080130954164E-3</v>
      </c>
      <c r="AB179" s="182">
        <v>2.118050120252235E-3</v>
      </c>
    </row>
    <row r="180" spans="13:28" x14ac:dyDescent="0.2">
      <c r="M180" s="303" t="str">
        <v>obj_0086f#0000</v>
      </c>
      <c r="N180" s="186" t="str">
        <f>_xll.qlRateHelperQuoteName(M180)</f>
        <v>EUR6F13Y_Quote</v>
      </c>
      <c r="O180" s="174">
        <f>_xll.qlInterestRateIndexFixingDate(R180,_xll.qlRateHelperEarliestDate(M180,Trigger),)</f>
        <v>44134</v>
      </c>
      <c r="P180" s="201">
        <f>_xll.qlRateHelperQuoteValue(M180,_xll.ohTrigger(RecalcTrigger,YieldCurve))</f>
        <v>2.247E-2</v>
      </c>
      <c r="Q180" s="204" t="str">
        <f t="shared" si="20"/>
        <v>13Y</v>
      </c>
      <c r="R180" s="204" t="str">
        <f>_xll.qlSwapIndex(,"Euribor",Q180,NDays,Currency,Calendar,"1Y","mf","30/360 (Bond Basis)",IborIndex,Discounting,,_xll.ohTrigger(Trigger,RecalcTrigger))</f>
        <v>obj_00a15#0000</v>
      </c>
      <c r="S180" s="204" t="str">
        <f>_xll.qlVanillaSwapFromSwapIndex(,R180,O180)</f>
        <v>obj_00a90#0000</v>
      </c>
      <c r="T180" s="191">
        <f>_xll.qlVanillaSwapFairRate(S180)</f>
        <v>2.2464293489385376E-2</v>
      </c>
      <c r="U180" s="300">
        <f t="shared" si="17"/>
        <v>-5.7065106146246547E-6</v>
      </c>
      <c r="X180" s="186" t="str">
        <f t="shared" si="18"/>
        <v>1D</v>
      </c>
      <c r="Y180" s="174">
        <f>_xll.qlCalendarAdvance(Calendar,Y179,X180,"f",FALSE)</f>
        <v>42177</v>
      </c>
      <c r="Z180" s="198">
        <f>_xll.qlCalendarAdvance(Calendar,Y180,NDays&amp;"D")</f>
        <v>42179</v>
      </c>
      <c r="AA180" s="173">
        <v>2.1059566697698927E-3</v>
      </c>
      <c r="AB180" s="182">
        <v>2.1152042970751239E-3</v>
      </c>
    </row>
    <row r="181" spans="13:28" x14ac:dyDescent="0.2">
      <c r="M181" s="303" t="str">
        <v>obj_00848#0000</v>
      </c>
      <c r="N181" s="186" t="str">
        <f>_xll.qlRateHelperQuoteName(M181)</f>
        <v>EUR6F14Y_Quote</v>
      </c>
      <c r="O181" s="174">
        <f>_xll.qlInterestRateIndexFixingDate(R181,_xll.qlRateHelperEarliestDate(M181,Trigger),)</f>
        <v>44134</v>
      </c>
      <c r="P181" s="201">
        <f>_xll.qlRateHelperQuoteValue(M181,_xll.ohTrigger(RecalcTrigger,YieldCurve))</f>
        <v>2.2540000000000001E-2</v>
      </c>
      <c r="Q181" s="204" t="str">
        <f t="shared" si="20"/>
        <v>14Y</v>
      </c>
      <c r="R181" s="204" t="str">
        <f>_xll.qlSwapIndex(,"Euribor",Q181,NDays,Currency,Calendar,"1Y","mf","30/360 (Bond Basis)",IborIndex,Discounting,,_xll.ohTrigger(Trigger,RecalcTrigger))</f>
        <v>obj_009a5#0000</v>
      </c>
      <c r="S181" s="204" t="str">
        <f>_xll.qlVanillaSwapFromSwapIndex(,R181,O181)</f>
        <v>obj_00b14#0000</v>
      </c>
      <c r="T181" s="191">
        <f>_xll.qlVanillaSwapFairRate(S181)</f>
        <v>2.2536855718184142E-2</v>
      </c>
      <c r="U181" s="300">
        <f t="shared" si="17"/>
        <v>-3.144281815858907E-6</v>
      </c>
      <c r="X181" s="186" t="str">
        <f t="shared" si="18"/>
        <v>1D</v>
      </c>
      <c r="Y181" s="174">
        <f>_xll.qlCalendarAdvance(Calendar,Y180,X181,"f",FALSE)</f>
        <v>42178</v>
      </c>
      <c r="Z181" s="198">
        <f>_xll.qlCalendarAdvance(Calendar,Y181,NDays&amp;"D")</f>
        <v>42180</v>
      </c>
      <c r="AA181" s="173">
        <v>2.1108609177238908E-3</v>
      </c>
      <c r="AB181" s="182">
        <v>2.1119184855322715E-3</v>
      </c>
    </row>
    <row r="182" spans="13:28" x14ac:dyDescent="0.2">
      <c r="M182" s="303" t="str">
        <v>obj_00865#0000</v>
      </c>
      <c r="N182" s="186" t="str">
        <f>_xll.qlRateHelperQuoteName(M182)</f>
        <v>EUR6F15Y_Quote</v>
      </c>
      <c r="O182" s="174">
        <f>_xll.qlInterestRateIndexFixingDate(R182,_xll.qlRateHelperEarliestDate(M182,Trigger),)</f>
        <v>44134</v>
      </c>
      <c r="P182" s="201">
        <f>_xll.qlRateHelperQuoteValue(M182,_xll.ohTrigger(RecalcTrigger,YieldCurve))</f>
        <v>2.2579999999999999E-2</v>
      </c>
      <c r="Q182" s="204" t="str">
        <f t="shared" si="20"/>
        <v>15Y</v>
      </c>
      <c r="R182" s="204" t="str">
        <f>_xll.qlSwapIndex(,"Euribor",Q182,NDays,Currency,Calendar,"1Y","mf","30/360 (Bond Basis)",IborIndex,Discounting,,_xll.ohTrigger(Trigger,RecalcTrigger))</f>
        <v>obj_0097a#0000</v>
      </c>
      <c r="S182" s="204" t="str">
        <f>_xll.qlVanillaSwapFromSwapIndex(,R182,O182)</f>
        <v>obj_00b5e#0000</v>
      </c>
      <c r="T182" s="191">
        <f>_xll.qlVanillaSwapFairRate(S182)</f>
        <v>2.2568776186592757E-2</v>
      </c>
      <c r="U182" s="300">
        <f t="shared" si="17"/>
        <v>-1.1223813407242045E-5</v>
      </c>
      <c r="X182" s="186" t="str">
        <f t="shared" si="18"/>
        <v>1D</v>
      </c>
      <c r="Y182" s="174">
        <f>_xll.qlCalendarAdvance(Calendar,Y181,X182,"f",FALSE)</f>
        <v>42179</v>
      </c>
      <c r="Z182" s="198">
        <f>_xll.qlCalendarAdvance(Calendar,Y182,NDays&amp;"D")</f>
        <v>42181</v>
      </c>
      <c r="AA182" s="173">
        <v>2.1108428180079213E-3</v>
      </c>
      <c r="AB182" s="182">
        <v>2.1038925294458721E-3</v>
      </c>
    </row>
    <row r="183" spans="13:28" x14ac:dyDescent="0.2">
      <c r="M183" s="303" t="str">
        <v>obj_0088f#0000</v>
      </c>
      <c r="N183" s="186" t="str">
        <f>_xll.qlRateHelperQuoteName(M183)</f>
        <v>EUR6F20Y_Quote</v>
      </c>
      <c r="O183" s="174">
        <f>_xll.qlInterestRateIndexFixingDate(R183,_xll.qlRateHelperEarliestDate(M183,Trigger),)</f>
        <v>44134</v>
      </c>
      <c r="P183" s="201">
        <f>_xll.qlRateHelperQuoteValue(M183,_xll.ohTrigger(RecalcTrigger,YieldCurve))</f>
        <v>2.239E-2</v>
      </c>
      <c r="Q183" s="204" t="str">
        <f t="shared" si="20"/>
        <v>20Y</v>
      </c>
      <c r="R183" s="204" t="str">
        <f>_xll.qlSwapIndex(,"Euribor",Q183,NDays,Currency,Calendar,"1Y","mf","30/360 (Bond Basis)",IborIndex,Discounting,,_xll.ohTrigger(Trigger,RecalcTrigger))</f>
        <v>obj_00953#0000</v>
      </c>
      <c r="S183" s="204" t="str">
        <f>_xll.qlVanillaSwapFromSwapIndex(,R183,O183)</f>
        <v>obj_00b67#0000</v>
      </c>
      <c r="T183" s="191">
        <f>_xll.qlVanillaSwapFairRate(S183)</f>
        <v>2.2390877548465318E-2</v>
      </c>
      <c r="U183" s="300">
        <f t="shared" si="17"/>
        <v>8.7754846531812314E-7</v>
      </c>
      <c r="X183" s="186" t="str">
        <f t="shared" si="18"/>
        <v>1D</v>
      </c>
      <c r="Y183" s="174">
        <f>_xll.qlCalendarAdvance(Calendar,Y182,X183,"f",FALSE)</f>
        <v>42180</v>
      </c>
      <c r="Z183" s="198">
        <f>_xll.qlCalendarAdvance(Calendar,Y183,NDays&amp;"D")</f>
        <v>42184</v>
      </c>
      <c r="AA183" s="173">
        <v>2.1121734573075492E-3</v>
      </c>
      <c r="AB183" s="182">
        <v>2.0943753546642796E-3</v>
      </c>
    </row>
    <row r="184" spans="13:28" x14ac:dyDescent="0.2">
      <c r="M184" s="303" t="str">
        <v>obj_00767#0000</v>
      </c>
      <c r="N184" s="186" t="str">
        <f>_xll.qlRateHelperQuoteName(M184)</f>
        <v>EUR6F25Y_Quote</v>
      </c>
      <c r="O184" s="174">
        <f>_xll.qlInterestRateIndexFixingDate(R184,_xll.qlRateHelperEarliestDate(M184,Trigger),)</f>
        <v>44134</v>
      </c>
      <c r="P184" s="201">
        <f>_xll.qlRateHelperQuoteValue(M184,_xll.ohTrigger(RecalcTrigger,YieldCurve))</f>
        <v>2.2090000000000002E-2</v>
      </c>
      <c r="Q184" s="204" t="str">
        <f t="shared" si="20"/>
        <v>25Y</v>
      </c>
      <c r="R184" s="204" t="str">
        <f>_xll.qlSwapIndex(,"Euribor",Q184,NDays,Currency,Calendar,"1Y","mf","30/360 (Bond Basis)",IborIndex,Discounting,,_xll.ohTrigger(Trigger,RecalcTrigger))</f>
        <v>obj_009ee#0000</v>
      </c>
      <c r="S184" s="204" t="str">
        <f>_xll.qlVanillaSwapFromSwapIndex(,R184,O184)</f>
        <v>obj_00a95#0000</v>
      </c>
      <c r="T184" s="191">
        <f>_xll.qlVanillaSwapFairRate(S184)</f>
        <v>2.20899699728021E-2</v>
      </c>
      <c r="U184" s="300">
        <f t="shared" si="17"/>
        <v>-3.0027197901738578E-8</v>
      </c>
      <c r="X184" s="186" t="str">
        <f t="shared" si="18"/>
        <v>1D</v>
      </c>
      <c r="Y184" s="174">
        <f>_xll.qlCalendarAdvance(Calendar,Y183,X184,"f",FALSE)</f>
        <v>42181</v>
      </c>
      <c r="Z184" s="198">
        <f>_xll.qlCalendarAdvance(Calendar,Y184,NDays&amp;"D")</f>
        <v>42185</v>
      </c>
      <c r="AA184" s="173">
        <v>2.114736418447978E-3</v>
      </c>
      <c r="AB184" s="182">
        <v>2.0888896009729763E-3</v>
      </c>
    </row>
    <row r="185" spans="13:28" ht="12" thickBot="1" x14ac:dyDescent="0.25">
      <c r="M185" s="304" t="str">
        <v>obj_00882#0000</v>
      </c>
      <c r="N185" s="187" t="str">
        <f>_xll.qlRateHelperQuoteName(M185)</f>
        <v>EUR6F30Y_Quote</v>
      </c>
      <c r="O185" s="184">
        <f>_xll.qlInterestRateIndexFixingDate(R185,_xll.qlRateHelperEarliestDate(M185,Trigger),)</f>
        <v>44134</v>
      </c>
      <c r="P185" s="202">
        <f>_xll.qlRateHelperQuoteValue(M185,_xll.ohTrigger(RecalcTrigger,YieldCurve))</f>
        <v>2.196E-2</v>
      </c>
      <c r="Q185" s="205" t="str">
        <f t="shared" si="20"/>
        <v>30Y</v>
      </c>
      <c r="R185" s="205" t="str">
        <f>_xll.qlSwapIndex(,"Euribor",Q185,NDays,Currency,Calendar,"1Y","mf","30/360 (Bond Basis)",IborIndex,Discounting,,_xll.ohTrigger(Trigger,RecalcTrigger))</f>
        <v>obj_0094d#0000</v>
      </c>
      <c r="S185" s="205" t="str">
        <f>_xll.qlVanillaSwapFromSwapIndex(,R185,O185)</f>
        <v>obj_00b8d#0000</v>
      </c>
      <c r="T185" s="193">
        <f>_xll.qlVanillaSwapFairRate(S185)</f>
        <v>2.1965594369573717E-2</v>
      </c>
      <c r="U185" s="301">
        <f t="shared" si="17"/>
        <v>5.5943695737165067E-6</v>
      </c>
      <c r="X185" s="186" t="str">
        <f t="shared" si="18"/>
        <v>1D</v>
      </c>
      <c r="Y185" s="174">
        <f>_xll.qlCalendarAdvance(Calendar,Y184,X185,"f",FALSE)</f>
        <v>42184</v>
      </c>
      <c r="Z185" s="198">
        <f>_xll.qlCalendarAdvance(Calendar,Y185,NDays&amp;"D")</f>
        <v>42186</v>
      </c>
      <c r="AA185" s="173">
        <v>2.1195941477399186E-3</v>
      </c>
      <c r="AB185" s="182">
        <v>2.0829638589159316E-3</v>
      </c>
    </row>
    <row r="186" spans="13:28" x14ac:dyDescent="0.2">
      <c r="M186" s="305" t="str">
        <v>obj_007bb#0000</v>
      </c>
      <c r="N186" s="289" t="str">
        <f>_xll.qlRateHelperQuoteName(M186)</f>
        <v>EUR7F1Y_Quote</v>
      </c>
      <c r="O186" s="286">
        <f>_xll.qlInterestRateIndexFixingDate(R186,_xll.qlRateHelperEarliestDate(M186,Trigger),)</f>
        <v>44501</v>
      </c>
      <c r="P186" s="287">
        <f>_xll.qlRateHelperQuoteValue(M186,_xll.ohTrigger(RecalcTrigger,YieldCurve))</f>
        <v>1.8089999999999998E-2</v>
      </c>
      <c r="Q186" s="285" t="str">
        <f t="shared" ref="Q186:Q203" si="21">SUBSTITUTE(SUBSTITUTE(N186,"_Quote",""),"EUR7F","")</f>
        <v>1Y</v>
      </c>
      <c r="R186" s="285" t="str">
        <f>_xll.qlSwapIndex(,"Euribor",Q186,NDays,Currency,Calendar,"1Y","mf","30/360 (Bond Basis)",IborIndex,Discounting,,_xll.ohTrigger(Trigger,RecalcTrigger))</f>
        <v>obj_009f0#0000</v>
      </c>
      <c r="S186" s="285" t="str">
        <f>_xll.qlVanillaSwapFromSwapIndex(,R186,O186)</f>
        <v>obj_00af3#0000</v>
      </c>
      <c r="T186" s="288">
        <f>_xll.qlVanillaSwapFairRate(S186)</f>
        <v>1.8124208316374669E-2</v>
      </c>
      <c r="U186" s="302">
        <f t="shared" si="17"/>
        <v>3.4208316374670367E-5</v>
      </c>
      <c r="X186" s="186" t="str">
        <f t="shared" si="18"/>
        <v>1D</v>
      </c>
      <c r="Y186" s="174">
        <f>_xll.qlCalendarAdvance(Calendar,Y185,X186,"f",FALSE)</f>
        <v>42185</v>
      </c>
      <c r="Z186" s="198">
        <f>_xll.qlCalendarAdvance(Calendar,Y186,NDays&amp;"D")</f>
        <v>42187</v>
      </c>
      <c r="AA186" s="173">
        <v>2.1197788197140927E-3</v>
      </c>
      <c r="AB186" s="182">
        <v>2.0765981284931456E-3</v>
      </c>
    </row>
    <row r="187" spans="13:28" x14ac:dyDescent="0.2">
      <c r="M187" s="303" t="str">
        <v>obj_0083a#0000</v>
      </c>
      <c r="N187" s="186" t="str">
        <f>_xll.qlRateHelperQuoteName(M187)</f>
        <v>EUR7F2Y_Quote</v>
      </c>
      <c r="O187" s="174">
        <f>_xll.qlInterestRateIndexFixingDate(R187,_xll.qlRateHelperEarliestDate(M187,Trigger),)</f>
        <v>44501</v>
      </c>
      <c r="P187" s="201">
        <f>_xll.qlRateHelperQuoteValue(M187,_xll.ohTrigger(RecalcTrigger,YieldCurve))</f>
        <v>1.9230000000000001E-2</v>
      </c>
      <c r="Q187" s="204" t="str">
        <f t="shared" si="21"/>
        <v>2Y</v>
      </c>
      <c r="R187" s="204" t="str">
        <f>_xll.qlSwapIndex(,"Euribor",Q187,NDays,Currency,Calendar,"1Y","mf","30/360 (Bond Basis)",IborIndex,Discounting,,_xll.ohTrigger(Trigger,RecalcTrigger))</f>
        <v>obj_008fb#0000</v>
      </c>
      <c r="S187" s="204" t="str">
        <f>_xll.qlVanillaSwapFromSwapIndex(,R187,O187)</f>
        <v>obj_00b5c#0000</v>
      </c>
      <c r="T187" s="191">
        <f>_xll.qlVanillaSwapFairRate(S187)</f>
        <v>1.9247386576367778E-2</v>
      </c>
      <c r="U187" s="300">
        <f t="shared" si="17"/>
        <v>1.7386576367777601E-5</v>
      </c>
      <c r="X187" s="186" t="str">
        <f t="shared" si="18"/>
        <v>1D</v>
      </c>
      <c r="Y187" s="174">
        <f>_xll.qlCalendarAdvance(Calendar,Y186,X187,"f",FALSE)</f>
        <v>42186</v>
      </c>
      <c r="Z187" s="198">
        <f>_xll.qlCalendarAdvance(Calendar,Y187,NDays&amp;"D")</f>
        <v>42188</v>
      </c>
      <c r="AA187" s="173">
        <v>2.11999999999963E-3</v>
      </c>
      <c r="AB187" s="182">
        <v>2.0624118552703408E-3</v>
      </c>
    </row>
    <row r="188" spans="13:28" x14ac:dyDescent="0.2">
      <c r="M188" s="303" t="str">
        <v>obj_007c8#0000</v>
      </c>
      <c r="N188" s="186" t="str">
        <f>_xll.qlRateHelperQuoteName(M188)</f>
        <v>EUR7F3Y_Quote</v>
      </c>
      <c r="O188" s="174">
        <f>_xll.qlInterestRateIndexFixingDate(R188,_xll.qlRateHelperEarliestDate(M188,Trigger),)</f>
        <v>44501</v>
      </c>
      <c r="P188" s="201">
        <f>_xll.qlRateHelperQuoteValue(M188,_xll.ohTrigger(RecalcTrigger,YieldCurve))</f>
        <v>2.0160000000000001E-2</v>
      </c>
      <c r="Q188" s="204" t="str">
        <f t="shared" si="21"/>
        <v>3Y</v>
      </c>
      <c r="R188" s="204" t="str">
        <f>_xll.qlSwapIndex(,"Euribor",Q188,NDays,Currency,Calendar,"1Y","mf","30/360 (Bond Basis)",IborIndex,Discounting,,_xll.ohTrigger(Trigger,RecalcTrigger))</f>
        <v>obj_00976#0000</v>
      </c>
      <c r="S188" s="204" t="str">
        <f>_xll.qlVanillaSwapFromSwapIndex(,R188,O188)</f>
        <v>obj_00b0b#0000</v>
      </c>
      <c r="T188" s="191">
        <f>_xll.qlVanillaSwapFairRate(S188)</f>
        <v>2.0166351477215381E-2</v>
      </c>
      <c r="U188" s="300">
        <f t="shared" si="17"/>
        <v>6.3514772153799859E-6</v>
      </c>
      <c r="X188" s="186" t="str">
        <f t="shared" si="18"/>
        <v>1D</v>
      </c>
      <c r="Y188" s="174">
        <f>_xll.qlCalendarAdvance(Calendar,Y187,X188,"f",FALSE)</f>
        <v>42187</v>
      </c>
      <c r="Z188" s="198">
        <f>_xll.qlCalendarAdvance(Calendar,Y188,NDays&amp;"D")</f>
        <v>42191</v>
      </c>
      <c r="AA188" s="173">
        <v>2.123155841268644E-3</v>
      </c>
      <c r="AB188" s="182">
        <v>2.0468469030099357E-3</v>
      </c>
    </row>
    <row r="189" spans="13:28" x14ac:dyDescent="0.2">
      <c r="M189" s="303" t="str">
        <v>obj_0077c#0000</v>
      </c>
      <c r="N189" s="186" t="str">
        <f>_xll.qlRateHelperQuoteName(M189)</f>
        <v>EUR7F4Y_Quote</v>
      </c>
      <c r="O189" s="174">
        <f>_xll.qlInterestRateIndexFixingDate(R189,_xll.qlRateHelperEarliestDate(M189,Trigger),)</f>
        <v>44501</v>
      </c>
      <c r="P189" s="201">
        <f>_xll.qlRateHelperQuoteValue(M189,_xll.ohTrigger(RecalcTrigger,YieldCurve))</f>
        <v>2.0910000000000002E-2</v>
      </c>
      <c r="Q189" s="204" t="str">
        <f t="shared" si="21"/>
        <v>4Y</v>
      </c>
      <c r="R189" s="204" t="str">
        <f>_xll.qlSwapIndex(,"Euribor",Q189,NDays,Currency,Calendar,"1Y","mf","30/360 (Bond Basis)",IborIndex,Discounting,,_xll.ohTrigger(Trigger,RecalcTrigger))</f>
        <v>obj_0097e#0000</v>
      </c>
      <c r="S189" s="204" t="str">
        <f>_xll.qlVanillaSwapFromSwapIndex(,R189,O189)</f>
        <v>obj_00b4f#0000</v>
      </c>
      <c r="T189" s="191">
        <f>_xll.qlVanillaSwapFairRate(S189)</f>
        <v>2.0899646723338248E-2</v>
      </c>
      <c r="U189" s="300">
        <f t="shared" si="17"/>
        <v>-1.0353276661753674E-5</v>
      </c>
      <c r="X189" s="186" t="str">
        <f t="shared" si="18"/>
        <v>1D</v>
      </c>
      <c r="Y189" s="174">
        <f>_xll.qlCalendarAdvance(Calendar,Y188,X189,"f",FALSE)</f>
        <v>42188</v>
      </c>
      <c r="Z189" s="198">
        <f>_xll.qlCalendarAdvance(Calendar,Y189,NDays&amp;"D")</f>
        <v>42192</v>
      </c>
      <c r="AA189" s="173">
        <v>2.1246402106708203E-3</v>
      </c>
      <c r="AB189" s="182">
        <v>2.0389507051543632E-3</v>
      </c>
    </row>
    <row r="190" spans="13:28" x14ac:dyDescent="0.2">
      <c r="M190" s="303" t="str">
        <v>obj_00824#0000</v>
      </c>
      <c r="N190" s="186" t="str">
        <f>_xll.qlRateHelperQuoteName(M190)</f>
        <v>EUR7F5Y_Quote</v>
      </c>
      <c r="O190" s="174">
        <f>_xll.qlInterestRateIndexFixingDate(R190,_xll.qlRateHelperEarliestDate(M190,Trigger),)</f>
        <v>44501</v>
      </c>
      <c r="P190" s="201">
        <f>_xll.qlRateHelperQuoteValue(M190,_xll.ohTrigger(RecalcTrigger,YieldCurve))</f>
        <v>2.1480000000000003E-2</v>
      </c>
      <c r="Q190" s="204" t="str">
        <f t="shared" si="21"/>
        <v>5Y</v>
      </c>
      <c r="R190" s="204" t="str">
        <f>_xll.qlSwapIndex(,"Euribor",Q190,NDays,Currency,Calendar,"1Y","mf","30/360 (Bond Basis)",IborIndex,Discounting,,_xll.ohTrigger(Trigger,RecalcTrigger))</f>
        <v>obj_0092b#0000</v>
      </c>
      <c r="S190" s="204" t="str">
        <f>_xll.qlVanillaSwapFromSwapIndex(,R190,O190)</f>
        <v>obj_00b84#0000</v>
      </c>
      <c r="T190" s="191">
        <f>_xll.qlVanillaSwapFairRate(S190)</f>
        <v>2.1488747509990257E-2</v>
      </c>
      <c r="U190" s="300">
        <f t="shared" si="17"/>
        <v>8.7475099902548092E-6</v>
      </c>
      <c r="X190" s="186" t="str">
        <f t="shared" si="18"/>
        <v>1D</v>
      </c>
      <c r="Y190" s="174">
        <f>_xll.qlCalendarAdvance(Calendar,Y189,X190,"f",FALSE)</f>
        <v>42191</v>
      </c>
      <c r="Z190" s="198">
        <f>_xll.qlCalendarAdvance(Calendar,Y190,NDays&amp;"D")</f>
        <v>42193</v>
      </c>
      <c r="AA190" s="173">
        <v>2.1261491010460751E-3</v>
      </c>
      <c r="AB190" s="182">
        <v>2.0312839930092252E-3</v>
      </c>
    </row>
    <row r="191" spans="13:28" x14ac:dyDescent="0.2">
      <c r="M191" s="303" t="str">
        <v>obj_0086a#0000</v>
      </c>
      <c r="N191" s="186" t="str">
        <f>_xll.qlRateHelperQuoteName(M191)</f>
        <v>EUR7F6Y_Quote</v>
      </c>
      <c r="O191" s="174">
        <f>_xll.qlInterestRateIndexFixingDate(R191,_xll.qlRateHelperEarliestDate(M191,Trigger),)</f>
        <v>44501</v>
      </c>
      <c r="P191" s="201">
        <f>_xll.qlRateHelperQuoteValue(M191,_xll.ohTrigger(RecalcTrigger,YieldCurve))</f>
        <v>2.1940000000000001E-2</v>
      </c>
      <c r="Q191" s="204" t="str">
        <f t="shared" si="21"/>
        <v>6Y</v>
      </c>
      <c r="R191" s="204" t="str">
        <f>_xll.qlSwapIndex(,"Euribor",Q191,NDays,Currency,Calendar,"1Y","mf","30/360 (Bond Basis)",IborIndex,Discounting,,_xll.ohTrigger(Trigger,RecalcTrigger))</f>
        <v>obj_0097f#0000</v>
      </c>
      <c r="S191" s="204" t="str">
        <f>_xll.qlVanillaSwapFromSwapIndex(,R191,O191)</f>
        <v>obj_00ab2#0000</v>
      </c>
      <c r="T191" s="191">
        <f>_xll.qlVanillaSwapFairRate(S191)</f>
        <v>2.1940540768280684E-2</v>
      </c>
      <c r="U191" s="300">
        <f t="shared" si="17"/>
        <v>5.4076828068239102E-7</v>
      </c>
      <c r="X191" s="186" t="str">
        <f t="shared" si="18"/>
        <v>1D</v>
      </c>
      <c r="Y191" s="174">
        <f>_xll.qlCalendarAdvance(Calendar,Y190,X191,"f",FALSE)</f>
        <v>42192</v>
      </c>
      <c r="Z191" s="198">
        <f>_xll.qlCalendarAdvance(Calendar,Y191,NDays&amp;"D")</f>
        <v>42194</v>
      </c>
      <c r="AA191" s="173">
        <v>2.1296455453007602E-3</v>
      </c>
      <c r="AB191" s="182">
        <v>2.0238467665745219E-3</v>
      </c>
    </row>
    <row r="192" spans="13:28" x14ac:dyDescent="0.2">
      <c r="M192" s="303" t="str">
        <v>obj_00846#0000</v>
      </c>
      <c r="N192" s="186" t="str">
        <f>_xll.qlRateHelperQuoteName(M192)</f>
        <v>EUR7F7Y_Quote</v>
      </c>
      <c r="O192" s="174">
        <f>_xll.qlInterestRateIndexFixingDate(R192,_xll.qlRateHelperEarliestDate(M192,Trigger),)</f>
        <v>44501</v>
      </c>
      <c r="P192" s="201">
        <f>_xll.qlRateHelperQuoteValue(M192,_xll.ohTrigger(RecalcTrigger,YieldCurve))</f>
        <v>2.231E-2</v>
      </c>
      <c r="Q192" s="204" t="str">
        <f t="shared" si="21"/>
        <v>7Y</v>
      </c>
      <c r="R192" s="204" t="str">
        <f>_xll.qlSwapIndex(,"Euribor",Q192,NDays,Currency,Calendar,"1Y","mf","30/360 (Bond Basis)",IborIndex,Discounting,,_xll.ohTrigger(Trigger,RecalcTrigger))</f>
        <v>obj_00946#0000</v>
      </c>
      <c r="S192" s="204" t="str">
        <f>_xll.qlVanillaSwapFromSwapIndex(,R192,O192)</f>
        <v>obj_00b2a#0000</v>
      </c>
      <c r="T192" s="191">
        <f>_xll.qlVanillaSwapFairRate(S192)</f>
        <v>2.2301596064926821E-2</v>
      </c>
      <c r="U192" s="300">
        <f t="shared" si="17"/>
        <v>-8.4039350731791862E-6</v>
      </c>
      <c r="X192" s="186" t="str">
        <f t="shared" si="18"/>
        <v>1D</v>
      </c>
      <c r="Y192" s="174">
        <f>_xll.qlCalendarAdvance(Calendar,Y191,X192,"f",FALSE)</f>
        <v>42193</v>
      </c>
      <c r="Z192" s="198">
        <f>_xll.qlCalendarAdvance(Calendar,Y192,NDays&amp;"D")</f>
        <v>42195</v>
      </c>
      <c r="AA192" s="173">
        <v>2.1302054550091333E-3</v>
      </c>
      <c r="AB192" s="182">
        <v>2.0097484853653924E-3</v>
      </c>
    </row>
    <row r="193" spans="13:28" x14ac:dyDescent="0.2">
      <c r="M193" s="303" t="str">
        <v>obj_007ba#0000</v>
      </c>
      <c r="N193" s="186" t="str">
        <f>_xll.qlRateHelperQuoteName(M193)</f>
        <v>EUR7F8Y_Quote</v>
      </c>
      <c r="O193" s="174">
        <f>_xll.qlInterestRateIndexFixingDate(R193,_xll.qlRateHelperEarliestDate(M193,Trigger),)</f>
        <v>44501</v>
      </c>
      <c r="P193" s="201">
        <f>_xll.qlRateHelperQuoteValue(M193,_xll.ohTrigger(RecalcTrigger,YieldCurve))</f>
        <v>2.2579999999999999E-2</v>
      </c>
      <c r="Q193" s="204" t="str">
        <f t="shared" si="21"/>
        <v>8Y</v>
      </c>
      <c r="R193" s="204" t="str">
        <f>_xll.qlSwapIndex(,"Euribor",Q193,NDays,Currency,Calendar,"1Y","mf","30/360 (Bond Basis)",IborIndex,Discounting,,_xll.ohTrigger(Trigger,RecalcTrigger))</f>
        <v>obj_009b2#0000</v>
      </c>
      <c r="S193" s="204" t="str">
        <f>_xll.qlVanillaSwapFromSwapIndex(,R193,O193)</f>
        <v>obj_00b3f#0000</v>
      </c>
      <c r="T193" s="191">
        <f>_xll.qlVanillaSwapFairRate(S193)</f>
        <v>2.2580098384037916E-2</v>
      </c>
      <c r="U193" s="300">
        <f t="shared" si="17"/>
        <v>9.8384037916510181E-8</v>
      </c>
      <c r="X193" s="186" t="str">
        <f t="shared" si="18"/>
        <v>1D</v>
      </c>
      <c r="Y193" s="174">
        <f>_xll.qlCalendarAdvance(Calendar,Y192,X193,"f",FALSE)</f>
        <v>42194</v>
      </c>
      <c r="Z193" s="198">
        <f>_xll.qlCalendarAdvance(Calendar,Y193,NDays&amp;"D")</f>
        <v>42198</v>
      </c>
      <c r="AA193" s="173">
        <v>2.1340187708223488E-3</v>
      </c>
      <c r="AB193" s="182">
        <v>1.9963927172206297E-3</v>
      </c>
    </row>
    <row r="194" spans="13:28" x14ac:dyDescent="0.2">
      <c r="M194" s="303" t="str">
        <v>obj_00873#0000</v>
      </c>
      <c r="N194" s="186" t="str">
        <f>_xll.qlRateHelperQuoteName(M194)</f>
        <v>EUR7F9Y_Quote</v>
      </c>
      <c r="O194" s="174">
        <f>_xll.qlInterestRateIndexFixingDate(R194,_xll.qlRateHelperEarliestDate(M194,Trigger),)</f>
        <v>44501</v>
      </c>
      <c r="P194" s="201">
        <f>_xll.qlRateHelperQuoteValue(M194,_xll.ohTrigger(RecalcTrigger,YieldCurve))</f>
        <v>2.2789999999999998E-2</v>
      </c>
      <c r="Q194" s="204" t="str">
        <f t="shared" si="21"/>
        <v>9Y</v>
      </c>
      <c r="R194" s="204" t="str">
        <f>_xll.qlSwapIndex(,"Euribor",Q194,NDays,Currency,Calendar,"1Y","mf","30/360 (Bond Basis)",IborIndex,Discounting,,_xll.ohTrigger(Trigger,RecalcTrigger))</f>
        <v>obj_009ec#0000</v>
      </c>
      <c r="S194" s="204" t="str">
        <f>_xll.qlVanillaSwapFromSwapIndex(,R194,O194)</f>
        <v>obj_00aba#0000</v>
      </c>
      <c r="T194" s="191">
        <f>_xll.qlVanillaSwapFairRate(S194)</f>
        <v>2.2797335751198074E-2</v>
      </c>
      <c r="U194" s="300">
        <f t="shared" si="17"/>
        <v>7.3357511980766399E-6</v>
      </c>
      <c r="X194" s="186" t="str">
        <f t="shared" si="18"/>
        <v>1D</v>
      </c>
      <c r="Y194" s="174">
        <f>_xll.qlCalendarAdvance(Calendar,Y193,X194,"f",FALSE)</f>
        <v>42195</v>
      </c>
      <c r="Z194" s="198">
        <f>_xll.qlCalendarAdvance(Calendar,Y194,NDays&amp;"D")</f>
        <v>42199</v>
      </c>
      <c r="AA194" s="173">
        <v>2.1356492289730149E-3</v>
      </c>
      <c r="AB194" s="182">
        <v>1.9901029188584829E-3</v>
      </c>
    </row>
    <row r="195" spans="13:28" x14ac:dyDescent="0.2">
      <c r="M195" s="303" t="str">
        <v>obj_0085c#0000</v>
      </c>
      <c r="N195" s="186" t="str">
        <f>_xll.qlRateHelperQuoteName(M195)</f>
        <v>EUR7F10Y_Quote</v>
      </c>
      <c r="O195" s="174">
        <f>_xll.qlInterestRateIndexFixingDate(R195,_xll.qlRateHelperEarliestDate(M195,Trigger),)</f>
        <v>44501</v>
      </c>
      <c r="P195" s="201">
        <f>_xll.qlRateHelperQuoteValue(M195,_xll.ohTrigger(RecalcTrigger,YieldCurve))</f>
        <v>2.2959999999999998E-2</v>
      </c>
      <c r="Q195" s="204" t="str">
        <f t="shared" si="21"/>
        <v>10Y</v>
      </c>
      <c r="R195" s="204" t="str">
        <f>_xll.qlSwapIndex(,"Euribor",Q195,NDays,Currency,Calendar,"1Y","mf","30/360 (Bond Basis)",IborIndex,Discounting,,_xll.ohTrigger(Trigger,RecalcTrigger))</f>
        <v>obj_0094b#0000</v>
      </c>
      <c r="S195" s="204" t="str">
        <f>_xll.qlVanillaSwapFromSwapIndex(,R195,O195)</f>
        <v>obj_00a53#0000</v>
      </c>
      <c r="T195" s="191">
        <f>_xll.qlVanillaSwapFairRate(S195)</f>
        <v>2.2962958192402069E-2</v>
      </c>
      <c r="U195" s="300">
        <f t="shared" si="17"/>
        <v>2.9581924020707917E-6</v>
      </c>
      <c r="X195" s="186" t="str">
        <f t="shared" si="18"/>
        <v>1D</v>
      </c>
      <c r="Y195" s="174">
        <f>_xll.qlCalendarAdvance(Calendar,Y194,X195,"f",FALSE)</f>
        <v>42198</v>
      </c>
      <c r="Z195" s="198">
        <f>_xll.qlCalendarAdvance(Calendar,Y195,NDays&amp;"D")</f>
        <v>42200</v>
      </c>
      <c r="AA195" s="173">
        <v>2.1372956887119963E-3</v>
      </c>
      <c r="AB195" s="182">
        <v>1.9840426061268346E-3</v>
      </c>
    </row>
    <row r="196" spans="13:28" x14ac:dyDescent="0.2">
      <c r="M196" s="303" t="str">
        <v>obj_00869#0000</v>
      </c>
      <c r="N196" s="186" t="str">
        <f>_xll.qlRateHelperQuoteName(M196)</f>
        <v>EUR7F11Y_Quote</v>
      </c>
      <c r="O196" s="174">
        <f>_xll.qlInterestRateIndexFixingDate(R196,_xll.qlRateHelperEarliestDate(M196,Trigger),)</f>
        <v>44501</v>
      </c>
      <c r="P196" s="201">
        <f>_xll.qlRateHelperQuoteValue(M196,_xll.ohTrigger(RecalcTrigger,YieldCurve))</f>
        <v>2.3090000000000003E-2</v>
      </c>
      <c r="Q196" s="204" t="str">
        <f t="shared" si="21"/>
        <v>11Y</v>
      </c>
      <c r="R196" s="204" t="str">
        <f>_xll.qlSwapIndex(,"Euribor",Q196,NDays,Currency,Calendar,"1Y","mf","30/360 (Bond Basis)",IborIndex,Discounting,,_xll.ohTrigger(Trigger,RecalcTrigger))</f>
        <v>obj_0094c#0000</v>
      </c>
      <c r="S196" s="204" t="str">
        <f>_xll.qlVanillaSwapFromSwapIndex(,R196,O196)</f>
        <v>obj_00ab1#0000</v>
      </c>
      <c r="T196" s="191">
        <f>_xll.qlVanillaSwapFairRate(S196)</f>
        <v>2.3087119979787008E-2</v>
      </c>
      <c r="U196" s="300">
        <f t="shared" si="17"/>
        <v>-2.8800202129947161E-6</v>
      </c>
      <c r="X196" s="186" t="str">
        <f t="shared" si="18"/>
        <v>1D</v>
      </c>
      <c r="Y196" s="174">
        <f>_xll.qlCalendarAdvance(Calendar,Y195,X196,"f",FALSE)</f>
        <v>42199</v>
      </c>
      <c r="Z196" s="198">
        <f>_xll.qlCalendarAdvance(Calendar,Y196,NDays&amp;"D")</f>
        <v>42201</v>
      </c>
      <c r="AA196" s="173">
        <v>2.1405475156676514E-3</v>
      </c>
      <c r="AB196" s="182">
        <v>1.9782117790256848E-3</v>
      </c>
    </row>
    <row r="197" spans="13:28" x14ac:dyDescent="0.2">
      <c r="M197" s="303" t="str">
        <v>obj_00877#0000</v>
      </c>
      <c r="N197" s="186" t="str">
        <f>_xll.qlRateHelperQuoteName(M197)</f>
        <v>EUR7F12Y_Quote</v>
      </c>
      <c r="O197" s="174">
        <f>_xll.qlInterestRateIndexFixingDate(R197,_xll.qlRateHelperEarliestDate(M197,Trigger),)</f>
        <v>44501</v>
      </c>
      <c r="P197" s="201">
        <f>_xll.qlRateHelperQuoteValue(M197,_xll.ohTrigger(RecalcTrigger,YieldCurve))</f>
        <v>2.315E-2</v>
      </c>
      <c r="Q197" s="204" t="str">
        <f t="shared" si="21"/>
        <v>12Y</v>
      </c>
      <c r="R197" s="204" t="str">
        <f>_xll.qlSwapIndex(,"Euribor",Q197,NDays,Currency,Calendar,"1Y","mf","30/360 (Bond Basis)",IborIndex,Discounting,,_xll.ohTrigger(Trigger,RecalcTrigger))</f>
        <v>obj_00a16#0000</v>
      </c>
      <c r="S197" s="204" t="str">
        <f>_xll.qlVanillaSwapFromSwapIndex(,R197,O197)</f>
        <v>obj_00a76#0000</v>
      </c>
      <c r="T197" s="191">
        <f>_xll.qlVanillaSwapFairRate(S197)</f>
        <v>2.316114818510439E-2</v>
      </c>
      <c r="U197" s="300">
        <f t="shared" si="17"/>
        <v>1.1148185104389169E-5</v>
      </c>
      <c r="X197" s="186" t="str">
        <f t="shared" si="18"/>
        <v>1D</v>
      </c>
      <c r="Y197" s="174">
        <f>_xll.qlCalendarAdvance(Calendar,Y196,X197,"f",FALSE)</f>
        <v>42200</v>
      </c>
      <c r="Z197" s="198">
        <f>_xll.qlCalendarAdvance(Calendar,Y197,NDays&amp;"D")</f>
        <v>42202</v>
      </c>
      <c r="AA197" s="173">
        <v>2.1414132390003967E-3</v>
      </c>
      <c r="AB197" s="182">
        <v>1.9673258274721661E-3</v>
      </c>
    </row>
    <row r="198" spans="13:28" x14ac:dyDescent="0.2">
      <c r="M198" s="303" t="str">
        <v>obj_007a5#0000</v>
      </c>
      <c r="N198" s="186" t="str">
        <f>_xll.qlRateHelperQuoteName(M198)</f>
        <v>EUR7F13Y_Quote</v>
      </c>
      <c r="O198" s="174">
        <f>_xll.qlInterestRateIndexFixingDate(R198,_xll.qlRateHelperEarliestDate(M198,Trigger),)</f>
        <v>44501</v>
      </c>
      <c r="P198" s="201">
        <f>_xll.qlRateHelperQuoteValue(M198,_xll.ohTrigger(RecalcTrigger,YieldCurve))</f>
        <v>2.3189999999999999E-2</v>
      </c>
      <c r="Q198" s="204" t="str">
        <f t="shared" si="21"/>
        <v>13Y</v>
      </c>
      <c r="R198" s="204" t="str">
        <f>_xll.qlSwapIndex(,"Euribor",Q198,NDays,Currency,Calendar,"1Y","mf","30/360 (Bond Basis)",IborIndex,Discounting,,_xll.ohTrigger(Trigger,RecalcTrigger))</f>
        <v>obj_00963#0000</v>
      </c>
      <c r="S198" s="204" t="str">
        <f>_xll.qlVanillaSwapFromSwapIndex(,R198,O198)</f>
        <v>obj_00ac0#0000</v>
      </c>
      <c r="T198" s="191">
        <f>_xll.qlVanillaSwapFairRate(S198)</f>
        <v>2.3193450051360788E-2</v>
      </c>
      <c r="U198" s="300">
        <f t="shared" si="17"/>
        <v>3.4500513607892136E-6</v>
      </c>
      <c r="X198" s="186" t="str">
        <f t="shared" si="18"/>
        <v>1D</v>
      </c>
      <c r="Y198" s="174">
        <f>_xll.qlCalendarAdvance(Calendar,Y197,X198,"f",FALSE)</f>
        <v>42201</v>
      </c>
      <c r="Z198" s="198">
        <f>_xll.qlCalendarAdvance(Calendar,Y198,NDays&amp;"D")</f>
        <v>42205</v>
      </c>
      <c r="AA198" s="173">
        <v>2.1457254136870094E-3</v>
      </c>
      <c r="AB198" s="182">
        <v>1.9571833259668381E-3</v>
      </c>
    </row>
    <row r="199" spans="13:28" x14ac:dyDescent="0.2">
      <c r="M199" s="303" t="str">
        <v>obj_00829#0000</v>
      </c>
      <c r="N199" s="186" t="str">
        <f>_xll.qlRateHelperQuoteName(M199)</f>
        <v>EUR7F14Y_Quote</v>
      </c>
      <c r="O199" s="174">
        <f>_xll.qlInterestRateIndexFixingDate(R199,_xll.qlRateHelperEarliestDate(M199,Trigger),)</f>
        <v>44501</v>
      </c>
      <c r="P199" s="201">
        <f>_xll.qlRateHelperQuoteValue(M199,_xll.ohTrigger(RecalcTrigger,YieldCurve))</f>
        <v>2.3179999999999999E-2</v>
      </c>
      <c r="Q199" s="204" t="str">
        <f t="shared" si="21"/>
        <v>14Y</v>
      </c>
      <c r="R199" s="204" t="str">
        <f>_xll.qlSwapIndex(,"Euribor",Q199,NDays,Currency,Calendar,"1Y","mf","30/360 (Bond Basis)",IborIndex,Discounting,,_xll.ohTrigger(Trigger,RecalcTrigger))</f>
        <v>obj_00a09#0000</v>
      </c>
      <c r="S199" s="204" t="str">
        <f>_xll.qlVanillaSwapFromSwapIndex(,R199,O199)</f>
        <v>obj_00b49#0000</v>
      </c>
      <c r="T199" s="191">
        <f>_xll.qlVanillaSwapFairRate(S199)</f>
        <v>2.3187440016528716E-2</v>
      </c>
      <c r="U199" s="300">
        <f t="shared" si="17"/>
        <v>7.4400165287168141E-6</v>
      </c>
      <c r="X199" s="186" t="str">
        <f t="shared" si="18"/>
        <v>1D</v>
      </c>
      <c r="Y199" s="174">
        <f>_xll.qlCalendarAdvance(Calendar,Y198,X199,"f",FALSE)</f>
        <v>42202</v>
      </c>
      <c r="Z199" s="198">
        <f>_xll.qlCalendarAdvance(Calendar,Y199,NDays&amp;"D")</f>
        <v>42206</v>
      </c>
      <c r="AA199" s="173">
        <v>2.1474423243749781E-3</v>
      </c>
      <c r="AB199" s="182">
        <v>1.9524999265385645E-3</v>
      </c>
    </row>
    <row r="200" spans="13:28" x14ac:dyDescent="0.2">
      <c r="M200" s="303" t="str">
        <v>obj_00821#0000</v>
      </c>
      <c r="N200" s="186" t="str">
        <f>_xll.qlRateHelperQuoteName(M200)</f>
        <v>EUR7F15Y_Quote</v>
      </c>
      <c r="O200" s="174">
        <f>_xll.qlInterestRateIndexFixingDate(R200,_xll.qlRateHelperEarliestDate(M200,Trigger),)</f>
        <v>44501</v>
      </c>
      <c r="P200" s="201">
        <f>_xll.qlRateHelperQuoteValue(M200,_xll.ohTrigger(RecalcTrigger,YieldCurve))</f>
        <v>2.315E-2</v>
      </c>
      <c r="Q200" s="204" t="str">
        <f t="shared" si="21"/>
        <v>15Y</v>
      </c>
      <c r="R200" s="204" t="str">
        <f>_xll.qlSwapIndex(,"Euribor",Q200,NDays,Currency,Calendar,"1Y","mf","30/360 (Bond Basis)",IborIndex,Discounting,,_xll.ohTrigger(Trigger,RecalcTrigger))</f>
        <v>obj_00939#0000</v>
      </c>
      <c r="S200" s="204" t="str">
        <f>_xll.qlVanillaSwapFromSwapIndex(,R200,O200)</f>
        <v>obj_00b60#0000</v>
      </c>
      <c r="T200" s="191">
        <f>_xll.qlVanillaSwapFairRate(S200)</f>
        <v>2.3155968269913535E-2</v>
      </c>
      <c r="U200" s="300">
        <f t="shared" si="17"/>
        <v>5.9682699135345241E-6</v>
      </c>
      <c r="X200" s="186" t="str">
        <f t="shared" si="18"/>
        <v>1D</v>
      </c>
      <c r="Y200" s="174">
        <f>_xll.qlCalendarAdvance(Calendar,Y199,X200,"f",FALSE)</f>
        <v>42205</v>
      </c>
      <c r="Z200" s="198">
        <f>_xll.qlCalendarAdvance(Calendar,Y200,NDays&amp;"D")</f>
        <v>42207</v>
      </c>
      <c r="AA200" s="173">
        <v>2.1491667170870777E-3</v>
      </c>
      <c r="AB200" s="182">
        <v>1.9480460126608534E-3</v>
      </c>
    </row>
    <row r="201" spans="13:28" x14ac:dyDescent="0.2">
      <c r="M201" s="303" t="str">
        <v>obj_007e6#0000</v>
      </c>
      <c r="N201" s="186" t="str">
        <f>_xll.qlRateHelperQuoteName(M201)</f>
        <v>EUR7F20Y_Quote</v>
      </c>
      <c r="O201" s="174">
        <f>_xll.qlInterestRateIndexFixingDate(R201,_xll.qlRateHelperEarliestDate(M201,Trigger),)</f>
        <v>44501</v>
      </c>
      <c r="P201" s="201">
        <f>_xll.qlRateHelperQuoteValue(M201,_xll.ohTrigger(RecalcTrigger,YieldCurve))</f>
        <v>2.2770000000000002E-2</v>
      </c>
      <c r="Q201" s="204" t="str">
        <f t="shared" si="21"/>
        <v>20Y</v>
      </c>
      <c r="R201" s="204" t="str">
        <f>_xll.qlSwapIndex(,"Euribor",Q201,NDays,Currency,Calendar,"1Y","mf","30/360 (Bond Basis)",IborIndex,Discounting,,_xll.ohTrigger(Trigger,RecalcTrigger))</f>
        <v>obj_0093c#0000</v>
      </c>
      <c r="S201" s="204" t="str">
        <f>_xll.qlVanillaSwapFromSwapIndex(,R201,O201)</f>
        <v>obj_00b00#0000</v>
      </c>
      <c r="T201" s="191">
        <f>_xll.qlVanillaSwapFairRate(S201)</f>
        <v>2.2769660620275474E-2</v>
      </c>
      <c r="U201" s="300">
        <f t="shared" si="17"/>
        <v>-3.3937972452810494E-7</v>
      </c>
      <c r="X201" s="186" t="str">
        <f t="shared" si="18"/>
        <v>1D</v>
      </c>
      <c r="Y201" s="174">
        <f>_xll.qlCalendarAdvance(Calendar,Y200,X201,"f",FALSE)</f>
        <v>42206</v>
      </c>
      <c r="Z201" s="198">
        <f>_xll.qlCalendarAdvance(Calendar,Y201,NDays&amp;"D")</f>
        <v>42208</v>
      </c>
      <c r="AA201" s="173">
        <v>2.1521101962509734E-3</v>
      </c>
      <c r="AB201" s="182">
        <v>1.9438215843337048E-3</v>
      </c>
    </row>
    <row r="202" spans="13:28" x14ac:dyDescent="0.2">
      <c r="M202" s="303" t="str">
        <v>obj_00779#0000</v>
      </c>
      <c r="N202" s="186" t="str">
        <f>_xll.qlRateHelperQuoteName(M202)</f>
        <v>EUR7F25Y_Quote</v>
      </c>
      <c r="O202" s="174">
        <f>_xll.qlInterestRateIndexFixingDate(R202,_xll.qlRateHelperEarliestDate(M202,Trigger),)</f>
        <v>44501</v>
      </c>
      <c r="P202" s="201">
        <f>_xll.qlRateHelperQuoteValue(M202,_xll.ohTrigger(RecalcTrigger,YieldCurve))</f>
        <v>2.2400000000000003E-2</v>
      </c>
      <c r="Q202" s="204" t="str">
        <f t="shared" si="21"/>
        <v>25Y</v>
      </c>
      <c r="R202" s="204" t="str">
        <f>_xll.qlSwapIndex(,"Euribor",Q202,NDays,Currency,Calendar,"1Y","mf","30/360 (Bond Basis)",IborIndex,Discounting,,_xll.ohTrigger(Trigger,RecalcTrigger))</f>
        <v>obj_00990#0000</v>
      </c>
      <c r="S202" s="204" t="str">
        <f>_xll.qlVanillaSwapFromSwapIndex(,R202,O202)</f>
        <v>obj_00a43#0000</v>
      </c>
      <c r="T202" s="191">
        <f>_xll.qlVanillaSwapFairRate(S202)</f>
        <v>2.2408936620582003E-2</v>
      </c>
      <c r="U202" s="300">
        <f t="shared" si="17"/>
        <v>8.9366205820000377E-6</v>
      </c>
      <c r="X202" s="186" t="str">
        <f t="shared" si="18"/>
        <v>1D</v>
      </c>
      <c r="Y202" s="174">
        <f>_xll.qlCalendarAdvance(Calendar,Y201,X202,"f",FALSE)</f>
        <v>42207</v>
      </c>
      <c r="Z202" s="198">
        <f>_xll.qlCalendarAdvance(Calendar,Y202,NDays&amp;"D")</f>
        <v>42209</v>
      </c>
      <c r="AA202" s="173">
        <v>2.1532244542948557E-3</v>
      </c>
      <c r="AB202" s="182">
        <v>1.9361480920920826E-3</v>
      </c>
    </row>
    <row r="203" spans="13:28" ht="12" thickBot="1" x14ac:dyDescent="0.25">
      <c r="M203" s="304" t="str">
        <v>obj_00792#0000</v>
      </c>
      <c r="N203" s="187" t="str">
        <f>_xll.qlRateHelperQuoteName(M203)</f>
        <v>EUR7F30Y_Quote</v>
      </c>
      <c r="O203" s="184">
        <f>_xll.qlInterestRateIndexFixingDate(R203,_xll.qlRateHelperEarliestDate(M203,Trigger),)</f>
        <v>44501</v>
      </c>
      <c r="P203" s="202">
        <f>_xll.qlRateHelperQuoteValue(M203,_xll.ohTrigger(RecalcTrigger,YieldCurve))</f>
        <v>2.2250000000000002E-2</v>
      </c>
      <c r="Q203" s="205" t="str">
        <f t="shared" si="21"/>
        <v>30Y</v>
      </c>
      <c r="R203" s="205" t="str">
        <f>_xll.qlSwapIndex(,"Euribor",Q203,NDays,Currency,Calendar,"1Y","mf","30/360 (Bond Basis)",IborIndex,Discounting,,_xll.ohTrigger(Trigger,RecalcTrigger))</f>
        <v>obj_00a19#0000</v>
      </c>
      <c r="S203" s="205" t="str">
        <f>_xll.qlVanillaSwapFromSwapIndex(,R203,O203)</f>
        <v>obj_00b48#0000</v>
      </c>
      <c r="T203" s="193">
        <f>_xll.qlVanillaSwapFairRate(S203)</f>
        <v>2.2268260526991858E-2</v>
      </c>
      <c r="U203" s="301">
        <f t="shared" si="17"/>
        <v>1.8260526991855514E-5</v>
      </c>
      <c r="X203" s="186" t="str">
        <f t="shared" si="18"/>
        <v>1D</v>
      </c>
      <c r="Y203" s="174">
        <f>_xll.qlCalendarAdvance(Calendar,Y202,X203,"f",FALSE)</f>
        <v>42208</v>
      </c>
      <c r="Z203" s="198">
        <f>_xll.qlCalendarAdvance(Calendar,Y203,NDays&amp;"D")</f>
        <v>42212</v>
      </c>
      <c r="AA203" s="173">
        <v>2.1578583124748363E-3</v>
      </c>
      <c r="AB203" s="182">
        <v>1.9292187257313742E-3</v>
      </c>
    </row>
    <row r="204" spans="13:28" x14ac:dyDescent="0.2">
      <c r="M204" s="305" t="str">
        <v>obj_00893#0000</v>
      </c>
      <c r="N204" s="289" t="str">
        <f>_xll.qlRateHelperQuoteName(M204)</f>
        <v>EUR8F1Y_Quote</v>
      </c>
      <c r="O204" s="286">
        <f>_xll.qlInterestRateIndexFixingDate(R204,_xll.qlRateHelperEarliestDate(M204,Trigger),)</f>
        <v>44866</v>
      </c>
      <c r="P204" s="287">
        <f>_xll.qlRateHelperQuoteValue(M204,_xll.ohTrigger(RecalcTrigger,YieldCurve))</f>
        <v>2.0390000000000002E-2</v>
      </c>
      <c r="Q204" s="285" t="str">
        <f t="shared" ref="Q204:Q221" si="22">SUBSTITUTE(SUBSTITUTE(N204,"_Quote",""),"EUR8F","")</f>
        <v>1Y</v>
      </c>
      <c r="R204" s="285" t="str">
        <f>_xll.qlSwapIndex(,"Euribor",Q204,NDays,Currency,Calendar,"1Y","mf","30/360 (Bond Basis)",IborIndex,Discounting,,_xll.ohTrigger(Trigger,RecalcTrigger))</f>
        <v>obj_0093f#0000</v>
      </c>
      <c r="S204" s="285" t="str">
        <f>_xll.qlVanillaSwapFromSwapIndex(,R204,O204)</f>
        <v>obj_00a46#0000</v>
      </c>
      <c r="T204" s="288">
        <f>_xll.qlVanillaSwapFairRate(S204)</f>
        <v>2.0390126084402636E-2</v>
      </c>
      <c r="U204" s="302">
        <f t="shared" si="17"/>
        <v>1.2608440263378595E-7</v>
      </c>
      <c r="X204" s="186" t="str">
        <f t="shared" si="18"/>
        <v>1D</v>
      </c>
      <c r="Y204" s="174">
        <f>_xll.qlCalendarAdvance(Calendar,Y203,X204,"f",FALSE)</f>
        <v>42209</v>
      </c>
      <c r="Z204" s="198">
        <f>_xll.qlCalendarAdvance(Calendar,Y204,NDays&amp;"D")</f>
        <v>42213</v>
      </c>
      <c r="AA204" s="173">
        <v>2.1596020381504269E-3</v>
      </c>
      <c r="AB204" s="182">
        <v>1.9261417248372936E-3</v>
      </c>
    </row>
    <row r="205" spans="13:28" x14ac:dyDescent="0.2">
      <c r="M205" s="303" t="str">
        <v>obj_0082f#0000</v>
      </c>
      <c r="N205" s="186" t="str">
        <f>_xll.qlRateHelperQuoteName(M205)</f>
        <v>EUR8F2Y_Quote</v>
      </c>
      <c r="O205" s="174">
        <f>_xll.qlInterestRateIndexFixingDate(R205,_xll.qlRateHelperEarliestDate(M205,Trigger),)</f>
        <v>44866</v>
      </c>
      <c r="P205" s="201">
        <f>_xll.qlRateHelperQuoteValue(M205,_xll.ohTrigger(RecalcTrigger,YieldCurve))</f>
        <v>2.1219999999999999E-2</v>
      </c>
      <c r="Q205" s="204" t="str">
        <f t="shared" si="22"/>
        <v>2Y</v>
      </c>
      <c r="R205" s="204" t="str">
        <f>_xll.qlSwapIndex(,"Euribor",Q205,NDays,Currency,Calendar,"1Y","mf","30/360 (Bond Basis)",IborIndex,Discounting,,_xll.ohTrigger(Trigger,RecalcTrigger))</f>
        <v>obj_009e6#0000</v>
      </c>
      <c r="S205" s="204" t="str">
        <f>_xll.qlVanillaSwapFromSwapIndex(,R205,O205)</f>
        <v>obj_00b11#0000</v>
      </c>
      <c r="T205" s="191">
        <f>_xll.qlVanillaSwapFairRate(S205)</f>
        <v>2.1213739490432391E-2</v>
      </c>
      <c r="U205" s="300">
        <f t="shared" si="17"/>
        <v>-6.260509567607847E-6</v>
      </c>
      <c r="X205" s="186" t="str">
        <f t="shared" si="18"/>
        <v>1D</v>
      </c>
      <c r="Y205" s="174">
        <f>_xll.qlCalendarAdvance(Calendar,Y204,X205,"f",FALSE)</f>
        <v>42212</v>
      </c>
      <c r="Z205" s="198">
        <f>_xll.qlCalendarAdvance(Calendar,Y205,NDays&amp;"D")</f>
        <v>42214</v>
      </c>
      <c r="AA205" s="173">
        <v>2.1613447260822138E-3</v>
      </c>
      <c r="AB205" s="182">
        <v>1.9232942093339034E-3</v>
      </c>
    </row>
    <row r="206" spans="13:28" x14ac:dyDescent="0.2">
      <c r="M206" s="303" t="str">
        <v>obj_007ca#0000</v>
      </c>
      <c r="N206" s="186" t="str">
        <f>_xll.qlRateHelperQuoteName(M206)</f>
        <v>EUR8F3Y_Quote</v>
      </c>
      <c r="O206" s="174">
        <f>_xll.qlInterestRateIndexFixingDate(R206,_xll.qlRateHelperEarliestDate(M206,Trigger),)</f>
        <v>44866</v>
      </c>
      <c r="P206" s="201">
        <f>_xll.qlRateHelperQuoteValue(M206,_xll.ohTrigger(RecalcTrigger,YieldCurve))</f>
        <v>2.188E-2</v>
      </c>
      <c r="Q206" s="204" t="str">
        <f t="shared" si="22"/>
        <v>3Y</v>
      </c>
      <c r="R206" s="204" t="str">
        <f>_xll.qlSwapIndex(,"Euribor",Q206,NDays,Currency,Calendar,"1Y","mf","30/360 (Bond Basis)",IborIndex,Discounting,,_xll.ohTrigger(Trigger,RecalcTrigger))</f>
        <v>obj_009c0#0000</v>
      </c>
      <c r="S206" s="204" t="str">
        <f>_xll.qlVanillaSwapFromSwapIndex(,R206,O206)</f>
        <v>obj_00adf#0000</v>
      </c>
      <c r="T206" s="191">
        <f>_xll.qlVanillaSwapFairRate(S206)</f>
        <v>2.185941124635352E-2</v>
      </c>
      <c r="U206" s="300">
        <f t="shared" si="17"/>
        <v>-2.0588753646480495E-5</v>
      </c>
      <c r="X206" s="186" t="str">
        <f t="shared" si="18"/>
        <v>1D</v>
      </c>
      <c r="Y206" s="174">
        <f>_xll.qlCalendarAdvance(Calendar,Y205,X206,"f",FALSE)</f>
        <v>42213</v>
      </c>
      <c r="Z206" s="198">
        <f>_xll.qlCalendarAdvance(Calendar,Y206,NDays&amp;"D")</f>
        <v>42215</v>
      </c>
      <c r="AA206" s="173">
        <v>2.1626339947408749E-3</v>
      </c>
      <c r="AB206" s="182">
        <v>1.9206761793810756E-3</v>
      </c>
    </row>
    <row r="207" spans="13:28" x14ac:dyDescent="0.2">
      <c r="M207" s="303" t="str">
        <v>obj_007f8#0000</v>
      </c>
      <c r="N207" s="186" t="str">
        <f>_xll.qlRateHelperQuoteName(M207)</f>
        <v>EUR8F4Y_Quote</v>
      </c>
      <c r="O207" s="174">
        <f>_xll.qlInterestRateIndexFixingDate(R207,_xll.qlRateHelperEarliestDate(M207,Trigger),)</f>
        <v>44866</v>
      </c>
      <c r="P207" s="201">
        <f>_xll.qlRateHelperQuoteValue(M207,_xll.ohTrigger(RecalcTrigger,YieldCurve))</f>
        <v>2.2360000000000001E-2</v>
      </c>
      <c r="Q207" s="204" t="str">
        <f t="shared" si="22"/>
        <v>4Y</v>
      </c>
      <c r="R207" s="204" t="str">
        <f>_xll.qlSwapIndex(,"Euribor",Q207,NDays,Currency,Calendar,"1Y","mf","30/360 (Bond Basis)",IborIndex,Discounting,,_xll.ohTrigger(Trigger,RecalcTrigger))</f>
        <v>obj_009c4#0000</v>
      </c>
      <c r="S207" s="204" t="str">
        <f>_xll.qlVanillaSwapFromSwapIndex(,R207,O207)</f>
        <v>obj_00b04#0000</v>
      </c>
      <c r="T207" s="191">
        <f>_xll.qlVanillaSwapFairRate(S207)</f>
        <v>2.2370344393029967E-2</v>
      </c>
      <c r="U207" s="300">
        <f t="shared" ref="U207:U270" si="23">T207-P207</f>
        <v>1.0344393029965149E-5</v>
      </c>
      <c r="X207" s="186" t="str">
        <f t="shared" si="18"/>
        <v>1D</v>
      </c>
      <c r="Y207" s="174">
        <f>_xll.qlCalendarAdvance(Calendar,Y206,X207,"f",FALSE)</f>
        <v>42214</v>
      </c>
      <c r="Z207" s="198">
        <f>_xll.qlCalendarAdvance(Calendar,Y207,NDays&amp;"D")</f>
        <v>42216</v>
      </c>
      <c r="AA207" s="173">
        <v>2.1639518881452617E-3</v>
      </c>
      <c r="AB207" s="182">
        <v>1.9162152704321755E-3</v>
      </c>
    </row>
    <row r="208" spans="13:28" x14ac:dyDescent="0.2">
      <c r="M208" s="303" t="str">
        <v>obj_00828#0000</v>
      </c>
      <c r="N208" s="186" t="str">
        <f>_xll.qlRateHelperQuoteName(M208)</f>
        <v>EUR8F5Y_Quote</v>
      </c>
      <c r="O208" s="174">
        <f>_xll.qlInterestRateIndexFixingDate(R208,_xll.qlRateHelperEarliestDate(M208,Trigger),)</f>
        <v>44866</v>
      </c>
      <c r="P208" s="201">
        <f>_xll.qlRateHelperQuoteValue(M208,_xll.ohTrigger(RecalcTrigger,YieldCurve))</f>
        <v>2.2759999999999999E-2</v>
      </c>
      <c r="Q208" s="204" t="str">
        <f t="shared" si="22"/>
        <v>5Y</v>
      </c>
      <c r="R208" s="204" t="str">
        <f>_xll.qlSwapIndex(,"Euribor",Q208,NDays,Currency,Calendar,"1Y","mf","30/360 (Bond Basis)",IborIndex,Discounting,,_xll.ohTrigger(Trigger,RecalcTrigger))</f>
        <v>obj_0090b#0000</v>
      </c>
      <c r="S208" s="204" t="str">
        <f>_xll.qlVanillaSwapFromSwapIndex(,R208,O208)</f>
        <v>obj_00b26#0000</v>
      </c>
      <c r="T208" s="191">
        <f>_xll.qlVanillaSwapFairRate(S208)</f>
        <v>2.2748944015500348E-2</v>
      </c>
      <c r="U208" s="300">
        <f t="shared" si="23"/>
        <v>-1.1055984499651339E-5</v>
      </c>
      <c r="X208" s="186" t="str">
        <f t="shared" si="18"/>
        <v>1D</v>
      </c>
      <c r="Y208" s="174">
        <f>_xll.qlCalendarAdvance(Calendar,Y207,X208,"f",FALSE)</f>
        <v>42215</v>
      </c>
      <c r="Z208" s="198">
        <f>_xll.qlCalendarAdvance(Calendar,Y208,NDays&amp;"D")</f>
        <v>42219</v>
      </c>
      <c r="AA208" s="173">
        <v>2.1699999999997932E-3</v>
      </c>
      <c r="AB208" s="182">
        <v>1.9125518892604276E-3</v>
      </c>
    </row>
    <row r="209" spans="13:28" x14ac:dyDescent="0.2">
      <c r="M209" s="303" t="str">
        <v>obj_007ad#0000</v>
      </c>
      <c r="N209" s="186" t="str">
        <f>_xll.qlRateHelperQuoteName(M209)</f>
        <v>EUR8F6Y_Quote</v>
      </c>
      <c r="O209" s="174">
        <f>_xll.qlInterestRateIndexFixingDate(R209,_xll.qlRateHelperEarliestDate(M209,Trigger),)</f>
        <v>44866</v>
      </c>
      <c r="P209" s="201">
        <f>_xll.qlRateHelperQuoteValue(M209,_xll.ohTrigger(RecalcTrigger,YieldCurve))</f>
        <v>2.3050000000000001E-2</v>
      </c>
      <c r="Q209" s="204" t="str">
        <f t="shared" si="22"/>
        <v>6Y</v>
      </c>
      <c r="R209" s="204" t="str">
        <f>_xll.qlSwapIndex(,"Euribor",Q209,NDays,Currency,Calendar,"1Y","mf","30/360 (Bond Basis)",IborIndex,Discounting,,_xll.ohTrigger(Trigger,RecalcTrigger))</f>
        <v>obj_00932#0000</v>
      </c>
      <c r="S209" s="204" t="str">
        <f>_xll.qlVanillaSwapFromSwapIndex(,R209,O209)</f>
        <v>obj_00a6c#0000</v>
      </c>
      <c r="T209" s="191">
        <f>_xll.qlVanillaSwapFairRate(S209)</f>
        <v>2.3046895628773663E-2</v>
      </c>
      <c r="U209" s="300">
        <f t="shared" si="23"/>
        <v>-3.1043712263381651E-6</v>
      </c>
      <c r="X209" s="186" t="str">
        <f t="shared" si="18"/>
        <v>1D</v>
      </c>
      <c r="Y209" s="174">
        <f>_xll.qlCalendarAdvance(Calendar,Y208,X209,"f",FALSE)</f>
        <v>42216</v>
      </c>
      <c r="Z209" s="198">
        <f>_xll.qlCalendarAdvance(Calendar,Y209,NDays&amp;"D")</f>
        <v>42220</v>
      </c>
      <c r="AA209" s="173">
        <v>2.1717112103084631E-3</v>
      </c>
      <c r="AB209" s="182">
        <v>1.9113991388053364E-3</v>
      </c>
    </row>
    <row r="210" spans="13:28" x14ac:dyDescent="0.2">
      <c r="M210" s="303" t="str">
        <v>obj_007ec#0000</v>
      </c>
      <c r="N210" s="186" t="str">
        <f>_xll.qlRateHelperQuoteName(M210)</f>
        <v>EUR8F7Y_Quote</v>
      </c>
      <c r="O210" s="174">
        <f>_xll.qlInterestRateIndexFixingDate(R210,_xll.qlRateHelperEarliestDate(M210,Trigger),)</f>
        <v>44866</v>
      </c>
      <c r="P210" s="201">
        <f>_xll.qlRateHelperQuoteValue(M210,_xll.ohTrigger(RecalcTrigger,YieldCurve))</f>
        <v>2.3269999999999999E-2</v>
      </c>
      <c r="Q210" s="204" t="str">
        <f t="shared" si="22"/>
        <v>7Y</v>
      </c>
      <c r="R210" s="204" t="str">
        <f>_xll.qlSwapIndex(,"Euribor",Q210,NDays,Currency,Calendar,"1Y","mf","30/360 (Bond Basis)",IborIndex,Discounting,,_xll.ohTrigger(Trigger,RecalcTrigger))</f>
        <v>obj_0092f#0000</v>
      </c>
      <c r="S210" s="204" t="str">
        <f>_xll.qlVanillaSwapFromSwapIndex(,R210,O210)</f>
        <v>obj_00b1b#0000</v>
      </c>
      <c r="T210" s="191">
        <f>_xll.qlVanillaSwapFairRate(S210)</f>
        <v>2.3268398905677109E-2</v>
      </c>
      <c r="U210" s="300">
        <f t="shared" si="23"/>
        <v>-1.6010943228901564E-6</v>
      </c>
      <c r="X210" s="186" t="str">
        <f t="shared" si="18"/>
        <v>1D</v>
      </c>
      <c r="Y210" s="174">
        <f>_xll.qlCalendarAdvance(Calendar,Y209,X210,"f",FALSE)</f>
        <v>42219</v>
      </c>
      <c r="Z210" s="198">
        <f>_xll.qlCalendarAdvance(Calendar,Y210,NDays&amp;"D")</f>
        <v>42221</v>
      </c>
      <c r="AA210" s="173">
        <v>2.1734147148102707E-3</v>
      </c>
      <c r="AB210" s="182">
        <v>1.9107937261253483E-3</v>
      </c>
    </row>
    <row r="211" spans="13:28" x14ac:dyDescent="0.2">
      <c r="M211" s="303" t="str">
        <v>obj_007e8#0000</v>
      </c>
      <c r="N211" s="186" t="str">
        <f>_xll.qlRateHelperQuoteName(M211)</f>
        <v>EUR8F8Y_Quote</v>
      </c>
      <c r="O211" s="174">
        <f>_xll.qlInterestRateIndexFixingDate(R211,_xll.qlRateHelperEarliestDate(M211,Trigger),)</f>
        <v>44866</v>
      </c>
      <c r="P211" s="201">
        <f>_xll.qlRateHelperQuoteValue(M211,_xll.ohTrigger(RecalcTrigger,YieldCurve))</f>
        <v>2.3439999999999999E-2</v>
      </c>
      <c r="Q211" s="204" t="str">
        <f t="shared" si="22"/>
        <v>8Y</v>
      </c>
      <c r="R211" s="204" t="str">
        <f>_xll.qlSwapIndex(,"Euribor",Q211,NDays,Currency,Calendar,"1Y","mf","30/360 (Bond Basis)",IborIndex,Discounting,,_xll.ohTrigger(Trigger,RecalcTrigger))</f>
        <v>obj_0091d#0000</v>
      </c>
      <c r="S211" s="204" t="str">
        <f>_xll.qlVanillaSwapFromSwapIndex(,R211,O211)</f>
        <v>obj_00b45#0000</v>
      </c>
      <c r="T211" s="191">
        <f>_xll.qlVanillaSwapFairRate(S211)</f>
        <v>2.3436119930975489E-2</v>
      </c>
      <c r="U211" s="300">
        <f t="shared" si="23"/>
        <v>-3.8800690245095748E-6</v>
      </c>
      <c r="X211" s="186" t="str">
        <f t="shared" si="18"/>
        <v>1D</v>
      </c>
      <c r="Y211" s="174">
        <f>_xll.qlCalendarAdvance(Calendar,Y210,X211,"f",FALSE)</f>
        <v>42220</v>
      </c>
      <c r="Z211" s="198">
        <f>_xll.qlCalendarAdvance(Calendar,Y211,NDays&amp;"D")</f>
        <v>42222</v>
      </c>
      <c r="AA211" s="173">
        <v>2.1756318765770422E-3</v>
      </c>
      <c r="AB211" s="182">
        <v>1.9107356510605911E-3</v>
      </c>
    </row>
    <row r="212" spans="13:28" x14ac:dyDescent="0.2">
      <c r="M212" s="303" t="str">
        <v>obj_007f5#0000</v>
      </c>
      <c r="N212" s="186" t="str">
        <f>_xll.qlRateHelperQuoteName(M212)</f>
        <v>EUR8F9Y_Quote</v>
      </c>
      <c r="O212" s="174">
        <f>_xll.qlInterestRateIndexFixingDate(R212,_xll.qlRateHelperEarliestDate(M212,Trigger),)</f>
        <v>44866</v>
      </c>
      <c r="P212" s="201">
        <f>_xll.qlRateHelperQuoteValue(M212,_xll.ohTrigger(RecalcTrigger,YieldCurve))</f>
        <v>2.358E-2</v>
      </c>
      <c r="Q212" s="204" t="str">
        <f t="shared" si="22"/>
        <v>9Y</v>
      </c>
      <c r="R212" s="204" t="str">
        <f>_xll.qlSwapIndex(,"Euribor",Q212,NDays,Currency,Calendar,"1Y","mf","30/360 (Bond Basis)",IborIndex,Discounting,,_xll.ohTrigger(Trigger,RecalcTrigger))</f>
        <v>obj_00a2a#0000</v>
      </c>
      <c r="S212" s="204" t="str">
        <f>_xll.qlVanillaSwapFromSwapIndex(,R212,O212)</f>
        <v>obj_00ab8#0000</v>
      </c>
      <c r="T212" s="191">
        <f>_xll.qlVanillaSwapFairRate(S212)</f>
        <v>2.3557524476720926E-2</v>
      </c>
      <c r="U212" s="300">
        <f t="shared" si="23"/>
        <v>-2.2475523279073817E-5</v>
      </c>
      <c r="X212" s="186" t="str">
        <f t="shared" si="18"/>
        <v>1D</v>
      </c>
      <c r="Y212" s="174">
        <f>_xll.qlCalendarAdvance(Calendar,Y211,X212,"f",FALSE)</f>
        <v>42221</v>
      </c>
      <c r="Z212" s="198">
        <f>_xll.qlCalendarAdvance(Calendar,Y212,NDays&amp;"D")</f>
        <v>42223</v>
      </c>
      <c r="AA212" s="173">
        <v>2.1770521931462729E-3</v>
      </c>
      <c r="AB212" s="182">
        <v>1.9124541197612643E-3</v>
      </c>
    </row>
    <row r="213" spans="13:28" x14ac:dyDescent="0.2">
      <c r="M213" s="303" t="str">
        <v>obj_00815#0000</v>
      </c>
      <c r="N213" s="186" t="str">
        <f>_xll.qlRateHelperQuoteName(M213)</f>
        <v>EUR8F10Y_Quote</v>
      </c>
      <c r="O213" s="174">
        <f>_xll.qlInterestRateIndexFixingDate(R213,_xll.qlRateHelperEarliestDate(M213,Trigger),)</f>
        <v>44866</v>
      </c>
      <c r="P213" s="201">
        <f>_xll.qlRateHelperQuoteValue(M213,_xll.ohTrigger(RecalcTrigger,YieldCurve))</f>
        <v>2.3650000000000001E-2</v>
      </c>
      <c r="Q213" s="204" t="str">
        <f t="shared" si="22"/>
        <v>10Y</v>
      </c>
      <c r="R213" s="204" t="str">
        <f>_xll.qlSwapIndex(,"Euribor",Q213,NDays,Currency,Calendar,"1Y","mf","30/360 (Bond Basis)",IborIndex,Discounting,,_xll.ohTrigger(Trigger,RecalcTrigger))</f>
        <v>obj_0096b#0000</v>
      </c>
      <c r="S213" s="204" t="str">
        <f>_xll.qlVanillaSwapFromSwapIndex(,R213,O213)</f>
        <v>obj_00ad6#0000</v>
      </c>
      <c r="T213" s="191">
        <f>_xll.qlVanillaSwapFairRate(S213)</f>
        <v>2.3641989584114505E-2</v>
      </c>
      <c r="U213" s="300">
        <f t="shared" si="23"/>
        <v>-8.0104158854954477E-6</v>
      </c>
      <c r="X213" s="186" t="str">
        <f t="shared" ref="X213:X276" si="24">X212</f>
        <v>1D</v>
      </c>
      <c r="Y213" s="174">
        <f>_xll.qlCalendarAdvance(Calendar,Y212,X213,"f",FALSE)</f>
        <v>42222</v>
      </c>
      <c r="Z213" s="198">
        <f>_xll.qlCalendarAdvance(Calendar,Y213,NDays&amp;"D")</f>
        <v>42226</v>
      </c>
      <c r="AA213" s="173">
        <v>2.1818388670599592E-3</v>
      </c>
      <c r="AB213" s="182">
        <v>1.915976728472657E-3</v>
      </c>
    </row>
    <row r="214" spans="13:28" x14ac:dyDescent="0.2">
      <c r="M214" s="303" t="str">
        <v>obj_00890#0000</v>
      </c>
      <c r="N214" s="186" t="str">
        <f>_xll.qlRateHelperQuoteName(M214)</f>
        <v>EUR8F11Y_Quote</v>
      </c>
      <c r="O214" s="174">
        <f>_xll.qlInterestRateIndexFixingDate(R214,_xll.qlRateHelperEarliestDate(M214,Trigger),)</f>
        <v>44866</v>
      </c>
      <c r="P214" s="201">
        <f>_xll.qlRateHelperQuoteValue(M214,_xll.ohTrigger(RecalcTrigger,YieldCurve))</f>
        <v>2.367E-2</v>
      </c>
      <c r="Q214" s="204" t="str">
        <f t="shared" si="22"/>
        <v>11Y</v>
      </c>
      <c r="R214" s="204" t="str">
        <f>_xll.qlSwapIndex(,"Euribor",Q214,NDays,Currency,Calendar,"1Y","mf","30/360 (Bond Basis)",IborIndex,Discounting,,_xll.ohTrigger(Trigger,RecalcTrigger))</f>
        <v>obj_0091b#0000</v>
      </c>
      <c r="S214" s="204" t="str">
        <f>_xll.qlVanillaSwapFromSwapIndex(,R214,O214)</f>
        <v>obj_00ac5#0000</v>
      </c>
      <c r="T214" s="191">
        <f>_xll.qlVanillaSwapFairRate(S214)</f>
        <v>2.3678710682533785E-2</v>
      </c>
      <c r="U214" s="300">
        <f t="shared" si="23"/>
        <v>8.7106825337850136E-6</v>
      </c>
      <c r="X214" s="186" t="str">
        <f t="shared" si="24"/>
        <v>1D</v>
      </c>
      <c r="Y214" s="174">
        <f>_xll.qlCalendarAdvance(Calendar,Y213,X214,"f",FALSE)</f>
        <v>42223</v>
      </c>
      <c r="Z214" s="198">
        <f>_xll.qlCalendarAdvance(Calendar,Y214,NDays&amp;"D")</f>
        <v>42227</v>
      </c>
      <c r="AA214" s="173">
        <v>2.1835094668567192E-3</v>
      </c>
      <c r="AB214" s="182">
        <v>1.9186553421235431E-3</v>
      </c>
    </row>
    <row r="215" spans="13:28" x14ac:dyDescent="0.2">
      <c r="M215" s="303" t="str">
        <v>obj_00766#0000</v>
      </c>
      <c r="N215" s="186" t="str">
        <f>_xll.qlRateHelperQuoteName(M215)</f>
        <v>EUR8F12Y_Quote</v>
      </c>
      <c r="O215" s="174">
        <f>_xll.qlInterestRateIndexFixingDate(R215,_xll.qlRateHelperEarliestDate(M215,Trigger),)</f>
        <v>44866</v>
      </c>
      <c r="P215" s="201">
        <f>_xll.qlRateHelperQuoteValue(M215,_xll.ohTrigger(RecalcTrigger,YieldCurve))</f>
        <v>2.368E-2</v>
      </c>
      <c r="Q215" s="204" t="str">
        <f t="shared" si="22"/>
        <v>12Y</v>
      </c>
      <c r="R215" s="204" t="str">
        <f>_xll.qlSwapIndex(,"Euribor",Q215,NDays,Currency,Calendar,"1Y","mf","30/360 (Bond Basis)",IborIndex,Discounting,,_xll.ohTrigger(Trigger,RecalcTrigger))</f>
        <v>obj_0096a#0000</v>
      </c>
      <c r="S215" s="204" t="str">
        <f>_xll.qlVanillaSwapFromSwapIndex(,R215,O215)</f>
        <v>obj_00b8f#0000</v>
      </c>
      <c r="T215" s="191">
        <f>_xll.qlVanillaSwapFairRate(S215)</f>
        <v>2.3676130461094257E-2</v>
      </c>
      <c r="U215" s="300">
        <f t="shared" si="23"/>
        <v>-3.8695389057430418E-6</v>
      </c>
      <c r="X215" s="186" t="str">
        <f t="shared" si="24"/>
        <v>1D</v>
      </c>
      <c r="Y215" s="174">
        <f>_xll.qlCalendarAdvance(Calendar,Y214,X215,"f",FALSE)</f>
        <v>42226</v>
      </c>
      <c r="Z215" s="198">
        <f>_xll.qlCalendarAdvance(Calendar,Y215,NDays&amp;"D")</f>
        <v>42228</v>
      </c>
      <c r="AA215" s="173">
        <v>2.1851768042457438E-3</v>
      </c>
      <c r="AB215" s="182">
        <v>1.9218812935495322E-3</v>
      </c>
    </row>
    <row r="216" spans="13:28" x14ac:dyDescent="0.2">
      <c r="M216" s="303" t="str">
        <v>obj_007c5#0000</v>
      </c>
      <c r="N216" s="186" t="str">
        <f>_xll.qlRateHelperQuoteName(M216)</f>
        <v>EUR8F13Y_Quote</v>
      </c>
      <c r="O216" s="174">
        <f>_xll.qlInterestRateIndexFixingDate(R216,_xll.qlRateHelperEarliestDate(M216,Trigger),)</f>
        <v>44866</v>
      </c>
      <c r="P216" s="201">
        <f>_xll.qlRateHelperQuoteValue(M216,_xll.ohTrigger(RecalcTrigger,YieldCurve))</f>
        <v>2.3639999999999998E-2</v>
      </c>
      <c r="Q216" s="204" t="str">
        <f t="shared" si="22"/>
        <v>13Y</v>
      </c>
      <c r="R216" s="204" t="str">
        <f>_xll.qlSwapIndex(,"Euribor",Q216,NDays,Currency,Calendar,"1Y","mf","30/360 (Bond Basis)",IborIndex,Discounting,,_xll.ohTrigger(Trigger,RecalcTrigger))</f>
        <v>obj_00909#0000</v>
      </c>
      <c r="S216" s="204" t="str">
        <f>_xll.qlVanillaSwapFromSwapIndex(,R216,O216)</f>
        <v>obj_00b5f#0000</v>
      </c>
      <c r="T216" s="191">
        <f>_xll.qlVanillaSwapFairRate(S216)</f>
        <v>2.3637111173767558E-2</v>
      </c>
      <c r="U216" s="300">
        <f t="shared" si="23"/>
        <v>-2.8888262324396063E-6</v>
      </c>
      <c r="X216" s="186" t="str">
        <f t="shared" si="24"/>
        <v>1D</v>
      </c>
      <c r="Y216" s="174">
        <f>_xll.qlCalendarAdvance(Calendar,Y215,X216,"f",FALSE)</f>
        <v>42227</v>
      </c>
      <c r="Z216" s="198">
        <f>_xll.qlCalendarAdvance(Calendar,Y216,NDays&amp;"D")</f>
        <v>42229</v>
      </c>
      <c r="AA216" s="173">
        <v>2.187367874776107E-3</v>
      </c>
      <c r="AB216" s="182">
        <v>1.9256545829104965E-3</v>
      </c>
    </row>
    <row r="217" spans="13:28" x14ac:dyDescent="0.2">
      <c r="M217" s="303" t="str">
        <v>obj_00804#0000</v>
      </c>
      <c r="N217" s="186" t="str">
        <f>_xll.qlRateHelperQuoteName(M217)</f>
        <v>EUR8F14Y_Quote</v>
      </c>
      <c r="O217" s="174">
        <f>_xll.qlInterestRateIndexFixingDate(R217,_xll.qlRateHelperEarliestDate(M217,Trigger),)</f>
        <v>44866</v>
      </c>
      <c r="P217" s="201">
        <f>_xll.qlRateHelperQuoteValue(M217,_xll.ohTrigger(RecalcTrigger,YieldCurve))</f>
        <v>2.3570000000000001E-2</v>
      </c>
      <c r="Q217" s="204" t="str">
        <f t="shared" si="22"/>
        <v>14Y</v>
      </c>
      <c r="R217" s="204" t="str">
        <f>_xll.qlSwapIndex(,"Euribor",Q217,NDays,Currency,Calendar,"1Y","mf","30/360 (Bond Basis)",IborIndex,Discounting,,_xll.ohTrigger(Trigger,RecalcTrigger))</f>
        <v>obj_009ce#0000</v>
      </c>
      <c r="S217" s="204" t="str">
        <f>_xll.qlVanillaSwapFromSwapIndex(,R217,O217)</f>
        <v>obj_00b7c#0000</v>
      </c>
      <c r="T217" s="191">
        <f>_xll.qlVanillaSwapFairRate(S217)</f>
        <v>2.3575519576101024E-2</v>
      </c>
      <c r="U217" s="300">
        <f t="shared" si="23"/>
        <v>5.5195761010234934E-6</v>
      </c>
      <c r="X217" s="186" t="str">
        <f t="shared" si="24"/>
        <v>1D</v>
      </c>
      <c r="Y217" s="174">
        <f>_xll.qlCalendarAdvance(Calendar,Y216,X217,"f",FALSE)</f>
        <v>42228</v>
      </c>
      <c r="Z217" s="198">
        <f>_xll.qlCalendarAdvance(Calendar,Y217,NDays&amp;"D")</f>
        <v>42230</v>
      </c>
      <c r="AA217" s="173">
        <v>2.1887708333947248E-3</v>
      </c>
      <c r="AB217" s="182">
        <v>1.9350360216030538E-3</v>
      </c>
    </row>
    <row r="218" spans="13:28" x14ac:dyDescent="0.2">
      <c r="M218" s="303" t="str">
        <v>obj_007c0#0000</v>
      </c>
      <c r="N218" s="186" t="str">
        <f>_xll.qlRateHelperQuoteName(M218)</f>
        <v>EUR8F15Y_Quote</v>
      </c>
      <c r="O218" s="174">
        <f>_xll.qlInterestRateIndexFixingDate(R218,_xll.qlRateHelperEarliestDate(M218,Trigger),)</f>
        <v>44866</v>
      </c>
      <c r="P218" s="201">
        <f>_xll.qlRateHelperQuoteValue(M218,_xll.ohTrigger(RecalcTrigger,YieldCurve))</f>
        <v>2.3479999999999997E-2</v>
      </c>
      <c r="Q218" s="204" t="str">
        <f t="shared" si="22"/>
        <v>15Y</v>
      </c>
      <c r="R218" s="204" t="str">
        <f>_xll.qlSwapIndex(,"Euribor",Q218,NDays,Currency,Calendar,"1Y","mf","30/360 (Bond Basis)",IborIndex,Discounting,,_xll.ohTrigger(Trigger,RecalcTrigger))</f>
        <v>obj_00a23#0000</v>
      </c>
      <c r="S218" s="204" t="str">
        <f>_xll.qlVanillaSwapFromSwapIndex(,R218,O218)</f>
        <v>obj_00b2d#0000</v>
      </c>
      <c r="T218" s="191">
        <f>_xll.qlVanillaSwapFairRate(S218)</f>
        <v>2.3490682395115394E-2</v>
      </c>
      <c r="U218" s="300">
        <f t="shared" si="23"/>
        <v>1.0682395115396703E-5</v>
      </c>
      <c r="X218" s="186" t="str">
        <f t="shared" si="24"/>
        <v>1D</v>
      </c>
      <c r="Y218" s="174">
        <f>_xll.qlCalendarAdvance(Calendar,Y217,X218,"f",FALSE)</f>
        <v>42229</v>
      </c>
      <c r="Z218" s="198">
        <f>_xll.qlCalendarAdvance(Calendar,Y218,NDays&amp;"D")</f>
        <v>42233</v>
      </c>
      <c r="AA218" s="173">
        <v>2.1934867724545141E-3</v>
      </c>
      <c r="AB218" s="182">
        <v>1.9462211180254485E-3</v>
      </c>
    </row>
    <row r="219" spans="13:28" x14ac:dyDescent="0.2">
      <c r="M219" s="303" t="str">
        <v>obj_00812#0000</v>
      </c>
      <c r="N219" s="186" t="str">
        <f>_xll.qlRateHelperQuoteName(M219)</f>
        <v>EUR8F20Y_Quote</v>
      </c>
      <c r="O219" s="174">
        <f>_xll.qlInterestRateIndexFixingDate(R219,_xll.qlRateHelperEarliestDate(M219,Trigger),)</f>
        <v>44866</v>
      </c>
      <c r="P219" s="201">
        <f>_xll.qlRateHelperQuoteValue(M219,_xll.ohTrigger(RecalcTrigger,YieldCurve))</f>
        <v>2.2949999999999998E-2</v>
      </c>
      <c r="Q219" s="204" t="str">
        <f t="shared" si="22"/>
        <v>20Y</v>
      </c>
      <c r="R219" s="204" t="str">
        <f>_xll.qlSwapIndex(,"Euribor",Q219,NDays,Currency,Calendar,"1Y","mf","30/360 (Bond Basis)",IborIndex,Discounting,,_xll.ohTrigger(Trigger,RecalcTrigger))</f>
        <v>obj_009b4#0000</v>
      </c>
      <c r="S219" s="204" t="str">
        <f>_xll.qlVanillaSwapFromSwapIndex(,R219,O219)</f>
        <v>obj_00b21#0000</v>
      </c>
      <c r="T219" s="191">
        <f>_xll.qlVanillaSwapFairRate(S219)</f>
        <v>2.2964957683051294E-2</v>
      </c>
      <c r="U219" s="300">
        <f t="shared" si="23"/>
        <v>1.4957683051295551E-5</v>
      </c>
      <c r="X219" s="186" t="str">
        <f t="shared" si="24"/>
        <v>1D</v>
      </c>
      <c r="Y219" s="174">
        <f>_xll.qlCalendarAdvance(Calendar,Y218,X219,"f",FALSE)</f>
        <v>42230</v>
      </c>
      <c r="Z219" s="198">
        <f>_xll.qlCalendarAdvance(Calendar,Y219,NDays&amp;"D")</f>
        <v>42234</v>
      </c>
      <c r="AA219" s="173">
        <v>2.1951478658547349E-3</v>
      </c>
      <c r="AB219" s="182">
        <v>1.9527310965017364E-3</v>
      </c>
    </row>
    <row r="220" spans="13:28" x14ac:dyDescent="0.2">
      <c r="M220" s="303" t="str">
        <v>obj_0079e#0000</v>
      </c>
      <c r="N220" s="186" t="str">
        <f>_xll.qlRateHelperQuoteName(M220)</f>
        <v>EUR8F25Y_Quote</v>
      </c>
      <c r="O220" s="174">
        <f>_xll.qlInterestRateIndexFixingDate(R220,_xll.qlRateHelperEarliestDate(M220,Trigger),)</f>
        <v>44866</v>
      </c>
      <c r="P220" s="201">
        <f>_xll.qlRateHelperQuoteValue(M220,_xll.ohTrigger(RecalcTrigger,YieldCurve))</f>
        <v>2.2589999999999999E-2</v>
      </c>
      <c r="Q220" s="204" t="str">
        <f t="shared" si="22"/>
        <v>25Y</v>
      </c>
      <c r="R220" s="204" t="str">
        <f>_xll.qlSwapIndex(,"Euribor",Q220,NDays,Currency,Calendar,"1Y","mf","30/360 (Bond Basis)",IborIndex,Discounting,,_xll.ohTrigger(Trigger,RecalcTrigger))</f>
        <v>obj_008f4#0000</v>
      </c>
      <c r="S220" s="204" t="str">
        <f>_xll.qlVanillaSwapFromSwapIndex(,R220,O220)</f>
        <v>obj_00a8a#0000</v>
      </c>
      <c r="T220" s="191">
        <f>_xll.qlVanillaSwapFairRate(S220)</f>
        <v>2.2585109177028731E-2</v>
      </c>
      <c r="U220" s="300">
        <f t="shared" si="23"/>
        <v>-4.8908229712679718E-6</v>
      </c>
      <c r="X220" s="186" t="str">
        <f t="shared" si="24"/>
        <v>1D</v>
      </c>
      <c r="Y220" s="174">
        <f>_xll.qlCalendarAdvance(Calendar,Y219,X220,"f",FALSE)</f>
        <v>42233</v>
      </c>
      <c r="Z220" s="198">
        <f>_xll.qlCalendarAdvance(Calendar,Y220,NDays&amp;"D")</f>
        <v>42235</v>
      </c>
      <c r="AA220" s="173">
        <v>2.1968101403536523E-3</v>
      </c>
      <c r="AB220" s="182">
        <v>1.9597884129129994E-3</v>
      </c>
    </row>
    <row r="221" spans="13:28" ht="12" thickBot="1" x14ac:dyDescent="0.25">
      <c r="M221" s="304" t="str">
        <v>obj_00816#0000</v>
      </c>
      <c r="N221" s="187" t="str">
        <f>_xll.qlRateHelperQuoteName(M221)</f>
        <v>EUR8F30Y_Quote</v>
      </c>
      <c r="O221" s="184">
        <f>_xll.qlInterestRateIndexFixingDate(R221,_xll.qlRateHelperEarliestDate(M221,Trigger),)</f>
        <v>44866</v>
      </c>
      <c r="P221" s="202">
        <f>_xll.qlRateHelperQuoteValue(M221,_xll.ohTrigger(RecalcTrigger,YieldCurve))</f>
        <v>2.2440000000000002E-2</v>
      </c>
      <c r="Q221" s="205" t="str">
        <f t="shared" si="22"/>
        <v>30Y</v>
      </c>
      <c r="R221" s="205" t="str">
        <f>_xll.qlSwapIndex(,"Euribor",Q221,NDays,Currency,Calendar,"1Y","mf","30/360 (Bond Basis)",IborIndex,Discounting,,_xll.ohTrigger(Trigger,RecalcTrigger))</f>
        <v>obj_00923#0000</v>
      </c>
      <c r="S221" s="205" t="str">
        <f>_xll.qlVanillaSwapFromSwapIndex(,R221,O221)</f>
        <v>obj_00b37#0000</v>
      </c>
      <c r="T221" s="193">
        <f>_xll.qlVanillaSwapFairRate(S221)</f>
        <v>2.2441016950588141E-2</v>
      </c>
      <c r="U221" s="301">
        <f t="shared" si="23"/>
        <v>1.0169505881389707E-6</v>
      </c>
      <c r="X221" s="186" t="str">
        <f t="shared" si="24"/>
        <v>1D</v>
      </c>
      <c r="Y221" s="174">
        <f>_xll.qlCalendarAdvance(Calendar,Y220,X221,"f",FALSE)</f>
        <v>42234</v>
      </c>
      <c r="Z221" s="198">
        <f>_xll.qlCalendarAdvance(Calendar,Y221,NDays&amp;"D")</f>
        <v>42236</v>
      </c>
      <c r="AA221" s="173">
        <v>2.1993575242179775E-3</v>
      </c>
      <c r="AB221" s="182">
        <v>1.9673930671793016E-3</v>
      </c>
    </row>
    <row r="222" spans="13:28" x14ac:dyDescent="0.2">
      <c r="M222" s="305" t="str">
        <v>obj_007e4#0000</v>
      </c>
      <c r="N222" s="289" t="str">
        <f>_xll.qlRateHelperQuoteName(M222)</f>
        <v>EUR9F1Y_Quote</v>
      </c>
      <c r="O222" s="286">
        <f>_xll.qlInterestRateIndexFixingDate(R222,_xll.qlRateHelperEarliestDate(M222,Trigger),)</f>
        <v>45231</v>
      </c>
      <c r="P222" s="287">
        <f>_xll.qlRateHelperQuoteValue(M222,_xll.ohTrigger(RecalcTrigger,YieldCurve))</f>
        <v>2.2069999999999999E-2</v>
      </c>
      <c r="Q222" s="285" t="str">
        <f t="shared" ref="Q222:Q239" si="25">SUBSTITUTE(SUBSTITUTE(N222,"_Quote",""),"EUR9F","")</f>
        <v>1Y</v>
      </c>
      <c r="R222" s="285" t="str">
        <f>_xll.qlSwapIndex(,"Euribor",Q222,NDays,Currency,Calendar,"1Y","mf","30/360 (Bond Basis)",IborIndex,Discounting,,_xll.ohTrigger(Trigger,RecalcTrigger))</f>
        <v>obj_00985#0000</v>
      </c>
      <c r="S222" s="285" t="str">
        <f>_xll.qlVanillaSwapFromSwapIndex(,R222,O222)</f>
        <v>obj_00abf#0000</v>
      </c>
      <c r="T222" s="288">
        <f>_xll.qlVanillaSwapFairRate(S222)</f>
        <v>2.2050995793867462E-2</v>
      </c>
      <c r="U222" s="302">
        <f t="shared" si="23"/>
        <v>-1.9004206132537671E-5</v>
      </c>
      <c r="X222" s="186" t="str">
        <f t="shared" si="24"/>
        <v>1D</v>
      </c>
      <c r="Y222" s="174">
        <f>_xll.qlCalendarAdvance(Calendar,Y221,X222,"f",FALSE)</f>
        <v>42235</v>
      </c>
      <c r="Z222" s="198">
        <f>_xll.qlCalendarAdvance(Calendar,Y222,NDays&amp;"D")</f>
        <v>42237</v>
      </c>
      <c r="AA222" s="173">
        <v>2.2005993599149344E-3</v>
      </c>
      <c r="AB222" s="182">
        <v>1.9844377746114361E-3</v>
      </c>
    </row>
    <row r="223" spans="13:28" x14ac:dyDescent="0.2">
      <c r="M223" s="303" t="str">
        <v>obj_007e3#0000</v>
      </c>
      <c r="N223" s="186" t="str">
        <f>_xll.qlRateHelperQuoteName(M223)</f>
        <v>EUR9F2Y_Quote</v>
      </c>
      <c r="O223" s="174">
        <f>_xll.qlInterestRateIndexFixingDate(R223,_xll.qlRateHelperEarliestDate(M223,Trigger),)</f>
        <v>45231</v>
      </c>
      <c r="P223" s="201">
        <f>_xll.qlRateHelperQuoteValue(M223,_xll.ohTrigger(RecalcTrigger,YieldCurve))</f>
        <v>2.265E-2</v>
      </c>
      <c r="Q223" s="204" t="str">
        <f t="shared" si="25"/>
        <v>2Y</v>
      </c>
      <c r="R223" s="204" t="str">
        <f>_xll.qlSwapIndex(,"Euribor",Q223,NDays,Currency,Calendar,"1Y","mf","30/360 (Bond Basis)",IborIndex,Discounting,,_xll.ohTrigger(Trigger,RecalcTrigger))</f>
        <v>obj_0090e#0000</v>
      </c>
      <c r="S223" s="204" t="str">
        <f>_xll.qlVanillaSwapFromSwapIndex(,R223,O223)</f>
        <v>obj_00a58#0000</v>
      </c>
      <c r="T223" s="191">
        <f>_xll.qlVanillaSwapFairRate(S223)</f>
        <v>2.2615934614290581E-2</v>
      </c>
      <c r="U223" s="300">
        <f t="shared" si="23"/>
        <v>-3.4065385709419055E-5</v>
      </c>
      <c r="X223" s="186" t="str">
        <f t="shared" si="24"/>
        <v>1D</v>
      </c>
      <c r="Y223" s="174">
        <f>_xll.qlCalendarAdvance(Calendar,Y222,X223,"f",FALSE)</f>
        <v>42236</v>
      </c>
      <c r="Z223" s="198">
        <f>_xll.qlCalendarAdvance(Calendar,Y223,NDays&amp;"D")</f>
        <v>42240</v>
      </c>
      <c r="AA223" s="173">
        <v>2.2051614472292599E-3</v>
      </c>
      <c r="AB223" s="182">
        <v>2.0032850647933031E-3</v>
      </c>
    </row>
    <row r="224" spans="13:28" x14ac:dyDescent="0.2">
      <c r="M224" s="303" t="str">
        <v>obj_0082a#0000</v>
      </c>
      <c r="N224" s="186" t="str">
        <f>_xll.qlRateHelperQuoteName(M224)</f>
        <v>EUR9F3Y_Quote</v>
      </c>
      <c r="O224" s="174">
        <f>_xll.qlInterestRateIndexFixingDate(R224,_xll.qlRateHelperEarliestDate(M224,Trigger),)</f>
        <v>45231</v>
      </c>
      <c r="P224" s="201">
        <f>_xll.qlRateHelperQuoteValue(M224,_xll.ohTrigger(RecalcTrigger,YieldCurve))</f>
        <v>2.3050000000000001E-2</v>
      </c>
      <c r="Q224" s="204" t="str">
        <f t="shared" si="25"/>
        <v>3Y</v>
      </c>
      <c r="R224" s="204" t="str">
        <f>_xll.qlSwapIndex(,"Euribor",Q224,NDays,Currency,Calendar,"1Y","mf","30/360 (Bond Basis)",IborIndex,Discounting,,_xll.ohTrigger(Trigger,RecalcTrigger))</f>
        <v>obj_0094e#0000</v>
      </c>
      <c r="S224" s="204" t="str">
        <f>_xll.qlVanillaSwapFromSwapIndex(,R224,O224)</f>
        <v>obj_00a52#0000</v>
      </c>
      <c r="T224" s="191">
        <f>_xll.qlVanillaSwapFairRate(S224)</f>
        <v>2.3057233027486055E-2</v>
      </c>
      <c r="U224" s="300">
        <f t="shared" si="23"/>
        <v>7.2330274860539501E-6</v>
      </c>
      <c r="X224" s="186" t="str">
        <f t="shared" si="24"/>
        <v>1D</v>
      </c>
      <c r="Y224" s="174">
        <f>_xll.qlCalendarAdvance(Calendar,Y223,X224,"f",FALSE)</f>
        <v>42237</v>
      </c>
      <c r="Z224" s="198">
        <f>_xll.qlCalendarAdvance(Calendar,Y224,NDays&amp;"D")</f>
        <v>42241</v>
      </c>
      <c r="AA224" s="173">
        <v>2.2068441390929333E-3</v>
      </c>
      <c r="AB224" s="182">
        <v>2.0136264095338419E-3</v>
      </c>
    </row>
    <row r="225" spans="13:28" x14ac:dyDescent="0.2">
      <c r="M225" s="303" t="str">
        <v>obj_0086d#0000</v>
      </c>
      <c r="N225" s="186" t="str">
        <f>_xll.qlRateHelperQuoteName(M225)</f>
        <v>EUR9F4Y_Quote</v>
      </c>
      <c r="O225" s="174">
        <f>_xll.qlInterestRateIndexFixingDate(R225,_xll.qlRateHelperEarliestDate(M225,Trigger),)</f>
        <v>45231</v>
      </c>
      <c r="P225" s="201">
        <f>_xll.qlRateHelperQuoteValue(M225,_xll.ohTrigger(RecalcTrigger,YieldCurve))</f>
        <v>2.3390000000000001E-2</v>
      </c>
      <c r="Q225" s="204" t="str">
        <f t="shared" si="25"/>
        <v>4Y</v>
      </c>
      <c r="R225" s="204" t="str">
        <f>_xll.qlSwapIndex(,"Euribor",Q225,NDays,Currency,Calendar,"1Y","mf","30/360 (Bond Basis)",IborIndex,Discounting,,_xll.ohTrigger(Trigger,RecalcTrigger))</f>
        <v>obj_00933#0000</v>
      </c>
      <c r="S225" s="204" t="str">
        <f>_xll.qlVanillaSwapFromSwapIndex(,R225,O225)</f>
        <v>obj_00a55#0000</v>
      </c>
      <c r="T225" s="191">
        <f>_xll.qlVanillaSwapFairRate(S225)</f>
        <v>2.3369188475800409E-2</v>
      </c>
      <c r="U225" s="300">
        <f t="shared" si="23"/>
        <v>-2.0811524199592507E-5</v>
      </c>
      <c r="X225" s="186" t="str">
        <f t="shared" si="24"/>
        <v>1D</v>
      </c>
      <c r="Y225" s="174">
        <f>_xll.qlCalendarAdvance(Calendar,Y224,X225,"f",FALSE)</f>
        <v>42240</v>
      </c>
      <c r="Z225" s="198">
        <f>_xll.qlCalendarAdvance(Calendar,Y225,NDays&amp;"D")</f>
        <v>42242</v>
      </c>
      <c r="AA225" s="173">
        <v>2.2085324556668689E-3</v>
      </c>
      <c r="AB225" s="182">
        <v>2.0245150923692279E-3</v>
      </c>
    </row>
    <row r="226" spans="13:28" x14ac:dyDescent="0.2">
      <c r="M226" s="303" t="str">
        <v>obj_007b5#0000</v>
      </c>
      <c r="N226" s="186" t="str">
        <f>_xll.qlRateHelperQuoteName(M226)</f>
        <v>EUR9F5Y_Quote</v>
      </c>
      <c r="O226" s="174">
        <f>_xll.qlInterestRateIndexFixingDate(R226,_xll.qlRateHelperEarliestDate(M226,Trigger),)</f>
        <v>45231</v>
      </c>
      <c r="P226" s="201">
        <f>_xll.qlRateHelperQuoteValue(M226,_xll.ohTrigger(RecalcTrigger,YieldCurve))</f>
        <v>2.3620000000000002E-2</v>
      </c>
      <c r="Q226" s="204" t="str">
        <f t="shared" si="25"/>
        <v>5Y</v>
      </c>
      <c r="R226" s="204" t="str">
        <f>_xll.qlSwapIndex(,"Euribor",Q226,NDays,Currency,Calendar,"1Y","mf","30/360 (Bond Basis)",IborIndex,Discounting,,_xll.ohTrigger(Trigger,RecalcTrigger))</f>
        <v>obj_008fd#0000</v>
      </c>
      <c r="S226" s="204" t="str">
        <f>_xll.qlVanillaSwapFromSwapIndex(,R226,O226)</f>
        <v>obj_00a70#0000</v>
      </c>
      <c r="T226" s="191">
        <f>_xll.qlVanillaSwapFairRate(S226)</f>
        <v>2.361185390001546E-2</v>
      </c>
      <c r="U226" s="300">
        <f t="shared" si="23"/>
        <v>-8.1460999845420212E-6</v>
      </c>
      <c r="X226" s="186" t="str">
        <f t="shared" si="24"/>
        <v>1D</v>
      </c>
      <c r="Y226" s="174">
        <f>_xll.qlCalendarAdvance(Calendar,Y225,X226,"f",FALSE)</f>
        <v>42241</v>
      </c>
      <c r="Z226" s="198">
        <f>_xll.qlCalendarAdvance(Calendar,Y226,NDays&amp;"D")</f>
        <v>42243</v>
      </c>
      <c r="AA226" s="173">
        <v>2.2118162262101965E-3</v>
      </c>
      <c r="AB226" s="182">
        <v>2.0359511135392694E-3</v>
      </c>
    </row>
    <row r="227" spans="13:28" x14ac:dyDescent="0.2">
      <c r="M227" s="303" t="str">
        <v>obj_007da#0000</v>
      </c>
      <c r="N227" s="186" t="str">
        <f>_xll.qlRateHelperQuoteName(M227)</f>
        <v>EUR9F6Y_Quote</v>
      </c>
      <c r="O227" s="174">
        <f>_xll.qlInterestRateIndexFixingDate(R227,_xll.qlRateHelperEarliestDate(M227,Trigger),)</f>
        <v>45231</v>
      </c>
      <c r="P227" s="201">
        <f>_xll.qlRateHelperQuoteValue(M227,_xll.ohTrigger(RecalcTrigger,YieldCurve))</f>
        <v>2.3789999999999999E-2</v>
      </c>
      <c r="Q227" s="204" t="str">
        <f t="shared" si="25"/>
        <v>6Y</v>
      </c>
      <c r="R227" s="204" t="str">
        <f>_xll.qlSwapIndex(,"Euribor",Q227,NDays,Currency,Calendar,"1Y","mf","30/360 (Bond Basis)",IborIndex,Discounting,,_xll.ohTrigger(Trigger,RecalcTrigger))</f>
        <v>obj_009a8#0000</v>
      </c>
      <c r="S227" s="204" t="str">
        <f>_xll.qlVanillaSwapFromSwapIndex(,R227,O227)</f>
        <v>obj_00a40#0000</v>
      </c>
      <c r="T227" s="191">
        <f>_xll.qlVanillaSwapFairRate(S227)</f>
        <v>2.3783617924786487E-2</v>
      </c>
      <c r="U227" s="300">
        <f t="shared" si="23"/>
        <v>-6.3820752135117231E-6</v>
      </c>
      <c r="X227" s="186" t="str">
        <f t="shared" si="24"/>
        <v>1D</v>
      </c>
      <c r="Y227" s="174">
        <f>_xll.qlCalendarAdvance(Calendar,Y226,X227,"f",FALSE)</f>
        <v>42242</v>
      </c>
      <c r="Z227" s="198">
        <f>_xll.qlCalendarAdvance(Calendar,Y227,NDays&amp;"D")</f>
        <v>42244</v>
      </c>
      <c r="AA227" s="173">
        <v>2.2127543343861932E-3</v>
      </c>
      <c r="AB227" s="182">
        <v>2.06065941193323E-3</v>
      </c>
    </row>
    <row r="228" spans="13:28" x14ac:dyDescent="0.2">
      <c r="M228" s="303" t="str">
        <v>obj_00776#0000</v>
      </c>
      <c r="N228" s="186" t="str">
        <f>_xll.qlRateHelperQuoteName(M228)</f>
        <v>EUR9F7Y_Quote</v>
      </c>
      <c r="O228" s="174">
        <f>_xll.qlInterestRateIndexFixingDate(R228,_xll.qlRateHelperEarliestDate(M228,Trigger),)</f>
        <v>45231</v>
      </c>
      <c r="P228" s="201">
        <f>_xll.qlRateHelperQuoteValue(M228,_xll.ohTrigger(RecalcTrigger,YieldCurve))</f>
        <v>2.3910000000000001E-2</v>
      </c>
      <c r="Q228" s="204" t="str">
        <f t="shared" si="25"/>
        <v>7Y</v>
      </c>
      <c r="R228" s="204" t="str">
        <f>_xll.qlSwapIndex(,"Euribor",Q228,NDays,Currency,Calendar,"1Y","mf","30/360 (Bond Basis)",IborIndex,Discounting,,_xll.ohTrigger(Trigger,RecalcTrigger))</f>
        <v>obj_009d8#0000</v>
      </c>
      <c r="S228" s="204" t="str">
        <f>_xll.qlVanillaSwapFromSwapIndex(,R228,O228)</f>
        <v>obj_00b03#0000</v>
      </c>
      <c r="T228" s="191">
        <f>_xll.qlVanillaSwapFairRate(S228)</f>
        <v>2.3908875072828111E-2</v>
      </c>
      <c r="U228" s="300">
        <f t="shared" si="23"/>
        <v>-1.1249271718895282E-6</v>
      </c>
      <c r="X228" s="186" t="str">
        <f t="shared" si="24"/>
        <v>1D</v>
      </c>
      <c r="Y228" s="174">
        <f>_xll.qlCalendarAdvance(Calendar,Y227,X228,"f",FALSE)</f>
        <v>42243</v>
      </c>
      <c r="Z228" s="198">
        <f>_xll.qlCalendarAdvance(Calendar,Y228,NDays&amp;"D")</f>
        <v>42247</v>
      </c>
      <c r="AA228" s="173">
        <v>2.2152233533738572E-3</v>
      </c>
      <c r="AB228" s="182">
        <v>2.0871685815659902E-3</v>
      </c>
    </row>
    <row r="229" spans="13:28" x14ac:dyDescent="0.2">
      <c r="M229" s="303" t="str">
        <v>obj_007db#0000</v>
      </c>
      <c r="N229" s="186" t="str">
        <f>_xll.qlRateHelperQuoteName(M229)</f>
        <v>EUR9F8Y_Quote</v>
      </c>
      <c r="O229" s="174">
        <f>_xll.qlInterestRateIndexFixingDate(R229,_xll.qlRateHelperEarliestDate(M229,Trigger),)</f>
        <v>45231</v>
      </c>
      <c r="P229" s="201">
        <f>_xll.qlRateHelperQuoteValue(M229,_xll.ohTrigger(RecalcTrigger,YieldCurve))</f>
        <v>2.4009999999999997E-2</v>
      </c>
      <c r="Q229" s="204" t="str">
        <f t="shared" si="25"/>
        <v>8Y</v>
      </c>
      <c r="R229" s="204" t="str">
        <f>_xll.qlSwapIndex(,"Euribor",Q229,NDays,Currency,Calendar,"1Y","mf","30/360 (Bond Basis)",IborIndex,Discounting,,_xll.ohTrigger(Trigger,RecalcTrigger))</f>
        <v>obj_009d2#0000</v>
      </c>
      <c r="S229" s="204" t="str">
        <f>_xll.qlVanillaSwapFromSwapIndex(,R229,O229)</f>
        <v>obj_00a7c#0000</v>
      </c>
      <c r="T229" s="191">
        <f>_xll.qlVanillaSwapFairRate(S229)</f>
        <v>2.3992605406553725E-2</v>
      </c>
      <c r="U229" s="300">
        <f t="shared" si="23"/>
        <v>-1.7394593446271728E-5</v>
      </c>
      <c r="X229" s="186" t="str">
        <f t="shared" si="24"/>
        <v>1D</v>
      </c>
      <c r="Y229" s="174">
        <f>_xll.qlCalendarAdvance(Calendar,Y228,X229,"f",FALSE)</f>
        <v>42244</v>
      </c>
      <c r="Z229" s="198">
        <f>_xll.qlCalendarAdvance(Calendar,Y229,NDays&amp;"D")</f>
        <v>42248</v>
      </c>
      <c r="AA229" s="173">
        <v>2.2168124812800456E-3</v>
      </c>
      <c r="AB229" s="182">
        <v>2.1013412948089893E-3</v>
      </c>
    </row>
    <row r="230" spans="13:28" x14ac:dyDescent="0.2">
      <c r="M230" s="303" t="str">
        <v>obj_007c1#0000</v>
      </c>
      <c r="N230" s="186" t="str">
        <f>_xll.qlRateHelperQuoteName(M230)</f>
        <v>EUR9F9Y_Quote</v>
      </c>
      <c r="O230" s="174">
        <f>_xll.qlInterestRateIndexFixingDate(R230,_xll.qlRateHelperEarliestDate(M230,Trigger),)</f>
        <v>45231</v>
      </c>
      <c r="P230" s="201">
        <f>_xll.qlRateHelperQuoteValue(M230,_xll.ohTrigger(RecalcTrigger,YieldCurve))</f>
        <v>2.4039999999999999E-2</v>
      </c>
      <c r="Q230" s="204" t="str">
        <f t="shared" si="25"/>
        <v>9Y</v>
      </c>
      <c r="R230" s="204" t="str">
        <f>_xll.qlSwapIndex(,"Euribor",Q230,NDays,Currency,Calendar,"1Y","mf","30/360 (Bond Basis)",IborIndex,Discounting,,_xll.ohTrigger(Trigger,RecalcTrigger))</f>
        <v>obj_008ec#0000</v>
      </c>
      <c r="S230" s="204" t="str">
        <f>_xll.qlVanillaSwapFromSwapIndex(,R230,O230)</f>
        <v>obj_00a63#0000</v>
      </c>
      <c r="T230" s="191">
        <f>_xll.qlVanillaSwapFairRate(S230)</f>
        <v>2.4043451335228515E-2</v>
      </c>
      <c r="U230" s="300">
        <f t="shared" si="23"/>
        <v>3.4513352285166221E-6</v>
      </c>
      <c r="X230" s="186" t="str">
        <f t="shared" si="24"/>
        <v>1D</v>
      </c>
      <c r="Y230" s="174">
        <f>_xll.qlCalendarAdvance(Calendar,Y229,X230,"f",FALSE)</f>
        <v>42247</v>
      </c>
      <c r="Z230" s="198">
        <f>_xll.qlCalendarAdvance(Calendar,Y230,NDays&amp;"D")</f>
        <v>42249</v>
      </c>
      <c r="AA230" s="173">
        <v>2.2184044828971734E-3</v>
      </c>
      <c r="AB230" s="182">
        <v>2.1160613466264522E-3</v>
      </c>
    </row>
    <row r="231" spans="13:28" x14ac:dyDescent="0.2">
      <c r="M231" s="303" t="str">
        <v>obj_007d9#0000</v>
      </c>
      <c r="N231" s="186" t="str">
        <f>_xll.qlRateHelperQuoteName(M231)</f>
        <v>EUR9F10Y_Quote</v>
      </c>
      <c r="O231" s="174">
        <f>_xll.qlInterestRateIndexFixingDate(R231,_xll.qlRateHelperEarliestDate(M231,Trigger),)</f>
        <v>45231</v>
      </c>
      <c r="P231" s="201">
        <f>_xll.qlRateHelperQuoteValue(M231,_xll.ohTrigger(RecalcTrigger,YieldCurve))</f>
        <v>2.4049999999999998E-2</v>
      </c>
      <c r="Q231" s="204" t="str">
        <f t="shared" si="25"/>
        <v>10Y</v>
      </c>
      <c r="R231" s="204" t="str">
        <f>_xll.qlSwapIndex(,"Euribor",Q231,NDays,Currency,Calendar,"1Y","mf","30/360 (Bond Basis)",IborIndex,Discounting,,_xll.ohTrigger(Trigger,RecalcTrigger))</f>
        <v>obj_00a18#0000</v>
      </c>
      <c r="S231" s="204" t="str">
        <f>_xll.qlVanillaSwapFromSwapIndex(,R231,O231)</f>
        <v>obj_00a32#0000</v>
      </c>
      <c r="T231" s="191">
        <f>_xll.qlVanillaSwapFairRate(S231)</f>
        <v>2.4048150858289711E-2</v>
      </c>
      <c r="U231" s="300">
        <f t="shared" si="23"/>
        <v>-1.8491417102875496E-6</v>
      </c>
      <c r="X231" s="186" t="str">
        <f t="shared" si="24"/>
        <v>1D</v>
      </c>
      <c r="Y231" s="174">
        <f>_xll.qlCalendarAdvance(Calendar,Y230,X231,"f",FALSE)</f>
        <v>42248</v>
      </c>
      <c r="Z231" s="198">
        <f>_xll.qlCalendarAdvance(Calendar,Y231,NDays&amp;"D")</f>
        <v>42250</v>
      </c>
      <c r="AA231" s="173">
        <v>2.2200000000002257E-3</v>
      </c>
      <c r="AB231" s="182">
        <v>2.131131692957311E-3</v>
      </c>
    </row>
    <row r="232" spans="13:28" x14ac:dyDescent="0.2">
      <c r="M232" s="303" t="str">
        <v>obj_00811#0000</v>
      </c>
      <c r="N232" s="186" t="str">
        <f>_xll.qlRateHelperQuoteName(M232)</f>
        <v>EUR9F11Y_Quote</v>
      </c>
      <c r="O232" s="174">
        <f>_xll.qlInterestRateIndexFixingDate(R232,_xll.qlRateHelperEarliestDate(M232,Trigger),)</f>
        <v>45231</v>
      </c>
      <c r="P232" s="201">
        <f>_xll.qlRateHelperQuoteValue(M232,_xll.ohTrigger(RecalcTrigger,YieldCurve))</f>
        <v>2.402E-2</v>
      </c>
      <c r="Q232" s="204" t="str">
        <f t="shared" si="25"/>
        <v>11Y</v>
      </c>
      <c r="R232" s="204" t="str">
        <f>_xll.qlSwapIndex(,"Euribor",Q232,NDays,Currency,Calendar,"1Y","mf","30/360 (Bond Basis)",IborIndex,Discounting,,_xll.ohTrigger(Trigger,RecalcTrigger))</f>
        <v>obj_009ac#0000</v>
      </c>
      <c r="S232" s="204" t="str">
        <f>_xll.qlVanillaSwapFromSwapIndex(,R232,O232)</f>
        <v>obj_00aad#0000</v>
      </c>
      <c r="T232" s="191">
        <f>_xll.qlVanillaSwapFairRate(S232)</f>
        <v>2.4015412130698226E-2</v>
      </c>
      <c r="U232" s="300">
        <f t="shared" si="23"/>
        <v>-4.5878693017732675E-6</v>
      </c>
      <c r="X232" s="186" t="str">
        <f t="shared" si="24"/>
        <v>1D</v>
      </c>
      <c r="Y232" s="174">
        <f>_xll.qlCalendarAdvance(Calendar,Y231,X232,"f",FALSE)</f>
        <v>42249</v>
      </c>
      <c r="Z232" s="198">
        <f>_xll.qlCalendarAdvance(Calendar,Y232,NDays&amp;"D")</f>
        <v>42251</v>
      </c>
      <c r="AA232" s="173">
        <v>2.2215997059832899E-3</v>
      </c>
      <c r="AB232" s="182">
        <v>2.1595630074600081E-3</v>
      </c>
    </row>
    <row r="233" spans="13:28" x14ac:dyDescent="0.2">
      <c r="M233" s="303" t="str">
        <v>obj_007ff#0000</v>
      </c>
      <c r="N233" s="186" t="str">
        <f>_xll.qlRateHelperQuoteName(M233)</f>
        <v>EUR9F12Y_Quote</v>
      </c>
      <c r="O233" s="174">
        <f>_xll.qlInterestRateIndexFixingDate(R233,_xll.qlRateHelperEarliestDate(M233,Trigger),)</f>
        <v>45231</v>
      </c>
      <c r="P233" s="201">
        <f>_xll.qlRateHelperQuoteValue(M233,_xll.ohTrigger(RecalcTrigger,YieldCurve))</f>
        <v>2.3949999999999999E-2</v>
      </c>
      <c r="Q233" s="204" t="str">
        <f t="shared" si="25"/>
        <v>12Y</v>
      </c>
      <c r="R233" s="204" t="str">
        <f>_xll.qlSwapIndex(,"Euribor",Q233,NDays,Currency,Calendar,"1Y","mf","30/360 (Bond Basis)",IborIndex,Discounting,,_xll.ohTrigger(Trigger,RecalcTrigger))</f>
        <v>obj_009e8#0000</v>
      </c>
      <c r="S233" s="204" t="str">
        <f>_xll.qlVanillaSwapFromSwapIndex(,R233,O233)</f>
        <v>obj_00af4#0000</v>
      </c>
      <c r="T233" s="191">
        <f>_xll.qlVanillaSwapFairRate(S233)</f>
        <v>2.3947650468226743E-2</v>
      </c>
      <c r="U233" s="300">
        <f t="shared" si="23"/>
        <v>-2.3495317732560861E-6</v>
      </c>
      <c r="X233" s="186" t="str">
        <f t="shared" si="24"/>
        <v>1D</v>
      </c>
      <c r="Y233" s="174">
        <f>_xll.qlCalendarAdvance(Calendar,Y232,X233,"f",FALSE)</f>
        <v>42250</v>
      </c>
      <c r="Z233" s="198">
        <f>_xll.qlCalendarAdvance(Calendar,Y233,NDays&amp;"D")</f>
        <v>42254</v>
      </c>
      <c r="AA233" s="173">
        <v>2.2264320824062602E-3</v>
      </c>
      <c r="AB233" s="182">
        <v>2.1858519918893649E-3</v>
      </c>
    </row>
    <row r="234" spans="13:28" x14ac:dyDescent="0.2">
      <c r="M234" s="303" t="str">
        <v>obj_007aa#0000</v>
      </c>
      <c r="N234" s="186" t="str">
        <f>_xll.qlRateHelperQuoteName(M234)</f>
        <v>EUR9F13Y_Quote</v>
      </c>
      <c r="O234" s="174">
        <f>_xll.qlInterestRateIndexFixingDate(R234,_xll.qlRateHelperEarliestDate(M234,Trigger),)</f>
        <v>45231</v>
      </c>
      <c r="P234" s="201">
        <f>_xll.qlRateHelperQuoteValue(M234,_xll.ohTrigger(RecalcTrigger,YieldCurve))</f>
        <v>2.3860000000000003E-2</v>
      </c>
      <c r="Q234" s="204" t="str">
        <f t="shared" si="25"/>
        <v>13Y</v>
      </c>
      <c r="R234" s="204" t="str">
        <f>_xll.qlSwapIndex(,"Euribor",Q234,NDays,Currency,Calendar,"1Y","mf","30/360 (Bond Basis)",IborIndex,Discounting,,_xll.ohTrigger(Trigger,RecalcTrigger))</f>
        <v>obj_009e7#0000</v>
      </c>
      <c r="S234" s="204" t="str">
        <f>_xll.qlVanillaSwapFromSwapIndex(,R234,O234)</f>
        <v>obj_00a7b#0000</v>
      </c>
      <c r="T234" s="191">
        <f>_xll.qlVanillaSwapFairRate(S234)</f>
        <v>2.3859877240538507E-2</v>
      </c>
      <c r="U234" s="300">
        <f t="shared" si="23"/>
        <v>-1.2275946149539751E-7</v>
      </c>
      <c r="X234" s="186" t="str">
        <f t="shared" si="24"/>
        <v>1D</v>
      </c>
      <c r="Y234" s="174">
        <f>_xll.qlCalendarAdvance(Calendar,Y233,X234,"f",FALSE)</f>
        <v>42251</v>
      </c>
      <c r="Z234" s="198">
        <f>_xll.qlCalendarAdvance(Calendar,Y234,NDays&amp;"D")</f>
        <v>42255</v>
      </c>
      <c r="AA234" s="173">
        <v>2.2280567323527027E-3</v>
      </c>
      <c r="AB234" s="182">
        <v>2.1979447506037531E-3</v>
      </c>
    </row>
    <row r="235" spans="13:28" x14ac:dyDescent="0.2">
      <c r="M235" s="303" t="str">
        <v>obj_007d2#0000</v>
      </c>
      <c r="N235" s="186" t="str">
        <f>_xll.qlRateHelperQuoteName(M235)</f>
        <v>EUR9F14Y_Quote</v>
      </c>
      <c r="O235" s="174">
        <f>_xll.qlInterestRateIndexFixingDate(R235,_xll.qlRateHelperEarliestDate(M235,Trigger),)</f>
        <v>45231</v>
      </c>
      <c r="P235" s="201">
        <f>_xll.qlRateHelperQuoteValue(M235,_xll.ohTrigger(RecalcTrigger,YieldCurve))</f>
        <v>2.3740000000000001E-2</v>
      </c>
      <c r="Q235" s="204" t="str">
        <f t="shared" si="25"/>
        <v>14Y</v>
      </c>
      <c r="R235" s="204" t="str">
        <f>_xll.qlSwapIndex(,"Euribor",Q235,NDays,Currency,Calendar,"1Y","mf","30/360 (Bond Basis)",IborIndex,Discounting,,_xll.ohTrigger(Trigger,RecalcTrigger))</f>
        <v>obj_00983#0000</v>
      </c>
      <c r="S235" s="204" t="str">
        <f>_xll.qlVanillaSwapFromSwapIndex(,R235,O235)</f>
        <v>obj_00b65#0000</v>
      </c>
      <c r="T235" s="191">
        <f>_xll.qlVanillaSwapFairRate(S235)</f>
        <v>2.3750431002857286E-2</v>
      </c>
      <c r="U235" s="300">
        <f t="shared" si="23"/>
        <v>1.0431002857285571E-5</v>
      </c>
      <c r="X235" s="186" t="str">
        <f t="shared" si="24"/>
        <v>1D</v>
      </c>
      <c r="Y235" s="174">
        <f>_xll.qlCalendarAdvance(Calendar,Y234,X235,"f",FALSE)</f>
        <v>42254</v>
      </c>
      <c r="Z235" s="198">
        <f>_xll.qlCalendarAdvance(Calendar,Y235,NDays&amp;"D")</f>
        <v>42256</v>
      </c>
      <c r="AA235" s="173">
        <v>2.2296896970322231E-3</v>
      </c>
      <c r="AB235" s="182">
        <v>2.2094025827268382E-3</v>
      </c>
    </row>
    <row r="236" spans="13:28" x14ac:dyDescent="0.2">
      <c r="M236" s="303" t="str">
        <v>obj_0077d#0000</v>
      </c>
      <c r="N236" s="186" t="str">
        <f>_xll.qlRateHelperQuoteName(M236)</f>
        <v>EUR9F15Y_Quote</v>
      </c>
      <c r="O236" s="174">
        <f>_xll.qlInterestRateIndexFixingDate(R236,_xll.qlRateHelperEarliestDate(M236,Trigger),)</f>
        <v>45231</v>
      </c>
      <c r="P236" s="201">
        <f>_xll.qlRateHelperQuoteValue(M236,_xll.ohTrigger(RecalcTrigger,YieldCurve))</f>
        <v>2.3629999999999998E-2</v>
      </c>
      <c r="Q236" s="204" t="str">
        <f t="shared" si="25"/>
        <v>15Y</v>
      </c>
      <c r="R236" s="204" t="str">
        <f>_xll.qlSwapIndex(,"Euribor",Q236,NDays,Currency,Calendar,"1Y","mf","30/360 (Bond Basis)",IborIndex,Discounting,,_xll.ohTrigger(Trigger,RecalcTrigger))</f>
        <v>obj_008fe#0000</v>
      </c>
      <c r="S236" s="204" t="str">
        <f>_xll.qlVanillaSwapFromSwapIndex(,R236,O236)</f>
        <v>obj_00b72#0000</v>
      </c>
      <c r="T236" s="191">
        <f>_xll.qlVanillaSwapFairRate(S236)</f>
        <v>2.3630387660524381E-2</v>
      </c>
      <c r="U236" s="300">
        <f t="shared" si="23"/>
        <v>3.8766052438271581E-7</v>
      </c>
      <c r="X236" s="186" t="str">
        <f t="shared" si="24"/>
        <v>1D</v>
      </c>
      <c r="Y236" s="174">
        <f>_xll.qlCalendarAdvance(Calendar,Y235,X236,"f",FALSE)</f>
        <v>42255</v>
      </c>
      <c r="Z236" s="198">
        <f>_xll.qlCalendarAdvance(Calendar,Y236,NDays&amp;"D")</f>
        <v>42257</v>
      </c>
      <c r="AA236" s="173">
        <v>2.2313318079484785E-3</v>
      </c>
      <c r="AB236" s="182">
        <v>2.2202254881786843E-3</v>
      </c>
    </row>
    <row r="237" spans="13:28" x14ac:dyDescent="0.2">
      <c r="M237" s="303" t="str">
        <v>obj_00762#0000</v>
      </c>
      <c r="N237" s="186" t="str">
        <f>_xll.qlRateHelperQuoteName(M237)</f>
        <v>EUR9F20Y_Quote</v>
      </c>
      <c r="O237" s="174">
        <f>_xll.qlInterestRateIndexFixingDate(R237,_xll.qlRateHelperEarliestDate(M237,Trigger),)</f>
        <v>45231</v>
      </c>
      <c r="P237" s="201">
        <f>_xll.qlRateHelperQuoteValue(M237,_xll.ohTrigger(RecalcTrigger,YieldCurve))</f>
        <v>2.3019999999999999E-2</v>
      </c>
      <c r="Q237" s="204" t="str">
        <f t="shared" si="25"/>
        <v>20Y</v>
      </c>
      <c r="R237" s="204" t="str">
        <f>_xll.qlSwapIndex(,"Euribor",Q237,NDays,Currency,Calendar,"1Y","mf","30/360 (Bond Basis)",IborIndex,Discounting,,_xll.ohTrigger(Trigger,RecalcTrigger))</f>
        <v>obj_0096c#0000</v>
      </c>
      <c r="S237" s="204" t="str">
        <f>_xll.qlVanillaSwapFromSwapIndex(,R237,O237)</f>
        <v>obj_00ad4#0000</v>
      </c>
      <c r="T237" s="191">
        <f>_xll.qlVanillaSwapFairRate(S237)</f>
        <v>2.3021340198845913E-2</v>
      </c>
      <c r="U237" s="300">
        <f t="shared" si="23"/>
        <v>1.3401988459144087E-6</v>
      </c>
      <c r="X237" s="186" t="str">
        <f t="shared" si="24"/>
        <v>1D</v>
      </c>
      <c r="Y237" s="174">
        <f>_xll.qlCalendarAdvance(Calendar,Y236,X237,"f",FALSE)</f>
        <v>42256</v>
      </c>
      <c r="Z237" s="198">
        <f>_xll.qlCalendarAdvance(Calendar,Y237,NDays&amp;"D")</f>
        <v>42258</v>
      </c>
      <c r="AA237" s="173">
        <v>2.2329838966068834E-3</v>
      </c>
      <c r="AB237" s="182">
        <v>2.2397688115916026E-3</v>
      </c>
    </row>
    <row r="238" spans="13:28" x14ac:dyDescent="0.2">
      <c r="M238" s="303" t="str">
        <v>obj_007c2#0000</v>
      </c>
      <c r="N238" s="186" t="str">
        <f>_xll.qlRateHelperQuoteName(M238)</f>
        <v>EUR9F25Y_Quote</v>
      </c>
      <c r="O238" s="174">
        <f>_xll.qlInterestRateIndexFixingDate(R238,_xll.qlRateHelperEarliestDate(M238,Trigger),)</f>
        <v>45231</v>
      </c>
      <c r="P238" s="201">
        <f>_xll.qlRateHelperQuoteValue(M238,_xll.ohTrigger(RecalcTrigger,YieldCurve))</f>
        <v>2.265E-2</v>
      </c>
      <c r="Q238" s="204" t="str">
        <f t="shared" si="25"/>
        <v>25Y</v>
      </c>
      <c r="R238" s="204" t="str">
        <f>_xll.qlSwapIndex(,"Euribor",Q238,NDays,Currency,Calendar,"1Y","mf","30/360 (Bond Basis)",IborIndex,Discounting,,_xll.ohTrigger(Trigger,RecalcTrigger))</f>
        <v>obj_00962#0000</v>
      </c>
      <c r="S238" s="204" t="str">
        <f>_xll.qlVanillaSwapFromSwapIndex(,R238,O238)</f>
        <v>obj_00ae6#0000</v>
      </c>
      <c r="T238" s="191">
        <f>_xll.qlVanillaSwapFairRate(S238)</f>
        <v>2.2655557753039117E-2</v>
      </c>
      <c r="U238" s="300">
        <f t="shared" si="23"/>
        <v>5.5577530391169583E-6</v>
      </c>
      <c r="X238" s="186" t="str">
        <f t="shared" si="24"/>
        <v>1D</v>
      </c>
      <c r="Y238" s="174">
        <f>_xll.qlCalendarAdvance(Calendar,Y237,X238,"f",FALSE)</f>
        <v>42257</v>
      </c>
      <c r="Z238" s="198">
        <f>_xll.qlCalendarAdvance(Calendar,Y238,NDays&amp;"D")</f>
        <v>42261</v>
      </c>
      <c r="AA238" s="173">
        <v>2.2380083441334905E-3</v>
      </c>
      <c r="AB238" s="182">
        <v>2.2571678429539332E-3</v>
      </c>
    </row>
    <row r="239" spans="13:28" ht="12" thickBot="1" x14ac:dyDescent="0.25">
      <c r="M239" s="304" t="str">
        <v>obj_00763#0000</v>
      </c>
      <c r="N239" s="187" t="str">
        <f>_xll.qlRateHelperQuoteName(M239)</f>
        <v>EUR9F30Y_Quote</v>
      </c>
      <c r="O239" s="184">
        <f>_xll.qlInterestRateIndexFixingDate(R239,_xll.qlRateHelperEarliestDate(M239,Trigger),)</f>
        <v>45231</v>
      </c>
      <c r="P239" s="202">
        <f>_xll.qlRateHelperQuoteValue(M239,_xll.ohTrigger(RecalcTrigger,YieldCurve))</f>
        <v>2.249E-2</v>
      </c>
      <c r="Q239" s="205" t="str">
        <f t="shared" si="25"/>
        <v>30Y</v>
      </c>
      <c r="R239" s="205" t="str">
        <f>_xll.qlSwapIndex(,"Euribor",Q239,NDays,Currency,Calendar,"1Y","mf","30/360 (Bond Basis)",IborIndex,Discounting,,_xll.ohTrigger(Trigger,RecalcTrigger))</f>
        <v>obj_0098b#0000</v>
      </c>
      <c r="S239" s="205" t="str">
        <f>_xll.qlVanillaSwapFromSwapIndex(,R239,O239)</f>
        <v>obj_00a4b#0000</v>
      </c>
      <c r="T239" s="193">
        <f>_xll.qlVanillaSwapFairRate(S239)</f>
        <v>2.250746038630437E-2</v>
      </c>
      <c r="U239" s="301">
        <f t="shared" si="23"/>
        <v>1.7460386304370829E-5</v>
      </c>
      <c r="X239" s="186" t="str">
        <f t="shared" si="24"/>
        <v>1D</v>
      </c>
      <c r="Y239" s="174">
        <f>_xll.qlCalendarAdvance(Calendar,Y238,X239,"f",FALSE)</f>
        <v>42258</v>
      </c>
      <c r="Z239" s="198">
        <f>_xll.qlCalendarAdvance(Calendar,Y239,NDays&amp;"D")</f>
        <v>42262</v>
      </c>
      <c r="AA239" s="173">
        <v>2.2397086588752417E-3</v>
      </c>
      <c r="AB239" s="182">
        <v>2.2648161145699675E-3</v>
      </c>
    </row>
    <row r="240" spans="13:28" x14ac:dyDescent="0.2">
      <c r="M240" s="305" t="str">
        <v>obj_007d7#0000</v>
      </c>
      <c r="N240" s="289" t="str">
        <f>_xll.qlRateHelperQuoteName(M240)</f>
        <v>EUR10F1Y_Quote</v>
      </c>
      <c r="O240" s="286">
        <f>_xll.qlInterestRateIndexFixingDate(R240,_xll.qlRateHelperEarliestDate(M240,Trigger),)</f>
        <v>45596</v>
      </c>
      <c r="P240" s="287">
        <f>_xll.qlRateHelperQuoteValue(M240,_xll.ohTrigger(RecalcTrigger,YieldCurve))</f>
        <v>2.3230000000000001E-2</v>
      </c>
      <c r="Q240" s="285" t="str">
        <f t="shared" ref="Q240:Q257" si="26">SUBSTITUTE(SUBSTITUTE(N240,"_Quote",""),"EUR10F","")</f>
        <v>1Y</v>
      </c>
      <c r="R240" s="285" t="str">
        <f>_xll.qlSwapIndex(,"Euribor",Q240,NDays,Currency,Calendar,"1Y","mf","30/360 (Bond Basis)",IborIndex,Discounting,,_xll.ohTrigger(Trigger,RecalcTrigger))</f>
        <v>obj_009cc#0000</v>
      </c>
      <c r="S240" s="285" t="str">
        <f>_xll.qlVanillaSwapFromSwapIndex(,R240,O240)</f>
        <v>obj_00af7#0000</v>
      </c>
      <c r="T240" s="288">
        <f>_xll.qlVanillaSwapFairRate(S240)</f>
        <v>2.319683708367317E-2</v>
      </c>
      <c r="U240" s="302">
        <f t="shared" si="23"/>
        <v>-3.3162916326830161E-5</v>
      </c>
      <c r="X240" s="186" t="str">
        <f t="shared" si="24"/>
        <v>1D</v>
      </c>
      <c r="Y240" s="174">
        <f>_xll.qlCalendarAdvance(Calendar,Y239,X240,"f",FALSE)</f>
        <v>42261</v>
      </c>
      <c r="Z240" s="198">
        <f>_xll.qlCalendarAdvance(Calendar,Y240,NDays&amp;"D")</f>
        <v>42263</v>
      </c>
      <c r="AA240" s="173">
        <v>2.24142310893145E-3</v>
      </c>
      <c r="AB240" s="182">
        <v>2.2718294592749544E-3</v>
      </c>
    </row>
    <row r="241" spans="13:28" x14ac:dyDescent="0.2">
      <c r="M241" s="303" t="str">
        <v>obj_007e5#0000</v>
      </c>
      <c r="N241" s="186" t="str">
        <f>_xll.qlRateHelperQuoteName(M241)</f>
        <v>EUR10F2Y_Quote</v>
      </c>
      <c r="O241" s="174">
        <f>_xll.qlInterestRateIndexFixingDate(R241,_xll.qlRateHelperEarliestDate(M241,Trigger),)</f>
        <v>45596</v>
      </c>
      <c r="P241" s="201">
        <f>_xll.qlRateHelperQuoteValue(M241,_xll.ohTrigger(RecalcTrigger,YieldCurve))</f>
        <v>2.3550000000000001E-2</v>
      </c>
      <c r="Q241" s="204" t="str">
        <f t="shared" si="26"/>
        <v>2Y</v>
      </c>
      <c r="R241" s="204" t="str">
        <f>_xll.qlSwapIndex(,"Euribor",Q241,NDays,Currency,Calendar,"1Y","mf","30/360 (Bond Basis)",IborIndex,Discounting,,_xll.ohTrigger(Trigger,RecalcTrigger))</f>
        <v>obj_009e4#0000</v>
      </c>
      <c r="S241" s="204" t="str">
        <f>_xll.qlVanillaSwapFromSwapIndex(,R241,O241)</f>
        <v>obj_00b6e#0000</v>
      </c>
      <c r="T241" s="191">
        <f>_xll.qlVanillaSwapFairRate(S241)</f>
        <v>2.3579173407191796E-2</v>
      </c>
      <c r="U241" s="300">
        <f t="shared" si="23"/>
        <v>2.9173407191794565E-5</v>
      </c>
      <c r="X241" s="186" t="str">
        <f t="shared" si="24"/>
        <v>1D</v>
      </c>
      <c r="Y241" s="174">
        <f>_xll.qlCalendarAdvance(Calendar,Y240,X241,"f",FALSE)</f>
        <v>42262</v>
      </c>
      <c r="Z241" s="198">
        <f>_xll.qlCalendarAdvance(Calendar,Y241,NDays&amp;"D")</f>
        <v>42264</v>
      </c>
      <c r="AA241" s="173">
        <v>2.2431525258264158E-3</v>
      </c>
      <c r="AB241" s="182">
        <v>2.278207877068894E-3</v>
      </c>
    </row>
    <row r="242" spans="13:28" x14ac:dyDescent="0.2">
      <c r="M242" s="303" t="str">
        <v>obj_0086c#0000</v>
      </c>
      <c r="N242" s="186" t="str">
        <f>_xll.qlRateHelperQuoteName(M242)</f>
        <v>EUR10F3Y_Quote</v>
      </c>
      <c r="O242" s="174">
        <f>_xll.qlInterestRateIndexFixingDate(R242,_xll.qlRateHelperEarliestDate(M242,Trigger),)</f>
        <v>45596</v>
      </c>
      <c r="P242" s="201">
        <f>_xll.qlRateHelperQuoteValue(M242,_xll.ohTrigger(RecalcTrigger,YieldCurve))</f>
        <v>2.383E-2</v>
      </c>
      <c r="Q242" s="204" t="str">
        <f t="shared" si="26"/>
        <v>3Y</v>
      </c>
      <c r="R242" s="204" t="str">
        <f>_xll.qlSwapIndex(,"Euribor",Q242,NDays,Currency,Calendar,"1Y","mf","30/360 (Bond Basis)",IborIndex,Discounting,,_xll.ohTrigger(Trigger,RecalcTrigger))</f>
        <v>obj_00949#0000</v>
      </c>
      <c r="S242" s="204" t="str">
        <f>_xll.qlVanillaSwapFromSwapIndex(,R242,O242)</f>
        <v>obj_00b73#0000</v>
      </c>
      <c r="T242" s="191">
        <f>_xll.qlVanillaSwapFairRate(S242)</f>
        <v>2.3829629609296979E-2</v>
      </c>
      <c r="U242" s="300">
        <f t="shared" si="23"/>
        <v>-3.7039070302155586E-7</v>
      </c>
      <c r="X242" s="186" t="str">
        <f t="shared" si="24"/>
        <v>1D</v>
      </c>
      <c r="Y242" s="174">
        <f>_xll.qlCalendarAdvance(Calendar,Y241,X242,"f",FALSE)</f>
        <v>42263</v>
      </c>
      <c r="Z242" s="198">
        <f>_xll.qlCalendarAdvance(Calendar,Y242,NDays&amp;"D")</f>
        <v>42265</v>
      </c>
      <c r="AA242" s="173">
        <v>2.2448977410866352E-3</v>
      </c>
      <c r="AB242" s="182">
        <v>2.288862841473005E-3</v>
      </c>
    </row>
    <row r="243" spans="13:28" x14ac:dyDescent="0.2">
      <c r="M243" s="303" t="str">
        <v>obj_0078c#0000</v>
      </c>
      <c r="N243" s="186" t="str">
        <f>_xll.qlRateHelperQuoteName(M243)</f>
        <v>EUR10F4Y_Quote</v>
      </c>
      <c r="O243" s="174">
        <f>_xll.qlInterestRateIndexFixingDate(R243,_xll.qlRateHelperEarliestDate(M243,Trigger),)</f>
        <v>45596</v>
      </c>
      <c r="P243" s="201">
        <f>_xll.qlRateHelperQuoteValue(M243,_xll.ohTrigger(RecalcTrigger,YieldCurve))</f>
        <v>2.4029999999999999E-2</v>
      </c>
      <c r="Q243" s="204" t="str">
        <f t="shared" si="26"/>
        <v>4Y</v>
      </c>
      <c r="R243" s="204" t="str">
        <f>_xll.qlSwapIndex(,"Euribor",Q243,NDays,Currency,Calendar,"1Y","mf","30/360 (Bond Basis)",IborIndex,Discounting,,_xll.ohTrigger(Trigger,RecalcTrigger))</f>
        <v>obj_008f3#0000</v>
      </c>
      <c r="S243" s="204" t="str">
        <f>_xll.qlVanillaSwapFromSwapIndex(,R243,O243)</f>
        <v>obj_00b34#0000</v>
      </c>
      <c r="T243" s="191">
        <f>_xll.qlVanillaSwapFairRate(S243)</f>
        <v>2.4025839406402384E-2</v>
      </c>
      <c r="U243" s="300">
        <f t="shared" si="23"/>
        <v>-4.1605935976150865E-6</v>
      </c>
      <c r="X243" s="186" t="str">
        <f t="shared" si="24"/>
        <v>1D</v>
      </c>
      <c r="Y243" s="174">
        <f>_xll.qlCalendarAdvance(Calendar,Y242,X243,"f",FALSE)</f>
        <v>42264</v>
      </c>
      <c r="Z243" s="198">
        <f>_xll.qlCalendarAdvance(Calendar,Y243,NDays&amp;"D")</f>
        <v>42268</v>
      </c>
      <c r="AA243" s="173">
        <v>2.2502364923843838E-3</v>
      </c>
      <c r="AB243" s="182">
        <v>2.297372277855203E-3</v>
      </c>
    </row>
    <row r="244" spans="13:28" x14ac:dyDescent="0.2">
      <c r="M244" s="303" t="str">
        <v>obj_0088a#0000</v>
      </c>
      <c r="N244" s="186" t="str">
        <f>_xll.qlRateHelperQuoteName(M244)</f>
        <v>EUR10F5Y_Quote</v>
      </c>
      <c r="O244" s="174">
        <f>_xll.qlInterestRateIndexFixingDate(R244,_xll.qlRateHelperEarliestDate(M244,Trigger),)</f>
        <v>45596</v>
      </c>
      <c r="P244" s="201">
        <f>_xll.qlRateHelperQuoteValue(M244,_xll.ohTrigger(RecalcTrigger,YieldCurve))</f>
        <v>2.4150000000000001E-2</v>
      </c>
      <c r="Q244" s="204" t="str">
        <f t="shared" si="26"/>
        <v>5Y</v>
      </c>
      <c r="R244" s="204" t="str">
        <f>_xll.qlSwapIndex(,"Euribor",Q244,NDays,Currency,Calendar,"1Y","mf","30/360 (Bond Basis)",IborIndex,Discounting,,_xll.ohTrigger(Trigger,RecalcTrigger))</f>
        <v>obj_00a14#0000</v>
      </c>
      <c r="S244" s="204" t="str">
        <f>_xll.qlVanillaSwapFromSwapIndex(,R244,O244)</f>
        <v>obj_00b63#0000</v>
      </c>
      <c r="T244" s="191">
        <f>_xll.qlVanillaSwapFairRate(S244)</f>
        <v>2.4153892660559471E-2</v>
      </c>
      <c r="U244" s="300">
        <f t="shared" si="23"/>
        <v>3.8926605594701014E-6</v>
      </c>
      <c r="X244" s="186" t="str">
        <f t="shared" si="24"/>
        <v>1D</v>
      </c>
      <c r="Y244" s="174">
        <f>_xll.qlCalendarAdvance(Calendar,Y243,X244,"f",FALSE)</f>
        <v>42265</v>
      </c>
      <c r="Z244" s="198">
        <f>_xll.qlCalendarAdvance(Calendar,Y244,NDays&amp;"D")</f>
        <v>42269</v>
      </c>
      <c r="AA244" s="173">
        <v>2.2520532164456812E-3</v>
      </c>
      <c r="AB244" s="182">
        <v>2.3005760603744818E-3</v>
      </c>
    </row>
    <row r="245" spans="13:28" x14ac:dyDescent="0.2">
      <c r="M245" s="303" t="str">
        <v>obj_00844#0000</v>
      </c>
      <c r="N245" s="186" t="str">
        <f>_xll.qlRateHelperQuoteName(M245)</f>
        <v>EUR10F6Y_Quote</v>
      </c>
      <c r="O245" s="174">
        <f>_xll.qlInterestRateIndexFixingDate(R245,_xll.qlRateHelperEarliestDate(M245,Trigger),)</f>
        <v>45596</v>
      </c>
      <c r="P245" s="201">
        <f>_xll.qlRateHelperQuoteValue(M245,_xll.ohTrigger(RecalcTrigger,YieldCurve))</f>
        <v>2.4249999999999997E-2</v>
      </c>
      <c r="Q245" s="204" t="str">
        <f t="shared" si="26"/>
        <v>6Y</v>
      </c>
      <c r="R245" s="204" t="str">
        <f>_xll.qlSwapIndex(,"Euribor",Q245,NDays,Currency,Calendar,"1Y","mf","30/360 (Bond Basis)",IborIndex,Discounting,,_xll.ohTrigger(Trigger,RecalcTrigger))</f>
        <v>obj_0092c#0000</v>
      </c>
      <c r="S245" s="204" t="str">
        <f>_xll.qlVanillaSwapFromSwapIndex(,R245,O245)</f>
        <v>obj_00b39#0000</v>
      </c>
      <c r="T245" s="191">
        <f>_xll.qlVanillaSwapFairRate(S245)</f>
        <v>2.4243624348115608E-2</v>
      </c>
      <c r="U245" s="300">
        <f t="shared" si="23"/>
        <v>-6.3756518843896548E-6</v>
      </c>
      <c r="X245" s="186" t="str">
        <f t="shared" si="24"/>
        <v>1D</v>
      </c>
      <c r="Y245" s="174">
        <f>_xll.qlCalendarAdvance(Calendar,Y244,X245,"f",FALSE)</f>
        <v>42268</v>
      </c>
      <c r="Z245" s="198">
        <f>_xll.qlCalendarAdvance(Calendar,Y245,NDays&amp;"D")</f>
        <v>42270</v>
      </c>
      <c r="AA245" s="173">
        <v>2.2538898965596132E-3</v>
      </c>
      <c r="AB245" s="182">
        <v>2.3031449159027773E-3</v>
      </c>
    </row>
    <row r="246" spans="13:28" x14ac:dyDescent="0.2">
      <c r="M246" s="303" t="str">
        <v>obj_00799#0000</v>
      </c>
      <c r="N246" s="186" t="str">
        <f>_xll.qlRateHelperQuoteName(M246)</f>
        <v>EUR10F7Y_Quote</v>
      </c>
      <c r="O246" s="174">
        <f>_xll.qlInterestRateIndexFixingDate(R246,_xll.qlRateHelperEarliestDate(M246,Trigger),)</f>
        <v>45596</v>
      </c>
      <c r="P246" s="201">
        <f>_xll.qlRateHelperQuoteValue(M246,_xll.ohTrigger(RecalcTrigger,YieldCurve))</f>
        <v>2.4300000000000002E-2</v>
      </c>
      <c r="Q246" s="204" t="str">
        <f t="shared" si="26"/>
        <v>7Y</v>
      </c>
      <c r="R246" s="204" t="str">
        <f>_xll.qlSwapIndex(,"Euribor",Q246,NDays,Currency,Calendar,"1Y","mf","30/360 (Bond Basis)",IborIndex,Discounting,,_xll.ohTrigger(Trigger,RecalcTrigger))</f>
        <v>obj_009b0#0000</v>
      </c>
      <c r="S246" s="204" t="str">
        <f>_xll.qlVanillaSwapFromSwapIndex(,R246,O246)</f>
        <v>obj_00a3f#0000</v>
      </c>
      <c r="T246" s="191">
        <f>_xll.qlVanillaSwapFairRate(S246)</f>
        <v>2.4296013574653469E-2</v>
      </c>
      <c r="U246" s="300">
        <f t="shared" si="23"/>
        <v>-3.9864253465332622E-6</v>
      </c>
      <c r="X246" s="186" t="str">
        <f t="shared" si="24"/>
        <v>1D</v>
      </c>
      <c r="Y246" s="174">
        <f>_xll.qlCalendarAdvance(Calendar,Y245,X246,"f",FALSE)</f>
        <v>42269</v>
      </c>
      <c r="Z246" s="198">
        <f>_xll.qlCalendarAdvance(Calendar,Y246,NDays&amp;"D")</f>
        <v>42271</v>
      </c>
      <c r="AA246" s="173">
        <v>2.2557473642733188E-3</v>
      </c>
      <c r="AB246" s="182">
        <v>2.3050788442002812E-3</v>
      </c>
    </row>
    <row r="247" spans="13:28" x14ac:dyDescent="0.2">
      <c r="M247" s="303" t="str">
        <v>obj_007a2#0000</v>
      </c>
      <c r="N247" s="186" t="str">
        <f>_xll.qlRateHelperQuoteName(M247)</f>
        <v>EUR10F8Y_Quote</v>
      </c>
      <c r="O247" s="174">
        <f>_xll.qlInterestRateIndexFixingDate(R247,_xll.qlRateHelperEarliestDate(M247,Trigger),)</f>
        <v>45596</v>
      </c>
      <c r="P247" s="201">
        <f>_xll.qlRateHelperQuoteValue(M247,_xll.ohTrigger(RecalcTrigger,YieldCurve))</f>
        <v>2.4310000000000002E-2</v>
      </c>
      <c r="Q247" s="204" t="str">
        <f t="shared" si="26"/>
        <v>8Y</v>
      </c>
      <c r="R247" s="204" t="str">
        <f>_xll.qlSwapIndex(,"Euribor",Q247,NDays,Currency,Calendar,"1Y","mf","30/360 (Bond Basis)",IborIndex,Discounting,,_xll.ohTrigger(Trigger,RecalcTrigger))</f>
        <v>obj_00969#0000</v>
      </c>
      <c r="S247" s="204" t="str">
        <f>_xll.qlVanillaSwapFromSwapIndex(,R247,O247)</f>
        <v>obj_00a4f#0000</v>
      </c>
      <c r="T247" s="191">
        <f>_xll.qlVanillaSwapFairRate(S247)</f>
        <v>2.4318831200990192E-2</v>
      </c>
      <c r="U247" s="300">
        <f t="shared" si="23"/>
        <v>8.8312009901905797E-6</v>
      </c>
      <c r="X247" s="186" t="str">
        <f t="shared" si="24"/>
        <v>1D</v>
      </c>
      <c r="Y247" s="174">
        <f>_xll.qlCalendarAdvance(Calendar,Y246,X247,"f",FALSE)</f>
        <v>42270</v>
      </c>
      <c r="Z247" s="198">
        <f>_xll.qlCalendarAdvance(Calendar,Y247,NDays&amp;"D")</f>
        <v>42272</v>
      </c>
      <c r="AA247" s="173">
        <v>2.2663224481933942E-3</v>
      </c>
      <c r="AB247" s="182">
        <v>2.3068450589747158E-3</v>
      </c>
    </row>
    <row r="248" spans="13:28" x14ac:dyDescent="0.2">
      <c r="M248" s="303" t="str">
        <v>obj_007c4#0000</v>
      </c>
      <c r="N248" s="186" t="str">
        <f>_xll.qlRateHelperQuoteName(M248)</f>
        <v>EUR10F9Y_Quote</v>
      </c>
      <c r="O248" s="174">
        <f>_xll.qlInterestRateIndexFixingDate(R248,_xll.qlRateHelperEarliestDate(M248,Trigger),)</f>
        <v>45596</v>
      </c>
      <c r="P248" s="201">
        <f>_xll.qlRateHelperQuoteValue(M248,_xll.ohTrigger(RecalcTrigger,YieldCurve))</f>
        <v>2.4289999999999999E-2</v>
      </c>
      <c r="Q248" s="204" t="str">
        <f t="shared" si="26"/>
        <v>9Y</v>
      </c>
      <c r="R248" s="204" t="str">
        <f>_xll.qlSwapIndex(,"Euribor",Q248,NDays,Currency,Calendar,"1Y","mf","30/360 (Bond Basis)",IborIndex,Discounting,,_xll.ohTrigger(Trigger,RecalcTrigger))</f>
        <v>obj_0096d#0000</v>
      </c>
      <c r="S248" s="204" t="str">
        <f>_xll.qlVanillaSwapFromSwapIndex(,R248,O248)</f>
        <v>obj_00b5b#0000</v>
      </c>
      <c r="T248" s="191">
        <f>_xll.qlVanillaSwapFairRate(S248)</f>
        <v>2.4296138457267059E-2</v>
      </c>
      <c r="U248" s="300">
        <f t="shared" si="23"/>
        <v>6.1384572670603044E-6</v>
      </c>
      <c r="X248" s="186" t="str">
        <f t="shared" si="24"/>
        <v>1D</v>
      </c>
      <c r="Y248" s="174">
        <f>_xll.qlCalendarAdvance(Calendar,Y247,X248,"f",FALSE)</f>
        <v>42271</v>
      </c>
      <c r="Z248" s="198">
        <f>_xll.qlCalendarAdvance(Calendar,Y248,NDays&amp;"D")</f>
        <v>42275</v>
      </c>
      <c r="AA248" s="173">
        <v>2.265614589583726E-3</v>
      </c>
      <c r="AB248" s="182">
        <v>2.3064652862014867E-3</v>
      </c>
    </row>
    <row r="249" spans="13:28" x14ac:dyDescent="0.2">
      <c r="M249" s="303" t="str">
        <v>obj_0084d#0000</v>
      </c>
      <c r="N249" s="186" t="str">
        <f>_xll.qlRateHelperQuoteName(M249)</f>
        <v>EUR10F10Y_Quote</v>
      </c>
      <c r="O249" s="174">
        <f>_xll.qlInterestRateIndexFixingDate(R249,_xll.qlRateHelperEarliestDate(M249,Trigger),)</f>
        <v>45596</v>
      </c>
      <c r="P249" s="201">
        <f>_xll.qlRateHelperQuoteValue(M249,_xll.ohTrigger(RecalcTrigger,YieldCurve))</f>
        <v>2.4220000000000002E-2</v>
      </c>
      <c r="Q249" s="204" t="str">
        <f t="shared" si="26"/>
        <v>10Y</v>
      </c>
      <c r="R249" s="204" t="str">
        <f>_xll.qlSwapIndex(,"Euribor",Q249,NDays,Currency,Calendar,"1Y","mf","30/360 (Bond Basis)",IborIndex,Discounting,,_xll.ohTrigger(Trigger,RecalcTrigger))</f>
        <v>obj_0099c#0000</v>
      </c>
      <c r="S249" s="204" t="str">
        <f>_xll.qlVanillaSwapFromSwapIndex(,R249,O249)</f>
        <v>obj_00aae#0000</v>
      </c>
      <c r="T249" s="191">
        <f>_xll.qlVanillaSwapFairRate(S249)</f>
        <v>2.4236806493151675E-2</v>
      </c>
      <c r="U249" s="300">
        <f t="shared" si="23"/>
        <v>1.6806493151673429E-5</v>
      </c>
      <c r="X249" s="186" t="str">
        <f t="shared" si="24"/>
        <v>1D</v>
      </c>
      <c r="Y249" s="174">
        <f>_xll.qlCalendarAdvance(Calendar,Y248,X249,"f",FALSE)</f>
        <v>42272</v>
      </c>
      <c r="Z249" s="198">
        <f>_xll.qlCalendarAdvance(Calendar,Y249,NDays&amp;"D")</f>
        <v>42276</v>
      </c>
      <c r="AA249" s="173">
        <v>2.2653756212891647E-3</v>
      </c>
      <c r="AB249" s="182">
        <v>2.3052245789045855E-3</v>
      </c>
    </row>
    <row r="250" spans="13:28" x14ac:dyDescent="0.2">
      <c r="M250" s="303" t="str">
        <v>obj_00856#0000</v>
      </c>
      <c r="N250" s="186" t="str">
        <f>_xll.qlRateHelperQuoteName(M250)</f>
        <v>EUR10F11Y_Quote</v>
      </c>
      <c r="O250" s="174">
        <f>_xll.qlInterestRateIndexFixingDate(R250,_xll.qlRateHelperEarliestDate(M250,Trigger),)</f>
        <v>45596</v>
      </c>
      <c r="P250" s="201">
        <f>_xll.qlRateHelperQuoteValue(M250,_xll.ohTrigger(RecalcTrigger,YieldCurve))</f>
        <v>2.4140000000000002E-2</v>
      </c>
      <c r="Q250" s="204" t="str">
        <f t="shared" si="26"/>
        <v>11Y</v>
      </c>
      <c r="R250" s="204" t="str">
        <f>_xll.qlSwapIndex(,"Euribor",Q250,NDays,Currency,Calendar,"1Y","mf","30/360 (Bond Basis)",IborIndex,Discounting,,_xll.ohTrigger(Trigger,RecalcTrigger))</f>
        <v>obj_00950#0000</v>
      </c>
      <c r="S250" s="204" t="str">
        <f>_xll.qlVanillaSwapFromSwapIndex(,R250,O250)</f>
        <v>obj_00a49#0000</v>
      </c>
      <c r="T250" s="191">
        <f>_xll.qlVanillaSwapFairRate(S250)</f>
        <v>2.4144616488351416E-2</v>
      </c>
      <c r="U250" s="300">
        <f t="shared" si="23"/>
        <v>4.6164883514138166E-6</v>
      </c>
      <c r="X250" s="186" t="str">
        <f t="shared" si="24"/>
        <v>1D</v>
      </c>
      <c r="Y250" s="174">
        <f>_xll.qlCalendarAdvance(Calendar,Y249,X250,"f",FALSE)</f>
        <v>42275</v>
      </c>
      <c r="Z250" s="198">
        <f>_xll.qlCalendarAdvance(Calendar,Y250,NDays&amp;"D")</f>
        <v>42277</v>
      </c>
      <c r="AA250" s="173">
        <v>2.2696014875640074E-3</v>
      </c>
      <c r="AB250" s="182">
        <v>2.3033489443768929E-3</v>
      </c>
    </row>
    <row r="251" spans="13:28" x14ac:dyDescent="0.2">
      <c r="M251" s="303" t="str">
        <v>obj_00793#0000</v>
      </c>
      <c r="N251" s="186" t="str">
        <f>_xll.qlRateHelperQuoteName(M251)</f>
        <v>EUR10F12Y_Quote</v>
      </c>
      <c r="O251" s="174">
        <f>_xll.qlInterestRateIndexFixingDate(R251,_xll.qlRateHelperEarliestDate(M251,Trigger),)</f>
        <v>45596</v>
      </c>
      <c r="P251" s="201">
        <f>_xll.qlRateHelperQuoteValue(M251,_xll.ohTrigger(RecalcTrigger,YieldCurve))</f>
        <v>2.402E-2</v>
      </c>
      <c r="Q251" s="204" t="str">
        <f t="shared" si="26"/>
        <v>12Y</v>
      </c>
      <c r="R251" s="204" t="str">
        <f>_xll.qlSwapIndex(,"Euribor",Q251,NDays,Currency,Calendar,"1Y","mf","30/360 (Bond Basis)",IborIndex,Discounting,,_xll.ohTrigger(Trigger,RecalcTrigger))</f>
        <v>obj_00928#0000</v>
      </c>
      <c r="S251" s="204" t="str">
        <f>_xll.qlVanillaSwapFromSwapIndex(,R251,O251)</f>
        <v>obj_00a4a#0000</v>
      </c>
      <c r="T251" s="191">
        <f>_xll.qlVanillaSwapFairRate(S251)</f>
        <v>2.4033654831346424E-2</v>
      </c>
      <c r="U251" s="300">
        <f t="shared" si="23"/>
        <v>1.365483134642409E-5</v>
      </c>
      <c r="X251" s="186" t="str">
        <f t="shared" si="24"/>
        <v>1D</v>
      </c>
      <c r="Y251" s="174">
        <f>_xll.qlCalendarAdvance(Calendar,Y250,X251,"f",FALSE)</f>
        <v>42276</v>
      </c>
      <c r="Z251" s="198">
        <f>_xll.qlCalendarAdvance(Calendar,Y251,NDays&amp;"D")</f>
        <v>42278</v>
      </c>
      <c r="AA251" s="173">
        <v>2.2716302482434585E-3</v>
      </c>
      <c r="AB251" s="182">
        <v>2.3008383828582168E-3</v>
      </c>
    </row>
    <row r="252" spans="13:28" x14ac:dyDescent="0.2">
      <c r="M252" s="303" t="str">
        <v>obj_007ab#0000</v>
      </c>
      <c r="N252" s="186" t="str">
        <f>_xll.qlRateHelperQuoteName(M252)</f>
        <v>EUR10F13Y_Quote</v>
      </c>
      <c r="O252" s="174">
        <f>_xll.qlInterestRateIndexFixingDate(R252,_xll.qlRateHelperEarliestDate(M252,Trigger),)</f>
        <v>45596</v>
      </c>
      <c r="P252" s="201">
        <f>_xll.qlRateHelperQuoteValue(M252,_xll.ohTrigger(RecalcTrigger,YieldCurve))</f>
        <v>2.3889999999999998E-2</v>
      </c>
      <c r="Q252" s="204" t="str">
        <f t="shared" si="26"/>
        <v>13Y</v>
      </c>
      <c r="R252" s="204" t="str">
        <f>_xll.qlSwapIndex(,"Euribor",Q252,NDays,Currency,Calendar,"1Y","mf","30/360 (Bond Basis)",IborIndex,Discounting,,_xll.ohTrigger(Trigger,RecalcTrigger))</f>
        <v>obj_0098c#0000</v>
      </c>
      <c r="S252" s="204" t="str">
        <f>_xll.qlVanillaSwapFromSwapIndex(,R252,O252)</f>
        <v>obj_00b8e#0000</v>
      </c>
      <c r="T252" s="191">
        <f>_xll.qlVanillaSwapFairRate(S252)</f>
        <v>2.3902668887357918E-2</v>
      </c>
      <c r="U252" s="300">
        <f t="shared" si="23"/>
        <v>1.2668887357920183E-5</v>
      </c>
      <c r="X252" s="186" t="str">
        <f t="shared" si="24"/>
        <v>1D</v>
      </c>
      <c r="Y252" s="174">
        <f>_xll.qlCalendarAdvance(Calendar,Y251,X252,"f",FALSE)</f>
        <v>42277</v>
      </c>
      <c r="Z252" s="198">
        <f>_xll.qlCalendarAdvance(Calendar,Y252,NDays&amp;"D")</f>
        <v>42279</v>
      </c>
      <c r="AA252" s="173">
        <v>2.2780904113154457E-3</v>
      </c>
      <c r="AB252" s="182">
        <v>2.2937154500546342E-3</v>
      </c>
    </row>
    <row r="253" spans="13:28" x14ac:dyDescent="0.2">
      <c r="M253" s="303" t="str">
        <v>obj_00850#0000</v>
      </c>
      <c r="N253" s="186" t="str">
        <f>_xll.qlRateHelperQuoteName(M253)</f>
        <v>EUR10F14Y_Quote</v>
      </c>
      <c r="O253" s="174">
        <f>_xll.qlInterestRateIndexFixingDate(R253,_xll.qlRateHelperEarliestDate(M253,Trigger),)</f>
        <v>45596</v>
      </c>
      <c r="P253" s="201">
        <f>_xll.qlRateHelperQuoteValue(M253,_xll.ohTrigger(RecalcTrigger,YieldCurve))</f>
        <v>2.375E-2</v>
      </c>
      <c r="Q253" s="204" t="str">
        <f t="shared" si="26"/>
        <v>14Y</v>
      </c>
      <c r="R253" s="204" t="str">
        <f>_xll.qlSwapIndex(,"Euribor",Q253,NDays,Currency,Calendar,"1Y","mf","30/360 (Bond Basis)",IborIndex,Discounting,,_xll.ohTrigger(Trigger,RecalcTrigger))</f>
        <v>obj_0098d#0000</v>
      </c>
      <c r="S253" s="204" t="str">
        <f>_xll.qlVanillaSwapFromSwapIndex(,R253,O253)</f>
        <v>obj_00ac1#0000</v>
      </c>
      <c r="T253" s="191">
        <f>_xll.qlVanillaSwapFairRate(S253)</f>
        <v>2.3763082334250098E-2</v>
      </c>
      <c r="U253" s="300">
        <f t="shared" si="23"/>
        <v>1.3082334250097416E-5</v>
      </c>
      <c r="X253" s="186" t="str">
        <f t="shared" si="24"/>
        <v>1D</v>
      </c>
      <c r="Y253" s="174">
        <f>_xll.qlCalendarAdvance(Calendar,Y252,X253,"f",FALSE)</f>
        <v>42278</v>
      </c>
      <c r="Z253" s="198">
        <f>_xll.qlCalendarAdvance(Calendar,Y253,NDays&amp;"D")</f>
        <v>42282</v>
      </c>
      <c r="AA253" s="173">
        <v>2.2799999997582679E-3</v>
      </c>
      <c r="AB253" s="182">
        <v>2.2844468656746386E-3</v>
      </c>
    </row>
    <row r="254" spans="13:28" x14ac:dyDescent="0.2">
      <c r="M254" s="303" t="str">
        <v>obj_007c6#0000</v>
      </c>
      <c r="N254" s="186" t="str">
        <f>_xll.qlRateHelperQuoteName(M254)</f>
        <v>EUR10F15Y_Quote</v>
      </c>
      <c r="O254" s="174">
        <f>_xll.qlInterestRateIndexFixingDate(R254,_xll.qlRateHelperEarliestDate(M254,Trigger),)</f>
        <v>45596</v>
      </c>
      <c r="P254" s="201">
        <f>_xll.qlRateHelperQuoteValue(M254,_xll.ohTrigger(RecalcTrigger,YieldCurve))</f>
        <v>2.3610000000000003E-2</v>
      </c>
      <c r="Q254" s="204" t="str">
        <f t="shared" si="26"/>
        <v>15Y</v>
      </c>
      <c r="R254" s="204" t="str">
        <f>_xll.qlSwapIndex(,"Euribor",Q254,NDays,Currency,Calendar,"1Y","mf","30/360 (Bond Basis)",IborIndex,Discounting,,_xll.ohTrigger(Trigger,RecalcTrigger))</f>
        <v>obj_009fe#0000</v>
      </c>
      <c r="S254" s="204" t="str">
        <f>_xll.qlVanillaSwapFromSwapIndex(,R254,O254)</f>
        <v>obj_00a93#0000</v>
      </c>
      <c r="T254" s="191">
        <f>_xll.qlVanillaSwapFairRate(S254)</f>
        <v>2.3619315768523001E-2</v>
      </c>
      <c r="U254" s="300">
        <f t="shared" si="23"/>
        <v>9.3157685229980358E-6</v>
      </c>
      <c r="X254" s="186" t="str">
        <f t="shared" si="24"/>
        <v>1D</v>
      </c>
      <c r="Y254" s="174">
        <f>_xll.qlCalendarAdvance(Calendar,Y253,X254,"f",FALSE)</f>
        <v>42279</v>
      </c>
      <c r="Z254" s="198">
        <f>_xll.qlCalendarAdvance(Calendar,Y254,NDays&amp;"D")</f>
        <v>42283</v>
      </c>
      <c r="AA254" s="173">
        <v>2.2821603654002752E-3</v>
      </c>
      <c r="AB254" s="182">
        <v>2.2787616687214296E-3</v>
      </c>
    </row>
    <row r="255" spans="13:28" x14ac:dyDescent="0.2">
      <c r="M255" s="303" t="str">
        <v>obj_00834#0000</v>
      </c>
      <c r="N255" s="186" t="str">
        <f>_xll.qlRateHelperQuoteName(M255)</f>
        <v>EUR10F20Y_Quote</v>
      </c>
      <c r="O255" s="174">
        <f>_xll.qlInterestRateIndexFixingDate(R255,_xll.qlRateHelperEarliestDate(M255,Trigger),)</f>
        <v>45596</v>
      </c>
      <c r="P255" s="201">
        <f>_xll.qlRateHelperQuoteValue(M255,_xll.ohTrigger(RecalcTrigger,YieldCurve))</f>
        <v>2.2970000000000001E-2</v>
      </c>
      <c r="Q255" s="204" t="str">
        <f t="shared" si="26"/>
        <v>20Y</v>
      </c>
      <c r="R255" s="204" t="str">
        <f>_xll.qlSwapIndex(,"Euribor",Q255,NDays,Currency,Calendar,"1Y","mf","30/360 (Bond Basis)",IborIndex,Discounting,,_xll.ohTrigger(Trigger,RecalcTrigger))</f>
        <v>obj_00947#0000</v>
      </c>
      <c r="S255" s="204" t="str">
        <f>_xll.qlVanillaSwapFromSwapIndex(,R255,O255)</f>
        <v>obj_00b1a#0000</v>
      </c>
      <c r="T255" s="191">
        <f>_xll.qlVanillaSwapFairRate(S255)</f>
        <v>2.2978765960082522E-2</v>
      </c>
      <c r="U255" s="300">
        <f t="shared" si="23"/>
        <v>8.7659600825212847E-6</v>
      </c>
      <c r="X255" s="186" t="str">
        <f t="shared" si="24"/>
        <v>1D</v>
      </c>
      <c r="Y255" s="174">
        <f>_xll.qlCalendarAdvance(Calendar,Y254,X255,"f",FALSE)</f>
        <v>42282</v>
      </c>
      <c r="Z255" s="198">
        <f>_xll.qlCalendarAdvance(Calendar,Y255,NDays&amp;"D")</f>
        <v>42284</v>
      </c>
      <c r="AA255" s="173">
        <v>2.2843502021214113E-3</v>
      </c>
      <c r="AB255" s="182">
        <v>2.2725263686851349E-3</v>
      </c>
    </row>
    <row r="256" spans="13:28" x14ac:dyDescent="0.2">
      <c r="M256" s="303" t="str">
        <v>obj_00849#0000</v>
      </c>
      <c r="N256" s="186" t="str">
        <f>_xll.qlRateHelperQuoteName(M256)</f>
        <v>EUR10F25Y_Quote</v>
      </c>
      <c r="O256" s="174">
        <f>_xll.qlInterestRateIndexFixingDate(R256,_xll.qlRateHelperEarliestDate(M256,Trigger),)</f>
        <v>45596</v>
      </c>
      <c r="P256" s="201">
        <f>_xll.qlRateHelperQuoteValue(M256,_xll.ohTrigger(RecalcTrigger,YieldCurve))</f>
        <v>2.2629999999999997E-2</v>
      </c>
      <c r="Q256" s="204" t="str">
        <f t="shared" si="26"/>
        <v>25Y</v>
      </c>
      <c r="R256" s="204" t="str">
        <f>_xll.qlSwapIndex(,"Euribor",Q256,NDays,Currency,Calendar,"1Y","mf","30/360 (Bond Basis)",IborIndex,Discounting,,_xll.ohTrigger(Trigger,RecalcTrigger))</f>
        <v>obj_009a3#0000</v>
      </c>
      <c r="S256" s="204" t="str">
        <f>_xll.qlVanillaSwapFromSwapIndex(,R256,O256)</f>
        <v>obj_00b71#0000</v>
      </c>
      <c r="T256" s="191">
        <f>_xll.qlVanillaSwapFairRate(S256)</f>
        <v>2.2645902793442134E-2</v>
      </c>
      <c r="U256" s="300">
        <f t="shared" si="23"/>
        <v>1.5902793442136576E-5</v>
      </c>
      <c r="X256" s="186" t="str">
        <f t="shared" si="24"/>
        <v>1D</v>
      </c>
      <c r="Y256" s="174">
        <f>_xll.qlCalendarAdvance(Calendar,Y255,X256,"f",FALSE)</f>
        <v>42283</v>
      </c>
      <c r="Z256" s="198">
        <f>_xll.qlCalendarAdvance(Calendar,Y256,NDays&amp;"D")</f>
        <v>42285</v>
      </c>
      <c r="AA256" s="173">
        <v>2.286570564931745E-3</v>
      </c>
      <c r="AB256" s="182">
        <v>2.2660802611973452E-3</v>
      </c>
    </row>
    <row r="257" spans="13:28" ht="12" thickBot="1" x14ac:dyDescent="0.25">
      <c r="M257" s="304" t="str">
        <v>obj_007d3#0000</v>
      </c>
      <c r="N257" s="187" t="str">
        <f>_xll.qlRateHelperQuoteName(M257)</f>
        <v>EUR10F30Y_Quote</v>
      </c>
      <c r="O257" s="184">
        <f>_xll.qlInterestRateIndexFixingDate(R257,_xll.qlRateHelperEarliestDate(M257,Trigger),)</f>
        <v>45596</v>
      </c>
      <c r="P257" s="202">
        <f>_xll.qlRateHelperQuoteValue(M257,_xll.ohTrigger(RecalcTrigger,YieldCurve))</f>
        <v>2.2480000000000003E-2</v>
      </c>
      <c r="Q257" s="205" t="str">
        <f t="shared" si="26"/>
        <v>30Y</v>
      </c>
      <c r="R257" s="205" t="str">
        <f>_xll.qlSwapIndex(,"Euribor",Q257,NDays,Currency,Calendar,"1Y","mf","30/360 (Bond Basis)",IborIndex,Discounting,,_xll.ohTrigger(Trigger,RecalcTrigger))</f>
        <v>obj_00935#0000</v>
      </c>
      <c r="S257" s="205" t="str">
        <f>_xll.qlVanillaSwapFromSwapIndex(,R257,O257)</f>
        <v>obj_00b91#0000</v>
      </c>
      <c r="T257" s="193">
        <f>_xll.qlVanillaSwapFairRate(S257)</f>
        <v>2.2489330718566441E-2</v>
      </c>
      <c r="U257" s="301">
        <f t="shared" si="23"/>
        <v>9.3307185664373571E-6</v>
      </c>
      <c r="X257" s="186" t="str">
        <f t="shared" si="24"/>
        <v>1D</v>
      </c>
      <c r="Y257" s="174">
        <f>_xll.qlCalendarAdvance(Calendar,Y256,X257,"f",FALSE)</f>
        <v>42284</v>
      </c>
      <c r="Z257" s="198">
        <f>_xll.qlCalendarAdvance(Calendar,Y257,NDays&amp;"D")</f>
        <v>42286</v>
      </c>
      <c r="AA257" s="173">
        <v>2.2930307960182506E-3</v>
      </c>
      <c r="AB257" s="182">
        <v>2.2527821979601015E-3</v>
      </c>
    </row>
    <row r="258" spans="13:28" x14ac:dyDescent="0.2">
      <c r="M258" s="305" t="str">
        <v>obj_00868#0000</v>
      </c>
      <c r="N258" s="289" t="str">
        <f>_xll.qlRateHelperQuoteName(M258)</f>
        <v>EUR11F1Y_Quote</v>
      </c>
      <c r="O258" s="286">
        <f>_xll.qlInterestRateIndexFixingDate(R258,_xll.qlRateHelperEarliestDate(M258,Trigger),)</f>
        <v>45960</v>
      </c>
      <c r="P258" s="287">
        <f>_xll.qlRateHelperQuoteValue(M258,_xll.ohTrigger(RecalcTrigger,YieldCurve))</f>
        <v>2.3879999999999998E-2</v>
      </c>
      <c r="Q258" s="285" t="str">
        <f t="shared" ref="Q258:Q275" si="27">SUBSTITUTE(SUBSTITUTE(N258,"_Quote",""),"EUR11F","")</f>
        <v>1Y</v>
      </c>
      <c r="R258" s="285" t="str">
        <f>_xll.qlSwapIndex(,"Euribor",Q258,NDays,Currency,Calendar,"1Y","mf","30/360 (Bond Basis)",IborIndex,Discounting,,_xll.ohTrigger(Trigger,RecalcTrigger))</f>
        <v>obj_009fc#0000</v>
      </c>
      <c r="S258" s="285" t="str">
        <f>_xll.qlVanillaSwapFromSwapIndex(,R258,O258)</f>
        <v>obj_00b6d#0000</v>
      </c>
      <c r="T258" s="288">
        <f>_xll.qlVanillaSwapFairRate(S258)</f>
        <v>2.3968304805352017E-2</v>
      </c>
      <c r="U258" s="302">
        <f t="shared" si="23"/>
        <v>8.8304805352018567E-5</v>
      </c>
      <c r="X258" s="186" t="str">
        <f t="shared" si="24"/>
        <v>1D</v>
      </c>
      <c r="Y258" s="174">
        <f>_xll.qlCalendarAdvance(Calendar,Y257,X258,"f",FALSE)</f>
        <v>42285</v>
      </c>
      <c r="Z258" s="198">
        <f>_xll.qlCalendarAdvance(Calendar,Y258,NDays&amp;"D")</f>
        <v>42289</v>
      </c>
      <c r="AA258" s="173">
        <v>2.2957366123889629E-3</v>
      </c>
      <c r="AB258" s="182">
        <v>2.23903599525066E-3</v>
      </c>
    </row>
    <row r="259" spans="13:28" x14ac:dyDescent="0.2">
      <c r="M259" s="303" t="str">
        <v>obj_00863#0000</v>
      </c>
      <c r="N259" s="186" t="str">
        <f>_xll.qlRateHelperQuoteName(M259)</f>
        <v>EUR11F2Y_Quote</v>
      </c>
      <c r="O259" s="174">
        <f>_xll.qlInterestRateIndexFixingDate(R259,_xll.qlRateHelperEarliestDate(M259,Trigger),)</f>
        <v>45960</v>
      </c>
      <c r="P259" s="201">
        <f>_xll.qlRateHelperQuoteValue(M259,_xll.ohTrigger(RecalcTrigger,YieldCurve))</f>
        <v>2.4140000000000002E-2</v>
      </c>
      <c r="Q259" s="204" t="str">
        <f t="shared" si="27"/>
        <v>2Y</v>
      </c>
      <c r="R259" s="204" t="str">
        <f>_xll.qlSwapIndex(,"Euribor",Q259,NDays,Currency,Calendar,"1Y","mf","30/360 (Bond Basis)",IborIndex,Discounting,,_xll.ohTrigger(Trigger,RecalcTrigger))</f>
        <v>obj_00934#0000</v>
      </c>
      <c r="S259" s="204" t="str">
        <f>_xll.qlVanillaSwapFromSwapIndex(,R259,O259)</f>
        <v>obj_00b42#0000</v>
      </c>
      <c r="T259" s="191">
        <f>_xll.qlVanillaSwapFairRate(S259)</f>
        <v>2.4155336152131963E-2</v>
      </c>
      <c r="U259" s="300">
        <f t="shared" si="23"/>
        <v>1.5336152131961017E-5</v>
      </c>
      <c r="X259" s="186" t="str">
        <f t="shared" si="24"/>
        <v>1D</v>
      </c>
      <c r="Y259" s="174">
        <f>_xll.qlCalendarAdvance(Calendar,Y258,X259,"f",FALSE)</f>
        <v>42286</v>
      </c>
      <c r="Z259" s="198">
        <f>_xll.qlCalendarAdvance(Calendar,Y259,NDays&amp;"D")</f>
        <v>42290</v>
      </c>
      <c r="AA259" s="173">
        <v>2.298092946965165E-3</v>
      </c>
      <c r="AB259" s="182">
        <v>2.2319599698050752E-3</v>
      </c>
    </row>
    <row r="260" spans="13:28" x14ac:dyDescent="0.2">
      <c r="M260" s="303" t="str">
        <v>obj_007f3#0000</v>
      </c>
      <c r="N260" s="186" t="str">
        <f>_xll.qlRateHelperQuoteName(M260)</f>
        <v>EUR11F3Y_Quote</v>
      </c>
      <c r="O260" s="174">
        <f>_xll.qlInterestRateIndexFixingDate(R260,_xll.qlRateHelperEarliestDate(M260,Trigger),)</f>
        <v>45960</v>
      </c>
      <c r="P260" s="201">
        <f>_xll.qlRateHelperQuoteValue(M260,_xll.ohTrigger(RecalcTrigger,YieldCurve))</f>
        <v>2.4310000000000002E-2</v>
      </c>
      <c r="Q260" s="204" t="str">
        <f t="shared" si="27"/>
        <v>3Y</v>
      </c>
      <c r="R260" s="204" t="str">
        <f>_xll.qlSwapIndex(,"Euribor",Q260,NDays,Currency,Calendar,"1Y","mf","30/360 (Bond Basis)",IborIndex,Discounting,,_xll.ohTrigger(Trigger,RecalcTrigger))</f>
        <v>obj_009ca#0000</v>
      </c>
      <c r="S260" s="204" t="str">
        <f>_xll.qlVanillaSwapFromSwapIndex(,R260,O260)</f>
        <v>obj_00a97#0000</v>
      </c>
      <c r="T260" s="191">
        <f>_xll.qlVanillaSwapFairRate(S260)</f>
        <v>2.4312549817030182E-2</v>
      </c>
      <c r="U260" s="300">
        <f t="shared" si="23"/>
        <v>2.5498170301806178E-6</v>
      </c>
      <c r="X260" s="186" t="str">
        <f t="shared" si="24"/>
        <v>1D</v>
      </c>
      <c r="Y260" s="174">
        <f>_xll.qlCalendarAdvance(Calendar,Y259,X260,"f",FALSE)</f>
        <v>42289</v>
      </c>
      <c r="Z260" s="198">
        <f>_xll.qlCalendarAdvance(Calendar,Y260,NDays&amp;"D")</f>
        <v>42291</v>
      </c>
      <c r="AA260" s="173">
        <v>2.3004726800712567E-3</v>
      </c>
      <c r="AB260" s="182">
        <v>2.2247579608158929E-3</v>
      </c>
    </row>
    <row r="261" spans="13:28" x14ac:dyDescent="0.2">
      <c r="M261" s="303" t="str">
        <v>obj_00810#0000</v>
      </c>
      <c r="N261" s="186" t="str">
        <f>_xll.qlRateHelperQuoteName(M261)</f>
        <v>EUR11F4Y_Quote</v>
      </c>
      <c r="O261" s="174">
        <f>_xll.qlInterestRateIndexFixingDate(R261,_xll.qlRateHelperEarliestDate(M261,Trigger),)</f>
        <v>45960</v>
      </c>
      <c r="P261" s="201">
        <f>_xll.qlRateHelperQuoteValue(M261,_xll.ohTrigger(RecalcTrigger,YieldCurve))</f>
        <v>2.4390000000000002E-2</v>
      </c>
      <c r="Q261" s="204" t="str">
        <f t="shared" si="27"/>
        <v>4Y</v>
      </c>
      <c r="R261" s="204" t="str">
        <f>_xll.qlSwapIndex(,"Euribor",Q261,NDays,Currency,Calendar,"1Y","mf","30/360 (Bond Basis)",IborIndex,Discounting,,_xll.ohTrigger(Trigger,RecalcTrigger))</f>
        <v>obj_009c8#0000</v>
      </c>
      <c r="S261" s="204" t="str">
        <f>_xll.qlVanillaSwapFromSwapIndex(,R261,O261)</f>
        <v>obj_00b31#0000</v>
      </c>
      <c r="T261" s="191">
        <f>_xll.qlVanillaSwapFairRate(S261)</f>
        <v>2.440590223262391E-2</v>
      </c>
      <c r="U261" s="300">
        <f t="shared" si="23"/>
        <v>1.5902232623907914E-5</v>
      </c>
      <c r="X261" s="186" t="str">
        <f t="shared" si="24"/>
        <v>1D</v>
      </c>
      <c r="Y261" s="174">
        <f>_xll.qlCalendarAdvance(Calendar,Y260,X261,"f",FALSE)</f>
        <v>42290</v>
      </c>
      <c r="Z261" s="198">
        <f>_xll.qlCalendarAdvance(Calendar,Y261,NDays&amp;"D")</f>
        <v>42292</v>
      </c>
      <c r="AA261" s="173">
        <v>2.3028745464225308E-3</v>
      </c>
      <c r="AB261" s="182">
        <v>2.2174299682831133E-3</v>
      </c>
    </row>
    <row r="262" spans="13:28" x14ac:dyDescent="0.2">
      <c r="M262" s="303" t="str">
        <v>obj_00822#0000</v>
      </c>
      <c r="N262" s="186" t="str">
        <f>_xll.qlRateHelperQuoteName(M262)</f>
        <v>EUR11F5Y_Quote</v>
      </c>
      <c r="O262" s="174">
        <f>_xll.qlInterestRateIndexFixingDate(R262,_xll.qlRateHelperEarliestDate(M262,Trigger),)</f>
        <v>45960</v>
      </c>
      <c r="P262" s="201">
        <f>_xll.qlRateHelperQuoteValue(M262,_xll.ohTrigger(RecalcTrigger,YieldCurve))</f>
        <v>2.4460000000000003E-2</v>
      </c>
      <c r="Q262" s="204" t="str">
        <f t="shared" si="27"/>
        <v>5Y</v>
      </c>
      <c r="R262" s="204" t="str">
        <f>_xll.qlSwapIndex(,"Euribor",Q262,NDays,Currency,Calendar,"1Y","mf","30/360 (Bond Basis)",IborIndex,Discounting,,_xll.ohTrigger(Trigger,RecalcTrigger))</f>
        <v>obj_00941#0000</v>
      </c>
      <c r="S262" s="204" t="str">
        <f>_xll.qlVanillaSwapFromSwapIndex(,R262,O262)</f>
        <v>obj_00ae3#0000</v>
      </c>
      <c r="T262" s="191">
        <f>_xll.qlVanillaSwapFairRate(S262)</f>
        <v>2.4466781707480321E-2</v>
      </c>
      <c r="U262" s="300">
        <f t="shared" si="23"/>
        <v>6.7817074803182276E-6</v>
      </c>
      <c r="X262" s="186" t="str">
        <f t="shared" si="24"/>
        <v>1D</v>
      </c>
      <c r="Y262" s="174">
        <f>_xll.qlCalendarAdvance(Calendar,Y261,X262,"f",FALSE)</f>
        <v>42291</v>
      </c>
      <c r="Z262" s="198">
        <f>_xll.qlCalendarAdvance(Calendar,Y262,NDays&amp;"D")</f>
        <v>42293</v>
      </c>
      <c r="AA262" s="173">
        <v>2.3091038955333804E-3</v>
      </c>
      <c r="AB262" s="182">
        <v>2.2023675111615404E-3</v>
      </c>
    </row>
    <row r="263" spans="13:28" x14ac:dyDescent="0.2">
      <c r="M263" s="303" t="str">
        <v>obj_00859#0000</v>
      </c>
      <c r="N263" s="186" t="str">
        <f>_xll.qlRateHelperQuoteName(M263)</f>
        <v>EUR11F6Y_Quote</v>
      </c>
      <c r="O263" s="174">
        <f>_xll.qlInterestRateIndexFixingDate(R263,_xll.qlRateHelperEarliestDate(M263,Trigger),)</f>
        <v>45960</v>
      </c>
      <c r="P263" s="201">
        <f>_xll.qlRateHelperQuoteValue(M263,_xll.ohTrigger(RecalcTrigger,YieldCurve))</f>
        <v>2.4500000000000001E-2</v>
      </c>
      <c r="Q263" s="204" t="str">
        <f t="shared" si="27"/>
        <v>6Y</v>
      </c>
      <c r="R263" s="204" t="str">
        <f>_xll.qlSwapIndex(,"Euribor",Q263,NDays,Currency,Calendar,"1Y","mf","30/360 (Bond Basis)",IborIndex,Discounting,,_xll.ohTrigger(Trigger,RecalcTrigger))</f>
        <v>obj_00a2b#0000</v>
      </c>
      <c r="S263" s="204" t="str">
        <f>_xll.qlVanillaSwapFromSwapIndex(,R263,O263)</f>
        <v>obj_00aa1#0000</v>
      </c>
      <c r="T263" s="191">
        <f>_xll.qlVanillaSwapFairRate(S263)</f>
        <v>2.4493499728833291E-2</v>
      </c>
      <c r="U263" s="300">
        <f t="shared" si="23"/>
        <v>-6.5002711667101754E-6</v>
      </c>
      <c r="X263" s="186" t="str">
        <f t="shared" si="24"/>
        <v>1D</v>
      </c>
      <c r="Y263" s="174">
        <f>_xll.qlCalendarAdvance(Calendar,Y262,X263,"f",FALSE)</f>
        <v>42292</v>
      </c>
      <c r="Z263" s="198">
        <f>_xll.qlCalendarAdvance(Calendar,Y263,NDays&amp;"D")</f>
        <v>42296</v>
      </c>
      <c r="AA263" s="173">
        <v>2.3126780383577157E-3</v>
      </c>
      <c r="AB263" s="182">
        <v>2.186858162556149E-3</v>
      </c>
    </row>
    <row r="264" spans="13:28" x14ac:dyDescent="0.2">
      <c r="M264" s="303" t="str">
        <v>obj_00768#0000</v>
      </c>
      <c r="N264" s="186" t="str">
        <f>_xll.qlRateHelperQuoteName(M264)</f>
        <v>EUR11F7Y_Quote</v>
      </c>
      <c r="O264" s="174">
        <f>_xll.qlInterestRateIndexFixingDate(R264,_xll.qlRateHelperEarliestDate(M264,Trigger),)</f>
        <v>45960</v>
      </c>
      <c r="P264" s="201">
        <f>_xll.qlRateHelperQuoteValue(M264,_xll.ohTrigger(RecalcTrigger,YieldCurve))</f>
        <v>2.4479999999999998E-2</v>
      </c>
      <c r="Q264" s="204" t="str">
        <f t="shared" si="27"/>
        <v>7Y</v>
      </c>
      <c r="R264" s="204" t="str">
        <f>_xll.qlSwapIndex(,"Euribor",Q264,NDays,Currency,Calendar,"1Y","mf","30/360 (Bond Basis)",IborIndex,Discounting,,_xll.ohTrigger(Trigger,RecalcTrigger))</f>
        <v>obj_008ef#0000</v>
      </c>
      <c r="S264" s="204" t="str">
        <f>_xll.qlVanillaSwapFromSwapIndex(,R264,O264)</f>
        <v>obj_00a9a#0000</v>
      </c>
      <c r="T264" s="191">
        <f>_xll.qlVanillaSwapFairRate(S264)</f>
        <v>2.44936788740239E-2</v>
      </c>
      <c r="U264" s="300">
        <f t="shared" si="23"/>
        <v>1.3678874023901472E-5</v>
      </c>
      <c r="X264" s="186" t="str">
        <f t="shared" si="24"/>
        <v>1D</v>
      </c>
      <c r="Y264" s="174">
        <f>_xll.qlCalendarAdvance(Calendar,Y263,X264,"f",FALSE)</f>
        <v>42293</v>
      </c>
      <c r="Z264" s="198">
        <f>_xll.qlCalendarAdvance(Calendar,Y264,NDays&amp;"D")</f>
        <v>42297</v>
      </c>
      <c r="AA264" s="173">
        <v>2.3151715914467544E-3</v>
      </c>
      <c r="AB264" s="182">
        <v>2.1789002523053824E-3</v>
      </c>
    </row>
    <row r="265" spans="13:28" x14ac:dyDescent="0.2">
      <c r="M265" s="303" t="str">
        <v>obj_0077a#0000</v>
      </c>
      <c r="N265" s="186" t="str">
        <f>_xll.qlRateHelperQuoteName(M265)</f>
        <v>EUR11F8Y_Quote</v>
      </c>
      <c r="O265" s="174">
        <f>_xll.qlInterestRateIndexFixingDate(R265,_xll.qlRateHelperEarliestDate(M265,Trigger),)</f>
        <v>45960</v>
      </c>
      <c r="P265" s="201">
        <f>_xll.qlRateHelperQuoteValue(M265,_xll.ohTrigger(RecalcTrigger,YieldCurve))</f>
        <v>2.444E-2</v>
      </c>
      <c r="Q265" s="204" t="str">
        <f t="shared" si="27"/>
        <v>8Y</v>
      </c>
      <c r="R265" s="204" t="str">
        <f>_xll.qlSwapIndex(,"Euribor",Q265,NDays,Currency,Calendar,"1Y","mf","30/360 (Bond Basis)",IborIndex,Discounting,,_xll.ohTrigger(Trigger,RecalcTrigger))</f>
        <v>obj_0097b#0000</v>
      </c>
      <c r="S265" s="204" t="str">
        <f>_xll.qlVanillaSwapFromSwapIndex(,R265,O265)</f>
        <v>obj_00a86#0000</v>
      </c>
      <c r="T265" s="191">
        <f>_xll.qlVanillaSwapFairRate(S265)</f>
        <v>2.4447839456869371E-2</v>
      </c>
      <c r="U265" s="300">
        <f t="shared" si="23"/>
        <v>7.8394568693712641E-6</v>
      </c>
      <c r="X265" s="186" t="str">
        <f t="shared" si="24"/>
        <v>1D</v>
      </c>
      <c r="Y265" s="174">
        <f>_xll.qlCalendarAdvance(Calendar,Y264,X265,"f",FALSE)</f>
        <v>42296</v>
      </c>
      <c r="Z265" s="198">
        <f>_xll.qlCalendarAdvance(Calendar,Y265,NDays&amp;"D")</f>
        <v>42298</v>
      </c>
      <c r="AA265" s="173">
        <v>2.317679685945618E-3</v>
      </c>
      <c r="AB265" s="182">
        <v>2.1708163585909546E-3</v>
      </c>
    </row>
    <row r="266" spans="13:28" x14ac:dyDescent="0.2">
      <c r="M266" s="303" t="str">
        <v>obj_007f6#0000</v>
      </c>
      <c r="N266" s="186" t="str">
        <f>_xll.qlRateHelperQuoteName(M266)</f>
        <v>EUR11F9Y_Quote</v>
      </c>
      <c r="O266" s="174">
        <f>_xll.qlInterestRateIndexFixingDate(R266,_xll.qlRateHelperEarliestDate(M266,Trigger),)</f>
        <v>45960</v>
      </c>
      <c r="P266" s="201">
        <f>_xll.qlRateHelperQuoteValue(M266,_xll.ohTrigger(RecalcTrigger,YieldCurve))</f>
        <v>2.435E-2</v>
      </c>
      <c r="Q266" s="204" t="str">
        <f t="shared" si="27"/>
        <v>9Y</v>
      </c>
      <c r="R266" s="204" t="str">
        <f>_xll.qlSwapIndex(,"Euribor",Q266,NDays,Currency,Calendar,"1Y","mf","30/360 (Bond Basis)",IborIndex,Discounting,,_xll.ohTrigger(Trigger,RecalcTrigger))</f>
        <v>obj_00a2e#0000</v>
      </c>
      <c r="S266" s="204" t="str">
        <f>_xll.qlVanillaSwapFromSwapIndex(,R266,O266)</f>
        <v>obj_00aeb#0000</v>
      </c>
      <c r="T266" s="191">
        <f>_xll.qlVanillaSwapFairRate(S266)</f>
        <v>2.4366437834269762E-2</v>
      </c>
      <c r="U266" s="300">
        <f t="shared" si="23"/>
        <v>1.6437834269762003E-5</v>
      </c>
      <c r="X266" s="186" t="str">
        <f t="shared" si="24"/>
        <v>1D</v>
      </c>
      <c r="Y266" s="174">
        <f>_xll.qlCalendarAdvance(Calendar,Y265,X266,"f",FALSE)</f>
        <v>42297</v>
      </c>
      <c r="Z266" s="198">
        <f>_xll.qlCalendarAdvance(Calendar,Y266,NDays&amp;"D")</f>
        <v>42299</v>
      </c>
      <c r="AA266" s="173">
        <v>2.3202010565281017E-3</v>
      </c>
      <c r="AB266" s="182">
        <v>2.1626064813329293E-3</v>
      </c>
    </row>
    <row r="267" spans="13:28" x14ac:dyDescent="0.2">
      <c r="M267" s="303" t="str">
        <v>obj_00887#0000</v>
      </c>
      <c r="N267" s="186" t="str">
        <f>_xll.qlRateHelperQuoteName(M267)</f>
        <v>EUR11F10Y_Quote</v>
      </c>
      <c r="O267" s="174">
        <f>_xll.qlInterestRateIndexFixingDate(R267,_xll.qlRateHelperEarliestDate(M267,Trigger),)</f>
        <v>45960</v>
      </c>
      <c r="P267" s="201">
        <f>_xll.qlRateHelperQuoteValue(M267,_xll.ohTrigger(RecalcTrigger,YieldCurve))</f>
        <v>2.4249999999999997E-2</v>
      </c>
      <c r="Q267" s="204" t="str">
        <f t="shared" si="27"/>
        <v>10Y</v>
      </c>
      <c r="R267" s="204" t="str">
        <f>_xll.qlSwapIndex(,"Euribor",Q267,NDays,Currency,Calendar,"1Y","mf","30/360 (Bond Basis)",IborIndex,Discounting,,_xll.ohTrigger(Trigger,RecalcTrigger))</f>
        <v>obj_00a08#0000</v>
      </c>
      <c r="S267" s="204" t="str">
        <f>_xll.qlVanillaSwapFromSwapIndex(,R267,O267)</f>
        <v>obj_00a34#0000</v>
      </c>
      <c r="T267" s="191">
        <f>_xll.qlVanillaSwapFairRate(S267)</f>
        <v>2.4251439301748605E-2</v>
      </c>
      <c r="U267" s="300">
        <f t="shared" si="23"/>
        <v>1.439301748607652E-6</v>
      </c>
      <c r="X267" s="186" t="str">
        <f t="shared" si="24"/>
        <v>1D</v>
      </c>
      <c r="Y267" s="174">
        <f>_xll.qlCalendarAdvance(Calendar,Y266,X267,"f",FALSE)</f>
        <v>42298</v>
      </c>
      <c r="Z267" s="198">
        <f>_xll.qlCalendarAdvance(Calendar,Y267,NDays&amp;"D")</f>
        <v>42300</v>
      </c>
      <c r="AA267" s="173">
        <v>2.3259376647020462E-3</v>
      </c>
      <c r="AB267" s="182">
        <v>2.1457795716273154E-3</v>
      </c>
    </row>
    <row r="268" spans="13:28" x14ac:dyDescent="0.2">
      <c r="M268" s="303" t="str">
        <v>obj_00855#0000</v>
      </c>
      <c r="N268" s="186" t="str">
        <f>_xll.qlRateHelperQuoteName(M268)</f>
        <v>EUR11F11Y_Quote</v>
      </c>
      <c r="O268" s="174">
        <f>_xll.qlInterestRateIndexFixingDate(R268,_xll.qlRateHelperEarliestDate(M268,Trigger),)</f>
        <v>45960</v>
      </c>
      <c r="P268" s="201">
        <f>_xll.qlRateHelperQuoteValue(M268,_xll.ohTrigger(RecalcTrigger,YieldCurve))</f>
        <v>2.41E-2</v>
      </c>
      <c r="Q268" s="204" t="str">
        <f t="shared" si="27"/>
        <v>11Y</v>
      </c>
      <c r="R268" s="204" t="str">
        <f>_xll.qlSwapIndex(,"Euribor",Q268,NDays,Currency,Calendar,"1Y","mf","30/360 (Bond Basis)",IborIndex,Discounting,,_xll.ohTrigger(Trigger,RecalcTrigger))</f>
        <v>obj_00988#0000</v>
      </c>
      <c r="S268" s="204" t="str">
        <f>_xll.qlVanillaSwapFromSwapIndex(,R268,O268)</f>
        <v>obj_00a85#0000</v>
      </c>
      <c r="T268" s="191">
        <f>_xll.qlVanillaSwapFairRate(S268)</f>
        <v>2.4120779130825405E-2</v>
      </c>
      <c r="U268" s="300">
        <f t="shared" si="23"/>
        <v>2.0779130825404613E-5</v>
      </c>
      <c r="X268" s="186" t="str">
        <f t="shared" si="24"/>
        <v>1D</v>
      </c>
      <c r="Y268" s="174">
        <f>_xll.qlCalendarAdvance(Calendar,Y267,X268,"f",FALSE)</f>
        <v>42299</v>
      </c>
      <c r="Z268" s="198">
        <f>_xll.qlCalendarAdvance(Calendar,Y268,NDays&amp;"D")</f>
        <v>42303</v>
      </c>
      <c r="AA268" s="173">
        <v>2.3303939929473802E-3</v>
      </c>
      <c r="AB268" s="182">
        <v>2.128507137584279E-3</v>
      </c>
    </row>
    <row r="269" spans="13:28" x14ac:dyDescent="0.2">
      <c r="M269" s="303" t="str">
        <v>obj_00838#0000</v>
      </c>
      <c r="N269" s="186" t="str">
        <f>_xll.qlRateHelperQuoteName(M269)</f>
        <v>EUR11F12Y_Quote</v>
      </c>
      <c r="O269" s="174">
        <f>_xll.qlInterestRateIndexFixingDate(R269,_xll.qlRateHelperEarliestDate(M269,Trigger),)</f>
        <v>45960</v>
      </c>
      <c r="P269" s="201">
        <f>_xll.qlRateHelperQuoteValue(M269,_xll.ohTrigger(RecalcTrigger,YieldCurve))</f>
        <v>2.3949999999999999E-2</v>
      </c>
      <c r="Q269" s="204" t="str">
        <f t="shared" si="27"/>
        <v>12Y</v>
      </c>
      <c r="R269" s="204" t="str">
        <f>_xll.qlSwapIndex(,"Euribor",Q269,NDays,Currency,Calendar,"1Y","mf","30/360 (Bond Basis)",IborIndex,Discounting,,_xll.ohTrigger(Trigger,RecalcTrigger))</f>
        <v>obj_0093b#0000</v>
      </c>
      <c r="S269" s="204" t="str">
        <f>_xll.qlVanillaSwapFromSwapIndex(,R269,O269)</f>
        <v>obj_00b0e#0000</v>
      </c>
      <c r="T269" s="191">
        <f>_xll.qlVanillaSwapFairRate(S269)</f>
        <v>2.3970886676889725E-2</v>
      </c>
      <c r="U269" s="300">
        <f t="shared" si="23"/>
        <v>2.0886676889726036E-5</v>
      </c>
      <c r="X269" s="186" t="str">
        <f t="shared" si="24"/>
        <v>1D</v>
      </c>
      <c r="Y269" s="174">
        <f>_xll.qlCalendarAdvance(Calendar,Y268,X269,"f",FALSE)</f>
        <v>42300</v>
      </c>
      <c r="Z269" s="198">
        <f>_xll.qlCalendarAdvance(Calendar,Y269,NDays&amp;"D")</f>
        <v>42304</v>
      </c>
      <c r="AA269" s="173">
        <v>2.3329627638316898E-3</v>
      </c>
      <c r="AB269" s="182">
        <v>2.1196673429280111E-3</v>
      </c>
    </row>
    <row r="270" spans="13:28" x14ac:dyDescent="0.2">
      <c r="M270" s="303" t="str">
        <v>obj_0088b#0000</v>
      </c>
      <c r="N270" s="186" t="str">
        <f>_xll.qlRateHelperQuoteName(M270)</f>
        <v>EUR11F13Y_Quote</v>
      </c>
      <c r="O270" s="174">
        <f>_xll.qlInterestRateIndexFixingDate(R270,_xll.qlRateHelperEarliestDate(M270,Trigger),)</f>
        <v>45960</v>
      </c>
      <c r="P270" s="201">
        <f>_xll.qlRateHelperQuoteValue(M270,_xll.ohTrigger(RecalcTrigger,YieldCurve))</f>
        <v>2.3789999999999999E-2</v>
      </c>
      <c r="Q270" s="204" t="str">
        <f t="shared" si="27"/>
        <v>13Y</v>
      </c>
      <c r="R270" s="204" t="str">
        <f>_xll.qlSwapIndex(,"Euribor",Q270,NDays,Currency,Calendar,"1Y","mf","30/360 (Bond Basis)",IborIndex,Discounting,,_xll.ohTrigger(Trigger,RecalcTrigger))</f>
        <v>obj_00a06#0000</v>
      </c>
      <c r="S270" s="204" t="str">
        <f>_xll.qlVanillaSwapFromSwapIndex(,R270,O270)</f>
        <v>obj_00a78#0000</v>
      </c>
      <c r="T270" s="191">
        <f>_xll.qlVanillaSwapFairRate(S270)</f>
        <v>2.3814274203348432E-2</v>
      </c>
      <c r="U270" s="300">
        <f t="shared" si="23"/>
        <v>2.4274203348433054E-5</v>
      </c>
      <c r="X270" s="186" t="str">
        <f t="shared" si="24"/>
        <v>1D</v>
      </c>
      <c r="Y270" s="174">
        <f>_xll.qlCalendarAdvance(Calendar,Y269,X270,"f",FALSE)</f>
        <v>42303</v>
      </c>
      <c r="Z270" s="198">
        <f>_xll.qlCalendarAdvance(Calendar,Y270,NDays&amp;"D")</f>
        <v>42305</v>
      </c>
      <c r="AA270" s="173">
        <v>2.3355372187082923E-3</v>
      </c>
      <c r="AB270" s="182">
        <v>2.1107015648880179E-3</v>
      </c>
    </row>
    <row r="271" spans="13:28" x14ac:dyDescent="0.2">
      <c r="M271" s="303" t="str">
        <v>obj_0086e#0000</v>
      </c>
      <c r="N271" s="186" t="str">
        <f>_xll.qlRateHelperQuoteName(M271)</f>
        <v>EUR11F14Y_Quote</v>
      </c>
      <c r="O271" s="174">
        <f>_xll.qlInterestRateIndexFixingDate(R271,_xll.qlRateHelperEarliestDate(M271,Trigger),)</f>
        <v>45960</v>
      </c>
      <c r="P271" s="201">
        <f>_xll.qlRateHelperQuoteValue(M271,_xll.ohTrigger(RecalcTrigger,YieldCurve))</f>
        <v>2.3639999999999998E-2</v>
      </c>
      <c r="Q271" s="204" t="str">
        <f t="shared" si="27"/>
        <v>14Y</v>
      </c>
      <c r="R271" s="204" t="str">
        <f>_xll.qlSwapIndex(,"Euribor",Q271,NDays,Currency,Calendar,"1Y","mf","30/360 (Bond Basis)",IborIndex,Discounting,,_xll.ohTrigger(Trigger,RecalcTrigger))</f>
        <v>obj_0099e#0000</v>
      </c>
      <c r="S271" s="204" t="str">
        <f>_xll.qlVanillaSwapFromSwapIndex(,R271,O271)</f>
        <v>obj_00a80#0000</v>
      </c>
      <c r="T271" s="191">
        <f>_xll.qlVanillaSwapFairRate(S271)</f>
        <v>2.3655310420570303E-2</v>
      </c>
      <c r="U271" s="300">
        <f t="shared" ref="U271:U334" si="28">T271-P271</f>
        <v>1.5310420570305294E-5</v>
      </c>
      <c r="X271" s="186" t="str">
        <f t="shared" si="24"/>
        <v>1D</v>
      </c>
      <c r="Y271" s="174">
        <f>_xll.qlCalendarAdvance(Calendar,Y270,X271,"f",FALSE)</f>
        <v>42304</v>
      </c>
      <c r="Z271" s="198">
        <f>_xll.qlCalendarAdvance(Calendar,Y271,NDays&amp;"D")</f>
        <v>42306</v>
      </c>
      <c r="AA271" s="173">
        <v>2.3381160922064294E-3</v>
      </c>
      <c r="AB271" s="182">
        <v>2.1016098033843633E-3</v>
      </c>
    </row>
    <row r="272" spans="13:28" x14ac:dyDescent="0.2">
      <c r="M272" s="303" t="str">
        <v>obj_00794#0000</v>
      </c>
      <c r="N272" s="186" t="str">
        <f>_xll.qlRateHelperQuoteName(M272)</f>
        <v>EUR11F15Y_Quote</v>
      </c>
      <c r="O272" s="174">
        <f>_xll.qlInterestRateIndexFixingDate(R272,_xll.qlRateHelperEarliestDate(M272,Trigger),)</f>
        <v>45960</v>
      </c>
      <c r="P272" s="201">
        <f>_xll.qlRateHelperQuoteValue(M272,_xll.ohTrigger(RecalcTrigger,YieldCurve))</f>
        <v>2.3479999999999997E-2</v>
      </c>
      <c r="Q272" s="204" t="str">
        <f t="shared" si="27"/>
        <v>15Y</v>
      </c>
      <c r="R272" s="204" t="str">
        <f>_xll.qlSwapIndex(,"Euribor",Q272,NDays,Currency,Calendar,"1Y","mf","30/360 (Bond Basis)",IborIndex,Discounting,,_xll.ohTrigger(Trigger,RecalcTrigger))</f>
        <v>obj_008fc#0000</v>
      </c>
      <c r="S272" s="204" t="str">
        <f>_xll.qlVanillaSwapFromSwapIndex(,R272,O272)</f>
        <v>obj_00b0f#0000</v>
      </c>
      <c r="T272" s="191">
        <f>_xll.qlVanillaSwapFairRate(S272)</f>
        <v>2.3500057513497281E-2</v>
      </c>
      <c r="U272" s="300">
        <f t="shared" si="28"/>
        <v>2.0057513497283297E-5</v>
      </c>
      <c r="X272" s="186" t="str">
        <f t="shared" si="24"/>
        <v>1D</v>
      </c>
      <c r="Y272" s="174">
        <f>_xll.qlCalendarAdvance(Calendar,Y271,X272,"f",FALSE)</f>
        <v>42305</v>
      </c>
      <c r="Z272" s="198">
        <f>_xll.qlCalendarAdvance(Calendar,Y272,NDays&amp;"D")</f>
        <v>42307</v>
      </c>
      <c r="AA272" s="173">
        <v>2.339401920337152E-3</v>
      </c>
      <c r="AB272" s="182">
        <v>2.083018388097102E-3</v>
      </c>
    </row>
    <row r="273" spans="13:28" x14ac:dyDescent="0.2">
      <c r="M273" s="303" t="str">
        <v>obj_0083c#0000</v>
      </c>
      <c r="N273" s="186" t="str">
        <f>_xll.qlRateHelperQuoteName(M273)</f>
        <v>EUR11F20Y_Quote</v>
      </c>
      <c r="O273" s="174">
        <f>_xll.qlInterestRateIndexFixingDate(R273,_xll.qlRateHelperEarliestDate(M273,Trigger),)</f>
        <v>45960</v>
      </c>
      <c r="P273" s="201">
        <f>_xll.qlRateHelperQuoteValue(M273,_xll.ohTrigger(RecalcTrigger,YieldCurve))</f>
        <v>2.2850000000000002E-2</v>
      </c>
      <c r="Q273" s="204" t="str">
        <f t="shared" si="27"/>
        <v>20Y</v>
      </c>
      <c r="R273" s="204" t="str">
        <f>_xll.qlSwapIndex(,"Euribor",Q273,NDays,Currency,Calendar,"1Y","mf","30/360 (Bond Basis)",IborIndex,Discounting,,_xll.ohTrigger(Trigger,RecalcTrigger))</f>
        <v>obj_00925#0000</v>
      </c>
      <c r="S273" s="204" t="str">
        <f>_xll.qlVanillaSwapFromSwapIndex(,R273,O273)</f>
        <v>obj_00a56#0000</v>
      </c>
      <c r="T273" s="191">
        <f>_xll.qlVanillaSwapFairRate(S273)</f>
        <v>2.2866386560342157E-2</v>
      </c>
      <c r="U273" s="300">
        <f t="shared" si="28"/>
        <v>1.6386560342154799E-5</v>
      </c>
      <c r="X273" s="186" t="str">
        <f t="shared" si="24"/>
        <v>1D</v>
      </c>
      <c r="Y273" s="174">
        <f>_xll.qlCalendarAdvance(Calendar,Y272,X273,"f",FALSE)</f>
        <v>42306</v>
      </c>
      <c r="Z273" s="198">
        <f>_xll.qlCalendarAdvance(Calendar,Y273,NDays&amp;"D")</f>
        <v>42310</v>
      </c>
      <c r="AA273" s="173">
        <v>2.3473491376723543E-3</v>
      </c>
      <c r="AB273" s="182">
        <v>2.0639829232127482E-3</v>
      </c>
    </row>
    <row r="274" spans="13:28" x14ac:dyDescent="0.2">
      <c r="M274" s="303" t="str">
        <v>obj_00892#0000</v>
      </c>
      <c r="N274" s="186" t="str">
        <f>_xll.qlRateHelperQuoteName(M274)</f>
        <v>EUR11F25Y_Quote</v>
      </c>
      <c r="O274" s="174">
        <f>_xll.qlInterestRateIndexFixingDate(R274,_xll.qlRateHelperEarliestDate(M274,Trigger),)</f>
        <v>45960</v>
      </c>
      <c r="P274" s="201">
        <f>_xll.qlRateHelperQuoteValue(M274,_xll.ohTrigger(RecalcTrigger,YieldCurve))</f>
        <v>2.257E-2</v>
      </c>
      <c r="Q274" s="204" t="str">
        <f t="shared" si="27"/>
        <v>25Y</v>
      </c>
      <c r="R274" s="204" t="str">
        <f>_xll.qlSwapIndex(,"Euribor",Q274,NDays,Currency,Calendar,"1Y","mf","30/360 (Bond Basis)",IborIndex,Discounting,,_xll.ohTrigger(Trigger,RecalcTrigger))</f>
        <v>obj_009d0#0000</v>
      </c>
      <c r="S274" s="204" t="str">
        <f>_xll.qlVanillaSwapFromSwapIndex(,R274,O274)</f>
        <v>obj_00aaa#0000</v>
      </c>
      <c r="T274" s="191">
        <f>_xll.qlVanillaSwapFairRate(S274)</f>
        <v>2.258320980758325E-2</v>
      </c>
      <c r="U274" s="300">
        <f t="shared" si="28"/>
        <v>1.320980758325041E-5</v>
      </c>
      <c r="X274" s="186" t="str">
        <f t="shared" si="24"/>
        <v>1D</v>
      </c>
      <c r="Y274" s="174">
        <f>_xll.qlCalendarAdvance(Calendar,Y273,X274,"f",FALSE)</f>
        <v>42307</v>
      </c>
      <c r="Z274" s="198">
        <f>_xll.qlCalendarAdvance(Calendar,Y274,NDays&amp;"D")</f>
        <v>42311</v>
      </c>
      <c r="AA274" s="173">
        <v>2.3499999999993643E-3</v>
      </c>
      <c r="AB274" s="182">
        <v>2.0542612446305952E-3</v>
      </c>
    </row>
    <row r="275" spans="13:28" ht="12" thickBot="1" x14ac:dyDescent="0.25">
      <c r="M275" s="304" t="str">
        <v>obj_0085d#0000</v>
      </c>
      <c r="N275" s="187" t="str">
        <f>_xll.qlRateHelperQuoteName(M275)</f>
        <v>EUR11F30Y_Quote</v>
      </c>
      <c r="O275" s="184">
        <f>_xll.qlInterestRateIndexFixingDate(R275,_xll.qlRateHelperEarliestDate(M275,Trigger),)</f>
        <v>45960</v>
      </c>
      <c r="P275" s="202">
        <f>_xll.qlRateHelperQuoteValue(M275,_xll.ohTrigger(RecalcTrigger,YieldCurve))</f>
        <v>2.239E-2</v>
      </c>
      <c r="Q275" s="205" t="str">
        <f t="shared" si="27"/>
        <v>30Y</v>
      </c>
      <c r="R275" s="205" t="str">
        <f>_xll.qlSwapIndex(,"Euribor",Q275,NDays,Currency,Calendar,"1Y","mf","30/360 (Bond Basis)",IborIndex,Discounting,,_xll.ohTrigger(Trigger,RecalcTrigger))</f>
        <v>obj_009a9#0000</v>
      </c>
      <c r="S275" s="205" t="str">
        <f>_xll.qlVanillaSwapFromSwapIndex(,R275,O275)</f>
        <v>obj_00b8a#0000</v>
      </c>
      <c r="T275" s="193">
        <f>_xll.qlVanillaSwapFairRate(S275)</f>
        <v>2.2405725788502841E-2</v>
      </c>
      <c r="U275" s="301">
        <f t="shared" si="28"/>
        <v>1.5725788502840565E-5</v>
      </c>
      <c r="X275" s="186" t="str">
        <f t="shared" si="24"/>
        <v>1D</v>
      </c>
      <c r="Y275" s="174">
        <f>_xll.qlCalendarAdvance(Calendar,Y274,X275,"f",FALSE)</f>
        <v>42310</v>
      </c>
      <c r="Z275" s="198">
        <f>_xll.qlCalendarAdvance(Calendar,Y275,NDays&amp;"D")</f>
        <v>42312</v>
      </c>
      <c r="AA275" s="173">
        <v>2.3526506828488425E-3</v>
      </c>
      <c r="AB275" s="182">
        <v>2.044580890432357E-3</v>
      </c>
    </row>
    <row r="276" spans="13:28" x14ac:dyDescent="0.2">
      <c r="M276" s="305" t="str">
        <v>obj_00784#0000</v>
      </c>
      <c r="N276" s="289" t="str">
        <f>_xll.qlRateHelperQuoteName(M276)</f>
        <v>EUR12F1Y_Quote</v>
      </c>
      <c r="O276" s="286">
        <f>_xll.qlInterestRateIndexFixingDate(R276,_xll.qlRateHelperEarliestDate(M276,Trigger),)</f>
        <v>46325</v>
      </c>
      <c r="P276" s="287">
        <f>_xll.qlRateHelperQuoteValue(M276,_xll.ohTrigger(RecalcTrigger,YieldCurve))</f>
        <v>2.4420000000000001E-2</v>
      </c>
      <c r="Q276" s="285" t="str">
        <f t="shared" ref="Q276:Q293" si="29">SUBSTITUTE(SUBSTITUTE(N276,"_Quote",""),"EUR12F","")</f>
        <v>1Y</v>
      </c>
      <c r="R276" s="285" t="str">
        <f>_xll.qlSwapIndex(,"Euribor",Q276,NDays,Currency,Calendar,"1Y","mf","30/360 (Bond Basis)",IborIndex,Discounting,,_xll.ohTrigger(Trigger,RecalcTrigger))</f>
        <v>obj_00902#0000</v>
      </c>
      <c r="S276" s="285" t="str">
        <f>_xll.qlVanillaSwapFromSwapIndex(,R276,O276)</f>
        <v>obj_00b29#0000</v>
      </c>
      <c r="T276" s="288">
        <f>_xll.qlVanillaSwapFairRate(S276)</f>
        <v>2.4346546989236956E-2</v>
      </c>
      <c r="U276" s="302">
        <f t="shared" si="28"/>
        <v>-7.3453010763044335E-5</v>
      </c>
      <c r="X276" s="186" t="str">
        <f t="shared" si="24"/>
        <v>1D</v>
      </c>
      <c r="Y276" s="174">
        <f>_xll.qlCalendarAdvance(Calendar,Y275,X276,"f",FALSE)</f>
        <v>42311</v>
      </c>
      <c r="Z276" s="198">
        <f>_xll.qlCalendarAdvance(Calendar,Y276,NDays&amp;"D")</f>
        <v>42313</v>
      </c>
      <c r="AA276" s="173">
        <v>2.355304224284655E-3</v>
      </c>
      <c r="AB276" s="182">
        <v>2.0356110912089775E-3</v>
      </c>
    </row>
    <row r="277" spans="13:28" x14ac:dyDescent="0.2">
      <c r="M277" s="303" t="str">
        <v>obj_00788#0000</v>
      </c>
      <c r="N277" s="186" t="str">
        <f>_xll.qlRateHelperQuoteName(M277)</f>
        <v>EUR12F2Y_Quote</v>
      </c>
      <c r="O277" s="174">
        <f>_xll.qlInterestRateIndexFixingDate(R277,_xll.qlRateHelperEarliestDate(M277,Trigger),)</f>
        <v>46325</v>
      </c>
      <c r="P277" s="201">
        <f>_xll.qlRateHelperQuoteValue(M277,_xll.ohTrigger(RecalcTrigger,YieldCurve))</f>
        <v>2.453E-2</v>
      </c>
      <c r="Q277" s="204" t="str">
        <f t="shared" si="29"/>
        <v>2Y</v>
      </c>
      <c r="R277" s="204" t="str">
        <f>_xll.qlSwapIndex(,"Euribor",Q277,NDays,Currency,Calendar,"1Y","mf","30/360 (Bond Basis)",IborIndex,Discounting,,_xll.ohTrigger(Trigger,RecalcTrigger))</f>
        <v>obj_0099b#0000</v>
      </c>
      <c r="S277" s="204" t="str">
        <f>_xll.qlVanillaSwapFromSwapIndex(,R277,O277)</f>
        <v>obj_00b33#0000</v>
      </c>
      <c r="T277" s="191">
        <f>_xll.qlVanillaSwapFairRate(S277)</f>
        <v>2.4490512213242048E-2</v>
      </c>
      <c r="U277" s="300">
        <f t="shared" si="28"/>
        <v>-3.9487786757951698E-5</v>
      </c>
      <c r="X277" s="186" t="str">
        <f t="shared" ref="X277:X340" si="30">X276</f>
        <v>1D</v>
      </c>
      <c r="Y277" s="174">
        <f>_xll.qlCalendarAdvance(Calendar,Y276,X277,"f",FALSE)</f>
        <v>42312</v>
      </c>
      <c r="Z277" s="198">
        <f>_xll.qlCalendarAdvance(Calendar,Y277,NDays&amp;"D")</f>
        <v>42314</v>
      </c>
      <c r="AA277" s="173">
        <v>2.3579610270905429E-3</v>
      </c>
      <c r="AB277" s="182">
        <v>2.0206090427787871E-3</v>
      </c>
    </row>
    <row r="278" spans="13:28" x14ac:dyDescent="0.2">
      <c r="M278" s="303" t="str">
        <v>obj_00826#0000</v>
      </c>
      <c r="N278" s="186" t="str">
        <f>_xll.qlRateHelperQuoteName(M278)</f>
        <v>EUR12F3Y_Quote</v>
      </c>
      <c r="O278" s="174">
        <f>_xll.qlInterestRateIndexFixingDate(R278,_xll.qlRateHelperEarliestDate(M278,Trigger),)</f>
        <v>46325</v>
      </c>
      <c r="P278" s="201">
        <f>_xll.qlRateHelperQuoteValue(M278,_xll.ohTrigger(RecalcTrigger,YieldCurve))</f>
        <v>2.4559999999999998E-2</v>
      </c>
      <c r="Q278" s="204" t="str">
        <f t="shared" si="29"/>
        <v>3Y</v>
      </c>
      <c r="R278" s="204" t="str">
        <f>_xll.qlSwapIndex(,"Euribor",Q278,NDays,Currency,Calendar,"1Y","mf","30/360 (Bond Basis)",IborIndex,Discounting,,_xll.ohTrigger(Trigger,RecalcTrigger))</f>
        <v>obj_00a00#0000</v>
      </c>
      <c r="S278" s="204" t="str">
        <f>_xll.qlVanillaSwapFromSwapIndex(,R278,O278)</f>
        <v>obj_00a35#0000</v>
      </c>
      <c r="T278" s="191">
        <f>_xll.qlVanillaSwapFairRate(S278)</f>
        <v>2.455816448940493E-2</v>
      </c>
      <c r="U278" s="300">
        <f t="shared" si="28"/>
        <v>-1.8355105950683404E-6</v>
      </c>
      <c r="X278" s="186" t="str">
        <f t="shared" si="30"/>
        <v>1D</v>
      </c>
      <c r="Y278" s="174">
        <f>_xll.qlCalendarAdvance(Calendar,Y277,X278,"f",FALSE)</f>
        <v>42313</v>
      </c>
      <c r="Z278" s="198">
        <f>_xll.qlCalendarAdvance(Calendar,Y278,NDays&amp;"D")</f>
        <v>42317</v>
      </c>
      <c r="AA278" s="173">
        <v>2.3659458279154727E-3</v>
      </c>
      <c r="AB278" s="182">
        <v>2.0085105207012788E-3</v>
      </c>
    </row>
    <row r="279" spans="13:28" x14ac:dyDescent="0.2">
      <c r="M279" s="303" t="str">
        <v>obj_00885#0000</v>
      </c>
      <c r="N279" s="186" t="str">
        <f>_xll.qlRateHelperQuoteName(M279)</f>
        <v>EUR12F4Y_Quote</v>
      </c>
      <c r="O279" s="174">
        <f>_xll.qlInterestRateIndexFixingDate(R279,_xll.qlRateHelperEarliestDate(M279,Trigger),)</f>
        <v>46325</v>
      </c>
      <c r="P279" s="201">
        <f>_xll.qlRateHelperQuoteValue(M279,_xll.ohTrigger(RecalcTrigger,YieldCurve))</f>
        <v>2.4620000000000003E-2</v>
      </c>
      <c r="Q279" s="204" t="str">
        <f t="shared" si="29"/>
        <v>4Y</v>
      </c>
      <c r="R279" s="204" t="str">
        <f>_xll.qlSwapIndex(,"Euribor",Q279,NDays,Currency,Calendar,"1Y","mf","30/360 (Bond Basis)",IborIndex,Discounting,,_xll.ohTrigger(Trigger,RecalcTrigger))</f>
        <v>obj_00a02#0000</v>
      </c>
      <c r="S279" s="204" t="str">
        <f>_xll.qlVanillaSwapFromSwapIndex(,R279,O279)</f>
        <v>obj_00acc#0000</v>
      </c>
      <c r="T279" s="191">
        <f>_xll.qlVanillaSwapFairRate(S279)</f>
        <v>2.4598496843457007E-2</v>
      </c>
      <c r="U279" s="300">
        <f t="shared" si="28"/>
        <v>-2.1503156542996421E-5</v>
      </c>
      <c r="X279" s="186" t="str">
        <f t="shared" si="30"/>
        <v>1D</v>
      </c>
      <c r="Y279" s="174">
        <f>_xll.qlCalendarAdvance(Calendar,Y278,X279,"f",FALSE)</f>
        <v>42314</v>
      </c>
      <c r="Z279" s="198">
        <f>_xll.qlCalendarAdvance(Calendar,Y279,NDays&amp;"D")</f>
        <v>42318</v>
      </c>
      <c r="AA279" s="173">
        <v>2.3686105003752999E-3</v>
      </c>
      <c r="AB279" s="182">
        <v>2.0039300343110966E-3</v>
      </c>
    </row>
    <row r="280" spans="13:28" x14ac:dyDescent="0.2">
      <c r="M280" s="303" t="str">
        <v>obj_0080b#0000</v>
      </c>
      <c r="N280" s="186" t="str">
        <f>_xll.qlRateHelperQuoteName(M280)</f>
        <v>EUR12F5Y_Quote</v>
      </c>
      <c r="O280" s="174">
        <f>_xll.qlInterestRateIndexFixingDate(R280,_xll.qlRateHelperEarliestDate(M280,Trigger),)</f>
        <v>46325</v>
      </c>
      <c r="P280" s="201">
        <f>_xll.qlRateHelperQuoteValue(M280,_xll.ohTrigger(RecalcTrigger,YieldCurve))</f>
        <v>2.4629999999999999E-2</v>
      </c>
      <c r="Q280" s="204" t="str">
        <f t="shared" si="29"/>
        <v>5Y</v>
      </c>
      <c r="R280" s="204" t="str">
        <f>_xll.qlSwapIndex(,"Euribor",Q280,NDays,Currency,Calendar,"1Y","mf","30/360 (Bond Basis)",IborIndex,Discounting,,_xll.ohTrigger(Trigger,RecalcTrigger))</f>
        <v>obj_0097d#0000</v>
      </c>
      <c r="S280" s="204" t="str">
        <f>_xll.qlVanillaSwapFromSwapIndex(,R280,O280)</f>
        <v>obj_00a4c#0000</v>
      </c>
      <c r="T280" s="191">
        <f>_xll.qlVanillaSwapFairRate(S280)</f>
        <v>2.4605860248909421E-2</v>
      </c>
      <c r="U280" s="300">
        <f t="shared" si="28"/>
        <v>-2.4139751090578032E-5</v>
      </c>
      <c r="X280" s="186" t="str">
        <f t="shared" si="30"/>
        <v>1D</v>
      </c>
      <c r="Y280" s="174">
        <f>_xll.qlCalendarAdvance(Calendar,Y279,X280,"f",FALSE)</f>
        <v>42317</v>
      </c>
      <c r="Z280" s="198">
        <f>_xll.qlCalendarAdvance(Calendar,Y280,NDays&amp;"D")</f>
        <v>42319</v>
      </c>
      <c r="AA280" s="173">
        <v>2.3712758462784062E-3</v>
      </c>
      <c r="AB280" s="182">
        <v>2.0002274104236051E-3</v>
      </c>
    </row>
    <row r="281" spans="13:28" x14ac:dyDescent="0.2">
      <c r="M281" s="303" t="str">
        <v>obj_00875#0000</v>
      </c>
      <c r="N281" s="186" t="str">
        <f>_xll.qlRateHelperQuoteName(M281)</f>
        <v>EUR12F6Y_Quote</v>
      </c>
      <c r="O281" s="174">
        <f>_xll.qlInterestRateIndexFixingDate(R281,_xll.qlRateHelperEarliestDate(M281,Trigger),)</f>
        <v>46325</v>
      </c>
      <c r="P281" s="201">
        <f>_xll.qlRateHelperQuoteValue(M281,_xll.ohTrigger(RecalcTrigger,YieldCurve))</f>
        <v>2.4580000000000001E-2</v>
      </c>
      <c r="Q281" s="204" t="str">
        <f t="shared" si="29"/>
        <v>6Y</v>
      </c>
      <c r="R281" s="204" t="str">
        <f>_xll.qlSwapIndex(,"Euribor",Q281,NDays,Currency,Calendar,"1Y","mf","30/360 (Bond Basis)",IborIndex,Discounting,,_xll.ohTrigger(Trigger,RecalcTrigger))</f>
        <v>obj_00978#0000</v>
      </c>
      <c r="S281" s="204" t="str">
        <f>_xll.qlVanillaSwapFromSwapIndex(,R281,O281)</f>
        <v>obj_00a4d#0000</v>
      </c>
      <c r="T281" s="191">
        <f>_xll.qlVanillaSwapFairRate(S281)</f>
        <v>2.4588410848040032E-2</v>
      </c>
      <c r="U281" s="300">
        <f t="shared" si="28"/>
        <v>8.4108480400309216E-6</v>
      </c>
      <c r="X281" s="186" t="str">
        <f t="shared" si="30"/>
        <v>1D</v>
      </c>
      <c r="Y281" s="174">
        <f>_xll.qlCalendarAdvance(Calendar,Y280,X281,"f",FALSE)</f>
        <v>42318</v>
      </c>
      <c r="Z281" s="198">
        <f>_xll.qlCalendarAdvance(Calendar,Y281,NDays&amp;"D")</f>
        <v>42320</v>
      </c>
      <c r="AA281" s="173">
        <v>2.3739413480317905E-3</v>
      </c>
      <c r="AB281" s="182">
        <v>1.997402648878932E-3</v>
      </c>
    </row>
    <row r="282" spans="13:28" x14ac:dyDescent="0.2">
      <c r="M282" s="303" t="str">
        <v>obj_00801#0000</v>
      </c>
      <c r="N282" s="186" t="str">
        <f>_xll.qlRateHelperQuoteName(M282)</f>
        <v>EUR12F7Y_Quote</v>
      </c>
      <c r="O282" s="174">
        <f>_xll.qlInterestRateIndexFixingDate(R282,_xll.qlRateHelperEarliestDate(M282,Trigger),)</f>
        <v>46325</v>
      </c>
      <c r="P282" s="201">
        <f>_xll.qlRateHelperQuoteValue(M282,_xll.ohTrigger(RecalcTrigger,YieldCurve))</f>
        <v>2.452E-2</v>
      </c>
      <c r="Q282" s="204" t="str">
        <f t="shared" si="29"/>
        <v>7Y</v>
      </c>
      <c r="R282" s="204" t="str">
        <f>_xll.qlSwapIndex(,"Euribor",Q282,NDays,Currency,Calendar,"1Y","mf","30/360 (Bond Basis)",IborIndex,Discounting,,_xll.ohTrigger(Trigger,RecalcTrigger))</f>
        <v>obj_00a0e#0000</v>
      </c>
      <c r="S282" s="204" t="str">
        <f>_xll.qlVanillaSwapFromSwapIndex(,R282,O282)</f>
        <v>obj_00a77#0000</v>
      </c>
      <c r="T282" s="191">
        <f>_xll.qlVanillaSwapFairRate(S282)</f>
        <v>2.4522791617800046E-2</v>
      </c>
      <c r="U282" s="300">
        <f t="shared" si="28"/>
        <v>2.7916178000457481E-6</v>
      </c>
      <c r="X282" s="186" t="str">
        <f t="shared" si="30"/>
        <v>1D</v>
      </c>
      <c r="Y282" s="174">
        <f>_xll.qlCalendarAdvance(Calendar,Y281,X282,"f",FALSE)</f>
        <v>42319</v>
      </c>
      <c r="Z282" s="198">
        <f>_xll.qlCalendarAdvance(Calendar,Y282,NDays&amp;"D")</f>
        <v>42321</v>
      </c>
      <c r="AA282" s="173">
        <v>2.3766064880384984E-3</v>
      </c>
      <c r="AB282" s="182">
        <v>1.9946903860112997E-3</v>
      </c>
    </row>
    <row r="283" spans="13:28" x14ac:dyDescent="0.2">
      <c r="M283" s="303" t="str">
        <v>obj_007a1#0000</v>
      </c>
      <c r="N283" s="186" t="str">
        <f>_xll.qlRateHelperQuoteName(M283)</f>
        <v>EUR12F8Y_Quote</v>
      </c>
      <c r="O283" s="174">
        <f>_xll.qlInterestRateIndexFixingDate(R283,_xll.qlRateHelperEarliestDate(M283,Trigger),)</f>
        <v>46325</v>
      </c>
      <c r="P283" s="201">
        <f>_xll.qlRateHelperQuoteValue(M283,_xll.ohTrigger(RecalcTrigger,YieldCurve))</f>
        <v>2.4409999999999998E-2</v>
      </c>
      <c r="Q283" s="204" t="str">
        <f t="shared" si="29"/>
        <v>8Y</v>
      </c>
      <c r="R283" s="204" t="str">
        <f>_xll.qlSwapIndex(,"Euribor",Q283,NDays,Currency,Calendar,"1Y","mf","30/360 (Bond Basis)",IborIndex,Discounting,,_xll.ohTrigger(Trigger,RecalcTrigger))</f>
        <v>obj_00a28#0000</v>
      </c>
      <c r="S283" s="204" t="str">
        <f>_xll.qlVanillaSwapFromSwapIndex(,R283,O283)</f>
        <v>obj_00adb#0000</v>
      </c>
      <c r="T283" s="191">
        <f>_xll.qlVanillaSwapFairRate(S283)</f>
        <v>2.4421497802339133E-2</v>
      </c>
      <c r="U283" s="300">
        <f t="shared" si="28"/>
        <v>1.1497802339135305E-5</v>
      </c>
      <c r="X283" s="186" t="str">
        <f t="shared" si="30"/>
        <v>1D</v>
      </c>
      <c r="Y283" s="174">
        <f>_xll.qlCalendarAdvance(Calendar,Y282,X283,"f",FALSE)</f>
        <v>42320</v>
      </c>
      <c r="Z283" s="198">
        <f>_xll.qlCalendarAdvance(Calendar,Y283,NDays&amp;"D")</f>
        <v>42324</v>
      </c>
      <c r="AA283" s="173">
        <v>2.3845945615747605E-3</v>
      </c>
      <c r="AB283" s="182">
        <v>1.9948822268478494E-3</v>
      </c>
    </row>
    <row r="284" spans="13:28" x14ac:dyDescent="0.2">
      <c r="M284" s="303" t="str">
        <v>obj_00823#0000</v>
      </c>
      <c r="N284" s="186" t="str">
        <f>_xll.qlRateHelperQuoteName(M284)</f>
        <v>EUR12F9Y_Quote</v>
      </c>
      <c r="O284" s="174">
        <f>_xll.qlInterestRateIndexFixingDate(R284,_xll.qlRateHelperEarliestDate(M284,Trigger),)</f>
        <v>46325</v>
      </c>
      <c r="P284" s="201">
        <f>_xll.qlRateHelperQuoteValue(M284,_xll.ohTrigger(RecalcTrigger,YieldCurve))</f>
        <v>2.4289999999999999E-2</v>
      </c>
      <c r="Q284" s="204" t="str">
        <f t="shared" si="29"/>
        <v>9Y</v>
      </c>
      <c r="R284" s="204" t="str">
        <f>_xll.qlSwapIndex(,"Euribor",Q284,NDays,Currency,Calendar,"1Y","mf","30/360 (Bond Basis)",IborIndex,Discounting,,_xll.ohTrigger(Trigger,RecalcTrigger))</f>
        <v>obj_009f2#0000</v>
      </c>
      <c r="S284" s="204" t="str">
        <f>_xll.qlVanillaSwapFromSwapIndex(,R284,O284)</f>
        <v>obj_00b4a#0000</v>
      </c>
      <c r="T284" s="191">
        <f>_xll.qlVanillaSwapFairRate(S284)</f>
        <v>2.4286610249827718E-2</v>
      </c>
      <c r="U284" s="300">
        <f t="shared" si="28"/>
        <v>-3.3897501722814083E-6</v>
      </c>
      <c r="X284" s="186" t="str">
        <f t="shared" si="30"/>
        <v>1D</v>
      </c>
      <c r="Y284" s="174">
        <f>_xll.qlCalendarAdvance(Calendar,Y283,X284,"f",FALSE)</f>
        <v>42321</v>
      </c>
      <c r="Z284" s="198">
        <f>_xll.qlCalendarAdvance(Calendar,Y284,NDays&amp;"D")</f>
        <v>42325</v>
      </c>
      <c r="AA284" s="173">
        <v>2.3872530785760274E-3</v>
      </c>
      <c r="AB284" s="182">
        <v>1.9964467772570771E-3</v>
      </c>
    </row>
    <row r="285" spans="13:28" x14ac:dyDescent="0.2">
      <c r="M285" s="303" t="str">
        <v>obj_007de#0000</v>
      </c>
      <c r="N285" s="186" t="str">
        <f>_xll.qlRateHelperQuoteName(M285)</f>
        <v>EUR12F10Y_Quote</v>
      </c>
      <c r="O285" s="174">
        <f>_xll.qlInterestRateIndexFixingDate(R285,_xll.qlRateHelperEarliestDate(M285,Trigger),)</f>
        <v>46325</v>
      </c>
      <c r="P285" s="201">
        <f>_xll.qlRateHelperQuoteValue(M285,_xll.ohTrigger(RecalcTrigger,YieldCurve))</f>
        <v>2.4129999999999999E-2</v>
      </c>
      <c r="Q285" s="204" t="str">
        <f t="shared" si="29"/>
        <v>10Y</v>
      </c>
      <c r="R285" s="204" t="str">
        <f>_xll.qlSwapIndex(,"Euribor",Q285,NDays,Currency,Calendar,"1Y","mf","30/360 (Bond Basis)",IborIndex,Discounting,,_xll.ohTrigger(Trigger,RecalcTrigger))</f>
        <v>obj_00958#0000</v>
      </c>
      <c r="S285" s="204" t="str">
        <f>_xll.qlVanillaSwapFromSwapIndex(,R285,O285)</f>
        <v>obj_00aff#0000</v>
      </c>
      <c r="T285" s="191">
        <f>_xll.qlVanillaSwapFairRate(S285)</f>
        <v>2.4138020805019585E-2</v>
      </c>
      <c r="U285" s="300">
        <f t="shared" si="28"/>
        <v>8.0208050195866576E-6</v>
      </c>
      <c r="X285" s="186" t="str">
        <f t="shared" si="30"/>
        <v>1D</v>
      </c>
      <c r="Y285" s="174">
        <f>_xll.qlCalendarAdvance(Calendar,Y284,X285,"f",FALSE)</f>
        <v>42324</v>
      </c>
      <c r="Z285" s="198">
        <f>_xll.qlCalendarAdvance(Calendar,Y285,NDays&amp;"D")</f>
        <v>42326</v>
      </c>
      <c r="AA285" s="173">
        <v>2.389908645807196E-3</v>
      </c>
      <c r="AB285" s="182">
        <v>1.9988891900091232E-3</v>
      </c>
    </row>
    <row r="286" spans="13:28" x14ac:dyDescent="0.2">
      <c r="M286" s="303" t="str">
        <v>obj_007ee#0000</v>
      </c>
      <c r="N286" s="186" t="str">
        <f>_xll.qlRateHelperQuoteName(M286)</f>
        <v>EUR12F11Y_Quote</v>
      </c>
      <c r="O286" s="174">
        <f>_xll.qlInterestRateIndexFixingDate(R286,_xll.qlRateHelperEarliestDate(M286,Trigger),)</f>
        <v>46325</v>
      </c>
      <c r="P286" s="201">
        <f>_xll.qlRateHelperQuoteValue(M286,_xll.ohTrigger(RecalcTrigger,YieldCurve))</f>
        <v>2.3959999999999999E-2</v>
      </c>
      <c r="Q286" s="204" t="str">
        <f t="shared" si="29"/>
        <v>11Y</v>
      </c>
      <c r="R286" s="204" t="str">
        <f>_xll.qlSwapIndex(,"Euribor",Q286,NDays,Currency,Calendar,"1Y","mf","30/360 (Bond Basis)",IborIndex,Discounting,,_xll.ohTrigger(Trigger,RecalcTrigger))</f>
        <v>obj_00960#0000</v>
      </c>
      <c r="S286" s="204" t="str">
        <f>_xll.qlVanillaSwapFromSwapIndex(,R286,O286)</f>
        <v>obj_00ab0#0000</v>
      </c>
      <c r="T286" s="191">
        <f>_xll.qlVanillaSwapFairRate(S286)</f>
        <v>2.3971154941607582E-2</v>
      </c>
      <c r="U286" s="300">
        <f t="shared" si="28"/>
        <v>1.1154941607582902E-5</v>
      </c>
      <c r="X286" s="186" t="str">
        <f t="shared" si="30"/>
        <v>1D</v>
      </c>
      <c r="Y286" s="174">
        <f>_xll.qlCalendarAdvance(Calendar,Y285,X286,"f",FALSE)</f>
        <v>42325</v>
      </c>
      <c r="Z286" s="198">
        <f>_xll.qlCalendarAdvance(Calendar,Y286,NDays&amp;"D")</f>
        <v>42327</v>
      </c>
      <c r="AA286" s="173">
        <v>2.3925607456554998E-3</v>
      </c>
      <c r="AB286" s="182">
        <v>2.00220946526386E-3</v>
      </c>
    </row>
    <row r="287" spans="13:28" x14ac:dyDescent="0.2">
      <c r="M287" s="303" t="str">
        <v>obj_00832#0000</v>
      </c>
      <c r="N287" s="186" t="str">
        <f>_xll.qlRateHelperQuoteName(M287)</f>
        <v>EUR12F12Y_Quote</v>
      </c>
      <c r="O287" s="174">
        <f>_xll.qlInterestRateIndexFixingDate(R287,_xll.qlRateHelperEarliestDate(M287,Trigger),)</f>
        <v>46325</v>
      </c>
      <c r="P287" s="201">
        <f>_xll.qlRateHelperQuoteValue(M287,_xll.ohTrigger(RecalcTrigger,YieldCurve))</f>
        <v>2.3789999999999999E-2</v>
      </c>
      <c r="Q287" s="204" t="str">
        <f t="shared" si="29"/>
        <v>12Y</v>
      </c>
      <c r="R287" s="204" t="str">
        <f>_xll.qlSwapIndex(,"Euribor",Q287,NDays,Currency,Calendar,"1Y","mf","30/360 (Bond Basis)",IborIndex,Discounting,,_xll.ohTrigger(Trigger,RecalcTrigger))</f>
        <v>obj_009a1#0000</v>
      </c>
      <c r="S287" s="204" t="str">
        <f>_xll.qlVanillaSwapFromSwapIndex(,R287,O287)</f>
        <v>obj_00b4c#0000</v>
      </c>
      <c r="T287" s="191">
        <f>_xll.qlVanillaSwapFairRate(S287)</f>
        <v>2.379944850950989E-2</v>
      </c>
      <c r="U287" s="300">
        <f t="shared" si="28"/>
        <v>9.4485095098913174E-6</v>
      </c>
      <c r="X287" s="186" t="str">
        <f t="shared" si="30"/>
        <v>1D</v>
      </c>
      <c r="Y287" s="174">
        <f>_xll.qlCalendarAdvance(Calendar,Y286,X287,"f",FALSE)</f>
        <v>42326</v>
      </c>
      <c r="Z287" s="198">
        <f>_xll.qlCalendarAdvance(Calendar,Y287,NDays&amp;"D")</f>
        <v>42328</v>
      </c>
      <c r="AA287" s="173">
        <v>2.3952088605046599E-3</v>
      </c>
      <c r="AB287" s="182">
        <v>2.0117874661362833E-3</v>
      </c>
    </row>
    <row r="288" spans="13:28" x14ac:dyDescent="0.2">
      <c r="M288" s="303" t="str">
        <v>obj_00805#0000</v>
      </c>
      <c r="N288" s="186" t="str">
        <f>_xll.qlRateHelperQuoteName(M288)</f>
        <v>EUR12F13Y_Quote</v>
      </c>
      <c r="O288" s="174">
        <f>_xll.qlInterestRateIndexFixingDate(R288,_xll.qlRateHelperEarliestDate(M288,Trigger),)</f>
        <v>46325</v>
      </c>
      <c r="P288" s="201">
        <f>_xll.qlRateHelperQuoteValue(M288,_xll.ohTrigger(RecalcTrigger,YieldCurve))</f>
        <v>2.3620000000000002E-2</v>
      </c>
      <c r="Q288" s="204" t="str">
        <f t="shared" si="29"/>
        <v>13Y</v>
      </c>
      <c r="R288" s="204" t="str">
        <f>_xll.qlSwapIndex(,"Euribor",Q288,NDays,Currency,Calendar,"1Y","mf","30/360 (Bond Basis)",IborIndex,Discounting,,_xll.ohTrigger(Trigger,RecalcTrigger))</f>
        <v>obj_008ff#0000</v>
      </c>
      <c r="S288" s="204" t="str">
        <f>_xll.qlVanillaSwapFromSwapIndex(,R288,O288)</f>
        <v>obj_00a59#0000</v>
      </c>
      <c r="T288" s="191">
        <f>_xll.qlVanillaSwapFairRate(S288)</f>
        <v>2.3627212127969512E-2</v>
      </c>
      <c r="U288" s="300">
        <f t="shared" si="28"/>
        <v>7.2121279695094853E-6</v>
      </c>
      <c r="X288" s="186" t="str">
        <f t="shared" si="30"/>
        <v>1D</v>
      </c>
      <c r="Y288" s="174">
        <f>_xll.qlCalendarAdvance(Calendar,Y287,X288,"f",FALSE)</f>
        <v>42327</v>
      </c>
      <c r="Z288" s="198">
        <f>_xll.qlCalendarAdvance(Calendar,Y288,NDays&amp;"D")</f>
        <v>42331</v>
      </c>
      <c r="AA288" s="173">
        <v>2.4031241188602242E-3</v>
      </c>
      <c r="AB288" s="182">
        <v>2.0242691906702248E-3</v>
      </c>
    </row>
    <row r="289" spans="13:28" x14ac:dyDescent="0.2">
      <c r="M289" s="303" t="str">
        <v>obj_007be#0000</v>
      </c>
      <c r="N289" s="186" t="str">
        <f>_xll.qlRateHelperQuoteName(M289)</f>
        <v>EUR12F14Y_Quote</v>
      </c>
      <c r="O289" s="174">
        <f>_xll.qlInterestRateIndexFixingDate(R289,_xll.qlRateHelperEarliestDate(M289,Trigger),)</f>
        <v>46325</v>
      </c>
      <c r="P289" s="201">
        <f>_xll.qlRateHelperQuoteValue(M289,_xll.ohTrigger(RecalcTrigger,YieldCurve))</f>
        <v>2.3450000000000002E-2</v>
      </c>
      <c r="Q289" s="204" t="str">
        <f t="shared" si="29"/>
        <v>14Y</v>
      </c>
      <c r="R289" s="204" t="str">
        <f>_xll.qlSwapIndex(,"Euribor",Q289,NDays,Currency,Calendar,"1Y","mf","30/360 (Bond Basis)",IborIndex,Discounting,,_xll.ohTrigger(Trigger,RecalcTrigger))</f>
        <v>obj_00984#0000</v>
      </c>
      <c r="S289" s="204" t="str">
        <f>_xll.qlVanillaSwapFromSwapIndex(,R289,O289)</f>
        <v>obj_00b18#0000</v>
      </c>
      <c r="T289" s="191">
        <f>_xll.qlVanillaSwapFairRate(S289)</f>
        <v>2.3460637321076176E-2</v>
      </c>
      <c r="U289" s="300">
        <f t="shared" si="28"/>
        <v>1.0637321076173434E-5</v>
      </c>
      <c r="X289" s="186" t="str">
        <f t="shared" si="30"/>
        <v>1D</v>
      </c>
      <c r="Y289" s="174">
        <f>_xll.qlCalendarAdvance(Calendar,Y288,X289,"f",FALSE)</f>
        <v>42328</v>
      </c>
      <c r="Z289" s="198">
        <f>_xll.qlCalendarAdvance(Calendar,Y289,NDays&amp;"D")</f>
        <v>42332</v>
      </c>
      <c r="AA289" s="173">
        <v>2.4057511175012616E-3</v>
      </c>
      <c r="AB289" s="182">
        <v>2.0319787784384147E-3</v>
      </c>
    </row>
    <row r="290" spans="13:28" x14ac:dyDescent="0.2">
      <c r="M290" s="303" t="str">
        <v>obj_00883#0000</v>
      </c>
      <c r="N290" s="186" t="str">
        <f>_xll.qlRateHelperQuoteName(M290)</f>
        <v>EUR12F15Y_Quote</v>
      </c>
      <c r="O290" s="174">
        <f>_xll.qlInterestRateIndexFixingDate(R290,_xll.qlRateHelperEarliestDate(M290,Trigger),)</f>
        <v>46325</v>
      </c>
      <c r="P290" s="201">
        <f>_xll.qlRateHelperQuoteValue(M290,_xll.ohTrigger(RecalcTrigger,YieldCurve))</f>
        <v>2.3290000000000002E-2</v>
      </c>
      <c r="Q290" s="204" t="str">
        <f t="shared" si="29"/>
        <v>15Y</v>
      </c>
      <c r="R290" s="204" t="str">
        <f>_xll.qlSwapIndex(,"Euribor",Q290,NDays,Currency,Calendar,"1Y","mf","30/360 (Bond Basis)",IborIndex,Discounting,,_xll.ohTrigger(Trigger,RecalcTrigger))</f>
        <v>obj_00a07#0000</v>
      </c>
      <c r="S290" s="204" t="str">
        <f>_xll.qlVanillaSwapFromSwapIndex(,R290,O290)</f>
        <v>obj_00af0#0000</v>
      </c>
      <c r="T290" s="191">
        <f>_xll.qlVanillaSwapFairRate(S290)</f>
        <v>2.3299331205302923E-2</v>
      </c>
      <c r="U290" s="300">
        <f t="shared" si="28"/>
        <v>9.3312053029218078E-6</v>
      </c>
      <c r="X290" s="186" t="str">
        <f t="shared" si="30"/>
        <v>1D</v>
      </c>
      <c r="Y290" s="174">
        <f>_xll.qlCalendarAdvance(Calendar,Y289,X290,"f",FALSE)</f>
        <v>42331</v>
      </c>
      <c r="Z290" s="198">
        <f>_xll.qlCalendarAdvance(Calendar,Y290,NDays&amp;"D")</f>
        <v>42333</v>
      </c>
      <c r="AA290" s="173">
        <v>2.4083715430231072E-3</v>
      </c>
      <c r="AB290" s="182">
        <v>2.0405662287892312E-3</v>
      </c>
    </row>
    <row r="291" spans="13:28" x14ac:dyDescent="0.2">
      <c r="M291" s="303" t="str">
        <v>obj_00872#0000</v>
      </c>
      <c r="N291" s="186" t="str">
        <f>_xll.qlRateHelperQuoteName(M291)</f>
        <v>EUR12F20Y_Quote</v>
      </c>
      <c r="O291" s="174">
        <f>_xll.qlInterestRateIndexFixingDate(R291,_xll.qlRateHelperEarliestDate(M291,Trigger),)</f>
        <v>46325</v>
      </c>
      <c r="P291" s="201">
        <f>_xll.qlRateHelperQuoteValue(M291,_xll.ohTrigger(RecalcTrigger,YieldCurve))</f>
        <v>2.2700000000000001E-2</v>
      </c>
      <c r="Q291" s="204" t="str">
        <f t="shared" si="29"/>
        <v>20Y</v>
      </c>
      <c r="R291" s="204" t="str">
        <f>_xll.qlSwapIndex(,"Euribor",Q291,NDays,Currency,Calendar,"1Y","mf","30/360 (Bond Basis)",IborIndex,Discounting,,_xll.ohTrigger(Trigger,RecalcTrigger))</f>
        <v>obj_009d3#0000</v>
      </c>
      <c r="S291" s="204" t="str">
        <f>_xll.qlVanillaSwapFromSwapIndex(,R291,O291)</f>
        <v>obj_00a3b#0000</v>
      </c>
      <c r="T291" s="191">
        <f>_xll.qlVanillaSwapFairRate(S291)</f>
        <v>2.2708566479724499E-2</v>
      </c>
      <c r="U291" s="300">
        <f t="shared" si="28"/>
        <v>8.5664797244977553E-6</v>
      </c>
      <c r="X291" s="186" t="str">
        <f t="shared" si="30"/>
        <v>1D</v>
      </c>
      <c r="Y291" s="174">
        <f>_xll.qlCalendarAdvance(Calendar,Y290,X291,"f",FALSE)</f>
        <v>42332</v>
      </c>
      <c r="Z291" s="198">
        <f>_xll.qlCalendarAdvance(Calendar,Y291,NDays&amp;"D")</f>
        <v>42334</v>
      </c>
      <c r="AA291" s="173">
        <v>2.4109848777945486E-3</v>
      </c>
      <c r="AB291" s="182">
        <v>2.0500315418825465E-3</v>
      </c>
    </row>
    <row r="292" spans="13:28" x14ac:dyDescent="0.2">
      <c r="M292" s="303" t="str">
        <v>obj_007bd#0000</v>
      </c>
      <c r="N292" s="186" t="str">
        <f>_xll.qlRateHelperQuoteName(M292)</f>
        <v>EUR12F25Y_Quote</v>
      </c>
      <c r="O292" s="174">
        <f>_xll.qlInterestRateIndexFixingDate(R292,_xll.qlRateHelperEarliestDate(M292,Trigger),)</f>
        <v>46325</v>
      </c>
      <c r="P292" s="201">
        <f>_xll.qlRateHelperQuoteValue(M292,_xll.ohTrigger(RecalcTrigger,YieldCurve))</f>
        <v>2.247E-2</v>
      </c>
      <c r="Q292" s="204" t="str">
        <f t="shared" si="29"/>
        <v>25Y</v>
      </c>
      <c r="R292" s="204" t="str">
        <f>_xll.qlSwapIndex(,"Euribor",Q292,NDays,Currency,Calendar,"1Y","mf","30/360 (Bond Basis)",IborIndex,Discounting,,_xll.ohTrigger(Trigger,RecalcTrigger))</f>
        <v>obj_00931#0000</v>
      </c>
      <c r="S292" s="204" t="str">
        <f>_xll.qlVanillaSwapFromSwapIndex(,R292,O292)</f>
        <v>obj_00b81#0000</v>
      </c>
      <c r="T292" s="191">
        <f>_xll.qlVanillaSwapFairRate(S292)</f>
        <v>2.2481269379575702E-2</v>
      </c>
      <c r="U292" s="300">
        <f t="shared" si="28"/>
        <v>1.1269379575701982E-5</v>
      </c>
      <c r="X292" s="186" t="str">
        <f t="shared" si="30"/>
        <v>1D</v>
      </c>
      <c r="Y292" s="174">
        <f>_xll.qlCalendarAdvance(Calendar,Y291,X292,"f",FALSE)</f>
        <v>42333</v>
      </c>
      <c r="Z292" s="198">
        <f>_xll.qlCalendarAdvance(Calendar,Y292,NDays&amp;"D")</f>
        <v>42335</v>
      </c>
      <c r="AA292" s="173">
        <v>2.4135906041795412E-3</v>
      </c>
      <c r="AB292" s="182">
        <v>2.0719003015656767E-3</v>
      </c>
    </row>
    <row r="293" spans="13:28" ht="12" thickBot="1" x14ac:dyDescent="0.25">
      <c r="M293" s="304" t="str">
        <v>obj_00866#0000</v>
      </c>
      <c r="N293" s="187" t="str">
        <f>_xll.qlRateHelperQuoteName(M293)</f>
        <v>EUR12F30Y_Quote</v>
      </c>
      <c r="O293" s="184">
        <f>_xll.qlInterestRateIndexFixingDate(R293,_xll.qlRateHelperEarliestDate(M293,Trigger),)</f>
        <v>46325</v>
      </c>
      <c r="P293" s="202">
        <f>_xll.qlRateHelperQuoteValue(M293,_xll.ohTrigger(RecalcTrigger,YieldCurve))</f>
        <v>2.2269999999999998E-2</v>
      </c>
      <c r="Q293" s="205" t="str">
        <f t="shared" si="29"/>
        <v>30Y</v>
      </c>
      <c r="R293" s="205" t="str">
        <f>_xll.qlSwapIndex(,"Euribor",Q293,NDays,Currency,Calendar,"1Y","mf","30/360 (Bond Basis)",IborIndex,Discounting,,_xll.ohTrigger(Trigger,RecalcTrigger))</f>
        <v>obj_00980#0000</v>
      </c>
      <c r="S293" s="205" t="str">
        <f>_xll.qlVanillaSwapFromSwapIndex(,R293,O293)</f>
        <v>obj_00ae5#0000</v>
      </c>
      <c r="T293" s="193">
        <f>_xll.qlVanillaSwapFairRate(S293)</f>
        <v>2.227486316805375E-2</v>
      </c>
      <c r="U293" s="301">
        <f t="shared" si="28"/>
        <v>4.8631680537522537E-6</v>
      </c>
      <c r="X293" s="186" t="str">
        <f t="shared" si="30"/>
        <v>1D</v>
      </c>
      <c r="Y293" s="174">
        <f>_xll.qlCalendarAdvance(Calendar,Y292,X293,"f",FALSE)</f>
        <v>42334</v>
      </c>
      <c r="Z293" s="198">
        <f>_xll.qlCalendarAdvance(Calendar,Y293,NDays&amp;"D")</f>
        <v>42338</v>
      </c>
      <c r="AA293" s="173">
        <v>2.4221528308567067E-3</v>
      </c>
      <c r="AB293" s="182">
        <v>2.0966714228798367E-3</v>
      </c>
    </row>
    <row r="294" spans="13:28" x14ac:dyDescent="0.2">
      <c r="M294" s="305" t="str">
        <v>obj_007f9#0000</v>
      </c>
      <c r="N294" s="289" t="str">
        <f>_xll.qlRateHelperQuoteName(M294)</f>
        <v>EUR13F1Y_Quote</v>
      </c>
      <c r="O294" s="286">
        <f>_xll.qlInterestRateIndexFixingDate(R294,_xll.qlRateHelperEarliestDate(M294,Trigger),)</f>
        <v>46692</v>
      </c>
      <c r="P294" s="287">
        <f>_xll.qlRateHelperQuoteValue(M294,_xll.ohTrigger(RecalcTrigger,YieldCurve))</f>
        <v>2.4649999999999998E-2</v>
      </c>
      <c r="Q294" s="285" t="str">
        <f t="shared" ref="Q294:Q311" si="31">SUBSTITUTE(SUBSTITUTE(N294,"_Quote",""),"EUR13F","")</f>
        <v>1Y</v>
      </c>
      <c r="R294" s="285" t="str">
        <f>_xll.qlSwapIndex(,"Euribor",Q294,NDays,Currency,Calendar,"1Y","mf","30/360 (Bond Basis)",IborIndex,Discounting,,_xll.ohTrigger(Trigger,RecalcTrigger))</f>
        <v>obj_009e2#0000</v>
      </c>
      <c r="S294" s="285" t="str">
        <f>_xll.qlVanillaSwapFromSwapIndex(,R294,O294)</f>
        <v>obj_00b96#0000</v>
      </c>
      <c r="T294" s="288">
        <f>_xll.qlVanillaSwapFairRate(S294)</f>
        <v>2.46377767947158E-2</v>
      </c>
      <c r="U294" s="302">
        <f t="shared" si="28"/>
        <v>-1.2223205284198069E-5</v>
      </c>
      <c r="X294" s="186" t="str">
        <f t="shared" si="30"/>
        <v>1D</v>
      </c>
      <c r="Y294" s="174">
        <f>_xll.qlCalendarAdvance(Calendar,Y293,X294,"f",FALSE)</f>
        <v>42335</v>
      </c>
      <c r="Z294" s="198">
        <f>_xll.qlCalendarAdvance(Calendar,Y294,NDays&amp;"D")</f>
        <v>42339</v>
      </c>
      <c r="AA294" s="173">
        <v>2.4247745781175258E-3</v>
      </c>
      <c r="AB294" s="182">
        <v>2.1105260506448786E-3</v>
      </c>
    </row>
    <row r="295" spans="13:28" x14ac:dyDescent="0.2">
      <c r="M295" s="303" t="str">
        <v>obj_0084a#0000</v>
      </c>
      <c r="N295" s="186" t="str">
        <f>_xll.qlRateHelperQuoteName(M295)</f>
        <v>EUR13F2Y_Quote</v>
      </c>
      <c r="O295" s="174">
        <f>_xll.qlInterestRateIndexFixingDate(R295,_xll.qlRateHelperEarliestDate(M295,Trigger),)</f>
        <v>46692</v>
      </c>
      <c r="P295" s="201">
        <f>_xll.qlRateHelperQuoteValue(M295,_xll.ohTrigger(RecalcTrigger,YieldCurve))</f>
        <v>2.4639999999999999E-2</v>
      </c>
      <c r="Q295" s="204" t="str">
        <f t="shared" si="31"/>
        <v>2Y</v>
      </c>
      <c r="R295" s="204" t="str">
        <f>_xll.qlSwapIndex(,"Euribor",Q295,NDays,Currency,Calendar,"1Y","mf","30/360 (Bond Basis)",IborIndex,Discounting,,_xll.ohTrigger(Trigger,RecalcTrigger))</f>
        <v>obj_00974#0000</v>
      </c>
      <c r="S295" s="204" t="str">
        <f>_xll.qlVanillaSwapFromSwapIndex(,R295,O295)</f>
        <v>obj_00b27#0000</v>
      </c>
      <c r="T295" s="191">
        <f>_xll.qlVanillaSwapFairRate(S295)</f>
        <v>2.4667347266214751E-2</v>
      </c>
      <c r="U295" s="300">
        <f t="shared" si="28"/>
        <v>2.7347266214752114E-5</v>
      </c>
      <c r="X295" s="186" t="str">
        <f t="shared" si="30"/>
        <v>1D</v>
      </c>
      <c r="Y295" s="174">
        <f>_xll.qlCalendarAdvance(Calendar,Y294,X295,"f",FALSE)</f>
        <v>42338</v>
      </c>
      <c r="Z295" s="198">
        <f>_xll.qlCalendarAdvance(Calendar,Y295,NDays&amp;"D")</f>
        <v>42340</v>
      </c>
      <c r="AA295" s="173">
        <v>2.4273904727685823E-3</v>
      </c>
      <c r="AB295" s="182">
        <v>2.1252585417119718E-3</v>
      </c>
    </row>
    <row r="296" spans="13:28" x14ac:dyDescent="0.2">
      <c r="M296" s="303" t="str">
        <v>obj_007e9#0000</v>
      </c>
      <c r="N296" s="186" t="str">
        <f>_xll.qlRateHelperQuoteName(M296)</f>
        <v>EUR13F3Y_Quote</v>
      </c>
      <c r="O296" s="174">
        <f>_xll.qlInterestRateIndexFixingDate(R296,_xll.qlRateHelperEarliestDate(M296,Trigger),)</f>
        <v>46692</v>
      </c>
      <c r="P296" s="201">
        <f>_xll.qlRateHelperQuoteValue(M296,_xll.ohTrigger(RecalcTrigger,YieldCurve))</f>
        <v>2.469E-2</v>
      </c>
      <c r="Q296" s="204" t="str">
        <f t="shared" si="31"/>
        <v>3Y</v>
      </c>
      <c r="R296" s="204" t="str">
        <f>_xll.qlSwapIndex(,"Euribor",Q296,NDays,Currency,Calendar,"1Y","mf","30/360 (Bond Basis)",IborIndex,Discounting,,_xll.ohTrigger(Trigger,RecalcTrigger))</f>
        <v>obj_009f9#0000</v>
      </c>
      <c r="S296" s="204" t="str">
        <f>_xll.qlVanillaSwapFromSwapIndex(,R296,O296)</f>
        <v>obj_00a36#0000</v>
      </c>
      <c r="T296" s="191">
        <f>_xll.qlVanillaSwapFairRate(S296)</f>
        <v>2.468631246810141E-2</v>
      </c>
      <c r="U296" s="300">
        <f t="shared" si="28"/>
        <v>-3.6875318985898908E-6</v>
      </c>
      <c r="X296" s="186" t="str">
        <f t="shared" si="30"/>
        <v>1D</v>
      </c>
      <c r="Y296" s="174">
        <f>_xll.qlCalendarAdvance(Calendar,Y295,X296,"f",FALSE)</f>
        <v>42339</v>
      </c>
      <c r="Z296" s="198">
        <f>_xll.qlCalendarAdvance(Calendar,Y296,NDays&amp;"D")</f>
        <v>42341</v>
      </c>
      <c r="AA296" s="173">
        <v>2.4299999999998234E-3</v>
      </c>
      <c r="AB296" s="182">
        <v>2.1406235381071781E-3</v>
      </c>
    </row>
    <row r="297" spans="13:28" x14ac:dyDescent="0.2">
      <c r="M297" s="303" t="str">
        <v>obj_0078f#0000</v>
      </c>
      <c r="N297" s="186" t="str">
        <f>_xll.qlRateHelperQuoteName(M297)</f>
        <v>EUR13F4Y_Quote</v>
      </c>
      <c r="O297" s="174">
        <f>_xll.qlInterestRateIndexFixingDate(R297,_xll.qlRateHelperEarliestDate(M297,Trigger),)</f>
        <v>46692</v>
      </c>
      <c r="P297" s="201">
        <f>_xll.qlRateHelperQuoteValue(M297,_xll.ohTrigger(RecalcTrigger,YieldCurve))</f>
        <v>2.469E-2</v>
      </c>
      <c r="Q297" s="204" t="str">
        <f t="shared" si="31"/>
        <v>4Y</v>
      </c>
      <c r="R297" s="204" t="str">
        <f>_xll.qlSwapIndex(,"Euribor",Q297,NDays,Currency,Calendar,"1Y","mf","30/360 (Bond Basis)",IborIndex,Discounting,,_xll.ohTrigger(Trigger,RecalcTrigger))</f>
        <v>obj_00966#0000</v>
      </c>
      <c r="S297" s="204" t="str">
        <f>_xll.qlVanillaSwapFromSwapIndex(,R297,O297)</f>
        <v>obj_00b66#0000</v>
      </c>
      <c r="T297" s="191">
        <f>_xll.qlVanillaSwapFairRate(S297)</f>
        <v>2.4674486218033219E-2</v>
      </c>
      <c r="U297" s="300">
        <f t="shared" si="28"/>
        <v>-1.5513781966781243E-5</v>
      </c>
      <c r="X297" s="186" t="str">
        <f t="shared" si="30"/>
        <v>1D</v>
      </c>
      <c r="Y297" s="174">
        <f>_xll.qlCalendarAdvance(Calendar,Y296,X297,"f",FALSE)</f>
        <v>42340</v>
      </c>
      <c r="Z297" s="198">
        <f>_xll.qlCalendarAdvance(Calendar,Y297,NDays&amp;"D")</f>
        <v>42342</v>
      </c>
      <c r="AA297" s="173">
        <v>2.4348456858573658E-3</v>
      </c>
      <c r="AB297" s="182">
        <v>2.1698763777777685E-3</v>
      </c>
    </row>
    <row r="298" spans="13:28" x14ac:dyDescent="0.2">
      <c r="M298" s="303" t="str">
        <v>obj_00876#0000</v>
      </c>
      <c r="N298" s="186" t="str">
        <f>_xll.qlRateHelperQuoteName(M298)</f>
        <v>EUR13F5Y_Quote</v>
      </c>
      <c r="O298" s="174">
        <f>_xll.qlInterestRateIndexFixingDate(R298,_xll.qlRateHelperEarliestDate(M298,Trigger),)</f>
        <v>46692</v>
      </c>
      <c r="P298" s="201">
        <f>_xll.qlRateHelperQuoteValue(M298,_xll.ohTrigger(RecalcTrigger,YieldCurve))</f>
        <v>2.4620000000000003E-2</v>
      </c>
      <c r="Q298" s="204" t="str">
        <f t="shared" si="31"/>
        <v>5Y</v>
      </c>
      <c r="R298" s="204" t="str">
        <f>_xll.qlSwapIndex(,"Euribor",Q298,NDays,Currency,Calendar,"1Y","mf","30/360 (Bond Basis)",IborIndex,Discounting,,_xll.ohTrigger(Trigger,RecalcTrigger))</f>
        <v>obj_00a25#0000</v>
      </c>
      <c r="S298" s="204" t="str">
        <f>_xll.qlVanillaSwapFromSwapIndex(,R298,O298)</f>
        <v>obj_00b02#0000</v>
      </c>
      <c r="T298" s="191">
        <f>_xll.qlVanillaSwapFairRate(S298)</f>
        <v>2.4640203693682736E-2</v>
      </c>
      <c r="U298" s="300">
        <f t="shared" si="28"/>
        <v>2.0203693682732671E-5</v>
      </c>
      <c r="X298" s="186" t="str">
        <f t="shared" si="30"/>
        <v>1D</v>
      </c>
      <c r="Y298" s="174">
        <f>_xll.qlCalendarAdvance(Calendar,Y297,X298,"f",FALSE)</f>
        <v>42341</v>
      </c>
      <c r="Z298" s="198">
        <f>_xll.qlCalendarAdvance(Calendar,Y298,NDays&amp;"D")</f>
        <v>42345</v>
      </c>
      <c r="AA298" s="173">
        <v>2.4403729529602286E-3</v>
      </c>
      <c r="AB298" s="182">
        <v>2.1971221127259355E-3</v>
      </c>
    </row>
    <row r="299" spans="13:28" x14ac:dyDescent="0.2">
      <c r="M299" s="303" t="str">
        <v>obj_00825#0000</v>
      </c>
      <c r="N299" s="186" t="str">
        <f>_xll.qlRateHelperQuoteName(M299)</f>
        <v>EUR13F6Y_Quote</v>
      </c>
      <c r="O299" s="174">
        <f>_xll.qlInterestRateIndexFixingDate(R299,_xll.qlRateHelperEarliestDate(M299,Trigger),)</f>
        <v>46692</v>
      </c>
      <c r="P299" s="201">
        <f>_xll.qlRateHelperQuoteValue(M299,_xll.ohTrigger(RecalcTrigger,YieldCurve))</f>
        <v>2.4540000000000003E-2</v>
      </c>
      <c r="Q299" s="204" t="str">
        <f t="shared" si="31"/>
        <v>6Y</v>
      </c>
      <c r="R299" s="204" t="str">
        <f>_xll.qlSwapIndex(,"Euribor",Q299,NDays,Currency,Calendar,"1Y","mf","30/360 (Bond Basis)",IborIndex,Discounting,,_xll.ohTrigger(Trigger,RecalcTrigger))</f>
        <v>obj_00942#0000</v>
      </c>
      <c r="S299" s="204" t="str">
        <f>_xll.qlVanillaSwapFromSwapIndex(,R299,O299)</f>
        <v>obj_00afc#0000</v>
      </c>
      <c r="T299" s="191">
        <f>_xll.qlVanillaSwapFairRate(S299)</f>
        <v>2.4554599869057146E-2</v>
      </c>
      <c r="U299" s="300">
        <f t="shared" si="28"/>
        <v>1.4599869057142778E-5</v>
      </c>
      <c r="X299" s="186" t="str">
        <f t="shared" si="30"/>
        <v>1D</v>
      </c>
      <c r="Y299" s="174">
        <f>_xll.qlCalendarAdvance(Calendar,Y298,X299,"f",FALSE)</f>
        <v>42342</v>
      </c>
      <c r="Z299" s="198">
        <f>_xll.qlCalendarAdvance(Calendar,Y299,NDays&amp;"D")</f>
        <v>42346</v>
      </c>
      <c r="AA299" s="173">
        <v>2.4429513222134136E-3</v>
      </c>
      <c r="AB299" s="182">
        <v>2.2097610453464256E-3</v>
      </c>
    </row>
    <row r="300" spans="13:28" x14ac:dyDescent="0.2">
      <c r="M300" s="303" t="str">
        <v>obj_0081f#0000</v>
      </c>
      <c r="N300" s="186" t="str">
        <f>_xll.qlRateHelperQuoteName(M300)</f>
        <v>EUR13F7Y_Quote</v>
      </c>
      <c r="O300" s="174">
        <f>_xll.qlInterestRateIndexFixingDate(R300,_xll.qlRateHelperEarliestDate(M300,Trigger),)</f>
        <v>46692</v>
      </c>
      <c r="P300" s="201">
        <f>_xll.qlRateHelperQuoteValue(M300,_xll.ohTrigger(RecalcTrigger,YieldCurve))</f>
        <v>2.4409999999999998E-2</v>
      </c>
      <c r="Q300" s="204" t="str">
        <f t="shared" si="31"/>
        <v>7Y</v>
      </c>
      <c r="R300" s="204" t="str">
        <f>_xll.qlSwapIndex(,"Euribor",Q300,NDays,Currency,Calendar,"1Y","mf","30/360 (Bond Basis)",IborIndex,Discounting,,_xll.ohTrigger(Trigger,RecalcTrigger))</f>
        <v>obj_0093d#0000</v>
      </c>
      <c r="S300" s="204" t="str">
        <f>_xll.qlVanillaSwapFromSwapIndex(,R300,O300)</f>
        <v>obj_00ae7#0000</v>
      </c>
      <c r="T300" s="191">
        <f>_xll.qlVanillaSwapFairRate(S300)</f>
        <v>2.4433222637450895E-2</v>
      </c>
      <c r="U300" s="300">
        <f t="shared" si="28"/>
        <v>2.3222637450897449E-5</v>
      </c>
      <c r="X300" s="186" t="str">
        <f t="shared" si="30"/>
        <v>1D</v>
      </c>
      <c r="Y300" s="174">
        <f>_xll.qlCalendarAdvance(Calendar,Y299,X300,"f",FALSE)</f>
        <v>42345</v>
      </c>
      <c r="Z300" s="198">
        <f>_xll.qlCalendarAdvance(Calendar,Y300,NDays&amp;"D")</f>
        <v>42347</v>
      </c>
      <c r="AA300" s="173">
        <v>2.4455243669694719E-3</v>
      </c>
      <c r="AB300" s="182">
        <v>2.2218056933454022E-3</v>
      </c>
    </row>
    <row r="301" spans="13:28" x14ac:dyDescent="0.2">
      <c r="M301" s="303" t="str">
        <v>obj_007ef#0000</v>
      </c>
      <c r="N301" s="186" t="str">
        <f>_xll.qlRateHelperQuoteName(M301)</f>
        <v>EUR13F8Y_Quote</v>
      </c>
      <c r="O301" s="174">
        <f>_xll.qlInterestRateIndexFixingDate(R301,_xll.qlRateHelperEarliestDate(M301,Trigger),)</f>
        <v>46692</v>
      </c>
      <c r="P301" s="201">
        <f>_xll.qlRateHelperQuoteValue(M301,_xll.ohTrigger(RecalcTrigger,YieldCurve))</f>
        <v>2.427E-2</v>
      </c>
      <c r="Q301" s="204" t="str">
        <f t="shared" si="31"/>
        <v>8Y</v>
      </c>
      <c r="R301" s="204" t="str">
        <f>_xll.qlSwapIndex(,"Euribor",Q301,NDays,Currency,Calendar,"1Y","mf","30/360 (Bond Basis)",IborIndex,Discounting,,_xll.ohTrigger(Trigger,RecalcTrigger))</f>
        <v>obj_00a0a#0000</v>
      </c>
      <c r="S301" s="204" t="str">
        <f>_xll.qlVanillaSwapFromSwapIndex(,R301,O301)</f>
        <v>obj_00acb#0000</v>
      </c>
      <c r="T301" s="191">
        <f>_xll.qlVanillaSwapFairRate(S301)</f>
        <v>2.4278320395974294E-2</v>
      </c>
      <c r="U301" s="300">
        <f t="shared" si="28"/>
        <v>8.3203959742941813E-6</v>
      </c>
      <c r="X301" s="186" t="str">
        <f t="shared" si="30"/>
        <v>1D</v>
      </c>
      <c r="Y301" s="174">
        <f>_xll.qlCalendarAdvance(Calendar,Y300,X301,"f",FALSE)</f>
        <v>42346</v>
      </c>
      <c r="Z301" s="198">
        <f>_xll.qlCalendarAdvance(Calendar,Y301,NDays&amp;"D")</f>
        <v>42348</v>
      </c>
      <c r="AA301" s="173">
        <v>2.4480923987807162E-3</v>
      </c>
      <c r="AB301" s="182">
        <v>2.2332560568827375E-3</v>
      </c>
    </row>
    <row r="302" spans="13:28" x14ac:dyDescent="0.2">
      <c r="M302" s="303" t="str">
        <v>obj_0079f#0000</v>
      </c>
      <c r="N302" s="186" t="str">
        <f>_xll.qlRateHelperQuoteName(M302)</f>
        <v>EUR13F9Y_Quote</v>
      </c>
      <c r="O302" s="174">
        <f>_xll.qlInterestRateIndexFixingDate(R302,_xll.qlRateHelperEarliestDate(M302,Trigger),)</f>
        <v>46692</v>
      </c>
      <c r="P302" s="201">
        <f>_xll.qlRateHelperQuoteValue(M302,_xll.ohTrigger(RecalcTrigger,YieldCurve))</f>
        <v>2.4089999999999997E-2</v>
      </c>
      <c r="Q302" s="204" t="str">
        <f t="shared" si="31"/>
        <v>9Y</v>
      </c>
      <c r="R302" s="204" t="str">
        <f>_xll.qlSwapIndex(,"Euribor",Q302,NDays,Currency,Calendar,"1Y","mf","30/360 (Bond Basis)",IborIndex,Discounting,,_xll.ohTrigger(Trigger,RecalcTrigger))</f>
        <v>obj_00972#0000</v>
      </c>
      <c r="S302" s="204" t="str">
        <f>_xll.qlVanillaSwapFromSwapIndex(,R302,O302)</f>
        <v>obj_00aaf#0000</v>
      </c>
      <c r="T302" s="191">
        <f>_xll.qlVanillaSwapFairRate(S302)</f>
        <v>2.4112087865356138E-2</v>
      </c>
      <c r="U302" s="300">
        <f t="shared" si="28"/>
        <v>2.2087865356141406E-5</v>
      </c>
      <c r="X302" s="186" t="str">
        <f t="shared" si="30"/>
        <v>1D</v>
      </c>
      <c r="Y302" s="174">
        <f>_xll.qlCalendarAdvance(Calendar,Y301,X302,"f",FALSE)</f>
        <v>42347</v>
      </c>
      <c r="Z302" s="198">
        <f>_xll.qlCalendarAdvance(Calendar,Y302,NDays&amp;"D")</f>
        <v>42349</v>
      </c>
      <c r="AA302" s="173">
        <v>2.4535672442741975E-3</v>
      </c>
      <c r="AB302" s="182">
        <v>2.2541899494754603E-3</v>
      </c>
    </row>
    <row r="303" spans="13:28" x14ac:dyDescent="0.2">
      <c r="M303" s="303" t="str">
        <v>obj_0079c#0000</v>
      </c>
      <c r="N303" s="186" t="str">
        <f>_xll.qlRateHelperQuoteName(M303)</f>
        <v>EUR13F10Y_Quote</v>
      </c>
      <c r="O303" s="174">
        <f>_xll.qlInterestRateIndexFixingDate(R303,_xll.qlRateHelperEarliestDate(M303,Trigger),)</f>
        <v>46692</v>
      </c>
      <c r="P303" s="201">
        <f>_xll.qlRateHelperQuoteValue(M303,_xll.ohTrigger(RecalcTrigger,YieldCurve))</f>
        <v>2.3910000000000001E-2</v>
      </c>
      <c r="Q303" s="204" t="str">
        <f t="shared" si="31"/>
        <v>10Y</v>
      </c>
      <c r="R303" s="204" t="str">
        <f>_xll.qlSwapIndex(,"Euribor",Q303,NDays,Currency,Calendar,"1Y","mf","30/360 (Bond Basis)",IborIndex,Discounting,,_xll.ohTrigger(Trigger,RecalcTrigger))</f>
        <v>obj_009fb#0000</v>
      </c>
      <c r="S303" s="204" t="str">
        <f>_xll.qlVanillaSwapFromSwapIndex(,R303,O303)</f>
        <v>obj_00acd#0000</v>
      </c>
      <c r="T303" s="191">
        <f>_xll.qlVanillaSwapFairRate(S303)</f>
        <v>2.3928686956058712E-2</v>
      </c>
      <c r="U303" s="300">
        <f t="shared" si="28"/>
        <v>1.8686956058711762E-5</v>
      </c>
      <c r="X303" s="186" t="str">
        <f t="shared" si="30"/>
        <v>1D</v>
      </c>
      <c r="Y303" s="174">
        <f>_xll.qlCalendarAdvance(Calendar,Y302,X303,"f",FALSE)</f>
        <v>42348</v>
      </c>
      <c r="Z303" s="198">
        <f>_xll.qlCalendarAdvance(Calendar,Y303,NDays&amp;"D")</f>
        <v>42352</v>
      </c>
      <c r="AA303" s="173">
        <v>2.4583206276701428E-3</v>
      </c>
      <c r="AB303" s="182">
        <v>2.2731146635379673E-3</v>
      </c>
    </row>
    <row r="304" spans="13:28" x14ac:dyDescent="0.2">
      <c r="M304" s="303" t="str">
        <v>obj_00772#0000</v>
      </c>
      <c r="N304" s="186" t="str">
        <f>_xll.qlRateHelperQuoteName(M304)</f>
        <v>EUR13F11Y_Quote</v>
      </c>
      <c r="O304" s="174">
        <f>_xll.qlInterestRateIndexFixingDate(R304,_xll.qlRateHelperEarliestDate(M304,Trigger),)</f>
        <v>46692</v>
      </c>
      <c r="P304" s="201">
        <f>_xll.qlRateHelperQuoteValue(M304,_xll.ohTrigger(RecalcTrigger,YieldCurve))</f>
        <v>2.3719999999999998E-2</v>
      </c>
      <c r="Q304" s="204" t="str">
        <f t="shared" si="31"/>
        <v>11Y</v>
      </c>
      <c r="R304" s="204" t="str">
        <f>_xll.qlSwapIndex(,"Euribor",Q304,NDays,Currency,Calendar,"1Y","mf","30/360 (Bond Basis)",IborIndex,Discounting,,_xll.ohTrigger(Trigger,RecalcTrigger))</f>
        <v>obj_009e0#0000</v>
      </c>
      <c r="S304" s="204" t="str">
        <f>_xll.qlVanillaSwapFromSwapIndex(,R304,O304)</f>
        <v>obj_00af5#0000</v>
      </c>
      <c r="T304" s="191">
        <f>_xll.qlVanillaSwapFairRate(S304)</f>
        <v>2.3742587043814479E-2</v>
      </c>
      <c r="U304" s="300">
        <f t="shared" si="28"/>
        <v>2.2587043814480817E-5</v>
      </c>
      <c r="X304" s="186" t="str">
        <f t="shared" si="30"/>
        <v>1D</v>
      </c>
      <c r="Y304" s="174">
        <f>_xll.qlCalendarAdvance(Calendar,Y303,X304,"f",FALSE)</f>
        <v>42349</v>
      </c>
      <c r="Z304" s="198">
        <f>_xll.qlCalendarAdvance(Calendar,Y304,NDays&amp;"D")</f>
        <v>42353</v>
      </c>
      <c r="AA304" s="173">
        <v>2.4608682680922638E-3</v>
      </c>
      <c r="AB304" s="182">
        <v>2.2815936030884387E-3</v>
      </c>
    </row>
    <row r="305" spans="13:28" x14ac:dyDescent="0.2">
      <c r="M305" s="303" t="str">
        <v>obj_00795#0000</v>
      </c>
      <c r="N305" s="186" t="str">
        <f>_xll.qlRateHelperQuoteName(M305)</f>
        <v>EUR13F12Y_Quote</v>
      </c>
      <c r="O305" s="174">
        <f>_xll.qlInterestRateIndexFixingDate(R305,_xll.qlRateHelperEarliestDate(M305,Trigger),)</f>
        <v>46692</v>
      </c>
      <c r="P305" s="201">
        <f>_xll.qlRateHelperQuoteValue(M305,_xll.ohTrigger(RecalcTrigger,YieldCurve))</f>
        <v>2.3540000000000002E-2</v>
      </c>
      <c r="Q305" s="204" t="str">
        <f t="shared" si="31"/>
        <v>12Y</v>
      </c>
      <c r="R305" s="204" t="str">
        <f>_xll.qlSwapIndex(,"Euribor",Q305,NDays,Currency,Calendar,"1Y","mf","30/360 (Bond Basis)",IborIndex,Discounting,,_xll.ohTrigger(Trigger,RecalcTrigger))</f>
        <v>obj_00977#0000</v>
      </c>
      <c r="S305" s="204" t="str">
        <f>_xll.qlVanillaSwapFromSwapIndex(,R305,O305)</f>
        <v>obj_00afd#0000</v>
      </c>
      <c r="T305" s="191">
        <f>_xll.qlVanillaSwapFairRate(S305)</f>
        <v>2.3557966683109516E-2</v>
      </c>
      <c r="U305" s="300">
        <f t="shared" si="28"/>
        <v>1.7966683109514603E-5</v>
      </c>
      <c r="X305" s="186" t="str">
        <f t="shared" si="30"/>
        <v>1D</v>
      </c>
      <c r="Y305" s="174">
        <f>_xll.qlCalendarAdvance(Calendar,Y304,X305,"f",FALSE)</f>
        <v>42352</v>
      </c>
      <c r="Z305" s="198">
        <f>_xll.qlCalendarAdvance(Calendar,Y305,NDays&amp;"D")</f>
        <v>42354</v>
      </c>
      <c r="AA305" s="173">
        <v>2.4634127649153423E-3</v>
      </c>
      <c r="AB305" s="182">
        <v>2.2894782578575246E-3</v>
      </c>
    </row>
    <row r="306" spans="13:28" x14ac:dyDescent="0.2">
      <c r="M306" s="303" t="str">
        <v>obj_007d5#0000</v>
      </c>
      <c r="N306" s="186" t="str">
        <f>_xll.qlRateHelperQuoteName(M306)</f>
        <v>EUR13F13Y_Quote</v>
      </c>
      <c r="O306" s="174">
        <f>_xll.qlInterestRateIndexFixingDate(R306,_xll.qlRateHelperEarliestDate(M306,Trigger),)</f>
        <v>46692</v>
      </c>
      <c r="P306" s="201">
        <f>_xll.qlRateHelperQuoteValue(M306,_xll.ohTrigger(RecalcTrigger,YieldCurve))</f>
        <v>2.3359999999999999E-2</v>
      </c>
      <c r="Q306" s="204" t="str">
        <f t="shared" si="31"/>
        <v>13Y</v>
      </c>
      <c r="R306" s="204" t="str">
        <f>_xll.qlSwapIndex(,"Euribor",Q306,NDays,Currency,Calendar,"1Y","mf","30/360 (Bond Basis)",IborIndex,Discounting,,_xll.ohTrigger(Trigger,RecalcTrigger))</f>
        <v>obj_009b5#0000</v>
      </c>
      <c r="S306" s="204" t="str">
        <f>_xll.qlVanillaSwapFromSwapIndex(,R306,O306)</f>
        <v>obj_00a98#0000</v>
      </c>
      <c r="T306" s="191">
        <f>_xll.qlVanillaSwapFairRate(S306)</f>
        <v>2.338113934000139E-2</v>
      </c>
      <c r="U306" s="300">
        <f t="shared" si="28"/>
        <v>2.1139340001391504E-5</v>
      </c>
      <c r="X306" s="186" t="str">
        <f t="shared" si="30"/>
        <v>1D</v>
      </c>
      <c r="Y306" s="174">
        <f>_xll.qlCalendarAdvance(Calendar,Y305,X306,"f",FALSE)</f>
        <v>42353</v>
      </c>
      <c r="Z306" s="198">
        <f>_xll.qlCalendarAdvance(Calendar,Y306,NDays&amp;"D")</f>
        <v>42355</v>
      </c>
      <c r="AA306" s="173">
        <v>2.4659544297026131E-3</v>
      </c>
      <c r="AB306" s="182">
        <v>2.2967686276054167E-3</v>
      </c>
    </row>
    <row r="307" spans="13:28" x14ac:dyDescent="0.2">
      <c r="M307" s="303" t="str">
        <v>obj_00837#0000</v>
      </c>
      <c r="N307" s="186" t="str">
        <f>_xll.qlRateHelperQuoteName(M307)</f>
        <v>EUR13F14Y_Quote</v>
      </c>
      <c r="O307" s="174">
        <f>_xll.qlInterestRateIndexFixingDate(R307,_xll.qlRateHelperEarliestDate(M307,Trigger),)</f>
        <v>46692</v>
      </c>
      <c r="P307" s="201">
        <f>_xll.qlRateHelperQuoteValue(M307,_xll.ohTrigger(RecalcTrigger,YieldCurve))</f>
        <v>2.3199999999999998E-2</v>
      </c>
      <c r="Q307" s="204" t="str">
        <f t="shared" si="31"/>
        <v>14Y</v>
      </c>
      <c r="R307" s="204" t="str">
        <f>_xll.qlSwapIndex(,"Euribor",Q307,NDays,Currency,Calendar,"1Y","mf","30/360 (Bond Basis)",IborIndex,Discounting,,_xll.ohTrigger(Trigger,RecalcTrigger))</f>
        <v>obj_00a29#0000</v>
      </c>
      <c r="S307" s="204" t="str">
        <f>_xll.qlVanillaSwapFromSwapIndex(,R307,O307)</f>
        <v>obj_00ac9#0000</v>
      </c>
      <c r="T307" s="191">
        <f>_xll.qlVanillaSwapFairRate(S307)</f>
        <v>2.3211171814881922E-2</v>
      </c>
      <c r="U307" s="300">
        <f t="shared" si="28"/>
        <v>1.1171814881923148E-5</v>
      </c>
      <c r="X307" s="186" t="str">
        <f t="shared" si="30"/>
        <v>1D</v>
      </c>
      <c r="Y307" s="174">
        <f>_xll.qlCalendarAdvance(Calendar,Y306,X307,"f",FALSE)</f>
        <v>42354</v>
      </c>
      <c r="Z307" s="198">
        <f>_xll.qlCalendarAdvance(Calendar,Y307,NDays&amp;"D")</f>
        <v>42356</v>
      </c>
      <c r="AA307" s="173">
        <v>2.4717910357917624E-3</v>
      </c>
      <c r="AB307" s="182">
        <v>2.3093832316067875E-3</v>
      </c>
    </row>
    <row r="308" spans="13:28" x14ac:dyDescent="0.2">
      <c r="M308" s="303" t="str">
        <v>obj_0076f#0000</v>
      </c>
      <c r="N308" s="186" t="str">
        <f>_xll.qlRateHelperQuoteName(M308)</f>
        <v>EUR13F15Y_Quote</v>
      </c>
      <c r="O308" s="174">
        <f>_xll.qlInterestRateIndexFixingDate(R308,_xll.qlRateHelperEarliestDate(M308,Trigger),)</f>
        <v>46692</v>
      </c>
      <c r="P308" s="201">
        <f>_xll.qlRateHelperQuoteValue(M308,_xll.ohTrigger(RecalcTrigger,YieldCurve))</f>
        <v>2.3029999999999998E-2</v>
      </c>
      <c r="Q308" s="204" t="str">
        <f t="shared" si="31"/>
        <v>15Y</v>
      </c>
      <c r="R308" s="204" t="str">
        <f>_xll.qlSwapIndex(,"Euribor",Q308,NDays,Currency,Calendar,"1Y","mf","30/360 (Bond Basis)",IborIndex,Discounting,,_xll.ohTrigger(Trigger,RecalcTrigger))</f>
        <v>obj_009c2#0000</v>
      </c>
      <c r="S308" s="204" t="str">
        <f>_xll.qlVanillaSwapFromSwapIndex(,R308,O308)</f>
        <v>obj_00b20#0000</v>
      </c>
      <c r="T308" s="191">
        <f>_xll.qlVanillaSwapFairRate(S308)</f>
        <v>2.3054449493654171E-2</v>
      </c>
      <c r="U308" s="300">
        <f t="shared" si="28"/>
        <v>2.44494936541724E-5</v>
      </c>
      <c r="X308" s="186" t="str">
        <f t="shared" si="30"/>
        <v>1D</v>
      </c>
      <c r="Y308" s="174">
        <f>_xll.qlCalendarAdvance(Calendar,Y307,X308,"f",FALSE)</f>
        <v>42355</v>
      </c>
      <c r="Z308" s="198">
        <f>_xll.qlCalendarAdvance(Calendar,Y308,NDays&amp;"D")</f>
        <v>42359</v>
      </c>
      <c r="AA308" s="173">
        <v>2.476098999820763E-3</v>
      </c>
      <c r="AB308" s="182">
        <v>2.3199872567047919E-3</v>
      </c>
    </row>
    <row r="309" spans="13:28" x14ac:dyDescent="0.2">
      <c r="M309" s="303" t="str">
        <v>obj_00845#0000</v>
      </c>
      <c r="N309" s="186" t="str">
        <f>_xll.qlRateHelperQuoteName(M309)</f>
        <v>EUR13F20Y_Quote</v>
      </c>
      <c r="O309" s="174">
        <f>_xll.qlInterestRateIndexFixingDate(R309,_xll.qlRateHelperEarliestDate(M309,Trigger),)</f>
        <v>46692</v>
      </c>
      <c r="P309" s="201">
        <f>_xll.qlRateHelperQuoteValue(M309,_xll.ohTrigger(RecalcTrigger,YieldCurve))</f>
        <v>2.2519999999999998E-2</v>
      </c>
      <c r="Q309" s="204" t="str">
        <f t="shared" si="31"/>
        <v>20Y</v>
      </c>
      <c r="R309" s="204" t="str">
        <f>_xll.qlSwapIndex(,"Euribor",Q309,NDays,Currency,Calendar,"1Y","mf","30/360 (Bond Basis)",IborIndex,Discounting,,_xll.ohTrigger(Trigger,RecalcTrigger))</f>
        <v>obj_009dc#0000</v>
      </c>
      <c r="S309" s="204" t="str">
        <f>_xll.qlVanillaSwapFromSwapIndex(,R309,O309)</f>
        <v>obj_00b3d#0000</v>
      </c>
      <c r="T309" s="191">
        <f>_xll.qlVanillaSwapFairRate(S309)</f>
        <v>2.253168329055779E-2</v>
      </c>
      <c r="U309" s="300">
        <f t="shared" si="28"/>
        <v>1.1683290557791548E-5</v>
      </c>
      <c r="X309" s="186" t="str">
        <f t="shared" si="30"/>
        <v>1D</v>
      </c>
      <c r="Y309" s="174">
        <f>_xll.qlCalendarAdvance(Calendar,Y308,X309,"f",FALSE)</f>
        <v>42356</v>
      </c>
      <c r="Z309" s="198">
        <f>_xll.qlCalendarAdvance(Calendar,Y309,NDays&amp;"D")</f>
        <v>42360</v>
      </c>
      <c r="AA309" s="173">
        <v>2.4786311779377867E-3</v>
      </c>
      <c r="AB309" s="182">
        <v>2.3243062011868432E-3</v>
      </c>
    </row>
    <row r="310" spans="13:28" x14ac:dyDescent="0.2">
      <c r="M310" s="303" t="str">
        <v>obj_007b8#0000</v>
      </c>
      <c r="N310" s="186" t="str">
        <f>_xll.qlRateHelperQuoteName(M310)</f>
        <v>EUR13F25Y_Quote</v>
      </c>
      <c r="O310" s="174">
        <f>_xll.qlInterestRateIndexFixingDate(R310,_xll.qlRateHelperEarliestDate(M310,Trigger),)</f>
        <v>46692</v>
      </c>
      <c r="P310" s="201">
        <f>_xll.qlRateHelperQuoteValue(M310,_xll.ohTrigger(RecalcTrigger,YieldCurve))</f>
        <v>2.2339999999999999E-2</v>
      </c>
      <c r="Q310" s="204" t="str">
        <f t="shared" si="31"/>
        <v>25Y</v>
      </c>
      <c r="R310" s="204" t="str">
        <f>_xll.qlSwapIndex(,"Euribor",Q310,NDays,Currency,Calendar,"1Y","mf","30/360 (Bond Basis)",IborIndex,Discounting,,_xll.ohTrigger(Trigger,RecalcTrigger))</f>
        <v>obj_00a1e#0000</v>
      </c>
      <c r="S310" s="204" t="str">
        <f>_xll.qlVanillaSwapFromSwapIndex(,R310,O310)</f>
        <v>obj_00a75#0000</v>
      </c>
      <c r="T310" s="191">
        <f>_xll.qlVanillaSwapFairRate(S310)</f>
        <v>2.2356775581530437E-2</v>
      </c>
      <c r="U310" s="300">
        <f t="shared" si="28"/>
        <v>1.677558153043851E-5</v>
      </c>
      <c r="X310" s="186" t="str">
        <f t="shared" si="30"/>
        <v>1D</v>
      </c>
      <c r="Y310" s="174">
        <f>_xll.qlCalendarAdvance(Calendar,Y309,X310,"f",FALSE)</f>
        <v>42359</v>
      </c>
      <c r="Z310" s="198">
        <f>_xll.qlCalendarAdvance(Calendar,Y310,NDays&amp;"D")</f>
        <v>42361</v>
      </c>
      <c r="AA310" s="173">
        <v>2.4811623934333517E-3</v>
      </c>
      <c r="AB310" s="182">
        <v>2.3280308607276368E-3</v>
      </c>
    </row>
    <row r="311" spans="13:28" ht="12" thickBot="1" x14ac:dyDescent="0.25">
      <c r="M311" s="304" t="str">
        <v>obj_00830#0000</v>
      </c>
      <c r="N311" s="187" t="str">
        <f>_xll.qlRateHelperQuoteName(M311)</f>
        <v>EUR13F30Y_Quote</v>
      </c>
      <c r="O311" s="184">
        <f>_xll.qlInterestRateIndexFixingDate(R311,_xll.qlRateHelperEarliestDate(M311,Trigger),)</f>
        <v>46692</v>
      </c>
      <c r="P311" s="202">
        <f>_xll.qlRateHelperQuoteValue(M311,_xll.ohTrigger(RecalcTrigger,YieldCurve))</f>
        <v>2.2109999999999998E-2</v>
      </c>
      <c r="Q311" s="205" t="str">
        <f t="shared" si="31"/>
        <v>30Y</v>
      </c>
      <c r="R311" s="205" t="str">
        <f>_xll.qlSwapIndex(,"Euribor",Q311,NDays,Currency,Calendar,"1Y","mf","30/360 (Bond Basis)",IborIndex,Discounting,,_xll.ohTrigger(Trigger,RecalcTrigger))</f>
        <v>obj_009b6#0000</v>
      </c>
      <c r="S311" s="205" t="str">
        <f>_xll.qlVanillaSwapFromSwapIndex(,R311,O311)</f>
        <v>obj_00b05#0000</v>
      </c>
      <c r="T311" s="193">
        <f>_xll.qlVanillaSwapFairRate(S311)</f>
        <v>2.2113999327830581E-2</v>
      </c>
      <c r="U311" s="301">
        <f t="shared" si="28"/>
        <v>3.9993278305831825E-6</v>
      </c>
      <c r="X311" s="186" t="str">
        <f t="shared" si="30"/>
        <v>1D</v>
      </c>
      <c r="Y311" s="174">
        <f>_xll.qlCalendarAdvance(Calendar,Y310,X311,"f",FALSE)</f>
        <v>42360</v>
      </c>
      <c r="Z311" s="198">
        <f>_xll.qlCalendarAdvance(Calendar,Y311,NDays&amp;"D")</f>
        <v>42362</v>
      </c>
      <c r="AA311" s="173">
        <v>2.4836929578816139E-3</v>
      </c>
      <c r="AB311" s="182">
        <v>2.3343937891517896E-3</v>
      </c>
    </row>
    <row r="312" spans="13:28" x14ac:dyDescent="0.2">
      <c r="M312" s="305" t="str">
        <v>obj_007b4#0000</v>
      </c>
      <c r="N312" s="289" t="str">
        <f>_xll.qlRateHelperQuoteName(M312)</f>
        <v>EUR14F1Y_Quote</v>
      </c>
      <c r="O312" s="286">
        <f>_xll.qlInterestRateIndexFixingDate(R312,_xll.qlRateHelperEarliestDate(M312,Trigger),)</f>
        <v>47058</v>
      </c>
      <c r="P312" s="287">
        <f>_xll.qlRateHelperQuoteValue(M312,_xll.ohTrigger(RecalcTrigger,YieldCurve))</f>
        <v>2.4629999999999999E-2</v>
      </c>
      <c r="Q312" s="285" t="str">
        <f t="shared" ref="Q312:Q329" si="32">SUBSTITUTE(SUBSTITUTE(N312,"_Quote",""),"EUR14F","")</f>
        <v>1Y</v>
      </c>
      <c r="R312" s="285" t="str">
        <f>_xll.qlSwapIndex(,"Euribor",Q312,NDays,Currency,Calendar,"1Y","mf","30/360 (Bond Basis)",IborIndex,Discounting,,_xll.ohTrigger(Trigger,RecalcTrigger))</f>
        <v>obj_009aa#0000</v>
      </c>
      <c r="S312" s="285" t="str">
        <f>_xll.qlVanillaSwapFromSwapIndex(,R312,O312)</f>
        <v>obj_00ad1#0000</v>
      </c>
      <c r="T312" s="288">
        <f>_xll.qlVanillaSwapFairRate(S312)</f>
        <v>2.4697440948401254E-2</v>
      </c>
      <c r="U312" s="302">
        <f t="shared" si="28"/>
        <v>6.7440948401255307E-5</v>
      </c>
      <c r="X312" s="186" t="str">
        <f t="shared" si="30"/>
        <v>1D</v>
      </c>
      <c r="Y312" s="174">
        <f>_xll.qlCalendarAdvance(Calendar,Y311,X312,"f",FALSE)</f>
        <v>42361</v>
      </c>
      <c r="Z312" s="198">
        <f>_xll.qlCalendarAdvance(Calendar,Y312,NDays&amp;"D")</f>
        <v>42366</v>
      </c>
      <c r="AA312" s="173">
        <v>2.4938149367598468E-3</v>
      </c>
      <c r="AB312" s="182">
        <v>2.337739880875489E-3</v>
      </c>
    </row>
    <row r="313" spans="13:28" x14ac:dyDescent="0.2">
      <c r="M313" s="303" t="str">
        <v>obj_00817#0000</v>
      </c>
      <c r="N313" s="186" t="str">
        <f>_xll.qlRateHelperQuoteName(M313)</f>
        <v>EUR14F2Y_Quote</v>
      </c>
      <c r="O313" s="174">
        <f>_xll.qlInterestRateIndexFixingDate(R313,_xll.qlRateHelperEarliestDate(M313,Trigger),)</f>
        <v>47058</v>
      </c>
      <c r="P313" s="201">
        <f>_xll.qlRateHelperQuoteValue(M313,_xll.ohTrigger(RecalcTrigger,YieldCurve))</f>
        <v>2.4709999999999999E-2</v>
      </c>
      <c r="Q313" s="204" t="str">
        <f t="shared" si="32"/>
        <v>2Y</v>
      </c>
      <c r="R313" s="204" t="str">
        <f>_xll.qlSwapIndex(,"Euribor",Q313,NDays,Currency,Calendar,"1Y","mf","30/360 (Bond Basis)",IborIndex,Discounting,,_xll.ohTrigger(Trigger,RecalcTrigger))</f>
        <v>obj_008f6#0000</v>
      </c>
      <c r="S313" s="204" t="str">
        <f>_xll.qlVanillaSwapFromSwapIndex(,R313,O313)</f>
        <v>obj_00a89#0000</v>
      </c>
      <c r="T313" s="191">
        <f>_xll.qlVanillaSwapFairRate(S313)</f>
        <v>2.4711397700579407E-2</v>
      </c>
      <c r="U313" s="300">
        <f t="shared" si="28"/>
        <v>1.3977005794071906E-6</v>
      </c>
      <c r="X313" s="186" t="str">
        <f t="shared" si="30"/>
        <v>1D</v>
      </c>
      <c r="Y313" s="174">
        <f>_xll.qlCalendarAdvance(Calendar,Y312,X313,"f",FALSE)</f>
        <v>42362</v>
      </c>
      <c r="Z313" s="198">
        <f>_xll.qlCalendarAdvance(Calendar,Y313,NDays&amp;"D")</f>
        <v>42367</v>
      </c>
      <c r="AA313" s="173">
        <v>2.4963469196511768E-3</v>
      </c>
      <c r="AB313" s="182">
        <v>2.3378988293298875E-3</v>
      </c>
    </row>
    <row r="314" spans="13:28" x14ac:dyDescent="0.2">
      <c r="M314" s="303" t="str">
        <v>obj_007e1#0000</v>
      </c>
      <c r="N314" s="186" t="str">
        <f>_xll.qlRateHelperQuoteName(M314)</f>
        <v>EUR14F3Y_Quote</v>
      </c>
      <c r="O314" s="174">
        <f>_xll.qlInterestRateIndexFixingDate(R314,_xll.qlRateHelperEarliestDate(M314,Trigger),)</f>
        <v>47058</v>
      </c>
      <c r="P314" s="201">
        <f>_xll.qlRateHelperQuoteValue(M314,_xll.ohTrigger(RecalcTrigger,YieldCurve))</f>
        <v>2.4700000000000003E-2</v>
      </c>
      <c r="Q314" s="204" t="str">
        <f t="shared" si="32"/>
        <v>3Y</v>
      </c>
      <c r="R314" s="204" t="str">
        <f>_xll.qlSwapIndex(,"Euribor",Q314,NDays,Currency,Calendar,"1Y","mf","30/360 (Bond Basis)",IborIndex,Discounting,,_xll.ohTrigger(Trigger,RecalcTrigger))</f>
        <v>obj_00994#0000</v>
      </c>
      <c r="S314" s="204" t="str">
        <f>_xll.qlVanillaSwapFromSwapIndex(,R314,O314)</f>
        <v>obj_00b64#0000</v>
      </c>
      <c r="T314" s="191">
        <f>_xll.qlVanillaSwapFairRate(S314)</f>
        <v>2.4687298187961969E-2</v>
      </c>
      <c r="U314" s="300">
        <f t="shared" si="28"/>
        <v>-1.2701812038034416E-5</v>
      </c>
      <c r="X314" s="186" t="str">
        <f t="shared" si="30"/>
        <v>1D</v>
      </c>
      <c r="Y314" s="174">
        <f>_xll.qlCalendarAdvance(Calendar,Y313,X314,"f",FALSE)</f>
        <v>42366</v>
      </c>
      <c r="Z314" s="198">
        <f>_xll.qlCalendarAdvance(Calendar,Y314,NDays&amp;"D")</f>
        <v>42368</v>
      </c>
      <c r="AA314" s="173">
        <v>2.4988801209776955E-3</v>
      </c>
      <c r="AB314" s="182">
        <v>2.3374634926032201E-3</v>
      </c>
    </row>
    <row r="315" spans="13:28" x14ac:dyDescent="0.2">
      <c r="M315" s="303" t="str">
        <v>obj_00813#0000</v>
      </c>
      <c r="N315" s="186" t="str">
        <f>_xll.qlRateHelperQuoteName(M315)</f>
        <v>EUR14F4Y_Quote</v>
      </c>
      <c r="O315" s="174">
        <f>_xll.qlInterestRateIndexFixingDate(R315,_xll.qlRateHelperEarliestDate(M315,Trigger),)</f>
        <v>47058</v>
      </c>
      <c r="P315" s="201">
        <f>_xll.qlRateHelperQuoteValue(M315,_xll.ohTrigger(RecalcTrigger,YieldCurve))</f>
        <v>2.461E-2</v>
      </c>
      <c r="Q315" s="204" t="str">
        <f t="shared" si="32"/>
        <v>4Y</v>
      </c>
      <c r="R315" s="204" t="str">
        <f>_xll.qlSwapIndex(,"Euribor",Q315,NDays,Currency,Calendar,"1Y","mf","30/360 (Bond Basis)",IborIndex,Discounting,,_xll.ohTrigger(Trigger,RecalcTrigger))</f>
        <v>obj_00904#0000</v>
      </c>
      <c r="S315" s="204" t="str">
        <f>_xll.qlVanillaSwapFromSwapIndex(,R315,O315)</f>
        <v>obj_00b25#0000</v>
      </c>
      <c r="T315" s="191">
        <f>_xll.qlVanillaSwapFairRate(S315)</f>
        <v>2.4640846265342079E-2</v>
      </c>
      <c r="U315" s="300">
        <f t="shared" si="28"/>
        <v>3.084626534207921E-5</v>
      </c>
      <c r="X315" s="186" t="str">
        <f t="shared" si="30"/>
        <v>1D</v>
      </c>
      <c r="Y315" s="174">
        <f>_xll.qlCalendarAdvance(Calendar,Y314,X315,"f",FALSE)</f>
        <v>42367</v>
      </c>
      <c r="Z315" s="198">
        <f>_xll.qlCalendarAdvance(Calendar,Y315,NDays&amp;"D")</f>
        <v>42369</v>
      </c>
      <c r="AA315" s="173">
        <v>2.4997507947617042E-3</v>
      </c>
      <c r="AB315" s="182">
        <v>2.333426411713635E-3</v>
      </c>
    </row>
    <row r="316" spans="13:28" x14ac:dyDescent="0.2">
      <c r="M316" s="303" t="str">
        <v>obj_0076c#0000</v>
      </c>
      <c r="N316" s="186" t="str">
        <f>_xll.qlRateHelperQuoteName(M316)</f>
        <v>EUR14F5Y_Quote</v>
      </c>
      <c r="O316" s="174">
        <f>_xll.qlInterestRateIndexFixingDate(R316,_xll.qlRateHelperEarliestDate(M316,Trigger),)</f>
        <v>47058</v>
      </c>
      <c r="P316" s="201">
        <f>_xll.qlRateHelperQuoteValue(M316,_xll.ohTrigger(RecalcTrigger,YieldCurve))</f>
        <v>2.452E-2</v>
      </c>
      <c r="Q316" s="204" t="str">
        <f t="shared" si="32"/>
        <v>5Y</v>
      </c>
      <c r="R316" s="204" t="str">
        <f>_xll.qlSwapIndex(,"Euribor",Q316,NDays,Currency,Calendar,"1Y","mf","30/360 (Bond Basis)",IborIndex,Discounting,,_xll.ohTrigger(Trigger,RecalcTrigger))</f>
        <v>obj_009d5#0000</v>
      </c>
      <c r="S316" s="204" t="str">
        <f>_xll.qlVanillaSwapFromSwapIndex(,R316,O316)</f>
        <v>obj_00abb#0000</v>
      </c>
      <c r="T316" s="191">
        <f>_xll.qlVanillaSwapFairRate(S316)</f>
        <v>2.4536780683752892E-2</v>
      </c>
      <c r="U316" s="300">
        <f t="shared" si="28"/>
        <v>1.6780683752892073E-5</v>
      </c>
      <c r="X316" s="186" t="str">
        <f t="shared" si="30"/>
        <v>1D</v>
      </c>
      <c r="Y316" s="174">
        <f>_xll.qlCalendarAdvance(Calendar,Y315,X316,"f",FALSE)</f>
        <v>42368</v>
      </c>
      <c r="Z316" s="198">
        <f>_xll.qlCalendarAdvance(Calendar,Y316,NDays&amp;"D")</f>
        <v>42373</v>
      </c>
      <c r="AA316" s="173">
        <v>2.5100000000000612E-3</v>
      </c>
      <c r="AB316" s="182">
        <v>2.3264725426930255E-3</v>
      </c>
    </row>
    <row r="317" spans="13:28" x14ac:dyDescent="0.2">
      <c r="M317" s="303" t="str">
        <v>obj_007d6#0000</v>
      </c>
      <c r="N317" s="186" t="str">
        <f>_xll.qlRateHelperQuoteName(M317)</f>
        <v>EUR14F6Y_Quote</v>
      </c>
      <c r="O317" s="174">
        <f>_xll.qlInterestRateIndexFixingDate(R317,_xll.qlRateHelperEarliestDate(M317,Trigger),)</f>
        <v>47058</v>
      </c>
      <c r="P317" s="201">
        <f>_xll.qlRateHelperQuoteValue(M317,_xll.ohTrigger(RecalcTrigger,YieldCurve))</f>
        <v>2.4369999999999999E-2</v>
      </c>
      <c r="Q317" s="204" t="str">
        <f t="shared" si="32"/>
        <v>6Y</v>
      </c>
      <c r="R317" s="204" t="str">
        <f>_xll.qlSwapIndex(,"Euribor",Q317,NDays,Currency,Calendar,"1Y","mf","30/360 (Bond Basis)",IborIndex,Discounting,,_xll.ohTrigger(Trigger,RecalcTrigger))</f>
        <v>obj_00a0f#0000</v>
      </c>
      <c r="S317" s="204" t="str">
        <f>_xll.qlVanillaSwapFromSwapIndex(,R317,O317)</f>
        <v>obj_00aef#0000</v>
      </c>
      <c r="T317" s="191">
        <f>_xll.qlVanillaSwapFairRate(S317)</f>
        <v>2.4396292735701493E-2</v>
      </c>
      <c r="U317" s="300">
        <f t="shared" si="28"/>
        <v>2.6292735701493458E-5</v>
      </c>
      <c r="X317" s="186" t="str">
        <f t="shared" si="30"/>
        <v>1D</v>
      </c>
      <c r="Y317" s="174">
        <f>_xll.qlCalendarAdvance(Calendar,Y316,X317,"f",FALSE)</f>
        <v>42369</v>
      </c>
      <c r="Z317" s="198">
        <f>_xll.qlCalendarAdvance(Calendar,Y317,NDays&amp;"D")</f>
        <v>42374</v>
      </c>
      <c r="AA317" s="173">
        <v>2.5125766209245946E-3</v>
      </c>
      <c r="AB317" s="182">
        <v>2.3230715609567909E-3</v>
      </c>
    </row>
    <row r="318" spans="13:28" x14ac:dyDescent="0.2">
      <c r="M318" s="303" t="str">
        <v>obj_00782#0000</v>
      </c>
      <c r="N318" s="186" t="str">
        <f>_xll.qlRateHelperQuoteName(M318)</f>
        <v>EUR14F7Y_Quote</v>
      </c>
      <c r="O318" s="174">
        <f>_xll.qlInterestRateIndexFixingDate(R318,_xll.qlRateHelperEarliestDate(M318,Trigger),)</f>
        <v>47058</v>
      </c>
      <c r="P318" s="201">
        <f>_xll.qlRateHelperQuoteValue(M318,_xll.ohTrigger(RecalcTrigger,YieldCurve))</f>
        <v>2.4209999999999999E-2</v>
      </c>
      <c r="Q318" s="204" t="str">
        <f t="shared" si="32"/>
        <v>7Y</v>
      </c>
      <c r="R318" s="204" t="str">
        <f>_xll.qlSwapIndex(,"Euribor",Q318,NDays,Currency,Calendar,"1Y","mf","30/360 (Bond Basis)",IborIndex,Discounting,,_xll.ohTrigger(Trigger,RecalcTrigger))</f>
        <v>obj_0099f#0000</v>
      </c>
      <c r="S318" s="204" t="str">
        <f>_xll.qlVanillaSwapFromSwapIndex(,R318,O318)</f>
        <v>obj_00a60#0000</v>
      </c>
      <c r="T318" s="191">
        <f>_xll.qlVanillaSwapFairRate(S318)</f>
        <v>2.4222118719163448E-2</v>
      </c>
      <c r="U318" s="300">
        <f t="shared" si="28"/>
        <v>1.2118719163449476E-5</v>
      </c>
      <c r="X318" s="186" t="str">
        <f t="shared" si="30"/>
        <v>1D</v>
      </c>
      <c r="Y318" s="174">
        <f>_xll.qlCalendarAdvance(Calendar,Y317,X318,"f",FALSE)</f>
        <v>42373</v>
      </c>
      <c r="Z318" s="198">
        <f>_xll.qlCalendarAdvance(Calendar,Y318,NDays&amp;"D")</f>
        <v>42375</v>
      </c>
      <c r="AA318" s="173">
        <v>2.5151593173509883E-3</v>
      </c>
      <c r="AB318" s="182">
        <v>2.3196763599564463E-3</v>
      </c>
    </row>
    <row r="319" spans="13:28" x14ac:dyDescent="0.2">
      <c r="M319" s="303" t="str">
        <v>obj_007eb#0000</v>
      </c>
      <c r="N319" s="186" t="str">
        <f>_xll.qlRateHelperQuoteName(M319)</f>
        <v>EUR14F8Y_Quote</v>
      </c>
      <c r="O319" s="174">
        <f>_xll.qlInterestRateIndexFixingDate(R319,_xll.qlRateHelperEarliestDate(M319,Trigger),)</f>
        <v>47058</v>
      </c>
      <c r="P319" s="201">
        <f>_xll.qlRateHelperQuoteValue(M319,_xll.ohTrigger(RecalcTrigger,YieldCurve))</f>
        <v>2.4009999999999997E-2</v>
      </c>
      <c r="Q319" s="204" t="str">
        <f t="shared" si="32"/>
        <v>8Y</v>
      </c>
      <c r="R319" s="204" t="str">
        <f>_xll.qlSwapIndex(,"Euribor",Q319,NDays,Currency,Calendar,"1Y","mf","30/360 (Bond Basis)",IborIndex,Discounting,,_xll.ohTrigger(Trigger,RecalcTrigger))</f>
        <v>obj_009f6#0000</v>
      </c>
      <c r="S319" s="204" t="str">
        <f>_xll.qlVanillaSwapFromSwapIndex(,R319,O319)</f>
        <v>obj_00a94#0000</v>
      </c>
      <c r="T319" s="191">
        <f>_xll.qlVanillaSwapFairRate(S319)</f>
        <v>2.4039330755304428E-2</v>
      </c>
      <c r="U319" s="300">
        <f t="shared" si="28"/>
        <v>2.9330755304431133E-5</v>
      </c>
      <c r="X319" s="186" t="str">
        <f t="shared" si="30"/>
        <v>1D</v>
      </c>
      <c r="Y319" s="174">
        <f>_xll.qlCalendarAdvance(Calendar,Y318,X319,"f",FALSE)</f>
        <v>42374</v>
      </c>
      <c r="Z319" s="198">
        <f>_xll.qlCalendarAdvance(Calendar,Y319,NDays&amp;"D")</f>
        <v>42376</v>
      </c>
      <c r="AA319" s="173">
        <v>2.5177481036945237E-3</v>
      </c>
      <c r="AB319" s="182">
        <v>2.3162869397719277E-3</v>
      </c>
    </row>
    <row r="320" spans="13:28" x14ac:dyDescent="0.2">
      <c r="M320" s="303" t="str">
        <v>obj_0088e#0000</v>
      </c>
      <c r="N320" s="186" t="str">
        <f>_xll.qlRateHelperQuoteName(M320)</f>
        <v>EUR14F9Y_Quote</v>
      </c>
      <c r="O320" s="174">
        <f>_xll.qlInterestRateIndexFixingDate(R320,_xll.qlRateHelperEarliestDate(M320,Trigger),)</f>
        <v>47058</v>
      </c>
      <c r="P320" s="201">
        <f>_xll.qlRateHelperQuoteValue(M320,_xll.ohTrigger(RecalcTrigger,YieldCurve))</f>
        <v>2.3820000000000001E-2</v>
      </c>
      <c r="Q320" s="204" t="str">
        <f t="shared" si="32"/>
        <v>9Y</v>
      </c>
      <c r="R320" s="204" t="str">
        <f>_xll.qlSwapIndex(,"Euribor",Q320,NDays,Currency,Calendar,"1Y","mf","30/360 (Bond Basis)",IborIndex,Discounting,,_xll.ohTrigger(Trigger,RecalcTrigger))</f>
        <v>obj_009da#0000</v>
      </c>
      <c r="S320" s="204" t="str">
        <f>_xll.qlVanillaSwapFromSwapIndex(,R320,O320)</f>
        <v>obj_00a3a#0000</v>
      </c>
      <c r="T320" s="191">
        <f>_xll.qlVanillaSwapFairRate(S320)</f>
        <v>2.3840513548214537E-2</v>
      </c>
      <c r="U320" s="300">
        <f t="shared" si="28"/>
        <v>2.0513548214536048E-5</v>
      </c>
      <c r="X320" s="186" t="str">
        <f t="shared" si="30"/>
        <v>1D</v>
      </c>
      <c r="Y320" s="174">
        <f>_xll.qlCalendarAdvance(Calendar,Y319,X320,"f",FALSE)</f>
        <v>42375</v>
      </c>
      <c r="Z320" s="198">
        <f>_xll.qlCalendarAdvance(Calendar,Y320,NDays&amp;"D")</f>
        <v>42377</v>
      </c>
      <c r="AA320" s="173">
        <v>2.5203429943704832E-3</v>
      </c>
      <c r="AB320" s="182">
        <v>2.3095421849639308E-3</v>
      </c>
    </row>
    <row r="321" spans="13:28" x14ac:dyDescent="0.2">
      <c r="M321" s="303" t="str">
        <v>obj_00775#0000</v>
      </c>
      <c r="N321" s="186" t="str">
        <f>_xll.qlRateHelperQuoteName(M321)</f>
        <v>EUR14F10Y_Quote</v>
      </c>
      <c r="O321" s="174">
        <f>_xll.qlInterestRateIndexFixingDate(R321,_xll.qlRateHelperEarliestDate(M321,Trigger),)</f>
        <v>47058</v>
      </c>
      <c r="P321" s="201">
        <f>_xll.qlRateHelperQuoteValue(M321,_xll.ohTrigger(RecalcTrigger,YieldCurve))</f>
        <v>2.3620000000000002E-2</v>
      </c>
      <c r="Q321" s="204" t="str">
        <f t="shared" si="32"/>
        <v>10Y</v>
      </c>
      <c r="R321" s="204" t="str">
        <f>_xll.qlSwapIndex(,"Euribor",Q321,NDays,Currency,Calendar,"1Y","mf","30/360 (Bond Basis)",IborIndex,Discounting,,_xll.ohTrigger(Trigger,RecalcTrigger))</f>
        <v>obj_00921#0000</v>
      </c>
      <c r="S321" s="204" t="str">
        <f>_xll.qlVanillaSwapFromSwapIndex(,R321,O321)</f>
        <v>obj_00a62#0000</v>
      </c>
      <c r="T321" s="191">
        <f>_xll.qlVanillaSwapFairRate(S321)</f>
        <v>2.3641345387932153E-2</v>
      </c>
      <c r="U321" s="300">
        <f t="shared" si="28"/>
        <v>2.1345387932150683E-5</v>
      </c>
      <c r="X321" s="186" t="str">
        <f t="shared" si="30"/>
        <v>1D</v>
      </c>
      <c r="Y321" s="174">
        <f>_xll.qlCalendarAdvance(Calendar,Y320,X321,"f",FALSE)</f>
        <v>42376</v>
      </c>
      <c r="Z321" s="198">
        <f>_xll.qlCalendarAdvance(Calendar,Y321,NDays&amp;"D")</f>
        <v>42380</v>
      </c>
      <c r="AA321" s="173">
        <v>2.5281644365452889E-3</v>
      </c>
      <c r="AB321" s="182">
        <v>2.302787066472689E-3</v>
      </c>
    </row>
    <row r="322" spans="13:28" x14ac:dyDescent="0.2">
      <c r="M322" s="303" t="str">
        <v>obj_0085f#0000</v>
      </c>
      <c r="N322" s="186" t="str">
        <f>_xll.qlRateHelperQuoteName(M322)</f>
        <v>EUR14F11Y_Quote</v>
      </c>
      <c r="O322" s="174">
        <f>_xll.qlInterestRateIndexFixingDate(R322,_xll.qlRateHelperEarliestDate(M322,Trigger),)</f>
        <v>47058</v>
      </c>
      <c r="P322" s="201">
        <f>_xll.qlRateHelperQuoteValue(M322,_xll.ohTrigger(RecalcTrigger,YieldCurve))</f>
        <v>2.342E-2</v>
      </c>
      <c r="Q322" s="204" t="str">
        <f t="shared" si="32"/>
        <v>11Y</v>
      </c>
      <c r="R322" s="204" t="str">
        <f>_xll.qlSwapIndex(,"Euribor",Q322,NDays,Currency,Calendar,"1Y","mf","30/360 (Bond Basis)",IborIndex,Discounting,,_xll.ohTrigger(Trigger,RecalcTrigger))</f>
        <v>obj_0095e#0000</v>
      </c>
      <c r="S322" s="204" t="str">
        <f>_xll.qlVanillaSwapFromSwapIndex(,R322,O322)</f>
        <v>obj_00b0c#0000</v>
      </c>
      <c r="T322" s="191">
        <f>_xll.qlVanillaSwapFairRate(S322)</f>
        <v>2.3445793352743983E-2</v>
      </c>
      <c r="U322" s="300">
        <f t="shared" si="28"/>
        <v>2.5793352743982978E-5</v>
      </c>
      <c r="X322" s="186" t="str">
        <f t="shared" si="30"/>
        <v>1D</v>
      </c>
      <c r="Y322" s="174">
        <f>_xll.qlCalendarAdvance(Calendar,Y321,X322,"f",FALSE)</f>
        <v>42377</v>
      </c>
      <c r="Z322" s="198">
        <f>_xll.qlCalendarAdvance(Calendar,Y322,NDays&amp;"D")</f>
        <v>42381</v>
      </c>
      <c r="AA322" s="173">
        <v>2.5307838887042061E-3</v>
      </c>
      <c r="AB322" s="182">
        <v>2.2994265501274924E-3</v>
      </c>
    </row>
    <row r="323" spans="13:28" x14ac:dyDescent="0.2">
      <c r="M323" s="303" t="str">
        <v>obj_007ac#0000</v>
      </c>
      <c r="N323" s="186" t="str">
        <f>_xll.qlRateHelperQuoteName(M323)</f>
        <v>EUR14F12Y_Quote</v>
      </c>
      <c r="O323" s="174">
        <f>_xll.qlInterestRateIndexFixingDate(R323,_xll.qlRateHelperEarliestDate(M323,Trigger),)</f>
        <v>47058</v>
      </c>
      <c r="P323" s="201">
        <f>_xll.qlRateHelperQuoteValue(M323,_xll.ohTrigger(RecalcTrigger,YieldCurve))</f>
        <v>2.3239999999999997E-2</v>
      </c>
      <c r="Q323" s="204" t="str">
        <f t="shared" si="32"/>
        <v>12Y</v>
      </c>
      <c r="R323" s="204" t="str">
        <f>_xll.qlSwapIndex(,"Euribor",Q323,NDays,Currency,Calendar,"1Y","mf","30/360 (Bond Basis)",IborIndex,Discounting,,_xll.ohTrigger(Trigger,RecalcTrigger))</f>
        <v>obj_009d1#0000</v>
      </c>
      <c r="S323" s="204" t="str">
        <f>_xll.qlVanillaSwapFromSwapIndex(,R323,O323)</f>
        <v>obj_00b12#0000</v>
      </c>
      <c r="T323" s="191">
        <f>_xll.qlVanillaSwapFairRate(S323)</f>
        <v>2.3260299422072923E-2</v>
      </c>
      <c r="U323" s="300">
        <f t="shared" si="28"/>
        <v>2.0299422072926621E-5</v>
      </c>
      <c r="X323" s="186" t="str">
        <f t="shared" si="30"/>
        <v>1D</v>
      </c>
      <c r="Y323" s="174">
        <f>_xll.qlCalendarAdvance(Calendar,Y322,X323,"f",FALSE)</f>
        <v>42380</v>
      </c>
      <c r="Z323" s="198">
        <f>_xll.qlCalendarAdvance(Calendar,Y323,NDays&amp;"D")</f>
        <v>42382</v>
      </c>
      <c r="AA323" s="173">
        <v>2.533409517274154E-3</v>
      </c>
      <c r="AB323" s="182">
        <v>2.2960718144382497E-3</v>
      </c>
    </row>
    <row r="324" spans="13:28" x14ac:dyDescent="0.2">
      <c r="M324" s="303" t="str">
        <v>obj_00774#0000</v>
      </c>
      <c r="N324" s="186" t="str">
        <f>_xll.qlRateHelperQuoteName(M324)</f>
        <v>EUR14F13Y_Quote</v>
      </c>
      <c r="O324" s="174">
        <f>_xll.qlInterestRateIndexFixingDate(R324,_xll.qlRateHelperEarliestDate(M324,Trigger),)</f>
        <v>47058</v>
      </c>
      <c r="P324" s="201">
        <f>_xll.qlRateHelperQuoteValue(M324,_xll.ohTrigger(RecalcTrigger,YieldCurve))</f>
        <v>2.307E-2</v>
      </c>
      <c r="Q324" s="204" t="str">
        <f t="shared" si="32"/>
        <v>13Y</v>
      </c>
      <c r="R324" s="204" t="str">
        <f>_xll.qlSwapIndex(,"Euribor",Q324,NDays,Currency,Calendar,"1Y","mf","30/360 (Bond Basis)",IborIndex,Discounting,,_xll.ohTrigger(Trigger,RecalcTrigger))</f>
        <v>obj_00997#0000</v>
      </c>
      <c r="S324" s="204" t="str">
        <f>_xll.qlVanillaSwapFromSwapIndex(,R324,O324)</f>
        <v>obj_00a61#0000</v>
      </c>
      <c r="T324" s="191">
        <f>_xll.qlVanillaSwapFairRate(S324)</f>
        <v>2.3083235463041543E-2</v>
      </c>
      <c r="U324" s="300">
        <f t="shared" si="28"/>
        <v>1.3235463041542939E-5</v>
      </c>
      <c r="X324" s="186" t="str">
        <f t="shared" si="30"/>
        <v>1D</v>
      </c>
      <c r="Y324" s="174">
        <f>_xll.qlCalendarAdvance(Calendar,Y323,X324,"f",FALSE)</f>
        <v>42381</v>
      </c>
      <c r="Z324" s="198">
        <f>_xll.qlCalendarAdvance(Calendar,Y324,NDays&amp;"D")</f>
        <v>42383</v>
      </c>
      <c r="AA324" s="173">
        <v>2.5360413366704148E-3</v>
      </c>
      <c r="AB324" s="182">
        <v>2.292722859564833E-3</v>
      </c>
    </row>
    <row r="325" spans="13:28" x14ac:dyDescent="0.2">
      <c r="M325" s="303" t="str">
        <v>obj_0076d#0000</v>
      </c>
      <c r="N325" s="186" t="str">
        <f>_xll.qlRateHelperQuoteName(M325)</f>
        <v>EUR14F14Y_Quote</v>
      </c>
      <c r="O325" s="174">
        <f>_xll.qlInterestRateIndexFixingDate(R325,_xll.qlRateHelperEarliestDate(M325,Trigger),)</f>
        <v>47058</v>
      </c>
      <c r="P325" s="201">
        <f>_xll.qlRateHelperQuoteValue(M325,_xll.ohTrigger(RecalcTrigger,YieldCurve))</f>
        <v>2.2890000000000001E-2</v>
      </c>
      <c r="Q325" s="204" t="str">
        <f t="shared" si="32"/>
        <v>14Y</v>
      </c>
      <c r="R325" s="204" t="str">
        <f>_xll.qlSwapIndex(,"Euribor",Q325,NDays,Currency,Calendar,"1Y","mf","30/360 (Bond Basis)",IborIndex,Discounting,,_xll.ohTrigger(Trigger,RecalcTrigger))</f>
        <v>obj_009fa#0000</v>
      </c>
      <c r="S325" s="204" t="str">
        <f>_xll.qlVanillaSwapFromSwapIndex(,R325,O325)</f>
        <v>obj_00add#0000</v>
      </c>
      <c r="T325" s="191">
        <f>_xll.qlVanillaSwapFairRate(S325)</f>
        <v>2.2921263938367225E-2</v>
      </c>
      <c r="U325" s="300">
        <f t="shared" si="28"/>
        <v>3.1263938367224325E-5</v>
      </c>
      <c r="X325" s="186" t="str">
        <f t="shared" si="30"/>
        <v>1D</v>
      </c>
      <c r="Y325" s="174">
        <f>_xll.qlCalendarAdvance(Calendar,Y324,X325,"f",FALSE)</f>
        <v>42382</v>
      </c>
      <c r="Z325" s="198">
        <f>_xll.qlCalendarAdvance(Calendar,Y325,NDays&amp;"D")</f>
        <v>42384</v>
      </c>
      <c r="AA325" s="173">
        <v>2.5386793613091495E-3</v>
      </c>
      <c r="AB325" s="182">
        <v>2.2860587356454687E-3</v>
      </c>
    </row>
    <row r="326" spans="13:28" x14ac:dyDescent="0.2">
      <c r="M326" s="303" t="str">
        <v>obj_0081c#0000</v>
      </c>
      <c r="N326" s="186" t="str">
        <f>_xll.qlRateHelperQuoteName(M326)</f>
        <v>EUR14F15Y_Quote</v>
      </c>
      <c r="O326" s="174">
        <f>_xll.qlInterestRateIndexFixingDate(R326,_xll.qlRateHelperEarliestDate(M326,Trigger),)</f>
        <v>47058</v>
      </c>
      <c r="P326" s="201">
        <f>_xll.qlRateHelperQuoteValue(M326,_xll.ohTrigger(RecalcTrigger,YieldCurve))</f>
        <v>2.2749999999999999E-2</v>
      </c>
      <c r="Q326" s="204" t="str">
        <f t="shared" si="32"/>
        <v>15Y</v>
      </c>
      <c r="R326" s="204" t="str">
        <f>_xll.qlSwapIndex(,"Euribor",Q326,NDays,Currency,Calendar,"1Y","mf","30/360 (Bond Basis)",IborIndex,Discounting,,_xll.ohTrigger(Trigger,RecalcTrigger))</f>
        <v>obj_00a2d#0000</v>
      </c>
      <c r="S326" s="204" t="str">
        <f>_xll.qlVanillaSwapFromSwapIndex(,R326,O326)</f>
        <v>obj_00a74#0000</v>
      </c>
      <c r="T326" s="191">
        <f>_xll.qlVanillaSwapFairRate(S326)</f>
        <v>2.277659131206013E-2</v>
      </c>
      <c r="U326" s="300">
        <f t="shared" si="28"/>
        <v>2.6591312060130629E-5</v>
      </c>
      <c r="X326" s="186" t="str">
        <f t="shared" si="30"/>
        <v>1D</v>
      </c>
      <c r="Y326" s="174">
        <f>_xll.qlCalendarAdvance(Calendar,Y325,X326,"f",FALSE)</f>
        <v>42383</v>
      </c>
      <c r="Z326" s="198">
        <f>_xll.qlCalendarAdvance(Calendar,Y326,NDays&amp;"D")</f>
        <v>42387</v>
      </c>
      <c r="AA326" s="173">
        <v>2.5466308108431195E-3</v>
      </c>
      <c r="AB326" s="182">
        <v>2.2793848475899381E-3</v>
      </c>
    </row>
    <row r="327" spans="13:28" x14ac:dyDescent="0.2">
      <c r="M327" s="303" t="str">
        <v>obj_007ce#0000</v>
      </c>
      <c r="N327" s="186" t="str">
        <f>_xll.qlRateHelperQuoteName(M327)</f>
        <v>EUR14F20Y_Quote</v>
      </c>
      <c r="O327" s="174">
        <f>_xll.qlInterestRateIndexFixingDate(R327,_xll.qlRateHelperEarliestDate(M327,Trigger),)</f>
        <v>47058</v>
      </c>
      <c r="P327" s="201">
        <f>_xll.qlRateHelperQuoteValue(M327,_xll.ohTrigger(RecalcTrigger,YieldCurve))</f>
        <v>2.2330000000000003E-2</v>
      </c>
      <c r="Q327" s="204" t="str">
        <f t="shared" si="32"/>
        <v>20Y</v>
      </c>
      <c r="R327" s="204" t="str">
        <f>_xll.qlSwapIndex(,"Euribor",Q327,NDays,Currency,Calendar,"1Y","mf","30/360 (Bond Basis)",IborIndex,Discounting,,_xll.ohTrigger(Trigger,RecalcTrigger))</f>
        <v>obj_009c1#0000</v>
      </c>
      <c r="S327" s="204" t="str">
        <f>_xll.qlVanillaSwapFromSwapIndex(,R327,O327)</f>
        <v>obj_00abc#0000</v>
      </c>
      <c r="T327" s="191">
        <f>_xll.qlVanillaSwapFairRate(S327)</f>
        <v>2.2343628569544617E-2</v>
      </c>
      <c r="U327" s="300">
        <f t="shared" si="28"/>
        <v>1.3628569544614499E-5</v>
      </c>
      <c r="X327" s="186" t="str">
        <f t="shared" si="30"/>
        <v>1D</v>
      </c>
      <c r="Y327" s="174">
        <f>_xll.qlCalendarAdvance(Calendar,Y326,X327,"f",FALSE)</f>
        <v>42384</v>
      </c>
      <c r="Z327" s="198">
        <f>_xll.qlCalendarAdvance(Calendar,Y327,NDays&amp;"D")</f>
        <v>42388</v>
      </c>
      <c r="AA327" s="173">
        <v>2.54929380061599E-3</v>
      </c>
      <c r="AB327" s="182">
        <v>2.2760647964759073E-3</v>
      </c>
    </row>
    <row r="328" spans="13:28" x14ac:dyDescent="0.2">
      <c r="M328" s="303" t="str">
        <v>obj_007b1#0000</v>
      </c>
      <c r="N328" s="186" t="str">
        <f>_xll.qlRateHelperQuoteName(M328)</f>
        <v>EUR14F25Y_Quote</v>
      </c>
      <c r="O328" s="174">
        <f>_xll.qlInterestRateIndexFixingDate(R328,_xll.qlRateHelperEarliestDate(M328,Trigger),)</f>
        <v>47058</v>
      </c>
      <c r="P328" s="201">
        <f>_xll.qlRateHelperQuoteValue(M328,_xll.ohTrigger(RecalcTrigger,YieldCurve))</f>
        <v>2.2179999999999998E-2</v>
      </c>
      <c r="Q328" s="204" t="str">
        <f t="shared" si="32"/>
        <v>25Y</v>
      </c>
      <c r="R328" s="204" t="str">
        <f>_xll.qlSwapIndex(,"Euribor",Q328,NDays,Currency,Calendar,"1Y","mf","30/360 (Bond Basis)",IborIndex,Discounting,,_xll.ohTrigger(Trigger,RecalcTrigger))</f>
        <v>obj_008f1#0000</v>
      </c>
      <c r="S328" s="204" t="str">
        <f>_xll.qlVanillaSwapFromSwapIndex(,R328,O328)</f>
        <v>obj_00b80#0000</v>
      </c>
      <c r="T328" s="191">
        <f>_xll.qlVanillaSwapFairRate(S328)</f>
        <v>2.220528436855038E-2</v>
      </c>
      <c r="U328" s="300">
        <f t="shared" si="28"/>
        <v>2.5284368550381603E-5</v>
      </c>
      <c r="X328" s="186" t="str">
        <f t="shared" si="30"/>
        <v>1D</v>
      </c>
      <c r="Y328" s="174">
        <f>_xll.qlCalendarAdvance(Calendar,Y327,X328,"f",FALSE)</f>
        <v>42387</v>
      </c>
      <c r="Z328" s="198">
        <f>_xll.qlCalendarAdvance(Calendar,Y328,NDays&amp;"D")</f>
        <v>42389</v>
      </c>
      <c r="AA328" s="173">
        <v>2.5519630677143332E-3</v>
      </c>
      <c r="AB328" s="182">
        <v>2.2727505261777026E-3</v>
      </c>
    </row>
    <row r="329" spans="13:28" ht="12" thickBot="1" x14ac:dyDescent="0.25">
      <c r="M329" s="304" t="str">
        <v>obj_00791#0000</v>
      </c>
      <c r="N329" s="187" t="str">
        <f>_xll.qlRateHelperQuoteName(M329)</f>
        <v>EUR14F30Y_Quote</v>
      </c>
      <c r="O329" s="184">
        <f>_xll.qlInterestRateIndexFixingDate(R329,_xll.qlRateHelperEarliestDate(M329,Trigger),)</f>
        <v>47058</v>
      </c>
      <c r="P329" s="202">
        <f>_xll.qlRateHelperQuoteValue(M329,_xll.ohTrigger(RecalcTrigger,YieldCurve))</f>
        <v>2.1930000000000002E-2</v>
      </c>
      <c r="Q329" s="205" t="str">
        <f t="shared" si="32"/>
        <v>30Y</v>
      </c>
      <c r="R329" s="205" t="str">
        <f>_xll.qlSwapIndex(,"Euribor",Q329,NDays,Currency,Calendar,"1Y","mf","30/360 (Bond Basis)",IborIndex,Discounting,,_xll.ohTrigger(Trigger,RecalcTrigger))</f>
        <v>obj_00a17#0000</v>
      </c>
      <c r="S329" s="205" t="str">
        <f>_xll.qlVanillaSwapFromSwapIndex(,R329,O329)</f>
        <v>obj_00aee#0000</v>
      </c>
      <c r="T329" s="193">
        <f>_xll.qlVanillaSwapFairRate(S329)</f>
        <v>2.1931847275213967E-2</v>
      </c>
      <c r="U329" s="301">
        <f t="shared" si="28"/>
        <v>1.8472752139654658E-6</v>
      </c>
      <c r="X329" s="186" t="str">
        <f t="shared" si="30"/>
        <v>1D</v>
      </c>
      <c r="Y329" s="174">
        <f>_xll.qlCalendarAdvance(Calendar,Y328,X329,"f",FALSE)</f>
        <v>42388</v>
      </c>
      <c r="Z329" s="198">
        <f>_xll.qlCalendarAdvance(Calendar,Y329,NDays&amp;"D")</f>
        <v>42390</v>
      </c>
      <c r="AA329" s="173">
        <v>2.5546386265543094E-3</v>
      </c>
      <c r="AB329" s="182">
        <v>2.2694420366153878E-3</v>
      </c>
    </row>
    <row r="330" spans="13:28" x14ac:dyDescent="0.2">
      <c r="M330" s="305" t="str">
        <v>obj_0085e#0000</v>
      </c>
      <c r="N330" s="289" t="str">
        <f>_xll.qlRateHelperQuoteName(M330)</f>
        <v>EUR15F1Y_Quote</v>
      </c>
      <c r="O330" s="286">
        <f>_xll.qlInterestRateIndexFixingDate(R330,_xll.qlRateHelperEarliestDate(M330,Trigger),)</f>
        <v>47423</v>
      </c>
      <c r="P330" s="287">
        <f>_xll.qlRateHelperQuoteValue(M330,_xll.ohTrigger(RecalcTrigger,YieldCurve))</f>
        <v>2.4780000000000003E-2</v>
      </c>
      <c r="Q330" s="285" t="str">
        <f t="shared" ref="Q330:Q347" si="33">SUBSTITUTE(SUBSTITUTE(N330,"_Quote",""),"EUR15F","")</f>
        <v>1Y</v>
      </c>
      <c r="R330" s="285" t="str">
        <f>_xll.qlSwapIndex(,"Euribor",Q330,NDays,Currency,Calendar,"1Y","mf","30/360 (Bond Basis)",IborIndex,Discounting,,_xll.ohTrigger(Trigger,RecalcTrigger))</f>
        <v>obj_009a0#0000</v>
      </c>
      <c r="S330" s="285" t="str">
        <f>_xll.qlVanillaSwapFromSwapIndex(,R330,O330)</f>
        <v>obj_00a41#0000</v>
      </c>
      <c r="T330" s="288">
        <f>_xll.qlVanillaSwapFairRate(S330)</f>
        <v>2.4725602448140867E-2</v>
      </c>
      <c r="U330" s="302">
        <f t="shared" si="28"/>
        <v>-5.4397551859135945E-5</v>
      </c>
      <c r="X330" s="186" t="str">
        <f t="shared" si="30"/>
        <v>1D</v>
      </c>
      <c r="Y330" s="174">
        <f>_xll.qlCalendarAdvance(Calendar,Y329,X330,"f",FALSE)</f>
        <v>42389</v>
      </c>
      <c r="Z330" s="198">
        <f>_xll.qlCalendarAdvance(Calendar,Y330,NDays&amp;"D")</f>
        <v>42391</v>
      </c>
      <c r="AA330" s="173">
        <v>2.5573204915542757E-3</v>
      </c>
      <c r="AB330" s="182">
        <v>2.2628585502193488E-3</v>
      </c>
    </row>
    <row r="331" spans="13:28" x14ac:dyDescent="0.2">
      <c r="M331" s="303" t="str">
        <v>obj_0079d#0000</v>
      </c>
      <c r="N331" s="186" t="str">
        <f>_xll.qlRateHelperQuoteName(M331)</f>
        <v>EUR15F2Y_Quote</v>
      </c>
      <c r="O331" s="174">
        <f>_xll.qlInterestRateIndexFixingDate(R331,_xll.qlRateHelperEarliestDate(M331,Trigger),)</f>
        <v>47423</v>
      </c>
      <c r="P331" s="201">
        <f>_xll.qlRateHelperQuoteValue(M331,_xll.ohTrigger(RecalcTrigger,YieldCurve))</f>
        <v>2.4729999999999999E-2</v>
      </c>
      <c r="Q331" s="204" t="str">
        <f t="shared" si="33"/>
        <v>2Y</v>
      </c>
      <c r="R331" s="204" t="str">
        <f>_xll.qlSwapIndex(,"Euribor",Q331,NDays,Currency,Calendar,"1Y","mf","30/360 (Bond Basis)",IborIndex,Discounting,,_xll.ohTrigger(Trigger,RecalcTrigger))</f>
        <v>obj_00916#0000</v>
      </c>
      <c r="S331" s="204" t="str">
        <f>_xll.qlVanillaSwapFromSwapIndex(,R331,O331)</f>
        <v>obj_00b23#0000</v>
      </c>
      <c r="T331" s="191">
        <f>_xll.qlVanillaSwapFairRate(S331)</f>
        <v>2.4681521873444637E-2</v>
      </c>
      <c r="U331" s="300">
        <f t="shared" si="28"/>
        <v>-4.8478126555361045E-5</v>
      </c>
      <c r="X331" s="186" t="str">
        <f t="shared" si="30"/>
        <v>1D</v>
      </c>
      <c r="Y331" s="174">
        <f>_xll.qlCalendarAdvance(Calendar,Y330,X331,"f",FALSE)</f>
        <v>42390</v>
      </c>
      <c r="Z331" s="198">
        <f>_xll.qlCalendarAdvance(Calendar,Y331,NDays&amp;"D")</f>
        <v>42394</v>
      </c>
      <c r="AA331" s="173">
        <v>2.565404067682746E-3</v>
      </c>
      <c r="AB331" s="182">
        <v>2.2562658859648366E-3</v>
      </c>
    </row>
    <row r="332" spans="13:28" x14ac:dyDescent="0.2">
      <c r="M332" s="303" t="str">
        <v>obj_007d8#0000</v>
      </c>
      <c r="N332" s="186" t="str">
        <f>_xll.qlRateHelperQuoteName(M332)</f>
        <v>EUR15F3Y_Quote</v>
      </c>
      <c r="O332" s="174">
        <f>_xll.qlInterestRateIndexFixingDate(R332,_xll.qlRateHelperEarliestDate(M332,Trigger),)</f>
        <v>47423</v>
      </c>
      <c r="P332" s="201">
        <f>_xll.qlRateHelperQuoteValue(M332,_xll.ohTrigger(RecalcTrigger,YieldCurve))</f>
        <v>2.46E-2</v>
      </c>
      <c r="Q332" s="204" t="str">
        <f t="shared" si="33"/>
        <v>3Y</v>
      </c>
      <c r="R332" s="204" t="str">
        <f>_xll.qlSwapIndex(,"Euribor",Q332,NDays,Currency,Calendar,"1Y","mf","30/360 (Bond Basis)",IborIndex,Discounting,,_xll.ohTrigger(Trigger,RecalcTrigger))</f>
        <v>obj_009df#0000</v>
      </c>
      <c r="S332" s="204" t="str">
        <f>_xll.qlVanillaSwapFromSwapIndex(,R332,O332)</f>
        <v>obj_00b57#0000</v>
      </c>
      <c r="T332" s="191">
        <f>_xll.qlVanillaSwapFairRate(S332)</f>
        <v>2.4620250198649413E-2</v>
      </c>
      <c r="U332" s="300">
        <f t="shared" si="28"/>
        <v>2.0250198649412327E-5</v>
      </c>
      <c r="X332" s="186" t="str">
        <f t="shared" si="30"/>
        <v>1D</v>
      </c>
      <c r="Y332" s="174">
        <f>_xll.qlCalendarAdvance(Calendar,Y331,X332,"f",FALSE)</f>
        <v>42391</v>
      </c>
      <c r="Z332" s="198">
        <f>_xll.qlCalendarAdvance(Calendar,Y332,NDays&amp;"D")</f>
        <v>42395</v>
      </c>
      <c r="AA332" s="173">
        <v>2.5681113014939397E-3</v>
      </c>
      <c r="AB332" s="182">
        <v>2.2529863001619077E-3</v>
      </c>
    </row>
    <row r="333" spans="13:28" x14ac:dyDescent="0.2">
      <c r="M333" s="303" t="str">
        <v>obj_00787#0000</v>
      </c>
      <c r="N333" s="186" t="str">
        <f>_xll.qlRateHelperQuoteName(M333)</f>
        <v>EUR15F4Y_Quote</v>
      </c>
      <c r="O333" s="174">
        <f>_xll.qlInterestRateIndexFixingDate(R333,_xll.qlRateHelperEarliestDate(M333,Trigger),)</f>
        <v>47423</v>
      </c>
      <c r="P333" s="201">
        <f>_xll.qlRateHelperQuoteValue(M333,_xll.ohTrigger(RecalcTrigger,YieldCurve))</f>
        <v>2.4489999999999998E-2</v>
      </c>
      <c r="Q333" s="204" t="str">
        <f t="shared" si="33"/>
        <v>4Y</v>
      </c>
      <c r="R333" s="204" t="str">
        <f>_xll.qlSwapIndex(,"Euribor",Q333,NDays,Currency,Calendar,"1Y","mf","30/360 (Bond Basis)",IborIndex,Discounting,,_xll.ohTrigger(Trigger,RecalcTrigger))</f>
        <v>obj_009e3#0000</v>
      </c>
      <c r="S333" s="204" t="str">
        <f>_xll.qlVanillaSwapFromSwapIndex(,R333,O333)</f>
        <v>obj_00acf#0000</v>
      </c>
      <c r="T333" s="191">
        <f>_xll.qlVanillaSwapFairRate(S333)</f>
        <v>2.4492215900946718E-2</v>
      </c>
      <c r="U333" s="300">
        <f t="shared" si="28"/>
        <v>2.215900946719862E-6</v>
      </c>
      <c r="X333" s="186" t="str">
        <f t="shared" si="30"/>
        <v>1D</v>
      </c>
      <c r="Y333" s="174">
        <f>_xll.qlCalendarAdvance(Calendar,Y332,X333,"f",FALSE)</f>
        <v>42394</v>
      </c>
      <c r="Z333" s="198">
        <f>_xll.qlCalendarAdvance(Calendar,Y333,NDays&amp;"D")</f>
        <v>42396</v>
      </c>
      <c r="AA333" s="173">
        <v>2.5708249135520749E-3</v>
      </c>
      <c r="AB333" s="182">
        <v>2.2497124951748049E-3</v>
      </c>
    </row>
    <row r="334" spans="13:28" x14ac:dyDescent="0.2">
      <c r="M334" s="303" t="str">
        <v>obj_00765#0000</v>
      </c>
      <c r="N334" s="186" t="str">
        <f>_xll.qlRateHelperQuoteName(M334)</f>
        <v>EUR15F5Y_Quote</v>
      </c>
      <c r="O334" s="174">
        <f>_xll.qlInterestRateIndexFixingDate(R334,_xll.qlRateHelperEarliestDate(M334,Trigger),)</f>
        <v>47423</v>
      </c>
      <c r="P334" s="201">
        <f>_xll.qlRateHelperQuoteValue(M334,_xll.ohTrigger(RecalcTrigger,YieldCurve))</f>
        <v>2.4310000000000002E-2</v>
      </c>
      <c r="Q334" s="204" t="str">
        <f t="shared" si="33"/>
        <v>5Y</v>
      </c>
      <c r="R334" s="204" t="str">
        <f>_xll.qlSwapIndex(,"Euribor",Q334,NDays,Currency,Calendar,"1Y","mf","30/360 (Bond Basis)",IborIndex,Discounting,,_xll.ohTrigger(Trigger,RecalcTrigger))</f>
        <v>obj_009cf#0000</v>
      </c>
      <c r="S334" s="204" t="str">
        <f>_xll.qlVanillaSwapFromSwapIndex(,R334,O334)</f>
        <v>obj_00b6f#0000</v>
      </c>
      <c r="T334" s="191">
        <f>_xll.qlVanillaSwapFairRate(S334)</f>
        <v>2.4329781816020191E-2</v>
      </c>
      <c r="U334" s="300">
        <f t="shared" si="28"/>
        <v>1.9781816020188886E-5</v>
      </c>
      <c r="X334" s="186" t="str">
        <f t="shared" si="30"/>
        <v>1D</v>
      </c>
      <c r="Y334" s="174">
        <f>_xll.qlCalendarAdvance(Calendar,Y333,X334,"f",FALSE)</f>
        <v>42395</v>
      </c>
      <c r="Z334" s="198">
        <f>_xll.qlCalendarAdvance(Calendar,Y334,NDays&amp;"D")</f>
        <v>42397</v>
      </c>
      <c r="AA334" s="173">
        <v>2.5735449182750694E-3</v>
      </c>
      <c r="AB334" s="182">
        <v>2.246444470923592E-3</v>
      </c>
    </row>
    <row r="335" spans="13:28" x14ac:dyDescent="0.2">
      <c r="M335" s="303" t="str">
        <v>obj_007df#0000</v>
      </c>
      <c r="N335" s="186" t="str">
        <f>_xll.qlRateHelperQuoteName(M335)</f>
        <v>EUR15F6Y_Quote</v>
      </c>
      <c r="O335" s="174">
        <f>_xll.qlInterestRateIndexFixingDate(R335,_xll.qlRateHelperEarliestDate(M335,Trigger),)</f>
        <v>47423</v>
      </c>
      <c r="P335" s="201">
        <f>_xll.qlRateHelperQuoteValue(M335,_xll.ohTrigger(RecalcTrigger,YieldCurve))</f>
        <v>2.4140000000000002E-2</v>
      </c>
      <c r="Q335" s="204" t="str">
        <f t="shared" si="33"/>
        <v>6Y</v>
      </c>
      <c r="R335" s="204" t="str">
        <f>_xll.qlSwapIndex(,"Euribor",Q335,NDays,Currency,Calendar,"1Y","mf","30/360 (Bond Basis)",IborIndex,Discounting,,_xll.ohTrigger(Trigger,RecalcTrigger))</f>
        <v>obj_0090c#0000</v>
      </c>
      <c r="S335" s="204" t="str">
        <f>_xll.qlVanillaSwapFromSwapIndex(,R335,O335)</f>
        <v>obj_00b5d#0000</v>
      </c>
      <c r="T335" s="191">
        <f>_xll.qlVanillaSwapFairRate(S335)</f>
        <v>2.4135855092212711E-2</v>
      </c>
      <c r="U335" s="300">
        <f t="shared" ref="U335:U398" si="34">T335-P335</f>
        <v>-4.1449077872908469E-6</v>
      </c>
      <c r="X335" s="186" t="str">
        <f t="shared" si="30"/>
        <v>1D</v>
      </c>
      <c r="Y335" s="174">
        <f>_xll.qlCalendarAdvance(Calendar,Y334,X335,"f",FALSE)</f>
        <v>42396</v>
      </c>
      <c r="Z335" s="198">
        <f>_xll.qlCalendarAdvance(Calendar,Y335,NDays&amp;"D")</f>
        <v>42398</v>
      </c>
      <c r="AA335" s="173">
        <v>2.57627133008084E-3</v>
      </c>
      <c r="AB335" s="182">
        <v>2.2399416284724083E-3</v>
      </c>
    </row>
    <row r="336" spans="13:28" x14ac:dyDescent="0.2">
      <c r="M336" s="303" t="str">
        <v>obj_00831#0000</v>
      </c>
      <c r="N336" s="186" t="str">
        <f>_xll.qlRateHelperQuoteName(M336)</f>
        <v>EUR15F7Y_Quote</v>
      </c>
      <c r="O336" s="174">
        <f>_xll.qlInterestRateIndexFixingDate(R336,_xll.qlRateHelperEarliestDate(M336,Trigger),)</f>
        <v>47423</v>
      </c>
      <c r="P336" s="201">
        <f>_xll.qlRateHelperQuoteValue(M336,_xll.ohTrigger(RecalcTrigger,YieldCurve))</f>
        <v>2.392E-2</v>
      </c>
      <c r="Q336" s="204" t="str">
        <f t="shared" si="33"/>
        <v>7Y</v>
      </c>
      <c r="R336" s="204" t="str">
        <f>_xll.qlSwapIndex(,"Euribor",Q336,NDays,Currency,Calendar,"1Y","mf","30/360 (Bond Basis)",IborIndex,Discounting,,_xll.ohTrigger(Trigger,RecalcTrigger))</f>
        <v>obj_009ba#0000</v>
      </c>
      <c r="S336" s="204" t="str">
        <f>_xll.qlVanillaSwapFromSwapIndex(,R336,O336)</f>
        <v>obj_00b70#0000</v>
      </c>
      <c r="T336" s="191">
        <f>_xll.qlVanillaSwapFairRate(S336)</f>
        <v>2.3934530356115043E-2</v>
      </c>
      <c r="U336" s="300">
        <f t="shared" si="34"/>
        <v>1.4530356115042414E-5</v>
      </c>
      <c r="X336" s="186" t="str">
        <f t="shared" si="30"/>
        <v>1D</v>
      </c>
      <c r="Y336" s="174">
        <f>_xll.qlCalendarAdvance(Calendar,Y335,X336,"f",FALSE)</f>
        <v>42397</v>
      </c>
      <c r="Z336" s="198">
        <f>_xll.qlCalendarAdvance(Calendar,Y336,NDays&amp;"D")</f>
        <v>42401</v>
      </c>
      <c r="AA336" s="173">
        <v>2.584489152180573E-3</v>
      </c>
      <c r="AB336" s="182">
        <v>2.2334301814375124E-3</v>
      </c>
    </row>
    <row r="337" spans="13:28" x14ac:dyDescent="0.2">
      <c r="M337" s="303" t="str">
        <v>obj_007c9#0000</v>
      </c>
      <c r="N337" s="186" t="str">
        <f>_xll.qlRateHelperQuoteName(M337)</f>
        <v>EUR15F8Y_Quote</v>
      </c>
      <c r="O337" s="174">
        <f>_xll.qlInterestRateIndexFixingDate(R337,_xll.qlRateHelperEarliestDate(M337,Trigger),)</f>
        <v>47423</v>
      </c>
      <c r="P337" s="201">
        <f>_xll.qlRateHelperQuoteValue(M337,_xll.ohTrigger(RecalcTrigger,YieldCurve))</f>
        <v>2.3700000000000002E-2</v>
      </c>
      <c r="Q337" s="204" t="str">
        <f t="shared" si="33"/>
        <v>8Y</v>
      </c>
      <c r="R337" s="204" t="str">
        <f>_xll.qlSwapIndex(,"Euribor",Q337,NDays,Currency,Calendar,"1Y","mf","30/360 (Bond Basis)",IborIndex,Discounting,,_xll.ohTrigger(Trigger,RecalcTrigger))</f>
        <v>obj_009b8#0000</v>
      </c>
      <c r="S337" s="204" t="str">
        <f>_xll.qlVanillaSwapFromSwapIndex(,R337,O337)</f>
        <v>obj_00b4b#0000</v>
      </c>
      <c r="T337" s="191">
        <f>_xll.qlVanillaSwapFairRate(S337)</f>
        <v>2.3720029456665771E-2</v>
      </c>
      <c r="U337" s="300">
        <f t="shared" si="34"/>
        <v>2.0029456665768969E-5</v>
      </c>
      <c r="X337" s="186" t="str">
        <f t="shared" si="30"/>
        <v>1D</v>
      </c>
      <c r="Y337" s="174">
        <f>_xll.qlCalendarAdvance(Calendar,Y336,X337,"f",FALSE)</f>
        <v>42398</v>
      </c>
      <c r="Z337" s="198">
        <f>_xll.qlCalendarAdvance(Calendar,Y337,NDays&amp;"D")</f>
        <v>42402</v>
      </c>
      <c r="AA337" s="173">
        <v>2.587241336502333E-3</v>
      </c>
      <c r="AB337" s="182">
        <v>2.2301910610256215E-3</v>
      </c>
    </row>
    <row r="338" spans="13:28" x14ac:dyDescent="0.2">
      <c r="M338" s="303" t="str">
        <v>obj_00839#0000</v>
      </c>
      <c r="N338" s="186" t="str">
        <f>_xll.qlRateHelperQuoteName(M338)</f>
        <v>EUR15F9Y_Quote</v>
      </c>
      <c r="O338" s="174">
        <f>_xll.qlInterestRateIndexFixingDate(R338,_xll.qlRateHelperEarliestDate(M338,Trigger),)</f>
        <v>47423</v>
      </c>
      <c r="P338" s="201">
        <f>_xll.qlRateHelperQuoteValue(M338,_xll.ohTrigger(RecalcTrigger,YieldCurve))</f>
        <v>2.349E-2</v>
      </c>
      <c r="Q338" s="204" t="str">
        <f t="shared" si="33"/>
        <v>9Y</v>
      </c>
      <c r="R338" s="204" t="str">
        <f>_xll.qlSwapIndex(,"Euribor",Q338,NDays,Currency,Calendar,"1Y","mf","30/360 (Bond Basis)",IborIndex,Discounting,,_xll.ohTrigger(Trigger,RecalcTrigger))</f>
        <v>obj_009bd#0000</v>
      </c>
      <c r="S338" s="204" t="str">
        <f>_xll.qlVanillaSwapFromSwapIndex(,R338,O338)</f>
        <v>obj_00a7e#0000</v>
      </c>
      <c r="T338" s="191">
        <f>_xll.qlVanillaSwapFairRate(S338)</f>
        <v>2.3508132865530287E-2</v>
      </c>
      <c r="U338" s="300">
        <f t="shared" si="34"/>
        <v>1.8132865530286896E-5</v>
      </c>
      <c r="X338" s="186" t="str">
        <f t="shared" si="30"/>
        <v>1D</v>
      </c>
      <c r="Y338" s="174">
        <f>_xll.qlCalendarAdvance(Calendar,Y337,X338,"f",FALSE)</f>
        <v>42401</v>
      </c>
      <c r="Z338" s="198">
        <f>_xll.qlCalendarAdvance(Calendar,Y338,NDays&amp;"D")</f>
        <v>42403</v>
      </c>
      <c r="AA338" s="173">
        <v>2.589999999999531E-3</v>
      </c>
      <c r="AB338" s="182">
        <v>2.2270674260749246E-3</v>
      </c>
    </row>
    <row r="339" spans="13:28" x14ac:dyDescent="0.2">
      <c r="M339" s="303" t="str">
        <v>obj_00862#0000</v>
      </c>
      <c r="N339" s="186" t="str">
        <f>_xll.qlRateHelperQuoteName(M339)</f>
        <v>EUR15F10Y_Quote</v>
      </c>
      <c r="O339" s="174">
        <f>_xll.qlInterestRateIndexFixingDate(R339,_xll.qlRateHelperEarliestDate(M339,Trigger),)</f>
        <v>47423</v>
      </c>
      <c r="P339" s="201">
        <f>_xll.qlRateHelperQuoteValue(M339,_xll.ohTrigger(RecalcTrigger,YieldCurve))</f>
        <v>2.3290000000000002E-2</v>
      </c>
      <c r="Q339" s="204" t="str">
        <f t="shared" si="33"/>
        <v>10Y</v>
      </c>
      <c r="R339" s="204" t="str">
        <f>_xll.qlSwapIndex(,"Euribor",Q339,NDays,Currency,Calendar,"1Y","mf","30/360 (Bond Basis)",IborIndex,Discounting,,_xll.ohTrigger(Trigger,RecalcTrigger))</f>
        <v>obj_00937#0000</v>
      </c>
      <c r="S339" s="204" t="str">
        <f>_xll.qlVanillaSwapFromSwapIndex(,R339,O339)</f>
        <v>obj_00b78#0000</v>
      </c>
      <c r="T339" s="191">
        <f>_xll.qlVanillaSwapFairRate(S339)</f>
        <v>2.3301224558379258E-2</v>
      </c>
      <c r="U339" s="300">
        <f t="shared" si="34"/>
        <v>1.1224558379256677E-5</v>
      </c>
      <c r="X339" s="186" t="str">
        <f t="shared" si="30"/>
        <v>1D</v>
      </c>
      <c r="Y339" s="174">
        <f>_xll.qlCalendarAdvance(Calendar,Y338,X339,"f",FALSE)</f>
        <v>42402</v>
      </c>
      <c r="Z339" s="198">
        <f>_xll.qlCalendarAdvance(Calendar,Y339,NDays&amp;"D")</f>
        <v>42404</v>
      </c>
      <c r="AA339" s="173">
        <v>2.5927651644310256E-3</v>
      </c>
      <c r="AB339" s="182">
        <v>2.2244980959662541E-3</v>
      </c>
    </row>
    <row r="340" spans="13:28" x14ac:dyDescent="0.2">
      <c r="M340" s="303" t="str">
        <v>obj_007d4#0000</v>
      </c>
      <c r="N340" s="186" t="str">
        <f>_xll.qlRateHelperQuoteName(M340)</f>
        <v>EUR15F11Y_Quote</v>
      </c>
      <c r="O340" s="174">
        <f>_xll.qlInterestRateIndexFixingDate(R340,_xll.qlRateHelperEarliestDate(M340,Trigger),)</f>
        <v>47423</v>
      </c>
      <c r="P340" s="201">
        <f>_xll.qlRateHelperQuoteValue(M340,_xll.ohTrigger(RecalcTrigger,YieldCurve))</f>
        <v>2.3090000000000003E-2</v>
      </c>
      <c r="Q340" s="204" t="str">
        <f t="shared" si="33"/>
        <v>11Y</v>
      </c>
      <c r="R340" s="204" t="str">
        <f>_xll.qlSwapIndex(,"Euribor",Q340,NDays,Currency,Calendar,"1Y","mf","30/360 (Bond Basis)",IborIndex,Discounting,,_xll.ohTrigger(Trigger,RecalcTrigger))</f>
        <v>obj_009fd#0000</v>
      </c>
      <c r="S340" s="204" t="str">
        <f>_xll.qlVanillaSwapFromSwapIndex(,R340,O340)</f>
        <v>obj_00aa5#0000</v>
      </c>
      <c r="T340" s="191">
        <f>_xll.qlVanillaSwapFairRate(S340)</f>
        <v>2.3110349856189691E-2</v>
      </c>
      <c r="U340" s="300">
        <f t="shared" si="34"/>
        <v>2.0349856189687959E-5</v>
      </c>
      <c r="X340" s="186" t="str">
        <f t="shared" si="30"/>
        <v>1D</v>
      </c>
      <c r="Y340" s="174">
        <f>_xll.qlCalendarAdvance(Calendar,Y339,X340,"f",FALSE)</f>
        <v>42403</v>
      </c>
      <c r="Z340" s="198">
        <f>_xll.qlCalendarAdvance(Calendar,Y340,NDays&amp;"D")</f>
        <v>42405</v>
      </c>
      <c r="AA340" s="173">
        <v>2.5955368809115332E-3</v>
      </c>
      <c r="AB340" s="182">
        <v>2.221586510593454E-3</v>
      </c>
    </row>
    <row r="341" spans="13:28" x14ac:dyDescent="0.2">
      <c r="M341" s="303" t="str">
        <v>obj_00878#0000</v>
      </c>
      <c r="N341" s="186" t="str">
        <f>_xll.qlRateHelperQuoteName(M341)</f>
        <v>EUR15F12Y_Quote</v>
      </c>
      <c r="O341" s="174">
        <f>_xll.qlInterestRateIndexFixingDate(R341,_xll.qlRateHelperEarliestDate(M341,Trigger),)</f>
        <v>47423</v>
      </c>
      <c r="P341" s="201">
        <f>_xll.qlRateHelperQuoteValue(M341,_xll.ohTrigger(RecalcTrigger,YieldCurve))</f>
        <v>2.2919999999999999E-2</v>
      </c>
      <c r="Q341" s="204" t="str">
        <f t="shared" si="33"/>
        <v>12Y</v>
      </c>
      <c r="R341" s="204" t="str">
        <f>_xll.qlSwapIndex(,"Euribor",Q341,NDays,Currency,Calendar,"1Y","mf","30/360 (Bond Basis)",IborIndex,Discounting,,_xll.ohTrigger(Trigger,RecalcTrigger))</f>
        <v>obj_0090f#0000</v>
      </c>
      <c r="S341" s="204" t="str">
        <f>_xll.qlVanillaSwapFromSwapIndex(,R341,O341)</f>
        <v>obj_00a9c#0000</v>
      </c>
      <c r="T341" s="191">
        <f>_xll.qlVanillaSwapFairRate(S341)</f>
        <v>2.2926761291642197E-2</v>
      </c>
      <c r="U341" s="300">
        <f t="shared" si="34"/>
        <v>6.7612916421974645E-6</v>
      </c>
      <c r="X341" s="186" t="str">
        <f t="shared" ref="X341:X404" si="35">X340</f>
        <v>1D</v>
      </c>
      <c r="Y341" s="174">
        <f>_xll.qlCalendarAdvance(Calendar,Y340,X341,"f",FALSE)</f>
        <v>42404</v>
      </c>
      <c r="Z341" s="198">
        <f>_xll.qlCalendarAdvance(Calendar,Y341,NDays&amp;"D")</f>
        <v>42408</v>
      </c>
      <c r="AA341" s="173">
        <v>2.603891927203715E-3</v>
      </c>
      <c r="AB341" s="182">
        <v>2.2208608716844935E-3</v>
      </c>
    </row>
    <row r="342" spans="13:28" x14ac:dyDescent="0.2">
      <c r="M342" s="303" t="str">
        <v>obj_0079a#0000</v>
      </c>
      <c r="N342" s="186" t="str">
        <f>_xll.qlRateHelperQuoteName(M342)</f>
        <v>EUR15F13Y_Quote</v>
      </c>
      <c r="O342" s="174">
        <f>_xll.qlInterestRateIndexFixingDate(R342,_xll.qlRateHelperEarliestDate(M342,Trigger),)</f>
        <v>47423</v>
      </c>
      <c r="P342" s="201">
        <f>_xll.qlRateHelperQuoteValue(M342,_xll.ohTrigger(RecalcTrigger,YieldCurve))</f>
        <v>2.274E-2</v>
      </c>
      <c r="Q342" s="204" t="str">
        <f t="shared" si="33"/>
        <v>13Y</v>
      </c>
      <c r="R342" s="204" t="str">
        <f>_xll.qlSwapIndex(,"Euribor",Q342,NDays,Currency,Calendar,"1Y","mf","30/360 (Bond Basis)",IborIndex,Discounting,,_xll.ohTrigger(Trigger,RecalcTrigger))</f>
        <v>obj_009f8#0000</v>
      </c>
      <c r="S342" s="204" t="str">
        <f>_xll.qlVanillaSwapFromSwapIndex(,R342,O342)</f>
        <v>obj_00af2#0000</v>
      </c>
      <c r="T342" s="191">
        <f>_xll.qlVanillaSwapFairRate(S342)</f>
        <v>2.2760344965928589E-2</v>
      </c>
      <c r="U342" s="300">
        <f t="shared" si="34"/>
        <v>2.0344965928589115E-5</v>
      </c>
      <c r="X342" s="186" t="str">
        <f t="shared" si="35"/>
        <v>1D</v>
      </c>
      <c r="Y342" s="174">
        <f>_xll.qlCalendarAdvance(Calendar,Y341,X342,"f",FALSE)</f>
        <v>42405</v>
      </c>
      <c r="Z342" s="198">
        <f>_xll.qlCalendarAdvance(Calendar,Y342,NDays&amp;"D")</f>
        <v>42409</v>
      </c>
      <c r="AA342" s="173">
        <v>2.6066904364381721E-3</v>
      </c>
      <c r="AB342" s="182">
        <v>2.2216115894924116E-3</v>
      </c>
    </row>
    <row r="343" spans="13:28" x14ac:dyDescent="0.2">
      <c r="M343" s="303" t="str">
        <v>obj_0084c#0000</v>
      </c>
      <c r="N343" s="186" t="str">
        <f>_xll.qlRateHelperQuoteName(M343)</f>
        <v>EUR15F14Y_Quote</v>
      </c>
      <c r="O343" s="174">
        <f>_xll.qlInterestRateIndexFixingDate(R343,_xll.qlRateHelperEarliestDate(M343,Trigger),)</f>
        <v>47423</v>
      </c>
      <c r="P343" s="201">
        <f>_xll.qlRateHelperQuoteValue(M343,_xll.ohTrigger(RecalcTrigger,YieldCurve))</f>
        <v>2.2589999999999999E-2</v>
      </c>
      <c r="Q343" s="204" t="str">
        <f t="shared" si="33"/>
        <v>14Y</v>
      </c>
      <c r="R343" s="204" t="str">
        <f>_xll.qlSwapIndex(,"Euribor",Q343,NDays,Currency,Calendar,"1Y","mf","30/360 (Bond Basis)",IborIndex,Discounting,,_xll.ohTrigger(Trigger,RecalcTrigger))</f>
        <v>obj_00927#0000</v>
      </c>
      <c r="S343" s="204" t="str">
        <f>_xll.qlVanillaSwapFromSwapIndex(,R343,O343)</f>
        <v>obj_00a64#0000</v>
      </c>
      <c r="T343" s="191">
        <f>_xll.qlVanillaSwapFairRate(S343)</f>
        <v>2.261353933359635E-2</v>
      </c>
      <c r="U343" s="300">
        <f t="shared" si="34"/>
        <v>2.3539333596351436E-5</v>
      </c>
      <c r="X343" s="186" t="str">
        <f t="shared" si="35"/>
        <v>1D</v>
      </c>
      <c r="Y343" s="174">
        <f>_xll.qlCalendarAdvance(Calendar,Y342,X343,"f",FALSE)</f>
        <v>42408</v>
      </c>
      <c r="Z343" s="198">
        <f>_xll.qlCalendarAdvance(Calendar,Y343,NDays&amp;"D")</f>
        <v>42410</v>
      </c>
      <c r="AA343" s="173">
        <v>2.6094957900021283E-3</v>
      </c>
      <c r="AB343" s="182">
        <v>2.2230263169475961E-3</v>
      </c>
    </row>
    <row r="344" spans="13:28" x14ac:dyDescent="0.2">
      <c r="M344" s="303" t="str">
        <v>obj_007a6#0000</v>
      </c>
      <c r="N344" s="186" t="str">
        <f>_xll.qlRateHelperQuoteName(M344)</f>
        <v>EUR15F15Y_Quote</v>
      </c>
      <c r="O344" s="174">
        <f>_xll.qlInterestRateIndexFixingDate(R344,_xll.qlRateHelperEarliestDate(M344,Trigger),)</f>
        <v>47423</v>
      </c>
      <c r="P344" s="201">
        <f>_xll.qlRateHelperQuoteValue(M344,_xll.ohTrigger(RecalcTrigger,YieldCurve))</f>
        <v>2.2480000000000003E-2</v>
      </c>
      <c r="Q344" s="204" t="str">
        <f t="shared" si="33"/>
        <v>15Y</v>
      </c>
      <c r="R344" s="204" t="str">
        <f>_xll.qlSwapIndex(,"Euribor",Q344,NDays,Currency,Calendar,"1Y","mf","30/360 (Bond Basis)",IborIndex,Discounting,,_xll.ohTrigger(Trigger,RecalcTrigger))</f>
        <v>obj_009a4#0000</v>
      </c>
      <c r="S344" s="204" t="str">
        <f>_xll.qlVanillaSwapFromSwapIndex(,R344,O344)</f>
        <v>obj_00b22#0000</v>
      </c>
      <c r="T344" s="191">
        <f>_xll.qlVanillaSwapFairRate(S344)</f>
        <v>2.2490646659195226E-2</v>
      </c>
      <c r="U344" s="300">
        <f t="shared" si="34"/>
        <v>1.0646659195222286E-5</v>
      </c>
      <c r="X344" s="186" t="str">
        <f t="shared" si="35"/>
        <v>1D</v>
      </c>
      <c r="Y344" s="174">
        <f>_xll.qlCalendarAdvance(Calendar,Y343,X344,"f",FALSE)</f>
        <v>42409</v>
      </c>
      <c r="Z344" s="198">
        <f>_xll.qlCalendarAdvance(Calendar,Y344,NDays&amp;"D")</f>
        <v>42411</v>
      </c>
      <c r="AA344" s="173">
        <v>2.6123080463525583E-3</v>
      </c>
      <c r="AB344" s="182">
        <v>2.2251050540500472E-3</v>
      </c>
    </row>
    <row r="345" spans="13:28" x14ac:dyDescent="0.2">
      <c r="M345" s="303" t="str">
        <v>obj_0076e#0000</v>
      </c>
      <c r="N345" s="186" t="str">
        <f>_xll.qlRateHelperQuoteName(M345)</f>
        <v>EUR15F20Y_Quote</v>
      </c>
      <c r="O345" s="174">
        <f>_xll.qlInterestRateIndexFixingDate(R345,_xll.qlRateHelperEarliestDate(M345,Trigger),)</f>
        <v>47423</v>
      </c>
      <c r="P345" s="201">
        <f>_xll.qlRateHelperQuoteValue(M345,_xll.ohTrigger(RecalcTrigger,YieldCurve))</f>
        <v>2.214E-2</v>
      </c>
      <c r="Q345" s="204" t="str">
        <f t="shared" si="33"/>
        <v>20Y</v>
      </c>
      <c r="R345" s="204" t="str">
        <f>_xll.qlSwapIndex(,"Euribor",Q345,NDays,Currency,Calendar,"1Y","mf","30/360 (Bond Basis)",IborIndex,Discounting,,_xll.ohTrigger(Trigger,RecalcTrigger))</f>
        <v>obj_00964#0000</v>
      </c>
      <c r="S345" s="204" t="str">
        <f>_xll.qlVanillaSwapFromSwapIndex(,R345,O345)</f>
        <v>obj_00b43#0000</v>
      </c>
      <c r="T345" s="191">
        <f>_xll.qlVanillaSwapFairRate(S345)</f>
        <v>2.2153958309546699E-2</v>
      </c>
      <c r="U345" s="300">
        <f t="shared" si="34"/>
        <v>1.3958309546698716E-5</v>
      </c>
      <c r="X345" s="186" t="str">
        <f t="shared" si="35"/>
        <v>1D</v>
      </c>
      <c r="Y345" s="174">
        <f>_xll.qlCalendarAdvance(Calendar,Y344,X345,"f",FALSE)</f>
        <v>42410</v>
      </c>
      <c r="Z345" s="198">
        <f>_xll.qlCalendarAdvance(Calendar,Y345,NDays&amp;"D")</f>
        <v>42412</v>
      </c>
      <c r="AA345" s="173">
        <v>2.6151272639473168E-3</v>
      </c>
      <c r="AB345" s="182">
        <v>2.2314897254549493E-3</v>
      </c>
    </row>
    <row r="346" spans="13:28" x14ac:dyDescent="0.2">
      <c r="M346" s="303" t="str">
        <v>obj_007f7#0000</v>
      </c>
      <c r="N346" s="186" t="str">
        <f>_xll.qlRateHelperQuoteName(M346)</f>
        <v>EUR15F25Y_Quote</v>
      </c>
      <c r="O346" s="174">
        <f>_xll.qlInterestRateIndexFixingDate(R346,_xll.qlRateHelperEarliestDate(M346,Trigger),)</f>
        <v>47423</v>
      </c>
      <c r="P346" s="201">
        <f>_xll.qlRateHelperQuoteValue(M346,_xll.ohTrigger(RecalcTrigger,YieldCurve))</f>
        <v>2.2019999999999998E-2</v>
      </c>
      <c r="Q346" s="204" t="str">
        <f t="shared" si="33"/>
        <v>25Y</v>
      </c>
      <c r="R346" s="204" t="str">
        <f>_xll.qlSwapIndex(,"Euribor",Q346,NDays,Currency,Calendar,"1Y","mf","30/360 (Bond Basis)",IborIndex,Discounting,,_xll.ohTrigger(Trigger,RecalcTrigger))</f>
        <v>obj_00965#0000</v>
      </c>
      <c r="S346" s="204" t="str">
        <f>_xll.qlVanillaSwapFromSwapIndex(,R346,O346)</f>
        <v>obj_00b38#0000</v>
      </c>
      <c r="T346" s="191">
        <f>_xll.qlVanillaSwapFairRate(S346)</f>
        <v>2.2033848960374192E-2</v>
      </c>
      <c r="U346" s="300">
        <f t="shared" si="34"/>
        <v>1.3848960374193697E-5</v>
      </c>
      <c r="X346" s="186" t="str">
        <f t="shared" si="35"/>
        <v>1D</v>
      </c>
      <c r="Y346" s="174">
        <f>_xll.qlCalendarAdvance(Calendar,Y345,X346,"f",FALSE)</f>
        <v>42411</v>
      </c>
      <c r="Z346" s="198">
        <f>_xll.qlCalendarAdvance(Calendar,Y346,NDays&amp;"D")</f>
        <v>42415</v>
      </c>
      <c r="AA346" s="173">
        <v>2.6236272687804934E-3</v>
      </c>
      <c r="AB346" s="182">
        <v>2.2400600985328367E-3</v>
      </c>
    </row>
    <row r="347" spans="13:28" ht="12" thickBot="1" x14ac:dyDescent="0.25">
      <c r="M347" s="304" t="str">
        <v>obj_007d1#0000</v>
      </c>
      <c r="N347" s="187" t="str">
        <f>_xll.qlRateHelperQuoteName(M347)</f>
        <v>EUR15F30Y_Quote</v>
      </c>
      <c r="O347" s="184">
        <f>_xll.qlInterestRateIndexFixingDate(R347,_xll.qlRateHelperEarliestDate(M347,Trigger),)</f>
        <v>47423</v>
      </c>
      <c r="P347" s="202">
        <f>_xll.qlRateHelperQuoteValue(M347,_xll.ohTrigger(RecalcTrigger,YieldCurve))</f>
        <v>2.1739999999999999E-2</v>
      </c>
      <c r="Q347" s="205" t="str">
        <f t="shared" si="33"/>
        <v>30Y</v>
      </c>
      <c r="R347" s="205" t="str">
        <f>_xll.qlSwapIndex(,"Euribor",Q347,NDays,Currency,Calendar,"1Y","mf","30/360 (Bond Basis)",IborIndex,Discounting,,_xll.ohTrigger(Trigger,RecalcTrigger))</f>
        <v>obj_00917#0000</v>
      </c>
      <c r="S347" s="205" t="str">
        <f>_xll.qlVanillaSwapFromSwapIndex(,R347,O347)</f>
        <v>obj_00b61#0000</v>
      </c>
      <c r="T347" s="193">
        <f>_xll.qlVanillaSwapFairRate(S347)</f>
        <v>2.1740000000010608E-2</v>
      </c>
      <c r="U347" s="301">
        <f t="shared" si="34"/>
        <v>1.0609568779074152E-14</v>
      </c>
      <c r="X347" s="186" t="str">
        <f t="shared" si="35"/>
        <v>1D</v>
      </c>
      <c r="Y347" s="174">
        <f>_xll.qlCalendarAdvance(Calendar,Y346,X347,"f",FALSE)</f>
        <v>42412</v>
      </c>
      <c r="Z347" s="198">
        <f>_xll.qlCalendarAdvance(Calendar,Y347,NDays&amp;"D")</f>
        <v>42416</v>
      </c>
      <c r="AA347" s="173">
        <v>2.6264749159372529E-3</v>
      </c>
      <c r="AB347" s="182">
        <v>2.2454588838716205E-3</v>
      </c>
    </row>
    <row r="348" spans="13:28" x14ac:dyDescent="0.2">
      <c r="M348" s="305" t="str">
        <v>obj_007fa#0000</v>
      </c>
      <c r="N348" s="289" t="str">
        <f>_xll.qlRateHelperQuoteName(M348)</f>
        <v>EUR20F1Y_Quote</v>
      </c>
      <c r="O348" s="286">
        <f>_xll.qlInterestRateIndexFixingDate(R348,_xll.qlRateHelperEarliestDate(M348,Trigger),)</f>
        <v>49249</v>
      </c>
      <c r="P348" s="287">
        <f>_xll.qlRateHelperQuoteValue(M348,_xll.ohTrigger(RecalcTrigger,YieldCurve))</f>
        <v>2.3220000000000001E-2</v>
      </c>
      <c r="Q348" s="285" t="str">
        <f t="shared" ref="Q348:Q365" si="36">SUBSTITUTE(SUBSTITUTE(N348,"_Quote",""),"EUR20F","")</f>
        <v>1Y</v>
      </c>
      <c r="R348" s="285" t="str">
        <f>_xll.qlSwapIndex(,"Euribor",Q348,NDays,Currency,Calendar,"1Y","mf","30/360 (Bond Basis)",IborIndex,Discounting,,_xll.ohTrigger(Trigger,RecalcTrigger))</f>
        <v>obj_00930#0000</v>
      </c>
      <c r="S348" s="285" t="str">
        <f>_xll.qlVanillaSwapFromSwapIndex(,R348,O348)</f>
        <v>obj_00a81#0000</v>
      </c>
      <c r="T348" s="288">
        <f>_xll.qlVanillaSwapFairRate(S348)</f>
        <v>2.3096190239688785E-2</v>
      </c>
      <c r="U348" s="302">
        <f t="shared" si="34"/>
        <v>-1.2380976031121579E-4</v>
      </c>
      <c r="X348" s="186" t="str">
        <f t="shared" si="35"/>
        <v>1D</v>
      </c>
      <c r="Y348" s="174">
        <f>_xll.qlCalendarAdvance(Calendar,Y347,X348,"f",FALSE)</f>
        <v>42415</v>
      </c>
      <c r="Z348" s="198">
        <f>_xll.qlCalendarAdvance(Calendar,Y348,NDays&amp;"D")</f>
        <v>42417</v>
      </c>
      <c r="AA348" s="173">
        <v>2.6293298166324419E-3</v>
      </c>
      <c r="AB348" s="182">
        <v>2.2515216789376069E-3</v>
      </c>
    </row>
    <row r="349" spans="13:28" x14ac:dyDescent="0.2">
      <c r="M349" s="303" t="str">
        <v>obj_00785#0000</v>
      </c>
      <c r="N349" s="186" t="str">
        <f>_xll.qlRateHelperQuoteName(M349)</f>
        <v>EUR20F2Y_Quote</v>
      </c>
      <c r="O349" s="174">
        <f>_xll.qlInterestRateIndexFixingDate(R349,_xll.qlRateHelperEarliestDate(M349,Trigger),)</f>
        <v>49249</v>
      </c>
      <c r="P349" s="201">
        <f>_xll.qlRateHelperQuoteValue(M349,_xll.ohTrigger(RecalcTrigger,YieldCurve))</f>
        <v>2.2850000000000002E-2</v>
      </c>
      <c r="Q349" s="204" t="str">
        <f t="shared" si="36"/>
        <v>2Y</v>
      </c>
      <c r="R349" s="204" t="str">
        <f>_xll.qlSwapIndex(,"Euribor",Q349,NDays,Currency,Calendar,"1Y","mf","30/360 (Bond Basis)",IborIndex,Discounting,,_xll.ohTrigger(Trigger,RecalcTrigger))</f>
        <v>obj_009db#0000</v>
      </c>
      <c r="S349" s="204" t="str">
        <f>_xll.qlVanillaSwapFromSwapIndex(,R349,O349)</f>
        <v>obj_00ade#0000</v>
      </c>
      <c r="T349" s="191">
        <f>_xll.qlVanillaSwapFairRate(S349)</f>
        <v>2.2866800660548033E-2</v>
      </c>
      <c r="U349" s="300">
        <f t="shared" si="34"/>
        <v>1.6800660548030311E-5</v>
      </c>
      <c r="X349" s="186" t="str">
        <f t="shared" si="35"/>
        <v>1D</v>
      </c>
      <c r="Y349" s="174">
        <f>_xll.qlCalendarAdvance(Calendar,Y348,X349,"f",FALSE)</f>
        <v>42416</v>
      </c>
      <c r="Z349" s="198">
        <f>_xll.qlCalendarAdvance(Calendar,Y349,NDays&amp;"D")</f>
        <v>42418</v>
      </c>
      <c r="AA349" s="173">
        <v>2.6321920293261103E-3</v>
      </c>
      <c r="AB349" s="182">
        <v>2.2582484836508598E-3</v>
      </c>
    </row>
    <row r="350" spans="13:28" x14ac:dyDescent="0.2">
      <c r="M350" s="303" t="str">
        <v>obj_00861#0000</v>
      </c>
      <c r="N350" s="186" t="str">
        <f>_xll.qlRateHelperQuoteName(M350)</f>
        <v>EUR20F3Y_Quote</v>
      </c>
      <c r="O350" s="174">
        <f>_xll.qlInterestRateIndexFixingDate(R350,_xll.qlRateHelperEarliestDate(M350,Trigger),)</f>
        <v>49249</v>
      </c>
      <c r="P350" s="201">
        <f>_xll.qlRateHelperQuoteValue(M350,_xll.ohTrigger(RecalcTrigger,YieldCurve))</f>
        <v>2.2599999999999999E-2</v>
      </c>
      <c r="Q350" s="204" t="str">
        <f t="shared" si="36"/>
        <v>3Y</v>
      </c>
      <c r="R350" s="204" t="str">
        <f>_xll.qlSwapIndex(,"Euribor",Q350,NDays,Currency,Calendar,"1Y","mf","30/360 (Bond Basis)",IborIndex,Discounting,,_xll.ohTrigger(Trigger,RecalcTrigger))</f>
        <v>obj_00981#0000</v>
      </c>
      <c r="S350" s="204" t="str">
        <f>_xll.qlVanillaSwapFromSwapIndex(,R350,O350)</f>
        <v>obj_00b82#0000</v>
      </c>
      <c r="T350" s="191">
        <f>_xll.qlVanillaSwapFairRate(S350)</f>
        <v>2.2610612112212283E-2</v>
      </c>
      <c r="U350" s="300">
        <f t="shared" si="34"/>
        <v>1.0612112212284724E-5</v>
      </c>
      <c r="X350" s="186" t="str">
        <f t="shared" si="35"/>
        <v>1D</v>
      </c>
      <c r="Y350" s="174">
        <f>_xll.qlCalendarAdvance(Calendar,Y349,X350,"f",FALSE)</f>
        <v>42417</v>
      </c>
      <c r="Z350" s="198">
        <f>_xll.qlCalendarAdvance(Calendar,Y350,NDays&amp;"D")</f>
        <v>42419</v>
      </c>
      <c r="AA350" s="173">
        <v>2.635061612479186E-3</v>
      </c>
      <c r="AB350" s="182">
        <v>2.2739298222784754E-3</v>
      </c>
    </row>
    <row r="351" spans="13:28" x14ac:dyDescent="0.2">
      <c r="M351" s="303" t="str">
        <v>obj_00851#0000</v>
      </c>
      <c r="N351" s="186" t="str">
        <f>_xll.qlRateHelperQuoteName(M351)</f>
        <v>EUR20F4Y_Quote</v>
      </c>
      <c r="O351" s="174">
        <f>_xll.qlInterestRateIndexFixingDate(R351,_xll.qlRateHelperEarliestDate(M351,Trigger),)</f>
        <v>49249</v>
      </c>
      <c r="P351" s="201">
        <f>_xll.qlRateHelperQuoteValue(M351,_xll.ohTrigger(RecalcTrigger,YieldCurve))</f>
        <v>2.2360000000000001E-2</v>
      </c>
      <c r="Q351" s="204" t="str">
        <f t="shared" si="36"/>
        <v>4Y</v>
      </c>
      <c r="R351" s="204" t="str">
        <f>_xll.qlSwapIndex(,"Euribor",Q351,NDays,Currency,Calendar,"1Y","mf","30/360 (Bond Basis)",IborIndex,Discounting,,_xll.ohTrigger(Trigger,RecalcTrigger))</f>
        <v>obj_009cb#0000</v>
      </c>
      <c r="S351" s="204" t="str">
        <f>_xll.qlVanillaSwapFromSwapIndex(,R351,O351)</f>
        <v>obj_00a7d#0000</v>
      </c>
      <c r="T351" s="191">
        <f>_xll.qlVanillaSwapFairRate(S351)</f>
        <v>2.2375379802225613E-2</v>
      </c>
      <c r="U351" s="300">
        <f t="shared" si="34"/>
        <v>1.5379802225611722E-5</v>
      </c>
      <c r="X351" s="186" t="str">
        <f t="shared" si="35"/>
        <v>1D</v>
      </c>
      <c r="Y351" s="174">
        <f>_xll.qlCalendarAdvance(Calendar,Y350,X351,"f",FALSE)</f>
        <v>42418</v>
      </c>
      <c r="Z351" s="198">
        <f>_xll.qlCalendarAdvance(Calendar,Y351,NDays&amp;"D")</f>
        <v>42422</v>
      </c>
      <c r="AA351" s="173">
        <v>2.6437151693045825E-3</v>
      </c>
      <c r="AB351" s="182">
        <v>2.2917958011348105E-3</v>
      </c>
    </row>
    <row r="352" spans="13:28" x14ac:dyDescent="0.2">
      <c r="M352" s="303" t="str">
        <v>obj_00853#0000</v>
      </c>
      <c r="N352" s="186" t="str">
        <f>_xll.qlRateHelperQuoteName(M352)</f>
        <v>EUR20F5Y_Quote</v>
      </c>
      <c r="O352" s="174">
        <f>_xll.qlInterestRateIndexFixingDate(R352,_xll.qlRateHelperEarliestDate(M352,Trigger),)</f>
        <v>49249</v>
      </c>
      <c r="P352" s="201">
        <f>_xll.qlRateHelperQuoteValue(M352,_xll.ohTrigger(RecalcTrigger,YieldCurve))</f>
        <v>2.215E-2</v>
      </c>
      <c r="Q352" s="204" t="str">
        <f t="shared" si="36"/>
        <v>5Y</v>
      </c>
      <c r="R352" s="204" t="str">
        <f>_xll.qlSwapIndex(,"Euribor",Q352,NDays,Currency,Calendar,"1Y","mf","30/360 (Bond Basis)",IborIndex,Discounting,,_xll.ohTrigger(Trigger,RecalcTrigger))</f>
        <v>obj_009ed#0000</v>
      </c>
      <c r="S352" s="204" t="str">
        <f>_xll.qlVanillaSwapFromSwapIndex(,R352,O352)</f>
        <v>obj_00aa7#0000</v>
      </c>
      <c r="T352" s="191">
        <f>_xll.qlVanillaSwapFairRate(S352)</f>
        <v>2.2157699069396578E-2</v>
      </c>
      <c r="U352" s="300">
        <f t="shared" si="34"/>
        <v>7.6990693965786616E-6</v>
      </c>
      <c r="X352" s="186" t="str">
        <f t="shared" si="35"/>
        <v>1D</v>
      </c>
      <c r="Y352" s="174">
        <f>_xll.qlCalendarAdvance(Calendar,Y351,X352,"f",FALSE)</f>
        <v>42419</v>
      </c>
      <c r="Z352" s="198">
        <f>_xll.qlCalendarAdvance(Calendar,Y352,NDays&amp;"D")</f>
        <v>42423</v>
      </c>
      <c r="AA352" s="173">
        <v>2.6466148189076477E-3</v>
      </c>
      <c r="AB352" s="182">
        <v>2.3018426553633731E-3</v>
      </c>
    </row>
    <row r="353" spans="13:28" x14ac:dyDescent="0.2">
      <c r="M353" s="303" t="str">
        <v>obj_0087b#0000</v>
      </c>
      <c r="N353" s="186" t="str">
        <f>_xll.qlRateHelperQuoteName(M353)</f>
        <v>EUR20F6Y_Quote</v>
      </c>
      <c r="O353" s="174">
        <f>_xll.qlInterestRateIndexFixingDate(R353,_xll.qlRateHelperEarliestDate(M353,Trigger),)</f>
        <v>49249</v>
      </c>
      <c r="P353" s="201">
        <f>_xll.qlRateHelperQuoteValue(M353,_xll.ohTrigger(RecalcTrigger,YieldCurve))</f>
        <v>2.1949999999999997E-2</v>
      </c>
      <c r="Q353" s="204" t="str">
        <f t="shared" si="36"/>
        <v>6Y</v>
      </c>
      <c r="R353" s="204" t="str">
        <f>_xll.qlSwapIndex(,"Euribor",Q353,NDays,Currency,Calendar,"1Y","mf","30/360 (Bond Basis)",IborIndex,Discounting,,_xll.ohTrigger(Trigger,RecalcTrigger))</f>
        <v>obj_009e5#0000</v>
      </c>
      <c r="S353" s="204" t="str">
        <f>_xll.qlVanillaSwapFromSwapIndex(,R353,O353)</f>
        <v>obj_00aa8#0000</v>
      </c>
      <c r="T353" s="191">
        <f>_xll.qlVanillaSwapFairRate(S353)</f>
        <v>2.1965653014283139E-2</v>
      </c>
      <c r="U353" s="300">
        <f t="shared" si="34"/>
        <v>1.5653014283141531E-5</v>
      </c>
      <c r="X353" s="186" t="str">
        <f t="shared" si="35"/>
        <v>1D</v>
      </c>
      <c r="Y353" s="174">
        <f>_xll.qlCalendarAdvance(Calendar,Y352,X353,"f",FALSE)</f>
        <v>42422</v>
      </c>
      <c r="Z353" s="198">
        <f>_xll.qlCalendarAdvance(Calendar,Y353,NDays&amp;"D")</f>
        <v>42424</v>
      </c>
      <c r="AA353" s="173">
        <v>2.649522131278715E-3</v>
      </c>
      <c r="AB353" s="182">
        <v>2.3125535195589464E-3</v>
      </c>
    </row>
    <row r="354" spans="13:28" x14ac:dyDescent="0.2">
      <c r="M354" s="303" t="str">
        <v>obj_00871#0000</v>
      </c>
      <c r="N354" s="186" t="str">
        <f>_xll.qlRateHelperQuoteName(M354)</f>
        <v>EUR20F7Y_Quote</v>
      </c>
      <c r="O354" s="174">
        <f>_xll.qlInterestRateIndexFixingDate(R354,_xll.qlRateHelperEarliestDate(M354,Trigger),)</f>
        <v>49249</v>
      </c>
      <c r="P354" s="201">
        <f>_xll.qlRateHelperQuoteValue(M354,_xll.ohTrigger(RecalcTrigger,YieldCurve))</f>
        <v>2.1789999999999997E-2</v>
      </c>
      <c r="Q354" s="204" t="str">
        <f t="shared" si="36"/>
        <v>7Y</v>
      </c>
      <c r="R354" s="204" t="str">
        <f>_xll.qlSwapIndex(,"Euribor",Q354,NDays,Currency,Calendar,"1Y","mf","30/360 (Bond Basis)",IborIndex,Discounting,,_xll.ohTrigger(Trigger,RecalcTrigger))</f>
        <v>obj_00a03#0000</v>
      </c>
      <c r="S354" s="204" t="str">
        <f>_xll.qlVanillaSwapFromSwapIndex(,R354,O354)</f>
        <v>obj_00ab9#0000</v>
      </c>
      <c r="T354" s="191">
        <f>_xll.qlVanillaSwapFairRate(S354)</f>
        <v>2.1787241416484814E-2</v>
      </c>
      <c r="U354" s="300">
        <f t="shared" si="34"/>
        <v>-2.7585835151826277E-6</v>
      </c>
      <c r="X354" s="186" t="str">
        <f t="shared" si="35"/>
        <v>1D</v>
      </c>
      <c r="Y354" s="174">
        <f>_xll.qlCalendarAdvance(Calendar,Y353,X354,"f",FALSE)</f>
        <v>42423</v>
      </c>
      <c r="Z354" s="198">
        <f>_xll.qlCalendarAdvance(Calendar,Y354,NDays&amp;"D")</f>
        <v>42425</v>
      </c>
      <c r="AA354" s="173">
        <v>2.6524371648809094E-3</v>
      </c>
      <c r="AB354" s="182">
        <v>2.3239283938814026E-3</v>
      </c>
    </row>
    <row r="355" spans="13:28" x14ac:dyDescent="0.2">
      <c r="M355" s="303" t="str">
        <v>obj_00881#0000</v>
      </c>
      <c r="N355" s="186" t="str">
        <f>_xll.qlRateHelperQuoteName(M355)</f>
        <v>EUR20F8Y_Quote</v>
      </c>
      <c r="O355" s="174">
        <f>_xll.qlInterestRateIndexFixingDate(R355,_xll.qlRateHelperEarliestDate(M355,Trigger),)</f>
        <v>49249</v>
      </c>
      <c r="P355" s="201">
        <f>_xll.qlRateHelperQuoteValue(M355,_xll.ohTrigger(RecalcTrigger,YieldCurve))</f>
        <v>2.1610000000000001E-2</v>
      </c>
      <c r="Q355" s="204" t="str">
        <f t="shared" si="36"/>
        <v>8Y</v>
      </c>
      <c r="R355" s="204" t="str">
        <f>_xll.qlSwapIndex(,"Euribor",Q355,NDays,Currency,Calendar,"1Y","mf","30/360 (Bond Basis)",IborIndex,Discounting,,_xll.ohTrigger(Trigger,RecalcTrigger))</f>
        <v>obj_00954#0000</v>
      </c>
      <c r="S355" s="204" t="str">
        <f>_xll.qlVanillaSwapFromSwapIndex(,R355,O355)</f>
        <v>obj_00b74#0000</v>
      </c>
      <c r="T355" s="191">
        <f>_xll.qlVanillaSwapFairRate(S355)</f>
        <v>2.1634451261740538E-2</v>
      </c>
      <c r="U355" s="300">
        <f t="shared" si="34"/>
        <v>2.4451261740537217E-5</v>
      </c>
      <c r="X355" s="186" t="str">
        <f t="shared" si="35"/>
        <v>1D</v>
      </c>
      <c r="Y355" s="174">
        <f>_xll.qlCalendarAdvance(Calendar,Y354,X355,"f",FALSE)</f>
        <v>42424</v>
      </c>
      <c r="Z355" s="198">
        <f>_xll.qlCalendarAdvance(Calendar,Y355,NDays&amp;"D")</f>
        <v>42426</v>
      </c>
      <c r="AA355" s="173">
        <v>2.6553599781777948E-3</v>
      </c>
      <c r="AB355" s="182">
        <v>2.3489068355431186E-3</v>
      </c>
    </row>
    <row r="356" spans="13:28" x14ac:dyDescent="0.2">
      <c r="M356" s="303" t="str">
        <v>obj_0080e#0000</v>
      </c>
      <c r="N356" s="186" t="str">
        <f>_xll.qlRateHelperQuoteName(M356)</f>
        <v>EUR20F9Y_Quote</v>
      </c>
      <c r="O356" s="174">
        <f>_xll.qlInterestRateIndexFixingDate(R356,_xll.qlRateHelperEarliestDate(M356,Trigger),)</f>
        <v>49249</v>
      </c>
      <c r="P356" s="201">
        <f>_xll.qlRateHelperQuoteValue(M356,_xll.ohTrigger(RecalcTrigger,YieldCurve))</f>
        <v>2.1489999999999999E-2</v>
      </c>
      <c r="Q356" s="204" t="str">
        <f t="shared" si="36"/>
        <v>9Y</v>
      </c>
      <c r="R356" s="204" t="str">
        <f>_xll.qlSwapIndex(,"Euribor",Q356,NDays,Currency,Calendar,"1Y","mf","30/360 (Bond Basis)",IborIndex,Discounting,,_xll.ohTrigger(Trigger,RecalcTrigger))</f>
        <v>obj_0093a#0000</v>
      </c>
      <c r="S356" s="204" t="str">
        <f>_xll.qlVanillaSwapFromSwapIndex(,R356,O356)</f>
        <v>obj_00ae4#0000</v>
      </c>
      <c r="T356" s="191">
        <f>_xll.qlVanillaSwapFairRate(S356)</f>
        <v>2.1508377184060887E-2</v>
      </c>
      <c r="U356" s="300">
        <f t="shared" si="34"/>
        <v>1.8377184060888035E-5</v>
      </c>
      <c r="X356" s="186" t="str">
        <f t="shared" si="35"/>
        <v>1D</v>
      </c>
      <c r="Y356" s="174">
        <f>_xll.qlCalendarAdvance(Calendar,Y355,X356,"f",FALSE)</f>
        <v>42425</v>
      </c>
      <c r="Z356" s="198">
        <f>_xll.qlCalendarAdvance(Calendar,Y356,NDays&amp;"D")</f>
        <v>42429</v>
      </c>
      <c r="AA356" s="173">
        <v>2.6670117852022482E-3</v>
      </c>
      <c r="AB356" s="182">
        <v>2.376067993479225E-3</v>
      </c>
    </row>
    <row r="357" spans="13:28" x14ac:dyDescent="0.2">
      <c r="M357" s="303" t="str">
        <v>obj_00874#0000</v>
      </c>
      <c r="N357" s="186" t="str">
        <f>_xll.qlRateHelperQuoteName(M357)</f>
        <v>EUR20F10Y_Quote</v>
      </c>
      <c r="O357" s="174">
        <f>_xll.qlInterestRateIndexFixingDate(R357,_xll.qlRateHelperEarliestDate(M357,Trigger),)</f>
        <v>49249</v>
      </c>
      <c r="P357" s="201">
        <f>_xll.qlRateHelperQuoteValue(M357,_xll.ohTrigger(RecalcTrigger,YieldCurve))</f>
        <v>2.1400000000000002E-2</v>
      </c>
      <c r="Q357" s="204" t="str">
        <f t="shared" si="36"/>
        <v>10Y</v>
      </c>
      <c r="R357" s="204" t="str">
        <f>_xll.qlSwapIndex(,"Euribor",Q357,NDays,Currency,Calendar,"1Y","mf","30/360 (Bond Basis)",IborIndex,Discounting,,_xll.ohTrigger(Trigger,RecalcTrigger))</f>
        <v>obj_009f1#0000</v>
      </c>
      <c r="S357" s="204" t="str">
        <f>_xll.qlVanillaSwapFromSwapIndex(,R357,O357)</f>
        <v>obj_00a37#0000</v>
      </c>
      <c r="T357" s="191">
        <f>_xll.qlVanillaSwapFairRate(S357)</f>
        <v>2.1415375356281924E-2</v>
      </c>
      <c r="U357" s="300">
        <f t="shared" si="34"/>
        <v>1.5375356281922131E-5</v>
      </c>
      <c r="X357" s="186" t="str">
        <f t="shared" si="35"/>
        <v>1D</v>
      </c>
      <c r="Y357" s="174">
        <f>_xll.qlCalendarAdvance(Calendar,Y356,X357,"f",FALSE)</f>
        <v>42426</v>
      </c>
      <c r="Z357" s="198">
        <f>_xll.qlCalendarAdvance(Calendar,Y357,NDays&amp;"D")</f>
        <v>42430</v>
      </c>
      <c r="AA357" s="173">
        <v>2.670113810930273E-3</v>
      </c>
      <c r="AB357" s="182">
        <v>2.3907629192354563E-3</v>
      </c>
    </row>
    <row r="358" spans="13:28" x14ac:dyDescent="0.2">
      <c r="M358" s="303" t="str">
        <v>obj_007d0#0000</v>
      </c>
      <c r="N358" s="186" t="str">
        <f>_xll.qlRateHelperQuoteName(M358)</f>
        <v>EUR20F11Y_Quote</v>
      </c>
      <c r="O358" s="174">
        <f>_xll.qlInterestRateIndexFixingDate(R358,_xll.qlRateHelperEarliestDate(M358,Trigger),)</f>
        <v>49249</v>
      </c>
      <c r="P358" s="201">
        <f>_xll.qlRateHelperQuoteValue(M358,_xll.ohTrigger(RecalcTrigger,YieldCurve))</f>
        <v>2.1330000000000002E-2</v>
      </c>
      <c r="Q358" s="204" t="str">
        <f t="shared" si="36"/>
        <v>11Y</v>
      </c>
      <c r="R358" s="204" t="str">
        <f>_xll.qlSwapIndex(,"Euribor",Q358,NDays,Currency,Calendar,"1Y","mf","30/360 (Bond Basis)",IborIndex,Discounting,,_xll.ohTrigger(Trigger,RecalcTrigger))</f>
        <v>obj_00900#0000</v>
      </c>
      <c r="S358" s="204" t="str">
        <f>_xll.qlVanillaSwapFromSwapIndex(,R358,O358)</f>
        <v>obj_00ae2#0000</v>
      </c>
      <c r="T358" s="191">
        <f>_xll.qlVanillaSwapFairRate(S358)</f>
        <v>2.1344023210034761E-2</v>
      </c>
      <c r="U358" s="300">
        <f t="shared" si="34"/>
        <v>1.4023210034758843E-5</v>
      </c>
      <c r="X358" s="186" t="str">
        <f t="shared" si="35"/>
        <v>1D</v>
      </c>
      <c r="Y358" s="174">
        <f>_xll.qlCalendarAdvance(Calendar,Y357,X358,"f",FALSE)</f>
        <v>42429</v>
      </c>
      <c r="Z358" s="198">
        <f>_xll.qlCalendarAdvance(Calendar,Y358,NDays&amp;"D")</f>
        <v>42431</v>
      </c>
      <c r="AA358" s="173">
        <v>2.6732311645242309E-3</v>
      </c>
      <c r="AB358" s="182">
        <v>2.4061218555981867E-3</v>
      </c>
    </row>
    <row r="359" spans="13:28" x14ac:dyDescent="0.2">
      <c r="M359" s="303" t="str">
        <v>obj_00806#0000</v>
      </c>
      <c r="N359" s="186" t="str">
        <f>_xll.qlRateHelperQuoteName(M359)</f>
        <v>EUR20F12Y_Quote</v>
      </c>
      <c r="O359" s="174">
        <f>_xll.qlInterestRateIndexFixingDate(R359,_xll.qlRateHelperEarliestDate(M359,Trigger),)</f>
        <v>49249</v>
      </c>
      <c r="P359" s="201">
        <f>_xll.qlRateHelperQuoteValue(M359,_xll.ohTrigger(RecalcTrigger,YieldCurve))</f>
        <v>2.128E-2</v>
      </c>
      <c r="Q359" s="204" t="str">
        <f t="shared" si="36"/>
        <v>12Y</v>
      </c>
      <c r="R359" s="204" t="str">
        <f>_xll.qlSwapIndex(,"Euribor",Q359,NDays,Currency,Calendar,"1Y","mf","30/360 (Bond Basis)",IborIndex,Discounting,,_xll.ohTrigger(Trigger,RecalcTrigger))</f>
        <v>obj_00936#0000</v>
      </c>
      <c r="S359" s="204" t="str">
        <f>_xll.qlVanillaSwapFromSwapIndex(,R359,O359)</f>
        <v>obj_00ad7#0000</v>
      </c>
      <c r="T359" s="191">
        <f>_xll.qlVanillaSwapFairRate(S359)</f>
        <v>2.1295693380965819E-2</v>
      </c>
      <c r="U359" s="300">
        <f t="shared" si="34"/>
        <v>1.5693380965818571E-5</v>
      </c>
      <c r="X359" s="186" t="str">
        <f t="shared" si="35"/>
        <v>1D</v>
      </c>
      <c r="Y359" s="174">
        <f>_xll.qlCalendarAdvance(Calendar,Y358,X359,"f",FALSE)</f>
        <v>42430</v>
      </c>
      <c r="Z359" s="198">
        <f>_xll.qlCalendarAdvance(Calendar,Y359,NDays&amp;"D")</f>
        <v>42432</v>
      </c>
      <c r="AA359" s="173">
        <v>2.6799999999998509E-3</v>
      </c>
      <c r="AB359" s="182">
        <v>2.4219535063885189E-3</v>
      </c>
    </row>
    <row r="360" spans="13:28" x14ac:dyDescent="0.2">
      <c r="M360" s="303" t="str">
        <v>obj_0082d#0000</v>
      </c>
      <c r="N360" s="186" t="str">
        <f>_xll.qlRateHelperQuoteName(M360)</f>
        <v>EUR20F13Y_Quote</v>
      </c>
      <c r="O360" s="174">
        <f>_xll.qlInterestRateIndexFixingDate(R360,_xll.qlRateHelperEarliestDate(M360,Trigger),)</f>
        <v>49249</v>
      </c>
      <c r="P360" s="201">
        <f>_xll.qlRateHelperQuoteValue(M360,_xll.ohTrigger(RecalcTrigger,YieldCurve))</f>
        <v>2.1259999999999998E-2</v>
      </c>
      <c r="Q360" s="204" t="str">
        <f t="shared" si="36"/>
        <v>13Y</v>
      </c>
      <c r="R360" s="204" t="str">
        <f>_xll.qlSwapIndex(,"Euribor",Q360,NDays,Currency,Calendar,"1Y","mf","30/360 (Bond Basis)",IborIndex,Discounting,,_xll.ohTrigger(Trigger,RecalcTrigger))</f>
        <v>obj_0091e#0000</v>
      </c>
      <c r="S360" s="204" t="str">
        <f>_xll.qlVanillaSwapFromSwapIndex(,R360,O360)</f>
        <v>obj_00ab5#0000</v>
      </c>
      <c r="T360" s="191">
        <f>_xll.qlVanillaSwapFairRate(S360)</f>
        <v>2.1267371028307776E-2</v>
      </c>
      <c r="U360" s="300">
        <f t="shared" si="34"/>
        <v>7.3710283077788041E-6</v>
      </c>
      <c r="X360" s="186" t="str">
        <f t="shared" si="35"/>
        <v>1D</v>
      </c>
      <c r="Y360" s="174">
        <f>_xll.qlCalendarAdvance(Calendar,Y359,X360,"f",FALSE)</f>
        <v>42431</v>
      </c>
      <c r="Z360" s="198">
        <f>_xll.qlCalendarAdvance(Calendar,Y360,NDays&amp;"D")</f>
        <v>42433</v>
      </c>
      <c r="AA360" s="173">
        <v>2.6813768065501236E-3</v>
      </c>
      <c r="AB360" s="182">
        <v>2.4524035514605913E-3</v>
      </c>
    </row>
    <row r="361" spans="13:28" x14ac:dyDescent="0.2">
      <c r="M361" s="303" t="str">
        <v>obj_0079b#0000</v>
      </c>
      <c r="N361" s="186" t="str">
        <f>_xll.qlRateHelperQuoteName(M361)</f>
        <v>EUR20F14Y_Quote</v>
      </c>
      <c r="O361" s="174">
        <f>_xll.qlInterestRateIndexFixingDate(R361,_xll.qlRateHelperEarliestDate(M361,Trigger),)</f>
        <v>49249</v>
      </c>
      <c r="P361" s="201">
        <f>_xll.qlRateHelperQuoteValue(M361,_xll.ohTrigger(RecalcTrigger,YieldCurve))</f>
        <v>2.1250000000000002E-2</v>
      </c>
      <c r="Q361" s="204" t="str">
        <f t="shared" si="36"/>
        <v>14Y</v>
      </c>
      <c r="R361" s="204" t="str">
        <f>_xll.qlSwapIndex(,"Euribor",Q361,NDays,Currency,Calendar,"1Y","mf","30/360 (Bond Basis)",IborIndex,Discounting,,_xll.ohTrigger(Trigger,RecalcTrigger))</f>
        <v>obj_00945#0000</v>
      </c>
      <c r="S361" s="204" t="str">
        <f>_xll.qlVanillaSwapFromSwapIndex(,R361,O361)</f>
        <v>obj_00a44#0000</v>
      </c>
      <c r="T361" s="191">
        <f>_xll.qlVanillaSwapFairRate(S361)</f>
        <v>2.1259553451685793E-2</v>
      </c>
      <c r="U361" s="300">
        <f t="shared" si="34"/>
        <v>9.5534516857918861E-6</v>
      </c>
      <c r="X361" s="186" t="str">
        <f t="shared" si="35"/>
        <v>1D</v>
      </c>
      <c r="Y361" s="174">
        <f>_xll.qlCalendarAdvance(Calendar,Y360,X361,"f",FALSE)</f>
        <v>42432</v>
      </c>
      <c r="Z361" s="198">
        <f>_xll.qlCalendarAdvance(Calendar,Y361,NDays&amp;"D")</f>
        <v>42436</v>
      </c>
      <c r="AA361" s="173">
        <v>2.6891056898949708E-3</v>
      </c>
      <c r="AB361" s="182">
        <v>2.4812076295965824E-3</v>
      </c>
    </row>
    <row r="362" spans="13:28" x14ac:dyDescent="0.2">
      <c r="M362" s="303" t="str">
        <v>obj_00833#0000</v>
      </c>
      <c r="N362" s="186" t="str">
        <f>_xll.qlRateHelperQuoteName(M362)</f>
        <v>EUR20F15Y_Quote</v>
      </c>
      <c r="O362" s="174">
        <f>_xll.qlInterestRateIndexFixingDate(R362,_xll.qlRateHelperEarliestDate(M362,Trigger),)</f>
        <v>49249</v>
      </c>
      <c r="P362" s="201">
        <f>_xll.qlRateHelperQuoteValue(M362,_xll.ohTrigger(RecalcTrigger,YieldCurve))</f>
        <v>2.1250000000000002E-2</v>
      </c>
      <c r="Q362" s="204" t="str">
        <f t="shared" si="36"/>
        <v>15Y</v>
      </c>
      <c r="R362" s="204" t="str">
        <f>_xll.qlSwapIndex(,"Euribor",Q362,NDays,Currency,Calendar,"1Y","mf","30/360 (Bond Basis)",IborIndex,Discounting,,_xll.ohTrigger(Trigger,RecalcTrigger))</f>
        <v>obj_00a04#0000</v>
      </c>
      <c r="S362" s="204" t="str">
        <f>_xll.qlVanillaSwapFromSwapIndex(,R362,O362)</f>
        <v>obj_00aa4#0000</v>
      </c>
      <c r="T362" s="191">
        <f>_xll.qlVanillaSwapFairRate(S362)</f>
        <v>2.1262785651729076E-2</v>
      </c>
      <c r="U362" s="300">
        <f t="shared" si="34"/>
        <v>1.2785651729074754E-5</v>
      </c>
      <c r="X362" s="186" t="str">
        <f t="shared" si="35"/>
        <v>1D</v>
      </c>
      <c r="Y362" s="174">
        <f>_xll.qlCalendarAdvance(Calendar,Y361,X362,"f",FALSE)</f>
        <v>42433</v>
      </c>
      <c r="Z362" s="198">
        <f>_xll.qlCalendarAdvance(Calendar,Y362,NDays&amp;"D")</f>
        <v>42437</v>
      </c>
      <c r="AA362" s="173">
        <v>2.6923540464613115E-3</v>
      </c>
      <c r="AB362" s="182">
        <v>2.4948117439915762E-3</v>
      </c>
    </row>
    <row r="363" spans="13:28" x14ac:dyDescent="0.2">
      <c r="M363" s="303" t="str">
        <v>obj_00807#0000</v>
      </c>
      <c r="N363" s="186" t="str">
        <f>_xll.qlRateHelperQuoteName(M363)</f>
        <v>EUR20F20Y_Quote</v>
      </c>
      <c r="O363" s="174">
        <f>_xll.qlInterestRateIndexFixingDate(R363,_xll.qlRateHelperEarliestDate(M363,Trigger),)</f>
        <v>49249</v>
      </c>
      <c r="P363" s="201">
        <f>_xll.qlRateHelperQuoteValue(M363,_xll.ohTrigger(RecalcTrigger,YieldCurve))</f>
        <v>2.128E-2</v>
      </c>
      <c r="Q363" s="204" t="str">
        <f t="shared" si="36"/>
        <v>20Y</v>
      </c>
      <c r="R363" s="204" t="str">
        <f>_xll.qlSwapIndex(,"Euribor",Q363,NDays,Currency,Calendar,"1Y","mf","30/360 (Bond Basis)",IborIndex,Discounting,,_xll.ohTrigger(Trigger,RecalcTrigger))</f>
        <v>obj_0099d#0000</v>
      </c>
      <c r="S363" s="204" t="str">
        <f>_xll.qlVanillaSwapFromSwapIndex(,R363,O363)</f>
        <v>obj_00b5a#0000</v>
      </c>
      <c r="T363" s="191">
        <f>_xll.qlVanillaSwapFairRate(S363)</f>
        <v>2.1294184816314399E-2</v>
      </c>
      <c r="U363" s="300">
        <f t="shared" si="34"/>
        <v>1.4184816314398441E-5</v>
      </c>
      <c r="X363" s="186" t="str">
        <f t="shared" si="35"/>
        <v>1D</v>
      </c>
      <c r="Y363" s="174">
        <f>_xll.qlCalendarAdvance(Calendar,Y362,X363,"f",FALSE)</f>
        <v>42436</v>
      </c>
      <c r="Z363" s="198">
        <f>_xll.qlCalendarAdvance(Calendar,Y363,NDays&amp;"D")</f>
        <v>42438</v>
      </c>
      <c r="AA363" s="173">
        <v>2.6956250350174127E-3</v>
      </c>
      <c r="AB363" s="182">
        <v>2.5079320916798764E-3</v>
      </c>
    </row>
    <row r="364" spans="13:28" x14ac:dyDescent="0.2">
      <c r="M364" s="303" t="str">
        <v>obj_007c7#0000</v>
      </c>
      <c r="N364" s="186" t="str">
        <f>_xll.qlRateHelperQuoteName(M364)</f>
        <v>EUR20F25Y_Quote</v>
      </c>
      <c r="O364" s="174">
        <f>_xll.qlInterestRateIndexFixingDate(R364,_xll.qlRateHelperEarliestDate(M364,Trigger),)</f>
        <v>49249</v>
      </c>
      <c r="P364" s="201">
        <f>_xll.qlRateHelperQuoteValue(M364,_xll.ohTrigger(RecalcTrigger,YieldCurve))</f>
        <v>2.1049999999999999E-2</v>
      </c>
      <c r="Q364" s="204" t="str">
        <f t="shared" si="36"/>
        <v>25Y</v>
      </c>
      <c r="R364" s="204" t="str">
        <f>_xll.qlSwapIndex(,"Euribor",Q364,NDays,Currency,Calendar,"1Y","mf","30/360 (Bond Basis)",IborIndex,Discounting,,_xll.ohTrigger(Trigger,RecalcTrigger))</f>
        <v>obj_00961#0000</v>
      </c>
      <c r="S364" s="204" t="str">
        <f>_xll.qlVanillaSwapFromSwapIndex(,R364,O364)</f>
        <v>obj_00a50#0000</v>
      </c>
      <c r="T364" s="191">
        <f>_xll.qlVanillaSwapFairRate(S364)</f>
        <v>2.1040942734241664E-2</v>
      </c>
      <c r="U364" s="300">
        <f t="shared" si="34"/>
        <v>-9.0572657583352922E-6</v>
      </c>
      <c r="X364" s="186" t="str">
        <f t="shared" si="35"/>
        <v>1D</v>
      </c>
      <c r="Y364" s="174">
        <f>_xll.qlCalendarAdvance(Calendar,Y363,X364,"f",FALSE)</f>
        <v>42437</v>
      </c>
      <c r="Z364" s="198">
        <f>_xll.qlCalendarAdvance(Calendar,Y364,NDays&amp;"D")</f>
        <v>42439</v>
      </c>
      <c r="AA364" s="173">
        <v>2.7036696192081397E-3</v>
      </c>
      <c r="AB364" s="182">
        <v>2.5205686725815468E-3</v>
      </c>
    </row>
    <row r="365" spans="13:28" ht="12" thickBot="1" x14ac:dyDescent="0.25">
      <c r="M365" s="304" t="str">
        <v>obj_00800#0000</v>
      </c>
      <c r="N365" s="187" t="str">
        <f>_xll.qlRateHelperQuoteName(M365)</f>
        <v>EUR20F30Y_Quote</v>
      </c>
      <c r="O365" s="184">
        <f>_xll.qlInterestRateIndexFixingDate(R365,_xll.qlRateHelperEarliestDate(M365,Trigger),)</f>
        <v>49249</v>
      </c>
      <c r="P365" s="202">
        <f>_xll.qlRateHelperQuoteValue(M365,_xll.ohTrigger(RecalcTrigger,YieldCurve))</f>
        <v>2.0819999999999998E-2</v>
      </c>
      <c r="Q365" s="205" t="str">
        <f t="shared" si="36"/>
        <v>30Y</v>
      </c>
      <c r="R365" s="205" t="str">
        <f>_xll.qlSwapIndex(,"Euribor",Q365,NDays,Currency,Calendar,"1Y","mf","30/360 (Bond Basis)",IborIndex,Discounting,,_xll.ohTrigger(Trigger,RecalcTrigger))</f>
        <v>obj_009ef#0000</v>
      </c>
      <c r="S365" s="205" t="str">
        <f>_xll.qlVanillaSwapFromSwapIndex(,R365,O365)</f>
        <v>obj_00a7a#0000</v>
      </c>
      <c r="T365" s="193">
        <f>_xll.qlVanillaSwapFairRate(S365)</f>
        <v>2.0833532041282125E-2</v>
      </c>
      <c r="U365" s="301">
        <f t="shared" si="34"/>
        <v>1.353204128212715E-5</v>
      </c>
      <c r="X365" s="186" t="str">
        <f t="shared" si="35"/>
        <v>1D</v>
      </c>
      <c r="Y365" s="174">
        <f>_xll.qlCalendarAdvance(Calendar,Y364,X365,"f",FALSE)</f>
        <v>42438</v>
      </c>
      <c r="Z365" s="198">
        <f>_xll.qlCalendarAdvance(Calendar,Y365,NDays&amp;"D")</f>
        <v>42440</v>
      </c>
      <c r="AA365" s="173">
        <v>2.7046404172990394E-3</v>
      </c>
      <c r="AB365" s="182">
        <v>2.5442472592729359E-3</v>
      </c>
    </row>
    <row r="366" spans="13:28" x14ac:dyDescent="0.2">
      <c r="M366" s="305" t="str">
        <v>obj_00769#0000</v>
      </c>
      <c r="N366" s="289" t="str">
        <f>_xll.qlRateHelperQuoteName(M366)</f>
        <v>EUR25F1Y_Quote</v>
      </c>
      <c r="O366" s="286">
        <f>_xll.qlInterestRateIndexFixingDate(R366,_xll.qlRateHelperEarliestDate(M366,Trigger),)</f>
        <v>51075</v>
      </c>
      <c r="P366" s="287">
        <f>_xll.qlRateHelperQuoteValue(M366,_xll.ohTrigger(RecalcTrigger,YieldCurve))</f>
        <v>2.0889999999999999E-2</v>
      </c>
      <c r="Q366" s="285" t="str">
        <f t="shared" ref="Q366:Q383" si="37">SUBSTITUTE(SUBSTITUTE(N366,"_Quote",""),"EUR25F","")</f>
        <v>1Y</v>
      </c>
      <c r="R366" s="285" t="str">
        <f>_xll.qlSwapIndex(,"Euribor",Q366,NDays,Currency,Calendar,"1Y","mf","30/360 (Bond Basis)",IborIndex,Discounting,,_xll.ohTrigger(Trigger,RecalcTrigger))</f>
        <v>obj_00967#0000</v>
      </c>
      <c r="S366" s="285" t="str">
        <f>_xll.qlVanillaSwapFromSwapIndex(,R366,O366)</f>
        <v>obj_00afb#0000</v>
      </c>
      <c r="T366" s="288">
        <f>_xll.qlVanillaSwapFairRate(S366)</f>
        <v>2.0950103645316066E-2</v>
      </c>
      <c r="U366" s="302">
        <f t="shared" si="34"/>
        <v>6.0103645316066795E-5</v>
      </c>
      <c r="X366" s="186" t="str">
        <f t="shared" si="35"/>
        <v>1D</v>
      </c>
      <c r="Y366" s="174">
        <f>_xll.qlCalendarAdvance(Calendar,Y365,X366,"f",FALSE)</f>
        <v>42439</v>
      </c>
      <c r="Z366" s="198">
        <f>_xll.qlCalendarAdvance(Calendar,Y366,NDays&amp;"D")</f>
        <v>42443</v>
      </c>
      <c r="AA366" s="173">
        <v>2.7122562201178082E-3</v>
      </c>
      <c r="AB366" s="182">
        <v>2.5662773280821227E-3</v>
      </c>
    </row>
    <row r="367" spans="13:28" x14ac:dyDescent="0.2">
      <c r="M367" s="303" t="str">
        <v>obj_0085b#0000</v>
      </c>
      <c r="N367" s="186" t="str">
        <f>_xll.qlRateHelperQuoteName(M367)</f>
        <v>EUR25F2Y_Quote</v>
      </c>
      <c r="O367" s="174">
        <f>_xll.qlInterestRateIndexFixingDate(R367,_xll.qlRateHelperEarliestDate(M367,Trigger),)</f>
        <v>51075</v>
      </c>
      <c r="P367" s="201">
        <f>_xll.qlRateHelperQuoteValue(M367,_xll.ohTrigger(RecalcTrigger,YieldCurve))</f>
        <v>2.0830000000000001E-2</v>
      </c>
      <c r="Q367" s="204" t="str">
        <f t="shared" si="37"/>
        <v>2Y</v>
      </c>
      <c r="R367" s="204" t="str">
        <f>_xll.qlSwapIndex(,"Euribor",Q367,NDays,Currency,Calendar,"1Y","mf","30/360 (Bond Basis)",IborIndex,Discounting,,_xll.ohTrigger(Trigger,RecalcTrigger))</f>
        <v>obj_009dd#0000</v>
      </c>
      <c r="S367" s="204" t="str">
        <f>_xll.qlVanillaSwapFromSwapIndex(,R367,O367)</f>
        <v>obj_00b30#0000</v>
      </c>
      <c r="T367" s="191">
        <f>_xll.qlVanillaSwapFairRate(S367)</f>
        <v>2.0794107354746988E-2</v>
      </c>
      <c r="U367" s="300">
        <f t="shared" si="34"/>
        <v>-3.5892645253013389E-5</v>
      </c>
      <c r="X367" s="186" t="str">
        <f t="shared" si="35"/>
        <v>1D</v>
      </c>
      <c r="Y367" s="174">
        <f>_xll.qlCalendarAdvance(Calendar,Y366,X367,"f",FALSE)</f>
        <v>42440</v>
      </c>
      <c r="Z367" s="198">
        <f>_xll.qlCalendarAdvance(Calendar,Y367,NDays&amp;"D")</f>
        <v>42444</v>
      </c>
      <c r="AA367" s="173">
        <v>2.7156250579365151E-3</v>
      </c>
      <c r="AB367" s="182">
        <v>2.5764950746509641E-3</v>
      </c>
    </row>
    <row r="368" spans="13:28" x14ac:dyDescent="0.2">
      <c r="M368" s="303" t="str">
        <v>obj_00803#0000</v>
      </c>
      <c r="N368" s="186" t="str">
        <f>_xll.qlRateHelperQuoteName(M368)</f>
        <v>EUR25F3Y_Quote</v>
      </c>
      <c r="O368" s="174">
        <f>_xll.qlInterestRateIndexFixingDate(R368,_xll.qlRateHelperEarliestDate(M368,Trigger),)</f>
        <v>51075</v>
      </c>
      <c r="P368" s="201">
        <f>_xll.qlRateHelperQuoteValue(M368,_xll.ohTrigger(RecalcTrigger,YieldCurve))</f>
        <v>2.0640000000000002E-2</v>
      </c>
      <c r="Q368" s="204" t="str">
        <f t="shared" si="37"/>
        <v>3Y</v>
      </c>
      <c r="R368" s="204" t="str">
        <f>_xll.qlSwapIndex(,"Euribor",Q368,NDays,Currency,Calendar,"1Y","mf","30/360 (Bond Basis)",IborIndex,Discounting,,_xll.ohTrigger(Trigger,RecalcTrigger))</f>
        <v>obj_00938#0000</v>
      </c>
      <c r="S368" s="204" t="str">
        <f>_xll.qlVanillaSwapFromSwapIndex(,R368,O368)</f>
        <v>obj_00ab4#0000</v>
      </c>
      <c r="T368" s="191">
        <f>_xll.qlVanillaSwapFairRate(S368)</f>
        <v>2.0688922441365998E-2</v>
      </c>
      <c r="U368" s="300">
        <f t="shared" si="34"/>
        <v>4.8922441365995689E-5</v>
      </c>
      <c r="X368" s="186" t="str">
        <f t="shared" si="35"/>
        <v>1D</v>
      </c>
      <c r="Y368" s="174">
        <f>_xll.qlCalendarAdvance(Calendar,Y367,X368,"f",FALSE)</f>
        <v>42443</v>
      </c>
      <c r="Z368" s="198">
        <f>_xll.qlCalendarAdvance(Calendar,Y368,NDays&amp;"D")</f>
        <v>42445</v>
      </c>
      <c r="AA368" s="173">
        <v>2.7190038800772864E-3</v>
      </c>
      <c r="AB368" s="182">
        <v>2.5862290541933675E-3</v>
      </c>
    </row>
    <row r="369" spans="13:28" x14ac:dyDescent="0.2">
      <c r="M369" s="303" t="str">
        <v>obj_00867#0000</v>
      </c>
      <c r="N369" s="186" t="str">
        <f>_xll.qlRateHelperQuoteName(M369)</f>
        <v>EUR25F4Y_Quote</v>
      </c>
      <c r="O369" s="174">
        <f>_xll.qlInterestRateIndexFixingDate(R369,_xll.qlRateHelperEarliestDate(M369,Trigger),)</f>
        <v>51075</v>
      </c>
      <c r="P369" s="201">
        <f>_xll.qlRateHelperQuoteValue(M369,_xll.ohTrigger(RecalcTrigger,YieldCurve))</f>
        <v>2.0590000000000001E-2</v>
      </c>
      <c r="Q369" s="204" t="str">
        <f t="shared" si="37"/>
        <v>4Y</v>
      </c>
      <c r="R369" s="204" t="str">
        <f>_xll.qlSwapIndex(,"Euribor",Q369,NDays,Currency,Calendar,"1Y","mf","30/360 (Bond Basis)",IborIndex,Discounting,,_xll.ohTrigger(Trigger,RecalcTrigger))</f>
        <v>obj_009af#0000</v>
      </c>
      <c r="S369" s="204" t="str">
        <f>_xll.qlVanillaSwapFromSwapIndex(,R369,O369)</f>
        <v>obj_00a5f#0000</v>
      </c>
      <c r="T369" s="191">
        <f>_xll.qlVanillaSwapFairRate(S369)</f>
        <v>2.0619826720217858E-2</v>
      </c>
      <c r="U369" s="300">
        <f t="shared" si="34"/>
        <v>2.9826720217857733E-5</v>
      </c>
      <c r="X369" s="186" t="str">
        <f t="shared" si="35"/>
        <v>1D</v>
      </c>
      <c r="Y369" s="174">
        <f>_xll.qlCalendarAdvance(Calendar,Y368,X369,"f",FALSE)</f>
        <v>42444</v>
      </c>
      <c r="Z369" s="198">
        <f>_xll.qlCalendarAdvance(Calendar,Y369,NDays&amp;"D")</f>
        <v>42446</v>
      </c>
      <c r="AA369" s="173">
        <v>2.7278307460957166E-3</v>
      </c>
      <c r="AB369" s="182">
        <v>2.5954792666293969E-3</v>
      </c>
    </row>
    <row r="370" spans="13:28" x14ac:dyDescent="0.2">
      <c r="M370" s="303" t="str">
        <v>obj_0087a#0000</v>
      </c>
      <c r="N370" s="186" t="str">
        <f>_xll.qlRateHelperQuoteName(M370)</f>
        <v>EUR25F5Y_Quote</v>
      </c>
      <c r="O370" s="174">
        <f>_xll.qlInterestRateIndexFixingDate(R370,_xll.qlRateHelperEarliestDate(M370,Trigger),)</f>
        <v>51075</v>
      </c>
      <c r="P370" s="201">
        <f>_xll.qlRateHelperQuoteValue(M370,_xll.ohTrigger(RecalcTrigger,YieldCurve))</f>
        <v>2.0579999999999998E-2</v>
      </c>
      <c r="Q370" s="204" t="str">
        <f t="shared" si="37"/>
        <v>5Y</v>
      </c>
      <c r="R370" s="204" t="str">
        <f>_xll.qlSwapIndex(,"Euribor",Q370,NDays,Currency,Calendar,"1Y","mf","30/360 (Bond Basis)",IborIndex,Discounting,,_xll.ohTrigger(Trigger,RecalcTrigger))</f>
        <v>obj_0091c#0000</v>
      </c>
      <c r="S370" s="204" t="str">
        <f>_xll.qlVanillaSwapFromSwapIndex(,R370,O370)</f>
        <v>obj_00b4d#0000</v>
      </c>
      <c r="T370" s="191">
        <f>_xll.qlVanillaSwapFairRate(S370)</f>
        <v>2.0594820406520099E-2</v>
      </c>
      <c r="U370" s="300">
        <f t="shared" si="34"/>
        <v>1.4820406520101026E-5</v>
      </c>
      <c r="X370" s="186" t="str">
        <f t="shared" si="35"/>
        <v>1D</v>
      </c>
      <c r="Y370" s="174">
        <f>_xll.qlCalendarAdvance(Calendar,Y369,X370,"f",FALSE)</f>
        <v>42445</v>
      </c>
      <c r="Z370" s="198">
        <f>_xll.qlCalendarAdvance(Calendar,Y370,NDays&amp;"D")</f>
        <v>42447</v>
      </c>
      <c r="AA370" s="173">
        <v>2.7285264877373685E-3</v>
      </c>
      <c r="AB370" s="182">
        <v>2.612386091396246E-3</v>
      </c>
    </row>
    <row r="371" spans="13:28" x14ac:dyDescent="0.2">
      <c r="M371" s="303" t="str">
        <v>obj_00870#0000</v>
      </c>
      <c r="N371" s="186" t="str">
        <f>_xll.qlRateHelperQuoteName(M371)</f>
        <v>EUR25F6Y_Quote</v>
      </c>
      <c r="O371" s="174">
        <f>_xll.qlInterestRateIndexFixingDate(R371,_xll.qlRateHelperEarliestDate(M371,Trigger),)</f>
        <v>51075</v>
      </c>
      <c r="P371" s="201">
        <f>_xll.qlRateHelperQuoteValue(M371,_xll.ohTrigger(RecalcTrigger,YieldCurve))</f>
        <v>2.0569999999999998E-2</v>
      </c>
      <c r="Q371" s="204" t="str">
        <f t="shared" si="37"/>
        <v>6Y</v>
      </c>
      <c r="R371" s="204" t="str">
        <f>_xll.qlSwapIndex(,"Euribor",Q371,NDays,Currency,Calendar,"1Y","mf","30/360 (Bond Basis)",IborIndex,Discounting,,_xll.ohTrigger(Trigger,RecalcTrigger))</f>
        <v>obj_00a10#0000</v>
      </c>
      <c r="S371" s="204" t="str">
        <f>_xll.qlVanillaSwapFromSwapIndex(,R371,O371)</f>
        <v>obj_00a33#0000</v>
      </c>
      <c r="T371" s="191">
        <f>_xll.qlVanillaSwapFairRate(S371)</f>
        <v>2.0587187370878449E-2</v>
      </c>
      <c r="U371" s="300">
        <f t="shared" si="34"/>
        <v>1.7187370878451319E-5</v>
      </c>
      <c r="X371" s="186" t="str">
        <f t="shared" si="35"/>
        <v>1D</v>
      </c>
      <c r="Y371" s="174">
        <f>_xll.qlCalendarAdvance(Calendar,Y370,X371,"f",FALSE)</f>
        <v>42446</v>
      </c>
      <c r="Z371" s="198">
        <f>_xll.qlCalendarAdvance(Calendar,Y371,NDays&amp;"D")</f>
        <v>42450</v>
      </c>
      <c r="AA371" s="173">
        <v>2.7359845151475122E-3</v>
      </c>
      <c r="AB371" s="182">
        <v>2.6276424453097746E-3</v>
      </c>
    </row>
    <row r="372" spans="13:28" x14ac:dyDescent="0.2">
      <c r="M372" s="303" t="str">
        <v>obj_0078a#0000</v>
      </c>
      <c r="N372" s="186" t="str">
        <f>_xll.qlRateHelperQuoteName(M372)</f>
        <v>EUR25F7Y_Quote</v>
      </c>
      <c r="O372" s="174">
        <f>_xll.qlInterestRateIndexFixingDate(R372,_xll.qlRateHelperEarliestDate(M372,Trigger),)</f>
        <v>51075</v>
      </c>
      <c r="P372" s="201">
        <f>_xll.qlRateHelperQuoteValue(M372,_xll.ohTrigger(RecalcTrigger,YieldCurve))</f>
        <v>2.0590000000000001E-2</v>
      </c>
      <c r="Q372" s="204" t="str">
        <f t="shared" si="37"/>
        <v>7Y</v>
      </c>
      <c r="R372" s="204" t="str">
        <f>_xll.qlSwapIndex(,"Euribor",Q372,NDays,Currency,Calendar,"1Y","mf","30/360 (Bond Basis)",IborIndex,Discounting,,_xll.ohTrigger(Trigger,RecalcTrigger))</f>
        <v>obj_009d6#0000</v>
      </c>
      <c r="S372" s="204" t="str">
        <f>_xll.qlVanillaSwapFromSwapIndex(,R372,O372)</f>
        <v>obj_00b1f#0000</v>
      </c>
      <c r="T372" s="191">
        <f>_xll.qlVanillaSwapFairRate(S372)</f>
        <v>2.0602217517419138E-2</v>
      </c>
      <c r="U372" s="300">
        <f t="shared" si="34"/>
        <v>1.221751741913718E-5</v>
      </c>
      <c r="X372" s="186" t="str">
        <f t="shared" si="35"/>
        <v>1D</v>
      </c>
      <c r="Y372" s="174">
        <f>_xll.qlCalendarAdvance(Calendar,Y371,X372,"f",FALSE)</f>
        <v>42447</v>
      </c>
      <c r="Z372" s="198">
        <f>_xll.qlCalendarAdvance(Calendar,Y372,NDays&amp;"D")</f>
        <v>42451</v>
      </c>
      <c r="AA372" s="173">
        <v>2.7393852987691787E-3</v>
      </c>
      <c r="AB372" s="182">
        <v>2.6344738219741259E-3</v>
      </c>
    </row>
    <row r="373" spans="13:28" x14ac:dyDescent="0.2">
      <c r="M373" s="303" t="str">
        <v>obj_007b0#0000</v>
      </c>
      <c r="N373" s="186" t="str">
        <f>_xll.qlRateHelperQuoteName(M373)</f>
        <v>EUR25F8Y_Quote</v>
      </c>
      <c r="O373" s="174">
        <f>_xll.qlInterestRateIndexFixingDate(R373,_xll.qlRateHelperEarliestDate(M373,Trigger),)</f>
        <v>51075</v>
      </c>
      <c r="P373" s="201">
        <f>_xll.qlRateHelperQuoteValue(M373,_xll.ohTrigger(RecalcTrigger,YieldCurve))</f>
        <v>2.0630000000000003E-2</v>
      </c>
      <c r="Q373" s="204" t="str">
        <f t="shared" si="37"/>
        <v>8Y</v>
      </c>
      <c r="R373" s="204" t="str">
        <f>_xll.qlSwapIndex(,"Euribor",Q373,NDays,Currency,Calendar,"1Y","mf","30/360 (Bond Basis)",IborIndex,Discounting,,_xll.ohTrigger(Trigger,RecalcTrigger))</f>
        <v>obj_008f0#0000</v>
      </c>
      <c r="S373" s="204" t="str">
        <f>_xll.qlVanillaSwapFromSwapIndex(,R373,O373)</f>
        <v>obj_00a57#0000</v>
      </c>
      <c r="T373" s="191">
        <f>_xll.qlVanillaSwapFairRate(S373)</f>
        <v>2.0634214414897576E-2</v>
      </c>
      <c r="U373" s="300">
        <f t="shared" si="34"/>
        <v>4.2144148975735429E-6</v>
      </c>
      <c r="X373" s="186" t="str">
        <f t="shared" si="35"/>
        <v>1D</v>
      </c>
      <c r="Y373" s="174">
        <f>_xll.qlCalendarAdvance(Calendar,Y372,X373,"f",FALSE)</f>
        <v>42450</v>
      </c>
      <c r="Z373" s="198">
        <f>_xll.qlCalendarAdvance(Calendar,Y373,NDays&amp;"D")</f>
        <v>42452</v>
      </c>
      <c r="AA373" s="173">
        <v>2.7427834184461279E-3</v>
      </c>
      <c r="AB373" s="182">
        <v>2.6408214314521672E-3</v>
      </c>
    </row>
    <row r="374" spans="13:28" x14ac:dyDescent="0.2">
      <c r="M374" s="303" t="str">
        <v>obj_007ed#0000</v>
      </c>
      <c r="N374" s="186" t="str">
        <f>_xll.qlRateHelperQuoteName(M374)</f>
        <v>EUR25F9Y_Quote</v>
      </c>
      <c r="O374" s="174">
        <f>_xll.qlInterestRateIndexFixingDate(R374,_xll.qlRateHelperEarliestDate(M374,Trigger),)</f>
        <v>51075</v>
      </c>
      <c r="P374" s="201">
        <f>_xll.qlRateHelperQuoteValue(M374,_xll.ohTrigger(RecalcTrigger,YieldCurve))</f>
        <v>2.068E-2</v>
      </c>
      <c r="Q374" s="204" t="str">
        <f t="shared" si="37"/>
        <v>9Y</v>
      </c>
      <c r="R374" s="204" t="str">
        <f>_xll.qlSwapIndex(,"Euribor",Q374,NDays,Currency,Calendar,"1Y","mf","30/360 (Bond Basis)",IborIndex,Discounting,,_xll.ohTrigger(Trigger,RecalcTrigger))</f>
        <v>obj_00911#0000</v>
      </c>
      <c r="S374" s="204" t="str">
        <f>_xll.qlVanillaSwapFromSwapIndex(,R374,O374)</f>
        <v>obj_00a54#0000</v>
      </c>
      <c r="T374" s="191">
        <f>_xll.qlVanillaSwapFairRate(S374)</f>
        <v>2.0686019952615167E-2</v>
      </c>
      <c r="U374" s="300">
        <f t="shared" si="34"/>
        <v>6.0199526151667737E-6</v>
      </c>
      <c r="X374" s="186" t="str">
        <f t="shared" si="35"/>
        <v>1D</v>
      </c>
      <c r="Y374" s="174">
        <f>_xll.qlCalendarAdvance(Calendar,Y373,X374,"f",FALSE)</f>
        <v>42451</v>
      </c>
      <c r="Z374" s="198">
        <f>_xll.qlCalendarAdvance(Calendar,Y374,NDays&amp;"D")</f>
        <v>42453</v>
      </c>
      <c r="AA374" s="173">
        <v>2.7518702746140698E-3</v>
      </c>
      <c r="AB374" s="182">
        <v>2.6565170937900007E-3</v>
      </c>
    </row>
    <row r="375" spans="13:28" x14ac:dyDescent="0.2">
      <c r="M375" s="303" t="str">
        <v>obj_0087d#0000</v>
      </c>
      <c r="N375" s="186" t="str">
        <f>_xll.qlRateHelperQuoteName(M375)</f>
        <v>EUR25F10Y_Quote</v>
      </c>
      <c r="O375" s="174">
        <f>_xll.qlInterestRateIndexFixingDate(R375,_xll.qlRateHelperEarliestDate(M375,Trigger),)</f>
        <v>51075</v>
      </c>
      <c r="P375" s="201">
        <f>_xll.qlRateHelperQuoteValue(M375,_xll.ohTrigger(RecalcTrigger,YieldCurve))</f>
        <v>2.0729999999999998E-2</v>
      </c>
      <c r="Q375" s="204" t="str">
        <f t="shared" si="37"/>
        <v>10Y</v>
      </c>
      <c r="R375" s="204" t="str">
        <f>_xll.qlSwapIndex(,"Euribor",Q375,NDays,Currency,Calendar,"1Y","mf","30/360 (Bond Basis)",IborIndex,Discounting,,_xll.ohTrigger(Trigger,RecalcTrigger))</f>
        <v>obj_00979#0000</v>
      </c>
      <c r="S375" s="204" t="str">
        <f>_xll.qlVanillaSwapFromSwapIndex(,R375,O375)</f>
        <v>obj_00a83#0000</v>
      </c>
      <c r="T375" s="191">
        <f>_xll.qlVanillaSwapFairRate(S375)</f>
        <v>2.0743379316279294E-2</v>
      </c>
      <c r="U375" s="300">
        <f t="shared" si="34"/>
        <v>1.3379316279295284E-5</v>
      </c>
      <c r="X375" s="186" t="str">
        <f t="shared" si="35"/>
        <v>1D</v>
      </c>
      <c r="Y375" s="174">
        <f>_xll.qlCalendarAdvance(Calendar,Y374,X375,"f",FALSE)</f>
        <v>42452</v>
      </c>
      <c r="Z375" s="198">
        <f>_xll.qlCalendarAdvance(Calendar,Y375,NDays&amp;"D")</f>
        <v>42458</v>
      </c>
      <c r="AA375" s="173">
        <v>2.7630150038674469E-3</v>
      </c>
      <c r="AB375" s="182">
        <v>2.6687479746101417E-3</v>
      </c>
    </row>
    <row r="376" spans="13:28" x14ac:dyDescent="0.2">
      <c r="M376" s="303" t="str">
        <v>obj_00781#0000</v>
      </c>
      <c r="N376" s="186" t="str">
        <f>_xll.qlRateHelperQuoteName(M376)</f>
        <v>EUR25F11Y_Quote</v>
      </c>
      <c r="O376" s="174">
        <f>_xll.qlInterestRateIndexFixingDate(R376,_xll.qlRateHelperEarliestDate(M376,Trigger),)</f>
        <v>51075</v>
      </c>
      <c r="P376" s="201">
        <f>_xll.qlRateHelperQuoteValue(M376,_xll.ohTrigger(RecalcTrigger,YieldCurve))</f>
        <v>2.0799999999999999E-2</v>
      </c>
      <c r="Q376" s="204" t="str">
        <f t="shared" si="37"/>
        <v>11Y</v>
      </c>
      <c r="R376" s="204" t="str">
        <f>_xll.qlSwapIndex(,"Euribor",Q376,NDays,Currency,Calendar,"1Y","mf","30/360 (Bond Basis)",IborIndex,Discounting,,_xll.ohTrigger(Trigger,RecalcTrigger))</f>
        <v>obj_0091a#0000</v>
      </c>
      <c r="S376" s="204" t="str">
        <f>_xll.qlVanillaSwapFromSwapIndex(,R376,O376)</f>
        <v>obj_00b35#0000</v>
      </c>
      <c r="T376" s="191">
        <f>_xll.qlVanillaSwapFairRate(S376)</f>
        <v>2.0808867036704315E-2</v>
      </c>
      <c r="U376" s="300">
        <f t="shared" si="34"/>
        <v>8.8670367043158782E-6</v>
      </c>
      <c r="X376" s="186" t="str">
        <f t="shared" si="35"/>
        <v>1D</v>
      </c>
      <c r="Y376" s="174">
        <f>_xll.qlCalendarAdvance(Calendar,Y375,X376,"f",FALSE)</f>
        <v>42453</v>
      </c>
      <c r="Z376" s="198">
        <f>_xll.qlCalendarAdvance(Calendar,Y376,NDays&amp;"D")</f>
        <v>42459</v>
      </c>
      <c r="AA376" s="173">
        <v>2.7663438807702728E-3</v>
      </c>
      <c r="AB376" s="182">
        <v>2.6717092126649078E-3</v>
      </c>
    </row>
    <row r="377" spans="13:28" x14ac:dyDescent="0.2">
      <c r="M377" s="303" t="str">
        <v>obj_007a4#0000</v>
      </c>
      <c r="N377" s="186" t="str">
        <f>_xll.qlRateHelperQuoteName(M377)</f>
        <v>EUR25F12Y_Quote</v>
      </c>
      <c r="O377" s="174">
        <f>_xll.qlInterestRateIndexFixingDate(R377,_xll.qlRateHelperEarliestDate(M377,Trigger),)</f>
        <v>51075</v>
      </c>
      <c r="P377" s="201">
        <f>_xll.qlRateHelperQuoteValue(M377,_xll.ohTrigger(RecalcTrigger,YieldCurve))</f>
        <v>2.085E-2</v>
      </c>
      <c r="Q377" s="204" t="str">
        <f t="shared" si="37"/>
        <v>12Y</v>
      </c>
      <c r="R377" s="204" t="str">
        <f>_xll.qlSwapIndex(,"Euribor",Q377,NDays,Currency,Calendar,"1Y","mf","30/360 (Bond Basis)",IborIndex,Discounting,,_xll.ohTrigger(Trigger,RecalcTrigger))</f>
        <v>obj_00a01#0000</v>
      </c>
      <c r="S377" s="204" t="str">
        <f>_xll.qlVanillaSwapFromSwapIndex(,R377,O377)</f>
        <v>obj_00b87#0000</v>
      </c>
      <c r="T377" s="191">
        <f>_xll.qlVanillaSwapFairRate(S377)</f>
        <v>2.0870231847332367E-2</v>
      </c>
      <c r="U377" s="300">
        <f t="shared" si="34"/>
        <v>2.0231847332366493E-5</v>
      </c>
      <c r="X377" s="186" t="str">
        <f t="shared" si="35"/>
        <v>1D</v>
      </c>
      <c r="Y377" s="174">
        <f>_xll.qlCalendarAdvance(Calendar,Y376,X377,"f",FALSE)</f>
        <v>42458</v>
      </c>
      <c r="Z377" s="198">
        <f>_xll.qlCalendarAdvance(Calendar,Y377,NDays&amp;"D")</f>
        <v>42460</v>
      </c>
      <c r="AA377" s="173">
        <v>2.7668404762340587E-3</v>
      </c>
      <c r="AB377" s="182">
        <v>2.6741866833734917E-3</v>
      </c>
    </row>
    <row r="378" spans="13:28" x14ac:dyDescent="0.2">
      <c r="M378" s="303" t="str">
        <v>obj_007f2#0000</v>
      </c>
      <c r="N378" s="186" t="str">
        <f>_xll.qlRateHelperQuoteName(M378)</f>
        <v>EUR25F13Y_Quote</v>
      </c>
      <c r="O378" s="174">
        <f>_xll.qlInterestRateIndexFixingDate(R378,_xll.qlRateHelperEarliestDate(M378,Trigger),)</f>
        <v>51075</v>
      </c>
      <c r="P378" s="201">
        <f>_xll.qlRateHelperQuoteValue(M378,_xll.ohTrigger(RecalcTrigger,YieldCurve))</f>
        <v>2.0899999999999998E-2</v>
      </c>
      <c r="Q378" s="204" t="str">
        <f t="shared" si="37"/>
        <v>13Y</v>
      </c>
      <c r="R378" s="204" t="str">
        <f>_xll.qlSwapIndex(,"Euribor",Q378,NDays,Currency,Calendar,"1Y","mf","30/360 (Bond Basis)",IborIndex,Discounting,,_xll.ohTrigger(Trigger,RecalcTrigger))</f>
        <v>obj_00992#0000</v>
      </c>
      <c r="S378" s="204" t="str">
        <f>_xll.qlVanillaSwapFromSwapIndex(,R378,O378)</f>
        <v>obj_00b7f#0000</v>
      </c>
      <c r="T378" s="191">
        <f>_xll.qlVanillaSwapFairRate(S378)</f>
        <v>2.0921114351117692E-2</v>
      </c>
      <c r="U378" s="300">
        <f t="shared" si="34"/>
        <v>2.1114351117693109E-5</v>
      </c>
      <c r="X378" s="186" t="str">
        <f t="shared" si="35"/>
        <v>1D</v>
      </c>
      <c r="Y378" s="174">
        <f>_xll.qlCalendarAdvance(Calendar,Y377,X378,"f",FALSE)</f>
        <v>42459</v>
      </c>
      <c r="Z378" s="198">
        <f>_xll.qlCalendarAdvance(Calendar,Y378,NDays&amp;"D")</f>
        <v>42461</v>
      </c>
      <c r="AA378" s="173">
        <v>2.7757003328719972E-3</v>
      </c>
      <c r="AB378" s="182">
        <v>2.6775489811470266E-3</v>
      </c>
    </row>
    <row r="379" spans="13:28" x14ac:dyDescent="0.2">
      <c r="M379" s="303" t="str">
        <v>obj_00852#0000</v>
      </c>
      <c r="N379" s="186" t="str">
        <f>_xll.qlRateHelperQuoteName(M379)</f>
        <v>EUR25F14Y_Quote</v>
      </c>
      <c r="O379" s="174">
        <f>_xll.qlInterestRateIndexFixingDate(R379,_xll.qlRateHelperEarliestDate(M379,Trigger),)</f>
        <v>51075</v>
      </c>
      <c r="P379" s="201">
        <f>_xll.qlRateHelperQuoteValue(M379,_xll.ohTrigger(RecalcTrigger,YieldCurve))</f>
        <v>2.0930000000000001E-2</v>
      </c>
      <c r="Q379" s="204" t="str">
        <f t="shared" si="37"/>
        <v>14Y</v>
      </c>
      <c r="R379" s="204" t="str">
        <f>_xll.qlSwapIndex(,"Euribor",Q379,NDays,Currency,Calendar,"1Y","mf","30/360 (Bond Basis)",IborIndex,Discounting,,_xll.ohTrigger(Trigger,RecalcTrigger))</f>
        <v>obj_009d9#0000</v>
      </c>
      <c r="S379" s="204" t="str">
        <f>_xll.qlVanillaSwapFromSwapIndex(,R379,O379)</f>
        <v>obj_00af6#0000</v>
      </c>
      <c r="T379" s="191">
        <f>_xll.qlVanillaSwapFairRate(S379)</f>
        <v>2.0945641089583023E-2</v>
      </c>
      <c r="U379" s="300">
        <f t="shared" si="34"/>
        <v>1.5641089583021822E-5</v>
      </c>
      <c r="X379" s="186" t="str">
        <f t="shared" si="35"/>
        <v>1D</v>
      </c>
      <c r="Y379" s="174">
        <f>_xll.qlCalendarAdvance(Calendar,Y378,X379,"f",FALSE)</f>
        <v>42460</v>
      </c>
      <c r="Z379" s="198">
        <f>_xll.qlCalendarAdvance(Calendar,Y379,NDays&amp;"D")</f>
        <v>42464</v>
      </c>
      <c r="AA379" s="173">
        <v>2.7800000000011331E-3</v>
      </c>
      <c r="AB379" s="182">
        <v>2.6792588921065175E-3</v>
      </c>
    </row>
    <row r="380" spans="13:28" x14ac:dyDescent="0.2">
      <c r="M380" s="303" t="str">
        <v>obj_00780#0000</v>
      </c>
      <c r="N380" s="186" t="str">
        <f>_xll.qlRateHelperQuoteName(M380)</f>
        <v>EUR25F15Y_Quote</v>
      </c>
      <c r="O380" s="174">
        <f>_xll.qlInterestRateIndexFixingDate(R380,_xll.qlRateHelperEarliestDate(M380,Trigger),)</f>
        <v>51075</v>
      </c>
      <c r="P380" s="201">
        <f>_xll.qlRateHelperQuoteValue(M380,_xll.ohTrigger(RecalcTrigger,YieldCurve))</f>
        <v>2.0930000000000001E-2</v>
      </c>
      <c r="Q380" s="204" t="str">
        <f t="shared" si="37"/>
        <v>15Y</v>
      </c>
      <c r="R380" s="204" t="str">
        <f>_xll.qlSwapIndex(,"Euribor",Q380,NDays,Currency,Calendar,"1Y","mf","30/360 (Bond Basis)",IborIndex,Discounting,,_xll.ohTrigger(Trigger,RecalcTrigger))</f>
        <v>obj_00a26#0000</v>
      </c>
      <c r="S380" s="204" t="str">
        <f>_xll.qlVanillaSwapFromSwapIndex(,R380,O380)</f>
        <v>obj_00aec#0000</v>
      </c>
      <c r="T380" s="191">
        <f>_xll.qlVanillaSwapFairRate(S380)</f>
        <v>2.0943319542768495E-2</v>
      </c>
      <c r="U380" s="300">
        <f t="shared" si="34"/>
        <v>1.3319542768494563E-5</v>
      </c>
      <c r="X380" s="186" t="str">
        <f t="shared" si="35"/>
        <v>1D</v>
      </c>
      <c r="Y380" s="174">
        <f>_xll.qlCalendarAdvance(Calendar,Y379,X380,"f",FALSE)</f>
        <v>42461</v>
      </c>
      <c r="Z380" s="198">
        <f>_xll.qlCalendarAdvance(Calendar,Y380,NDays&amp;"D")</f>
        <v>42465</v>
      </c>
      <c r="AA380" s="173">
        <v>2.783240770139063E-3</v>
      </c>
      <c r="AB380" s="182">
        <v>2.6793386073009628E-3</v>
      </c>
    </row>
    <row r="381" spans="13:28" x14ac:dyDescent="0.2">
      <c r="M381" s="303" t="str">
        <v>obj_0080d#0000</v>
      </c>
      <c r="N381" s="186" t="str">
        <f>_xll.qlRateHelperQuoteName(M381)</f>
        <v>EUR25F20Y_Quote</v>
      </c>
      <c r="O381" s="174">
        <f>_xll.qlInterestRateIndexFixingDate(R381,_xll.qlRateHelperEarliestDate(M381,Trigger),)</f>
        <v>51075</v>
      </c>
      <c r="P381" s="201">
        <f>_xll.qlRateHelperQuoteValue(M381,_xll.ohTrigger(RecalcTrigger,YieldCurve))</f>
        <v>2.07E-2</v>
      </c>
      <c r="Q381" s="204" t="str">
        <f t="shared" si="37"/>
        <v>20Y</v>
      </c>
      <c r="R381" s="204" t="str">
        <f>_xll.qlSwapIndex(,"Euribor",Q381,NDays,Currency,Calendar,"1Y","mf","30/360 (Bond Basis)",IborIndex,Discounting,,_xll.ohTrigger(Trigger,RecalcTrigger))</f>
        <v>obj_009d7#0000</v>
      </c>
      <c r="S381" s="204" t="str">
        <f>_xll.qlVanillaSwapFromSwapIndex(,R381,O381)</f>
        <v>obj_00a96#0000</v>
      </c>
      <c r="T381" s="191">
        <f>_xll.qlVanillaSwapFairRate(S381)</f>
        <v>2.0684130633574646E-2</v>
      </c>
      <c r="U381" s="300">
        <f t="shared" si="34"/>
        <v>-1.5869366425353554E-5</v>
      </c>
      <c r="X381" s="186" t="str">
        <f t="shared" si="35"/>
        <v>1D</v>
      </c>
      <c r="Y381" s="174">
        <f>_xll.qlCalendarAdvance(Calendar,Y380,X381,"f",FALSE)</f>
        <v>42464</v>
      </c>
      <c r="Z381" s="198">
        <f>_xll.qlCalendarAdvance(Calendar,Y381,NDays&amp;"D")</f>
        <v>42466</v>
      </c>
      <c r="AA381" s="173">
        <v>2.786463361467715E-3</v>
      </c>
      <c r="AB381" s="182">
        <v>2.6790399632314887E-3</v>
      </c>
    </row>
    <row r="382" spans="13:28" x14ac:dyDescent="0.2">
      <c r="M382" s="303" t="str">
        <v>obj_007b9#0000</v>
      </c>
      <c r="N382" s="186" t="str">
        <f>_xll.qlRateHelperQuoteName(M382)</f>
        <v>EUR25F25Y_Quote</v>
      </c>
      <c r="O382" s="174">
        <f>_xll.qlInterestRateIndexFixingDate(R382,_xll.qlRateHelperEarliestDate(M382,Trigger),)</f>
        <v>51075</v>
      </c>
      <c r="P382" s="201">
        <f>_xll.qlRateHelperQuoteValue(M382,_xll.ohTrigger(RecalcTrigger,YieldCurve))</f>
        <v>2.0470000000000002E-2</v>
      </c>
      <c r="Q382" s="204" t="str">
        <f t="shared" si="37"/>
        <v>25Y</v>
      </c>
      <c r="R382" s="204" t="str">
        <f>_xll.qlSwapIndex(,"Euribor",Q382,NDays,Currency,Calendar,"1Y","mf","30/360 (Bond Basis)",IborIndex,Discounting,,_xll.ohTrigger(Trigger,RecalcTrigger))</f>
        <v>obj_00989#0000</v>
      </c>
      <c r="S382" s="204" t="str">
        <f>_xll.qlVanillaSwapFromSwapIndex(,R382,O382)</f>
        <v>obj_00ad3#0000</v>
      </c>
      <c r="T382" s="191">
        <f>_xll.qlVanillaSwapFairRate(S382)</f>
        <v>2.0479308315578079E-2</v>
      </c>
      <c r="U382" s="300">
        <f t="shared" si="34"/>
        <v>9.3083155780770976E-6</v>
      </c>
      <c r="X382" s="186" t="str">
        <f t="shared" si="35"/>
        <v>1D</v>
      </c>
      <c r="Y382" s="174">
        <f>_xll.qlCalendarAdvance(Calendar,Y381,X382,"f",FALSE)</f>
        <v>42465</v>
      </c>
      <c r="Z382" s="198">
        <f>_xll.qlCalendarAdvance(Calendar,Y382,NDays&amp;"D")</f>
        <v>42467</v>
      </c>
      <c r="AA382" s="173">
        <v>2.7896709674692897E-3</v>
      </c>
      <c r="AB382" s="182">
        <v>2.6783840414346116E-3</v>
      </c>
    </row>
    <row r="383" spans="13:28" ht="12" thickBot="1" x14ac:dyDescent="0.25">
      <c r="M383" s="304" t="str">
        <v>obj_00840#0000</v>
      </c>
      <c r="N383" s="187" t="str">
        <f>_xll.qlRateHelperQuoteName(M383)</f>
        <v>EUR25F30Y_Quote</v>
      </c>
      <c r="O383" s="184">
        <f>_xll.qlInterestRateIndexFixingDate(R383,_xll.qlRateHelperEarliestDate(M383,Trigger),)</f>
        <v>51075</v>
      </c>
      <c r="P383" s="202">
        <f>_xll.qlRateHelperQuoteValue(M383,_xll.ohTrigger(RecalcTrigger,YieldCurve))</f>
        <v>2.0400000000000001E-2</v>
      </c>
      <c r="Q383" s="205" t="str">
        <f t="shared" si="37"/>
        <v>30Y</v>
      </c>
      <c r="R383" s="205" t="str">
        <f>_xll.qlSwapIndex(,"Euribor",Q383,NDays,Currency,Calendar,"1Y","mf","30/360 (Bond Basis)",IborIndex,Discounting,,_xll.ohTrigger(Trigger,RecalcTrigger))</f>
        <v>obj_00a24#0000</v>
      </c>
      <c r="S383" s="205" t="str">
        <f>_xll.qlVanillaSwapFromSwapIndex(,R383,O383)</f>
        <v>obj_00b1e#0000</v>
      </c>
      <c r="T383" s="193">
        <f>_xll.qlVanillaSwapFairRate(S383)</f>
        <v>2.0399999999967826E-2</v>
      </c>
      <c r="U383" s="301">
        <f t="shared" si="34"/>
        <v>-3.2175651032417818E-14</v>
      </c>
      <c r="X383" s="186" t="str">
        <f t="shared" si="35"/>
        <v>1D</v>
      </c>
      <c r="Y383" s="174">
        <f>_xll.qlCalendarAdvance(Calendar,Y382,X383,"f",FALSE)</f>
        <v>42466</v>
      </c>
      <c r="Z383" s="198">
        <f>_xll.qlCalendarAdvance(Calendar,Y383,NDays&amp;"D")</f>
        <v>42468</v>
      </c>
      <c r="AA383" s="173">
        <v>2.7979510840841302E-3</v>
      </c>
      <c r="AB383" s="182">
        <v>2.6759011620658413E-3</v>
      </c>
    </row>
    <row r="384" spans="13:28" x14ac:dyDescent="0.2">
      <c r="M384" s="305" t="str">
        <v>obj_0082b#0000</v>
      </c>
      <c r="N384" s="289" t="str">
        <f>_xll.qlRateHelperQuoteName(M384)</f>
        <v>EUR30F1Y_Quote</v>
      </c>
      <c r="O384" s="286">
        <f>_xll.qlInterestRateIndexFixingDate(R384,_xll.qlRateHelperEarliestDate(M384,Trigger),)</f>
        <v>52902</v>
      </c>
      <c r="P384" s="287">
        <f>_xll.qlRateHelperQuoteValue(M384,_xll.ohTrigger(RecalcTrigger,YieldCurve))</f>
        <v>2.0499999999999997E-2</v>
      </c>
      <c r="Q384" s="285" t="str">
        <f t="shared" ref="Q384:Q401" si="38">SUBSTITUTE(SUBSTITUTE(N384,"_Quote",""),"EUR30F","")</f>
        <v>1Y</v>
      </c>
      <c r="R384" s="285" t="str">
        <f>_xll.qlSwapIndex(,"Euribor",Q384,NDays,Currency,Calendar,"1Y","mf","30/360 (Bond Basis)",IborIndex,Discounting,,_xll.ohTrigger(Trigger,RecalcTrigger))</f>
        <v>obj_00a13#0000</v>
      </c>
      <c r="S384" s="285" t="str">
        <f>_xll.qlVanillaSwapFromSwapIndex(,R384,O384)</f>
        <v>obj_00b6c#0000</v>
      </c>
      <c r="T384" s="288">
        <f>_xll.qlVanillaSwapFairRate(S384)</f>
        <v>2.0546673163658994E-2</v>
      </c>
      <c r="U384" s="302">
        <f t="shared" si="34"/>
        <v>4.6673163658996625E-5</v>
      </c>
      <c r="X384" s="186" t="str">
        <f t="shared" si="35"/>
        <v>1D</v>
      </c>
      <c r="Y384" s="174">
        <f>_xll.qlCalendarAdvance(Calendar,Y383,X384,"f",FALSE)</f>
        <v>42467</v>
      </c>
      <c r="Z384" s="198">
        <f>_xll.qlCalendarAdvance(Calendar,Y384,NDays&amp;"D")</f>
        <v>42471</v>
      </c>
      <c r="AA384" s="173">
        <v>2.8024131013331777E-3</v>
      </c>
      <c r="AB384" s="182">
        <v>2.6721875772928172E-3</v>
      </c>
    </row>
    <row r="385" spans="13:28" x14ac:dyDescent="0.2">
      <c r="M385" s="303" t="str">
        <v>obj_0083f#0000</v>
      </c>
      <c r="N385" s="186" t="str">
        <f>_xll.qlRateHelperQuoteName(M385)</f>
        <v>EUR30F2Y_Quote</v>
      </c>
      <c r="O385" s="174">
        <f>_xll.qlInterestRateIndexFixingDate(R385,_xll.qlRateHelperEarliestDate(M385,Trigger),)</f>
        <v>52902</v>
      </c>
      <c r="P385" s="201">
        <f>_xll.qlRateHelperQuoteValue(M385,_xll.ohTrigger(RecalcTrigger,YieldCurve))</f>
        <v>2.061E-2</v>
      </c>
      <c r="Q385" s="204" t="str">
        <f t="shared" si="38"/>
        <v>2Y</v>
      </c>
      <c r="R385" s="204" t="str">
        <f>_xll.qlSwapIndex(,"Euribor",Q385,NDays,Currency,Calendar,"1Y","mf","30/360 (Bond Basis)",IborIndex,Discounting,,_xll.ohTrigger(Trigger,RecalcTrigger))</f>
        <v>obj_009bf#0000</v>
      </c>
      <c r="S385" s="204" t="str">
        <f>_xll.qlVanillaSwapFromSwapIndex(,R385,O385)</f>
        <v>obj_00a3e#0000</v>
      </c>
      <c r="T385" s="191">
        <f>_xll.qlVanillaSwapFairRate(S385)</f>
        <v>2.0621994820663441E-2</v>
      </c>
      <c r="U385" s="300">
        <f t="shared" si="34"/>
        <v>1.1994820663441264E-5</v>
      </c>
      <c r="X385" s="186" t="str">
        <f t="shared" si="35"/>
        <v>1D</v>
      </c>
      <c r="Y385" s="174">
        <f>_xll.qlCalendarAdvance(Calendar,Y384,X385,"f",FALSE)</f>
        <v>42468</v>
      </c>
      <c r="Z385" s="198">
        <f>_xll.qlCalendarAdvance(Calendar,Y385,NDays&amp;"D")</f>
        <v>42472</v>
      </c>
      <c r="AA385" s="173">
        <v>2.8055919532191612E-3</v>
      </c>
      <c r="AB385" s="182">
        <v>2.6697452670987332E-3</v>
      </c>
    </row>
    <row r="386" spans="13:28" x14ac:dyDescent="0.2">
      <c r="M386" s="303" t="str">
        <v>obj_00819#0000</v>
      </c>
      <c r="N386" s="186" t="str">
        <f>_xll.qlRateHelperQuoteName(M386)</f>
        <v>EUR30F3Y_Quote</v>
      </c>
      <c r="O386" s="174">
        <f>_xll.qlInterestRateIndexFixingDate(R386,_xll.qlRateHelperEarliestDate(M386,Trigger),)</f>
        <v>52902</v>
      </c>
      <c r="P386" s="201">
        <f>_xll.qlRateHelperQuoteValue(M386,_xll.ohTrigger(RecalcTrigger,YieldCurve))</f>
        <v>2.07E-2</v>
      </c>
      <c r="Q386" s="204" t="str">
        <f t="shared" si="38"/>
        <v>3Y</v>
      </c>
      <c r="R386" s="204" t="str">
        <f>_xll.qlSwapIndex(,"Euribor",Q386,NDays,Currency,Calendar,"1Y","mf","30/360 (Bond Basis)",IborIndex,Discounting,,_xll.ohTrigger(Trigger,RecalcTrigger))</f>
        <v>obj_00a0b#0000</v>
      </c>
      <c r="S386" s="204" t="str">
        <f>_xll.qlVanillaSwapFromSwapIndex(,R386,O386)</f>
        <v>obj_00b2e#0000</v>
      </c>
      <c r="T386" s="191">
        <f>_xll.qlVanillaSwapFairRate(S386)</f>
        <v>2.0705275808692636E-2</v>
      </c>
      <c r="U386" s="300">
        <f t="shared" si="34"/>
        <v>5.2758086926361913E-6</v>
      </c>
      <c r="X386" s="186" t="str">
        <f t="shared" si="35"/>
        <v>1D</v>
      </c>
      <c r="Y386" s="174">
        <f>_xll.qlCalendarAdvance(Calendar,Y385,X386,"f",FALSE)</f>
        <v>42471</v>
      </c>
      <c r="Z386" s="198">
        <f>_xll.qlCalendarAdvance(Calendar,Y386,NDays&amp;"D")</f>
        <v>42473</v>
      </c>
      <c r="AA386" s="173">
        <v>2.8087742889247162E-3</v>
      </c>
      <c r="AB386" s="182">
        <v>2.6669456791772461E-3</v>
      </c>
    </row>
    <row r="387" spans="13:28" x14ac:dyDescent="0.2">
      <c r="M387" s="303" t="str">
        <v>obj_00778#0000</v>
      </c>
      <c r="N387" s="186" t="str">
        <f>_xll.qlRateHelperQuoteName(M387)</f>
        <v>EUR30F4Y_Quote</v>
      </c>
      <c r="O387" s="174">
        <f>_xll.qlInterestRateIndexFixingDate(R387,_xll.qlRateHelperEarliestDate(M387,Trigger),)</f>
        <v>52902</v>
      </c>
      <c r="P387" s="201">
        <f>_xll.qlRateHelperQuoteValue(M387,_xll.ohTrigger(RecalcTrigger,YieldCurve))</f>
        <v>2.0809999999999999E-2</v>
      </c>
      <c r="Q387" s="204" t="str">
        <f t="shared" si="38"/>
        <v>4Y</v>
      </c>
      <c r="R387" s="204" t="str">
        <f>_xll.qlSwapIndex(,"Euribor",Q387,NDays,Currency,Calendar,"1Y","mf","30/360 (Bond Basis)",IborIndex,Discounting,,_xll.ohTrigger(Trigger,RecalcTrigger))</f>
        <v>obj_009e1#0000</v>
      </c>
      <c r="S387" s="204" t="str">
        <f>_xll.qlVanillaSwapFromSwapIndex(,R387,O387)</f>
        <v>obj_00a39#0000</v>
      </c>
      <c r="T387" s="191">
        <f>_xll.qlVanillaSwapFairRate(S387)</f>
        <v>2.0810776373574039E-2</v>
      </c>
      <c r="U387" s="300">
        <f t="shared" si="34"/>
        <v>7.7637357404070073E-7</v>
      </c>
      <c r="X387" s="186" t="str">
        <f t="shared" si="35"/>
        <v>1D</v>
      </c>
      <c r="Y387" s="174">
        <f>_xll.qlCalendarAdvance(Calendar,Y386,X387,"f",FALSE)</f>
        <v>42472</v>
      </c>
      <c r="Z387" s="198">
        <f>_xll.qlCalendarAdvance(Calendar,Y387,NDays&amp;"D")</f>
        <v>42474</v>
      </c>
      <c r="AA387" s="173">
        <v>2.8119631867122965E-3</v>
      </c>
      <c r="AB387" s="182">
        <v>2.6637888136082921E-3</v>
      </c>
    </row>
    <row r="388" spans="13:28" x14ac:dyDescent="0.2">
      <c r="M388" s="303" t="str">
        <v>obj_00786#0000</v>
      </c>
      <c r="N388" s="186" t="str">
        <f>_xll.qlRateHelperQuoteName(M388)</f>
        <v>EUR30F5Y_Quote</v>
      </c>
      <c r="O388" s="174">
        <f>_xll.qlInterestRateIndexFixingDate(R388,_xll.qlRateHelperEarliestDate(M388,Trigger),)</f>
        <v>52902</v>
      </c>
      <c r="P388" s="201">
        <f>_xll.qlRateHelperQuoteValue(M388,_xll.ohTrigger(RecalcTrigger,YieldCurve))</f>
        <v>2.0899999999999998E-2</v>
      </c>
      <c r="Q388" s="204" t="str">
        <f t="shared" si="38"/>
        <v>5Y</v>
      </c>
      <c r="R388" s="204" t="str">
        <f>_xll.qlSwapIndex(,"Euribor",Q388,NDays,Currency,Calendar,"1Y","mf","30/360 (Bond Basis)",IborIndex,Discounting,,_xll.ohTrigger(Trigger,RecalcTrigger))</f>
        <v>obj_00995#0000</v>
      </c>
      <c r="S388" s="204" t="str">
        <f>_xll.qlVanillaSwapFromSwapIndex(,R388,O388)</f>
        <v>obj_00a99#0000</v>
      </c>
      <c r="T388" s="191">
        <f>_xll.qlVanillaSwapFairRate(S388)</f>
        <v>2.0907617868519805E-2</v>
      </c>
      <c r="U388" s="300">
        <f t="shared" si="34"/>
        <v>7.6178685198061147E-6</v>
      </c>
      <c r="X388" s="186" t="str">
        <f t="shared" si="35"/>
        <v>1D</v>
      </c>
      <c r="Y388" s="174">
        <f>_xll.qlCalendarAdvance(Calendar,Y387,X388,"f",FALSE)</f>
        <v>42473</v>
      </c>
      <c r="Z388" s="198">
        <f>_xll.qlCalendarAdvance(Calendar,Y388,NDays&amp;"D")</f>
        <v>42475</v>
      </c>
      <c r="AA388" s="173">
        <v>2.8198763775732212E-3</v>
      </c>
      <c r="AB388" s="182">
        <v>2.6563037566074144E-3</v>
      </c>
    </row>
    <row r="389" spans="13:28" x14ac:dyDescent="0.2">
      <c r="M389" s="303" t="str">
        <v>obj_007f0#0000</v>
      </c>
      <c r="N389" s="186" t="str">
        <f>_xll.qlRateHelperQuoteName(M389)</f>
        <v>EUR30F6Y_Quote</v>
      </c>
      <c r="O389" s="174">
        <f>_xll.qlInterestRateIndexFixingDate(R389,_xll.qlRateHelperEarliestDate(M389,Trigger),)</f>
        <v>52902</v>
      </c>
      <c r="P389" s="201">
        <f>_xll.qlRateHelperQuoteValue(M389,_xll.ohTrigger(RecalcTrigger,YieldCurve))</f>
        <v>2.0990000000000002E-2</v>
      </c>
      <c r="Q389" s="204" t="str">
        <f t="shared" si="38"/>
        <v>6Y</v>
      </c>
      <c r="R389" s="204" t="str">
        <f>_xll.qlSwapIndex(,"Euribor",Q389,NDays,Currency,Calendar,"1Y","mf","30/360 (Bond Basis)",IborIndex,Discounting,,_xll.ohTrigger(Trigger,RecalcTrigger))</f>
        <v>obj_00971#0000</v>
      </c>
      <c r="S389" s="204" t="str">
        <f>_xll.qlVanillaSwapFromSwapIndex(,R389,O389)</f>
        <v>obj_00b19#0000</v>
      </c>
      <c r="T389" s="191">
        <f>_xll.qlVanillaSwapFairRate(S389)</f>
        <v>2.1008076508508798E-2</v>
      </c>
      <c r="U389" s="300">
        <f t="shared" si="34"/>
        <v>1.8076508508796385E-5</v>
      </c>
      <c r="X389" s="186" t="str">
        <f t="shared" si="35"/>
        <v>1D</v>
      </c>
      <c r="Y389" s="174">
        <f>_xll.qlCalendarAdvance(Calendar,Y388,X389,"f",FALSE)</f>
        <v>42474</v>
      </c>
      <c r="Z389" s="198">
        <f>_xll.qlCalendarAdvance(Calendar,Y389,NDays&amp;"D")</f>
        <v>42478</v>
      </c>
      <c r="AA389" s="173">
        <v>2.8248459645915255E-3</v>
      </c>
      <c r="AB389" s="182">
        <v>2.6475885749377426E-3</v>
      </c>
    </row>
    <row r="390" spans="13:28" x14ac:dyDescent="0.2">
      <c r="M390" s="303" t="str">
        <v>obj_007dd#0000</v>
      </c>
      <c r="N390" s="186" t="str">
        <f>_xll.qlRateHelperQuoteName(M390)</f>
        <v>EUR30F7Y_Quote</v>
      </c>
      <c r="O390" s="174">
        <f>_xll.qlInterestRateIndexFixingDate(R390,_xll.qlRateHelperEarliestDate(M390,Trigger),)</f>
        <v>52902</v>
      </c>
      <c r="P390" s="201">
        <f>_xll.qlRateHelperQuoteValue(M390,_xll.ohTrigger(RecalcTrigger,YieldCurve))</f>
        <v>2.1059999999999999E-2</v>
      </c>
      <c r="Q390" s="204" t="str">
        <f t="shared" si="38"/>
        <v>7Y</v>
      </c>
      <c r="R390" s="204" t="str">
        <f>_xll.qlSwapIndex(,"Euribor",Q390,NDays,Currency,Calendar,"1Y","mf","30/360 (Bond Basis)",IborIndex,Discounting,,_xll.ohTrigger(Trigger,RecalcTrigger))</f>
        <v>obj_00a11#0000</v>
      </c>
      <c r="S390" s="204" t="str">
        <f>_xll.qlVanillaSwapFromSwapIndex(,R390,O390)</f>
        <v>obj_00adc#0000</v>
      </c>
      <c r="T390" s="191">
        <f>_xll.qlVanillaSwapFairRate(S390)</f>
        <v>2.1092167342032828E-2</v>
      </c>
      <c r="U390" s="300">
        <f t="shared" si="34"/>
        <v>3.2167342032828755E-5</v>
      </c>
      <c r="X390" s="186" t="str">
        <f t="shared" si="35"/>
        <v>1D</v>
      </c>
      <c r="Y390" s="174">
        <f>_xll.qlCalendarAdvance(Calendar,Y389,X390,"f",FALSE)</f>
        <v>42475</v>
      </c>
      <c r="Z390" s="198">
        <f>_xll.qlCalendarAdvance(Calendar,Y390,NDays&amp;"D")</f>
        <v>42479</v>
      </c>
      <c r="AA390" s="173">
        <v>2.828113847402218E-3</v>
      </c>
      <c r="AB390" s="182">
        <v>2.6426453212913259E-3</v>
      </c>
    </row>
    <row r="391" spans="13:28" x14ac:dyDescent="0.2">
      <c r="M391" s="303" t="str">
        <v>obj_007f4#0000</v>
      </c>
      <c r="N391" s="186" t="str">
        <f>_xll.qlRateHelperQuoteName(M391)</f>
        <v>EUR30F8Y_Quote</v>
      </c>
      <c r="O391" s="174">
        <f>_xll.qlInterestRateIndexFixingDate(R391,_xll.qlRateHelperEarliestDate(M391,Trigger),)</f>
        <v>52902</v>
      </c>
      <c r="P391" s="201">
        <f>_xll.qlRateHelperQuoteValue(M391,_xll.ohTrigger(RecalcTrigger,YieldCurve))</f>
        <v>2.112E-2</v>
      </c>
      <c r="Q391" s="204" t="str">
        <f t="shared" si="38"/>
        <v>8Y</v>
      </c>
      <c r="R391" s="204" t="str">
        <f>_xll.qlSwapIndex(,"Euribor",Q391,NDays,Currency,Calendar,"1Y","mf","30/360 (Bond Basis)",IborIndex,Discounting,,_xll.ohTrigger(Trigger,RecalcTrigger))</f>
        <v>obj_0095b#0000</v>
      </c>
      <c r="S391" s="204" t="str">
        <f>_xll.qlVanillaSwapFromSwapIndex(,R391,O391)</f>
        <v>obj_00ac3#0000</v>
      </c>
      <c r="T391" s="191">
        <f>_xll.qlVanillaSwapFairRate(S391)</f>
        <v>2.1153438417784873E-2</v>
      </c>
      <c r="U391" s="300">
        <f t="shared" si="34"/>
        <v>3.3438417784872887E-5</v>
      </c>
      <c r="X391" s="186" t="str">
        <f t="shared" si="35"/>
        <v>1D</v>
      </c>
      <c r="Y391" s="174">
        <f>_xll.qlCalendarAdvance(Calendar,Y390,X391,"f",FALSE)</f>
        <v>42478</v>
      </c>
      <c r="Z391" s="198">
        <f>_xll.qlCalendarAdvance(Calendar,Y391,NDays&amp;"D")</f>
        <v>42480</v>
      </c>
      <c r="AA391" s="173">
        <v>2.8314067622850631E-3</v>
      </c>
      <c r="AB391" s="182">
        <v>2.6373447899175062E-3</v>
      </c>
    </row>
    <row r="392" spans="13:28" x14ac:dyDescent="0.2">
      <c r="M392" s="303" t="str">
        <v>obj_007a0#0000</v>
      </c>
      <c r="N392" s="186" t="str">
        <f>_xll.qlRateHelperQuoteName(M392)</f>
        <v>EUR30F9Y_Quote</v>
      </c>
      <c r="O392" s="174">
        <f>_xll.qlInterestRateIndexFixingDate(R392,_xll.qlRateHelperEarliestDate(M392,Trigger),)</f>
        <v>52902</v>
      </c>
      <c r="P392" s="201">
        <f>_xll.qlRateHelperQuoteValue(M392,_xll.ohTrigger(RecalcTrigger,YieldCurve))</f>
        <v>2.1139999999999999E-2</v>
      </c>
      <c r="Q392" s="204" t="str">
        <f t="shared" si="38"/>
        <v>9Y</v>
      </c>
      <c r="R392" s="204" t="str">
        <f>_xll.qlSwapIndex(,"Euribor",Q392,NDays,Currency,Calendar,"1Y","mf","30/360 (Bond Basis)",IborIndex,Discounting,,_xll.ohTrigger(Trigger,RecalcTrigger))</f>
        <v>obj_009f7#0000</v>
      </c>
      <c r="S392" s="204" t="str">
        <f>_xll.qlVanillaSwapFromSwapIndex(,R392,O392)</f>
        <v>obj_00a79#0000</v>
      </c>
      <c r="T392" s="191">
        <f>_xll.qlVanillaSwapFairRate(S392)</f>
        <v>2.1169974626415868E-2</v>
      </c>
      <c r="U392" s="300">
        <f t="shared" si="34"/>
        <v>2.9974626415869149E-5</v>
      </c>
      <c r="X392" s="186" t="str">
        <f t="shared" si="35"/>
        <v>1D</v>
      </c>
      <c r="Y392" s="174">
        <f>_xll.qlCalendarAdvance(Calendar,Y391,X392,"f",FALSE)</f>
        <v>42479</v>
      </c>
      <c r="Z392" s="198">
        <f>_xll.qlCalendarAdvance(Calendar,Y392,NDays&amp;"D")</f>
        <v>42481</v>
      </c>
      <c r="AA392" s="173">
        <v>2.8347277876453513E-3</v>
      </c>
      <c r="AB392" s="182">
        <v>2.6316869810560917E-3</v>
      </c>
    </row>
    <row r="393" spans="13:28" x14ac:dyDescent="0.2">
      <c r="M393" s="303" t="str">
        <v>obj_0076b#0000</v>
      </c>
      <c r="N393" s="186" t="str">
        <f>_xll.qlRateHelperQuoteName(M393)</f>
        <v>EUR30F10Y_Quote</v>
      </c>
      <c r="O393" s="174">
        <f>_xll.qlInterestRateIndexFixingDate(R393,_xll.qlRateHelperEarliestDate(M393,Trigger),)</f>
        <v>52902</v>
      </c>
      <c r="P393" s="201">
        <f>_xll.qlRateHelperQuoteValue(M393,_xll.ohTrigger(RecalcTrigger,YieldCurve))</f>
        <v>2.1129999999999999E-2</v>
      </c>
      <c r="Q393" s="204" t="str">
        <f t="shared" si="38"/>
        <v>10Y</v>
      </c>
      <c r="R393" s="204" t="str">
        <f>_xll.qlSwapIndex(,"Euribor",Q393,NDays,Currency,Calendar,"1Y","mf","30/360 (Bond Basis)",IborIndex,Discounting,,_xll.ohTrigger(Trigger,RecalcTrigger))</f>
        <v>obj_008ee#0000</v>
      </c>
      <c r="S393" s="204" t="str">
        <f>_xll.qlVanillaSwapFromSwapIndex(,R393,O393)</f>
        <v>obj_00b69#0000</v>
      </c>
      <c r="T393" s="191">
        <f>_xll.qlVanillaSwapFairRate(S393)</f>
        <v>2.1145880324154029E-2</v>
      </c>
      <c r="U393" s="300">
        <f t="shared" si="34"/>
        <v>1.5880324154029374E-5</v>
      </c>
      <c r="X393" s="186" t="str">
        <f t="shared" si="35"/>
        <v>1D</v>
      </c>
      <c r="Y393" s="174">
        <f>_xll.qlCalendarAdvance(Calendar,Y392,X393,"f",FALSE)</f>
        <v>42480</v>
      </c>
      <c r="Z393" s="198">
        <f>_xll.qlCalendarAdvance(Calendar,Y393,NDays&amp;"D")</f>
        <v>42482</v>
      </c>
      <c r="AA393" s="173">
        <v>2.8425270405050937E-3</v>
      </c>
      <c r="AB393" s="182">
        <v>2.619199493985036E-3</v>
      </c>
    </row>
    <row r="394" spans="13:28" x14ac:dyDescent="0.2">
      <c r="M394" s="303" t="str">
        <v>obj_00764#0000</v>
      </c>
      <c r="N394" s="186" t="str">
        <f>_xll.qlRateHelperQuoteName(M394)</f>
        <v>EUR30F11Y_Quote</v>
      </c>
      <c r="O394" s="174">
        <f>_xll.qlInterestRateIndexFixingDate(R394,_xll.qlRateHelperEarliestDate(M394,Trigger),)</f>
        <v>52902</v>
      </c>
      <c r="P394" s="201">
        <f>_xll.qlRateHelperQuoteValue(M394,_xll.ohTrigger(RecalcTrigger,YieldCurve))</f>
        <v>2.1080000000000002E-2</v>
      </c>
      <c r="Q394" s="204" t="str">
        <f t="shared" si="38"/>
        <v>11Y</v>
      </c>
      <c r="R394" s="204" t="str">
        <f>_xll.qlSwapIndex(,"Euribor",Q394,NDays,Currency,Calendar,"1Y","mf","30/360 (Bond Basis)",IborIndex,Discounting,,_xll.ohTrigger(Trigger,RecalcTrigger))</f>
        <v>obj_00998#0000</v>
      </c>
      <c r="S394" s="204" t="str">
        <f>_xll.qlVanillaSwapFromSwapIndex(,R394,O394)</f>
        <v>obj_00a42#0000</v>
      </c>
      <c r="T394" s="191">
        <f>_xll.qlVanillaSwapFairRate(S394)</f>
        <v>2.1082762786516579E-2</v>
      </c>
      <c r="U394" s="300">
        <f t="shared" si="34"/>
        <v>2.7627865165774645E-6</v>
      </c>
      <c r="X394" s="186" t="str">
        <f t="shared" si="35"/>
        <v>1D</v>
      </c>
      <c r="Y394" s="174">
        <f>_xll.qlCalendarAdvance(Calendar,Y393,X394,"f",FALSE)</f>
        <v>42481</v>
      </c>
      <c r="Z394" s="198">
        <f>_xll.qlCalendarAdvance(Calendar,Y394,NDays&amp;"D")</f>
        <v>42485</v>
      </c>
      <c r="AA394" s="173">
        <v>2.8483545627355231E-3</v>
      </c>
      <c r="AB394" s="182">
        <v>2.6054829701749327E-3</v>
      </c>
    </row>
    <row r="395" spans="13:28" x14ac:dyDescent="0.2">
      <c r="M395" s="303" t="str">
        <v>obj_00884#0000</v>
      </c>
      <c r="N395" s="186" t="str">
        <f>_xll.qlRateHelperQuoteName(M395)</f>
        <v>EUR30F12Y_Quote</v>
      </c>
      <c r="O395" s="174">
        <f>_xll.qlInterestRateIndexFixingDate(R395,_xll.qlRateHelperEarliestDate(M395,Trigger),)</f>
        <v>52902</v>
      </c>
      <c r="P395" s="201">
        <f>_xll.qlRateHelperQuoteValue(M395,_xll.ohTrigger(RecalcTrigger,YieldCurve))</f>
        <v>2.1010000000000001E-2</v>
      </c>
      <c r="Q395" s="204" t="str">
        <f t="shared" si="38"/>
        <v>12Y</v>
      </c>
      <c r="R395" s="204" t="str">
        <f>_xll.qlSwapIndex(,"Euribor",Q395,NDays,Currency,Calendar,"1Y","mf","30/360 (Bond Basis)",IborIndex,Discounting,,_xll.ohTrigger(Trigger,RecalcTrigger))</f>
        <v>obj_009a6#0000</v>
      </c>
      <c r="S395" s="204" t="str">
        <f>_xll.qlVanillaSwapFromSwapIndex(,R395,O395)</f>
        <v>obj_00b06#0000</v>
      </c>
      <c r="T395" s="191">
        <f>_xll.qlVanillaSwapFairRate(S395)</f>
        <v>2.1000330193362685E-2</v>
      </c>
      <c r="U395" s="300">
        <f t="shared" si="34"/>
        <v>-9.6698066373163138E-6</v>
      </c>
      <c r="X395" s="186" t="str">
        <f t="shared" si="35"/>
        <v>1D</v>
      </c>
      <c r="Y395" s="174">
        <f>_xll.qlCalendarAdvance(Calendar,Y394,X395,"f",FALSE)</f>
        <v>42482</v>
      </c>
      <c r="Z395" s="198">
        <f>_xll.qlCalendarAdvance(Calendar,Y395,NDays&amp;"D")</f>
        <v>42486</v>
      </c>
      <c r="AA395" s="173">
        <v>2.8518623173416479E-3</v>
      </c>
      <c r="AB395" s="182">
        <v>2.5980387737156718E-3</v>
      </c>
    </row>
    <row r="396" spans="13:28" x14ac:dyDescent="0.2">
      <c r="M396" s="303" t="str">
        <v>obj_007c3#0000</v>
      </c>
      <c r="N396" s="186" t="str">
        <f>_xll.qlRateHelperQuoteName(M396)</f>
        <v>EUR30F13Y_Quote</v>
      </c>
      <c r="O396" s="174">
        <f>_xll.qlInterestRateIndexFixingDate(R396,_xll.qlRateHelperEarliestDate(M396,Trigger),)</f>
        <v>52902</v>
      </c>
      <c r="P396" s="201">
        <f>_xll.qlRateHelperQuoteValue(M396,_xll.ohTrigger(RecalcTrigger,YieldCurve))</f>
        <v>2.0930000000000001E-2</v>
      </c>
      <c r="Q396" s="204" t="str">
        <f t="shared" si="38"/>
        <v>13Y</v>
      </c>
      <c r="R396" s="204" t="str">
        <f>_xll.qlSwapIndex(,"Euribor",Q396,NDays,Currency,Calendar,"1Y","mf","30/360 (Bond Basis)",IborIndex,Discounting,,_xll.ohTrigger(Trigger,RecalcTrigger))</f>
        <v>obj_009b9#0000</v>
      </c>
      <c r="S396" s="204" t="str">
        <f>_xll.qlVanillaSwapFromSwapIndex(,R396,O396)</f>
        <v>obj_00b7d#0000</v>
      </c>
      <c r="T396" s="191">
        <f>_xll.qlVanillaSwapFairRate(S396)</f>
        <v>2.0903567099223981E-2</v>
      </c>
      <c r="U396" s="300">
        <f t="shared" si="34"/>
        <v>-2.6432900776019591E-5</v>
      </c>
      <c r="X396" s="186" t="str">
        <f t="shared" si="35"/>
        <v>1D</v>
      </c>
      <c r="Y396" s="174">
        <f>_xll.qlCalendarAdvance(Calendar,Y395,X396,"f",FALSE)</f>
        <v>42485</v>
      </c>
      <c r="Z396" s="198">
        <f>_xll.qlCalendarAdvance(Calendar,Y396,NDays&amp;"D")</f>
        <v>42487</v>
      </c>
      <c r="AA396" s="173">
        <v>2.8554166533322051E-3</v>
      </c>
      <c r="AB396" s="182">
        <v>2.5902372997688161E-3</v>
      </c>
    </row>
    <row r="397" spans="13:28" x14ac:dyDescent="0.2">
      <c r="M397" s="303" t="str">
        <v>obj_00841#0000</v>
      </c>
      <c r="N397" s="186" t="str">
        <f>_xll.qlRateHelperQuoteName(M397)</f>
        <v>EUR30F14Y_Quote</v>
      </c>
      <c r="O397" s="174">
        <f>_xll.qlInterestRateIndexFixingDate(R397,_xll.qlRateHelperEarliestDate(M397,Trigger),)</f>
        <v>52902</v>
      </c>
      <c r="P397" s="201">
        <f>_xll.qlRateHelperQuoteValue(M397,_xll.ohTrigger(RecalcTrigger,YieldCurve))</f>
        <v>2.0830000000000001E-2</v>
      </c>
      <c r="Q397" s="204" t="str">
        <f t="shared" si="38"/>
        <v>14Y</v>
      </c>
      <c r="R397" s="204" t="str">
        <f>_xll.qlSwapIndex(,"Euribor",Q397,NDays,Currency,Calendar,"1Y","mf","30/360 (Bond Basis)",IborIndex,Discounting,,_xll.ohTrigger(Trigger,RecalcTrigger))</f>
        <v>obj_00957#0000</v>
      </c>
      <c r="S397" s="204" t="str">
        <f>_xll.qlVanillaSwapFromSwapIndex(,R397,O397)</f>
        <v>obj_00b24#0000</v>
      </c>
      <c r="T397" s="191">
        <f>_xll.qlVanillaSwapFairRate(S397)</f>
        <v>2.080820878098967E-2</v>
      </c>
      <c r="U397" s="300">
        <f t="shared" si="34"/>
        <v>-2.1791219010330876E-5</v>
      </c>
      <c r="X397" s="186" t="str">
        <f t="shared" si="35"/>
        <v>1D</v>
      </c>
      <c r="Y397" s="174">
        <f>_xll.qlCalendarAdvance(Calendar,Y396,X397,"f",FALSE)</f>
        <v>42486</v>
      </c>
      <c r="Z397" s="198">
        <f>_xll.qlCalendarAdvance(Calendar,Y397,NDays&amp;"D")</f>
        <v>42488</v>
      </c>
      <c r="AA397" s="173">
        <v>2.8590206492780357E-3</v>
      </c>
      <c r="AB397" s="182">
        <v>2.5820785484143016E-3</v>
      </c>
    </row>
    <row r="398" spans="13:28" x14ac:dyDescent="0.2">
      <c r="M398" s="303" t="str">
        <v>obj_0083e#0000</v>
      </c>
      <c r="N398" s="186" t="str">
        <f>_xll.qlRateHelperQuoteName(M398)</f>
        <v>EUR30F15Y_Quote</v>
      </c>
      <c r="O398" s="174">
        <f>_xll.qlInterestRateIndexFixingDate(R398,_xll.qlRateHelperEarliestDate(M398,Trigger),)</f>
        <v>52902</v>
      </c>
      <c r="P398" s="201">
        <f>_xll.qlRateHelperQuoteValue(M398,_xll.ohTrigger(RecalcTrigger,YieldCurve))</f>
        <v>2.0739999999999998E-2</v>
      </c>
      <c r="Q398" s="204" t="str">
        <f t="shared" si="38"/>
        <v>15Y</v>
      </c>
      <c r="R398" s="204" t="str">
        <f>_xll.qlSwapIndex(,"Euribor",Q398,NDays,Currency,Calendar,"1Y","mf","30/360 (Bond Basis)",IborIndex,Discounting,,_xll.ohTrigger(Trigger,RecalcTrigger))</f>
        <v>obj_0095f#0000</v>
      </c>
      <c r="S398" s="204" t="str">
        <f>_xll.qlVanillaSwapFromSwapIndex(,R398,O398)</f>
        <v>obj_00afe#0000</v>
      </c>
      <c r="T398" s="191">
        <f>_xll.qlVanillaSwapFairRate(S398)</f>
        <v>2.0720440649931879E-2</v>
      </c>
      <c r="U398" s="300">
        <f t="shared" si="34"/>
        <v>-1.955935006811918E-5</v>
      </c>
      <c r="X398" s="186" t="str">
        <f t="shared" si="35"/>
        <v>1D</v>
      </c>
      <c r="Y398" s="174">
        <f>_xll.qlCalendarAdvance(Calendar,Y397,X398,"f",FALSE)</f>
        <v>42487</v>
      </c>
      <c r="Z398" s="198">
        <f>_xll.qlCalendarAdvance(Calendar,Y398,NDays&amp;"D")</f>
        <v>42489</v>
      </c>
      <c r="AA398" s="173">
        <v>2.8669475668888691E-3</v>
      </c>
      <c r="AB398" s="182">
        <v>2.5645883904523714E-3</v>
      </c>
    </row>
    <row r="399" spans="13:28" x14ac:dyDescent="0.2">
      <c r="M399" s="303" t="str">
        <v>obj_0087f#0000</v>
      </c>
      <c r="N399" s="186" t="str">
        <f>_xll.qlRateHelperQuoteName(M399)</f>
        <v>EUR30F20Y_Quote</v>
      </c>
      <c r="O399" s="174">
        <f>_xll.qlInterestRateIndexFixingDate(R399,_xll.qlRateHelperEarliestDate(M399,Trigger),)</f>
        <v>52902</v>
      </c>
      <c r="P399" s="201">
        <f>_xll.qlRateHelperQuoteValue(M399,_xll.ohTrigger(RecalcTrigger,YieldCurve))</f>
        <v>2.043E-2</v>
      </c>
      <c r="Q399" s="204" t="str">
        <f t="shared" si="38"/>
        <v>20Y</v>
      </c>
      <c r="R399" s="204" t="str">
        <f>_xll.qlSwapIndex(,"Euribor",Q399,NDays,Currency,Calendar,"1Y","mf","30/360 (Bond Basis)",IborIndex,Discounting,,_xll.ohTrigger(Trigger,RecalcTrigger))</f>
        <v>obj_0090a#0000</v>
      </c>
      <c r="S399" s="204" t="str">
        <f>_xll.qlVanillaSwapFromSwapIndex(,R399,O399)</f>
        <v>obj_00a8b#0000</v>
      </c>
      <c r="T399" s="191">
        <f>_xll.qlVanillaSwapFairRate(S399)</f>
        <v>2.0442429205434834E-2</v>
      </c>
      <c r="U399" s="300">
        <f t="shared" ref="U399:U400" si="39">T399-P399</f>
        <v>1.242920543483364E-5</v>
      </c>
      <c r="X399" s="186" t="str">
        <f t="shared" si="35"/>
        <v>1D</v>
      </c>
      <c r="Y399" s="174">
        <f>_xll.qlCalendarAdvance(Calendar,Y398,X399,"f",FALSE)</f>
        <v>42488</v>
      </c>
      <c r="Z399" s="198">
        <f>_xll.qlCalendarAdvance(Calendar,Y399,NDays&amp;"D")</f>
        <v>42492</v>
      </c>
      <c r="AA399" s="173">
        <v>2.8761090514325843E-3</v>
      </c>
      <c r="AB399" s="182">
        <v>2.5458707690795279E-3</v>
      </c>
    </row>
    <row r="400" spans="13:28" x14ac:dyDescent="0.2">
      <c r="M400" s="303" t="str">
        <v>obj_007a8#0000</v>
      </c>
      <c r="N400" s="186" t="str">
        <f>_xll.qlRateHelperQuoteName(M400)</f>
        <v>EUR30F25Y_Quote</v>
      </c>
      <c r="O400" s="174">
        <f>_xll.qlInterestRateIndexFixingDate(R400,_xll.qlRateHelperEarliestDate(M400,Trigger),)</f>
        <v>52902</v>
      </c>
      <c r="P400" s="201">
        <f>_xll.qlRateHelperQuoteValue(M400,_xll.ohTrigger(RecalcTrigger,YieldCurve))</f>
        <v>2.036E-2</v>
      </c>
      <c r="Q400" s="204" t="str">
        <f t="shared" si="38"/>
        <v>25Y</v>
      </c>
      <c r="R400" s="204" t="str">
        <f>_xll.qlSwapIndex(,"Euribor",Q400,NDays,Currency,Calendar,"1Y","mf","30/360 (Bond Basis)",IborIndex,Discounting,,_xll.ohTrigger(Trigger,RecalcTrigger))</f>
        <v>obj_00919#0000</v>
      </c>
      <c r="S400" s="204" t="str">
        <f>_xll.qlVanillaSwapFromSwapIndex(,R400,O400)</f>
        <v>obj_00ad8#0000</v>
      </c>
      <c r="T400" s="191">
        <f>_xll.qlVanillaSwapFairRate(S400)</f>
        <v>2.0347956239538247E-2</v>
      </c>
      <c r="U400" s="300">
        <f t="shared" si="39"/>
        <v>-1.2043760461752373E-5</v>
      </c>
      <c r="X400" s="186" t="str">
        <f t="shared" si="35"/>
        <v>1D</v>
      </c>
      <c r="Y400" s="174">
        <f>_xll.qlCalendarAdvance(Calendar,Y399,X400,"f",FALSE)</f>
        <v>42489</v>
      </c>
      <c r="Z400" s="198">
        <f>_xll.qlCalendarAdvance(Calendar,Y400,NDays&amp;"D")</f>
        <v>42493</v>
      </c>
      <c r="AA400" s="173">
        <v>2.8799999999998393E-3</v>
      </c>
      <c r="AB400" s="182">
        <v>2.5361158060821509E-3</v>
      </c>
    </row>
    <row r="401" spans="13:28" ht="12" thickBot="1" x14ac:dyDescent="0.25">
      <c r="M401" s="304" t="str">
        <v>obj_007b3#0000</v>
      </c>
      <c r="N401" s="187" t="str">
        <f>_xll.qlRateHelperQuoteName(M401)</f>
        <v>EUR30F30Y_Quote</v>
      </c>
      <c r="O401" s="184">
        <f>_xll.qlInterestRateIndexFixingDate(R401,_xll.qlRateHelperEarliestDate(M401,Trigger),)</f>
        <v>52902</v>
      </c>
      <c r="P401" s="202">
        <f>_xll.qlRateHelperQuoteValue(M401,_xll.ohTrigger(RecalcTrigger,YieldCurve))</f>
        <v>2.036E-2</v>
      </c>
      <c r="Q401" s="205" t="str">
        <f t="shared" si="38"/>
        <v>30Y</v>
      </c>
      <c r="R401" s="205" t="str">
        <f>_xll.qlSwapIndex(,"Euribor",Q401,NDays,Currency,Calendar,"1Y","mf","30/360 (Bond Basis)",IborIndex,Discounting,,_xll.ohTrigger(Trigger,RecalcTrigger))</f>
        <v>obj_0095a#0000</v>
      </c>
      <c r="S401" s="205" t="str">
        <f>_xll.qlVanillaSwapFromSwapIndex(,R401,O401)</f>
        <v>obj_00b51#0000</v>
      </c>
      <c r="T401" s="193">
        <f>_xll.qlVanillaSwapFairRate(S401)</f>
        <v>2.0375378712766918E-2</v>
      </c>
      <c r="U401" s="301">
        <f>T401-P401</f>
        <v>1.5378712766918323E-5</v>
      </c>
      <c r="X401" s="186" t="str">
        <f t="shared" si="35"/>
        <v>1D</v>
      </c>
      <c r="Y401" s="174">
        <f>_xll.qlCalendarAdvance(Calendar,Y400,X401,"f",FALSE)</f>
        <v>42492</v>
      </c>
      <c r="Z401" s="198">
        <f>_xll.qlCalendarAdvance(Calendar,Y401,NDays&amp;"D")</f>
        <v>42494</v>
      </c>
      <c r="AA401" s="173">
        <v>2.8839586160886808E-3</v>
      </c>
      <c r="AB401" s="182">
        <v>2.5269544416151035E-3</v>
      </c>
    </row>
    <row r="402" spans="13:28" x14ac:dyDescent="0.2">
      <c r="X402" s="186" t="str">
        <f t="shared" si="35"/>
        <v>1D</v>
      </c>
      <c r="Y402" s="174">
        <f>_xll.qlCalendarAdvance(Calendar,Y401,X402,"f",FALSE)</f>
        <v>42493</v>
      </c>
      <c r="Z402" s="198">
        <f>_xll.qlCalendarAdvance(Calendar,Y402,NDays&amp;"D")</f>
        <v>42495</v>
      </c>
      <c r="AA402" s="173">
        <v>2.8921444184814766E-3</v>
      </c>
      <c r="AB402" s="182">
        <v>2.5185768507540729E-3</v>
      </c>
    </row>
    <row r="403" spans="13:28" x14ac:dyDescent="0.2">
      <c r="X403" s="186" t="str">
        <f t="shared" si="35"/>
        <v>1D</v>
      </c>
      <c r="Y403" s="174">
        <f>_xll.qlCalendarAdvance(Calendar,Y402,X403,"f",FALSE)</f>
        <v>42494</v>
      </c>
      <c r="Z403" s="198">
        <f>_xll.qlCalendarAdvance(Calendar,Y403,NDays&amp;"D")</f>
        <v>42496</v>
      </c>
      <c r="AA403" s="173">
        <v>2.8941434550681612E-3</v>
      </c>
      <c r="AB403" s="182">
        <v>2.5044516702621422E-3</v>
      </c>
    </row>
    <row r="404" spans="13:28" x14ac:dyDescent="0.2">
      <c r="X404" s="186" t="str">
        <f t="shared" si="35"/>
        <v>1D</v>
      </c>
      <c r="Y404" s="174">
        <f>_xll.qlCalendarAdvance(Calendar,Y403,X404,"f",FALSE)</f>
        <v>42495</v>
      </c>
      <c r="Z404" s="198">
        <f>_xll.qlCalendarAdvance(Calendar,Y404,NDays&amp;"D")</f>
        <v>42499</v>
      </c>
      <c r="AA404" s="173">
        <v>2.9046375615047002E-3</v>
      </c>
      <c r="AB404" s="182">
        <v>2.4929042224908216E-3</v>
      </c>
    </row>
    <row r="405" spans="13:28" x14ac:dyDescent="0.2">
      <c r="X405" s="186" t="str">
        <f t="shared" ref="X405:X468" si="40">X404</f>
        <v>1D</v>
      </c>
      <c r="Y405" s="174">
        <f>_xll.qlCalendarAdvance(Calendar,Y404,X405,"f",FALSE)</f>
        <v>42496</v>
      </c>
      <c r="Z405" s="198">
        <f>_xll.qlCalendarAdvance(Calendar,Y405,NDays&amp;"D")</f>
        <v>42500</v>
      </c>
      <c r="AA405" s="173">
        <v>2.908921057930522E-3</v>
      </c>
      <c r="AB405" s="182">
        <v>2.4884454990203864E-3</v>
      </c>
    </row>
    <row r="406" spans="13:28" x14ac:dyDescent="0.2">
      <c r="X406" s="186" t="str">
        <f t="shared" si="40"/>
        <v>1D</v>
      </c>
      <c r="Y406" s="174">
        <f>_xll.qlCalendarAdvance(Calendar,Y405,X406,"f",FALSE)</f>
        <v>42499</v>
      </c>
      <c r="Z406" s="198">
        <f>_xll.qlCalendarAdvance(Calendar,Y406,NDays&amp;"D")</f>
        <v>42501</v>
      </c>
      <c r="AA406" s="173">
        <v>2.913243968103827E-3</v>
      </c>
      <c r="AB406" s="182">
        <v>2.4847705489960958E-3</v>
      </c>
    </row>
    <row r="407" spans="13:28" x14ac:dyDescent="0.2">
      <c r="X407" s="186" t="str">
        <f t="shared" si="40"/>
        <v>1D</v>
      </c>
      <c r="Y407" s="174">
        <f>_xll.qlCalendarAdvance(Calendar,Y406,X407,"f",FALSE)</f>
        <v>42500</v>
      </c>
      <c r="Z407" s="198">
        <f>_xll.qlCalendarAdvance(Calendar,Y407,NDays&amp;"D")</f>
        <v>42502</v>
      </c>
      <c r="AA407" s="173">
        <v>2.9216558789877814E-3</v>
      </c>
      <c r="AB407" s="182">
        <v>2.4818793721781418E-3</v>
      </c>
    </row>
    <row r="408" spans="13:28" x14ac:dyDescent="0.2">
      <c r="X408" s="186" t="str">
        <f t="shared" si="40"/>
        <v>1D</v>
      </c>
      <c r="Y408" s="174">
        <f>_xll.qlCalendarAdvance(Calendar,Y407,X408,"f",FALSE)</f>
        <v>42501</v>
      </c>
      <c r="Z408" s="198">
        <f>_xll.qlCalendarAdvance(Calendar,Y408,NDays&amp;"D")</f>
        <v>42503</v>
      </c>
      <c r="AA408" s="173">
        <v>2.924012890830126E-3</v>
      </c>
      <c r="AB408" s="182">
        <v>2.4787266631243199E-3</v>
      </c>
    </row>
    <row r="409" spans="13:28" x14ac:dyDescent="0.2">
      <c r="X409" s="186" t="str">
        <f t="shared" si="40"/>
        <v>1D</v>
      </c>
      <c r="Y409" s="174">
        <f>_xll.qlCalendarAdvance(Calendar,Y408,X409,"f",FALSE)</f>
        <v>42502</v>
      </c>
      <c r="Z409" s="198">
        <f>_xll.qlCalendarAdvance(Calendar,Y409,NDays&amp;"D")</f>
        <v>42506</v>
      </c>
      <c r="AA409" s="173">
        <v>2.9353023910659525E-3</v>
      </c>
      <c r="AB409" s="182">
        <v>2.4781523983286036E-3</v>
      </c>
    </row>
    <row r="410" spans="13:28" x14ac:dyDescent="0.2">
      <c r="X410" s="186" t="str">
        <f t="shared" si="40"/>
        <v>1D</v>
      </c>
      <c r="Y410" s="174">
        <f>_xll.qlCalendarAdvance(Calendar,Y409,X410,"f",FALSE)</f>
        <v>42503</v>
      </c>
      <c r="Z410" s="198">
        <f>_xll.qlCalendarAdvance(Calendar,Y410,NDays&amp;"D")</f>
        <v>42507</v>
      </c>
      <c r="AA410" s="173">
        <v>2.9397733827437071E-3</v>
      </c>
      <c r="AB410" s="182">
        <v>2.4791800881018844E-3</v>
      </c>
    </row>
    <row r="411" spans="13:28" x14ac:dyDescent="0.2">
      <c r="X411" s="186" t="str">
        <f t="shared" si="40"/>
        <v>1D</v>
      </c>
      <c r="Y411" s="174">
        <f>_xll.qlCalendarAdvance(Calendar,Y410,X411,"f",FALSE)</f>
        <v>42506</v>
      </c>
      <c r="Z411" s="198">
        <f>_xll.qlCalendarAdvance(Calendar,Y411,NDays&amp;"D")</f>
        <v>42508</v>
      </c>
      <c r="AA411" s="173">
        <v>2.9442543208303756E-3</v>
      </c>
      <c r="AB411" s="182">
        <v>2.4809915511614378E-3</v>
      </c>
    </row>
    <row r="412" spans="13:28" x14ac:dyDescent="0.2">
      <c r="X412" s="186" t="str">
        <f t="shared" si="40"/>
        <v>1D</v>
      </c>
      <c r="Y412" s="174">
        <f>_xll.qlCalendarAdvance(Calendar,Y411,X412,"f",FALSE)</f>
        <v>42507</v>
      </c>
      <c r="Z412" s="198">
        <f>_xll.qlCalendarAdvance(Calendar,Y412,NDays&amp;"D")</f>
        <v>42509</v>
      </c>
      <c r="AA412" s="173">
        <v>2.9526752233131844E-3</v>
      </c>
      <c r="AB412" s="182">
        <v>2.4835867875871998E-3</v>
      </c>
    </row>
    <row r="413" spans="13:28" x14ac:dyDescent="0.2">
      <c r="X413" s="186" t="str">
        <f t="shared" si="40"/>
        <v>1D</v>
      </c>
      <c r="Y413" s="174">
        <f>_xll.qlCalendarAdvance(Calendar,Y412,X413,"f",FALSE)</f>
        <v>42508</v>
      </c>
      <c r="Z413" s="198">
        <f>_xll.qlCalendarAdvance(Calendar,Y413,NDays&amp;"D")</f>
        <v>42510</v>
      </c>
      <c r="AA413" s="173">
        <v>2.9551904490569265E-3</v>
      </c>
      <c r="AB413" s="182">
        <v>2.4914070800008403E-3</v>
      </c>
    </row>
    <row r="414" spans="13:28" x14ac:dyDescent="0.2">
      <c r="X414" s="186" t="str">
        <f t="shared" si="40"/>
        <v>1D</v>
      </c>
      <c r="Y414" s="174">
        <f>_xll.qlCalendarAdvance(Calendar,Y413,X414,"f",FALSE)</f>
        <v>42509</v>
      </c>
      <c r="Z414" s="198">
        <f>_xll.qlCalendarAdvance(Calendar,Y414,NDays&amp;"D")</f>
        <v>42513</v>
      </c>
      <c r="AA414" s="173">
        <v>2.96666086410334E-3</v>
      </c>
      <c r="AB414" s="182">
        <v>2.5018054668723977E-3</v>
      </c>
    </row>
    <row r="415" spans="13:28" x14ac:dyDescent="0.2">
      <c r="X415" s="186" t="str">
        <f t="shared" si="40"/>
        <v>1D</v>
      </c>
      <c r="Y415" s="174">
        <f>_xll.qlCalendarAdvance(Calendar,Y414,X415,"f",FALSE)</f>
        <v>42510</v>
      </c>
      <c r="Z415" s="198">
        <f>_xll.qlCalendarAdvance(Calendar,Y415,NDays&amp;"D")</f>
        <v>42514</v>
      </c>
      <c r="AA415" s="173">
        <v>2.9711130741274711E-3</v>
      </c>
      <c r="AB415" s="182">
        <v>2.5083195702091388E-3</v>
      </c>
    </row>
    <row r="416" spans="13:28" x14ac:dyDescent="0.2">
      <c r="X416" s="186" t="str">
        <f t="shared" si="40"/>
        <v>1D</v>
      </c>
      <c r="Y416" s="174">
        <f>_xll.qlCalendarAdvance(Calendar,Y415,X416,"f",FALSE)</f>
        <v>42513</v>
      </c>
      <c r="Z416" s="198">
        <f>_xll.qlCalendarAdvance(Calendar,Y416,NDays&amp;"D")</f>
        <v>42515</v>
      </c>
      <c r="AA416" s="173">
        <v>2.9755457613634337E-3</v>
      </c>
      <c r="AB416" s="182">
        <v>2.5156174471518966E-3</v>
      </c>
    </row>
    <row r="417" spans="24:28" x14ac:dyDescent="0.2">
      <c r="X417" s="186" t="str">
        <f t="shared" si="40"/>
        <v>1D</v>
      </c>
      <c r="Y417" s="174">
        <f>_xll.qlCalendarAdvance(Calendar,Y416,X417,"f",FALSE)</f>
        <v>42514</v>
      </c>
      <c r="Z417" s="198">
        <f>_xll.qlCalendarAdvance(Calendar,Y417,NDays&amp;"D")</f>
        <v>42516</v>
      </c>
      <c r="AA417" s="173">
        <v>2.9837740262253945E-3</v>
      </c>
      <c r="AB417" s="182">
        <v>2.5236990974608631E-3</v>
      </c>
    </row>
    <row r="418" spans="24:28" x14ac:dyDescent="0.2">
      <c r="X418" s="186" t="str">
        <f t="shared" si="40"/>
        <v>1D</v>
      </c>
      <c r="Y418" s="174">
        <f>_xll.qlCalendarAdvance(Calendar,Y417,X418,"f",FALSE)</f>
        <v>42515</v>
      </c>
      <c r="Z418" s="198">
        <f>_xll.qlCalendarAdvance(Calendar,Y418,NDays&amp;"D")</f>
        <v>42517</v>
      </c>
      <c r="AA418" s="173">
        <v>2.9862399833679339E-3</v>
      </c>
      <c r="AB418" s="182">
        <v>2.542492933095275E-3</v>
      </c>
    </row>
    <row r="419" spans="24:28" x14ac:dyDescent="0.2">
      <c r="X419" s="186" t="str">
        <f t="shared" si="40"/>
        <v>1D</v>
      </c>
      <c r="Y419" s="174">
        <f>_xll.qlCalendarAdvance(Calendar,Y418,X419,"f",FALSE)</f>
        <v>42516</v>
      </c>
      <c r="Z419" s="198">
        <f>_xll.qlCalendarAdvance(Calendar,Y419,NDays&amp;"D")</f>
        <v>42520</v>
      </c>
      <c r="AA419" s="173">
        <v>2.9972690031045196E-3</v>
      </c>
      <c r="AB419" s="182">
        <v>2.5638634357960655E-3</v>
      </c>
    </row>
    <row r="420" spans="24:28" x14ac:dyDescent="0.2">
      <c r="X420" s="186" t="str">
        <f t="shared" si="40"/>
        <v>1D</v>
      </c>
      <c r="Y420" s="174">
        <f>_xll.qlCalendarAdvance(Calendar,Y419,X420,"f",FALSE)</f>
        <v>42517</v>
      </c>
      <c r="Z420" s="198">
        <f>_xll.qlCalendarAdvance(Calendar,Y420,NDays&amp;"D")</f>
        <v>42521</v>
      </c>
      <c r="AA420" s="173">
        <v>2.9996159767443978E-3</v>
      </c>
      <c r="AB420" s="182">
        <v>2.5758639547746043E-3</v>
      </c>
    </row>
    <row r="421" spans="24:28" x14ac:dyDescent="0.2">
      <c r="X421" s="186" t="str">
        <f t="shared" si="40"/>
        <v>1D</v>
      </c>
      <c r="Y421" s="174">
        <f>_xll.qlCalendarAdvance(Calendar,Y420,X421,"f",FALSE)</f>
        <v>42520</v>
      </c>
      <c r="Z421" s="198">
        <f>_xll.qlCalendarAdvance(Calendar,Y421,NDays&amp;"D")</f>
        <v>42522</v>
      </c>
      <c r="AA421" s="173">
        <v>3.0038005077550577E-3</v>
      </c>
      <c r="AB421" s="182">
        <v>2.5886482477588402E-3</v>
      </c>
    </row>
    <row r="422" spans="24:28" x14ac:dyDescent="0.2">
      <c r="X422" s="186" t="str">
        <f t="shared" si="40"/>
        <v>1D</v>
      </c>
      <c r="Y422" s="174">
        <f>_xll.qlCalendarAdvance(Calendar,Y421,X422,"f",FALSE)</f>
        <v>42521</v>
      </c>
      <c r="Z422" s="198">
        <f>_xll.qlCalendarAdvance(Calendar,Y422,NDays&amp;"D")</f>
        <v>42523</v>
      </c>
      <c r="AA422" s="173">
        <v>3.0079314878695409E-3</v>
      </c>
      <c r="AB422" s="182">
        <v>2.6022163148287092E-3</v>
      </c>
    </row>
    <row r="423" spans="24:28" x14ac:dyDescent="0.2">
      <c r="X423" s="186" t="str">
        <f t="shared" si="40"/>
        <v>1D</v>
      </c>
      <c r="Y423" s="174">
        <f>_xll.qlCalendarAdvance(Calendar,Y422,X423,"f",FALSE)</f>
        <v>42522</v>
      </c>
      <c r="Z423" s="198">
        <f>_xll.qlCalendarAdvance(Calendar,Y423,NDays&amp;"D")</f>
        <v>42524</v>
      </c>
      <c r="AA423" s="173">
        <v>3.0157252567527462E-3</v>
      </c>
      <c r="AB423" s="182">
        <v>2.6300025746017752E-3</v>
      </c>
    </row>
    <row r="424" spans="24:28" x14ac:dyDescent="0.2">
      <c r="X424" s="186" t="str">
        <f t="shared" si="40"/>
        <v>1D</v>
      </c>
      <c r="Y424" s="174">
        <f>_xll.qlCalendarAdvance(Calendar,Y423,X424,"f",FALSE)</f>
        <v>42523</v>
      </c>
      <c r="Z424" s="198">
        <f>_xll.qlCalendarAdvance(Calendar,Y424,NDays&amp;"D")</f>
        <v>42527</v>
      </c>
      <c r="AA424" s="173">
        <v>3.0238677693582958E-3</v>
      </c>
      <c r="AB424" s="182">
        <v>2.6561794672552708E-3</v>
      </c>
    </row>
    <row r="425" spans="24:28" x14ac:dyDescent="0.2">
      <c r="X425" s="186" t="str">
        <f t="shared" si="40"/>
        <v>1D</v>
      </c>
      <c r="Y425" s="174">
        <f>_xll.qlCalendarAdvance(Calendar,Y424,X425,"f",FALSE)</f>
        <v>42524</v>
      </c>
      <c r="Z425" s="198">
        <f>_xll.qlCalendarAdvance(Calendar,Y425,NDays&amp;"D")</f>
        <v>42528</v>
      </c>
      <c r="AA425" s="173">
        <v>3.0277120817912735E-3</v>
      </c>
      <c r="AB425" s="182">
        <v>2.6683819570738621E-3</v>
      </c>
    </row>
    <row r="426" spans="24:28" x14ac:dyDescent="0.2">
      <c r="X426" s="186" t="str">
        <f t="shared" si="40"/>
        <v>1D</v>
      </c>
      <c r="Y426" s="174">
        <f>_xll.qlCalendarAdvance(Calendar,Y425,X426,"f",FALSE)</f>
        <v>42527</v>
      </c>
      <c r="Z426" s="198">
        <f>_xll.qlCalendarAdvance(Calendar,Y426,NDays&amp;"D")</f>
        <v>42529</v>
      </c>
      <c r="AA426" s="173">
        <v>3.0315063644367258E-3</v>
      </c>
      <c r="AB426" s="182">
        <v>2.6800471089583056E-3</v>
      </c>
    </row>
    <row r="427" spans="24:28" x14ac:dyDescent="0.2">
      <c r="X427" s="186" t="str">
        <f t="shared" si="40"/>
        <v>1D</v>
      </c>
      <c r="Y427" s="174">
        <f>_xll.qlCalendarAdvance(Calendar,Y426,X427,"f",FALSE)</f>
        <v>42528</v>
      </c>
      <c r="Z427" s="198">
        <f>_xll.qlCalendarAdvance(Calendar,Y427,NDays&amp;"D")</f>
        <v>42530</v>
      </c>
      <c r="AA427" s="173">
        <v>3.0352536142883436E-3</v>
      </c>
      <c r="AB427" s="182">
        <v>2.6911749227487292E-3</v>
      </c>
    </row>
    <row r="428" spans="24:28" x14ac:dyDescent="0.2">
      <c r="X428" s="186" t="str">
        <f t="shared" si="40"/>
        <v>1D</v>
      </c>
      <c r="Y428" s="174">
        <f>_xll.qlCalendarAdvance(Calendar,Y427,X428,"f",FALSE)</f>
        <v>42529</v>
      </c>
      <c r="Z428" s="198">
        <f>_xll.qlCalendarAdvance(Calendar,Y428,NDays&amp;"D")</f>
        <v>42531</v>
      </c>
      <c r="AA428" s="173">
        <v>3.0426188185704714E-3</v>
      </c>
      <c r="AB428" s="182">
        <v>2.7116598484777654E-3</v>
      </c>
    </row>
    <row r="429" spans="24:28" x14ac:dyDescent="0.2">
      <c r="X429" s="186" t="str">
        <f t="shared" si="40"/>
        <v>1D</v>
      </c>
      <c r="Y429" s="174">
        <f>_xll.qlCalendarAdvance(Calendar,Y428,X429,"f",FALSE)</f>
        <v>42530</v>
      </c>
      <c r="Z429" s="198">
        <f>_xll.qlCalendarAdvance(Calendar,Y429,NDays&amp;"D")</f>
        <v>42534</v>
      </c>
      <c r="AA429" s="173">
        <v>3.0498322265309998E-3</v>
      </c>
      <c r="AB429" s="182">
        <v>2.7303127971300967E-3</v>
      </c>
    </row>
    <row r="430" spans="24:28" x14ac:dyDescent="0.2">
      <c r="X430" s="186" t="str">
        <f t="shared" si="40"/>
        <v>1D</v>
      </c>
      <c r="Y430" s="174">
        <f>_xll.qlCalendarAdvance(Calendar,Y429,X430,"f",FALSE)</f>
        <v>42531</v>
      </c>
      <c r="Z430" s="198">
        <f>_xll.qlCalendarAdvance(Calendar,Y430,NDays&amp;"D")</f>
        <v>42535</v>
      </c>
      <c r="AA430" s="173">
        <v>3.0533892682138393E-3</v>
      </c>
      <c r="AB430" s="182">
        <v>2.7387539201306765E-3</v>
      </c>
    </row>
    <row r="431" spans="24:28" x14ac:dyDescent="0.2">
      <c r="X431" s="186" t="str">
        <f t="shared" si="40"/>
        <v>1D</v>
      </c>
      <c r="Y431" s="174">
        <f>_xll.qlCalendarAdvance(Calendar,Y430,X431,"f",FALSE)</f>
        <v>42534</v>
      </c>
      <c r="Z431" s="198">
        <f>_xll.qlCalendarAdvance(Calendar,Y431,NDays&amp;"D")</f>
        <v>42536</v>
      </c>
      <c r="AA431" s="173">
        <v>3.0569172595935321E-3</v>
      </c>
      <c r="AB431" s="182">
        <v>2.7466577049573004E-3</v>
      </c>
    </row>
    <row r="432" spans="24:28" x14ac:dyDescent="0.2">
      <c r="X432" s="186" t="str">
        <f t="shared" si="40"/>
        <v>1D</v>
      </c>
      <c r="Y432" s="174">
        <f>_xll.qlCalendarAdvance(Calendar,Y431,X432,"f",FALSE)</f>
        <v>42535</v>
      </c>
      <c r="Z432" s="198">
        <f>_xll.qlCalendarAdvance(Calendar,Y432,NDays&amp;"D")</f>
        <v>42537</v>
      </c>
      <c r="AA432" s="173">
        <v>3.0604191978358727E-3</v>
      </c>
      <c r="AB432" s="182">
        <v>2.7540241514500963E-3</v>
      </c>
    </row>
    <row r="433" spans="24:28" x14ac:dyDescent="0.2">
      <c r="X433" s="186" t="str">
        <f t="shared" si="40"/>
        <v>1D</v>
      </c>
      <c r="Y433" s="174">
        <f>_xll.qlCalendarAdvance(Calendar,Y432,X433,"f",FALSE)</f>
        <v>42536</v>
      </c>
      <c r="Z433" s="198">
        <f>_xll.qlCalendarAdvance(Calendar,Y433,NDays&amp;"D")</f>
        <v>42538</v>
      </c>
      <c r="AA433" s="173">
        <v>3.0675286730609298E-3</v>
      </c>
      <c r="AB433" s="182">
        <v>2.7669871835112048E-3</v>
      </c>
    </row>
    <row r="434" spans="24:28" x14ac:dyDescent="0.2">
      <c r="X434" s="186" t="str">
        <f t="shared" si="40"/>
        <v>1D</v>
      </c>
      <c r="Y434" s="174">
        <f>_xll.qlCalendarAdvance(Calendar,Y433,X434,"f",FALSE)</f>
        <v>42537</v>
      </c>
      <c r="Z434" s="198">
        <f>_xll.qlCalendarAdvance(Calendar,Y434,NDays&amp;"D")</f>
        <v>42541</v>
      </c>
      <c r="AA434" s="173">
        <v>3.0742263635024011E-3</v>
      </c>
      <c r="AB434" s="182">
        <v>2.7781165536833186E-3</v>
      </c>
    </row>
    <row r="435" spans="24:28" x14ac:dyDescent="0.2">
      <c r="X435" s="186" t="str">
        <f t="shared" si="40"/>
        <v>1D</v>
      </c>
      <c r="Y435" s="174">
        <f>_xll.qlCalendarAdvance(Calendar,Y434,X435,"f",FALSE)</f>
        <v>42538</v>
      </c>
      <c r="Z435" s="198">
        <f>_xll.qlCalendarAdvance(Calendar,Y435,NDays&amp;"D")</f>
        <v>42542</v>
      </c>
      <c r="AA435" s="173">
        <v>3.0776429943018828E-3</v>
      </c>
      <c r="AB435" s="182">
        <v>2.7827963081072937E-3</v>
      </c>
    </row>
    <row r="436" spans="24:28" x14ac:dyDescent="0.2">
      <c r="X436" s="186" t="str">
        <f t="shared" si="40"/>
        <v>1D</v>
      </c>
      <c r="Y436" s="174">
        <f>_xll.qlCalendarAdvance(Calendar,Y435,X436,"f",FALSE)</f>
        <v>42541</v>
      </c>
      <c r="Z436" s="198">
        <f>_xll.qlCalendarAdvance(Calendar,Y436,NDays&amp;"D")</f>
        <v>42543</v>
      </c>
      <c r="AA436" s="173">
        <v>3.0810515554117492E-3</v>
      </c>
      <c r="AB436" s="182">
        <v>2.7869387241175048E-3</v>
      </c>
    </row>
    <row r="437" spans="24:28" x14ac:dyDescent="0.2">
      <c r="X437" s="186" t="str">
        <f t="shared" si="40"/>
        <v>1D</v>
      </c>
      <c r="Y437" s="174">
        <f>_xll.qlCalendarAdvance(Calendar,Y436,X437,"f",FALSE)</f>
        <v>42542</v>
      </c>
      <c r="Z437" s="198">
        <f>_xll.qlCalendarAdvance(Calendar,Y437,NDays&amp;"D")</f>
        <v>42544</v>
      </c>
      <c r="AA437" s="173">
        <v>3.0844550441489291E-3</v>
      </c>
      <c r="AB437" s="182">
        <v>2.7905438015540796E-3</v>
      </c>
    </row>
    <row r="438" spans="24:28" x14ac:dyDescent="0.2">
      <c r="X438" s="186" t="str">
        <f t="shared" si="40"/>
        <v>1D</v>
      </c>
      <c r="Y438" s="174">
        <f>_xll.qlCalendarAdvance(Calendar,Y437,X438,"f",FALSE)</f>
        <v>42543</v>
      </c>
      <c r="Z438" s="198">
        <f>_xll.qlCalendarAdvance(Calendar,Y438,NDays&amp;"D")</f>
        <v>42545</v>
      </c>
      <c r="AA438" s="173">
        <v>3.0932767642586415E-3</v>
      </c>
      <c r="AB438" s="182">
        <v>2.795984543331187E-3</v>
      </c>
    </row>
    <row r="439" spans="24:28" x14ac:dyDescent="0.2">
      <c r="X439" s="186" t="str">
        <f t="shared" si="40"/>
        <v>1D</v>
      </c>
      <c r="Y439" s="174">
        <f>_xll.qlCalendarAdvance(Calendar,Y438,X439,"f",FALSE)</f>
        <v>42544</v>
      </c>
      <c r="Z439" s="198">
        <f>_xll.qlCalendarAdvance(Calendar,Y439,NDays&amp;"D")</f>
        <v>42548</v>
      </c>
      <c r="AA439" s="173">
        <v>3.0980782224008644E-3</v>
      </c>
      <c r="AB439" s="182">
        <v>2.7995907264433129E-3</v>
      </c>
    </row>
    <row r="440" spans="24:28" x14ac:dyDescent="0.2">
      <c r="X440" s="186" t="str">
        <f t="shared" si="40"/>
        <v>1D</v>
      </c>
      <c r="Y440" s="174">
        <f>_xll.qlCalendarAdvance(Calendar,Y439,X440,"f",FALSE)</f>
        <v>42545</v>
      </c>
      <c r="Z440" s="198">
        <f>_xll.qlCalendarAdvance(Calendar,Y440,NDays&amp;"D")</f>
        <v>42549</v>
      </c>
      <c r="AA440" s="173">
        <v>3.101501309730957E-3</v>
      </c>
      <c r="AB440" s="182">
        <v>2.8005091112515146E-3</v>
      </c>
    </row>
    <row r="441" spans="24:28" x14ac:dyDescent="0.2">
      <c r="X441" s="186" t="str">
        <f t="shared" si="40"/>
        <v>1D</v>
      </c>
      <c r="Y441" s="174">
        <f>_xll.qlCalendarAdvance(Calendar,Y440,X441,"f",FALSE)</f>
        <v>42548</v>
      </c>
      <c r="Z441" s="198">
        <f>_xll.qlCalendarAdvance(Calendar,Y441,NDays&amp;"D")</f>
        <v>42550</v>
      </c>
      <c r="AA441" s="173">
        <v>3.1049373090167075E-3</v>
      </c>
      <c r="AB441" s="182">
        <v>2.8008901575660161E-3</v>
      </c>
    </row>
    <row r="442" spans="24:28" x14ac:dyDescent="0.2">
      <c r="X442" s="186" t="str">
        <f t="shared" si="40"/>
        <v>1D</v>
      </c>
      <c r="Y442" s="174">
        <f>_xll.qlCalendarAdvance(Calendar,Y441,X442,"f",FALSE)</f>
        <v>42549</v>
      </c>
      <c r="Z442" s="198">
        <f>_xll.qlCalendarAdvance(Calendar,Y442,NDays&amp;"D")</f>
        <v>42551</v>
      </c>
      <c r="AA442" s="173">
        <v>3.1083892177205031E-3</v>
      </c>
      <c r="AB442" s="182">
        <v>2.8007338653068814E-3</v>
      </c>
    </row>
    <row r="443" spans="24:28" x14ac:dyDescent="0.2">
      <c r="X443" s="186" t="str">
        <f t="shared" si="40"/>
        <v>1D</v>
      </c>
      <c r="Y443" s="174">
        <f>_xll.qlCalendarAdvance(Calendar,Y442,X443,"f",FALSE)</f>
        <v>42550</v>
      </c>
      <c r="Z443" s="198">
        <f>_xll.qlCalendarAdvance(Calendar,Y443,NDays&amp;"D")</f>
        <v>42552</v>
      </c>
      <c r="AA443" s="173">
        <v>3.1154650083137377E-3</v>
      </c>
      <c r="AB443" s="182">
        <v>2.7986519088063488E-3</v>
      </c>
    </row>
    <row r="444" spans="24:28" x14ac:dyDescent="0.2">
      <c r="X444" s="186" t="str">
        <f t="shared" si="40"/>
        <v>1D</v>
      </c>
      <c r="Y444" s="174">
        <f>_xll.qlCalendarAdvance(Calendar,Y443,X444,"f",FALSE)</f>
        <v>42551</v>
      </c>
      <c r="Z444" s="198">
        <f>_xll.qlCalendarAdvance(Calendar,Y444,NDays&amp;"D")</f>
        <v>42555</v>
      </c>
      <c r="AA444" s="173">
        <v>3.1242161410240657E-3</v>
      </c>
      <c r="AB444" s="182">
        <v>2.7948262665766777E-3</v>
      </c>
    </row>
    <row r="445" spans="24:28" x14ac:dyDescent="0.2">
      <c r="X445" s="186" t="str">
        <f t="shared" si="40"/>
        <v>1D</v>
      </c>
      <c r="Y445" s="174">
        <f>_xll.qlCalendarAdvance(Calendar,Y444,X445,"f",FALSE)</f>
        <v>42552</v>
      </c>
      <c r="Z445" s="198">
        <f>_xll.qlCalendarAdvance(Calendar,Y445,NDays&amp;"D")</f>
        <v>42556</v>
      </c>
      <c r="AA445" s="173">
        <v>3.1277908900499878E-3</v>
      </c>
      <c r="AB445" s="182">
        <v>2.7925290168262507E-3</v>
      </c>
    </row>
    <row r="446" spans="24:28" x14ac:dyDescent="0.2">
      <c r="X446" s="186" t="str">
        <f t="shared" si="40"/>
        <v>1D</v>
      </c>
      <c r="Y446" s="174">
        <f>_xll.qlCalendarAdvance(Calendar,Y445,X446,"f",FALSE)</f>
        <v>42555</v>
      </c>
      <c r="Z446" s="198">
        <f>_xll.qlCalendarAdvance(Calendar,Y446,NDays&amp;"D")</f>
        <v>42557</v>
      </c>
      <c r="AA446" s="173">
        <v>3.1313964354179086E-3</v>
      </c>
      <c r="AB446" s="182">
        <v>2.7902401637192042E-3</v>
      </c>
    </row>
    <row r="447" spans="24:28" x14ac:dyDescent="0.2">
      <c r="X447" s="186" t="str">
        <f t="shared" si="40"/>
        <v>1D</v>
      </c>
      <c r="Y447" s="174">
        <f>_xll.qlCalendarAdvance(Calendar,Y446,X447,"f",FALSE)</f>
        <v>42556</v>
      </c>
      <c r="Z447" s="198">
        <f>_xll.qlCalendarAdvance(Calendar,Y447,NDays&amp;"D")</f>
        <v>42558</v>
      </c>
      <c r="AA447" s="173">
        <v>3.1386228215759104E-3</v>
      </c>
      <c r="AB447" s="182">
        <v>2.7879597072555384E-3</v>
      </c>
    </row>
    <row r="448" spans="24:28" x14ac:dyDescent="0.2">
      <c r="X448" s="186" t="str">
        <f t="shared" si="40"/>
        <v>1D</v>
      </c>
      <c r="Y448" s="174">
        <f>_xll.qlCalendarAdvance(Calendar,Y447,X448,"f",FALSE)</f>
        <v>42557</v>
      </c>
      <c r="Z448" s="198">
        <f>_xll.qlCalendarAdvance(Calendar,Y448,NDays&amp;"D")</f>
        <v>42559</v>
      </c>
      <c r="AA448" s="173">
        <v>3.1404939768400202E-3</v>
      </c>
      <c r="AB448" s="182">
        <v>2.7834483040045654E-3</v>
      </c>
    </row>
    <row r="449" spans="24:28" x14ac:dyDescent="0.2">
      <c r="X449" s="186" t="str">
        <f t="shared" si="40"/>
        <v>1D</v>
      </c>
      <c r="Y449" s="174">
        <f>_xll.qlCalendarAdvance(Calendar,Y448,X449,"f",FALSE)</f>
        <v>42558</v>
      </c>
      <c r="Z449" s="198">
        <f>_xll.qlCalendarAdvance(Calendar,Y449,NDays&amp;"D")</f>
        <v>42562</v>
      </c>
      <c r="AA449" s="173">
        <v>3.149886480486429E-3</v>
      </c>
      <c r="AB449" s="182">
        <v>2.7789218479945532E-3</v>
      </c>
    </row>
    <row r="450" spans="24:28" x14ac:dyDescent="0.2">
      <c r="X450" s="186" t="str">
        <f t="shared" si="40"/>
        <v>1D</v>
      </c>
      <c r="Y450" s="174">
        <f>_xll.qlCalendarAdvance(Calendar,Y449,X450,"f",FALSE)</f>
        <v>42559</v>
      </c>
      <c r="Z450" s="198">
        <f>_xll.qlCalendarAdvance(Calendar,Y450,NDays&amp;"D")</f>
        <v>42563</v>
      </c>
      <c r="AA450" s="173">
        <v>3.1536770277868185E-3</v>
      </c>
      <c r="AB450" s="182">
        <v>2.7766833749076625E-3</v>
      </c>
    </row>
    <row r="451" spans="24:28" x14ac:dyDescent="0.2">
      <c r="X451" s="186" t="str">
        <f t="shared" si="40"/>
        <v>1D</v>
      </c>
      <c r="Y451" s="174">
        <f>_xll.qlCalendarAdvance(Calendar,Y450,X451,"f",FALSE)</f>
        <v>42562</v>
      </c>
      <c r="Z451" s="198">
        <f>_xll.qlCalendarAdvance(Calendar,Y451,NDays&amp;"D")</f>
        <v>42564</v>
      </c>
      <c r="AA451" s="173">
        <v>3.1574984460695007E-3</v>
      </c>
      <c r="AB451" s="182">
        <v>2.7744532984641523E-3</v>
      </c>
    </row>
    <row r="452" spans="24:28" x14ac:dyDescent="0.2">
      <c r="X452" s="186" t="str">
        <f t="shared" si="40"/>
        <v>1D</v>
      </c>
      <c r="Y452" s="174">
        <f>_xll.qlCalendarAdvance(Calendar,Y451,X452,"f",FALSE)</f>
        <v>42563</v>
      </c>
      <c r="Z452" s="198">
        <f>_xll.qlCalendarAdvance(Calendar,Y452,NDays&amp;"D")</f>
        <v>42565</v>
      </c>
      <c r="AA452" s="173">
        <v>3.16491659542617E-3</v>
      </c>
      <c r="AB452" s="182">
        <v>2.7722316186640228E-3</v>
      </c>
    </row>
    <row r="453" spans="24:28" x14ac:dyDescent="0.2">
      <c r="X453" s="186" t="str">
        <f t="shared" si="40"/>
        <v>1D</v>
      </c>
      <c r="Y453" s="174">
        <f>_xll.qlCalendarAdvance(Calendar,Y452,X453,"f",FALSE)</f>
        <v>42564</v>
      </c>
      <c r="Z453" s="198">
        <f>_xll.qlCalendarAdvance(Calendar,Y453,NDays&amp;"D")</f>
        <v>42566</v>
      </c>
      <c r="AA453" s="173">
        <v>3.1670148288703882E-3</v>
      </c>
      <c r="AB453" s="182">
        <v>2.767837527946071E-3</v>
      </c>
    </row>
    <row r="454" spans="24:28" x14ac:dyDescent="0.2">
      <c r="X454" s="186" t="str">
        <f t="shared" si="40"/>
        <v>1D</v>
      </c>
      <c r="Y454" s="174">
        <f>_xll.qlCalendarAdvance(Calendar,Y453,X454,"f",FALSE)</f>
        <v>42565</v>
      </c>
      <c r="Z454" s="198">
        <f>_xll.qlCalendarAdvance(Calendar,Y454,NDays&amp;"D")</f>
        <v>42569</v>
      </c>
      <c r="AA454" s="173">
        <v>3.1770689756981051E-3</v>
      </c>
      <c r="AB454" s="182">
        <v>2.7634288660571826E-3</v>
      </c>
    </row>
    <row r="455" spans="24:28" x14ac:dyDescent="0.2">
      <c r="X455" s="186" t="str">
        <f t="shared" si="40"/>
        <v>1D</v>
      </c>
      <c r="Y455" s="174">
        <f>_xll.qlCalendarAdvance(Calendar,Y454,X455,"f",FALSE)</f>
        <v>42566</v>
      </c>
      <c r="Z455" s="198">
        <f>_xll.qlCalendarAdvance(Calendar,Y455,NDays&amp;"D")</f>
        <v>42570</v>
      </c>
      <c r="AA455" s="173">
        <v>3.1810758439826635E-3</v>
      </c>
      <c r="AB455" s="182">
        <v>2.7612491695538921E-3</v>
      </c>
    </row>
    <row r="456" spans="24:28" x14ac:dyDescent="0.2">
      <c r="X456" s="186" t="str">
        <f t="shared" si="40"/>
        <v>1D</v>
      </c>
      <c r="Y456" s="174">
        <f>_xll.qlCalendarAdvance(Calendar,Y455,X456,"f",FALSE)</f>
        <v>42569</v>
      </c>
      <c r="Z456" s="198">
        <f>_xll.qlCalendarAdvance(Calendar,Y456,NDays&amp;"D")</f>
        <v>42571</v>
      </c>
      <c r="AA456" s="173">
        <v>3.1851136579658344E-3</v>
      </c>
      <c r="AB456" s="182">
        <v>2.7590778696939822E-3</v>
      </c>
    </row>
    <row r="457" spans="24:28" x14ac:dyDescent="0.2">
      <c r="X457" s="186" t="str">
        <f t="shared" si="40"/>
        <v>1D</v>
      </c>
      <c r="Y457" s="174">
        <f>_xll.qlCalendarAdvance(Calendar,Y456,X457,"f",FALSE)</f>
        <v>42570</v>
      </c>
      <c r="Z457" s="198">
        <f>_xll.qlCalendarAdvance(Calendar,Y457,NDays&amp;"D")</f>
        <v>42572</v>
      </c>
      <c r="AA457" s="173">
        <v>3.1927133011242213E-3</v>
      </c>
      <c r="AB457" s="182">
        <v>2.7569149665573889E-3</v>
      </c>
    </row>
    <row r="458" spans="24:28" x14ac:dyDescent="0.2">
      <c r="X458" s="186" t="str">
        <f t="shared" si="40"/>
        <v>1D</v>
      </c>
      <c r="Y458" s="174">
        <f>_xll.qlCalendarAdvance(Calendar,Y457,X458,"f",FALSE)</f>
        <v>42571</v>
      </c>
      <c r="Z458" s="198">
        <f>_xll.qlCalendarAdvance(Calendar,Y458,NDays&amp;"D")</f>
        <v>42573</v>
      </c>
      <c r="AA458" s="173">
        <v>3.1950444998360616E-3</v>
      </c>
      <c r="AB458" s="182">
        <v>2.7526381960729651E-3</v>
      </c>
    </row>
    <row r="459" spans="24:28" x14ac:dyDescent="0.2">
      <c r="X459" s="186" t="str">
        <f t="shared" si="40"/>
        <v>1D</v>
      </c>
      <c r="Y459" s="174">
        <f>_xll.qlCalendarAdvance(Calendar,Y458,X459,"f",FALSE)</f>
        <v>42572</v>
      </c>
      <c r="Z459" s="198">
        <f>_xll.qlCalendarAdvance(Calendar,Y459,NDays&amp;"D")</f>
        <v>42576</v>
      </c>
      <c r="AA459" s="173">
        <v>3.2057672872170375E-3</v>
      </c>
      <c r="AB459" s="182">
        <v>2.7483473205247577E-3</v>
      </c>
    </row>
    <row r="460" spans="24:28" x14ac:dyDescent="0.2">
      <c r="X460" s="186" t="str">
        <f t="shared" si="40"/>
        <v>1D</v>
      </c>
      <c r="Y460" s="174">
        <f>_xll.qlCalendarAdvance(Calendar,Y459,X460,"f",FALSE)</f>
        <v>42573</v>
      </c>
      <c r="Z460" s="198">
        <f>_xll.qlCalendarAdvance(Calendar,Y460,NDays&amp;"D")</f>
        <v>42577</v>
      </c>
      <c r="AA460" s="173">
        <v>3.2099909997259117E-3</v>
      </c>
      <c r="AB460" s="182">
        <v>2.7462264006050674E-3</v>
      </c>
    </row>
    <row r="461" spans="24:28" x14ac:dyDescent="0.2">
      <c r="X461" s="186" t="str">
        <f t="shared" si="40"/>
        <v>1D</v>
      </c>
      <c r="Y461" s="174">
        <f>_xll.qlCalendarAdvance(Calendar,Y460,X461,"f",FALSE)</f>
        <v>42576</v>
      </c>
      <c r="Z461" s="198">
        <f>_xll.qlCalendarAdvance(Calendar,Y461,NDays&amp;"D")</f>
        <v>42578</v>
      </c>
      <c r="AA461" s="173">
        <v>3.2142457327257448E-3</v>
      </c>
      <c r="AB461" s="182">
        <v>2.7441138774886298E-3</v>
      </c>
    </row>
    <row r="462" spans="24:28" x14ac:dyDescent="0.2">
      <c r="X462" s="186" t="str">
        <f t="shared" si="40"/>
        <v>1D</v>
      </c>
      <c r="Y462" s="174">
        <f>_xll.qlCalendarAdvance(Calendar,Y461,X462,"f",FALSE)</f>
        <v>42577</v>
      </c>
      <c r="Z462" s="198">
        <f>_xll.qlCalendarAdvance(Calendar,Y462,NDays&amp;"D")</f>
        <v>42579</v>
      </c>
      <c r="AA462" s="173">
        <v>3.2220165623576508E-3</v>
      </c>
      <c r="AB462" s="182">
        <v>2.7420097508557006E-3</v>
      </c>
    </row>
    <row r="463" spans="24:28" x14ac:dyDescent="0.2">
      <c r="X463" s="186" t="str">
        <f t="shared" si="40"/>
        <v>1D</v>
      </c>
      <c r="Y463" s="174">
        <f>_xll.qlCalendarAdvance(Calendar,Y462,X463,"f",FALSE)</f>
        <v>42578</v>
      </c>
      <c r="Z463" s="198">
        <f>_xll.qlCalendarAdvance(Calendar,Y463,NDays&amp;"D")</f>
        <v>42580</v>
      </c>
      <c r="AA463" s="173">
        <v>3.2263259381235601E-3</v>
      </c>
      <c r="AB463" s="182">
        <v>2.7378503081720851E-3</v>
      </c>
    </row>
    <row r="464" spans="24:28" x14ac:dyDescent="0.2">
      <c r="X464" s="186" t="str">
        <f t="shared" si="40"/>
        <v>1D</v>
      </c>
      <c r="Y464" s="174">
        <f>_xll.qlCalendarAdvance(Calendar,Y463,X464,"f",FALSE)</f>
        <v>42579</v>
      </c>
      <c r="Z464" s="198">
        <f>_xll.qlCalendarAdvance(Calendar,Y464,NDays&amp;"D")</f>
        <v>42583</v>
      </c>
      <c r="AA464" s="173">
        <v>3.2359850793234096E-3</v>
      </c>
      <c r="AB464" s="182">
        <v>2.7336772113972785E-3</v>
      </c>
    </row>
    <row r="465" spans="24:28" x14ac:dyDescent="0.2">
      <c r="X465" s="186" t="str">
        <f t="shared" si="40"/>
        <v>1D</v>
      </c>
      <c r="Y465" s="174">
        <f>_xll.qlCalendarAdvance(Calendar,Y464,X465,"f",FALSE)</f>
        <v>42580</v>
      </c>
      <c r="Z465" s="198">
        <f>_xll.qlCalendarAdvance(Calendar,Y465,NDays&amp;"D")</f>
        <v>42584</v>
      </c>
      <c r="AA465" s="173">
        <v>3.2404261598306676E-3</v>
      </c>
      <c r="AB465" s="182">
        <v>2.7316150681411244E-3</v>
      </c>
    </row>
    <row r="466" spans="24:28" x14ac:dyDescent="0.2">
      <c r="X466" s="186" t="str">
        <f t="shared" si="40"/>
        <v>1D</v>
      </c>
      <c r="Y466" s="174">
        <f>_xll.qlCalendarAdvance(Calendar,Y465,X466,"f",FALSE)</f>
        <v>42583</v>
      </c>
      <c r="Z466" s="198">
        <f>_xll.qlCalendarAdvance(Calendar,Y466,NDays&amp;"D")</f>
        <v>42585</v>
      </c>
      <c r="AA466" s="173">
        <v>3.2448983356981251E-3</v>
      </c>
      <c r="AB466" s="182">
        <v>2.7296723605463313E-3</v>
      </c>
    </row>
    <row r="467" spans="24:28" x14ac:dyDescent="0.2">
      <c r="X467" s="186" t="str">
        <f t="shared" si="40"/>
        <v>1D</v>
      </c>
      <c r="Y467" s="174">
        <f>_xll.qlCalendarAdvance(Calendar,Y466,X467,"f",FALSE)</f>
        <v>42584</v>
      </c>
      <c r="Z467" s="198">
        <f>_xll.qlCalendarAdvance(Calendar,Y467,NDays&amp;"D")</f>
        <v>42586</v>
      </c>
      <c r="AA467" s="173">
        <v>3.252829408555639E-3</v>
      </c>
      <c r="AB467" s="182">
        <v>2.7282932445249486E-3</v>
      </c>
    </row>
    <row r="468" spans="24:28" x14ac:dyDescent="0.2">
      <c r="X468" s="186" t="str">
        <f t="shared" si="40"/>
        <v>1D</v>
      </c>
      <c r="Y468" s="174">
        <f>_xll.qlCalendarAdvance(Calendar,Y467,X468,"f",FALSE)</f>
        <v>42585</v>
      </c>
      <c r="Z468" s="198">
        <f>_xll.qlCalendarAdvance(Calendar,Y468,NDays&amp;"D")</f>
        <v>42587</v>
      </c>
      <c r="AA468" s="173">
        <v>3.2556400660030001E-3</v>
      </c>
      <c r="AB468" s="182">
        <v>2.7278044496803489E-3</v>
      </c>
    </row>
    <row r="469" spans="24:28" x14ac:dyDescent="0.2">
      <c r="X469" s="186" t="str">
        <f t="shared" ref="X469:X532" si="41">X468</f>
        <v>1D</v>
      </c>
      <c r="Y469" s="174">
        <f>_xll.qlCalendarAdvance(Calendar,Y468,X469,"f",FALSE)</f>
        <v>42586</v>
      </c>
      <c r="Z469" s="198">
        <f>_xll.qlCalendarAdvance(Calendar,Y469,NDays&amp;"D")</f>
        <v>42590</v>
      </c>
      <c r="AA469" s="173">
        <v>3.2676504605483568E-3</v>
      </c>
      <c r="AB469" s="182">
        <v>2.7295230853141561E-3</v>
      </c>
    </row>
    <row r="470" spans="24:28" x14ac:dyDescent="0.2">
      <c r="X470" s="186" t="str">
        <f t="shared" si="41"/>
        <v>1D</v>
      </c>
      <c r="Y470" s="174">
        <f>_xll.qlCalendarAdvance(Calendar,Y469,X470,"f",FALSE)</f>
        <v>42587</v>
      </c>
      <c r="Z470" s="198">
        <f>_xll.qlCalendarAdvance(Calendar,Y470,NDays&amp;"D")</f>
        <v>42591</v>
      </c>
      <c r="AA470" s="173">
        <v>3.2722544257422228E-3</v>
      </c>
      <c r="AB470" s="182">
        <v>2.7315171217701106E-3</v>
      </c>
    </row>
    <row r="471" spans="24:28" x14ac:dyDescent="0.2">
      <c r="X471" s="186" t="str">
        <f t="shared" si="41"/>
        <v>1D</v>
      </c>
      <c r="Y471" s="174">
        <f>_xll.qlCalendarAdvance(Calendar,Y470,X471,"f",FALSE)</f>
        <v>42590</v>
      </c>
      <c r="Z471" s="198">
        <f>_xll.qlCalendarAdvance(Calendar,Y471,NDays&amp;"D")</f>
        <v>42592</v>
      </c>
      <c r="AA471" s="173">
        <v>3.276867799740694E-3</v>
      </c>
      <c r="AB471" s="182">
        <v>2.7341857887375198E-3</v>
      </c>
    </row>
    <row r="472" spans="24:28" x14ac:dyDescent="0.2">
      <c r="X472" s="186" t="str">
        <f t="shared" si="41"/>
        <v>1D</v>
      </c>
      <c r="Y472" s="174">
        <f>_xll.qlCalendarAdvance(Calendar,Y471,X472,"f",FALSE)</f>
        <v>42591</v>
      </c>
      <c r="Z472" s="198">
        <f>_xll.qlCalendarAdvance(Calendar,Y472,NDays&amp;"D")</f>
        <v>42593</v>
      </c>
      <c r="AA472" s="173">
        <v>3.2848510926973503E-3</v>
      </c>
      <c r="AB472" s="182">
        <v>2.7375290862163837E-3</v>
      </c>
    </row>
    <row r="473" spans="24:28" x14ac:dyDescent="0.2">
      <c r="X473" s="186" t="str">
        <f t="shared" si="41"/>
        <v>1D</v>
      </c>
      <c r="Y473" s="174">
        <f>_xll.qlCalendarAdvance(Calendar,Y472,X473,"f",FALSE)</f>
        <v>42592</v>
      </c>
      <c r="Z473" s="198">
        <f>_xll.qlCalendarAdvance(Calendar,Y473,NDays&amp;"D")</f>
        <v>42594</v>
      </c>
      <c r="AA473" s="173">
        <v>3.2877845889020259E-3</v>
      </c>
      <c r="AB473" s="182">
        <v>2.7464854028380614E-3</v>
      </c>
    </row>
    <row r="474" spans="24:28" x14ac:dyDescent="0.2">
      <c r="X474" s="186" t="str">
        <f t="shared" si="41"/>
        <v>1D</v>
      </c>
      <c r="Y474" s="174">
        <f>_xll.qlCalendarAdvance(Calendar,Y473,X474,"f",FALSE)</f>
        <v>42593</v>
      </c>
      <c r="Z474" s="198">
        <f>_xll.qlCalendarAdvance(Calendar,Y474,NDays&amp;"D")</f>
        <v>42597</v>
      </c>
      <c r="AA474" s="173">
        <v>3.2999492292001592E-3</v>
      </c>
      <c r="AB474" s="182">
        <v>2.7576485820457464E-3</v>
      </c>
    </row>
    <row r="475" spans="24:28" x14ac:dyDescent="0.2">
      <c r="X475" s="186" t="str">
        <f t="shared" si="41"/>
        <v>1D</v>
      </c>
      <c r="Y475" s="174">
        <f>_xll.qlCalendarAdvance(Calendar,Y474,X475,"f",FALSE)</f>
        <v>42594</v>
      </c>
      <c r="Z475" s="198">
        <f>_xll.qlCalendarAdvance(Calendar,Y475,NDays&amp;"D")</f>
        <v>42598</v>
      </c>
      <c r="AA475" s="173">
        <v>3.3045431119882456E-3</v>
      </c>
      <c r="AB475" s="182">
        <v>2.764365032641436E-3</v>
      </c>
    </row>
    <row r="476" spans="24:28" x14ac:dyDescent="0.2">
      <c r="X476" s="186" t="str">
        <f t="shared" si="41"/>
        <v>1D</v>
      </c>
      <c r="Y476" s="174">
        <f>_xll.qlCalendarAdvance(Calendar,Y475,X476,"f",FALSE)</f>
        <v>42597</v>
      </c>
      <c r="Z476" s="198">
        <f>_xll.qlCalendarAdvance(Calendar,Y476,NDays&amp;"D")</f>
        <v>42599</v>
      </c>
      <c r="AA476" s="173">
        <v>3.3091210885847501E-3</v>
      </c>
      <c r="AB476" s="182">
        <v>2.7717561139084523E-3</v>
      </c>
    </row>
    <row r="477" spans="24:28" x14ac:dyDescent="0.2">
      <c r="X477" s="186" t="str">
        <f t="shared" si="41"/>
        <v>1D</v>
      </c>
      <c r="Y477" s="174">
        <f>_xll.qlCalendarAdvance(Calendar,Y476,X477,"f",FALSE)</f>
        <v>42598</v>
      </c>
      <c r="Z477" s="198">
        <f>_xll.qlCalendarAdvance(Calendar,Y477,NDays&amp;"D")</f>
        <v>42600</v>
      </c>
      <c r="AA477" s="173">
        <v>3.3169837133416266E-3</v>
      </c>
      <c r="AB477" s="182">
        <v>2.7798218259267315E-3</v>
      </c>
    </row>
    <row r="478" spans="24:28" x14ac:dyDescent="0.2">
      <c r="X478" s="186" t="str">
        <f t="shared" si="41"/>
        <v>1D</v>
      </c>
      <c r="Y478" s="174">
        <f>_xll.qlCalendarAdvance(Calendar,Y477,X478,"f",FALSE)</f>
        <v>42599</v>
      </c>
      <c r="Z478" s="198">
        <f>_xll.qlCalendarAdvance(Calendar,Y478,NDays&amp;"D")</f>
        <v>42601</v>
      </c>
      <c r="AA478" s="173">
        <v>3.3198616560450433E-3</v>
      </c>
      <c r="AB478" s="182">
        <v>2.7982237690959977E-3</v>
      </c>
    </row>
    <row r="479" spans="24:28" x14ac:dyDescent="0.2">
      <c r="X479" s="186" t="str">
        <f t="shared" si="41"/>
        <v>1D</v>
      </c>
      <c r="Y479" s="174">
        <f>_xll.qlCalendarAdvance(Calendar,Y478,X479,"f",FALSE)</f>
        <v>42600</v>
      </c>
      <c r="Z479" s="198">
        <f>_xll.qlCalendarAdvance(Calendar,Y479,NDays&amp;"D")</f>
        <v>42604</v>
      </c>
      <c r="AA479" s="173">
        <v>3.3316457978199471E-3</v>
      </c>
      <c r="AB479" s="182">
        <v>2.8188309823118374E-3</v>
      </c>
    </row>
    <row r="480" spans="24:28" x14ac:dyDescent="0.2">
      <c r="X480" s="186" t="str">
        <f t="shared" si="41"/>
        <v>1D</v>
      </c>
      <c r="Y480" s="174">
        <f>_xll.qlCalendarAdvance(Calendar,Y479,X480,"f",FALSE)</f>
        <v>42601</v>
      </c>
      <c r="Z480" s="198">
        <f>_xll.qlCalendarAdvance(Calendar,Y480,NDays&amp;"D")</f>
        <v>42605</v>
      </c>
      <c r="AA480" s="173">
        <v>3.3360523882907259E-3</v>
      </c>
      <c r="AB480" s="182">
        <v>2.8302698488857914E-3</v>
      </c>
    </row>
    <row r="481" spans="24:28" x14ac:dyDescent="0.2">
      <c r="X481" s="186" t="str">
        <f t="shared" si="41"/>
        <v>1D</v>
      </c>
      <c r="Y481" s="174">
        <f>_xll.qlCalendarAdvance(Calendar,Y480,X481,"f",FALSE)</f>
        <v>42604</v>
      </c>
      <c r="Z481" s="198">
        <f>_xll.qlCalendarAdvance(Calendar,Y481,NDays&amp;"D")</f>
        <v>42606</v>
      </c>
      <c r="AA481" s="173">
        <v>3.3404177559467779E-3</v>
      </c>
      <c r="AB481" s="182">
        <v>2.8423833464508164E-3</v>
      </c>
    </row>
    <row r="482" spans="24:28" x14ac:dyDescent="0.2">
      <c r="X482" s="186" t="str">
        <f t="shared" si="41"/>
        <v>1D</v>
      </c>
      <c r="Y482" s="174">
        <f>_xll.qlCalendarAdvance(Calendar,Y481,X482,"f",FALSE)</f>
        <v>42605</v>
      </c>
      <c r="Z482" s="198">
        <f>_xll.qlCalendarAdvance(Calendar,Y482,NDays&amp;"D")</f>
        <v>42607</v>
      </c>
      <c r="AA482" s="173">
        <v>3.348000126456916E-3</v>
      </c>
      <c r="AB482" s="182">
        <v>2.8551714751667845E-3</v>
      </c>
    </row>
    <row r="483" spans="24:28" x14ac:dyDescent="0.2">
      <c r="X483" s="186" t="str">
        <f t="shared" si="41"/>
        <v>1D</v>
      </c>
      <c r="Y483" s="174">
        <f>_xll.qlCalendarAdvance(Calendar,Y482,X483,"f",FALSE)</f>
        <v>42606</v>
      </c>
      <c r="Z483" s="198">
        <f>_xll.qlCalendarAdvance(Calendar,Y483,NDays&amp;"D")</f>
        <v>42608</v>
      </c>
      <c r="AA483" s="173">
        <v>3.3506374910999268E-3</v>
      </c>
      <c r="AB483" s="182">
        <v>2.8830195912732393E-3</v>
      </c>
    </row>
    <row r="484" spans="24:28" x14ac:dyDescent="0.2">
      <c r="X484" s="186" t="str">
        <f t="shared" si="41"/>
        <v>1D</v>
      </c>
      <c r="Y484" s="174">
        <f>_xll.qlCalendarAdvance(Calendar,Y483,X484,"f",FALSE)</f>
        <v>42607</v>
      </c>
      <c r="Z484" s="198">
        <f>_xll.qlCalendarAdvance(Calendar,Y484,NDays&amp;"D")</f>
        <v>42611</v>
      </c>
      <c r="AA484" s="173">
        <v>3.3598802476407989E-3</v>
      </c>
      <c r="AB484" s="182">
        <v>2.9130703029789373E-3</v>
      </c>
    </row>
    <row r="485" spans="24:28" x14ac:dyDescent="0.2">
      <c r="X485" s="186" t="str">
        <f t="shared" si="41"/>
        <v>1D</v>
      </c>
      <c r="Y485" s="174">
        <f>_xll.qlCalendarAdvance(Calendar,Y484,X485,"f",FALSE)</f>
        <v>42608</v>
      </c>
      <c r="Z485" s="198">
        <f>_xll.qlCalendarAdvance(Calendar,Y485,NDays&amp;"D")</f>
        <v>42612</v>
      </c>
      <c r="AA485" s="173">
        <v>3.3623080400045314E-3</v>
      </c>
      <c r="AB485" s="182">
        <v>2.9292315885687259E-3</v>
      </c>
    </row>
    <row r="486" spans="24:28" x14ac:dyDescent="0.2">
      <c r="X486" s="186" t="str">
        <f t="shared" si="41"/>
        <v>1D</v>
      </c>
      <c r="Y486" s="174">
        <f>_xll.qlCalendarAdvance(Calendar,Y485,X486,"f",FALSE)</f>
        <v>42611</v>
      </c>
      <c r="Z486" s="198">
        <f>_xll.qlCalendarAdvance(Calendar,Y486,NDays&amp;"D")</f>
        <v>42613</v>
      </c>
      <c r="AA486" s="173">
        <v>3.364673350060722E-3</v>
      </c>
      <c r="AB486" s="182">
        <v>2.9460675057890739E-3</v>
      </c>
    </row>
    <row r="487" spans="24:28" x14ac:dyDescent="0.2">
      <c r="X487" s="186" t="str">
        <f t="shared" si="41"/>
        <v>1D</v>
      </c>
      <c r="Y487" s="174">
        <f>_xll.qlCalendarAdvance(Calendar,Y486,X487,"f",FALSE)</f>
        <v>42612</v>
      </c>
      <c r="Z487" s="198">
        <f>_xll.qlCalendarAdvance(Calendar,Y487,NDays&amp;"D")</f>
        <v>42614</v>
      </c>
      <c r="AA487" s="173">
        <v>3.3685779705696322E-3</v>
      </c>
      <c r="AB487" s="182">
        <v>2.9635780547998536E-3</v>
      </c>
    </row>
    <row r="488" spans="24:28" x14ac:dyDescent="0.2">
      <c r="X488" s="186" t="str">
        <f t="shared" si="41"/>
        <v>1D</v>
      </c>
      <c r="Y488" s="174">
        <f>_xll.qlCalendarAdvance(Calendar,Y487,X488,"f",FALSE)</f>
        <v>42613</v>
      </c>
      <c r="Z488" s="198">
        <f>_xll.qlCalendarAdvance(Calendar,Y488,NDays&amp;"D")</f>
        <v>42615</v>
      </c>
      <c r="AA488" s="173">
        <v>3.3724074240881201E-3</v>
      </c>
      <c r="AB488" s="182">
        <v>3.0008729394470635E-3</v>
      </c>
    </row>
    <row r="489" spans="24:28" x14ac:dyDescent="0.2">
      <c r="X489" s="186" t="str">
        <f t="shared" si="41"/>
        <v>1D</v>
      </c>
      <c r="Y489" s="174">
        <f>_xll.qlCalendarAdvance(Calendar,Y488,X489,"f",FALSE)</f>
        <v>42614</v>
      </c>
      <c r="Z489" s="198">
        <f>_xll.qlCalendarAdvance(Calendar,Y489,NDays&amp;"D")</f>
        <v>42618</v>
      </c>
      <c r="AA489" s="173">
        <v>3.3850244479495728E-3</v>
      </c>
      <c r="AB489" s="182">
        <v>3.0401181680073108E-3</v>
      </c>
    </row>
    <row r="490" spans="24:28" x14ac:dyDescent="0.2">
      <c r="X490" s="186" t="str">
        <f t="shared" si="41"/>
        <v>1D</v>
      </c>
      <c r="Y490" s="174">
        <f>_xll.qlCalendarAdvance(Calendar,Y489,X490,"f",FALSE)</f>
        <v>42615</v>
      </c>
      <c r="Z490" s="198">
        <f>_xll.qlCalendarAdvance(Calendar,Y490,NDays&amp;"D")</f>
        <v>42619</v>
      </c>
      <c r="AA490" s="173">
        <v>3.3869014058946949E-3</v>
      </c>
      <c r="AB490" s="182">
        <v>3.0595114658549249E-3</v>
      </c>
    </row>
    <row r="491" spans="24:28" x14ac:dyDescent="0.2">
      <c r="X491" s="186" t="str">
        <f t="shared" si="41"/>
        <v>1D</v>
      </c>
      <c r="Y491" s="174">
        <f>_xll.qlCalendarAdvance(Calendar,Y490,X491,"f",FALSE)</f>
        <v>42618</v>
      </c>
      <c r="Z491" s="198">
        <f>_xll.qlCalendarAdvance(Calendar,Y491,NDays&amp;"D")</f>
        <v>42620</v>
      </c>
      <c r="AA491" s="173">
        <v>3.3903094945060179E-3</v>
      </c>
      <c r="AB491" s="182">
        <v>3.0780889846582227E-3</v>
      </c>
    </row>
    <row r="492" spans="24:28" x14ac:dyDescent="0.2">
      <c r="X492" s="186" t="str">
        <f t="shared" si="41"/>
        <v>1D</v>
      </c>
      <c r="Y492" s="174">
        <f>_xll.qlCalendarAdvance(Calendar,Y491,X492,"f",FALSE)</f>
        <v>42619</v>
      </c>
      <c r="Z492" s="198">
        <f>_xll.qlCalendarAdvance(Calendar,Y492,NDays&amp;"D")</f>
        <v>42621</v>
      </c>
      <c r="AA492" s="173">
        <v>3.3936368514595177E-3</v>
      </c>
      <c r="AB492" s="182">
        <v>3.0958507241773958E-3</v>
      </c>
    </row>
    <row r="493" spans="24:28" x14ac:dyDescent="0.2">
      <c r="X493" s="186" t="str">
        <f t="shared" si="41"/>
        <v>1D</v>
      </c>
      <c r="Y493" s="174">
        <f>_xll.qlCalendarAdvance(Calendar,Y492,X493,"f",FALSE)</f>
        <v>42620</v>
      </c>
      <c r="Z493" s="198">
        <f>_xll.qlCalendarAdvance(Calendar,Y493,NDays&amp;"D")</f>
        <v>42622</v>
      </c>
      <c r="AA493" s="173">
        <v>3.3968880482161947E-3</v>
      </c>
      <c r="AB493" s="182">
        <v>3.1286821284925992E-3</v>
      </c>
    </row>
    <row r="494" spans="24:28" x14ac:dyDescent="0.2">
      <c r="X494" s="186" t="str">
        <f t="shared" si="41"/>
        <v>1D</v>
      </c>
      <c r="Y494" s="174">
        <f>_xll.qlCalendarAdvance(Calendar,Y493,X494,"f",FALSE)</f>
        <v>42621</v>
      </c>
      <c r="Z494" s="198">
        <f>_xll.qlCalendarAdvance(Calendar,Y494,NDays&amp;"D")</f>
        <v>42625</v>
      </c>
      <c r="AA494" s="173">
        <v>3.4078761339045066E-3</v>
      </c>
      <c r="AB494" s="182">
        <v>3.1587398873345052E-3</v>
      </c>
    </row>
    <row r="495" spans="24:28" x14ac:dyDescent="0.2">
      <c r="X495" s="186" t="str">
        <f t="shared" si="41"/>
        <v>1D</v>
      </c>
      <c r="Y495" s="174">
        <f>_xll.qlCalendarAdvance(Calendar,Y494,X495,"f",FALSE)</f>
        <v>42622</v>
      </c>
      <c r="Z495" s="198">
        <f>_xll.qlCalendarAdvance(Calendar,Y495,NDays&amp;"D")</f>
        <v>42626</v>
      </c>
      <c r="AA495" s="173">
        <v>3.4092226637899847E-3</v>
      </c>
      <c r="AB495" s="182">
        <v>3.1724227289942064E-3</v>
      </c>
    </row>
    <row r="496" spans="24:28" x14ac:dyDescent="0.2">
      <c r="X496" s="186" t="str">
        <f t="shared" si="41"/>
        <v>1D</v>
      </c>
      <c r="Y496" s="174">
        <f>_xll.qlCalendarAdvance(Calendar,Y495,X496,"f",FALSE)</f>
        <v>42625</v>
      </c>
      <c r="Z496" s="198">
        <f>_xll.qlCalendarAdvance(Calendar,Y496,NDays&amp;"D")</f>
        <v>42627</v>
      </c>
      <c r="AA496" s="173">
        <v>3.4121616327604945E-3</v>
      </c>
      <c r="AB496" s="182">
        <v>3.1852897905704225E-3</v>
      </c>
    </row>
    <row r="497" spans="24:28" x14ac:dyDescent="0.2">
      <c r="X497" s="186" t="str">
        <f t="shared" si="41"/>
        <v>1D</v>
      </c>
      <c r="Y497" s="174">
        <f>_xll.qlCalendarAdvance(Calendar,Y496,X497,"f",FALSE)</f>
        <v>42626</v>
      </c>
      <c r="Z497" s="198">
        <f>_xll.qlCalendarAdvance(Calendar,Y497,NDays&amp;"D")</f>
        <v>42628</v>
      </c>
      <c r="AA497" s="173">
        <v>3.4150518710544938E-3</v>
      </c>
      <c r="AB497" s="182">
        <v>3.1973410723828977E-3</v>
      </c>
    </row>
    <row r="498" spans="24:28" x14ac:dyDescent="0.2">
      <c r="X498" s="186" t="str">
        <f t="shared" si="41"/>
        <v>1D</v>
      </c>
      <c r="Y498" s="174">
        <f>_xll.qlCalendarAdvance(Calendar,Y497,X498,"f",FALSE)</f>
        <v>42627</v>
      </c>
      <c r="Z498" s="198">
        <f>_xll.qlCalendarAdvance(Calendar,Y498,NDays&amp;"D")</f>
        <v>42629</v>
      </c>
      <c r="AA498" s="173">
        <v>3.4178979503710241E-3</v>
      </c>
      <c r="AB498" s="182">
        <v>3.2187531470295738E-3</v>
      </c>
    </row>
    <row r="499" spans="24:28" x14ac:dyDescent="0.2">
      <c r="X499" s="186" t="str">
        <f t="shared" si="41"/>
        <v>1D</v>
      </c>
      <c r="Y499" s="174">
        <f>_xll.qlCalendarAdvance(Calendar,Y498,X499,"f",FALSE)</f>
        <v>42628</v>
      </c>
      <c r="Z499" s="198">
        <f>_xll.qlCalendarAdvance(Calendar,Y499,NDays&amp;"D")</f>
        <v>42632</v>
      </c>
      <c r="AA499" s="173">
        <v>3.4279103409749572E-3</v>
      </c>
      <c r="AB499" s="182">
        <v>3.2373883978387141E-3</v>
      </c>
    </row>
    <row r="500" spans="24:28" x14ac:dyDescent="0.2">
      <c r="X500" s="186" t="str">
        <f t="shared" si="41"/>
        <v>1D</v>
      </c>
      <c r="Y500" s="174">
        <f>_xll.qlCalendarAdvance(Calendar,Y499,X500,"f",FALSE)</f>
        <v>42629</v>
      </c>
      <c r="Z500" s="198">
        <f>_xll.qlCalendarAdvance(Calendar,Y500,NDays&amp;"D")</f>
        <v>42633</v>
      </c>
      <c r="AA500" s="173">
        <v>3.4289321128815674E-3</v>
      </c>
      <c r="AB500" s="182">
        <v>3.245360778514339E-3</v>
      </c>
    </row>
    <row r="501" spans="24:28" x14ac:dyDescent="0.2">
      <c r="X501" s="186" t="str">
        <f t="shared" si="41"/>
        <v>1D</v>
      </c>
      <c r="Y501" s="174">
        <f>_xll.qlCalendarAdvance(Calendar,Y500,X501,"f",FALSE)</f>
        <v>42632</v>
      </c>
      <c r="Z501" s="198">
        <f>_xll.qlCalendarAdvance(Calendar,Y501,NDays&amp;"D")</f>
        <v>42634</v>
      </c>
      <c r="AA501" s="173">
        <v>3.4316259738125772E-3</v>
      </c>
      <c r="AB501" s="182">
        <v>3.2525173788666706E-3</v>
      </c>
    </row>
    <row r="502" spans="24:28" x14ac:dyDescent="0.2">
      <c r="X502" s="186" t="str">
        <f t="shared" si="41"/>
        <v>1D</v>
      </c>
      <c r="Y502" s="174">
        <f>_xll.qlCalendarAdvance(Calendar,Y501,X502,"f",FALSE)</f>
        <v>42633</v>
      </c>
      <c r="Z502" s="198">
        <f>_xll.qlCalendarAdvance(Calendar,Y502,NDays&amp;"D")</f>
        <v>42635</v>
      </c>
      <c r="AA502" s="173">
        <v>3.4343031065530412E-3</v>
      </c>
      <c r="AB502" s="182">
        <v>3.2588581987358367E-3</v>
      </c>
    </row>
    <row r="503" spans="24:28" x14ac:dyDescent="0.2">
      <c r="X503" s="186" t="str">
        <f t="shared" si="41"/>
        <v>1D</v>
      </c>
      <c r="Y503" s="174">
        <f>_xll.qlCalendarAdvance(Calendar,Y502,X503,"f",FALSE)</f>
        <v>42634</v>
      </c>
      <c r="Z503" s="198">
        <f>_xll.qlCalendarAdvance(Calendar,Y503,NDays&amp;"D")</f>
        <v>42636</v>
      </c>
      <c r="AA503" s="173">
        <v>3.4369680829927879E-3</v>
      </c>
      <c r="AB503" s="182">
        <v>3.2688502513078532E-3</v>
      </c>
    </row>
    <row r="504" spans="24:28" x14ac:dyDescent="0.2">
      <c r="X504" s="186" t="str">
        <f t="shared" si="41"/>
        <v>1D</v>
      </c>
      <c r="Y504" s="174">
        <f>_xll.qlCalendarAdvance(Calendar,Y503,X504,"f",FALSE)</f>
        <v>42635</v>
      </c>
      <c r="Z504" s="198">
        <f>_xll.qlCalendarAdvance(Calendar,Y504,NDays&amp;"D")</f>
        <v>42639</v>
      </c>
      <c r="AA504" s="173">
        <v>3.4466865701859436E-3</v>
      </c>
      <c r="AB504" s="182">
        <v>3.2760636730611026E-3</v>
      </c>
    </row>
    <row r="505" spans="24:28" x14ac:dyDescent="0.2">
      <c r="X505" s="186" t="str">
        <f t="shared" si="41"/>
        <v>1D</v>
      </c>
      <c r="Y505" s="174">
        <f>_xll.qlCalendarAdvance(Calendar,Y504,X505,"f",FALSE)</f>
        <v>42636</v>
      </c>
      <c r="Z505" s="198">
        <f>_xll.qlCalendarAdvance(Calendar,Y505,NDays&amp;"D")</f>
        <v>42640</v>
      </c>
      <c r="AA505" s="173">
        <v>3.4475978643754113E-3</v>
      </c>
      <c r="AB505" s="182">
        <v>3.2783255902746333E-3</v>
      </c>
    </row>
    <row r="506" spans="24:28" x14ac:dyDescent="0.2">
      <c r="X506" s="186" t="str">
        <f t="shared" si="41"/>
        <v>1D</v>
      </c>
      <c r="Y506" s="174">
        <f>_xll.qlCalendarAdvance(Calendar,Y505,X506,"f",FALSE)</f>
        <v>42639</v>
      </c>
      <c r="Z506" s="198">
        <f>_xll.qlCalendarAdvance(Calendar,Y506,NDays&amp;"D")</f>
        <v>42641</v>
      </c>
      <c r="AA506" s="173">
        <v>3.4502706384998659E-3</v>
      </c>
      <c r="AB506" s="182">
        <v>3.2797717268451265E-3</v>
      </c>
    </row>
    <row r="507" spans="24:28" x14ac:dyDescent="0.2">
      <c r="X507" s="186" t="str">
        <f t="shared" si="41"/>
        <v>1D</v>
      </c>
      <c r="Y507" s="174">
        <f>_xll.qlCalendarAdvance(Calendar,Y506,X507,"f",FALSE)</f>
        <v>42640</v>
      </c>
      <c r="Z507" s="198">
        <f>_xll.qlCalendarAdvance(Calendar,Y507,NDays&amp;"D")</f>
        <v>42642</v>
      </c>
      <c r="AA507" s="173">
        <v>3.4529586881717773E-3</v>
      </c>
      <c r="AB507" s="182">
        <v>3.2804020827725822E-3</v>
      </c>
    </row>
    <row r="508" spans="24:28" x14ac:dyDescent="0.2">
      <c r="X508" s="186" t="str">
        <f t="shared" si="41"/>
        <v>1D</v>
      </c>
      <c r="Y508" s="174">
        <f>_xll.qlCalendarAdvance(Calendar,Y507,X508,"f",FALSE)</f>
        <v>42641</v>
      </c>
      <c r="Z508" s="198">
        <f>_xll.qlCalendarAdvance(Calendar,Y508,NDays&amp;"D")</f>
        <v>42643</v>
      </c>
      <c r="AA508" s="173">
        <v>3.4574512178984977E-3</v>
      </c>
      <c r="AB508" s="182">
        <v>3.2789733912075292E-3</v>
      </c>
    </row>
    <row r="509" spans="24:28" x14ac:dyDescent="0.2">
      <c r="X509" s="186" t="str">
        <f t="shared" si="41"/>
        <v>1D</v>
      </c>
      <c r="Y509" s="174">
        <f>_xll.qlCalendarAdvance(Calendar,Y508,X509,"f",FALSE)</f>
        <v>42642</v>
      </c>
      <c r="Z509" s="198">
        <f>_xll.qlCalendarAdvance(Calendar,Y509,NDays&amp;"D")</f>
        <v>42646</v>
      </c>
      <c r="AA509" s="173">
        <v>3.4657643872812666E-3</v>
      </c>
      <c r="AB509" s="182">
        <v>3.2747657003717734E-3</v>
      </c>
    </row>
    <row r="510" spans="24:28" x14ac:dyDescent="0.2">
      <c r="X510" s="186" t="str">
        <f t="shared" si="41"/>
        <v>1D</v>
      </c>
      <c r="Y510" s="174">
        <f>_xll.qlCalendarAdvance(Calendar,Y509,X510,"f",FALSE)</f>
        <v>42643</v>
      </c>
      <c r="Z510" s="198">
        <f>_xll.qlCalendarAdvance(Calendar,Y510,NDays&amp;"D")</f>
        <v>42647</v>
      </c>
      <c r="AA510" s="173">
        <v>3.468605348676631E-3</v>
      </c>
      <c r="AB510" s="182">
        <v>3.2714873236017183E-3</v>
      </c>
    </row>
    <row r="511" spans="24:28" x14ac:dyDescent="0.2">
      <c r="X511" s="186" t="str">
        <f t="shared" si="41"/>
        <v>1D</v>
      </c>
      <c r="Y511" s="174">
        <f>_xll.qlCalendarAdvance(Calendar,Y510,X511,"f",FALSE)</f>
        <v>42646</v>
      </c>
      <c r="Z511" s="198">
        <f>_xll.qlCalendarAdvance(Calendar,Y511,NDays&amp;"D")</f>
        <v>42648</v>
      </c>
      <c r="AA511" s="173">
        <v>3.4714879044166675E-3</v>
      </c>
      <c r="AB511" s="182">
        <v>3.2682440179776506E-3</v>
      </c>
    </row>
    <row r="512" spans="24:28" x14ac:dyDescent="0.2">
      <c r="X512" s="186" t="str">
        <f t="shared" si="41"/>
        <v>1D</v>
      </c>
      <c r="Y512" s="174">
        <f>_xll.qlCalendarAdvance(Calendar,Y511,X512,"f",FALSE)</f>
        <v>42647</v>
      </c>
      <c r="Z512" s="198">
        <f>_xll.qlCalendarAdvance(Calendar,Y512,NDays&amp;"D")</f>
        <v>42649</v>
      </c>
      <c r="AA512" s="173">
        <v>3.47441191846997E-3</v>
      </c>
      <c r="AB512" s="182">
        <v>3.2652059536975031E-3</v>
      </c>
    </row>
    <row r="513" spans="24:28" x14ac:dyDescent="0.2">
      <c r="X513" s="186" t="str">
        <f t="shared" si="41"/>
        <v>1D</v>
      </c>
      <c r="Y513" s="174">
        <f>_xll.qlCalendarAdvance(Calendar,Y512,X513,"f",FALSE)</f>
        <v>42648</v>
      </c>
      <c r="Z513" s="198">
        <f>_xll.qlCalendarAdvance(Calendar,Y513,NDays&amp;"D")</f>
        <v>42650</v>
      </c>
      <c r="AA513" s="173">
        <v>3.4773763181688696E-3</v>
      </c>
      <c r="AB513" s="182">
        <v>3.2598434812047827E-3</v>
      </c>
    </row>
    <row r="514" spans="24:28" x14ac:dyDescent="0.2">
      <c r="X514" s="186" t="str">
        <f t="shared" si="41"/>
        <v>1D</v>
      </c>
      <c r="Y514" s="174">
        <f>_xll.qlCalendarAdvance(Calendar,Y513,X514,"f",FALSE)</f>
        <v>42649</v>
      </c>
      <c r="Z514" s="198">
        <f>_xll.qlCalendarAdvance(Calendar,Y514,NDays&amp;"D")</f>
        <v>42653</v>
      </c>
      <c r="AA514" s="173">
        <v>3.4865011044079978E-3</v>
      </c>
      <c r="AB514" s="182">
        <v>3.2551061111352197E-3</v>
      </c>
    </row>
    <row r="515" spans="24:28" x14ac:dyDescent="0.2">
      <c r="X515" s="186" t="str">
        <f t="shared" si="41"/>
        <v>1D</v>
      </c>
      <c r="Y515" s="174">
        <f>_xll.qlCalendarAdvance(Calendar,Y514,X515,"f",FALSE)</f>
        <v>42650</v>
      </c>
      <c r="Z515" s="198">
        <f>_xll.qlCalendarAdvance(Calendar,Y515,NDays&amp;"D")</f>
        <v>42654</v>
      </c>
      <c r="AA515" s="173">
        <v>3.4896163199361731E-3</v>
      </c>
      <c r="AB515" s="182">
        <v>3.2530942540542895E-3</v>
      </c>
    </row>
    <row r="516" spans="24:28" x14ac:dyDescent="0.2">
      <c r="X516" s="186" t="str">
        <f t="shared" si="41"/>
        <v>1D</v>
      </c>
      <c r="Y516" s="174">
        <f>_xll.qlCalendarAdvance(Calendar,Y515,X516,"f",FALSE)</f>
        <v>42653</v>
      </c>
      <c r="Z516" s="198">
        <f>_xll.qlCalendarAdvance(Calendar,Y516,NDays&amp;"D")</f>
        <v>42655</v>
      </c>
      <c r="AA516" s="173">
        <v>3.4927665577096714E-3</v>
      </c>
      <c r="AB516" s="182">
        <v>3.2512876383972156E-3</v>
      </c>
    </row>
    <row r="517" spans="24:28" x14ac:dyDescent="0.2">
      <c r="X517" s="186" t="str">
        <f t="shared" si="41"/>
        <v>1D</v>
      </c>
      <c r="Y517" s="174">
        <f>_xll.qlCalendarAdvance(Calendar,Y516,X517,"f",FALSE)</f>
        <v>42654</v>
      </c>
      <c r="Z517" s="198">
        <f>_xll.qlCalendarAdvance(Calendar,Y517,NDays&amp;"D")</f>
        <v>42656</v>
      </c>
      <c r="AA517" s="173">
        <v>3.4959507450366685E-3</v>
      </c>
      <c r="AB517" s="182">
        <v>3.2496862641639979E-3</v>
      </c>
    </row>
    <row r="518" spans="24:28" x14ac:dyDescent="0.2">
      <c r="X518" s="186" t="str">
        <f t="shared" si="41"/>
        <v>1D</v>
      </c>
      <c r="Y518" s="174">
        <f>_xll.qlCalendarAdvance(Calendar,Y517,X518,"f",FALSE)</f>
        <v>42655</v>
      </c>
      <c r="Z518" s="198">
        <f>_xll.qlCalendarAdvance(Calendar,Y518,NDays&amp;"D")</f>
        <v>42657</v>
      </c>
      <c r="AA518" s="173">
        <v>3.5067557412994349E-3</v>
      </c>
      <c r="AB518" s="182">
        <v>3.2471969429082037E-3</v>
      </c>
    </row>
    <row r="519" spans="24:28" x14ac:dyDescent="0.2">
      <c r="X519" s="186" t="str">
        <f t="shared" si="41"/>
        <v>1D</v>
      </c>
      <c r="Y519" s="174">
        <f>_xll.qlCalendarAdvance(Calendar,Y518,X519,"f",FALSE)</f>
        <v>42656</v>
      </c>
      <c r="Z519" s="198">
        <f>_xll.qlCalendarAdvance(Calendar,Y519,NDays&amp;"D")</f>
        <v>42660</v>
      </c>
      <c r="AA519" s="173">
        <v>3.5109157982762046E-3</v>
      </c>
      <c r="AB519" s="182">
        <v>3.2453331812298813E-3</v>
      </c>
    </row>
    <row r="520" spans="24:28" x14ac:dyDescent="0.2">
      <c r="X520" s="186" t="str">
        <f t="shared" si="41"/>
        <v>1D</v>
      </c>
      <c r="Y520" s="174">
        <f>_xll.qlCalendarAdvance(Calendar,Y519,X520,"f",FALSE)</f>
        <v>42657</v>
      </c>
      <c r="Z520" s="198">
        <f>_xll.qlCalendarAdvance(Calendar,Y520,NDays&amp;"D")</f>
        <v>42661</v>
      </c>
      <c r="AA520" s="173">
        <v>3.512343380301259E-3</v>
      </c>
      <c r="AB520" s="182">
        <v>3.2447580139560728E-3</v>
      </c>
    </row>
    <row r="521" spans="24:28" x14ac:dyDescent="0.2">
      <c r="X521" s="186" t="str">
        <f t="shared" si="41"/>
        <v>1D</v>
      </c>
      <c r="Y521" s="174">
        <f>_xll.qlCalendarAdvance(Calendar,Y520,X521,"f",FALSE)</f>
        <v>42660</v>
      </c>
      <c r="Z521" s="198">
        <f>_xll.qlCalendarAdvance(Calendar,Y521,NDays&amp;"D")</f>
        <v>42662</v>
      </c>
      <c r="AA521" s="173">
        <v>3.5157087380721774E-3</v>
      </c>
      <c r="AB521" s="182">
        <v>3.2443880881061204E-3</v>
      </c>
    </row>
    <row r="522" spans="24:28" x14ac:dyDescent="0.2">
      <c r="X522" s="186" t="str">
        <f t="shared" si="41"/>
        <v>1D</v>
      </c>
      <c r="Y522" s="174">
        <f>_xll.qlCalendarAdvance(Calendar,Y521,X522,"f",FALSE)</f>
        <v>42661</v>
      </c>
      <c r="Z522" s="198">
        <f>_xll.qlCalendarAdvance(Calendar,Y522,NDays&amp;"D")</f>
        <v>42663</v>
      </c>
      <c r="AA522" s="173">
        <v>3.5191005363851596E-3</v>
      </c>
      <c r="AB522" s="182">
        <v>3.2442234037599604E-3</v>
      </c>
    </row>
    <row r="523" spans="24:28" x14ac:dyDescent="0.2">
      <c r="X523" s="186" t="str">
        <f t="shared" si="41"/>
        <v>1D</v>
      </c>
      <c r="Y523" s="174">
        <f>_xll.qlCalendarAdvance(Calendar,Y522,X523,"f",FALSE)</f>
        <v>42662</v>
      </c>
      <c r="Z523" s="198">
        <f>_xll.qlCalendarAdvance(Calendar,Y523,NDays&amp;"D")</f>
        <v>42664</v>
      </c>
      <c r="AA523" s="173">
        <v>3.5225177025009448E-3</v>
      </c>
      <c r="AB523" s="182">
        <v>3.2446074154091065E-3</v>
      </c>
    </row>
    <row r="524" spans="24:28" x14ac:dyDescent="0.2">
      <c r="X524" s="186" t="str">
        <f t="shared" si="41"/>
        <v>1D</v>
      </c>
      <c r="Y524" s="174">
        <f>_xll.qlCalendarAdvance(Calendar,Y523,X524,"f",FALSE)</f>
        <v>42663</v>
      </c>
      <c r="Z524" s="198">
        <f>_xll.qlCalendarAdvance(Calendar,Y524,NDays&amp;"D")</f>
        <v>42667</v>
      </c>
      <c r="AA524" s="173">
        <v>3.5329106801723817E-3</v>
      </c>
      <c r="AB524" s="182">
        <v>3.2456170799743944E-3</v>
      </c>
    </row>
    <row r="525" spans="24:28" x14ac:dyDescent="0.2">
      <c r="X525" s="186" t="str">
        <f t="shared" si="41"/>
        <v>1D</v>
      </c>
      <c r="Y525" s="174">
        <f>_xll.qlCalendarAdvance(Calendar,Y524,X525,"f",FALSE)</f>
        <v>42664</v>
      </c>
      <c r="Z525" s="198">
        <f>_xll.qlCalendarAdvance(Calendar,Y525,NDays&amp;"D")</f>
        <v>42668</v>
      </c>
      <c r="AA525" s="173">
        <v>3.5364185899736996E-3</v>
      </c>
      <c r="AB525" s="182">
        <v>3.2464786025876435E-3</v>
      </c>
    </row>
    <row r="526" spans="24:28" x14ac:dyDescent="0.2">
      <c r="X526" s="186" t="str">
        <f t="shared" si="41"/>
        <v>1D</v>
      </c>
      <c r="Y526" s="174">
        <f>_xll.qlCalendarAdvance(Calendar,Y525,X526,"f",FALSE)</f>
        <v>42667</v>
      </c>
      <c r="Z526" s="198">
        <f>_xll.qlCalendarAdvance(Calendar,Y526,NDays&amp;"D")</f>
        <v>42669</v>
      </c>
      <c r="AA526" s="173">
        <v>3.5399465037813812E-3</v>
      </c>
      <c r="AB526" s="182">
        <v>3.2475453665448129E-3</v>
      </c>
    </row>
    <row r="527" spans="24:28" x14ac:dyDescent="0.2">
      <c r="X527" s="186" t="str">
        <f t="shared" si="41"/>
        <v>1D</v>
      </c>
      <c r="Y527" s="174">
        <f>_xll.qlCalendarAdvance(Calendar,Y526,X527,"f",FALSE)</f>
        <v>42668</v>
      </c>
      <c r="Z527" s="198">
        <f>_xll.qlCalendarAdvance(Calendar,Y527,NDays&amp;"D")</f>
        <v>42670</v>
      </c>
      <c r="AA527" s="173">
        <v>3.5434933488157593E-3</v>
      </c>
      <c r="AB527" s="182">
        <v>3.2488173719258384E-3</v>
      </c>
    </row>
    <row r="528" spans="24:28" x14ac:dyDescent="0.2">
      <c r="X528" s="186" t="str">
        <f t="shared" si="41"/>
        <v>1D</v>
      </c>
      <c r="Y528" s="174">
        <f>_xll.qlCalendarAdvance(Calendar,Y527,X528,"f",FALSE)</f>
        <v>42669</v>
      </c>
      <c r="Z528" s="198">
        <f>_xll.qlCalendarAdvance(Calendar,Y528,NDays&amp;"D")</f>
        <v>42671</v>
      </c>
      <c r="AA528" s="173">
        <v>3.5470580522896991E-3</v>
      </c>
      <c r="AB528" s="182">
        <v>3.2520748980680025E-3</v>
      </c>
    </row>
    <row r="529" spans="24:28" x14ac:dyDescent="0.2">
      <c r="X529" s="186" t="str">
        <f t="shared" si="41"/>
        <v>1D</v>
      </c>
      <c r="Y529" s="174">
        <f>_xll.qlCalendarAdvance(Calendar,Y528,X529,"f",FALSE)</f>
        <v>42670</v>
      </c>
      <c r="Z529" s="198">
        <f>_xll.qlCalendarAdvance(Calendar,Y529,NDays&amp;"D")</f>
        <v>42674</v>
      </c>
      <c r="AA529" s="173">
        <v>3.5519056451763309E-3</v>
      </c>
      <c r="AB529" s="182">
        <v>3.2559578076085671E-3</v>
      </c>
    </row>
    <row r="530" spans="24:28" x14ac:dyDescent="0.2">
      <c r="X530" s="186" t="str">
        <f t="shared" si="41"/>
        <v>1D</v>
      </c>
      <c r="Y530" s="174">
        <f>_xll.qlCalendarAdvance(Calendar,Y529,X530,"f",FALSE)</f>
        <v>42671</v>
      </c>
      <c r="Z530" s="198">
        <f>_xll.qlCalendarAdvance(Calendar,Y530,NDays&amp;"D")</f>
        <v>42675</v>
      </c>
      <c r="AA530" s="173">
        <v>3.561473994588935E-3</v>
      </c>
      <c r="AB530" s="182">
        <v>3.2582560201088739E-3</v>
      </c>
    </row>
    <row r="531" spans="24:28" x14ac:dyDescent="0.2">
      <c r="X531" s="186" t="str">
        <f t="shared" si="41"/>
        <v>1D</v>
      </c>
      <c r="Y531" s="174">
        <f>_xll.qlCalendarAdvance(Calendar,Y530,X531,"f",FALSE)</f>
        <v>42674</v>
      </c>
      <c r="Z531" s="198">
        <f>_xll.qlCalendarAdvance(Calendar,Y531,NDays&amp;"D")</f>
        <v>42676</v>
      </c>
      <c r="AA531" s="173">
        <v>3.5631169832745406E-3</v>
      </c>
      <c r="AB531" s="182">
        <v>3.260759473953101E-3</v>
      </c>
    </row>
    <row r="532" spans="24:28" x14ac:dyDescent="0.2">
      <c r="X532" s="186" t="str">
        <f t="shared" si="41"/>
        <v>1D</v>
      </c>
      <c r="Y532" s="174">
        <f>_xll.qlCalendarAdvance(Calendar,Y531,X532,"f",FALSE)</f>
        <v>42675</v>
      </c>
      <c r="Z532" s="198">
        <f>_xll.qlCalendarAdvance(Calendar,Y532,NDays&amp;"D")</f>
        <v>42677</v>
      </c>
      <c r="AA532" s="173">
        <v>3.5667610967800786E-3</v>
      </c>
      <c r="AB532" s="182">
        <v>3.2634356829674971E-3</v>
      </c>
    </row>
    <row r="533" spans="24:28" x14ac:dyDescent="0.2">
      <c r="X533" s="186" t="str">
        <f t="shared" ref="X533:X596" si="42">X532</f>
        <v>1D</v>
      </c>
      <c r="Y533" s="174">
        <f>_xll.qlCalendarAdvance(Calendar,Y532,X533,"f",FALSE)</f>
        <v>42676</v>
      </c>
      <c r="Z533" s="198">
        <f>_xll.qlCalendarAdvance(Calendar,Y533,NDays&amp;"D")</f>
        <v>42678</v>
      </c>
      <c r="AA533" s="173">
        <v>3.5704157386434701E-3</v>
      </c>
      <c r="AB533" s="182">
        <v>3.2689171675137629E-3</v>
      </c>
    </row>
    <row r="534" spans="24:28" x14ac:dyDescent="0.2">
      <c r="X534" s="186" t="str">
        <f t="shared" si="42"/>
        <v>1D</v>
      </c>
      <c r="Y534" s="174">
        <f>_xll.qlCalendarAdvance(Calendar,Y533,X534,"f",FALSE)</f>
        <v>42677</v>
      </c>
      <c r="Z534" s="198">
        <f>_xll.qlCalendarAdvance(Calendar,Y534,NDays&amp;"D")</f>
        <v>42681</v>
      </c>
      <c r="AA534" s="173">
        <v>3.5834627271665413E-3</v>
      </c>
      <c r="AB534" s="182">
        <v>3.2743736989004901E-3</v>
      </c>
    </row>
    <row r="535" spans="24:28" x14ac:dyDescent="0.2">
      <c r="X535" s="186" t="str">
        <f t="shared" si="42"/>
        <v>1D</v>
      </c>
      <c r="Y535" s="174">
        <f>_xll.qlCalendarAdvance(Calendar,Y534,X535,"f",FALSE)</f>
        <v>42678</v>
      </c>
      <c r="Z535" s="198">
        <f>_xll.qlCalendarAdvance(Calendar,Y535,NDays&amp;"D")</f>
        <v>42682</v>
      </c>
      <c r="AA535" s="173">
        <v>3.5851377927977927E-3</v>
      </c>
      <c r="AB535" s="182">
        <v>3.2771340115989034E-3</v>
      </c>
    </row>
    <row r="536" spans="24:28" x14ac:dyDescent="0.2">
      <c r="X536" s="186" t="str">
        <f t="shared" si="42"/>
        <v>1D</v>
      </c>
      <c r="Y536" s="174">
        <f>_xll.qlCalendarAdvance(Calendar,Y535,X536,"f",FALSE)</f>
        <v>42681</v>
      </c>
      <c r="Z536" s="198">
        <f>_xll.qlCalendarAdvance(Calendar,Y536,NDays&amp;"D")</f>
        <v>42683</v>
      </c>
      <c r="AA536" s="173">
        <v>3.5888441782981838E-3</v>
      </c>
      <c r="AB536" s="182">
        <v>3.2799046477194338E-3</v>
      </c>
    </row>
    <row r="537" spans="24:28" x14ac:dyDescent="0.2">
      <c r="X537" s="186" t="s">
        <v>143</v>
      </c>
      <c r="Y537" s="174">
        <f>_xll.qlCalendarAdvance(Calendar,Y536,X537,"f",FALSE)</f>
        <v>42688</v>
      </c>
      <c r="Z537" s="198">
        <f>_xll.qlCalendarAdvance(Calendar,Y537,NDays&amp;"D")</f>
        <v>42690</v>
      </c>
      <c r="AA537" s="173">
        <v>3.6150786492504935E-3</v>
      </c>
      <c r="AB537" s="182">
        <v>3.2995881581410202E-3</v>
      </c>
    </row>
    <row r="538" spans="24:28" x14ac:dyDescent="0.2">
      <c r="X538" s="186" t="str">
        <f t="shared" si="42"/>
        <v>1w</v>
      </c>
      <c r="Y538" s="174">
        <f>_xll.qlCalendarAdvance(Calendar,Y537,X538,"f",FALSE)</f>
        <v>42695</v>
      </c>
      <c r="Z538" s="198">
        <f>_xll.qlCalendarAdvance(Calendar,Y538,NDays&amp;"D")</f>
        <v>42697</v>
      </c>
      <c r="AA538" s="173">
        <v>3.6418202363503304E-3</v>
      </c>
      <c r="AB538" s="182">
        <v>3.3197775188043011E-3</v>
      </c>
    </row>
    <row r="539" spans="24:28" x14ac:dyDescent="0.2">
      <c r="X539" s="186" t="str">
        <f t="shared" si="42"/>
        <v>1w</v>
      </c>
      <c r="Y539" s="174">
        <f>_xll.qlCalendarAdvance(Calendar,Y538,X539,"f",FALSE)</f>
        <v>42702</v>
      </c>
      <c r="Z539" s="198">
        <f>_xll.qlCalendarAdvance(Calendar,Y539,NDays&amp;"D")</f>
        <v>42704</v>
      </c>
      <c r="AA539" s="173">
        <v>3.6712098401997335E-3</v>
      </c>
      <c r="AB539" s="182">
        <v>3.3404727298691483E-3</v>
      </c>
    </row>
    <row r="540" spans="24:28" x14ac:dyDescent="0.2">
      <c r="X540" s="186" t="str">
        <f t="shared" si="42"/>
        <v>1w</v>
      </c>
      <c r="Y540" s="174">
        <f>_xll.qlCalendarAdvance(Calendar,Y539,X540,"f",FALSE)</f>
        <v>42709</v>
      </c>
      <c r="Z540" s="198">
        <f>_xll.qlCalendarAdvance(Calendar,Y540,NDays&amp;"D")</f>
        <v>42711</v>
      </c>
      <c r="AA540" s="173">
        <v>3.6990022339465681E-3</v>
      </c>
      <c r="AB540" s="182">
        <v>3.3616737914154982E-3</v>
      </c>
    </row>
    <row r="541" spans="24:28" x14ac:dyDescent="0.2">
      <c r="X541" s="186" t="str">
        <f t="shared" si="42"/>
        <v>1w</v>
      </c>
      <c r="Y541" s="174">
        <f>_xll.qlCalendarAdvance(Calendar,Y540,X541,"f",FALSE)</f>
        <v>42716</v>
      </c>
      <c r="Z541" s="198">
        <f>_xll.qlCalendarAdvance(Calendar,Y541,NDays&amp;"D")</f>
        <v>42718</v>
      </c>
      <c r="AA541" s="173">
        <v>3.7273018151818939E-3</v>
      </c>
      <c r="AB541" s="182">
        <v>3.3833807036032226E-3</v>
      </c>
    </row>
    <row r="542" spans="24:28" x14ac:dyDescent="0.2">
      <c r="X542" s="186" t="str">
        <f t="shared" si="42"/>
        <v>1w</v>
      </c>
      <c r="Y542" s="174">
        <f>_xll.qlCalendarAdvance(Calendar,Y541,X542,"f",FALSE)</f>
        <v>42723</v>
      </c>
      <c r="Z542" s="198">
        <f>_xll.qlCalendarAdvance(Calendar,Y542,NDays&amp;"D")</f>
        <v>42725</v>
      </c>
      <c r="AA542" s="173">
        <v>3.7561086056228442E-3</v>
      </c>
      <c r="AB542" s="182">
        <v>3.4055934664323217E-3</v>
      </c>
    </row>
    <row r="543" spans="24:28" x14ac:dyDescent="0.2">
      <c r="X543" s="186" t="str">
        <f t="shared" si="42"/>
        <v>1w</v>
      </c>
      <c r="Y543" s="174">
        <f>_xll.qlCalendarAdvance(Calendar,Y542,X543,"f",FALSE)</f>
        <v>42731</v>
      </c>
      <c r="Z543" s="198">
        <f>_xll.qlCalendarAdvance(Calendar,Y543,NDays&amp;"D")</f>
        <v>42733</v>
      </c>
      <c r="AA543" s="173">
        <v>3.7896517527148512E-3</v>
      </c>
      <c r="AB543" s="182">
        <v>3.4315988902466898E-3</v>
      </c>
    </row>
    <row r="544" spans="24:28" x14ac:dyDescent="0.2">
      <c r="X544" s="186" t="str">
        <f t="shared" si="42"/>
        <v>1w</v>
      </c>
      <c r="Y544" s="174">
        <f>_xll.qlCalendarAdvance(Calendar,Y543,X544,"f",FALSE)</f>
        <v>42738</v>
      </c>
      <c r="Z544" s="198">
        <f>_xll.qlCalendarAdvance(Calendar,Y544,NDays&amp;"D")</f>
        <v>42740</v>
      </c>
      <c r="AA544" s="173">
        <v>3.8172167379046697E-3</v>
      </c>
      <c r="AB544" s="182">
        <v>3.454895619192655E-3</v>
      </c>
    </row>
    <row r="545" spans="24:28" x14ac:dyDescent="0.2">
      <c r="X545" s="186" t="str">
        <f t="shared" si="42"/>
        <v>1w</v>
      </c>
      <c r="Y545" s="174">
        <f>_xll.qlCalendarAdvance(Calendar,Y544,X545,"f",FALSE)</f>
        <v>42745</v>
      </c>
      <c r="Z545" s="198">
        <f>_xll.qlCalendarAdvance(Calendar,Y545,NDays&amp;"D")</f>
        <v>42747</v>
      </c>
      <c r="AA545" s="173">
        <v>3.8475811997618257E-3</v>
      </c>
      <c r="AB545" s="182">
        <v>3.478698199099739E-3</v>
      </c>
    </row>
    <row r="546" spans="24:28" x14ac:dyDescent="0.2">
      <c r="X546" s="186" t="str">
        <f t="shared" si="42"/>
        <v>1w</v>
      </c>
      <c r="Y546" s="174">
        <f>_xll.qlCalendarAdvance(Calendar,Y545,X546,"f",FALSE)</f>
        <v>42752</v>
      </c>
      <c r="Z546" s="198">
        <f>_xll.qlCalendarAdvance(Calendar,Y546,NDays&amp;"D")</f>
        <v>42754</v>
      </c>
      <c r="AA546" s="173">
        <v>3.8784529552099833E-3</v>
      </c>
      <c r="AB546" s="182">
        <v>3.5030066300478779E-3</v>
      </c>
    </row>
    <row r="547" spans="24:28" x14ac:dyDescent="0.2">
      <c r="X547" s="186" t="str">
        <f t="shared" si="42"/>
        <v>1w</v>
      </c>
      <c r="Y547" s="174">
        <f>_xll.qlCalendarAdvance(Calendar,Y546,X547,"f",FALSE)</f>
        <v>42759</v>
      </c>
      <c r="Z547" s="198">
        <f>_xll.qlCalendarAdvance(Calendar,Y547,NDays&amp;"D")</f>
        <v>42761</v>
      </c>
      <c r="AA547" s="173">
        <v>3.9098320278104061E-3</v>
      </c>
      <c r="AB547" s="182">
        <v>3.5278209121969439E-3</v>
      </c>
    </row>
    <row r="548" spans="24:28" x14ac:dyDescent="0.2">
      <c r="X548" s="186" t="str">
        <f t="shared" si="42"/>
        <v>1w</v>
      </c>
      <c r="Y548" s="174">
        <f>_xll.qlCalendarAdvance(Calendar,Y547,X548,"f",FALSE)</f>
        <v>42766</v>
      </c>
      <c r="Z548" s="198">
        <f>_xll.qlCalendarAdvance(Calendar,Y548,NDays&amp;"D")</f>
        <v>42768</v>
      </c>
      <c r="AA548" s="173">
        <v>3.941718441513439E-3</v>
      </c>
      <c r="AB548" s="182">
        <v>3.5531410456268731E-3</v>
      </c>
    </row>
    <row r="549" spans="24:28" x14ac:dyDescent="0.2">
      <c r="X549" s="186" t="str">
        <f t="shared" si="42"/>
        <v>1w</v>
      </c>
      <c r="Y549" s="174">
        <f>_xll.qlCalendarAdvance(Calendar,Y548,X549,"f",FALSE)</f>
        <v>42773</v>
      </c>
      <c r="Z549" s="198">
        <f>_xll.qlCalendarAdvance(Calendar,Y549,NDays&amp;"D")</f>
        <v>42775</v>
      </c>
      <c r="AA549" s="173">
        <v>3.9741122206549745E-3</v>
      </c>
      <c r="AB549" s="182">
        <v>3.5789670304975374E-3</v>
      </c>
    </row>
    <row r="550" spans="24:28" x14ac:dyDescent="0.2">
      <c r="X550" s="186" t="str">
        <f t="shared" si="42"/>
        <v>1w</v>
      </c>
      <c r="Y550" s="174">
        <f>_xll.qlCalendarAdvance(Calendar,Y549,X550,"f",FALSE)</f>
        <v>42780</v>
      </c>
      <c r="Z550" s="198">
        <f>_xll.qlCalendarAdvance(Calendar,Y550,NDays&amp;"D")</f>
        <v>42782</v>
      </c>
      <c r="AA550" s="173">
        <v>4.0070133899604262E-3</v>
      </c>
      <c r="AB550" s="182">
        <v>3.605298866888873E-3</v>
      </c>
    </row>
    <row r="551" spans="24:28" x14ac:dyDescent="0.2">
      <c r="X551" s="186" t="str">
        <f t="shared" si="42"/>
        <v>1w</v>
      </c>
      <c r="Y551" s="174">
        <f>_xll.qlCalendarAdvance(Calendar,Y550,X551,"f",FALSE)</f>
        <v>42787</v>
      </c>
      <c r="Z551" s="198">
        <f>_xll.qlCalendarAdvance(Calendar,Y551,NDays&amp;"D")</f>
        <v>42789</v>
      </c>
      <c r="AA551" s="173">
        <v>4.0404219745407595E-3</v>
      </c>
      <c r="AB551" s="182">
        <v>3.6321365548008799E-3</v>
      </c>
    </row>
    <row r="552" spans="24:28" x14ac:dyDescent="0.2">
      <c r="X552" s="186" t="str">
        <f t="shared" si="42"/>
        <v>1w</v>
      </c>
      <c r="Y552" s="174">
        <f>_xll.qlCalendarAdvance(Calendar,Y551,X552,"f",FALSE)</f>
        <v>42794</v>
      </c>
      <c r="Z552" s="198">
        <f>_xll.qlCalendarAdvance(Calendar,Y552,NDays&amp;"D")</f>
        <v>42796</v>
      </c>
      <c r="AA552" s="173">
        <v>4.0874807169555627E-3</v>
      </c>
      <c r="AB552" s="182">
        <v>3.6594800944733663E-3</v>
      </c>
    </row>
    <row r="553" spans="24:28" x14ac:dyDescent="0.2">
      <c r="X553" s="186" t="str">
        <f t="shared" si="42"/>
        <v>1w</v>
      </c>
      <c r="Y553" s="174">
        <f>_xll.qlCalendarAdvance(Calendar,Y552,X553,"f",FALSE)</f>
        <v>42801</v>
      </c>
      <c r="Z553" s="198">
        <f>_xll.qlCalendarAdvance(Calendar,Y553,NDays&amp;"D")</f>
        <v>42803</v>
      </c>
      <c r="AA553" s="173">
        <v>4.1220874379618404E-3</v>
      </c>
      <c r="AB553" s="182">
        <v>3.6873294859862682E-3</v>
      </c>
    </row>
    <row r="554" spans="24:28" x14ac:dyDescent="0.2">
      <c r="X554" s="186" t="str">
        <f t="shared" si="42"/>
        <v>1w</v>
      </c>
      <c r="Y554" s="174">
        <f>_xll.qlCalendarAdvance(Calendar,Y553,X554,"f",FALSE)</f>
        <v>42808</v>
      </c>
      <c r="Z554" s="198">
        <f>_xll.qlCalendarAdvance(Calendar,Y554,NDays&amp;"D")</f>
        <v>42810</v>
      </c>
      <c r="AA554" s="173">
        <v>4.1572017074526487E-3</v>
      </c>
      <c r="AB554" s="182">
        <v>3.7156847294994577E-3</v>
      </c>
    </row>
    <row r="555" spans="24:28" x14ac:dyDescent="0.2">
      <c r="X555" s="186" t="str">
        <f t="shared" si="42"/>
        <v>1w</v>
      </c>
      <c r="Y555" s="174">
        <f>_xll.qlCalendarAdvance(Calendar,Y554,X555,"f",FALSE)</f>
        <v>42815</v>
      </c>
      <c r="Z555" s="198">
        <f>_xll.qlCalendarAdvance(Calendar,Y555,NDays&amp;"D")</f>
        <v>42817</v>
      </c>
      <c r="AA555" s="173">
        <v>4.1928235529715479E-3</v>
      </c>
      <c r="AB555" s="182">
        <v>3.7445458250129349E-3</v>
      </c>
    </row>
    <row r="556" spans="24:28" x14ac:dyDescent="0.2">
      <c r="X556" s="186" t="str">
        <f t="shared" si="42"/>
        <v>1w</v>
      </c>
      <c r="Y556" s="174">
        <f>_xll.qlCalendarAdvance(Calendar,Y555,X556,"f",FALSE)</f>
        <v>42822</v>
      </c>
      <c r="Z556" s="198">
        <f>_xll.qlCalendarAdvance(Calendar,Y556,NDays&amp;"D")</f>
        <v>42824</v>
      </c>
      <c r="AA556" s="173">
        <v>4.2206168696278992E-3</v>
      </c>
      <c r="AB556" s="182">
        <v>3.7739127727665078E-3</v>
      </c>
    </row>
    <row r="557" spans="24:28" x14ac:dyDescent="0.2">
      <c r="X557" s="186" t="str">
        <f t="shared" si="42"/>
        <v>1w</v>
      </c>
      <c r="Y557" s="174">
        <f>_xll.qlCalendarAdvance(Calendar,Y556,X557,"f",FALSE)</f>
        <v>42829</v>
      </c>
      <c r="Z557" s="198">
        <f>_xll.qlCalendarAdvance(Calendar,Y557,NDays&amp;"D")</f>
        <v>42831</v>
      </c>
      <c r="AA557" s="173">
        <v>4.2571438727672219E-3</v>
      </c>
      <c r="AB557" s="182">
        <v>3.8037855728401126E-3</v>
      </c>
    </row>
    <row r="558" spans="24:28" x14ac:dyDescent="0.2">
      <c r="X558" s="186" t="str">
        <f t="shared" si="42"/>
        <v>1w</v>
      </c>
      <c r="Y558" s="174">
        <f>_xll.qlCalendarAdvance(Calendar,Y557,X558,"f",FALSE)</f>
        <v>42836</v>
      </c>
      <c r="Z558" s="198">
        <f>_xll.qlCalendarAdvance(Calendar,Y558,NDays&amp;"D")</f>
        <v>42838</v>
      </c>
      <c r="AA558" s="173">
        <v>4.2941785013979128E-3</v>
      </c>
      <c r="AB558" s="182">
        <v>3.8430291222422142E-3</v>
      </c>
    </row>
    <row r="559" spans="24:28" x14ac:dyDescent="0.2">
      <c r="X559" s="186" t="str">
        <f t="shared" si="42"/>
        <v>1w</v>
      </c>
      <c r="Y559" s="174">
        <f>_xll.qlCalendarAdvance(Calendar,Y558,X559,"f",FALSE)</f>
        <v>42843</v>
      </c>
      <c r="Z559" s="198">
        <f>_xll.qlCalendarAdvance(Calendar,Y559,NDays&amp;"D")</f>
        <v>42845</v>
      </c>
      <c r="AA559" s="173">
        <v>4.3317207841034461E-3</v>
      </c>
      <c r="AB559" s="182">
        <v>3.8650487305869063E-3</v>
      </c>
    </row>
    <row r="560" spans="24:28" x14ac:dyDescent="0.2">
      <c r="X560" s="186" t="str">
        <f t="shared" si="42"/>
        <v>1w</v>
      </c>
      <c r="Y560" s="174">
        <f>_xll.qlCalendarAdvance(Calendar,Y559,X560,"f",FALSE)</f>
        <v>42850</v>
      </c>
      <c r="Z560" s="198">
        <f>_xll.qlCalendarAdvance(Calendar,Y560,NDays&amp;"D")</f>
        <v>42852</v>
      </c>
      <c r="AA560" s="173">
        <v>4.3697707498569303E-3</v>
      </c>
      <c r="AB560" s="182">
        <v>3.8964390883400313E-3</v>
      </c>
    </row>
    <row r="561" spans="24:28" x14ac:dyDescent="0.2">
      <c r="X561" s="186" t="str">
        <f t="shared" si="42"/>
        <v>1w</v>
      </c>
      <c r="Y561" s="174">
        <f>_xll.qlCalendarAdvance(Calendar,Y560,X561,"f",FALSE)</f>
        <v>42857</v>
      </c>
      <c r="Z561" s="198">
        <f>_xll.qlCalendarAdvance(Calendar,Y561,NDays&amp;"D")</f>
        <v>42859</v>
      </c>
      <c r="AA561" s="173">
        <v>4.4172151271169805E-3</v>
      </c>
      <c r="AB561" s="182">
        <v>3.9283352990526765E-3</v>
      </c>
    </row>
    <row r="562" spans="24:28" x14ac:dyDescent="0.2">
      <c r="X562" s="186" t="str">
        <f t="shared" si="42"/>
        <v>1w</v>
      </c>
      <c r="Y562" s="174">
        <f>_xll.qlCalendarAdvance(Calendar,Y561,X562,"f",FALSE)</f>
        <v>42864</v>
      </c>
      <c r="Z562" s="198">
        <f>_xll.qlCalendarAdvance(Calendar,Y562,NDays&amp;"D")</f>
        <v>42866</v>
      </c>
      <c r="AA562" s="173">
        <v>4.4563840277904217E-3</v>
      </c>
      <c r="AB562" s="182">
        <v>3.9607373626449061E-3</v>
      </c>
    </row>
    <row r="563" spans="24:28" x14ac:dyDescent="0.2">
      <c r="X563" s="186" t="str">
        <f t="shared" si="42"/>
        <v>1w</v>
      </c>
      <c r="Y563" s="174">
        <f>_xll.qlCalendarAdvance(Calendar,Y562,X563,"f",FALSE)</f>
        <v>42871</v>
      </c>
      <c r="Z563" s="198">
        <f>_xll.qlCalendarAdvance(Calendar,Y563,NDays&amp;"D")</f>
        <v>42873</v>
      </c>
      <c r="AA563" s="173">
        <v>4.4960402469552286E-3</v>
      </c>
      <c r="AB563" s="182">
        <v>3.9936452794364641E-3</v>
      </c>
    </row>
    <row r="564" spans="24:28" x14ac:dyDescent="0.2">
      <c r="X564" s="186" t="str">
        <f t="shared" si="42"/>
        <v>1w</v>
      </c>
      <c r="Y564" s="174">
        <f>_xll.qlCalendarAdvance(Calendar,Y563,X564,"f",FALSE)</f>
        <v>42878</v>
      </c>
      <c r="Z564" s="198">
        <f>_xll.qlCalendarAdvance(Calendar,Y564,NDays&amp;"D")</f>
        <v>42880</v>
      </c>
      <c r="AA564" s="173">
        <v>4.5361694697997005E-3</v>
      </c>
      <c r="AB564" s="182">
        <v>4.0270590494273506E-3</v>
      </c>
    </row>
    <row r="565" spans="24:28" x14ac:dyDescent="0.2">
      <c r="X565" s="186" t="str">
        <f t="shared" si="42"/>
        <v>1w</v>
      </c>
      <c r="Y565" s="174">
        <f>_xll.qlCalendarAdvance(Calendar,Y564,X565,"f",FALSE)</f>
        <v>42885</v>
      </c>
      <c r="Z565" s="198">
        <f>_xll.qlCalendarAdvance(Calendar,Y565,NDays&amp;"D")</f>
        <v>42887</v>
      </c>
      <c r="AA565" s="173">
        <v>4.567481351188037E-3</v>
      </c>
      <c r="AB565" s="182">
        <v>4.0609786728573738E-3</v>
      </c>
    </row>
    <row r="566" spans="24:28" x14ac:dyDescent="0.2">
      <c r="X566" s="186" t="str">
        <f t="shared" si="42"/>
        <v>1w</v>
      </c>
      <c r="Y566" s="174">
        <f>_xll.qlCalendarAdvance(Calendar,Y565,X566,"f",FALSE)</f>
        <v>42892</v>
      </c>
      <c r="Z566" s="198">
        <f>_xll.qlCalendarAdvance(Calendar,Y566,NDays&amp;"D")</f>
        <v>42894</v>
      </c>
      <c r="AA566" s="173">
        <v>4.6084298143730992E-3</v>
      </c>
      <c r="AB566" s="182">
        <v>4.0954041497265337E-3</v>
      </c>
    </row>
    <row r="567" spans="24:28" x14ac:dyDescent="0.2">
      <c r="X567" s="186" t="str">
        <f t="shared" si="42"/>
        <v>1w</v>
      </c>
      <c r="Y567" s="174">
        <f>_xll.qlCalendarAdvance(Calendar,Y566,X567,"f",FALSE)</f>
        <v>42899</v>
      </c>
      <c r="Z567" s="198">
        <f>_xll.qlCalendarAdvance(Calendar,Y567,NDays&amp;"D")</f>
        <v>42901</v>
      </c>
      <c r="AA567" s="173">
        <v>4.6498132675615225E-3</v>
      </c>
      <c r="AB567" s="182">
        <v>4.1303354803545744E-3</v>
      </c>
    </row>
    <row r="568" spans="24:28" x14ac:dyDescent="0.2">
      <c r="X568" s="186" t="str">
        <f t="shared" si="42"/>
        <v>1w</v>
      </c>
      <c r="Y568" s="174">
        <f>_xll.qlCalendarAdvance(Calendar,Y567,X568,"f",FALSE)</f>
        <v>42906</v>
      </c>
      <c r="Z568" s="198">
        <f>_xll.qlCalendarAdvance(Calendar,Y568,NDays&amp;"D")</f>
        <v>42908</v>
      </c>
      <c r="AA568" s="173">
        <v>4.6916171576824282E-3</v>
      </c>
      <c r="AB568" s="182">
        <v>4.1657726647414961E-3</v>
      </c>
    </row>
    <row r="569" spans="24:28" x14ac:dyDescent="0.2">
      <c r="X569" s="186" t="str">
        <f t="shared" si="42"/>
        <v>1w</v>
      </c>
      <c r="Y569" s="174">
        <f>_xll.qlCalendarAdvance(Calendar,Y568,X569,"f",FALSE)</f>
        <v>42913</v>
      </c>
      <c r="Z569" s="198">
        <f>_xll.qlCalendarAdvance(Calendar,Y569,NDays&amp;"D")</f>
        <v>42915</v>
      </c>
      <c r="AA569" s="173">
        <v>4.7338269307048301E-3</v>
      </c>
      <c r="AB569" s="182">
        <v>4.2017157032070429E-3</v>
      </c>
    </row>
    <row r="570" spans="24:28" x14ac:dyDescent="0.2">
      <c r="X570" s="186" t="str">
        <f t="shared" si="42"/>
        <v>1w</v>
      </c>
      <c r="Y570" s="174">
        <f>_xll.qlCalendarAdvance(Calendar,Y569,X570,"f",FALSE)</f>
        <v>42920</v>
      </c>
      <c r="Z570" s="198">
        <f>_xll.qlCalendarAdvance(Calendar,Y570,NDays&amp;"D")</f>
        <v>42922</v>
      </c>
      <c r="AA570" s="173">
        <v>4.7860761454107574E-3</v>
      </c>
      <c r="AB570" s="182">
        <v>4.2381645957512148E-3</v>
      </c>
    </row>
    <row r="571" spans="24:28" x14ac:dyDescent="0.2">
      <c r="X571" s="186" t="str">
        <f t="shared" si="42"/>
        <v>1w</v>
      </c>
      <c r="Y571" s="174">
        <f>_xll.qlCalendarAdvance(Calendar,Y570,X571,"f",FALSE)</f>
        <v>42927</v>
      </c>
      <c r="Z571" s="198">
        <f>_xll.qlCalendarAdvance(Calendar,Y571,NDays&amp;"D")</f>
        <v>42929</v>
      </c>
      <c r="AA571" s="173">
        <v>4.8291155050594527E-3</v>
      </c>
      <c r="AB571" s="182">
        <v>4.2751193426138201E-3</v>
      </c>
    </row>
    <row r="572" spans="24:28" x14ac:dyDescent="0.2">
      <c r="X572" s="186" t="str">
        <f t="shared" si="42"/>
        <v>1w</v>
      </c>
      <c r="Y572" s="174">
        <f>_xll.qlCalendarAdvance(Calendar,Y571,X572,"f",FALSE)</f>
        <v>42934</v>
      </c>
      <c r="Z572" s="198">
        <f>_xll.qlCalendarAdvance(Calendar,Y572,NDays&amp;"D")</f>
        <v>42936</v>
      </c>
      <c r="AA572" s="173">
        <v>4.8725133171247147E-3</v>
      </c>
      <c r="AB572" s="182">
        <v>4.3125799438747947E-3</v>
      </c>
    </row>
    <row r="573" spans="24:28" x14ac:dyDescent="0.2">
      <c r="X573" s="186" t="str">
        <f t="shared" si="42"/>
        <v>1w</v>
      </c>
      <c r="Y573" s="174">
        <f>_xll.qlCalendarAdvance(Calendar,Y572,X573,"f",FALSE)</f>
        <v>42941</v>
      </c>
      <c r="Z573" s="198">
        <f>_xll.qlCalendarAdvance(Calendar,Y573,NDays&amp;"D")</f>
        <v>42943</v>
      </c>
      <c r="AA573" s="173">
        <v>4.9162552581411174E-3</v>
      </c>
      <c r="AB573" s="182">
        <v>4.3505463996940108E-3</v>
      </c>
    </row>
    <row r="574" spans="24:28" x14ac:dyDescent="0.2">
      <c r="X574" s="186" t="str">
        <f t="shared" si="42"/>
        <v>1w</v>
      </c>
      <c r="Y574" s="174">
        <f>_xll.qlCalendarAdvance(Calendar,Y573,X574,"f",FALSE)</f>
        <v>42948</v>
      </c>
      <c r="Z574" s="198">
        <f>_xll.qlCalendarAdvance(Calendar,Y574,NDays&amp;"D")</f>
        <v>42950</v>
      </c>
      <c r="AA574" s="173">
        <v>4.9603270035378857E-3</v>
      </c>
      <c r="AB574" s="182">
        <v>4.3890187103112765E-3</v>
      </c>
    </row>
    <row r="575" spans="24:28" x14ac:dyDescent="0.2">
      <c r="X575" s="186" t="str">
        <f t="shared" si="42"/>
        <v>1w</v>
      </c>
      <c r="Y575" s="174">
        <f>_xll.qlCalendarAdvance(Calendar,Y574,X575,"f",FALSE)</f>
        <v>42955</v>
      </c>
      <c r="Z575" s="198">
        <f>_xll.qlCalendarAdvance(Calendar,Y575,NDays&amp;"D")</f>
        <v>42957</v>
      </c>
      <c r="AA575" s="173">
        <v>5.0047142276139628E-3</v>
      </c>
      <c r="AB575" s="182">
        <v>4.427996875806528E-3</v>
      </c>
    </row>
    <row r="576" spans="24:28" x14ac:dyDescent="0.2">
      <c r="X576" s="186" t="str">
        <f t="shared" si="42"/>
        <v>1w</v>
      </c>
      <c r="Y576" s="174">
        <f>_xll.qlCalendarAdvance(Calendar,Y575,X576,"f",FALSE)</f>
        <v>42962</v>
      </c>
      <c r="Z576" s="198">
        <f>_xll.qlCalendarAdvance(Calendar,Y576,NDays&amp;"D")</f>
        <v>42964</v>
      </c>
      <c r="AA576" s="173">
        <v>5.0494026035143779E-3</v>
      </c>
      <c r="AB576" s="182">
        <v>4.4674808964195734E-3</v>
      </c>
    </row>
    <row r="577" spans="24:28" x14ac:dyDescent="0.2">
      <c r="X577" s="186" t="str">
        <f t="shared" si="42"/>
        <v>1w</v>
      </c>
      <c r="Y577" s="174">
        <f>_xll.qlCalendarAdvance(Calendar,Y576,X577,"f",FALSE)</f>
        <v>42969</v>
      </c>
      <c r="Z577" s="198">
        <f>_xll.qlCalendarAdvance(Calendar,Y577,NDays&amp;"D")</f>
        <v>42971</v>
      </c>
      <c r="AA577" s="173">
        <v>5.0943778032070371E-3</v>
      </c>
      <c r="AB577" s="182">
        <v>4.5074707723102847E-3</v>
      </c>
    </row>
    <row r="578" spans="24:28" x14ac:dyDescent="0.2">
      <c r="X578" s="186" t="str">
        <f t="shared" si="42"/>
        <v>1w</v>
      </c>
      <c r="Y578" s="174">
        <f>_xll.qlCalendarAdvance(Calendar,Y577,X578,"f",FALSE)</f>
        <v>42976</v>
      </c>
      <c r="Z578" s="198">
        <f>_xll.qlCalendarAdvance(Calendar,Y578,NDays&amp;"D")</f>
        <v>42978</v>
      </c>
      <c r="AA578" s="173">
        <v>5.1228844872007627E-3</v>
      </c>
      <c r="AB578" s="182">
        <v>4.5479665035585981E-3</v>
      </c>
    </row>
    <row r="579" spans="24:28" x14ac:dyDescent="0.2">
      <c r="X579" s="186" t="str">
        <f t="shared" si="42"/>
        <v>1w</v>
      </c>
      <c r="Y579" s="174">
        <f>_xll.qlCalendarAdvance(Calendar,Y578,X579,"f",FALSE)</f>
        <v>42983</v>
      </c>
      <c r="Z579" s="198">
        <f>_xll.qlCalendarAdvance(Calendar,Y579,NDays&amp;"D")</f>
        <v>42985</v>
      </c>
      <c r="AA579" s="173">
        <v>5.1683269233166801E-3</v>
      </c>
      <c r="AB579" s="182">
        <v>4.5889680904842578E-3</v>
      </c>
    </row>
    <row r="580" spans="24:28" x14ac:dyDescent="0.2">
      <c r="X580" s="186" t="str">
        <f t="shared" si="42"/>
        <v>1w</v>
      </c>
      <c r="Y580" s="174">
        <f>_xll.qlCalendarAdvance(Calendar,Y579,X580,"f",FALSE)</f>
        <v>42990</v>
      </c>
      <c r="Z580" s="198">
        <f>_xll.qlCalendarAdvance(Calendar,Y580,NDays&amp;"D")</f>
        <v>42992</v>
      </c>
      <c r="AA580" s="173">
        <v>5.2140163683122454E-3</v>
      </c>
      <c r="AB580" s="182">
        <v>4.6304755330872638E-3</v>
      </c>
    </row>
    <row r="581" spans="24:28" x14ac:dyDescent="0.2">
      <c r="X581" s="186" t="str">
        <f t="shared" si="42"/>
        <v>1w</v>
      </c>
      <c r="Y581" s="174">
        <f>_xll.qlCalendarAdvance(Calendar,Y580,X581,"f",FALSE)</f>
        <v>42997</v>
      </c>
      <c r="Z581" s="198">
        <f>_xll.qlCalendarAdvance(Calendar,Y581,NDays&amp;"D")</f>
        <v>42999</v>
      </c>
      <c r="AA581" s="173">
        <v>5.2599380937669877E-3</v>
      </c>
      <c r="AB581" s="182">
        <v>4.6724888316873603E-3</v>
      </c>
    </row>
    <row r="582" spans="24:28" x14ac:dyDescent="0.2">
      <c r="X582" s="186" t="str">
        <f t="shared" si="42"/>
        <v>1w</v>
      </c>
      <c r="Y582" s="174">
        <f>_xll.qlCalendarAdvance(Calendar,Y581,X582,"f",FALSE)</f>
        <v>43004</v>
      </c>
      <c r="Z582" s="198">
        <f>_xll.qlCalendarAdvance(Calendar,Y582,NDays&amp;"D")</f>
        <v>43006</v>
      </c>
      <c r="AA582" s="173">
        <v>5.3060773699885235E-3</v>
      </c>
      <c r="AB582" s="182">
        <v>4.7150079863644834E-3</v>
      </c>
    </row>
    <row r="583" spans="24:28" x14ac:dyDescent="0.2">
      <c r="X583" s="186" t="str">
        <f t="shared" si="42"/>
        <v>1w</v>
      </c>
      <c r="Y583" s="174">
        <f>_xll.qlCalendarAdvance(Calendar,Y582,X583,"f",FALSE)</f>
        <v>43011</v>
      </c>
      <c r="Z583" s="198">
        <f>_xll.qlCalendarAdvance(Calendar,Y583,NDays&amp;"D")</f>
        <v>43013</v>
      </c>
      <c r="AA583" s="173">
        <v>5.3558235820584743E-3</v>
      </c>
      <c r="AB583" s="182">
        <v>4.7580329972785051E-3</v>
      </c>
    </row>
    <row r="584" spans="24:28" x14ac:dyDescent="0.2">
      <c r="X584" s="186" t="str">
        <f t="shared" si="42"/>
        <v>1w</v>
      </c>
      <c r="Y584" s="174">
        <f>_xll.qlCalendarAdvance(Calendar,Y583,X584,"f",FALSE)</f>
        <v>43018</v>
      </c>
      <c r="Z584" s="198">
        <f>_xll.qlCalendarAdvance(Calendar,Y584,NDays&amp;"D")</f>
        <v>43020</v>
      </c>
      <c r="AA584" s="173">
        <v>5.4023640736882593E-3</v>
      </c>
      <c r="AB584" s="182">
        <v>4.8015638647491699E-3</v>
      </c>
    </row>
    <row r="585" spans="24:28" x14ac:dyDescent="0.2">
      <c r="X585" s="186" t="str">
        <f t="shared" si="42"/>
        <v>1w</v>
      </c>
      <c r="Y585" s="174">
        <f>_xll.qlCalendarAdvance(Calendar,Y584,X585,"f",FALSE)</f>
        <v>43025</v>
      </c>
      <c r="Z585" s="198">
        <f>_xll.qlCalendarAdvance(Calendar,Y585,NDays&amp;"D")</f>
        <v>43027</v>
      </c>
      <c r="AA585" s="173">
        <v>5.4490776739070457E-3</v>
      </c>
      <c r="AB585" s="182">
        <v>4.8456005888564135E-3</v>
      </c>
    </row>
    <row r="586" spans="24:28" x14ac:dyDescent="0.2">
      <c r="X586" s="186" t="str">
        <f t="shared" si="42"/>
        <v>1w</v>
      </c>
      <c r="Y586" s="174">
        <f>_xll.qlCalendarAdvance(Calendar,Y585,X586,"f",FALSE)</f>
        <v>43032</v>
      </c>
      <c r="Z586" s="198">
        <f>_xll.qlCalendarAdvance(Calendar,Y586,NDays&amp;"D")</f>
        <v>43034</v>
      </c>
      <c r="AA586" s="173">
        <v>5.4959497286030641E-3</v>
      </c>
      <c r="AB586" s="182">
        <v>4.8901431697601083E-3</v>
      </c>
    </row>
    <row r="587" spans="24:28" x14ac:dyDescent="0.2">
      <c r="X587" s="186" t="str">
        <f t="shared" si="42"/>
        <v>1w</v>
      </c>
      <c r="Y587" s="174">
        <f>_xll.qlCalendarAdvance(Calendar,Y586,X587,"f",FALSE)</f>
        <v>43039</v>
      </c>
      <c r="Z587" s="198">
        <f>_xll.qlCalendarAdvance(Calendar,Y587,NDays&amp;"D")</f>
        <v>43041</v>
      </c>
      <c r="AA587" s="173">
        <v>5.5395213821929912E-3</v>
      </c>
      <c r="AB587" s="182">
        <v>4.9351916077799984E-3</v>
      </c>
    </row>
    <row r="588" spans="24:28" x14ac:dyDescent="0.2">
      <c r="X588" s="186" t="str">
        <f t="shared" si="42"/>
        <v>1w</v>
      </c>
      <c r="Y588" s="174">
        <f>_xll.qlCalendarAdvance(Calendar,Y587,X588,"f",FALSE)</f>
        <v>43046</v>
      </c>
      <c r="Z588" s="198">
        <f>_xll.qlCalendarAdvance(Calendar,Y588,NDays&amp;"D")</f>
        <v>43048</v>
      </c>
      <c r="AA588" s="173">
        <v>5.5866581140592364E-3</v>
      </c>
      <c r="AB588" s="182">
        <v>4.9805816356762733E-3</v>
      </c>
    </row>
    <row r="589" spans="24:28" x14ac:dyDescent="0.2">
      <c r="X589" s="186" t="str">
        <f t="shared" si="42"/>
        <v>1w</v>
      </c>
      <c r="Y589" s="174">
        <f>_xll.qlCalendarAdvance(Calendar,Y588,X589,"f",FALSE)</f>
        <v>43053</v>
      </c>
      <c r="Z589" s="198">
        <f>_xll.qlCalendarAdvance(Calendar,Y589,NDays&amp;"D")</f>
        <v>43055</v>
      </c>
      <c r="AA589" s="173">
        <v>5.6339219004060102E-3</v>
      </c>
      <c r="AB589" s="182">
        <v>5.0260985420802484E-3</v>
      </c>
    </row>
    <row r="590" spans="24:28" x14ac:dyDescent="0.2">
      <c r="X590" s="186" t="str">
        <f t="shared" si="42"/>
        <v>1w</v>
      </c>
      <c r="Y590" s="174">
        <f>_xll.qlCalendarAdvance(Calendar,Y589,X590,"f",FALSE)</f>
        <v>43060</v>
      </c>
      <c r="Z590" s="198">
        <f>_xll.qlCalendarAdvance(Calendar,Y590,NDays&amp;"D")</f>
        <v>43062</v>
      </c>
      <c r="AA590" s="173">
        <v>5.6813127430462261E-3</v>
      </c>
      <c r="AB590" s="182">
        <v>5.071741033706445E-3</v>
      </c>
    </row>
    <row r="591" spans="24:28" x14ac:dyDescent="0.2">
      <c r="X591" s="186" t="str">
        <f t="shared" si="42"/>
        <v>1w</v>
      </c>
      <c r="Y591" s="174">
        <f>_xll.qlCalendarAdvance(Calendar,Y590,X591,"f",FALSE)</f>
        <v>43067</v>
      </c>
      <c r="Z591" s="198">
        <f>_xll.qlCalendarAdvance(Calendar,Y591,NDays&amp;"D")</f>
        <v>43069</v>
      </c>
      <c r="AA591" s="173">
        <v>5.732314117710453E-3</v>
      </c>
      <c r="AB591" s="182">
        <v>5.117509110394991E-3</v>
      </c>
    </row>
    <row r="592" spans="24:28" x14ac:dyDescent="0.2">
      <c r="X592" s="186" t="str">
        <f t="shared" si="42"/>
        <v>1w</v>
      </c>
      <c r="Y592" s="174">
        <f>_xll.qlCalendarAdvance(Calendar,Y591,X592,"f",FALSE)</f>
        <v>43074</v>
      </c>
      <c r="Z592" s="198">
        <f>_xll.qlCalendarAdvance(Calendar,Y592,NDays&amp;"D")</f>
        <v>43076</v>
      </c>
      <c r="AA592" s="173">
        <v>5.7799689388370462E-3</v>
      </c>
      <c r="AB592" s="182">
        <v>5.1634027723856946E-3</v>
      </c>
    </row>
    <row r="593" spans="24:28" x14ac:dyDescent="0.2">
      <c r="X593" s="186" t="str">
        <f t="shared" si="42"/>
        <v>1w</v>
      </c>
      <c r="Y593" s="174">
        <f>_xll.qlCalendarAdvance(Calendar,Y592,X593,"f",FALSE)</f>
        <v>43081</v>
      </c>
      <c r="Z593" s="198">
        <f>_xll.qlCalendarAdvance(Calendar,Y593,NDays&amp;"D")</f>
        <v>43083</v>
      </c>
      <c r="AA593" s="173">
        <v>5.8277508523341126E-3</v>
      </c>
      <c r="AB593" s="182">
        <v>5.2094220195986196E-3</v>
      </c>
    </row>
    <row r="594" spans="24:28" x14ac:dyDescent="0.2">
      <c r="X594" s="186" t="str">
        <f t="shared" si="42"/>
        <v>1w</v>
      </c>
      <c r="Y594" s="174">
        <f>_xll.qlCalendarAdvance(Calendar,Y593,X594,"f",FALSE)</f>
        <v>43088</v>
      </c>
      <c r="Z594" s="198">
        <f>_xll.qlCalendarAdvance(Calendar,Y594,NDays&amp;"D")</f>
        <v>43090</v>
      </c>
      <c r="AA594" s="173">
        <v>5.8756598673297368E-3</v>
      </c>
      <c r="AB594" s="182">
        <v>5.2555668521936383E-3</v>
      </c>
    </row>
    <row r="595" spans="24:28" x14ac:dyDescent="0.2">
      <c r="X595" s="186" t="str">
        <f t="shared" si="42"/>
        <v>1w</v>
      </c>
      <c r="Y595" s="174">
        <f>_xll.qlCalendarAdvance(Calendar,Y594,X595,"f",FALSE)</f>
        <v>43096</v>
      </c>
      <c r="Z595" s="198">
        <f>_xll.qlCalendarAdvance(Calendar,Y595,NDays&amp;"D")</f>
        <v>43098</v>
      </c>
      <c r="AA595" s="173">
        <v>5.9305686735542035E-3</v>
      </c>
      <c r="AB595" s="182">
        <v>5.3185123130172762E-3</v>
      </c>
    </row>
    <row r="596" spans="24:28" x14ac:dyDescent="0.2">
      <c r="X596" s="186" t="str">
        <f t="shared" si="42"/>
        <v>1w</v>
      </c>
      <c r="Y596" s="174">
        <f>_xll.qlCalendarAdvance(Calendar,Y595,X596,"f",FALSE)</f>
        <v>43103</v>
      </c>
      <c r="Z596" s="198">
        <f>_xll.qlCalendarAdvance(Calendar,Y596,NDays&amp;"D")</f>
        <v>43105</v>
      </c>
      <c r="AA596" s="173">
        <v>5.9752159167466958E-3</v>
      </c>
      <c r="AB596" s="182">
        <v>5.3615930452721727E-3</v>
      </c>
    </row>
    <row r="597" spans="24:28" x14ac:dyDescent="0.2">
      <c r="X597" s="186" t="str">
        <f t="shared" ref="X597:X660" si="43">X596</f>
        <v>1w</v>
      </c>
      <c r="Y597" s="174">
        <f>_xll.qlCalendarAdvance(Calendar,Y596,X597,"f",FALSE)</f>
        <v>43110</v>
      </c>
      <c r="Z597" s="198">
        <f>_xll.qlCalendarAdvance(Calendar,Y597,NDays&amp;"D")</f>
        <v>43112</v>
      </c>
      <c r="AA597" s="173">
        <v>6.0235145676141759E-3</v>
      </c>
      <c r="AB597" s="182">
        <v>5.4081519084103746E-3</v>
      </c>
    </row>
    <row r="598" spans="24:28" x14ac:dyDescent="0.2">
      <c r="X598" s="186" t="str">
        <f t="shared" si="43"/>
        <v>1w</v>
      </c>
      <c r="Y598" s="174">
        <f>_xll.qlCalendarAdvance(Calendar,Y597,X598,"f",FALSE)</f>
        <v>43117</v>
      </c>
      <c r="Z598" s="198">
        <f>_xll.qlCalendarAdvance(Calendar,Y598,NDays&amp;"D")</f>
        <v>43119</v>
      </c>
      <c r="AA598" s="173">
        <v>6.0719403487927964E-3</v>
      </c>
      <c r="AB598" s="182">
        <v>5.4548363729445271E-3</v>
      </c>
    </row>
    <row r="599" spans="24:28" x14ac:dyDescent="0.2">
      <c r="X599" s="186" t="str">
        <f t="shared" si="43"/>
        <v>1w</v>
      </c>
      <c r="Y599" s="174">
        <f>_xll.qlCalendarAdvance(Calendar,Y598,X599,"f",FALSE)</f>
        <v>43124</v>
      </c>
      <c r="Z599" s="198">
        <f>_xll.qlCalendarAdvance(Calendar,Y599,NDays&amp;"D")</f>
        <v>43126</v>
      </c>
      <c r="AA599" s="173">
        <v>6.1204932694840361E-3</v>
      </c>
      <c r="AB599" s="182">
        <v>5.5016464390078568E-3</v>
      </c>
    </row>
    <row r="600" spans="24:28" x14ac:dyDescent="0.2">
      <c r="X600" s="186" t="str">
        <f t="shared" si="43"/>
        <v>1w</v>
      </c>
      <c r="Y600" s="174">
        <f>_xll.qlCalendarAdvance(Calendar,Y599,X600,"f",FALSE)</f>
        <v>43131</v>
      </c>
      <c r="Z600" s="198">
        <f>_xll.qlCalendarAdvance(Calendar,Y600,NDays&amp;"D")</f>
        <v>43133</v>
      </c>
      <c r="AA600" s="173">
        <v>6.169173338913223E-3</v>
      </c>
      <c r="AB600" s="182">
        <v>5.5485821067335905E-3</v>
      </c>
    </row>
    <row r="601" spans="24:28" x14ac:dyDescent="0.2">
      <c r="X601" s="186" t="str">
        <f t="shared" si="43"/>
        <v>1w</v>
      </c>
      <c r="Y601" s="174">
        <f>_xll.qlCalendarAdvance(Calendar,Y600,X601,"f",FALSE)</f>
        <v>43138</v>
      </c>
      <c r="Z601" s="198">
        <f>_xll.qlCalendarAdvance(Calendar,Y601,NDays&amp;"D")</f>
        <v>43140</v>
      </c>
      <c r="AA601" s="173">
        <v>6.2179805663295342E-3</v>
      </c>
      <c r="AB601" s="182">
        <v>5.5956433762549551E-3</v>
      </c>
    </row>
    <row r="602" spans="24:28" x14ac:dyDescent="0.2">
      <c r="X602" s="186" t="str">
        <f t="shared" si="43"/>
        <v>1w</v>
      </c>
      <c r="Y602" s="174">
        <f>_xll.qlCalendarAdvance(Calendar,Y601,X602,"f",FALSE)</f>
        <v>43145</v>
      </c>
      <c r="Z602" s="198">
        <f>_xll.qlCalendarAdvance(Calendar,Y602,NDays&amp;"D")</f>
        <v>43147</v>
      </c>
      <c r="AA602" s="173">
        <v>6.2669149610077588E-3</v>
      </c>
      <c r="AB602" s="182">
        <v>5.642830247758468E-3</v>
      </c>
    </row>
    <row r="603" spans="24:28" x14ac:dyDescent="0.2">
      <c r="X603" s="186" t="str">
        <f t="shared" si="43"/>
        <v>1w</v>
      </c>
      <c r="Y603" s="174">
        <f>_xll.qlCalendarAdvance(Calendar,Y602,X603,"f",FALSE)</f>
        <v>43152</v>
      </c>
      <c r="Z603" s="198">
        <f>_xll.qlCalendarAdvance(Calendar,Y603,NDays&amp;"D")</f>
        <v>43154</v>
      </c>
      <c r="AA603" s="173">
        <v>6.31597653224477E-3</v>
      </c>
      <c r="AB603" s="182">
        <v>5.6901427213507105E-3</v>
      </c>
    </row>
    <row r="604" spans="24:28" x14ac:dyDescent="0.2">
      <c r="X604" s="186" t="str">
        <f t="shared" si="43"/>
        <v>1w</v>
      </c>
      <c r="Y604" s="174">
        <f>_xll.qlCalendarAdvance(Calendar,Y603,X604,"f",FALSE)</f>
        <v>43159</v>
      </c>
      <c r="Z604" s="198">
        <f>_xll.qlCalendarAdvance(Calendar,Y604,NDays&amp;"D")</f>
        <v>43161</v>
      </c>
      <c r="AA604" s="173">
        <v>6.3796252716367347E-3</v>
      </c>
      <c r="AB604" s="182">
        <v>5.7375807972182002E-3</v>
      </c>
    </row>
    <row r="605" spans="24:28" x14ac:dyDescent="0.2">
      <c r="X605" s="186" t="str">
        <f t="shared" si="43"/>
        <v>1w</v>
      </c>
      <c r="Y605" s="174">
        <f>_xll.qlCalendarAdvance(Calendar,Y604,X605,"f",FALSE)</f>
        <v>43166</v>
      </c>
      <c r="Z605" s="198">
        <f>_xll.qlCalendarAdvance(Calendar,Y605,NDays&amp;"D")</f>
        <v>43168</v>
      </c>
      <c r="AA605" s="173">
        <v>6.4289810772932476E-3</v>
      </c>
      <c r="AB605" s="182">
        <v>5.7851444754941639E-3</v>
      </c>
    </row>
    <row r="606" spans="24:28" x14ac:dyDescent="0.2">
      <c r="X606" s="186" t="str">
        <f t="shared" si="43"/>
        <v>1w</v>
      </c>
      <c r="Y606" s="174">
        <f>_xll.qlCalendarAdvance(Calendar,Y605,X606,"f",FALSE)</f>
        <v>43173</v>
      </c>
      <c r="Z606" s="198">
        <f>_xll.qlCalendarAdvance(Calendar,Y606,NDays&amp;"D")</f>
        <v>43175</v>
      </c>
      <c r="AA606" s="173">
        <v>6.4784641263612441E-3</v>
      </c>
      <c r="AB606" s="182">
        <v>5.8328337563118282E-3</v>
      </c>
    </row>
    <row r="607" spans="24:28" x14ac:dyDescent="0.2">
      <c r="X607" s="186" t="str">
        <f t="shared" si="43"/>
        <v>1w</v>
      </c>
      <c r="Y607" s="174">
        <f>_xll.qlCalendarAdvance(Calendar,Y606,X607,"f",FALSE)</f>
        <v>43180</v>
      </c>
      <c r="Z607" s="198">
        <f>_xll.qlCalendarAdvance(Calendar,Y607,NDays&amp;"D")</f>
        <v>43182</v>
      </c>
      <c r="AA607" s="173">
        <v>6.5280744284529259E-3</v>
      </c>
      <c r="AB607" s="182">
        <v>5.8806486398577107E-3</v>
      </c>
    </row>
    <row r="608" spans="24:28" x14ac:dyDescent="0.2">
      <c r="X608" s="186" t="str">
        <f t="shared" si="43"/>
        <v>1w</v>
      </c>
      <c r="Y608" s="174">
        <f>_xll.qlCalendarAdvance(Calendar,Y607,X608,"f",FALSE)</f>
        <v>43187</v>
      </c>
      <c r="Z608" s="198">
        <f>_xll.qlCalendarAdvance(Calendar,Y608,NDays&amp;"D")</f>
        <v>43193</v>
      </c>
      <c r="AA608" s="173">
        <v>6.5989673648374787E-3</v>
      </c>
      <c r="AB608" s="182">
        <v>5.9490743342749397E-3</v>
      </c>
    </row>
    <row r="609" spans="24:28" x14ac:dyDescent="0.2">
      <c r="X609" s="186" t="str">
        <f t="shared" si="43"/>
        <v>1w</v>
      </c>
      <c r="Y609" s="174">
        <f>_xll.qlCalendarAdvance(Calendar,Y608,X609,"f",FALSE)</f>
        <v>43194</v>
      </c>
      <c r="Z609" s="198">
        <f>_xll.qlCalendarAdvance(Calendar,Y609,NDays&amp;"D")</f>
        <v>43196</v>
      </c>
      <c r="AA609" s="173">
        <v>6.627676830275416E-3</v>
      </c>
      <c r="AB609" s="182">
        <v>5.9766552156137465E-3</v>
      </c>
    </row>
    <row r="610" spans="24:28" x14ac:dyDescent="0.2">
      <c r="X610" s="186" t="str">
        <f t="shared" si="43"/>
        <v>1w</v>
      </c>
      <c r="Y610" s="174">
        <f>_xll.qlCalendarAdvance(Calendar,Y609,X610,"f",FALSE)</f>
        <v>43201</v>
      </c>
      <c r="Z610" s="198">
        <f>_xll.qlCalendarAdvance(Calendar,Y610,NDays&amp;"D")</f>
        <v>43203</v>
      </c>
      <c r="AA610" s="173">
        <v>6.6776689493546386E-3</v>
      </c>
      <c r="AB610" s="182">
        <v>6.0248469081702893E-3</v>
      </c>
    </row>
    <row r="611" spans="24:28" x14ac:dyDescent="0.2">
      <c r="X611" s="186" t="str">
        <f t="shared" si="43"/>
        <v>1w</v>
      </c>
      <c r="Y611" s="174">
        <f>_xll.qlCalendarAdvance(Calendar,Y610,X611,"f",FALSE)</f>
        <v>43208</v>
      </c>
      <c r="Z611" s="198">
        <f>_xll.qlCalendarAdvance(Calendar,Y611,NDays&amp;"D")</f>
        <v>43210</v>
      </c>
      <c r="AA611" s="173">
        <v>6.7277883601526492E-3</v>
      </c>
      <c r="AB611" s="182">
        <v>6.0731642040412481E-3</v>
      </c>
    </row>
    <row r="612" spans="24:28" x14ac:dyDescent="0.2">
      <c r="X612" s="186" t="str">
        <f t="shared" si="43"/>
        <v>1w</v>
      </c>
      <c r="Y612" s="174">
        <f>_xll.qlCalendarAdvance(Calendar,Y611,X612,"f",FALSE)</f>
        <v>43215</v>
      </c>
      <c r="Z612" s="198">
        <f>_xll.qlCalendarAdvance(Calendar,Y612,NDays&amp;"D")</f>
        <v>43217</v>
      </c>
      <c r="AA612" s="173">
        <v>6.7780350724047939E-3</v>
      </c>
      <c r="AB612" s="182">
        <v>6.1216071033598496E-3</v>
      </c>
    </row>
    <row r="613" spans="24:28" x14ac:dyDescent="0.2">
      <c r="X613" s="186" t="str">
        <f t="shared" si="43"/>
        <v>1w</v>
      </c>
      <c r="Y613" s="174">
        <f>_xll.qlCalendarAdvance(Calendar,Y612,X613,"f",FALSE)</f>
        <v>43222</v>
      </c>
      <c r="Z613" s="198">
        <f>_xll.qlCalendarAdvance(Calendar,Y613,NDays&amp;"D")</f>
        <v>43224</v>
      </c>
      <c r="AA613" s="173">
        <v>6.8284090958732101E-3</v>
      </c>
      <c r="AB613" s="182">
        <v>6.1701756062859658E-3</v>
      </c>
    </row>
    <row r="614" spans="24:28" x14ac:dyDescent="0.2">
      <c r="X614" s="186" t="str">
        <f t="shared" si="43"/>
        <v>1w</v>
      </c>
      <c r="Y614" s="174">
        <f>_xll.qlCalendarAdvance(Calendar,Y613,X614,"f",FALSE)</f>
        <v>43229</v>
      </c>
      <c r="Z614" s="198">
        <f>_xll.qlCalendarAdvance(Calendar,Y614,NDays&amp;"D")</f>
        <v>43231</v>
      </c>
      <c r="AA614" s="173">
        <v>6.8789093179827858E-3</v>
      </c>
      <c r="AB614" s="182">
        <v>6.218869712979469E-3</v>
      </c>
    </row>
    <row r="615" spans="24:28" x14ac:dyDescent="0.2">
      <c r="X615" s="186" t="str">
        <f t="shared" si="43"/>
        <v>1w</v>
      </c>
      <c r="Y615" s="174">
        <f>_xll.qlCalendarAdvance(Calendar,Y614,X615,"f",FALSE)</f>
        <v>43236</v>
      </c>
      <c r="Z615" s="198">
        <f>_xll.qlCalendarAdvance(Calendar,Y615,NDays&amp;"D")</f>
        <v>43238</v>
      </c>
      <c r="AA615" s="173">
        <v>6.9295301365142909E-3</v>
      </c>
      <c r="AB615" s="182">
        <v>6.2676894236002312E-3</v>
      </c>
    </row>
    <row r="616" spans="24:28" x14ac:dyDescent="0.2">
      <c r="X616" s="186" t="str">
        <f t="shared" si="43"/>
        <v>1w</v>
      </c>
      <c r="Y616" s="174">
        <f>_xll.qlCalendarAdvance(Calendar,Y615,X616,"f",FALSE)</f>
        <v>43243</v>
      </c>
      <c r="Z616" s="198">
        <f>_xll.qlCalendarAdvance(Calendar,Y616,NDays&amp;"D")</f>
        <v>43245</v>
      </c>
      <c r="AA616" s="173">
        <v>6.9802648262708936E-3</v>
      </c>
      <c r="AB616" s="182">
        <v>6.3166347382814791E-3</v>
      </c>
    </row>
    <row r="617" spans="24:28" x14ac:dyDescent="0.2">
      <c r="X617" s="186" t="str">
        <f t="shared" si="43"/>
        <v>1w</v>
      </c>
      <c r="Y617" s="174">
        <f>_xll.qlCalendarAdvance(Calendar,Y616,X617,"f",FALSE)</f>
        <v>43250</v>
      </c>
      <c r="Z617" s="198">
        <f>_xll.qlCalendarAdvance(Calendar,Y617,NDays&amp;"D")</f>
        <v>43252</v>
      </c>
      <c r="AA617" s="173">
        <v>7.0311066613760898E-3</v>
      </c>
      <c r="AB617" s="182">
        <v>6.365705657183085E-3</v>
      </c>
    </row>
    <row r="618" spans="24:28" x14ac:dyDescent="0.2">
      <c r="X618" s="186" t="str">
        <f t="shared" si="43"/>
        <v>1w</v>
      </c>
      <c r="Y618" s="174">
        <f>_xll.qlCalendarAdvance(Calendar,Y617,X618,"f",FALSE)</f>
        <v>43257</v>
      </c>
      <c r="Z618" s="198">
        <f>_xll.qlCalendarAdvance(Calendar,Y618,NDays&amp;"D")</f>
        <v>43259</v>
      </c>
      <c r="AA618" s="173">
        <v>7.0820489152724061E-3</v>
      </c>
      <c r="AB618" s="182">
        <v>6.4149021804915662E-3</v>
      </c>
    </row>
    <row r="619" spans="24:28" x14ac:dyDescent="0.2">
      <c r="X619" s="186" t="str">
        <f t="shared" si="43"/>
        <v>1w</v>
      </c>
      <c r="Y619" s="174">
        <f>_xll.qlCalendarAdvance(Calendar,Y618,X619,"f",FALSE)</f>
        <v>43264</v>
      </c>
      <c r="Z619" s="198">
        <f>_xll.qlCalendarAdvance(Calendar,Y619,NDays&amp;"D")</f>
        <v>43266</v>
      </c>
      <c r="AA619" s="173">
        <v>7.1330848607131922E-3</v>
      </c>
      <c r="AB619" s="182">
        <v>6.4642243083135043E-3</v>
      </c>
    </row>
    <row r="620" spans="24:28" x14ac:dyDescent="0.2">
      <c r="X620" s="186" t="str">
        <f t="shared" si="43"/>
        <v>1w</v>
      </c>
      <c r="Y620" s="174">
        <f>_xll.qlCalendarAdvance(Calendar,Y619,X620,"f",FALSE)</f>
        <v>43271</v>
      </c>
      <c r="Z620" s="198">
        <f>_xll.qlCalendarAdvance(Calendar,Y620,NDays&amp;"D")</f>
        <v>43273</v>
      </c>
      <c r="AA620" s="173">
        <v>7.1842077697639121E-3</v>
      </c>
      <c r="AB620" s="182">
        <v>6.5136720408087712E-3</v>
      </c>
    </row>
    <row r="621" spans="24:28" x14ac:dyDescent="0.2">
      <c r="X621" s="186" t="str">
        <f t="shared" si="43"/>
        <v>1w</v>
      </c>
      <c r="Y621" s="174">
        <f>_xll.qlCalendarAdvance(Calendar,Y620,X621,"f",FALSE)</f>
        <v>43278</v>
      </c>
      <c r="Z621" s="198">
        <f>_xll.qlCalendarAdvance(Calendar,Y621,NDays&amp;"D")</f>
        <v>43280</v>
      </c>
      <c r="AA621" s="173">
        <v>7.2354109137965335E-3</v>
      </c>
      <c r="AB621" s="182">
        <v>6.5632453781638844E-3</v>
      </c>
    </row>
    <row r="622" spans="24:28" x14ac:dyDescent="0.2">
      <c r="X622" s="186" t="str">
        <f t="shared" si="43"/>
        <v>1w</v>
      </c>
      <c r="Y622" s="174">
        <f>_xll.qlCalendarAdvance(Calendar,Y621,X622,"f",FALSE)</f>
        <v>43285</v>
      </c>
      <c r="Z622" s="198">
        <f>_xll.qlCalendarAdvance(Calendar,Y622,NDays&amp;"D")</f>
        <v>43287</v>
      </c>
      <c r="AA622" s="173">
        <v>7.2866875634877964E-3</v>
      </c>
      <c r="AB622" s="182">
        <v>6.6129443205387162E-3</v>
      </c>
    </row>
    <row r="623" spans="24:28" x14ac:dyDescent="0.2">
      <c r="X623" s="186" t="str">
        <f t="shared" si="43"/>
        <v>1w</v>
      </c>
      <c r="Y623" s="174">
        <f>_xll.qlCalendarAdvance(Calendar,Y622,X623,"f",FALSE)</f>
        <v>43292</v>
      </c>
      <c r="Z623" s="198">
        <f>_xll.qlCalendarAdvance(Calendar,Y623,NDays&amp;"D")</f>
        <v>43294</v>
      </c>
      <c r="AA623" s="173">
        <v>7.3380309888148908E-3</v>
      </c>
      <c r="AB623" s="182">
        <v>6.6627688680398478E-3</v>
      </c>
    </row>
    <row r="624" spans="24:28" x14ac:dyDescent="0.2">
      <c r="X624" s="186" t="str">
        <f t="shared" si="43"/>
        <v>1w</v>
      </c>
      <c r="Y624" s="174">
        <f>_xll.qlCalendarAdvance(Calendar,Y623,X624,"f",FALSE)</f>
        <v>43299</v>
      </c>
      <c r="Z624" s="198">
        <f>_xll.qlCalendarAdvance(Calendar,Y624,NDays&amp;"D")</f>
        <v>43301</v>
      </c>
      <c r="AA624" s="173">
        <v>7.389434459054163E-3</v>
      </c>
      <c r="AB624" s="182">
        <v>6.7127190208537968E-3</v>
      </c>
    </row>
    <row r="625" spans="24:28" x14ac:dyDescent="0.2">
      <c r="X625" s="186" t="str">
        <f t="shared" si="43"/>
        <v>1w</v>
      </c>
      <c r="Y625" s="174">
        <f>_xll.qlCalendarAdvance(Calendar,Y624,X625,"f",FALSE)</f>
        <v>43306</v>
      </c>
      <c r="Z625" s="198">
        <f>_xll.qlCalendarAdvance(Calendar,Y625,NDays&amp;"D")</f>
        <v>43308</v>
      </c>
      <c r="AA625" s="173">
        <v>7.4408912427798169E-3</v>
      </c>
      <c r="AB625" s="182">
        <v>6.7627947791670806E-3</v>
      </c>
    </row>
    <row r="626" spans="24:28" x14ac:dyDescent="0.2">
      <c r="X626" s="186" t="str">
        <f t="shared" si="43"/>
        <v>1w</v>
      </c>
      <c r="Y626" s="174">
        <f>_xll.qlCalendarAdvance(Calendar,Y625,X626,"f",FALSE)</f>
        <v>43313</v>
      </c>
      <c r="Z626" s="198">
        <f>_xll.qlCalendarAdvance(Calendar,Y626,NDays&amp;"D")</f>
        <v>43315</v>
      </c>
      <c r="AA626" s="173">
        <v>7.492394607860893E-3</v>
      </c>
      <c r="AB626" s="182">
        <v>6.8129961430862807E-3</v>
      </c>
    </row>
    <row r="627" spans="24:28" x14ac:dyDescent="0.2">
      <c r="X627" s="186" t="str">
        <f t="shared" si="43"/>
        <v>1w</v>
      </c>
      <c r="Y627" s="174">
        <f>_xll.qlCalendarAdvance(Calendar,Y626,X627,"f",FALSE)</f>
        <v>43320</v>
      </c>
      <c r="Z627" s="198">
        <f>_xll.qlCalendarAdvance(Calendar,Y627,NDays&amp;"D")</f>
        <v>43322</v>
      </c>
      <c r="AA627" s="173">
        <v>7.5439378214595355E-3</v>
      </c>
      <c r="AB627" s="182">
        <v>6.8633231127712691E-3</v>
      </c>
    </row>
    <row r="628" spans="24:28" x14ac:dyDescent="0.2">
      <c r="X628" s="186" t="str">
        <f t="shared" si="43"/>
        <v>1w</v>
      </c>
      <c r="Y628" s="174">
        <f>_xll.qlCalendarAdvance(Calendar,Y627,X628,"f",FALSE)</f>
        <v>43327</v>
      </c>
      <c r="Z628" s="198">
        <f>_xll.qlCalendarAdvance(Calendar,Y628,NDays&amp;"D")</f>
        <v>43329</v>
      </c>
      <c r="AA628" s="173">
        <v>7.5955141500284032E-3</v>
      </c>
      <c r="AB628" s="182">
        <v>6.9137756884352086E-3</v>
      </c>
    </row>
    <row r="629" spans="24:28" x14ac:dyDescent="0.2">
      <c r="X629" s="186" t="str">
        <f t="shared" si="43"/>
        <v>1w</v>
      </c>
      <c r="Y629" s="174">
        <f>_xll.qlCalendarAdvance(Calendar,Y628,X629,"f",FALSE)</f>
        <v>43334</v>
      </c>
      <c r="Z629" s="198">
        <f>_xll.qlCalendarAdvance(Calendar,Y629,NDays&amp;"D")</f>
        <v>43336</v>
      </c>
      <c r="AA629" s="173">
        <v>7.6471168593123971E-3</v>
      </c>
      <c r="AB629" s="182">
        <v>6.9643538701580354E-3</v>
      </c>
    </row>
    <row r="630" spans="24:28" x14ac:dyDescent="0.2">
      <c r="X630" s="186" t="str">
        <f t="shared" si="43"/>
        <v>1w</v>
      </c>
      <c r="Y630" s="174">
        <f>_xll.qlCalendarAdvance(Calendar,Y629,X630,"f",FALSE)</f>
        <v>43341</v>
      </c>
      <c r="Z630" s="198">
        <f>_xll.qlCalendarAdvance(Calendar,Y630,NDays&amp;"D")</f>
        <v>43343</v>
      </c>
      <c r="AA630" s="173">
        <v>7.6836581030283266E-3</v>
      </c>
      <c r="AB630" s="182">
        <v>7.0150576581529123E-3</v>
      </c>
    </row>
    <row r="631" spans="24:28" x14ac:dyDescent="0.2">
      <c r="X631" s="186" t="str">
        <f t="shared" si="43"/>
        <v>1w</v>
      </c>
      <c r="Y631" s="174">
        <f>_xll.qlCalendarAdvance(Calendar,Y630,X631,"f",FALSE)</f>
        <v>43348</v>
      </c>
      <c r="Z631" s="198">
        <f>_xll.qlCalendarAdvance(Calendar,Y631,NDays&amp;"D")</f>
        <v>43350</v>
      </c>
      <c r="AA631" s="173">
        <v>7.7352974724369441E-3</v>
      </c>
      <c r="AB631" s="182">
        <v>7.0658870525797113E-3</v>
      </c>
    </row>
    <row r="632" spans="24:28" x14ac:dyDescent="0.2">
      <c r="X632" s="186" t="str">
        <f t="shared" si="43"/>
        <v>1w</v>
      </c>
      <c r="Y632" s="174">
        <f>_xll.qlCalendarAdvance(Calendar,Y631,X632,"f",FALSE)</f>
        <v>43355</v>
      </c>
      <c r="Z632" s="198">
        <f>_xll.qlCalendarAdvance(Calendar,Y632,NDays&amp;"D")</f>
        <v>43357</v>
      </c>
      <c r="AA632" s="173">
        <v>7.7869442407292782E-3</v>
      </c>
      <c r="AB632" s="182">
        <v>7.1168420535716592E-3</v>
      </c>
    </row>
    <row r="633" spans="24:28" x14ac:dyDescent="0.2">
      <c r="X633" s="186" t="str">
        <f t="shared" si="43"/>
        <v>1w</v>
      </c>
      <c r="Y633" s="174">
        <f>_xll.qlCalendarAdvance(Calendar,Y632,X633,"f",FALSE)</f>
        <v>43362</v>
      </c>
      <c r="Z633" s="198">
        <f>_xll.qlCalendarAdvance(Calendar,Y633,NDays&amp;"D")</f>
        <v>43364</v>
      </c>
      <c r="AA633" s="173">
        <v>7.8385915226469958E-3</v>
      </c>
      <c r="AB633" s="182">
        <v>7.1679226613152736E-3</v>
      </c>
    </row>
    <row r="634" spans="24:28" x14ac:dyDescent="0.2">
      <c r="X634" s="186" t="str">
        <f t="shared" si="43"/>
        <v>1w</v>
      </c>
      <c r="Y634" s="174">
        <f>_xll.qlCalendarAdvance(Calendar,Y633,X634,"f",FALSE)</f>
        <v>43369</v>
      </c>
      <c r="Z634" s="198">
        <f>_xll.qlCalendarAdvance(Calendar,Y634,NDays&amp;"D")</f>
        <v>43371</v>
      </c>
      <c r="AA634" s="173">
        <v>7.893997176418862E-3</v>
      </c>
      <c r="AB634" s="182">
        <v>7.2191288759437811E-3</v>
      </c>
    </row>
    <row r="635" spans="24:28" x14ac:dyDescent="0.2">
      <c r="X635" s="186" t="str">
        <f t="shared" si="43"/>
        <v>1w</v>
      </c>
      <c r="Y635" s="174">
        <f>_xll.qlCalendarAdvance(Calendar,Y634,X635,"f",FALSE)</f>
        <v>43376</v>
      </c>
      <c r="Z635" s="198">
        <f>_xll.qlCalendarAdvance(Calendar,Y635,NDays&amp;"D")</f>
        <v>43378</v>
      </c>
      <c r="AA635" s="173">
        <v>7.9456228040220497E-3</v>
      </c>
      <c r="AB635" s="182">
        <v>7.2704606976436992E-3</v>
      </c>
    </row>
    <row r="636" spans="24:28" x14ac:dyDescent="0.2">
      <c r="X636" s="186" t="str">
        <f t="shared" si="43"/>
        <v>1w</v>
      </c>
      <c r="Y636" s="174">
        <f>_xll.qlCalendarAdvance(Calendar,Y635,X636,"f",FALSE)</f>
        <v>43383</v>
      </c>
      <c r="Z636" s="198">
        <f>_xll.qlCalendarAdvance(Calendar,Y636,NDays&amp;"D")</f>
        <v>43385</v>
      </c>
      <c r="AA636" s="173">
        <v>7.9972281243542078E-3</v>
      </c>
      <c r="AB636" s="182">
        <v>7.3219181265482547E-3</v>
      </c>
    </row>
    <row r="637" spans="24:28" x14ac:dyDescent="0.2">
      <c r="X637" s="186" t="str">
        <f t="shared" si="43"/>
        <v>1w</v>
      </c>
      <c r="Y637" s="174">
        <f>_xll.qlCalendarAdvance(Calendar,Y636,X637,"f",FALSE)</f>
        <v>43390</v>
      </c>
      <c r="Z637" s="198">
        <f>_xll.qlCalendarAdvance(Calendar,Y637,NDays&amp;"D")</f>
        <v>43392</v>
      </c>
      <c r="AA637" s="173">
        <v>8.063837401627626E-3</v>
      </c>
      <c r="AB637" s="182">
        <v>7.3735011628173197E-3</v>
      </c>
    </row>
    <row r="638" spans="24:28" x14ac:dyDescent="0.2">
      <c r="X638" s="186" t="str">
        <f t="shared" si="43"/>
        <v>1w</v>
      </c>
      <c r="Y638" s="174">
        <f>_xll.qlCalendarAdvance(Calendar,Y637,X638,"f",FALSE)</f>
        <v>43397</v>
      </c>
      <c r="Z638" s="198">
        <f>_xll.qlCalendarAdvance(Calendar,Y638,NDays&amp;"D")</f>
        <v>43399</v>
      </c>
      <c r="AA638" s="173">
        <v>8.1003504406689311E-3</v>
      </c>
      <c r="AB638" s="182">
        <v>7.4252098066640571E-3</v>
      </c>
    </row>
    <row r="639" spans="24:28" x14ac:dyDescent="0.2">
      <c r="X639" s="186" t="str">
        <f t="shared" si="43"/>
        <v>1w</v>
      </c>
      <c r="Y639" s="174">
        <f>_xll.qlCalendarAdvance(Calendar,Y638,X639,"f",FALSE)</f>
        <v>43404</v>
      </c>
      <c r="Z639" s="198">
        <f>_xll.qlCalendarAdvance(Calendar,Y639,NDays&amp;"D")</f>
        <v>43406</v>
      </c>
      <c r="AA639" s="173">
        <v>8.1481003360380187E-3</v>
      </c>
      <c r="AB639" s="182">
        <v>7.4770440581950481E-3</v>
      </c>
    </row>
    <row r="640" spans="24:28" x14ac:dyDescent="0.2">
      <c r="X640" s="186" t="str">
        <f t="shared" si="43"/>
        <v>1w</v>
      </c>
      <c r="Y640" s="174">
        <f>_xll.qlCalendarAdvance(Calendar,Y639,X640,"f",FALSE)</f>
        <v>43411</v>
      </c>
      <c r="Z640" s="198">
        <f>_xll.qlCalendarAdvance(Calendar,Y640,NDays&amp;"D")</f>
        <v>43413</v>
      </c>
      <c r="AA640" s="173">
        <v>8.1995585804522965E-3</v>
      </c>
      <c r="AB640" s="182">
        <v>7.5289478144480171E-3</v>
      </c>
    </row>
    <row r="641" spans="24:28" x14ac:dyDescent="0.2">
      <c r="X641" s="186" t="str">
        <f t="shared" si="43"/>
        <v>1w</v>
      </c>
      <c r="Y641" s="174">
        <f>_xll.qlCalendarAdvance(Calendar,Y640,X641,"f",FALSE)</f>
        <v>43418</v>
      </c>
      <c r="Z641" s="198">
        <f>_xll.qlCalendarAdvance(Calendar,Y641,NDays&amp;"D")</f>
        <v>43420</v>
      </c>
      <c r="AA641" s="173">
        <v>8.250966256714478E-3</v>
      </c>
      <c r="AB641" s="182">
        <v>7.5808052495673905E-3</v>
      </c>
    </row>
    <row r="642" spans="24:28" x14ac:dyDescent="0.2">
      <c r="X642" s="186" t="str">
        <f t="shared" si="43"/>
        <v>1w</v>
      </c>
      <c r="Y642" s="174">
        <f>_xll.qlCalendarAdvance(Calendar,Y641,X642,"f",FALSE)</f>
        <v>43425</v>
      </c>
      <c r="Z642" s="198">
        <f>_xll.qlCalendarAdvance(Calendar,Y642,NDays&amp;"D")</f>
        <v>43427</v>
      </c>
      <c r="AA642" s="173">
        <v>8.3023232704925055E-3</v>
      </c>
      <c r="AB642" s="182">
        <v>7.6326109341628978E-3</v>
      </c>
    </row>
    <row r="643" spans="24:28" x14ac:dyDescent="0.2">
      <c r="X643" s="186" t="str">
        <f t="shared" si="43"/>
        <v>1w</v>
      </c>
      <c r="Y643" s="174">
        <f>_xll.qlCalendarAdvance(Calendar,Y642,X643,"f",FALSE)</f>
        <v>43432</v>
      </c>
      <c r="Z643" s="198">
        <f>_xll.qlCalendarAdvance(Calendar,Y643,NDays&amp;"D")</f>
        <v>43434</v>
      </c>
      <c r="AA643" s="173">
        <v>8.3573732417854974E-3</v>
      </c>
      <c r="AB643" s="182">
        <v>7.6843648681546028E-3</v>
      </c>
    </row>
    <row r="644" spans="24:28" x14ac:dyDescent="0.2">
      <c r="X644" s="186" t="str">
        <f t="shared" si="43"/>
        <v>1w</v>
      </c>
      <c r="Y644" s="174">
        <f>_xll.qlCalendarAdvance(Calendar,Y643,X644,"f",FALSE)</f>
        <v>43439</v>
      </c>
      <c r="Z644" s="198">
        <f>_xll.qlCalendarAdvance(Calendar,Y644,NDays&amp;"D")</f>
        <v>43441</v>
      </c>
      <c r="AA644" s="173">
        <v>8.4086264897424452E-3</v>
      </c>
      <c r="AB644" s="182">
        <v>7.7360670514625696E-3</v>
      </c>
    </row>
    <row r="645" spans="24:28" x14ac:dyDescent="0.2">
      <c r="X645" s="186" t="str">
        <f t="shared" si="43"/>
        <v>1w</v>
      </c>
      <c r="Y645" s="174">
        <f>_xll.qlCalendarAdvance(Calendar,Y644,X645,"f",FALSE)</f>
        <v>43446</v>
      </c>
      <c r="Z645" s="198">
        <f>_xll.qlCalendarAdvance(Calendar,Y645,NDays&amp;"D")</f>
        <v>43448</v>
      </c>
      <c r="AA645" s="173">
        <v>8.4598290690933789E-3</v>
      </c>
      <c r="AB645" s="182">
        <v>7.7877174840601526E-3</v>
      </c>
    </row>
    <row r="646" spans="24:28" x14ac:dyDescent="0.2">
      <c r="X646" s="186" t="str">
        <f t="shared" si="43"/>
        <v>1w</v>
      </c>
      <c r="Y646" s="174">
        <f>_xll.qlCalendarAdvance(Calendar,Y645,X646,"f",FALSE)</f>
        <v>43453</v>
      </c>
      <c r="Z646" s="198">
        <f>_xll.qlCalendarAdvance(Calendar,Y646,NDays&amp;"D")</f>
        <v>43455</v>
      </c>
      <c r="AA646" s="173">
        <v>8.5109809758511599E-3</v>
      </c>
      <c r="AB646" s="182">
        <v>7.8393161658940613E-3</v>
      </c>
    </row>
    <row r="647" spans="24:28" x14ac:dyDescent="0.2">
      <c r="X647" s="186" t="str">
        <f t="shared" si="43"/>
        <v>1w</v>
      </c>
      <c r="Y647" s="174">
        <f>_xll.qlCalendarAdvance(Calendar,Y646,X647,"f",FALSE)</f>
        <v>43461</v>
      </c>
      <c r="Z647" s="198">
        <f>_xll.qlCalendarAdvance(Calendar,Y647,NDays&amp;"D")</f>
        <v>43465</v>
      </c>
      <c r="AA647" s="173">
        <v>8.5727679671577239E-3</v>
      </c>
      <c r="AB647" s="182">
        <v>7.9091735121217255E-3</v>
      </c>
    </row>
    <row r="648" spans="24:28" x14ac:dyDescent="0.2">
      <c r="X648" s="186" t="str">
        <f t="shared" si="43"/>
        <v>1w</v>
      </c>
      <c r="Y648" s="174">
        <f>_xll.qlCalendarAdvance(Calendar,Y647,X648,"f",FALSE)</f>
        <v>43468</v>
      </c>
      <c r="Z648" s="198">
        <f>_xll.qlCalendarAdvance(Calendar,Y648,NDays&amp;"D")</f>
        <v>43472</v>
      </c>
      <c r="AA648" s="173">
        <v>8.634996047205315E-3</v>
      </c>
      <c r="AB648" s="182">
        <v>7.9568861641909905E-3</v>
      </c>
    </row>
    <row r="649" spans="24:28" x14ac:dyDescent="0.2">
      <c r="X649" s="186" t="str">
        <f t="shared" si="43"/>
        <v>1w</v>
      </c>
      <c r="Y649" s="174">
        <f>_xll.qlCalendarAdvance(Calendar,Y648,X649,"f",FALSE)</f>
        <v>43475</v>
      </c>
      <c r="Z649" s="198">
        <f>_xll.qlCalendarAdvance(Calendar,Y649,NDays&amp;"D")</f>
        <v>43479</v>
      </c>
      <c r="AA649" s="173">
        <v>8.68597418914825E-3</v>
      </c>
      <c r="AB649" s="182">
        <v>8.0083125265595356E-3</v>
      </c>
    </row>
    <row r="650" spans="24:28" x14ac:dyDescent="0.2">
      <c r="X650" s="186" t="str">
        <f t="shared" si="43"/>
        <v>1w</v>
      </c>
      <c r="Y650" s="174">
        <f>_xll.qlCalendarAdvance(Calendar,Y649,X650,"f",FALSE)</f>
        <v>43482</v>
      </c>
      <c r="Z650" s="198">
        <f>_xll.qlCalendarAdvance(Calendar,Y650,NDays&amp;"D")</f>
        <v>43486</v>
      </c>
      <c r="AA650" s="173">
        <v>8.7369016408923323E-3</v>
      </c>
      <c r="AB650" s="182">
        <v>8.0596871254545732E-3</v>
      </c>
    </row>
    <row r="651" spans="24:28" x14ac:dyDescent="0.2">
      <c r="X651" s="186" t="str">
        <f t="shared" si="43"/>
        <v>1w</v>
      </c>
      <c r="Y651" s="174">
        <f>_xll.qlCalendarAdvance(Calendar,Y650,X651,"f",FALSE)</f>
        <v>43489</v>
      </c>
      <c r="Z651" s="198">
        <f>_xll.qlCalendarAdvance(Calendar,Y651,NDays&amp;"D")</f>
        <v>43493</v>
      </c>
      <c r="AA651" s="173">
        <v>8.7877783984706276E-3</v>
      </c>
      <c r="AB651" s="182">
        <v>8.1110099607961672E-3</v>
      </c>
    </row>
    <row r="652" spans="24:28" x14ac:dyDescent="0.2">
      <c r="X652" s="186" t="str">
        <f t="shared" si="43"/>
        <v>1w</v>
      </c>
      <c r="Y652" s="174">
        <f>_xll.qlCalendarAdvance(Calendar,Y651,X652,"f",FALSE)</f>
        <v>43496</v>
      </c>
      <c r="Z652" s="198">
        <f>_xll.qlCalendarAdvance(Calendar,Y652,NDays&amp;"D")</f>
        <v>43500</v>
      </c>
      <c r="AA652" s="173">
        <v>8.8386044579232253E-3</v>
      </c>
      <c r="AB652" s="182">
        <v>8.1622810327441897E-3</v>
      </c>
    </row>
    <row r="653" spans="24:28" x14ac:dyDescent="0.2">
      <c r="X653" s="186" t="str">
        <f t="shared" si="43"/>
        <v>1w</v>
      </c>
      <c r="Y653" s="174">
        <f>_xll.qlCalendarAdvance(Calendar,Y652,X653,"f",FALSE)</f>
        <v>43503</v>
      </c>
      <c r="Z653" s="198">
        <f>_xll.qlCalendarAdvance(Calendar,Y653,NDays&amp;"D")</f>
        <v>43507</v>
      </c>
      <c r="AA653" s="173">
        <v>8.8893798152910944E-3</v>
      </c>
      <c r="AB653" s="182">
        <v>8.2135003410588325E-3</v>
      </c>
    </row>
    <row r="654" spans="24:28" x14ac:dyDescent="0.2">
      <c r="X654" s="186" t="str">
        <f t="shared" si="43"/>
        <v>1w</v>
      </c>
      <c r="Y654" s="174">
        <f>_xll.qlCalendarAdvance(Calendar,Y653,X654,"f",FALSE)</f>
        <v>43510</v>
      </c>
      <c r="Z654" s="198">
        <f>_xll.qlCalendarAdvance(Calendar,Y654,NDays&amp;"D")</f>
        <v>43514</v>
      </c>
      <c r="AA654" s="173">
        <v>8.9401044666222312E-3</v>
      </c>
      <c r="AB654" s="182">
        <v>8.2646678858200318E-3</v>
      </c>
    </row>
    <row r="655" spans="24:28" x14ac:dyDescent="0.2">
      <c r="X655" s="186" t="str">
        <f t="shared" si="43"/>
        <v>1w</v>
      </c>
      <c r="Y655" s="174">
        <f>_xll.qlCalendarAdvance(Calendar,Y654,X655,"f",FALSE)</f>
        <v>43517</v>
      </c>
      <c r="Z655" s="198">
        <f>_xll.qlCalendarAdvance(Calendar,Y655,NDays&amp;"D")</f>
        <v>43521</v>
      </c>
      <c r="AA655" s="173">
        <v>8.9907784079659506E-3</v>
      </c>
      <c r="AB655" s="182">
        <v>8.3157836671077234E-3</v>
      </c>
    </row>
    <row r="656" spans="24:28" x14ac:dyDescent="0.2">
      <c r="X656" s="186" t="str">
        <f t="shared" si="43"/>
        <v>1w</v>
      </c>
      <c r="Y656" s="174">
        <f>_xll.qlCalendarAdvance(Calendar,Y655,X656,"f",FALSE)</f>
        <v>43524</v>
      </c>
      <c r="Z656" s="198">
        <f>_xll.qlCalendarAdvance(Calendar,Y656,NDays&amp;"D")</f>
        <v>43528</v>
      </c>
      <c r="AA656" s="173">
        <v>9.0488241076819055E-3</v>
      </c>
      <c r="AB656" s="182">
        <v>8.3668476847620354E-3</v>
      </c>
    </row>
    <row r="657" spans="24:28" x14ac:dyDescent="0.2">
      <c r="X657" s="186" t="str">
        <f t="shared" si="43"/>
        <v>1w</v>
      </c>
      <c r="Y657" s="174">
        <f>_xll.qlCalendarAdvance(Calendar,Y656,X657,"f",FALSE)</f>
        <v>43531</v>
      </c>
      <c r="Z657" s="198">
        <f>_xll.qlCalendarAdvance(Calendar,Y657,NDays&amp;"D")</f>
        <v>43535</v>
      </c>
      <c r="AA657" s="173">
        <v>9.0993919139142655E-3</v>
      </c>
      <c r="AB657" s="182">
        <v>8.4178599387829678E-3</v>
      </c>
    </row>
    <row r="658" spans="24:28" x14ac:dyDescent="0.2">
      <c r="X658" s="186" t="str">
        <f t="shared" si="43"/>
        <v>1w</v>
      </c>
      <c r="Y658" s="174">
        <f>_xll.qlCalendarAdvance(Calendar,Y657,X658,"f",FALSE)</f>
        <v>43538</v>
      </c>
      <c r="Z658" s="198">
        <f>_xll.qlCalendarAdvance(Calendar,Y658,NDays&amp;"D")</f>
        <v>43542</v>
      </c>
      <c r="AA658" s="173">
        <v>9.1499090093402034E-3</v>
      </c>
      <c r="AB658" s="182">
        <v>8.4688204291705205E-3</v>
      </c>
    </row>
    <row r="659" spans="24:28" x14ac:dyDescent="0.2">
      <c r="X659" s="186" t="str">
        <f t="shared" si="43"/>
        <v>1w</v>
      </c>
      <c r="Y659" s="174">
        <f>_xll.qlCalendarAdvance(Calendar,Y658,X659,"f",FALSE)</f>
        <v>43545</v>
      </c>
      <c r="Z659" s="198">
        <f>_xll.qlCalendarAdvance(Calendar,Y659,NDays&amp;"D")</f>
        <v>43549</v>
      </c>
      <c r="AA659" s="173">
        <v>9.2003753899828969E-3</v>
      </c>
      <c r="AB659" s="182">
        <v>8.5197291560046295E-3</v>
      </c>
    </row>
    <row r="660" spans="24:28" x14ac:dyDescent="0.2">
      <c r="X660" s="186" t="str">
        <f t="shared" si="43"/>
        <v>1w</v>
      </c>
      <c r="Y660" s="174">
        <f>_xll.qlCalendarAdvance(Calendar,Y659,X660,"f",FALSE)</f>
        <v>43552</v>
      </c>
      <c r="Z660" s="198">
        <f>_xll.qlCalendarAdvance(Calendar,Y660,NDays&amp;"D")</f>
        <v>43556</v>
      </c>
      <c r="AA660" s="173">
        <v>9.2470892702168888E-3</v>
      </c>
      <c r="AB660" s="182">
        <v>8.5705861189655508E-3</v>
      </c>
    </row>
    <row r="661" spans="24:28" x14ac:dyDescent="0.2">
      <c r="X661" s="186" t="str">
        <f t="shared" ref="X661:X724" si="44">X660</f>
        <v>1w</v>
      </c>
      <c r="Y661" s="174">
        <f>_xll.qlCalendarAdvance(Calendar,Y660,X661,"f",FALSE)</f>
        <v>43559</v>
      </c>
      <c r="Z661" s="198">
        <f>_xll.qlCalendarAdvance(Calendar,Y661,NDays&amp;"D")</f>
        <v>43563</v>
      </c>
      <c r="AA661" s="173">
        <v>9.2974565387341276E-3</v>
      </c>
      <c r="AB661" s="182">
        <v>8.6213913183730284E-3</v>
      </c>
    </row>
    <row r="662" spans="24:28" x14ac:dyDescent="0.2">
      <c r="X662" s="186" t="str">
        <f t="shared" si="44"/>
        <v>1w</v>
      </c>
      <c r="Y662" s="174">
        <f>_xll.qlCalendarAdvance(Calendar,Y661,X662,"f",FALSE)</f>
        <v>43566</v>
      </c>
      <c r="Z662" s="198">
        <f>_xll.qlCalendarAdvance(Calendar,Y662,NDays&amp;"D")</f>
        <v>43570</v>
      </c>
      <c r="AA662" s="173">
        <v>9.3477730751447621E-3</v>
      </c>
      <c r="AB662" s="182">
        <v>8.6721447539872543E-3</v>
      </c>
    </row>
    <row r="663" spans="24:28" x14ac:dyDescent="0.2">
      <c r="X663" s="186" t="str">
        <f t="shared" si="44"/>
        <v>1w</v>
      </c>
      <c r="Y663" s="174">
        <f>_xll.qlCalendarAdvance(Calendar,Y662,X663,"f",FALSE)</f>
        <v>43573</v>
      </c>
      <c r="Z663" s="198">
        <f>_xll.qlCalendarAdvance(Calendar,Y663,NDays&amp;"D")</f>
        <v>43579</v>
      </c>
      <c r="AA663" s="173">
        <v>9.4123912133388908E-3</v>
      </c>
      <c r="AB663" s="182">
        <v>8.7373231102194637E-3</v>
      </c>
    </row>
    <row r="664" spans="24:28" x14ac:dyDescent="0.2">
      <c r="X664" s="186" t="str">
        <f t="shared" si="44"/>
        <v>1w</v>
      </c>
      <c r="Y664" s="174">
        <f>_xll.qlCalendarAdvance(Calendar,Y663,X664,"f",FALSE)</f>
        <v>43580</v>
      </c>
      <c r="Z664" s="198">
        <f>_xll.qlCalendarAdvance(Calendar,Y664,NDays&amp;"D")</f>
        <v>43584</v>
      </c>
      <c r="AA664" s="173">
        <v>9.4482539358905181E-3</v>
      </c>
      <c r="AB664" s="182">
        <v>8.7734963340757588E-3</v>
      </c>
    </row>
    <row r="665" spans="24:28" x14ac:dyDescent="0.2">
      <c r="X665" s="186" t="str">
        <f t="shared" si="44"/>
        <v>1w</v>
      </c>
      <c r="Y665" s="174">
        <f>_xll.qlCalendarAdvance(Calendar,Y664,X665,"f",FALSE)</f>
        <v>43587</v>
      </c>
      <c r="Z665" s="198">
        <f>_xll.qlCalendarAdvance(Calendar,Y665,NDays&amp;"D")</f>
        <v>43591</v>
      </c>
      <c r="AA665" s="173">
        <v>9.5021084980180352E-3</v>
      </c>
      <c r="AB665" s="182">
        <v>8.8240944783901654E-3</v>
      </c>
    </row>
    <row r="666" spans="24:28" x14ac:dyDescent="0.2">
      <c r="X666" s="186" t="str">
        <f t="shared" si="44"/>
        <v>1w</v>
      </c>
      <c r="Y666" s="174">
        <f>_xll.qlCalendarAdvance(Calendar,Y665,X666,"f",FALSE)</f>
        <v>43594</v>
      </c>
      <c r="Z666" s="198">
        <f>_xll.qlCalendarAdvance(Calendar,Y666,NDays&amp;"D")</f>
        <v>43598</v>
      </c>
      <c r="AA666" s="173">
        <v>9.5522248856604961E-3</v>
      </c>
      <c r="AB666" s="182">
        <v>8.8746408589113202E-3</v>
      </c>
    </row>
    <row r="667" spans="24:28" x14ac:dyDescent="0.2">
      <c r="X667" s="186" t="str">
        <f t="shared" si="44"/>
        <v>1w</v>
      </c>
      <c r="Y667" s="174">
        <f>_xll.qlCalendarAdvance(Calendar,Y666,X667,"f",FALSE)</f>
        <v>43601</v>
      </c>
      <c r="Z667" s="198">
        <f>_xll.qlCalendarAdvance(Calendar,Y667,NDays&amp;"D")</f>
        <v>43605</v>
      </c>
      <c r="AA667" s="173">
        <v>9.6023093229896904E-3</v>
      </c>
      <c r="AB667" s="182">
        <v>8.9251354755592871E-3</v>
      </c>
    </row>
    <row r="668" spans="24:28" x14ac:dyDescent="0.2">
      <c r="X668" s="186" t="str">
        <f t="shared" si="44"/>
        <v>1w</v>
      </c>
      <c r="Y668" s="174">
        <f>_xll.qlCalendarAdvance(Calendar,Y667,X668,"f",FALSE)</f>
        <v>43608</v>
      </c>
      <c r="Z668" s="198">
        <f>_xll.qlCalendarAdvance(Calendar,Y668,NDays&amp;"D")</f>
        <v>43612</v>
      </c>
      <c r="AA668" s="173">
        <v>9.6523764268881089E-3</v>
      </c>
      <c r="AB668" s="182">
        <v>8.9755783284140023E-3</v>
      </c>
    </row>
    <row r="669" spans="24:28" x14ac:dyDescent="0.2">
      <c r="X669" s="186" t="str">
        <f t="shared" si="44"/>
        <v>1w</v>
      </c>
      <c r="Y669" s="174">
        <f>_xll.qlCalendarAdvance(Calendar,Y668,X669,"f",FALSE)</f>
        <v>43615</v>
      </c>
      <c r="Z669" s="198">
        <f>_xll.qlCalendarAdvance(Calendar,Y669,NDays&amp;"D")</f>
        <v>43619</v>
      </c>
      <c r="AA669" s="173">
        <v>9.6987421985946665E-3</v>
      </c>
      <c r="AB669" s="182">
        <v>9.0259694173955296E-3</v>
      </c>
    </row>
    <row r="670" spans="24:28" x14ac:dyDescent="0.2">
      <c r="X670" s="186" t="str">
        <f t="shared" si="44"/>
        <v>1w</v>
      </c>
      <c r="Y670" s="174">
        <f>_xll.qlCalendarAdvance(Calendar,Y669,X670,"f",FALSE)</f>
        <v>43622</v>
      </c>
      <c r="Z670" s="198">
        <f>_xll.qlCalendarAdvance(Calendar,Y670,NDays&amp;"D")</f>
        <v>43626</v>
      </c>
      <c r="AA670" s="173">
        <v>9.7488117867401865E-3</v>
      </c>
      <c r="AB670" s="182">
        <v>9.0763087425038691E-3</v>
      </c>
    </row>
    <row r="671" spans="24:28" x14ac:dyDescent="0.2">
      <c r="X671" s="186" t="str">
        <f t="shared" si="44"/>
        <v>1w</v>
      </c>
      <c r="Y671" s="174">
        <f>_xll.qlCalendarAdvance(Calendar,Y670,X671,"f",FALSE)</f>
        <v>43629</v>
      </c>
      <c r="Z671" s="198">
        <f>_xll.qlCalendarAdvance(Calendar,Y671,NDays&amp;"D")</f>
        <v>43633</v>
      </c>
      <c r="AA671" s="173">
        <v>9.7989062153633569E-3</v>
      </c>
      <c r="AB671" s="182">
        <v>9.1265963036590847E-3</v>
      </c>
    </row>
    <row r="672" spans="24:28" x14ac:dyDescent="0.2">
      <c r="X672" s="186" t="str">
        <f t="shared" si="44"/>
        <v>1w</v>
      </c>
      <c r="Y672" s="174">
        <f>_xll.qlCalendarAdvance(Calendar,Y671,X672,"f",FALSE)</f>
        <v>43636</v>
      </c>
      <c r="Z672" s="198">
        <f>_xll.qlCalendarAdvance(Calendar,Y672,NDays&amp;"D")</f>
        <v>43640</v>
      </c>
      <c r="AA672" s="173">
        <v>9.8490401866359028E-3</v>
      </c>
      <c r="AB672" s="182">
        <v>9.1768321008611764E-3</v>
      </c>
    </row>
    <row r="673" spans="24:28" x14ac:dyDescent="0.2">
      <c r="X673" s="186" t="str">
        <f t="shared" si="44"/>
        <v>1w</v>
      </c>
      <c r="Y673" s="174">
        <f>_xll.qlCalendarAdvance(Calendar,Y672,X673,"f",FALSE)</f>
        <v>43643</v>
      </c>
      <c r="Z673" s="198">
        <f>_xll.qlCalendarAdvance(Calendar,Y673,NDays&amp;"D")</f>
        <v>43647</v>
      </c>
      <c r="AA673" s="173">
        <v>9.9067005036548861E-3</v>
      </c>
      <c r="AB673" s="182">
        <v>9.2270161340302081E-3</v>
      </c>
    </row>
    <row r="674" spans="24:28" x14ac:dyDescent="0.2">
      <c r="X674" s="186" t="str">
        <f t="shared" si="44"/>
        <v>1w</v>
      </c>
      <c r="Y674" s="174">
        <f>_xll.qlCalendarAdvance(Calendar,Y673,X674,"f",FALSE)</f>
        <v>43650</v>
      </c>
      <c r="Z674" s="198">
        <f>_xll.qlCalendarAdvance(Calendar,Y674,NDays&amp;"D")</f>
        <v>43654</v>
      </c>
      <c r="AA674" s="173">
        <v>9.9532337814539403E-3</v>
      </c>
      <c r="AB674" s="182">
        <v>9.2771484033260521E-3</v>
      </c>
    </row>
    <row r="675" spans="24:28" x14ac:dyDescent="0.2">
      <c r="X675" s="186" t="str">
        <f t="shared" si="44"/>
        <v>1w</v>
      </c>
      <c r="Y675" s="174">
        <f>_xll.qlCalendarAdvance(Calendar,Y674,X675,"f",FALSE)</f>
        <v>43657</v>
      </c>
      <c r="Z675" s="198">
        <f>_xll.qlCalendarAdvance(Calendar,Y675,NDays&amp;"D")</f>
        <v>43661</v>
      </c>
      <c r="AA675" s="173">
        <v>1.0003588949278549E-2</v>
      </c>
      <c r="AB675" s="182">
        <v>9.327228908588836E-3</v>
      </c>
    </row>
    <row r="676" spans="24:28" x14ac:dyDescent="0.2">
      <c r="X676" s="186" t="str">
        <f t="shared" si="44"/>
        <v>1w</v>
      </c>
      <c r="Y676" s="174">
        <f>_xll.qlCalendarAdvance(Calendar,Y675,X676,"f",FALSE)</f>
        <v>43664</v>
      </c>
      <c r="Z676" s="198">
        <f>_xll.qlCalendarAdvance(Calendar,Y676,NDays&amp;"D")</f>
        <v>43668</v>
      </c>
      <c r="AA676" s="173">
        <v>1.0054043772452781E-2</v>
      </c>
      <c r="AB676" s="182">
        <v>9.37725764981856E-3</v>
      </c>
    </row>
    <row r="677" spans="24:28" x14ac:dyDescent="0.2">
      <c r="X677" s="186" t="str">
        <f t="shared" si="44"/>
        <v>1w</v>
      </c>
      <c r="Y677" s="174">
        <f>_xll.qlCalendarAdvance(Calendar,Y676,X677,"f",FALSE)</f>
        <v>43671</v>
      </c>
      <c r="Z677" s="198">
        <f>_xll.qlCalendarAdvance(Calendar,Y677,NDays&amp;"D")</f>
        <v>43675</v>
      </c>
      <c r="AA677" s="173">
        <v>1.0104612881334869E-2</v>
      </c>
      <c r="AB677" s="182">
        <v>9.4272346270152241E-3</v>
      </c>
    </row>
    <row r="678" spans="24:28" x14ac:dyDescent="0.2">
      <c r="X678" s="186" t="str">
        <f t="shared" si="44"/>
        <v>1w</v>
      </c>
      <c r="Y678" s="174">
        <f>_xll.qlCalendarAdvance(Calendar,Y677,X678,"f",FALSE)</f>
        <v>43678</v>
      </c>
      <c r="Z678" s="198">
        <f>_xll.qlCalendarAdvance(Calendar,Y678,NDays&amp;"D")</f>
        <v>43682</v>
      </c>
      <c r="AA678" s="173">
        <v>1.0155310907804431E-2</v>
      </c>
      <c r="AB678" s="182">
        <v>9.4771598400988921E-3</v>
      </c>
    </row>
    <row r="679" spans="24:28" x14ac:dyDescent="0.2">
      <c r="X679" s="186" t="str">
        <f t="shared" si="44"/>
        <v>1w</v>
      </c>
      <c r="Y679" s="174">
        <f>_xll.qlCalendarAdvance(Calendar,Y678,X679,"f",FALSE)</f>
        <v>43685</v>
      </c>
      <c r="Z679" s="198">
        <f>_xll.qlCalendarAdvance(Calendar,Y679,NDays&amp;"D")</f>
        <v>43689</v>
      </c>
      <c r="AA679" s="173">
        <v>1.0206152485272037E-2</v>
      </c>
      <c r="AB679" s="182">
        <v>9.5270332891495002E-3</v>
      </c>
    </row>
    <row r="680" spans="24:28" x14ac:dyDescent="0.2">
      <c r="X680" s="186" t="str">
        <f t="shared" si="44"/>
        <v>1w</v>
      </c>
      <c r="Y680" s="174">
        <f>_xll.qlCalendarAdvance(Calendar,Y679,X680,"f",FALSE)</f>
        <v>43692</v>
      </c>
      <c r="Z680" s="198">
        <f>_xll.qlCalendarAdvance(Calendar,Y680,NDays&amp;"D")</f>
        <v>43696</v>
      </c>
      <c r="AA680" s="173">
        <v>1.0257152248690071E-2</v>
      </c>
      <c r="AB680" s="182">
        <v>9.5768549740071762E-3</v>
      </c>
    </row>
    <row r="681" spans="24:28" x14ac:dyDescent="0.2">
      <c r="X681" s="186" t="str">
        <f t="shared" si="44"/>
        <v>1w</v>
      </c>
      <c r="Y681" s="174">
        <f>_xll.qlCalendarAdvance(Calendar,Y680,X681,"f",FALSE)</f>
        <v>43699</v>
      </c>
      <c r="Z681" s="198">
        <f>_xll.qlCalendarAdvance(Calendar,Y681,NDays&amp;"D")</f>
        <v>43703</v>
      </c>
      <c r="AA681" s="173">
        <v>1.0308324834565319E-2</v>
      </c>
      <c r="AB681" s="182">
        <v>9.6266248947518562E-3</v>
      </c>
    </row>
    <row r="682" spans="24:28" x14ac:dyDescent="0.2">
      <c r="X682" s="186" t="str">
        <f t="shared" si="44"/>
        <v>1w</v>
      </c>
      <c r="Y682" s="174">
        <f>_xll.qlCalendarAdvance(Calendar,Y681,X682,"f",FALSE)</f>
        <v>43706</v>
      </c>
      <c r="Z682" s="198">
        <f>_xll.qlCalendarAdvance(Calendar,Y682,NDays&amp;"D")</f>
        <v>43710</v>
      </c>
      <c r="AA682" s="173">
        <v>1.0351898091652151E-2</v>
      </c>
      <c r="AB682" s="182">
        <v>9.6763430513835402E-3</v>
      </c>
    </row>
    <row r="683" spans="24:28" x14ac:dyDescent="0.2">
      <c r="X683" s="186" t="str">
        <f t="shared" si="44"/>
        <v>1w</v>
      </c>
      <c r="Y683" s="174">
        <f>_xll.qlCalendarAdvance(Calendar,Y682,X683,"f",FALSE)</f>
        <v>43713</v>
      </c>
      <c r="Z683" s="198">
        <f>_xll.qlCalendarAdvance(Calendar,Y683,NDays&amp;"D")</f>
        <v>43717</v>
      </c>
      <c r="AA683" s="173">
        <v>1.0403415408604342E-2</v>
      </c>
      <c r="AB683" s="182">
        <v>9.7260094438222922E-3</v>
      </c>
    </row>
    <row r="684" spans="24:28" x14ac:dyDescent="0.2">
      <c r="X684" s="186" t="str">
        <f t="shared" si="44"/>
        <v>1w</v>
      </c>
      <c r="Y684" s="174">
        <f>_xll.qlCalendarAdvance(Calendar,Y683,X684,"f",FALSE)</f>
        <v>43720</v>
      </c>
      <c r="Z684" s="198">
        <f>_xll.qlCalendarAdvance(Calendar,Y684,NDays&amp;"D")</f>
        <v>43724</v>
      </c>
      <c r="AA684" s="173">
        <v>1.0455148151060781E-2</v>
      </c>
      <c r="AB684" s="182">
        <v>9.775624072068112E-3</v>
      </c>
    </row>
    <row r="685" spans="24:28" x14ac:dyDescent="0.2">
      <c r="X685" s="186" t="str">
        <f t="shared" si="44"/>
        <v>1w</v>
      </c>
      <c r="Y685" s="174">
        <f>_xll.qlCalendarAdvance(Calendar,Y684,X685,"f",FALSE)</f>
        <v>43727</v>
      </c>
      <c r="Z685" s="198">
        <f>_xll.qlCalendarAdvance(Calendar,Y685,NDays&amp;"D")</f>
        <v>43731</v>
      </c>
      <c r="AA685" s="173">
        <v>1.0507111121375975E-2</v>
      </c>
      <c r="AB685" s="182">
        <v>9.8251869361209998E-3</v>
      </c>
    </row>
    <row r="686" spans="24:28" x14ac:dyDescent="0.2">
      <c r="X686" s="186" t="str">
        <f t="shared" si="44"/>
        <v>1w</v>
      </c>
      <c r="Y686" s="174">
        <f>_xll.qlCalendarAdvance(Calendar,Y685,X686,"f",FALSE)</f>
        <v>43734</v>
      </c>
      <c r="Z686" s="198">
        <f>_xll.qlCalendarAdvance(Calendar,Y686,NDays&amp;"D")</f>
        <v>43738</v>
      </c>
      <c r="AA686" s="173">
        <v>1.056330456734072E-2</v>
      </c>
      <c r="AB686" s="182">
        <v>9.8746980358210834E-3</v>
      </c>
    </row>
    <row r="687" spans="24:28" x14ac:dyDescent="0.2">
      <c r="X687" s="186" t="str">
        <f t="shared" si="44"/>
        <v>1w</v>
      </c>
      <c r="Y687" s="174">
        <f>_xll.qlCalendarAdvance(Calendar,Y686,X687,"f",FALSE)</f>
        <v>43741</v>
      </c>
      <c r="Z687" s="198">
        <f>_xll.qlCalendarAdvance(Calendar,Y687,NDays&amp;"D")</f>
        <v>43745</v>
      </c>
      <c r="AA687" s="173">
        <v>1.0615796969280637E-2</v>
      </c>
      <c r="AB687" s="182">
        <v>9.9241573713282349E-3</v>
      </c>
    </row>
    <row r="688" spans="24:28" x14ac:dyDescent="0.2">
      <c r="X688" s="186" t="str">
        <f t="shared" si="44"/>
        <v>1w</v>
      </c>
      <c r="Y688" s="174">
        <f>_xll.qlCalendarAdvance(Calendar,Y687,X688,"f",FALSE)</f>
        <v>43748</v>
      </c>
      <c r="Z688" s="198">
        <f>_xll.qlCalendarAdvance(Calendar,Y688,NDays&amp;"D")</f>
        <v>43752</v>
      </c>
      <c r="AA688" s="173">
        <v>1.0668564356641218E-2</v>
      </c>
      <c r="AB688" s="182">
        <v>9.9735649426424544E-3</v>
      </c>
    </row>
    <row r="689" spans="24:28" x14ac:dyDescent="0.2">
      <c r="X689" s="186" t="str">
        <f t="shared" si="44"/>
        <v>1w</v>
      </c>
      <c r="Y689" s="174">
        <f>_xll.qlCalendarAdvance(Calendar,Y688,X689,"f",FALSE)</f>
        <v>43755</v>
      </c>
      <c r="Z689" s="198">
        <f>_xll.qlCalendarAdvance(Calendar,Y689,NDays&amp;"D")</f>
        <v>43759</v>
      </c>
      <c r="AA689" s="173">
        <v>1.0721621458192797E-2</v>
      </c>
      <c r="AB689" s="182">
        <v>1.0022920749523934E-2</v>
      </c>
    </row>
    <row r="690" spans="24:28" x14ac:dyDescent="0.2">
      <c r="X690" s="186" t="str">
        <f t="shared" si="44"/>
        <v>1w</v>
      </c>
      <c r="Y690" s="174">
        <f>_xll.qlCalendarAdvance(Calendar,Y689,X690,"f",FALSE)</f>
        <v>43762</v>
      </c>
      <c r="Z690" s="198">
        <f>_xll.qlCalendarAdvance(Calendar,Y690,NDays&amp;"D")</f>
        <v>43766</v>
      </c>
      <c r="AA690" s="173">
        <v>1.0774983004407516E-2</v>
      </c>
      <c r="AB690" s="182">
        <v>1.0072224792132545E-2</v>
      </c>
    </row>
    <row r="691" spans="24:28" x14ac:dyDescent="0.2">
      <c r="X691" s="186" t="str">
        <f t="shared" si="44"/>
        <v>1w</v>
      </c>
      <c r="Y691" s="174">
        <f>_xll.qlCalendarAdvance(Calendar,Y690,X691,"f",FALSE)</f>
        <v>43769</v>
      </c>
      <c r="Z691" s="198">
        <f>_xll.qlCalendarAdvance(Calendar,Y691,NDays&amp;"D")</f>
        <v>43773</v>
      </c>
      <c r="AA691" s="173">
        <v>1.0824552866853982E-2</v>
      </c>
      <c r="AB691" s="182">
        <v>1.0121478371027948E-2</v>
      </c>
    </row>
    <row r="692" spans="24:28" x14ac:dyDescent="0.2">
      <c r="X692" s="186" t="str">
        <f t="shared" si="44"/>
        <v>1w</v>
      </c>
      <c r="Y692" s="174">
        <f>_xll.qlCalendarAdvance(Calendar,Y691,X692,"f",FALSE)</f>
        <v>43776</v>
      </c>
      <c r="Z692" s="198">
        <f>_xll.qlCalendarAdvance(Calendar,Y692,NDays&amp;"D")</f>
        <v>43780</v>
      </c>
      <c r="AA692" s="173">
        <v>1.0878539571999E-2</v>
      </c>
      <c r="AB692" s="182">
        <v>1.0170897402295154E-2</v>
      </c>
    </row>
    <row r="693" spans="24:28" x14ac:dyDescent="0.2">
      <c r="X693" s="186" t="str">
        <f t="shared" si="44"/>
        <v>1w</v>
      </c>
      <c r="Y693" s="174">
        <f>_xll.qlCalendarAdvance(Calendar,Y692,X693,"f",FALSE)</f>
        <v>43783</v>
      </c>
      <c r="Z693" s="198">
        <f>_xll.qlCalendarAdvance(Calendar,Y693,NDays&amp;"D")</f>
        <v>43787</v>
      </c>
      <c r="AA693" s="173">
        <v>1.0932860194947316E-2</v>
      </c>
      <c r="AB693" s="182">
        <v>1.0220647074596911E-2</v>
      </c>
    </row>
    <row r="694" spans="24:28" x14ac:dyDescent="0.2">
      <c r="X694" s="186" t="str">
        <f t="shared" si="44"/>
        <v>1w</v>
      </c>
      <c r="Y694" s="174">
        <f>_xll.qlCalendarAdvance(Calendar,Y693,X694,"f",FALSE)</f>
        <v>43790</v>
      </c>
      <c r="Z694" s="198">
        <f>_xll.qlCalendarAdvance(Calendar,Y694,NDays&amp;"D")</f>
        <v>43794</v>
      </c>
      <c r="AA694" s="173">
        <v>1.0987514762979088E-2</v>
      </c>
      <c r="AB694" s="182">
        <v>1.0270727388252965E-2</v>
      </c>
    </row>
    <row r="695" spans="24:28" x14ac:dyDescent="0.2">
      <c r="X695" s="186" t="str">
        <f t="shared" si="44"/>
        <v>1w</v>
      </c>
      <c r="Y695" s="174">
        <f>_xll.qlCalendarAdvance(Calendar,Y694,X695,"f",FALSE)</f>
        <v>43797</v>
      </c>
      <c r="Z695" s="198">
        <f>_xll.qlCalendarAdvance(Calendar,Y695,NDays&amp;"D")</f>
        <v>43801</v>
      </c>
      <c r="AA695" s="173">
        <v>1.1046716195190716E-2</v>
      </c>
      <c r="AB695" s="182">
        <v>1.032113834334325E-2</v>
      </c>
    </row>
    <row r="696" spans="24:28" x14ac:dyDescent="0.2">
      <c r="X696" s="186" t="str">
        <f t="shared" si="44"/>
        <v>1w</v>
      </c>
      <c r="Y696" s="174">
        <f>_xll.qlCalendarAdvance(Calendar,Y695,X696,"f",FALSE)</f>
        <v>43804</v>
      </c>
      <c r="Z696" s="198">
        <f>_xll.qlCalendarAdvance(Calendar,Y696,NDays&amp;"D")</f>
        <v>43808</v>
      </c>
      <c r="AA696" s="173">
        <v>1.1102064294814638E-2</v>
      </c>
      <c r="AB696" s="182">
        <v>1.0371879939867767E-2</v>
      </c>
    </row>
    <row r="697" spans="24:28" x14ac:dyDescent="0.2">
      <c r="X697" s="186" t="str">
        <f t="shared" si="44"/>
        <v>1w</v>
      </c>
      <c r="Y697" s="174">
        <f>_xll.qlCalendarAdvance(Calendar,Y696,X697,"f",FALSE)</f>
        <v>43811</v>
      </c>
      <c r="Z697" s="198">
        <f>_xll.qlCalendarAdvance(Calendar,Y697,NDays&amp;"D")</f>
        <v>43815</v>
      </c>
      <c r="AA697" s="173">
        <v>1.1157746443162982E-2</v>
      </c>
      <c r="AB697" s="182">
        <v>1.0422952178146261E-2</v>
      </c>
    </row>
    <row r="698" spans="24:28" x14ac:dyDescent="0.2">
      <c r="X698" s="186" t="str">
        <f t="shared" si="44"/>
        <v>1w</v>
      </c>
      <c r="Y698" s="174">
        <f>_xll.qlCalendarAdvance(Calendar,Y697,X698,"f",FALSE)</f>
        <v>43818</v>
      </c>
      <c r="Z698" s="198">
        <f>_xll.qlCalendarAdvance(Calendar,Y698,NDays&amp;"D")</f>
        <v>43822</v>
      </c>
      <c r="AA698" s="173">
        <v>1.1213762668354891E-2</v>
      </c>
      <c r="AB698" s="182">
        <v>1.047435505817873E-2</v>
      </c>
    </row>
    <row r="699" spans="24:28" x14ac:dyDescent="0.2">
      <c r="X699" s="186" t="str">
        <f t="shared" si="44"/>
        <v>1w</v>
      </c>
      <c r="Y699" s="174">
        <f>_xll.qlCalendarAdvance(Calendar,Y698,X699,"f",FALSE)</f>
        <v>43826</v>
      </c>
      <c r="Z699" s="198">
        <f>_xll.qlCalendarAdvance(Calendar,Y699,NDays&amp;"D")</f>
        <v>43830</v>
      </c>
      <c r="AA699" s="173">
        <v>1.1273871406687537E-2</v>
      </c>
      <c r="AB699" s="182">
        <v>1.0537372408077061E-2</v>
      </c>
    </row>
    <row r="700" spans="24:28" x14ac:dyDescent="0.2">
      <c r="X700" s="186" t="str">
        <f t="shared" si="44"/>
        <v>1w</v>
      </c>
      <c r="Y700" s="174">
        <f>_xll.qlCalendarAdvance(Calendar,Y699,X700,"f",FALSE)</f>
        <v>43833</v>
      </c>
      <c r="Z700" s="198">
        <f>_xll.qlCalendarAdvance(Calendar,Y700,NDays&amp;"D")</f>
        <v>43837</v>
      </c>
      <c r="AA700" s="173">
        <v>1.1330577960155821E-2</v>
      </c>
      <c r="AB700" s="182">
        <v>1.0585617473379827E-2</v>
      </c>
    </row>
    <row r="701" spans="24:28" x14ac:dyDescent="0.2">
      <c r="X701" s="186" t="str">
        <f t="shared" si="44"/>
        <v>1w</v>
      </c>
      <c r="Y701" s="174">
        <f>_xll.qlCalendarAdvance(Calendar,Y700,X701,"f",FALSE)</f>
        <v>43840</v>
      </c>
      <c r="Z701" s="198">
        <f>_xll.qlCalendarAdvance(Calendar,Y701,NDays&amp;"D")</f>
        <v>43844</v>
      </c>
      <c r="AA701" s="173">
        <v>1.1387618658453275E-2</v>
      </c>
      <c r="AB701" s="182">
        <v>1.0638059514329612E-2</v>
      </c>
    </row>
    <row r="702" spans="24:28" x14ac:dyDescent="0.2">
      <c r="X702" s="186" t="str">
        <f t="shared" si="44"/>
        <v>1w</v>
      </c>
      <c r="Y702" s="174">
        <f>_xll.qlCalendarAdvance(Calendar,Y701,X702,"f",FALSE)</f>
        <v>43847</v>
      </c>
      <c r="Z702" s="198">
        <f>_xll.qlCalendarAdvance(Calendar,Y702,NDays&amp;"D")</f>
        <v>43851</v>
      </c>
      <c r="AA702" s="173">
        <v>1.1444993530230823E-2</v>
      </c>
      <c r="AB702" s="182">
        <v>1.0690832197752798E-2</v>
      </c>
    </row>
    <row r="703" spans="24:28" x14ac:dyDescent="0.2">
      <c r="X703" s="186" t="str">
        <f t="shared" si="44"/>
        <v>1w</v>
      </c>
      <c r="Y703" s="174">
        <f>_xll.qlCalendarAdvance(Calendar,Y702,X703,"f",FALSE)</f>
        <v>43854</v>
      </c>
      <c r="Z703" s="198">
        <f>_xll.qlCalendarAdvance(Calendar,Y703,NDays&amp;"D")</f>
        <v>43858</v>
      </c>
      <c r="AA703" s="173">
        <v>1.1502702604305859E-2</v>
      </c>
      <c r="AB703" s="182">
        <v>1.0743935523809256E-2</v>
      </c>
    </row>
    <row r="704" spans="24:28" x14ac:dyDescent="0.2">
      <c r="X704" s="186" t="str">
        <f t="shared" si="44"/>
        <v>1w</v>
      </c>
      <c r="Y704" s="174">
        <f>_xll.qlCalendarAdvance(Calendar,Y703,X704,"f",FALSE)</f>
        <v>43861</v>
      </c>
      <c r="Z704" s="198">
        <f>_xll.qlCalendarAdvance(Calendar,Y704,NDays&amp;"D")</f>
        <v>43865</v>
      </c>
      <c r="AA704" s="173">
        <v>1.1560745909665739E-2</v>
      </c>
      <c r="AB704" s="182">
        <v>1.0797369492498987E-2</v>
      </c>
    </row>
    <row r="705" spans="24:28" x14ac:dyDescent="0.2">
      <c r="X705" s="186" t="str">
        <f t="shared" si="44"/>
        <v>1w</v>
      </c>
      <c r="Y705" s="174">
        <f>_xll.qlCalendarAdvance(Calendar,Y704,X705,"f",FALSE)</f>
        <v>43868</v>
      </c>
      <c r="Z705" s="198">
        <f>_xll.qlCalendarAdvance(Calendar,Y705,NDays&amp;"D")</f>
        <v>43872</v>
      </c>
      <c r="AA705" s="173">
        <v>1.1619123475464727E-2</v>
      </c>
      <c r="AB705" s="182">
        <v>1.0851134104061799E-2</v>
      </c>
    </row>
    <row r="706" spans="24:28" x14ac:dyDescent="0.2">
      <c r="X706" s="186" t="str">
        <f t="shared" si="44"/>
        <v>1w</v>
      </c>
      <c r="Y706" s="174">
        <f>_xll.qlCalendarAdvance(Calendar,Y705,X706,"f",FALSE)</f>
        <v>43875</v>
      </c>
      <c r="Z706" s="198">
        <f>_xll.qlCalendarAdvance(Calendar,Y706,NDays&amp;"D")</f>
        <v>43879</v>
      </c>
      <c r="AA706" s="173">
        <v>1.1677835331027059E-2</v>
      </c>
      <c r="AB706" s="182">
        <v>1.0905229358577628E-2</v>
      </c>
    </row>
    <row r="707" spans="24:28" x14ac:dyDescent="0.2">
      <c r="X707" s="186" t="str">
        <f t="shared" si="44"/>
        <v>1w</v>
      </c>
      <c r="Y707" s="174">
        <f>_xll.qlCalendarAdvance(Calendar,Y706,X707,"f",FALSE)</f>
        <v>43882</v>
      </c>
      <c r="Z707" s="198">
        <f>_xll.qlCalendarAdvance(Calendar,Y707,NDays&amp;"D")</f>
        <v>43886</v>
      </c>
      <c r="AA707" s="173">
        <v>1.1736881505844309E-2</v>
      </c>
      <c r="AB707" s="182">
        <v>1.0959655256286283E-2</v>
      </c>
    </row>
    <row r="708" spans="24:28" x14ac:dyDescent="0.2">
      <c r="X708" s="186" t="str">
        <f t="shared" si="44"/>
        <v>1w</v>
      </c>
      <c r="Y708" s="174">
        <f>_xll.qlCalendarAdvance(Calendar,Y707,X708,"f",FALSE)</f>
        <v>43889</v>
      </c>
      <c r="Z708" s="198">
        <f>_xll.qlCalendarAdvance(Calendar,Y708,NDays&amp;"D")</f>
        <v>43893</v>
      </c>
      <c r="AA708" s="173">
        <v>1.180536562732677E-2</v>
      </c>
      <c r="AB708" s="182">
        <v>1.1014411797267698E-2</v>
      </c>
    </row>
    <row r="709" spans="24:28" x14ac:dyDescent="0.2">
      <c r="X709" s="186" t="str">
        <f t="shared" si="44"/>
        <v>1w</v>
      </c>
      <c r="Y709" s="174">
        <f>_xll.qlCalendarAdvance(Calendar,Y708,X709,"f",FALSE)</f>
        <v>43896</v>
      </c>
      <c r="Z709" s="198">
        <f>_xll.qlCalendarAdvance(Calendar,Y709,NDays&amp;"D")</f>
        <v>43900</v>
      </c>
      <c r="AA709" s="173">
        <v>1.18651322246293E-2</v>
      </c>
      <c r="AB709" s="182">
        <v>1.1069498981761683E-2</v>
      </c>
    </row>
    <row r="710" spans="24:28" x14ac:dyDescent="0.2">
      <c r="X710" s="186" t="str">
        <f t="shared" si="44"/>
        <v>1w</v>
      </c>
      <c r="Y710" s="174">
        <f>_xll.qlCalendarAdvance(Calendar,Y709,X710,"f",FALSE)</f>
        <v>43903</v>
      </c>
      <c r="Z710" s="198">
        <f>_xll.qlCalendarAdvance(Calendar,Y710,NDays&amp;"D")</f>
        <v>43907</v>
      </c>
      <c r="AA710" s="173">
        <v>1.1925233276822567E-2</v>
      </c>
      <c r="AB710" s="182">
        <v>1.1124916809848173E-2</v>
      </c>
    </row>
    <row r="711" spans="24:28" x14ac:dyDescent="0.2">
      <c r="X711" s="186" t="str">
        <f t="shared" si="44"/>
        <v>1w</v>
      </c>
      <c r="Y711" s="174">
        <f>_xll.qlCalendarAdvance(Calendar,Y710,X711,"f",FALSE)</f>
        <v>43910</v>
      </c>
      <c r="Z711" s="198">
        <f>_xll.qlCalendarAdvance(Calendar,Y711,NDays&amp;"D")</f>
        <v>43914</v>
      </c>
      <c r="AA711" s="173">
        <v>1.1985668814429983E-2</v>
      </c>
      <c r="AB711" s="182">
        <v>1.1180665281687041E-2</v>
      </c>
    </row>
    <row r="712" spans="24:28" x14ac:dyDescent="0.2">
      <c r="X712" s="186" t="str">
        <f t="shared" si="44"/>
        <v>1w</v>
      </c>
      <c r="Y712" s="174">
        <f>_xll.qlCalendarAdvance(Calendar,Y711,X712,"f",FALSE)</f>
        <v>43917</v>
      </c>
      <c r="Z712" s="198">
        <f>_xll.qlCalendarAdvance(Calendar,Y712,NDays&amp;"D")</f>
        <v>43921</v>
      </c>
      <c r="AA712" s="173">
        <v>1.2041782253216605E-2</v>
      </c>
      <c r="AB712" s="182">
        <v>1.1236744397358223E-2</v>
      </c>
    </row>
    <row r="713" spans="24:28" x14ac:dyDescent="0.2">
      <c r="X713" s="186" t="str">
        <f t="shared" si="44"/>
        <v>1w</v>
      </c>
      <c r="Y713" s="174">
        <f>_xll.qlCalendarAdvance(Calendar,Y712,X713,"f",FALSE)</f>
        <v>43924</v>
      </c>
      <c r="Z713" s="198">
        <f>_xll.qlCalendarAdvance(Calendar,Y713,NDays&amp;"D")</f>
        <v>43928</v>
      </c>
      <c r="AA713" s="173">
        <v>1.2102860911448717E-2</v>
      </c>
      <c r="AB713" s="182">
        <v>1.1293154157181462E-2</v>
      </c>
    </row>
    <row r="714" spans="24:28" x14ac:dyDescent="0.2">
      <c r="X714" s="186" t="str">
        <f t="shared" si="44"/>
        <v>1w</v>
      </c>
      <c r="Y714" s="174">
        <f>_xll.qlCalendarAdvance(Calendar,Y713,X714,"f",FALSE)</f>
        <v>43935</v>
      </c>
      <c r="Z714" s="198">
        <f>_xll.qlCalendarAdvance(Calendar,Y714,NDays&amp;"D")</f>
        <v>43937</v>
      </c>
      <c r="AA714" s="173">
        <v>1.2181882209075626E-2</v>
      </c>
      <c r="AB714" s="182">
        <v>1.1366166835804492E-2</v>
      </c>
    </row>
    <row r="715" spans="24:28" x14ac:dyDescent="0.2">
      <c r="X715" s="186" t="str">
        <f t="shared" si="44"/>
        <v>1w</v>
      </c>
      <c r="Y715" s="174">
        <f>_xll.qlCalendarAdvance(Calendar,Y714,X715,"f",FALSE)</f>
        <v>43942</v>
      </c>
      <c r="Z715" s="198">
        <f>_xll.qlCalendarAdvance(Calendar,Y715,NDays&amp;"D")</f>
        <v>43944</v>
      </c>
      <c r="AA715" s="173">
        <v>1.2243725608237992E-2</v>
      </c>
      <c r="AB715" s="182">
        <v>1.142333235404358E-2</v>
      </c>
    </row>
    <row r="716" spans="24:28" x14ac:dyDescent="0.2">
      <c r="X716" s="186" t="str">
        <f t="shared" si="44"/>
        <v>1w</v>
      </c>
      <c r="Y716" s="174">
        <f>_xll.qlCalendarAdvance(Calendar,Y715,X716,"f",FALSE)</f>
        <v>43949</v>
      </c>
      <c r="Z716" s="198">
        <f>_xll.qlCalendarAdvance(Calendar,Y716,NDays&amp;"D")</f>
        <v>43951</v>
      </c>
      <c r="AA716" s="173">
        <v>1.2305903632763402E-2</v>
      </c>
      <c r="AB716" s="182">
        <v>1.149374675954995E-2</v>
      </c>
    </row>
    <row r="717" spans="24:28" x14ac:dyDescent="0.2">
      <c r="X717" s="186" t="str">
        <f t="shared" si="44"/>
        <v>1w</v>
      </c>
      <c r="Y717" s="174">
        <f>_xll.qlCalendarAdvance(Calendar,Y716,X717,"f",FALSE)</f>
        <v>43956</v>
      </c>
      <c r="Z717" s="198">
        <f>_xll.qlCalendarAdvance(Calendar,Y717,NDays&amp;"D")</f>
        <v>43958</v>
      </c>
      <c r="AA717" s="173">
        <v>1.2382804130869231E-2</v>
      </c>
      <c r="AB717" s="182">
        <v>1.153865532441678E-2</v>
      </c>
    </row>
    <row r="718" spans="24:28" x14ac:dyDescent="0.2">
      <c r="X718" s="186" t="str">
        <f t="shared" si="44"/>
        <v>1w</v>
      </c>
      <c r="Y718" s="174">
        <f>_xll.qlCalendarAdvance(Calendar,Y717,X718,"f",FALSE)</f>
        <v>43963</v>
      </c>
      <c r="Z718" s="198">
        <f>_xll.qlCalendarAdvance(Calendar,Y718,NDays&amp;"D")</f>
        <v>43965</v>
      </c>
      <c r="AA718" s="173">
        <v>1.2445711411499454E-2</v>
      </c>
      <c r="AB718" s="182">
        <v>1.1596812776870635E-2</v>
      </c>
    </row>
    <row r="719" spans="24:28" x14ac:dyDescent="0.2">
      <c r="X719" s="186" t="str">
        <f t="shared" si="44"/>
        <v>1w</v>
      </c>
      <c r="Y719" s="174">
        <f>_xll.qlCalendarAdvance(Calendar,Y718,X719,"f",FALSE)</f>
        <v>43970</v>
      </c>
      <c r="Z719" s="198">
        <f>_xll.qlCalendarAdvance(Calendar,Y719,NDays&amp;"D")</f>
        <v>43972</v>
      </c>
      <c r="AA719" s="173">
        <v>1.2508918157093041E-2</v>
      </c>
      <c r="AB719" s="182">
        <v>1.1655300874355845E-2</v>
      </c>
    </row>
    <row r="720" spans="24:28" x14ac:dyDescent="0.2">
      <c r="X720" s="186" t="str">
        <f t="shared" si="44"/>
        <v>1w</v>
      </c>
      <c r="Y720" s="174">
        <f>_xll.qlCalendarAdvance(Calendar,Y719,X720,"f",FALSE)</f>
        <v>43977</v>
      </c>
      <c r="Z720" s="198">
        <f>_xll.qlCalendarAdvance(Calendar,Y720,NDays&amp;"D")</f>
        <v>43979</v>
      </c>
      <c r="AA720" s="173">
        <v>1.2572405373065164E-2</v>
      </c>
      <c r="AB720" s="182">
        <v>1.1714119617112217E-2</v>
      </c>
    </row>
    <row r="721" spans="24:28" x14ac:dyDescent="0.2">
      <c r="X721" s="186" t="str">
        <f t="shared" si="44"/>
        <v>1w</v>
      </c>
      <c r="Y721" s="174">
        <f>_xll.qlCalendarAdvance(Calendar,Y720,X721,"f",FALSE)</f>
        <v>43984</v>
      </c>
      <c r="Z721" s="198">
        <f>_xll.qlCalendarAdvance(Calendar,Y721,NDays&amp;"D")</f>
        <v>43986</v>
      </c>
      <c r="AA721" s="173">
        <v>1.2621534368852902E-2</v>
      </c>
      <c r="AB721" s="182">
        <v>1.1773269005139753E-2</v>
      </c>
    </row>
    <row r="722" spans="24:28" x14ac:dyDescent="0.2">
      <c r="X722" s="186" t="str">
        <f t="shared" si="44"/>
        <v>1w</v>
      </c>
      <c r="Y722" s="174">
        <f>_xll.qlCalendarAdvance(Calendar,Y721,X722,"f",FALSE)</f>
        <v>43991</v>
      </c>
      <c r="Z722" s="198">
        <f>_xll.qlCalendarAdvance(Calendar,Y722,NDays&amp;"D")</f>
        <v>43993</v>
      </c>
      <c r="AA722" s="173">
        <v>1.2685485170343102E-2</v>
      </c>
      <c r="AB722" s="182">
        <v>1.1832749038838131E-2</v>
      </c>
    </row>
    <row r="723" spans="24:28" x14ac:dyDescent="0.2">
      <c r="X723" s="186" t="str">
        <f t="shared" si="44"/>
        <v>1w</v>
      </c>
      <c r="Y723" s="174">
        <f>_xll.qlCalendarAdvance(Calendar,Y722,X723,"f",FALSE)</f>
        <v>43998</v>
      </c>
      <c r="Z723" s="198">
        <f>_xll.qlCalendarAdvance(Calendar,Y723,NDays&amp;"D")</f>
        <v>44000</v>
      </c>
      <c r="AA723" s="173">
        <v>1.2749665842827674E-2</v>
      </c>
      <c r="AB723" s="182">
        <v>1.1892559718127416E-2</v>
      </c>
    </row>
    <row r="724" spans="24:28" x14ac:dyDescent="0.2">
      <c r="X724" s="186" t="str">
        <f t="shared" si="44"/>
        <v>1w</v>
      </c>
      <c r="Y724" s="174">
        <f>_xll.qlCalendarAdvance(Calendar,Y723,X724,"f",FALSE)</f>
        <v>44005</v>
      </c>
      <c r="Z724" s="198">
        <f>_xll.qlCalendarAdvance(Calendar,Y724,NDays&amp;"D")</f>
        <v>44007</v>
      </c>
      <c r="AA724" s="173">
        <v>1.2828778966110893E-2</v>
      </c>
      <c r="AB724" s="182">
        <v>1.1952701043407288E-2</v>
      </c>
    </row>
    <row r="725" spans="24:28" x14ac:dyDescent="0.2">
      <c r="X725" s="186" t="str">
        <f t="shared" ref="X725:X788" si="45">X724</f>
        <v>1w</v>
      </c>
      <c r="Y725" s="174">
        <f>_xll.qlCalendarAdvance(Calendar,Y724,X725,"f",FALSE)</f>
        <v>44012</v>
      </c>
      <c r="Z725" s="198">
        <f>_xll.qlCalendarAdvance(Calendar,Y725,NDays&amp;"D")</f>
        <v>44014</v>
      </c>
      <c r="AA725" s="173">
        <v>1.2893383531936947E-2</v>
      </c>
      <c r="AB725" s="182">
        <v>1.2013173014677747E-2</v>
      </c>
    </row>
    <row r="726" spans="24:28" x14ac:dyDescent="0.2">
      <c r="X726" s="186" t="str">
        <f t="shared" si="45"/>
        <v>1w</v>
      </c>
      <c r="Y726" s="174">
        <f>_xll.qlCalendarAdvance(Calendar,Y725,X726,"f",FALSE)</f>
        <v>44019</v>
      </c>
      <c r="Z726" s="198">
        <f>_xll.qlCalendarAdvance(Calendar,Y726,NDays&amp;"D")</f>
        <v>44021</v>
      </c>
      <c r="AA726" s="173">
        <v>1.2958154550349339E-2</v>
      </c>
      <c r="AB726" s="182">
        <v>1.2073975632098666E-2</v>
      </c>
    </row>
    <row r="727" spans="24:28" x14ac:dyDescent="0.2">
      <c r="X727" s="186" t="str">
        <f t="shared" si="45"/>
        <v>1w</v>
      </c>
      <c r="Y727" s="174">
        <f>_xll.qlCalendarAdvance(Calendar,Y726,X727,"f",FALSE)</f>
        <v>44026</v>
      </c>
      <c r="Z727" s="198">
        <f>_xll.qlCalendarAdvance(Calendar,Y727,NDays&amp;"D")</f>
        <v>44028</v>
      </c>
      <c r="AA727" s="173">
        <v>1.3023073009799173E-2</v>
      </c>
      <c r="AB727" s="182">
        <v>1.2135108895909852E-2</v>
      </c>
    </row>
    <row r="728" spans="24:28" x14ac:dyDescent="0.2">
      <c r="X728" s="186" t="str">
        <f t="shared" si="45"/>
        <v>1w</v>
      </c>
      <c r="Y728" s="174">
        <f>_xll.qlCalendarAdvance(Calendar,Y727,X728,"f",FALSE)</f>
        <v>44033</v>
      </c>
      <c r="Z728" s="198">
        <f>_xll.qlCalendarAdvance(Calendar,Y728,NDays&amp;"D")</f>
        <v>44035</v>
      </c>
      <c r="AA728" s="173">
        <v>1.3088119896239769E-2</v>
      </c>
      <c r="AB728" s="182">
        <v>1.2196572806271178E-2</v>
      </c>
    </row>
    <row r="729" spans="24:28" x14ac:dyDescent="0.2">
      <c r="X729" s="186" t="str">
        <f t="shared" si="45"/>
        <v>1w</v>
      </c>
      <c r="Y729" s="174">
        <f>_xll.qlCalendarAdvance(Calendar,Y728,X729,"f",FALSE)</f>
        <v>44040</v>
      </c>
      <c r="Z729" s="198">
        <f>_xll.qlCalendarAdvance(Calendar,Y729,NDays&amp;"D")</f>
        <v>44042</v>
      </c>
      <c r="AA729" s="173">
        <v>1.3138495435236413E-2</v>
      </c>
      <c r="AB729" s="182">
        <v>1.2258367363422451E-2</v>
      </c>
    </row>
    <row r="730" spans="24:28" x14ac:dyDescent="0.2">
      <c r="X730" s="186" t="str">
        <f t="shared" si="45"/>
        <v>1w</v>
      </c>
      <c r="Y730" s="174">
        <f>_xll.qlCalendarAdvance(Calendar,Y729,X730,"f",FALSE)</f>
        <v>44047</v>
      </c>
      <c r="Z730" s="198">
        <f>_xll.qlCalendarAdvance(Calendar,Y730,NDays&amp;"D")</f>
        <v>44049</v>
      </c>
      <c r="AA730" s="173">
        <v>1.3218522881326482E-2</v>
      </c>
      <c r="AB730" s="182">
        <v>1.2320492567363672E-2</v>
      </c>
    </row>
    <row r="731" spans="24:28" x14ac:dyDescent="0.2">
      <c r="X731" s="186" t="str">
        <f t="shared" si="45"/>
        <v>1w</v>
      </c>
      <c r="Y731" s="174">
        <f>_xll.qlCalendarAdvance(Calendar,Y730,X731,"f",FALSE)</f>
        <v>44054</v>
      </c>
      <c r="Z731" s="198">
        <f>_xll.qlCalendarAdvance(Calendar,Y731,NDays&amp;"D")</f>
        <v>44056</v>
      </c>
      <c r="AA731" s="173">
        <v>1.3283840939268677E-2</v>
      </c>
      <c r="AB731" s="182">
        <v>1.2382948418334649E-2</v>
      </c>
    </row>
    <row r="732" spans="24:28" x14ac:dyDescent="0.2">
      <c r="X732" s="186" t="str">
        <f t="shared" si="45"/>
        <v>1w</v>
      </c>
      <c r="Y732" s="174">
        <f>_xll.qlCalendarAdvance(Calendar,Y731,X732,"f",FALSE)</f>
        <v>44061</v>
      </c>
      <c r="Z732" s="198">
        <f>_xll.qlCalendarAdvance(Calendar,Y732,NDays&amp;"D")</f>
        <v>44063</v>
      </c>
      <c r="AA732" s="173">
        <v>1.3349211342777032E-2</v>
      </c>
      <c r="AB732" s="182">
        <v>1.2445734916575191E-2</v>
      </c>
    </row>
    <row r="733" spans="24:28" x14ac:dyDescent="0.2">
      <c r="X733" s="186" t="str">
        <f t="shared" si="45"/>
        <v>1w</v>
      </c>
      <c r="Y733" s="174">
        <f>_xll.qlCalendarAdvance(Calendar,Y732,X733,"f",FALSE)</f>
        <v>44068</v>
      </c>
      <c r="Z733" s="198">
        <f>_xll.qlCalendarAdvance(Calendar,Y733,NDays&amp;"D")</f>
        <v>44070</v>
      </c>
      <c r="AA733" s="173">
        <v>1.3399865258201504E-2</v>
      </c>
      <c r="AB733" s="182">
        <v>1.2508852062245168E-2</v>
      </c>
    </row>
    <row r="734" spans="24:28" x14ac:dyDescent="0.2">
      <c r="X734" s="186" t="str">
        <f t="shared" si="45"/>
        <v>1w</v>
      </c>
      <c r="Y734" s="174">
        <f>_xll.qlCalendarAdvance(Calendar,Y733,X734,"f",FALSE)</f>
        <v>44075</v>
      </c>
      <c r="Z734" s="198">
        <f>_xll.qlCalendarAdvance(Calendar,Y734,NDays&amp;"D")</f>
        <v>44077</v>
      </c>
      <c r="AA734" s="173">
        <v>1.3455473310287324E-2</v>
      </c>
      <c r="AB734" s="182">
        <v>1.2572299855424518E-2</v>
      </c>
    </row>
    <row r="735" spans="24:28" x14ac:dyDescent="0.2">
      <c r="X735" s="186" t="str">
        <f t="shared" si="45"/>
        <v>1w</v>
      </c>
      <c r="Y735" s="174">
        <f>_xll.qlCalendarAdvance(Calendar,Y734,X735,"f",FALSE)</f>
        <v>44082</v>
      </c>
      <c r="Z735" s="198">
        <f>_xll.qlCalendarAdvance(Calendar,Y735,NDays&amp;"D")</f>
        <v>44084</v>
      </c>
      <c r="AA735" s="173">
        <v>1.3520917530911693E-2</v>
      </c>
      <c r="AB735" s="182">
        <v>1.2636078296353048E-2</v>
      </c>
    </row>
    <row r="736" spans="24:28" x14ac:dyDescent="0.2">
      <c r="X736" s="186" t="str">
        <f t="shared" si="45"/>
        <v>1w</v>
      </c>
      <c r="Y736" s="174">
        <f>_xll.qlCalendarAdvance(Calendar,Y735,X736,"f",FALSE)</f>
        <v>44089</v>
      </c>
      <c r="Z736" s="198">
        <f>_xll.qlCalendarAdvance(Calendar,Y736,NDays&amp;"D")</f>
        <v>44091</v>
      </c>
      <c r="AA736" s="173">
        <v>1.358634197888183E-2</v>
      </c>
      <c r="AB736" s="182">
        <v>1.2700187385190631E-2</v>
      </c>
    </row>
    <row r="737" spans="24:28" x14ac:dyDescent="0.2">
      <c r="X737" s="186" t="str">
        <f t="shared" si="45"/>
        <v>1w</v>
      </c>
      <c r="Y737" s="174">
        <f>_xll.qlCalendarAdvance(Calendar,Y736,X737,"f",FALSE)</f>
        <v>44096</v>
      </c>
      <c r="Z737" s="198">
        <f>_xll.qlCalendarAdvance(Calendar,Y737,NDays&amp;"D")</f>
        <v>44098</v>
      </c>
      <c r="AA737" s="173">
        <v>1.3651727095852514E-2</v>
      </c>
      <c r="AB737" s="182">
        <v>1.2764627122177075E-2</v>
      </c>
    </row>
    <row r="738" spans="24:28" x14ac:dyDescent="0.2">
      <c r="X738" s="186" t="str">
        <f t="shared" si="45"/>
        <v>1w</v>
      </c>
      <c r="Y738" s="174">
        <f>_xll.qlCalendarAdvance(Calendar,Y737,X738,"f",FALSE)</f>
        <v>44103</v>
      </c>
      <c r="Z738" s="198">
        <f>_xll.qlCalendarAdvance(Calendar,Y738,NDays&amp;"D")</f>
        <v>44105</v>
      </c>
      <c r="AA738" s="173">
        <v>1.372193769926436E-2</v>
      </c>
      <c r="AB738" s="182">
        <v>1.2829397507392315E-2</v>
      </c>
    </row>
    <row r="739" spans="24:28" x14ac:dyDescent="0.2">
      <c r="X739" s="186" t="str">
        <f t="shared" si="45"/>
        <v>1w</v>
      </c>
      <c r="Y739" s="174">
        <f>_xll.qlCalendarAdvance(Calendar,Y738,X739,"f",FALSE)</f>
        <v>44110</v>
      </c>
      <c r="Z739" s="198">
        <f>_xll.qlCalendarAdvance(Calendar,Y739,NDays&amp;"D")</f>
        <v>44112</v>
      </c>
      <c r="AA739" s="173">
        <v>1.3787176720379357E-2</v>
      </c>
      <c r="AB739" s="182">
        <v>1.289449854107616E-2</v>
      </c>
    </row>
    <row r="740" spans="24:28" x14ac:dyDescent="0.2">
      <c r="X740" s="186" t="str">
        <f t="shared" si="45"/>
        <v>1w</v>
      </c>
      <c r="Y740" s="174">
        <f>_xll.qlCalendarAdvance(Calendar,Y739,X740,"f",FALSE)</f>
        <v>44117</v>
      </c>
      <c r="Z740" s="198">
        <f>_xll.qlCalendarAdvance(Calendar,Y740,NDays&amp;"D")</f>
        <v>44119</v>
      </c>
      <c r="AA740" s="173">
        <v>1.3852317328017866E-2</v>
      </c>
      <c r="AB740" s="182">
        <v>1.2959930223388483E-2</v>
      </c>
    </row>
    <row r="741" spans="24:28" x14ac:dyDescent="0.2">
      <c r="X741" s="186" t="str">
        <f t="shared" si="45"/>
        <v>1w</v>
      </c>
      <c r="Y741" s="174">
        <f>_xll.qlCalendarAdvance(Calendar,Y740,X741,"f",FALSE)</f>
        <v>44124</v>
      </c>
      <c r="Z741" s="198">
        <f>_xll.qlCalendarAdvance(Calendar,Y741,NDays&amp;"D")</f>
        <v>44126</v>
      </c>
      <c r="AA741" s="173">
        <v>1.3917340060243645E-2</v>
      </c>
      <c r="AB741" s="182">
        <v>1.3025692554489154E-2</v>
      </c>
    </row>
    <row r="742" spans="24:28" x14ac:dyDescent="0.2">
      <c r="X742" s="186" t="str">
        <f t="shared" si="45"/>
        <v>1w</v>
      </c>
      <c r="Y742" s="174">
        <f>_xll.qlCalendarAdvance(Calendar,Y741,X742,"f",FALSE)</f>
        <v>44131</v>
      </c>
      <c r="Z742" s="198">
        <f>_xll.qlCalendarAdvance(Calendar,Y742,NDays&amp;"D")</f>
        <v>44133</v>
      </c>
      <c r="AA742" s="173">
        <v>1.3982225452598522E-2</v>
      </c>
      <c r="AB742" s="182">
        <v>1.3091785534617983E-2</v>
      </c>
    </row>
    <row r="743" spans="24:28" x14ac:dyDescent="0.2">
      <c r="X743" s="186" t="str">
        <f t="shared" si="45"/>
        <v>1w</v>
      </c>
      <c r="Y743" s="174">
        <f>_xll.qlCalendarAdvance(Calendar,Y742,X743,"f",FALSE)</f>
        <v>44138</v>
      </c>
      <c r="Z743" s="198">
        <f>_xll.qlCalendarAdvance(Calendar,Y743,NDays&amp;"D")</f>
        <v>44140</v>
      </c>
      <c r="AA743" s="173">
        <v>1.4042116334553646E-2</v>
      </c>
      <c r="AB743" s="182">
        <v>1.3158176706218327E-2</v>
      </c>
    </row>
    <row r="744" spans="24:28" x14ac:dyDescent="0.2">
      <c r="X744" s="186" t="str">
        <f t="shared" si="45"/>
        <v>1w</v>
      </c>
      <c r="Y744" s="174">
        <f>_xll.qlCalendarAdvance(Calendar,Y743,X744,"f",FALSE)</f>
        <v>44145</v>
      </c>
      <c r="Z744" s="198">
        <f>_xll.qlCalendarAdvance(Calendar,Y744,NDays&amp;"D")</f>
        <v>44147</v>
      </c>
      <c r="AA744" s="173">
        <v>1.4106685140213186E-2</v>
      </c>
      <c r="AB744" s="182">
        <v>1.3224500493000946E-2</v>
      </c>
    </row>
    <row r="745" spans="24:28" x14ac:dyDescent="0.2">
      <c r="X745" s="186" t="str">
        <f t="shared" si="45"/>
        <v>1w</v>
      </c>
      <c r="Y745" s="174">
        <f>_xll.qlCalendarAdvance(Calendar,Y744,X745,"f",FALSE)</f>
        <v>44152</v>
      </c>
      <c r="Z745" s="198">
        <f>_xll.qlCalendarAdvance(Calendar,Y745,NDays&amp;"D")</f>
        <v>44154</v>
      </c>
      <c r="AA745" s="173">
        <v>1.4171083207604563E-2</v>
      </c>
      <c r="AB745" s="182">
        <v>1.3290652688562332E-2</v>
      </c>
    </row>
    <row r="746" spans="24:28" x14ac:dyDescent="0.2">
      <c r="X746" s="186" t="str">
        <f t="shared" si="45"/>
        <v>1w</v>
      </c>
      <c r="Y746" s="174">
        <f>_xll.qlCalendarAdvance(Calendar,Y745,X746,"f",FALSE)</f>
        <v>44159</v>
      </c>
      <c r="Z746" s="198">
        <f>_xll.qlCalendarAdvance(Calendar,Y746,NDays&amp;"D")</f>
        <v>44161</v>
      </c>
      <c r="AA746" s="173">
        <v>1.4235310520126689E-2</v>
      </c>
      <c r="AB746" s="182">
        <v>1.3356633292822551E-2</v>
      </c>
    </row>
    <row r="747" spans="24:28" x14ac:dyDescent="0.2">
      <c r="X747" s="186" t="str">
        <f t="shared" si="45"/>
        <v>1w</v>
      </c>
      <c r="Y747" s="174">
        <f>_xll.qlCalendarAdvance(Calendar,Y746,X747,"f",FALSE)</f>
        <v>44166</v>
      </c>
      <c r="Z747" s="198">
        <f>_xll.qlCalendarAdvance(Calendar,Y747,NDays&amp;"D")</f>
        <v>44168</v>
      </c>
      <c r="AA747" s="173">
        <v>1.4304166138092224E-2</v>
      </c>
      <c r="AB747" s="182">
        <v>1.3422442305701665E-2</v>
      </c>
    </row>
    <row r="748" spans="24:28" x14ac:dyDescent="0.2">
      <c r="X748" s="186" t="str">
        <f t="shared" si="45"/>
        <v>1w</v>
      </c>
      <c r="Y748" s="174">
        <f>_xll.qlCalendarAdvance(Calendar,Y747,X748,"f",FALSE)</f>
        <v>44173</v>
      </c>
      <c r="Z748" s="198">
        <f>_xll.qlCalendarAdvance(Calendar,Y748,NDays&amp;"D")</f>
        <v>44175</v>
      </c>
      <c r="AA748" s="173">
        <v>1.4368042224258144E-2</v>
      </c>
      <c r="AB748" s="182">
        <v>1.3488079727039803E-2</v>
      </c>
    </row>
    <row r="749" spans="24:28" x14ac:dyDescent="0.2">
      <c r="X749" s="186" t="str">
        <f t="shared" si="45"/>
        <v>1w</v>
      </c>
      <c r="Y749" s="174">
        <f>_xll.qlCalendarAdvance(Calendar,Y748,X749,"f",FALSE)</f>
        <v>44180</v>
      </c>
      <c r="Z749" s="198">
        <f>_xll.qlCalendarAdvance(Calendar,Y749,NDays&amp;"D")</f>
        <v>44182</v>
      </c>
      <c r="AA749" s="173">
        <v>1.4431747509271063E-2</v>
      </c>
      <c r="AB749" s="182">
        <v>1.355354555675703E-2</v>
      </c>
    </row>
    <row r="750" spans="24:28" x14ac:dyDescent="0.2">
      <c r="X750" s="186" t="str">
        <f t="shared" si="45"/>
        <v>1w</v>
      </c>
      <c r="Y750" s="174">
        <f>_xll.qlCalendarAdvance(Calendar,Y749,X750,"f",FALSE)</f>
        <v>44187</v>
      </c>
      <c r="Z750" s="198">
        <f>_xll.qlCalendarAdvance(Calendar,Y750,NDays&amp;"D")</f>
        <v>44189</v>
      </c>
      <c r="AA750" s="173">
        <v>1.4495281976618037E-2</v>
      </c>
      <c r="AB750" s="182">
        <v>1.3633581312879617E-2</v>
      </c>
    </row>
    <row r="751" spans="24:28" x14ac:dyDescent="0.2">
      <c r="X751" s="186" t="str">
        <f t="shared" si="45"/>
        <v>1w</v>
      </c>
      <c r="Y751" s="174">
        <f>_xll.qlCalendarAdvance(Calendar,Y750,X751,"f",FALSE)</f>
        <v>44194</v>
      </c>
      <c r="Z751" s="198">
        <f>_xll.qlCalendarAdvance(Calendar,Y751,NDays&amp;"D")</f>
        <v>44196</v>
      </c>
      <c r="AA751" s="173">
        <v>1.4553885181705674E-2</v>
      </c>
      <c r="AB751" s="182">
        <v>1.3698674601638761E-2</v>
      </c>
    </row>
    <row r="752" spans="24:28" x14ac:dyDescent="0.2">
      <c r="X752" s="186" t="str">
        <f t="shared" si="45"/>
        <v>1w</v>
      </c>
      <c r="Y752" s="174">
        <f>_xll.qlCalendarAdvance(Calendar,Y751,X752,"f",FALSE)</f>
        <v>44201</v>
      </c>
      <c r="Z752" s="198">
        <f>_xll.qlCalendarAdvance(Calendar,Y752,NDays&amp;"D")</f>
        <v>44203</v>
      </c>
      <c r="AA752" s="173">
        <v>1.4617087618829109E-2</v>
      </c>
      <c r="AB752" s="182">
        <v>1.3748913495623682E-2</v>
      </c>
    </row>
    <row r="753" spans="24:28" x14ac:dyDescent="0.2">
      <c r="X753" s="186" t="str">
        <f t="shared" si="45"/>
        <v>1w</v>
      </c>
      <c r="Y753" s="174">
        <f>_xll.qlCalendarAdvance(Calendar,Y752,X753,"f",FALSE)</f>
        <v>44208</v>
      </c>
      <c r="Z753" s="198">
        <f>_xll.qlCalendarAdvance(Calendar,Y753,NDays&amp;"D")</f>
        <v>44210</v>
      </c>
      <c r="AA753" s="173">
        <v>1.4680119186097263E-2</v>
      </c>
      <c r="AB753" s="182">
        <v>1.3813692958057899E-2</v>
      </c>
    </row>
    <row r="754" spans="24:28" x14ac:dyDescent="0.2">
      <c r="X754" s="186" t="str">
        <f t="shared" si="45"/>
        <v>1w</v>
      </c>
      <c r="Y754" s="174">
        <f>_xll.qlCalendarAdvance(Calendar,Y753,X754,"f",FALSE)</f>
        <v>44215</v>
      </c>
      <c r="Z754" s="198">
        <f>_xll.qlCalendarAdvance(Calendar,Y754,NDays&amp;"D")</f>
        <v>44217</v>
      </c>
      <c r="AA754" s="173">
        <v>1.4742979867257059E-2</v>
      </c>
      <c r="AB754" s="182">
        <v>1.3878300828471524E-2</v>
      </c>
    </row>
    <row r="755" spans="24:28" x14ac:dyDescent="0.2">
      <c r="X755" s="186" t="str">
        <f t="shared" si="45"/>
        <v>1w</v>
      </c>
      <c r="Y755" s="174">
        <f>_xll.qlCalendarAdvance(Calendar,Y754,X755,"f",FALSE)</f>
        <v>44222</v>
      </c>
      <c r="Z755" s="198">
        <f>_xll.qlCalendarAdvance(Calendar,Y755,NDays&amp;"D")</f>
        <v>44224</v>
      </c>
      <c r="AA755" s="173">
        <v>1.4805669646101792E-2</v>
      </c>
      <c r="AB755" s="182">
        <v>1.394273710678462E-2</v>
      </c>
    </row>
    <row r="756" spans="24:28" x14ac:dyDescent="0.2">
      <c r="X756" s="186" t="str">
        <f t="shared" si="45"/>
        <v>1w</v>
      </c>
      <c r="Y756" s="174">
        <f>_xll.qlCalendarAdvance(Calendar,Y755,X756,"f",FALSE)</f>
        <v>44229</v>
      </c>
      <c r="Z756" s="198">
        <f>_xll.qlCalendarAdvance(Calendar,Y756,NDays&amp;"D")</f>
        <v>44231</v>
      </c>
      <c r="AA756" s="173">
        <v>1.4868188506466715E-2</v>
      </c>
      <c r="AB756" s="182">
        <v>1.4007001792757379E-2</v>
      </c>
    </row>
    <row r="757" spans="24:28" x14ac:dyDescent="0.2">
      <c r="X757" s="186" t="str">
        <f t="shared" si="45"/>
        <v>1w</v>
      </c>
      <c r="Y757" s="174">
        <f>_xll.qlCalendarAdvance(Calendar,Y756,X757,"f",FALSE)</f>
        <v>44236</v>
      </c>
      <c r="Z757" s="198">
        <f>_xll.qlCalendarAdvance(Calendar,Y757,NDays&amp;"D")</f>
        <v>44238</v>
      </c>
      <c r="AA757" s="173">
        <v>1.4930536432231242E-2</v>
      </c>
      <c r="AB757" s="182">
        <v>1.4071094886389801E-2</v>
      </c>
    </row>
    <row r="758" spans="24:28" x14ac:dyDescent="0.2">
      <c r="X758" s="186" t="str">
        <f t="shared" si="45"/>
        <v>1w</v>
      </c>
      <c r="Y758" s="174">
        <f>_xll.qlCalendarAdvance(Calendar,Y757,X758,"f",FALSE)</f>
        <v>44243</v>
      </c>
      <c r="Z758" s="198">
        <f>_xll.qlCalendarAdvance(Calendar,Y758,NDays&amp;"D")</f>
        <v>44245</v>
      </c>
      <c r="AA758" s="173">
        <v>1.4992713407318507E-2</v>
      </c>
      <c r="AB758" s="182">
        <v>1.4135016387681887E-2</v>
      </c>
    </row>
    <row r="759" spans="24:28" x14ac:dyDescent="0.2">
      <c r="X759" s="186" t="str">
        <f t="shared" si="45"/>
        <v>1w</v>
      </c>
      <c r="Y759" s="174">
        <f>_xll.qlCalendarAdvance(Calendar,Y758,X759,"f",FALSE)</f>
        <v>44250</v>
      </c>
      <c r="Z759" s="198">
        <f>_xll.qlCalendarAdvance(Calendar,Y759,NDays&amp;"D")</f>
        <v>44252</v>
      </c>
      <c r="AA759" s="173">
        <v>1.5054719415694487E-2</v>
      </c>
      <c r="AB759" s="182">
        <v>1.4198766296393828E-2</v>
      </c>
    </row>
    <row r="760" spans="24:28" x14ac:dyDescent="0.2">
      <c r="X760" s="186" t="str">
        <f t="shared" si="45"/>
        <v>1w</v>
      </c>
      <c r="Y760" s="174">
        <f>_xll.qlCalendarAdvance(Calendar,Y759,X760,"f",FALSE)</f>
        <v>44257</v>
      </c>
      <c r="Z760" s="198">
        <f>_xll.qlCalendarAdvance(Calendar,Y760,NDays&amp;"D")</f>
        <v>44259</v>
      </c>
      <c r="AA760" s="173">
        <v>1.5139914684913472E-2</v>
      </c>
      <c r="AB760" s="182">
        <v>1.4262344612525624E-2</v>
      </c>
    </row>
    <row r="761" spans="24:28" x14ac:dyDescent="0.2">
      <c r="X761" s="186" t="str">
        <f t="shared" si="45"/>
        <v>1w</v>
      </c>
      <c r="Y761" s="174">
        <f>_xll.qlCalendarAdvance(Calendar,Y760,X761,"f",FALSE)</f>
        <v>44264</v>
      </c>
      <c r="Z761" s="198">
        <f>_xll.qlCalendarAdvance(Calendar,Y761,NDays&amp;"D")</f>
        <v>44266</v>
      </c>
      <c r="AA761" s="173">
        <v>1.5201530559617843E-2</v>
      </c>
      <c r="AB761" s="182">
        <v>1.4325751335997339E-2</v>
      </c>
    </row>
    <row r="762" spans="24:28" x14ac:dyDescent="0.2">
      <c r="X762" s="186" t="str">
        <f t="shared" si="45"/>
        <v>1w</v>
      </c>
      <c r="Y762" s="174">
        <f>_xll.qlCalendarAdvance(Calendar,Y761,X762,"f",FALSE)</f>
        <v>44271</v>
      </c>
      <c r="Z762" s="198">
        <f>_xll.qlCalendarAdvance(Calendar,Y762,NDays&amp;"D")</f>
        <v>44273</v>
      </c>
      <c r="AA762" s="173">
        <v>1.526297543033275E-2</v>
      </c>
      <c r="AB762" s="182">
        <v>1.4388986466649101E-2</v>
      </c>
    </row>
    <row r="763" spans="24:28" x14ac:dyDescent="0.2">
      <c r="X763" s="186" t="str">
        <f t="shared" si="45"/>
        <v>1w</v>
      </c>
      <c r="Y763" s="174">
        <f>_xll.qlCalendarAdvance(Calendar,Y762,X763,"f",FALSE)</f>
        <v>44278</v>
      </c>
      <c r="Z763" s="198">
        <f>_xll.qlCalendarAdvance(Calendar,Y763,NDays&amp;"D")</f>
        <v>44280</v>
      </c>
      <c r="AA763" s="173">
        <v>1.5324249280774874E-2</v>
      </c>
      <c r="AB763" s="182">
        <v>1.4452050004321038E-2</v>
      </c>
    </row>
    <row r="764" spans="24:28" x14ac:dyDescent="0.2">
      <c r="X764" s="186" t="str">
        <f t="shared" si="45"/>
        <v>1w</v>
      </c>
      <c r="Y764" s="174">
        <f>_xll.qlCalendarAdvance(Calendar,Y763,X764,"f",FALSE)</f>
        <v>44285</v>
      </c>
      <c r="Z764" s="198">
        <f>_xll.qlCalendarAdvance(Calendar,Y764,NDays&amp;"D")</f>
        <v>44287</v>
      </c>
      <c r="AA764" s="173">
        <v>1.5371453851548164E-2</v>
      </c>
      <c r="AB764" s="182">
        <v>1.4534049462648468E-2</v>
      </c>
    </row>
    <row r="765" spans="24:28" x14ac:dyDescent="0.2">
      <c r="X765" s="186" t="str">
        <f t="shared" si="45"/>
        <v>1w</v>
      </c>
      <c r="Y765" s="174">
        <f>_xll.qlCalendarAdvance(Calendar,Y764,X765,"f",FALSE)</f>
        <v>44292</v>
      </c>
      <c r="Z765" s="198">
        <f>_xll.qlCalendarAdvance(Calendar,Y765,NDays&amp;"D")</f>
        <v>44294</v>
      </c>
      <c r="AA765" s="173">
        <v>1.543241447908948E-2</v>
      </c>
      <c r="AB765" s="182">
        <v>1.4577662300885308E-2</v>
      </c>
    </row>
    <row r="766" spans="24:28" x14ac:dyDescent="0.2">
      <c r="X766" s="186" t="str">
        <f t="shared" si="45"/>
        <v>1w</v>
      </c>
      <c r="Y766" s="174">
        <f>_xll.qlCalendarAdvance(Calendar,Y765,X766,"f",FALSE)</f>
        <v>44299</v>
      </c>
      <c r="Z766" s="198">
        <f>_xll.qlCalendarAdvance(Calendar,Y766,NDays&amp;"D")</f>
        <v>44301</v>
      </c>
      <c r="AA766" s="173">
        <v>1.5493204032495829E-2</v>
      </c>
      <c r="AB766" s="182">
        <v>1.4640211059457897E-2</v>
      </c>
    </row>
    <row r="767" spans="24:28" x14ac:dyDescent="0.2">
      <c r="X767" s="186" t="str">
        <f t="shared" si="45"/>
        <v>1w</v>
      </c>
      <c r="Y767" s="174">
        <f>_xll.qlCalendarAdvance(Calendar,Y766,X767,"f",FALSE)</f>
        <v>44306</v>
      </c>
      <c r="Z767" s="198">
        <f>_xll.qlCalendarAdvance(Calendar,Y767,NDays&amp;"D")</f>
        <v>44308</v>
      </c>
      <c r="AA767" s="173">
        <v>1.5553822495917594E-2</v>
      </c>
      <c r="AB767" s="182">
        <v>1.4702588224810853E-2</v>
      </c>
    </row>
    <row r="768" spans="24:28" x14ac:dyDescent="0.2">
      <c r="X768" s="186" t="str">
        <f t="shared" si="45"/>
        <v>1w</v>
      </c>
      <c r="Y768" s="174">
        <f>_xll.qlCalendarAdvance(Calendar,Y767,X768,"f",FALSE)</f>
        <v>44313</v>
      </c>
      <c r="Z768" s="198">
        <f>_xll.qlCalendarAdvance(Calendar,Y768,NDays&amp;"D")</f>
        <v>44315</v>
      </c>
      <c r="AA768" s="173">
        <v>1.561426985354753E-2</v>
      </c>
      <c r="AB768" s="182">
        <v>1.4764793796784303E-2</v>
      </c>
    </row>
    <row r="769" spans="24:28" x14ac:dyDescent="0.2">
      <c r="X769" s="186" t="str">
        <f t="shared" si="45"/>
        <v>1w</v>
      </c>
      <c r="Y769" s="174">
        <f>_xll.qlCalendarAdvance(Calendar,Y768,X769,"f",FALSE)</f>
        <v>44320</v>
      </c>
      <c r="Z769" s="198">
        <f>_xll.qlCalendarAdvance(Calendar,Y769,NDays&amp;"D")</f>
        <v>44322</v>
      </c>
      <c r="AA769" s="173">
        <v>1.5688299746427686E-2</v>
      </c>
      <c r="AB769" s="182">
        <v>1.4826827775378248E-2</v>
      </c>
    </row>
    <row r="770" spans="24:28" x14ac:dyDescent="0.2">
      <c r="X770" s="186" t="str">
        <f t="shared" si="45"/>
        <v>1w</v>
      </c>
      <c r="Y770" s="174">
        <f>_xll.qlCalendarAdvance(Calendar,Y769,X770,"f",FALSE)</f>
        <v>44327</v>
      </c>
      <c r="Z770" s="198">
        <f>_xll.qlCalendarAdvance(Calendar,Y770,NDays&amp;"D")</f>
        <v>44329</v>
      </c>
      <c r="AA770" s="173">
        <v>1.5748372089176475E-2</v>
      </c>
      <c r="AB770" s="182">
        <v>1.4888690160512752E-2</v>
      </c>
    </row>
    <row r="771" spans="24:28" x14ac:dyDescent="0.2">
      <c r="X771" s="186" t="str">
        <f t="shared" si="45"/>
        <v>1w</v>
      </c>
      <c r="Y771" s="174">
        <f>_xll.qlCalendarAdvance(Calendar,Y770,X771,"f",FALSE)</f>
        <v>44334</v>
      </c>
      <c r="Z771" s="198">
        <f>_xll.qlCalendarAdvance(Calendar,Y771,NDays&amp;"D")</f>
        <v>44336</v>
      </c>
      <c r="AA771" s="173">
        <v>1.580826466902779E-2</v>
      </c>
      <c r="AB771" s="182">
        <v>1.4950380951948006E-2</v>
      </c>
    </row>
    <row r="772" spans="24:28" x14ac:dyDescent="0.2">
      <c r="X772" s="186" t="str">
        <f t="shared" si="45"/>
        <v>1w</v>
      </c>
      <c r="Y772" s="174">
        <f>_xll.qlCalendarAdvance(Calendar,Y771,X772,"f",FALSE)</f>
        <v>44341</v>
      </c>
      <c r="Z772" s="198">
        <f>_xll.qlCalendarAdvance(Calendar,Y772,NDays&amp;"D")</f>
        <v>44343</v>
      </c>
      <c r="AA772" s="173">
        <v>1.5867972444473778E-2</v>
      </c>
      <c r="AB772" s="182">
        <v>1.5011900149763946E-2</v>
      </c>
    </row>
    <row r="773" spans="24:28" x14ac:dyDescent="0.2">
      <c r="X773" s="186" t="str">
        <f t="shared" si="45"/>
        <v>1w</v>
      </c>
      <c r="Y773" s="174">
        <f>_xll.qlCalendarAdvance(Calendar,Y772,X773,"f",FALSE)</f>
        <v>44348</v>
      </c>
      <c r="Z773" s="198">
        <f>_xll.qlCalendarAdvance(Calendar,Y773,NDays&amp;"D")</f>
        <v>44350</v>
      </c>
      <c r="AA773" s="173">
        <v>1.5913872507654945E-2</v>
      </c>
      <c r="AB773" s="182">
        <v>1.50732477538007E-2</v>
      </c>
    </row>
    <row r="774" spans="24:28" x14ac:dyDescent="0.2">
      <c r="X774" s="186" t="str">
        <f t="shared" si="45"/>
        <v>1w</v>
      </c>
      <c r="Y774" s="174">
        <f>_xll.qlCalendarAdvance(Calendar,Y773,X774,"f",FALSE)</f>
        <v>44355</v>
      </c>
      <c r="Z774" s="198">
        <f>_xll.qlCalendarAdvance(Calendar,Y774,NDays&amp;"D")</f>
        <v>44357</v>
      </c>
      <c r="AA774" s="173">
        <v>1.597323420542298E-2</v>
      </c>
      <c r="AB774" s="182">
        <v>1.5134423763978333E-2</v>
      </c>
    </row>
    <row r="775" spans="24:28" x14ac:dyDescent="0.2">
      <c r="X775" s="186" t="str">
        <f t="shared" si="45"/>
        <v>1w</v>
      </c>
      <c r="Y775" s="174">
        <f>_xll.qlCalendarAdvance(Calendar,Y774,X775,"f",FALSE)</f>
        <v>44362</v>
      </c>
      <c r="Z775" s="198">
        <f>_xll.qlCalendarAdvance(Calendar,Y775,NDays&amp;"D")</f>
        <v>44364</v>
      </c>
      <c r="AA775" s="173">
        <v>1.6032397690516325E-2</v>
      </c>
      <c r="AB775" s="182">
        <v>1.5195428180216908E-2</v>
      </c>
    </row>
    <row r="776" spans="24:28" x14ac:dyDescent="0.2">
      <c r="X776" s="186" t="str">
        <f t="shared" si="45"/>
        <v>1w</v>
      </c>
      <c r="Y776" s="174">
        <f>_xll.qlCalendarAdvance(Calendar,Y775,X776,"f",FALSE)</f>
        <v>44369</v>
      </c>
      <c r="Z776" s="198">
        <f>_xll.qlCalendarAdvance(Calendar,Y776,NDays&amp;"D")</f>
        <v>44371</v>
      </c>
      <c r="AA776" s="173">
        <v>1.6091357837967862E-2</v>
      </c>
      <c r="AB776" s="182">
        <v>1.5256261002356553E-2</v>
      </c>
    </row>
    <row r="777" spans="24:28" x14ac:dyDescent="0.2">
      <c r="X777" s="186" t="str">
        <f t="shared" si="45"/>
        <v>1w</v>
      </c>
      <c r="Y777" s="174">
        <f>_xll.qlCalendarAdvance(Calendar,Y776,X777,"f",FALSE)</f>
        <v>44376</v>
      </c>
      <c r="Z777" s="198">
        <f>_xll.qlCalendarAdvance(Calendar,Y777,NDays&amp;"D")</f>
        <v>44378</v>
      </c>
      <c r="AA777" s="173">
        <v>1.6163562763680608E-2</v>
      </c>
      <c r="AB777" s="182">
        <v>1.5316922230477203E-2</v>
      </c>
    </row>
    <row r="778" spans="24:28" x14ac:dyDescent="0.2">
      <c r="X778" s="186" t="str">
        <f t="shared" si="45"/>
        <v>1w</v>
      </c>
      <c r="Y778" s="174">
        <f>_xll.qlCalendarAdvance(Calendar,Y777,X778,"f",FALSE)</f>
        <v>44383</v>
      </c>
      <c r="Z778" s="198">
        <f>_xll.qlCalendarAdvance(Calendar,Y778,NDays&amp;"D")</f>
        <v>44385</v>
      </c>
      <c r="AA778" s="173">
        <v>1.6222055809821494E-2</v>
      </c>
      <c r="AB778" s="182">
        <v>1.5377411864339052E-2</v>
      </c>
    </row>
    <row r="779" spans="24:28" x14ac:dyDescent="0.2">
      <c r="X779" s="186" t="str">
        <f t="shared" si="45"/>
        <v>1w</v>
      </c>
      <c r="Y779" s="174">
        <f>_xll.qlCalendarAdvance(Calendar,Y778,X779,"f",FALSE)</f>
        <v>44390</v>
      </c>
      <c r="Z779" s="198">
        <f>_xll.qlCalendarAdvance(Calendar,Y779,NDays&amp;"D")</f>
        <v>44392</v>
      </c>
      <c r="AA779" s="173">
        <v>1.628032874550521E-2</v>
      </c>
      <c r="AB779" s="182">
        <v>1.5437729903862163E-2</v>
      </c>
    </row>
    <row r="780" spans="24:28" x14ac:dyDescent="0.2">
      <c r="X780" s="186" t="str">
        <f t="shared" si="45"/>
        <v>1w</v>
      </c>
      <c r="Y780" s="174">
        <f>_xll.qlCalendarAdvance(Calendar,Y779,X780,"f",FALSE)</f>
        <v>44397</v>
      </c>
      <c r="Z780" s="198">
        <f>_xll.qlCalendarAdvance(Calendar,Y780,NDays&amp;"D")</f>
        <v>44399</v>
      </c>
      <c r="AA780" s="173">
        <v>1.6338376524859217E-2</v>
      </c>
      <c r="AB780" s="182">
        <v>1.5497876349126471E-2</v>
      </c>
    </row>
    <row r="781" spans="24:28" x14ac:dyDescent="0.2">
      <c r="X781" s="186" t="str">
        <f t="shared" si="45"/>
        <v>1w</v>
      </c>
      <c r="Y781" s="174">
        <f>_xll.qlCalendarAdvance(Calendar,Y780,X781,"f",FALSE)</f>
        <v>44404</v>
      </c>
      <c r="Z781" s="198">
        <f>_xll.qlCalendarAdvance(Calendar,Y781,NDays&amp;"D")</f>
        <v>44406</v>
      </c>
      <c r="AA781" s="173">
        <v>1.6396194101488383E-2</v>
      </c>
      <c r="AB781" s="182">
        <v>1.555785119989217E-2</v>
      </c>
    </row>
    <row r="782" spans="24:28" x14ac:dyDescent="0.2">
      <c r="X782" s="186" t="str">
        <f t="shared" si="45"/>
        <v>1w</v>
      </c>
      <c r="Y782" s="174">
        <f>_xll.qlCalendarAdvance(Calendar,Y781,X782,"f",FALSE)</f>
        <v>44411</v>
      </c>
      <c r="Z782" s="198">
        <f>_xll.qlCalendarAdvance(Calendar,Y782,NDays&amp;"D")</f>
        <v>44413</v>
      </c>
      <c r="AA782" s="173">
        <v>1.6453776428485303E-2</v>
      </c>
      <c r="AB782" s="182">
        <v>1.5617654456079322E-2</v>
      </c>
    </row>
    <row r="783" spans="24:28" x14ac:dyDescent="0.2">
      <c r="X783" s="186" t="str">
        <f t="shared" si="45"/>
        <v>1w</v>
      </c>
      <c r="Y783" s="174">
        <f>_xll.qlCalendarAdvance(Calendar,Y782,X783,"f",FALSE)</f>
        <v>44418</v>
      </c>
      <c r="Z783" s="198">
        <f>_xll.qlCalendarAdvance(Calendar,Y783,NDays&amp;"D")</f>
        <v>44420</v>
      </c>
      <c r="AA783" s="173">
        <v>1.6511118458429858E-2</v>
      </c>
      <c r="AB783" s="182">
        <v>1.5677286117607991E-2</v>
      </c>
    </row>
    <row r="784" spans="24:28" x14ac:dyDescent="0.2">
      <c r="X784" s="186" t="str">
        <f t="shared" si="45"/>
        <v>1w</v>
      </c>
      <c r="Y784" s="174">
        <f>_xll.qlCalendarAdvance(Calendar,Y783,X784,"f",FALSE)</f>
        <v>44425</v>
      </c>
      <c r="Z784" s="198">
        <f>_xll.qlCalendarAdvance(Calendar,Y784,NDays&amp;"D")</f>
        <v>44427</v>
      </c>
      <c r="AA784" s="173">
        <v>1.6568215143401691E-2</v>
      </c>
      <c r="AB784" s="182">
        <v>1.5736746184398243E-2</v>
      </c>
    </row>
    <row r="785" spans="24:28" x14ac:dyDescent="0.2">
      <c r="X785" s="186" t="str">
        <f t="shared" si="45"/>
        <v>1w</v>
      </c>
      <c r="Y785" s="174">
        <f>_xll.qlCalendarAdvance(Calendar,Y784,X785,"f",FALSE)</f>
        <v>44432</v>
      </c>
      <c r="Z785" s="198">
        <f>_xll.qlCalendarAdvance(Calendar,Y785,NDays&amp;"D")</f>
        <v>44434</v>
      </c>
      <c r="AA785" s="173">
        <v>1.6625061434981478E-2</v>
      </c>
      <c r="AB785" s="182">
        <v>1.5796034656370139E-2</v>
      </c>
    </row>
    <row r="786" spans="24:28" x14ac:dyDescent="0.2">
      <c r="X786" s="186" t="str">
        <f t="shared" si="45"/>
        <v>1w</v>
      </c>
      <c r="Y786" s="174">
        <f>_xll.qlCalendarAdvance(Calendar,Y785,X786,"f",FALSE)</f>
        <v>44439</v>
      </c>
      <c r="Z786" s="198">
        <f>_xll.qlCalendarAdvance(Calendar,Y786,NDays&amp;"D")</f>
        <v>44441</v>
      </c>
      <c r="AA786" s="173">
        <v>1.665996992220968E-2</v>
      </c>
      <c r="AB786" s="182">
        <v>1.5855151533523681E-2</v>
      </c>
    </row>
    <row r="787" spans="24:28" x14ac:dyDescent="0.2">
      <c r="X787" s="186" t="str">
        <f t="shared" si="45"/>
        <v>1w</v>
      </c>
      <c r="Y787" s="174">
        <f>_xll.qlCalendarAdvance(Calendar,Y786,X787,"f",FALSE)</f>
        <v>44446</v>
      </c>
      <c r="Z787" s="198">
        <f>_xll.qlCalendarAdvance(Calendar,Y787,NDays&amp;"D")</f>
        <v>44448</v>
      </c>
      <c r="AA787" s="173">
        <v>1.6716391349635935E-2</v>
      </c>
      <c r="AB787" s="182">
        <v>1.5914096815619061E-2</v>
      </c>
    </row>
    <row r="788" spans="24:28" x14ac:dyDescent="0.2">
      <c r="X788" s="186" t="str">
        <f t="shared" si="45"/>
        <v>1w</v>
      </c>
      <c r="Y788" s="174">
        <f>_xll.qlCalendarAdvance(Calendar,Y787,X788,"f",FALSE)</f>
        <v>44453</v>
      </c>
      <c r="Z788" s="198">
        <f>_xll.qlCalendarAdvance(Calendar,Y788,NDays&amp;"D")</f>
        <v>44455</v>
      </c>
      <c r="AA788" s="173">
        <v>1.6772548352834704E-2</v>
      </c>
      <c r="AB788" s="182">
        <v>1.5972870502736214E-2</v>
      </c>
    </row>
    <row r="789" spans="24:28" x14ac:dyDescent="0.2">
      <c r="X789" s="186" t="str">
        <f t="shared" ref="X789:X852" si="46">X788</f>
        <v>1w</v>
      </c>
      <c r="Y789" s="174">
        <f>_xll.qlCalendarAdvance(Calendar,Y788,X789,"f",FALSE)</f>
        <v>44460</v>
      </c>
      <c r="Z789" s="198">
        <f>_xll.qlCalendarAdvance(Calendar,Y789,NDays&amp;"D")</f>
        <v>44462</v>
      </c>
      <c r="AA789" s="173">
        <v>1.6828435744514064E-2</v>
      </c>
      <c r="AB789" s="182">
        <v>1.6031472594635332E-2</v>
      </c>
    </row>
    <row r="790" spans="24:28" x14ac:dyDescent="0.2">
      <c r="X790" s="186" t="str">
        <f t="shared" si="46"/>
        <v>1w</v>
      </c>
      <c r="Y790" s="174">
        <f>_xll.qlCalendarAdvance(Calendar,Y789,X790,"f",FALSE)</f>
        <v>44467</v>
      </c>
      <c r="Z790" s="198">
        <f>_xll.qlCalendarAdvance(Calendar,Y790,NDays&amp;"D")</f>
        <v>44469</v>
      </c>
      <c r="AA790" s="173">
        <v>1.6888314119883275E-2</v>
      </c>
      <c r="AB790" s="182">
        <v>1.6089903091396351E-2</v>
      </c>
    </row>
    <row r="791" spans="24:28" x14ac:dyDescent="0.2">
      <c r="X791" s="186" t="str">
        <f t="shared" si="46"/>
        <v>1w</v>
      </c>
      <c r="Y791" s="174">
        <f>_xll.qlCalendarAdvance(Calendar,Y790,X791,"f",FALSE)</f>
        <v>44474</v>
      </c>
      <c r="Z791" s="198">
        <f>_xll.qlCalendarAdvance(Calendar,Y791,NDays&amp;"D")</f>
        <v>44476</v>
      </c>
      <c r="AA791" s="173">
        <v>1.6943627788828235E-2</v>
      </c>
      <c r="AB791" s="182">
        <v>1.6148161992779464E-2</v>
      </c>
    </row>
    <row r="792" spans="24:28" x14ac:dyDescent="0.2">
      <c r="X792" s="186" t="str">
        <f t="shared" si="46"/>
        <v>1w</v>
      </c>
      <c r="Y792" s="174">
        <f>_xll.qlCalendarAdvance(Calendar,Y791,X792,"f",FALSE)</f>
        <v>44481</v>
      </c>
      <c r="Z792" s="198">
        <f>_xll.qlCalendarAdvance(Calendar,Y792,NDays&amp;"D")</f>
        <v>44483</v>
      </c>
      <c r="AA792" s="173">
        <v>1.6998656165395778E-2</v>
      </c>
      <c r="AB792" s="182">
        <v>1.620624929878467E-2</v>
      </c>
    </row>
    <row r="793" spans="24:28" x14ac:dyDescent="0.2">
      <c r="X793" s="186" t="str">
        <f t="shared" si="46"/>
        <v>1w</v>
      </c>
      <c r="Y793" s="174">
        <f>_xll.qlCalendarAdvance(Calendar,Y792,X793,"f",FALSE)</f>
        <v>44488</v>
      </c>
      <c r="Z793" s="198">
        <f>_xll.qlCalendarAdvance(Calendar,Y793,NDays&amp;"D")</f>
        <v>44490</v>
      </c>
      <c r="AA793" s="173">
        <v>1.7053394088462511E-2</v>
      </c>
      <c r="AB793" s="182">
        <v>1.6264165009252096E-2</v>
      </c>
    </row>
    <row r="794" spans="24:28" x14ac:dyDescent="0.2">
      <c r="X794" s="186" t="str">
        <f t="shared" si="46"/>
        <v>1w</v>
      </c>
      <c r="Y794" s="174">
        <f>_xll.qlCalendarAdvance(Calendar,Y793,X794,"f",FALSE)</f>
        <v>44495</v>
      </c>
      <c r="Z794" s="198">
        <f>_xll.qlCalendarAdvance(Calendar,Y794,NDays&amp;"D")</f>
        <v>44497</v>
      </c>
      <c r="AA794" s="173">
        <v>1.7107836396464949E-2</v>
      </c>
      <c r="AB794" s="182">
        <v>1.632190912426168E-2</v>
      </c>
    </row>
    <row r="795" spans="24:28" x14ac:dyDescent="0.2">
      <c r="X795" s="186" t="str">
        <f t="shared" si="46"/>
        <v>1w</v>
      </c>
      <c r="Y795" s="174">
        <f>_xll.qlCalendarAdvance(Calendar,Y794,X795,"f",FALSE)</f>
        <v>44502</v>
      </c>
      <c r="Z795" s="198">
        <f>_xll.qlCalendarAdvance(Calendar,Y795,NDays&amp;"D")</f>
        <v>44504</v>
      </c>
      <c r="AA795" s="173">
        <v>1.7157807708650507E-2</v>
      </c>
      <c r="AB795" s="182">
        <v>1.6379478490335941E-2</v>
      </c>
    </row>
    <row r="796" spans="24:28" x14ac:dyDescent="0.2">
      <c r="X796" s="186" t="str">
        <f t="shared" si="46"/>
        <v>1w</v>
      </c>
      <c r="Y796" s="174">
        <f>_xll.qlCalendarAdvance(Calendar,Y795,X796,"f",FALSE)</f>
        <v>44509</v>
      </c>
      <c r="Z796" s="198">
        <f>_xll.qlCalendarAdvance(Calendar,Y796,NDays&amp;"D")</f>
        <v>44511</v>
      </c>
      <c r="AA796" s="173">
        <v>1.7211663819755404E-2</v>
      </c>
      <c r="AB796" s="182">
        <v>1.6436784815621053E-2</v>
      </c>
    </row>
    <row r="797" spans="24:28" x14ac:dyDescent="0.2">
      <c r="X797" s="186" t="str">
        <f t="shared" si="46"/>
        <v>1w</v>
      </c>
      <c r="Y797" s="174">
        <f>_xll.qlCalendarAdvance(Calendar,Y796,X797,"f",FALSE)</f>
        <v>44516</v>
      </c>
      <c r="Z797" s="198">
        <f>_xll.qlCalendarAdvance(Calendar,Y797,NDays&amp;"D")</f>
        <v>44518</v>
      </c>
      <c r="AA797" s="173">
        <v>1.726521470894626E-2</v>
      </c>
      <c r="AB797" s="182">
        <v>1.6493787107627611E-2</v>
      </c>
    </row>
    <row r="798" spans="24:28" x14ac:dyDescent="0.2">
      <c r="X798" s="186" t="str">
        <f t="shared" si="46"/>
        <v>1w</v>
      </c>
      <c r="Y798" s="174">
        <f>_xll.qlCalendarAdvance(Calendar,Y797,X798,"f",FALSE)</f>
        <v>44523</v>
      </c>
      <c r="Z798" s="198">
        <f>_xll.qlCalendarAdvance(Calendar,Y798,NDays&amp;"D")</f>
        <v>44525</v>
      </c>
      <c r="AA798" s="173">
        <v>1.7318460351704791E-2</v>
      </c>
      <c r="AB798" s="182">
        <v>1.6550485366035872E-2</v>
      </c>
    </row>
    <row r="799" spans="24:28" x14ac:dyDescent="0.2">
      <c r="X799" s="186" t="str">
        <f t="shared" si="46"/>
        <v>1w</v>
      </c>
      <c r="Y799" s="174">
        <f>_xll.qlCalendarAdvance(Calendar,Y798,X799,"f",FALSE)</f>
        <v>44530</v>
      </c>
      <c r="Z799" s="198">
        <f>_xll.qlCalendarAdvance(Calendar,Y799,NDays&amp;"D")</f>
        <v>44532</v>
      </c>
      <c r="AA799" s="173">
        <v>1.737549391873313E-2</v>
      </c>
      <c r="AB799" s="182">
        <v>1.6606879590845836E-2</v>
      </c>
    </row>
    <row r="800" spans="24:28" x14ac:dyDescent="0.2">
      <c r="X800" s="186" t="str">
        <f t="shared" si="46"/>
        <v>1w</v>
      </c>
      <c r="Y800" s="174">
        <f>_xll.qlCalendarAdvance(Calendar,Y799,X800,"f",FALSE)</f>
        <v>44537</v>
      </c>
      <c r="Z800" s="198">
        <f>_xll.qlCalendarAdvance(Calendar,Y800,NDays&amp;"D")</f>
        <v>44539</v>
      </c>
      <c r="AA800" s="173">
        <v>1.7428109717607883E-2</v>
      </c>
      <c r="AB800" s="182">
        <v>1.6662969781817694E-2</v>
      </c>
    </row>
    <row r="801" spans="24:28" x14ac:dyDescent="0.2">
      <c r="X801" s="186" t="str">
        <f t="shared" si="46"/>
        <v>1w</v>
      </c>
      <c r="Y801" s="174">
        <f>_xll.qlCalendarAdvance(Calendar,Y800,X801,"f",FALSE)</f>
        <v>44544</v>
      </c>
      <c r="Z801" s="198">
        <f>_xll.qlCalendarAdvance(Calendar,Y801,NDays&amp;"D")</f>
        <v>44546</v>
      </c>
      <c r="AA801" s="173">
        <v>1.7480420188489422E-2</v>
      </c>
      <c r="AB801" s="182">
        <v>1.6718755938791574E-2</v>
      </c>
    </row>
    <row r="802" spans="24:28" x14ac:dyDescent="0.2">
      <c r="X802" s="186" t="str">
        <f t="shared" si="46"/>
        <v>1w</v>
      </c>
      <c r="Y802" s="174">
        <f>_xll.qlCalendarAdvance(Calendar,Y801,X802,"f",FALSE)</f>
        <v>44551</v>
      </c>
      <c r="Z802" s="198">
        <f>_xll.qlCalendarAdvance(Calendar,Y802,NDays&amp;"D")</f>
        <v>44553</v>
      </c>
      <c r="AA802" s="173">
        <v>1.7532425307292834E-2</v>
      </c>
      <c r="AB802" s="182">
        <v>1.6774238061687541E-2</v>
      </c>
    </row>
    <row r="803" spans="24:28" x14ac:dyDescent="0.2">
      <c r="X803" s="186" t="str">
        <f t="shared" si="46"/>
        <v>1w</v>
      </c>
      <c r="Y803" s="174">
        <f>_xll.qlCalendarAdvance(Calendar,Y802,X803,"f",FALSE)</f>
        <v>44558</v>
      </c>
      <c r="Z803" s="198">
        <f>_xll.qlCalendarAdvance(Calendar,Y803,NDays&amp;"D")</f>
        <v>44560</v>
      </c>
      <c r="AA803" s="173">
        <v>1.7584125050073313E-2</v>
      </c>
      <c r="AB803" s="182">
        <v>1.6829416150345722E-2</v>
      </c>
    </row>
    <row r="804" spans="24:28" x14ac:dyDescent="0.2">
      <c r="X804" s="186" t="str">
        <f t="shared" si="46"/>
        <v>1w</v>
      </c>
      <c r="Y804" s="174">
        <f>_xll.qlCalendarAdvance(Calendar,Y803,X804,"f",FALSE)</f>
        <v>44565</v>
      </c>
      <c r="Z804" s="198">
        <f>_xll.qlCalendarAdvance(Calendar,Y804,NDays&amp;"D")</f>
        <v>44567</v>
      </c>
      <c r="AA804" s="173">
        <v>1.763152267766465E-2</v>
      </c>
      <c r="AB804" s="182">
        <v>1.6884290204686181E-2</v>
      </c>
    </row>
    <row r="805" spans="24:28" x14ac:dyDescent="0.2">
      <c r="X805" s="186" t="str">
        <f t="shared" si="46"/>
        <v>1w</v>
      </c>
      <c r="Y805" s="174">
        <f>_xll.qlCalendarAdvance(Calendar,Y804,X805,"f",FALSE)</f>
        <v>44572</v>
      </c>
      <c r="Z805" s="198">
        <f>_xll.qlCalendarAdvance(Calendar,Y805,NDays&amp;"D")</f>
        <v>44574</v>
      </c>
      <c r="AA805" s="173">
        <v>1.7682630920568723E-2</v>
      </c>
      <c r="AB805" s="182">
        <v>1.693886022446911E-2</v>
      </c>
    </row>
    <row r="806" spans="24:28" x14ac:dyDescent="0.2">
      <c r="X806" s="186" t="str">
        <f t="shared" si="46"/>
        <v>1w</v>
      </c>
      <c r="Y806" s="174">
        <f>_xll.qlCalendarAdvance(Calendar,Y805,X806,"f",FALSE)</f>
        <v>44579</v>
      </c>
      <c r="Z806" s="198">
        <f>_xll.qlCalendarAdvance(Calendar,Y806,NDays&amp;"D")</f>
        <v>44581</v>
      </c>
      <c r="AA806" s="173">
        <v>1.7733433725905405E-2</v>
      </c>
      <c r="AB806" s="182">
        <v>1.6993126209614573E-2</v>
      </c>
    </row>
    <row r="807" spans="24:28" x14ac:dyDescent="0.2">
      <c r="X807" s="186" t="str">
        <f t="shared" si="46"/>
        <v>1w</v>
      </c>
      <c r="Y807" s="174">
        <f>_xll.qlCalendarAdvance(Calendar,Y806,X807,"f",FALSE)</f>
        <v>44586</v>
      </c>
      <c r="Z807" s="198">
        <f>_xll.qlCalendarAdvance(Calendar,Y807,NDays&amp;"D")</f>
        <v>44588</v>
      </c>
      <c r="AA807" s="173">
        <v>1.7783931070410205E-2</v>
      </c>
      <c r="AB807" s="182">
        <v>1.7047088159882762E-2</v>
      </c>
    </row>
    <row r="808" spans="24:28" x14ac:dyDescent="0.2">
      <c r="X808" s="186" t="str">
        <f t="shared" si="46"/>
        <v>1w</v>
      </c>
      <c r="Y808" s="174">
        <f>_xll.qlCalendarAdvance(Calendar,Y807,X808,"f",FALSE)</f>
        <v>44593</v>
      </c>
      <c r="Z808" s="198">
        <f>_xll.qlCalendarAdvance(Calendar,Y808,NDays&amp;"D")</f>
        <v>44595</v>
      </c>
      <c r="AA808" s="173">
        <v>1.7834122930958204E-2</v>
      </c>
      <c r="AB808" s="182">
        <v>1.7100746075273676E-2</v>
      </c>
    </row>
    <row r="809" spans="24:28" x14ac:dyDescent="0.2">
      <c r="X809" s="186" t="str">
        <f t="shared" si="46"/>
        <v>1w</v>
      </c>
      <c r="Y809" s="174">
        <f>_xll.qlCalendarAdvance(Calendar,Y808,X809,"f",FALSE)</f>
        <v>44600</v>
      </c>
      <c r="Z809" s="198">
        <f>_xll.qlCalendarAdvance(Calendar,Y809,NDays&amp;"D")</f>
        <v>44602</v>
      </c>
      <c r="AA809" s="173">
        <v>1.7884009284564028E-2</v>
      </c>
      <c r="AB809" s="182">
        <v>1.7154099955627444E-2</v>
      </c>
    </row>
    <row r="810" spans="24:28" x14ac:dyDescent="0.2">
      <c r="X810" s="186" t="str">
        <f t="shared" si="46"/>
        <v>1w</v>
      </c>
      <c r="Y810" s="174">
        <f>_xll.qlCalendarAdvance(Calendar,Y809,X810,"f",FALSE)</f>
        <v>44607</v>
      </c>
      <c r="Z810" s="198">
        <f>_xll.qlCalendarAdvance(Calendar,Y810,NDays&amp;"D")</f>
        <v>44609</v>
      </c>
      <c r="AA810" s="173">
        <v>1.7933590108382302E-2</v>
      </c>
      <c r="AB810" s="182">
        <v>1.7207149800784194E-2</v>
      </c>
    </row>
    <row r="811" spans="24:28" x14ac:dyDescent="0.2">
      <c r="X811" s="186" t="str">
        <f t="shared" si="46"/>
        <v>1w</v>
      </c>
      <c r="Y811" s="174">
        <f>_xll.qlCalendarAdvance(Calendar,Y810,X811,"f",FALSE)</f>
        <v>44614</v>
      </c>
      <c r="Z811" s="198">
        <f>_xll.qlCalendarAdvance(Calendar,Y811,NDays&amp;"D")</f>
        <v>44616</v>
      </c>
      <c r="AA811" s="173">
        <v>1.7982865379705889E-2</v>
      </c>
      <c r="AB811" s="182">
        <v>1.7259895610584053E-2</v>
      </c>
    </row>
    <row r="812" spans="24:28" x14ac:dyDescent="0.2">
      <c r="X812" s="186" t="str">
        <f t="shared" si="46"/>
        <v>1w</v>
      </c>
      <c r="Y812" s="174">
        <f>_xll.qlCalendarAdvance(Calendar,Y811,X812,"f",FALSE)</f>
        <v>44621</v>
      </c>
      <c r="Z812" s="198">
        <f>_xll.qlCalendarAdvance(Calendar,Y812,NDays&amp;"D")</f>
        <v>44623</v>
      </c>
      <c r="AA812" s="173">
        <v>1.8051027075637289E-2</v>
      </c>
      <c r="AB812" s="182">
        <v>1.7312337384947085E-2</v>
      </c>
    </row>
    <row r="813" spans="24:28" x14ac:dyDescent="0.2">
      <c r="X813" s="186" t="str">
        <f t="shared" si="46"/>
        <v>1w</v>
      </c>
      <c r="Y813" s="174">
        <f>_xll.qlCalendarAdvance(Calendar,Y812,X813,"f",FALSE)</f>
        <v>44628</v>
      </c>
      <c r="Z813" s="198">
        <f>_xll.qlCalendarAdvance(Calendar,Y813,NDays&amp;"D")</f>
        <v>44630</v>
      </c>
      <c r="AA813" s="173">
        <v>1.8099594149933718E-2</v>
      </c>
      <c r="AB813" s="182">
        <v>1.7364475123633483E-2</v>
      </c>
    </row>
    <row r="814" spans="24:28" x14ac:dyDescent="0.2">
      <c r="X814" s="186" t="str">
        <f t="shared" si="46"/>
        <v>1w</v>
      </c>
      <c r="Y814" s="174">
        <f>_xll.qlCalendarAdvance(Calendar,Y813,X814,"f",FALSE)</f>
        <v>44635</v>
      </c>
      <c r="Z814" s="198">
        <f>_xll.qlCalendarAdvance(Calendar,Y814,NDays&amp;"D")</f>
        <v>44637</v>
      </c>
      <c r="AA814" s="173">
        <v>1.814785555237243E-2</v>
      </c>
      <c r="AB814" s="182">
        <v>1.7416308826723181E-2</v>
      </c>
    </row>
    <row r="815" spans="24:28" x14ac:dyDescent="0.2">
      <c r="X815" s="186" t="str">
        <f t="shared" si="46"/>
        <v>1w</v>
      </c>
      <c r="Y815" s="174">
        <f>_xll.qlCalendarAdvance(Calendar,Y814,X815,"f",FALSE)</f>
        <v>44642</v>
      </c>
      <c r="Z815" s="198">
        <f>_xll.qlCalendarAdvance(Calendar,Y815,NDays&amp;"D")</f>
        <v>44644</v>
      </c>
      <c r="AA815" s="173">
        <v>1.8195811260240408E-2</v>
      </c>
      <c r="AB815" s="182">
        <v>1.7467838493816501E-2</v>
      </c>
    </row>
    <row r="816" spans="24:28" x14ac:dyDescent="0.2">
      <c r="X816" s="186" t="str">
        <f t="shared" si="46"/>
        <v>1w</v>
      </c>
      <c r="Y816" s="174">
        <f>_xll.qlCalendarAdvance(Calendar,Y815,X816,"f",FALSE)</f>
        <v>44649</v>
      </c>
      <c r="Z816" s="198">
        <f>_xll.qlCalendarAdvance(Calendar,Y816,NDays&amp;"D")</f>
        <v>44651</v>
      </c>
      <c r="AA816" s="173">
        <v>1.8232184299682139E-2</v>
      </c>
      <c r="AB816" s="182">
        <v>1.7519064124993378E-2</v>
      </c>
    </row>
    <row r="817" spans="24:28" x14ac:dyDescent="0.2">
      <c r="X817" s="186" t="str">
        <f t="shared" si="46"/>
        <v>1w</v>
      </c>
      <c r="Y817" s="174">
        <f>_xll.qlCalendarAdvance(Calendar,Y816,X817,"f",FALSE)</f>
        <v>44656</v>
      </c>
      <c r="Z817" s="198">
        <f>_xll.qlCalendarAdvance(Calendar,Y817,NDays&amp;"D")</f>
        <v>44658</v>
      </c>
      <c r="AA817" s="173">
        <v>1.8279586896596083E-2</v>
      </c>
      <c r="AB817" s="182">
        <v>1.7569985720014003E-2</v>
      </c>
    </row>
    <row r="818" spans="24:28" x14ac:dyDescent="0.2">
      <c r="X818" s="186" t="str">
        <f t="shared" si="46"/>
        <v>1w</v>
      </c>
      <c r="Y818" s="174">
        <f>_xll.qlCalendarAdvance(Calendar,Y817,X818,"f",FALSE)</f>
        <v>44663</v>
      </c>
      <c r="Z818" s="198">
        <f>_xll.qlCalendarAdvance(Calendar,Y818,NDays&amp;"D")</f>
        <v>44665</v>
      </c>
      <c r="AA818" s="173">
        <v>1.8326683764301084E-2</v>
      </c>
      <c r="AB818" s="182">
        <v>1.7636731215480594E-2</v>
      </c>
    </row>
    <row r="819" spans="24:28" x14ac:dyDescent="0.2">
      <c r="X819" s="186" t="str">
        <f t="shared" si="46"/>
        <v>1w</v>
      </c>
      <c r="Y819" s="174">
        <f>_xll.qlCalendarAdvance(Calendar,Y818,X819,"f",FALSE)</f>
        <v>44670</v>
      </c>
      <c r="Z819" s="198">
        <f>_xll.qlCalendarAdvance(Calendar,Y819,NDays&amp;"D")</f>
        <v>44672</v>
      </c>
      <c r="AA819" s="173">
        <v>1.8373474880987267E-2</v>
      </c>
      <c r="AB819" s="182">
        <v>1.767091680118682E-2</v>
      </c>
    </row>
    <row r="820" spans="24:28" x14ac:dyDescent="0.2">
      <c r="X820" s="186" t="str">
        <f t="shared" si="46"/>
        <v>1w</v>
      </c>
      <c r="Y820" s="174">
        <f>_xll.qlCalendarAdvance(Calendar,Y819,X820,"f",FALSE)</f>
        <v>44677</v>
      </c>
      <c r="Z820" s="198">
        <f>_xll.qlCalendarAdvance(Calendar,Y820,NDays&amp;"D")</f>
        <v>44679</v>
      </c>
      <c r="AA820" s="173">
        <v>1.8419960224986712E-2</v>
      </c>
      <c r="AB820" s="182">
        <v>1.7720926287019267E-2</v>
      </c>
    </row>
    <row r="821" spans="24:28" x14ac:dyDescent="0.2">
      <c r="X821" s="186" t="str">
        <f t="shared" si="46"/>
        <v>1w</v>
      </c>
      <c r="Y821" s="174">
        <f>_xll.qlCalendarAdvance(Calendar,Y820,X821,"f",FALSE)</f>
        <v>44684</v>
      </c>
      <c r="Z821" s="198">
        <f>_xll.qlCalendarAdvance(Calendar,Y821,NDays&amp;"D")</f>
        <v>44686</v>
      </c>
      <c r="AA821" s="173">
        <v>1.8477124722705678E-2</v>
      </c>
      <c r="AB821" s="182">
        <v>1.7770631736295783E-2</v>
      </c>
    </row>
    <row r="822" spans="24:28" x14ac:dyDescent="0.2">
      <c r="X822" s="186" t="str">
        <f t="shared" si="46"/>
        <v>1w</v>
      </c>
      <c r="Y822" s="174">
        <f>_xll.qlCalendarAdvance(Calendar,Y821,X822,"f",FALSE)</f>
        <v>44691</v>
      </c>
      <c r="Z822" s="198">
        <f>_xll.qlCalendarAdvance(Calendar,Y822,NDays&amp;"D")</f>
        <v>44693</v>
      </c>
      <c r="AA822" s="173">
        <v>1.8522941036009356E-2</v>
      </c>
      <c r="AB822" s="182">
        <v>1.782003314877656E-2</v>
      </c>
    </row>
    <row r="823" spans="24:28" x14ac:dyDescent="0.2">
      <c r="X823" s="186" t="str">
        <f t="shared" si="46"/>
        <v>1w</v>
      </c>
      <c r="Y823" s="174">
        <f>_xll.qlCalendarAdvance(Calendar,Y822,X823,"f",FALSE)</f>
        <v>44698</v>
      </c>
      <c r="Z823" s="198">
        <f>_xll.qlCalendarAdvance(Calendar,Y823,NDays&amp;"D")</f>
        <v>44700</v>
      </c>
      <c r="AA823" s="173">
        <v>1.8568454263982868E-2</v>
      </c>
      <c r="AB823" s="182">
        <v>1.7869130524301724E-2</v>
      </c>
    </row>
    <row r="824" spans="24:28" x14ac:dyDescent="0.2">
      <c r="X824" s="186" t="str">
        <f t="shared" si="46"/>
        <v>1w</v>
      </c>
      <c r="Y824" s="174">
        <f>_xll.qlCalendarAdvance(Calendar,Y823,X824,"f",FALSE)</f>
        <v>44705</v>
      </c>
      <c r="Z824" s="198">
        <f>_xll.qlCalendarAdvance(Calendar,Y824,NDays&amp;"D")</f>
        <v>44707</v>
      </c>
      <c r="AA824" s="173">
        <v>1.8613666158176945E-2</v>
      </c>
      <c r="AB824" s="182">
        <v>1.7917923862951213E-2</v>
      </c>
    </row>
    <row r="825" spans="24:28" x14ac:dyDescent="0.2">
      <c r="X825" s="186" t="str">
        <f t="shared" si="46"/>
        <v>1w</v>
      </c>
      <c r="Y825" s="174">
        <f>_xll.qlCalendarAdvance(Calendar,Y824,X825,"f",FALSE)</f>
        <v>44712</v>
      </c>
      <c r="Z825" s="198">
        <f>_xll.qlCalendarAdvance(Calendar,Y825,NDays&amp;"D")</f>
        <v>44714</v>
      </c>
      <c r="AA825" s="173">
        <v>1.8647820956559872E-2</v>
      </c>
      <c r="AB825" s="182">
        <v>1.7966413164405282E-2</v>
      </c>
    </row>
    <row r="826" spans="24:28" x14ac:dyDescent="0.2">
      <c r="X826" s="186" t="str">
        <f t="shared" si="46"/>
        <v>1w</v>
      </c>
      <c r="Y826" s="174">
        <f>_xll.qlCalendarAdvance(Calendar,Y825,X826,"f",FALSE)</f>
        <v>44719</v>
      </c>
      <c r="Z826" s="198">
        <f>_xll.qlCalendarAdvance(Calendar,Y826,NDays&amp;"D")</f>
        <v>44721</v>
      </c>
      <c r="AA826" s="173">
        <v>1.8692490710997347E-2</v>
      </c>
      <c r="AB826" s="182">
        <v>1.8014598428583994E-2</v>
      </c>
    </row>
    <row r="827" spans="24:28" x14ac:dyDescent="0.2">
      <c r="X827" s="186" t="str">
        <f t="shared" si="46"/>
        <v>1w</v>
      </c>
      <c r="Y827" s="174">
        <f>_xll.qlCalendarAdvance(Calendar,Y826,X827,"f",FALSE)</f>
        <v>44726</v>
      </c>
      <c r="Z827" s="198">
        <f>_xll.qlCalendarAdvance(Calendar,Y827,NDays&amp;"D")</f>
        <v>44728</v>
      </c>
      <c r="AA827" s="173">
        <v>1.8736863811652626E-2</v>
      </c>
      <c r="AB827" s="182">
        <v>1.8062479655327479E-2</v>
      </c>
    </row>
    <row r="828" spans="24:28" x14ac:dyDescent="0.2">
      <c r="X828" s="186" t="str">
        <f t="shared" si="46"/>
        <v>1w</v>
      </c>
      <c r="Y828" s="174">
        <f>_xll.qlCalendarAdvance(Calendar,Y827,X828,"f",FALSE)</f>
        <v>44733</v>
      </c>
      <c r="Z828" s="198">
        <f>_xll.qlCalendarAdvance(Calendar,Y828,NDays&amp;"D")</f>
        <v>44735</v>
      </c>
      <c r="AA828" s="173">
        <v>1.8780942040311797E-2</v>
      </c>
      <c r="AB828" s="182">
        <v>1.8110056844715672E-2</v>
      </c>
    </row>
    <row r="829" spans="24:28" x14ac:dyDescent="0.2">
      <c r="X829" s="186" t="str">
        <f t="shared" si="46"/>
        <v>1w</v>
      </c>
      <c r="Y829" s="174">
        <f>_xll.qlCalendarAdvance(Calendar,Y828,X829,"f",FALSE)</f>
        <v>44740</v>
      </c>
      <c r="Z829" s="198">
        <f>_xll.qlCalendarAdvance(Calendar,Y829,NDays&amp;"D")</f>
        <v>44742</v>
      </c>
      <c r="AA829" s="173">
        <v>1.8824727179052293E-2</v>
      </c>
      <c r="AB829" s="182">
        <v>1.8157329996348892E-2</v>
      </c>
    </row>
    <row r="830" spans="24:28" x14ac:dyDescent="0.2">
      <c r="X830" s="186" t="str">
        <f t="shared" si="46"/>
        <v>1w</v>
      </c>
      <c r="Y830" s="174">
        <f>_xll.qlCalendarAdvance(Calendar,Y829,X830,"f",FALSE)</f>
        <v>44747</v>
      </c>
      <c r="Z830" s="198">
        <f>_xll.qlCalendarAdvance(Calendar,Y830,NDays&amp;"D")</f>
        <v>44749</v>
      </c>
      <c r="AA830" s="173">
        <v>1.8878707638751272E-2</v>
      </c>
      <c r="AB830" s="182">
        <v>1.8204299110307076E-2</v>
      </c>
    </row>
    <row r="831" spans="24:28" x14ac:dyDescent="0.2">
      <c r="X831" s="186" t="str">
        <f t="shared" si="46"/>
        <v>1w</v>
      </c>
      <c r="Y831" s="174">
        <f>_xll.qlCalendarAdvance(Calendar,Y830,X831,"f",FALSE)</f>
        <v>44754</v>
      </c>
      <c r="Z831" s="198">
        <f>_xll.qlCalendarAdvance(Calendar,Y831,NDays&amp;"D")</f>
        <v>44756</v>
      </c>
      <c r="AA831" s="173">
        <v>1.8921859265093544E-2</v>
      </c>
      <c r="AB831" s="182">
        <v>1.8250964186350416E-2</v>
      </c>
    </row>
    <row r="832" spans="24:28" x14ac:dyDescent="0.2">
      <c r="X832" s="186" t="str">
        <f t="shared" si="46"/>
        <v>1w</v>
      </c>
      <c r="Y832" s="174">
        <f>_xll.qlCalendarAdvance(Calendar,Y831,X832,"f",FALSE)</f>
        <v>44761</v>
      </c>
      <c r="Z832" s="198">
        <f>_xll.qlCalendarAdvance(Calendar,Y832,NDays&amp;"D")</f>
        <v>44763</v>
      </c>
      <c r="AA832" s="173">
        <v>1.896472358077797E-2</v>
      </c>
      <c r="AB832" s="182">
        <v>1.8297325224478911E-2</v>
      </c>
    </row>
    <row r="833" spans="24:28" x14ac:dyDescent="0.2">
      <c r="X833" s="186" t="str">
        <f t="shared" si="46"/>
        <v>1w</v>
      </c>
      <c r="Y833" s="174">
        <f>_xll.qlCalendarAdvance(Calendar,Y832,X833,"f",FALSE)</f>
        <v>44768</v>
      </c>
      <c r="Z833" s="198">
        <f>_xll.qlCalendarAdvance(Calendar,Y833,NDays&amp;"D")</f>
        <v>44770</v>
      </c>
      <c r="AA833" s="173">
        <v>1.900730233999403E-2</v>
      </c>
      <c r="AB833" s="182">
        <v>1.8343382224532689E-2</v>
      </c>
    </row>
    <row r="834" spans="24:28" x14ac:dyDescent="0.2">
      <c r="X834" s="186" t="str">
        <f t="shared" si="46"/>
        <v>1w</v>
      </c>
      <c r="Y834" s="174">
        <f>_xll.qlCalendarAdvance(Calendar,Y833,X834,"f",FALSE)</f>
        <v>44775</v>
      </c>
      <c r="Z834" s="198">
        <f>_xll.qlCalendarAdvance(Calendar,Y834,NDays&amp;"D")</f>
        <v>44777</v>
      </c>
      <c r="AA834" s="173">
        <v>1.9049597297212277E-2</v>
      </c>
      <c r="AB834" s="182">
        <v>1.8389135186351879E-2</v>
      </c>
    </row>
    <row r="835" spans="24:28" x14ac:dyDescent="0.2">
      <c r="X835" s="186" t="str">
        <f t="shared" si="46"/>
        <v>1w</v>
      </c>
      <c r="Y835" s="174">
        <f>_xll.qlCalendarAdvance(Calendar,Y834,X835,"f",FALSE)</f>
        <v>44782</v>
      </c>
      <c r="Z835" s="198">
        <f>_xll.qlCalendarAdvance(Calendar,Y835,NDays&amp;"D")</f>
        <v>44784</v>
      </c>
      <c r="AA835" s="173">
        <v>1.9091610207180882E-2</v>
      </c>
      <c r="AB835" s="182">
        <v>1.8434584109776608E-2</v>
      </c>
    </row>
    <row r="836" spans="24:28" x14ac:dyDescent="0.2">
      <c r="X836" s="186" t="str">
        <f t="shared" si="46"/>
        <v>1w</v>
      </c>
      <c r="Y836" s="174">
        <f>_xll.qlCalendarAdvance(Calendar,Y835,X836,"f",FALSE)</f>
        <v>44789</v>
      </c>
      <c r="Z836" s="198">
        <f>_xll.qlCalendarAdvance(Calendar,Y836,NDays&amp;"D")</f>
        <v>44791</v>
      </c>
      <c r="AA836" s="173">
        <v>1.9133342824922638E-2</v>
      </c>
      <c r="AB836" s="182">
        <v>1.8479728994806877E-2</v>
      </c>
    </row>
    <row r="837" spans="24:28" x14ac:dyDescent="0.2">
      <c r="X837" s="186" t="str">
        <f t="shared" si="46"/>
        <v>1w</v>
      </c>
      <c r="Y837" s="174">
        <f>_xll.qlCalendarAdvance(Calendar,Y836,X837,"f",FALSE)</f>
        <v>44796</v>
      </c>
      <c r="Z837" s="198">
        <f>_xll.qlCalendarAdvance(Calendar,Y837,NDays&amp;"D")</f>
        <v>44798</v>
      </c>
      <c r="AA837" s="173">
        <v>1.9174796905733239E-2</v>
      </c>
      <c r="AB837" s="182">
        <v>1.8524569841282812E-2</v>
      </c>
    </row>
    <row r="838" spans="24:28" x14ac:dyDescent="0.2">
      <c r="X838" s="186" t="str">
        <f t="shared" si="46"/>
        <v>1w</v>
      </c>
      <c r="Y838" s="174">
        <f>_xll.qlCalendarAdvance(Calendar,Y837,X838,"f",FALSE)</f>
        <v>44803</v>
      </c>
      <c r="Z838" s="198">
        <f>_xll.qlCalendarAdvance(Calendar,Y838,NDays&amp;"D")</f>
        <v>44805</v>
      </c>
      <c r="AA838" s="173">
        <v>1.9199174190953579E-2</v>
      </c>
      <c r="AB838" s="182">
        <v>1.8569106649044542E-2</v>
      </c>
    </row>
    <row r="839" spans="24:28" x14ac:dyDescent="0.2">
      <c r="X839" s="186" t="str">
        <f t="shared" si="46"/>
        <v>1w</v>
      </c>
      <c r="Y839" s="174">
        <f>_xll.qlCalendarAdvance(Calendar,Y838,X839,"f",FALSE)</f>
        <v>44810</v>
      </c>
      <c r="Z839" s="198">
        <f>_xll.qlCalendarAdvance(Calendar,Y839,NDays&amp;"D")</f>
        <v>44812</v>
      </c>
      <c r="AA839" s="173">
        <v>1.9240159881235678E-2</v>
      </c>
      <c r="AB839" s="182">
        <v>1.8613339418092067E-2</v>
      </c>
    </row>
    <row r="840" spans="24:28" x14ac:dyDescent="0.2">
      <c r="X840" s="186" t="str">
        <f t="shared" si="46"/>
        <v>1w</v>
      </c>
      <c r="Y840" s="174">
        <f>_xll.qlCalendarAdvance(Calendar,Y839,X840,"f",FALSE)</f>
        <v>44817</v>
      </c>
      <c r="Z840" s="198">
        <f>_xll.qlCalendarAdvance(Calendar,Y840,NDays&amp;"D")</f>
        <v>44819</v>
      </c>
      <c r="AA840" s="173">
        <v>1.9280871965917726E-2</v>
      </c>
      <c r="AB840" s="182">
        <v>1.865726814818558E-2</v>
      </c>
    </row>
    <row r="841" spans="24:28" x14ac:dyDescent="0.2">
      <c r="X841" s="186" t="str">
        <f t="shared" si="46"/>
        <v>1w</v>
      </c>
      <c r="Y841" s="174">
        <f>_xll.qlCalendarAdvance(Calendar,Y840,X841,"f",FALSE)</f>
        <v>44824</v>
      </c>
      <c r="Z841" s="198">
        <f>_xll.qlCalendarAdvance(Calendar,Y841,NDays&amp;"D")</f>
        <v>44826</v>
      </c>
      <c r="AA841" s="173">
        <v>1.9321312250250029E-2</v>
      </c>
      <c r="AB841" s="182">
        <v>1.8700892839325078E-2</v>
      </c>
    </row>
    <row r="842" spans="24:28" x14ac:dyDescent="0.2">
      <c r="X842" s="186" t="str">
        <f t="shared" si="46"/>
        <v>1w</v>
      </c>
      <c r="Y842" s="174">
        <f>_xll.qlCalendarAdvance(Calendar,Y841,X842,"f",FALSE)</f>
        <v>44831</v>
      </c>
      <c r="Z842" s="198">
        <f>_xll.qlCalendarAdvance(Calendar,Y842,NDays&amp;"D")</f>
        <v>44833</v>
      </c>
      <c r="AA842" s="173">
        <v>1.9361482539743471E-2</v>
      </c>
      <c r="AB842" s="182">
        <v>1.8744213491350692E-2</v>
      </c>
    </row>
    <row r="843" spans="24:28" x14ac:dyDescent="0.2">
      <c r="X843" s="186" t="str">
        <f t="shared" si="46"/>
        <v>1w</v>
      </c>
      <c r="Y843" s="174">
        <f>_xll.qlCalendarAdvance(Calendar,Y842,X843,"f",FALSE)</f>
        <v>44838</v>
      </c>
      <c r="Z843" s="198">
        <f>_xll.qlCalendarAdvance(Calendar,Y843,NDays&amp;"D")</f>
        <v>44840</v>
      </c>
      <c r="AA843" s="173">
        <v>1.9404664703218583E-2</v>
      </c>
      <c r="AB843" s="182">
        <v>1.8787230104022612E-2</v>
      </c>
    </row>
    <row r="844" spans="24:28" x14ac:dyDescent="0.2">
      <c r="X844" s="186" t="str">
        <f t="shared" si="46"/>
        <v>1w</v>
      </c>
      <c r="Y844" s="174">
        <f>_xll.qlCalendarAdvance(Calendar,Y843,X844,"f",FALSE)</f>
        <v>44845</v>
      </c>
      <c r="Z844" s="198">
        <f>_xll.qlCalendarAdvance(Calendar,Y844,NDays&amp;"D")</f>
        <v>44847</v>
      </c>
      <c r="AA844" s="173">
        <v>1.9444283977103946E-2</v>
      </c>
      <c r="AB844" s="182">
        <v>1.8829942677500711E-2</v>
      </c>
    </row>
    <row r="845" spans="24:28" x14ac:dyDescent="0.2">
      <c r="X845" s="186" t="str">
        <f t="shared" si="46"/>
        <v>1w</v>
      </c>
      <c r="Y845" s="174">
        <f>_xll.qlCalendarAdvance(Calendar,Y844,X845,"f",FALSE)</f>
        <v>44852</v>
      </c>
      <c r="Z845" s="198">
        <f>_xll.qlCalendarAdvance(Calendar,Y845,NDays&amp;"D")</f>
        <v>44854</v>
      </c>
      <c r="AA845" s="173">
        <v>1.9483638693209668E-2</v>
      </c>
      <c r="AB845" s="182">
        <v>1.8872351211465244E-2</v>
      </c>
    </row>
    <row r="846" spans="24:28" x14ac:dyDescent="0.2">
      <c r="X846" s="186" t="str">
        <f t="shared" si="46"/>
        <v>1w</v>
      </c>
      <c r="Y846" s="174">
        <f>_xll.qlCalendarAdvance(Calendar,Y845,X846,"f",FALSE)</f>
        <v>44859</v>
      </c>
      <c r="Z846" s="198">
        <f>_xll.qlCalendarAdvance(Calendar,Y846,NDays&amp;"D")</f>
        <v>44861</v>
      </c>
      <c r="AA846" s="173">
        <v>1.9522730648062637E-2</v>
      </c>
      <c r="AB846" s="182">
        <v>1.8914455705836275E-2</v>
      </c>
    </row>
    <row r="847" spans="24:28" x14ac:dyDescent="0.2">
      <c r="X847" s="186" t="str">
        <f t="shared" si="46"/>
        <v>1w</v>
      </c>
      <c r="Y847" s="174">
        <f>_xll.qlCalendarAdvance(Calendar,Y846,X847,"f",FALSE)</f>
        <v>44866</v>
      </c>
      <c r="Z847" s="198">
        <f>_xll.qlCalendarAdvance(Calendar,Y847,NDays&amp;"D")</f>
        <v>44868</v>
      </c>
      <c r="AA847" s="173">
        <v>1.9558347275170411E-2</v>
      </c>
      <c r="AB847" s="182">
        <v>1.8956256319286879E-2</v>
      </c>
    </row>
    <row r="848" spans="24:28" x14ac:dyDescent="0.2">
      <c r="X848" s="186" t="str">
        <f t="shared" si="46"/>
        <v>1w</v>
      </c>
      <c r="Y848" s="174">
        <f>_xll.qlCalendarAdvance(Calendar,Y847,X848,"f",FALSE)</f>
        <v>44873</v>
      </c>
      <c r="Z848" s="198">
        <f>_xll.qlCalendarAdvance(Calendar,Y848,NDays&amp;"D")</f>
        <v>44875</v>
      </c>
      <c r="AA848" s="173">
        <v>1.9596935221748154E-2</v>
      </c>
      <c r="AB848" s="182">
        <v>1.8997779396663361E-2</v>
      </c>
    </row>
    <row r="849" spans="24:28" x14ac:dyDescent="0.2">
      <c r="X849" s="186" t="str">
        <f t="shared" si="46"/>
        <v>1w</v>
      </c>
      <c r="Y849" s="174">
        <f>_xll.qlCalendarAdvance(Calendar,Y848,X849,"f",FALSE)</f>
        <v>44880</v>
      </c>
      <c r="Z849" s="198">
        <f>_xll.qlCalendarAdvance(Calendar,Y849,NDays&amp;"D")</f>
        <v>44882</v>
      </c>
      <c r="AA849" s="173">
        <v>1.9635263996838528E-2</v>
      </c>
      <c r="AB849" s="182">
        <v>1.9039045093123264E-2</v>
      </c>
    </row>
    <row r="850" spans="24:28" x14ac:dyDescent="0.2">
      <c r="X850" s="186" t="str">
        <f t="shared" si="46"/>
        <v>1w</v>
      </c>
      <c r="Y850" s="174">
        <f>_xll.qlCalendarAdvance(Calendar,Y849,X850,"f",FALSE)</f>
        <v>44887</v>
      </c>
      <c r="Z850" s="198">
        <f>_xll.qlCalendarAdvance(Calendar,Y850,NDays&amp;"D")</f>
        <v>44889</v>
      </c>
      <c r="AA850" s="173">
        <v>1.9673333585577407E-2</v>
      </c>
      <c r="AB850" s="182">
        <v>1.9080053408666586E-2</v>
      </c>
    </row>
    <row r="851" spans="24:28" x14ac:dyDescent="0.2">
      <c r="X851" s="186" t="str">
        <f t="shared" si="46"/>
        <v>1w</v>
      </c>
      <c r="Y851" s="174">
        <f>_xll.qlCalendarAdvance(Calendar,Y850,X851,"f",FALSE)</f>
        <v>44894</v>
      </c>
      <c r="Z851" s="198">
        <f>_xll.qlCalendarAdvance(Calendar,Y851,NDays&amp;"D")</f>
        <v>44896</v>
      </c>
      <c r="AA851" s="173">
        <v>1.9714292567115252E-2</v>
      </c>
      <c r="AB851" s="182">
        <v>1.9120804343213393E-2</v>
      </c>
    </row>
    <row r="852" spans="24:28" x14ac:dyDescent="0.2">
      <c r="X852" s="186" t="str">
        <f t="shared" si="46"/>
        <v>1w</v>
      </c>
      <c r="Y852" s="174">
        <f>_xll.qlCalendarAdvance(Calendar,Y851,X852,"f",FALSE)</f>
        <v>44901</v>
      </c>
      <c r="Z852" s="198">
        <f>_xll.qlCalendarAdvance(Calendar,Y852,NDays&amp;"D")</f>
        <v>44903</v>
      </c>
      <c r="AA852" s="173">
        <v>1.9751827268663452E-2</v>
      </c>
      <c r="AB852" s="182">
        <v>1.9161297896683749E-2</v>
      </c>
    </row>
    <row r="853" spans="24:28" x14ac:dyDescent="0.2">
      <c r="X853" s="186" t="str">
        <f t="shared" ref="X853:X916" si="47">X852</f>
        <v>1w</v>
      </c>
      <c r="Y853" s="174">
        <f>_xll.qlCalendarAdvance(Calendar,Y852,X853,"f",FALSE)</f>
        <v>44908</v>
      </c>
      <c r="Z853" s="198">
        <f>_xll.qlCalendarAdvance(Calendar,Y853,NDays&amp;"D")</f>
        <v>44910</v>
      </c>
      <c r="AA853" s="173">
        <v>1.9789102728534295E-2</v>
      </c>
      <c r="AB853" s="182">
        <v>1.920153406891778E-2</v>
      </c>
    </row>
    <row r="854" spans="24:28" x14ac:dyDescent="0.2">
      <c r="X854" s="186" t="str">
        <f t="shared" si="47"/>
        <v>1w</v>
      </c>
      <c r="Y854" s="174">
        <f>_xll.qlCalendarAdvance(Calendar,Y853,X854,"f",FALSE)</f>
        <v>44915</v>
      </c>
      <c r="Z854" s="198">
        <f>_xll.qlCalendarAdvance(Calendar,Y854,NDays&amp;"D")</f>
        <v>44917</v>
      </c>
      <c r="AA854" s="173">
        <v>1.9826118932190842E-2</v>
      </c>
      <c r="AB854" s="182">
        <v>1.9241512859835552E-2</v>
      </c>
    </row>
    <row r="855" spans="24:28" x14ac:dyDescent="0.2">
      <c r="X855" s="186" t="str">
        <f t="shared" si="47"/>
        <v>1w</v>
      </c>
      <c r="Y855" s="174">
        <f>_xll.qlCalendarAdvance(Calendar,Y854,X855,"f",FALSE)</f>
        <v>44922</v>
      </c>
      <c r="Z855" s="198">
        <f>_xll.qlCalendarAdvance(Calendar,Y855,NDays&amp;"D")</f>
        <v>44924</v>
      </c>
      <c r="AA855" s="173">
        <v>1.9862875865197163E-2</v>
      </c>
      <c r="AB855" s="182">
        <v>1.9281234269517E-2</v>
      </c>
    </row>
    <row r="856" spans="24:28" x14ac:dyDescent="0.2">
      <c r="X856" s="186" t="str">
        <f t="shared" si="47"/>
        <v>1w</v>
      </c>
      <c r="Y856" s="174">
        <f>_xll.qlCalendarAdvance(Calendar,Y855,X856,"f",FALSE)</f>
        <v>44929</v>
      </c>
      <c r="Z856" s="198">
        <f>_xll.qlCalendarAdvance(Calendar,Y856,NDays&amp;"D")</f>
        <v>44931</v>
      </c>
      <c r="AA856" s="173">
        <v>1.9896307384801502E-2</v>
      </c>
      <c r="AB856" s="182">
        <v>1.9320698297722316E-2</v>
      </c>
    </row>
    <row r="857" spans="24:28" x14ac:dyDescent="0.2">
      <c r="X857" s="186" t="str">
        <f t="shared" si="47"/>
        <v>1w</v>
      </c>
      <c r="Y857" s="174">
        <f>_xll.qlCalendarAdvance(Calendar,Y856,X857,"f",FALSE)</f>
        <v>44936</v>
      </c>
      <c r="Z857" s="198">
        <f>_xll.qlCalendarAdvance(Calendar,Y857,NDays&amp;"D")</f>
        <v>44938</v>
      </c>
      <c r="AA857" s="173">
        <v>1.993256226127528E-2</v>
      </c>
      <c r="AB857" s="182">
        <v>1.93599049444515E-2</v>
      </c>
    </row>
    <row r="858" spans="24:28" x14ac:dyDescent="0.2">
      <c r="X858" s="186" t="str">
        <f t="shared" si="47"/>
        <v>1w</v>
      </c>
      <c r="Y858" s="174">
        <f>_xll.qlCalendarAdvance(Calendar,Y857,X858,"f",FALSE)</f>
        <v>44943</v>
      </c>
      <c r="Z858" s="198">
        <f>_xll.qlCalendarAdvance(Calendar,Y858,NDays&amp;"D")</f>
        <v>44945</v>
      </c>
      <c r="AA858" s="173">
        <v>1.996855783608693E-2</v>
      </c>
      <c r="AB858" s="182">
        <v>1.9398854209464744E-2</v>
      </c>
    </row>
    <row r="859" spans="24:28" x14ac:dyDescent="0.2">
      <c r="X859" s="186" t="str">
        <f t="shared" si="47"/>
        <v>1w</v>
      </c>
      <c r="Y859" s="174">
        <f>_xll.qlCalendarAdvance(Calendar,Y858,X859,"f",FALSE)</f>
        <v>44950</v>
      </c>
      <c r="Z859" s="198">
        <f>_xll.qlCalendarAdvance(Calendar,Y859,NDays&amp;"D")</f>
        <v>44952</v>
      </c>
      <c r="AA859" s="173">
        <v>2.0004294095274579E-2</v>
      </c>
      <c r="AB859" s="182">
        <v>1.9437546092841984E-2</v>
      </c>
    </row>
    <row r="860" spans="24:28" x14ac:dyDescent="0.2">
      <c r="X860" s="186" t="str">
        <f t="shared" si="47"/>
        <v>1w</v>
      </c>
      <c r="Y860" s="174">
        <f>_xll.qlCalendarAdvance(Calendar,Y859,X860,"f",FALSE)</f>
        <v>44957</v>
      </c>
      <c r="Z860" s="198">
        <f>_xll.qlCalendarAdvance(Calendar,Y860,NDays&amp;"D")</f>
        <v>44959</v>
      </c>
      <c r="AA860" s="173">
        <v>2.0039771024976161E-2</v>
      </c>
      <c r="AB860" s="182">
        <v>1.9475980594423348E-2</v>
      </c>
    </row>
    <row r="861" spans="24:28" x14ac:dyDescent="0.2">
      <c r="X861" s="186" t="str">
        <f t="shared" si="47"/>
        <v>1w</v>
      </c>
      <c r="Y861" s="174">
        <f>_xll.qlCalendarAdvance(Calendar,Y860,X861,"f",FALSE)</f>
        <v>44964</v>
      </c>
      <c r="Z861" s="198">
        <f>_xll.qlCalendarAdvance(Calendar,Y861,NDays&amp;"D")</f>
        <v>44966</v>
      </c>
      <c r="AA861" s="173">
        <v>2.0074988611431203E-2</v>
      </c>
      <c r="AB861" s="182">
        <v>1.9514157714208835E-2</v>
      </c>
    </row>
    <row r="862" spans="24:28" x14ac:dyDescent="0.2">
      <c r="X862" s="186" t="str">
        <f t="shared" si="47"/>
        <v>1w</v>
      </c>
      <c r="Y862" s="174">
        <f>_xll.qlCalendarAdvance(Calendar,Y861,X862,"f",FALSE)</f>
        <v>44971</v>
      </c>
      <c r="Z862" s="198">
        <f>_xll.qlCalendarAdvance(Calendar,Y862,NDays&amp;"D")</f>
        <v>44973</v>
      </c>
      <c r="AA862" s="173">
        <v>2.0109946840978134E-2</v>
      </c>
      <c r="AB862" s="182">
        <v>1.9552077451958638E-2</v>
      </c>
    </row>
    <row r="863" spans="24:28" x14ac:dyDescent="0.2">
      <c r="X863" s="186" t="str">
        <f t="shared" si="47"/>
        <v>1w</v>
      </c>
      <c r="Y863" s="174">
        <f>_xll.qlCalendarAdvance(Calendar,Y862,X863,"f",FALSE)</f>
        <v>44978</v>
      </c>
      <c r="Z863" s="198">
        <f>_xll.qlCalendarAdvance(Calendar,Y863,NDays&amp;"D")</f>
        <v>44980</v>
      </c>
      <c r="AA863" s="173">
        <v>2.0144645700057424E-2</v>
      </c>
      <c r="AB863" s="182">
        <v>1.9589739807752693E-2</v>
      </c>
    </row>
    <row r="864" spans="24:28" x14ac:dyDescent="0.2">
      <c r="X864" s="186" t="str">
        <f t="shared" si="47"/>
        <v>1w</v>
      </c>
      <c r="Y864" s="174">
        <f>_xll.qlCalendarAdvance(Calendar,Y863,X864,"f",FALSE)</f>
        <v>44985</v>
      </c>
      <c r="Z864" s="198">
        <f>_xll.qlCalendarAdvance(Calendar,Y864,NDays&amp;"D")</f>
        <v>44987</v>
      </c>
      <c r="AA864" s="173">
        <v>2.0193738245161449E-2</v>
      </c>
      <c r="AB864" s="182">
        <v>1.9627144781511063E-2</v>
      </c>
    </row>
    <row r="865" spans="24:28" x14ac:dyDescent="0.2">
      <c r="X865" s="186" t="str">
        <f t="shared" si="47"/>
        <v>1w</v>
      </c>
      <c r="Y865" s="174">
        <f>_xll.qlCalendarAdvance(Calendar,Y864,X865,"f",FALSE)</f>
        <v>44992</v>
      </c>
      <c r="Z865" s="198">
        <f>_xll.qlCalendarAdvance(Calendar,Y865,NDays&amp;"D")</f>
        <v>44994</v>
      </c>
      <c r="AA865" s="173">
        <v>2.0227835191275752E-2</v>
      </c>
      <c r="AB865" s="182">
        <v>1.9664292372993941E-2</v>
      </c>
    </row>
    <row r="866" spans="24:28" x14ac:dyDescent="0.2">
      <c r="X866" s="186" t="str">
        <f t="shared" si="47"/>
        <v>1w</v>
      </c>
      <c r="Y866" s="174">
        <f>_xll.qlCalendarAdvance(Calendar,Y865,X866,"f",FALSE)</f>
        <v>44999</v>
      </c>
      <c r="Z866" s="198">
        <f>_xll.qlCalendarAdvance(Calendar,Y866,NDays&amp;"D")</f>
        <v>45001</v>
      </c>
      <c r="AA866" s="173">
        <v>2.026167266553186E-2</v>
      </c>
      <c r="AB866" s="182">
        <v>1.9701182582201326E-2</v>
      </c>
    </row>
    <row r="867" spans="24:28" x14ac:dyDescent="0.2">
      <c r="X867" s="186" t="str">
        <f t="shared" si="47"/>
        <v>1w</v>
      </c>
      <c r="Y867" s="174">
        <f>_xll.qlCalendarAdvance(Calendar,Y866,X867,"f",FALSE)</f>
        <v>45006</v>
      </c>
      <c r="Z867" s="198">
        <f>_xll.qlCalendarAdvance(Calendar,Y867,NDays&amp;"D")</f>
        <v>45008</v>
      </c>
      <c r="AA867" s="173">
        <v>2.029525065444121E-2</v>
      </c>
      <c r="AB867" s="182">
        <v>1.9737815409133219E-2</v>
      </c>
    </row>
    <row r="868" spans="24:28" x14ac:dyDescent="0.2">
      <c r="X868" s="186" t="str">
        <f t="shared" si="47"/>
        <v>1w</v>
      </c>
      <c r="Y868" s="174">
        <f>_xll.qlCalendarAdvance(Calendar,Y867,X868,"f",FALSE)</f>
        <v>45013</v>
      </c>
      <c r="Z868" s="198">
        <f>_xll.qlCalendarAdvance(Calendar,Y868,NDays&amp;"D")</f>
        <v>45015</v>
      </c>
      <c r="AA868" s="173">
        <v>2.0319981502494991E-2</v>
      </c>
      <c r="AB868" s="182">
        <v>1.9774190853549811E-2</v>
      </c>
    </row>
    <row r="869" spans="24:28" x14ac:dyDescent="0.2">
      <c r="X869" s="186" t="str">
        <f t="shared" si="47"/>
        <v>1w</v>
      </c>
      <c r="Y869" s="174">
        <f>_xll.qlCalendarAdvance(Calendar,Y868,X869,"f",FALSE)</f>
        <v>45020</v>
      </c>
      <c r="Z869" s="198">
        <f>_xll.qlCalendarAdvance(Calendar,Y869,NDays&amp;"D")</f>
        <v>45022</v>
      </c>
      <c r="AA869" s="173">
        <v>2.0353090512945867E-2</v>
      </c>
      <c r="AB869" s="182">
        <v>1.9822758483931224E-2</v>
      </c>
    </row>
    <row r="870" spans="24:28" x14ac:dyDescent="0.2">
      <c r="X870" s="186" t="str">
        <f t="shared" si="47"/>
        <v>1w</v>
      </c>
      <c r="Y870" s="174">
        <f>_xll.qlCalendarAdvance(Calendar,Y869,X870,"f",FALSE)</f>
        <v>45027</v>
      </c>
      <c r="Z870" s="198">
        <f>_xll.qlCalendarAdvance(Calendar,Y870,NDays&amp;"D")</f>
        <v>45029</v>
      </c>
      <c r="AA870" s="173">
        <v>2.0385940035803365E-2</v>
      </c>
      <c r="AB870" s="182">
        <v>1.9846169594996965E-2</v>
      </c>
    </row>
    <row r="871" spans="24:28" x14ac:dyDescent="0.2">
      <c r="X871" s="186" t="str">
        <f t="shared" si="47"/>
        <v>1w</v>
      </c>
      <c r="Y871" s="174">
        <f>_xll.qlCalendarAdvance(Calendar,Y870,X871,"f",FALSE)</f>
        <v>45034</v>
      </c>
      <c r="Z871" s="198">
        <f>_xll.qlCalendarAdvance(Calendar,Y871,NDays&amp;"D")</f>
        <v>45036</v>
      </c>
      <c r="AA871" s="173">
        <v>2.0418530058183365E-2</v>
      </c>
      <c r="AB871" s="182">
        <v>1.9881772891787719E-2</v>
      </c>
    </row>
    <row r="872" spans="24:28" x14ac:dyDescent="0.2">
      <c r="X872" s="186" t="str">
        <f t="shared" si="47"/>
        <v>1w</v>
      </c>
      <c r="Y872" s="174">
        <f>_xll.qlCalendarAdvance(Calendar,Y871,X872,"f",FALSE)</f>
        <v>45041</v>
      </c>
      <c r="Z872" s="198">
        <f>_xll.qlCalendarAdvance(Calendar,Y872,NDays&amp;"D")</f>
        <v>45043</v>
      </c>
      <c r="AA872" s="173">
        <v>2.0450860567303521E-2</v>
      </c>
      <c r="AB872" s="182">
        <v>1.9917118805743428E-2</v>
      </c>
    </row>
    <row r="873" spans="24:28" x14ac:dyDescent="0.2">
      <c r="X873" s="186" t="str">
        <f t="shared" si="47"/>
        <v>1w</v>
      </c>
      <c r="Y873" s="174">
        <f>_xll.qlCalendarAdvance(Calendar,Y872,X873,"f",FALSE)</f>
        <v>45048</v>
      </c>
      <c r="Z873" s="198">
        <f>_xll.qlCalendarAdvance(Calendar,Y873,NDays&amp;"D")</f>
        <v>45050</v>
      </c>
      <c r="AA873" s="173">
        <v>2.0491268729176445E-2</v>
      </c>
      <c r="AB873" s="182">
        <v>1.9952207337023964E-2</v>
      </c>
    </row>
    <row r="874" spans="24:28" x14ac:dyDescent="0.2">
      <c r="X874" s="186" t="str">
        <f t="shared" si="47"/>
        <v>1w</v>
      </c>
      <c r="Y874" s="174">
        <f>_xll.qlCalendarAdvance(Calendar,Y873,X874,"f",FALSE)</f>
        <v>45055</v>
      </c>
      <c r="Z874" s="198">
        <f>_xll.qlCalendarAdvance(Calendar,Y874,NDays&amp;"D")</f>
        <v>45057</v>
      </c>
      <c r="AA874" s="173">
        <v>2.0523032687097577E-2</v>
      </c>
      <c r="AB874" s="182">
        <v>1.9987038485309583E-2</v>
      </c>
    </row>
    <row r="875" spans="24:28" x14ac:dyDescent="0.2">
      <c r="X875" s="186" t="str">
        <f t="shared" si="47"/>
        <v>1w</v>
      </c>
      <c r="Y875" s="174">
        <f>_xll.qlCalendarAdvance(Calendar,Y874,X875,"f",FALSE)</f>
        <v>45062</v>
      </c>
      <c r="Z875" s="198">
        <f>_xll.qlCalendarAdvance(Calendar,Y875,NDays&amp;"D")</f>
        <v>45064</v>
      </c>
      <c r="AA875" s="173">
        <v>2.0554545321063513E-2</v>
      </c>
      <c r="AB875" s="182">
        <v>2.0021612250760157E-2</v>
      </c>
    </row>
    <row r="876" spans="24:28" x14ac:dyDescent="0.2">
      <c r="X876" s="186" t="str">
        <f t="shared" si="47"/>
        <v>1w</v>
      </c>
      <c r="Y876" s="174">
        <f>_xll.qlCalendarAdvance(Calendar,Y875,X876,"f",FALSE)</f>
        <v>45069</v>
      </c>
      <c r="Z876" s="198">
        <f>_xll.qlCalendarAdvance(Calendar,Y876,NDays&amp;"D")</f>
        <v>45071</v>
      </c>
      <c r="AA876" s="173">
        <v>2.0585812404847109E-2</v>
      </c>
      <c r="AB876" s="182">
        <v>2.0055928633135878E-2</v>
      </c>
    </row>
    <row r="877" spans="24:28" x14ac:dyDescent="0.2">
      <c r="X877" s="186" t="str">
        <f t="shared" si="47"/>
        <v>1w</v>
      </c>
      <c r="Y877" s="174">
        <f>_xll.qlCalendarAdvance(Calendar,Y876,X877,"f",FALSE)</f>
        <v>45076</v>
      </c>
      <c r="Z877" s="198">
        <f>_xll.qlCalendarAdvance(Calendar,Y877,NDays&amp;"D")</f>
        <v>45078</v>
      </c>
      <c r="AA877" s="173">
        <v>2.0608682692213283E-2</v>
      </c>
      <c r="AB877" s="182">
        <v>2.0089987632356809E-2</v>
      </c>
    </row>
    <row r="878" spans="24:28" x14ac:dyDescent="0.2">
      <c r="X878" s="186" t="str">
        <f t="shared" si="47"/>
        <v>1w</v>
      </c>
      <c r="Y878" s="174">
        <f>_xll.qlCalendarAdvance(Calendar,Y877,X878,"f",FALSE)</f>
        <v>45083</v>
      </c>
      <c r="Z878" s="198">
        <f>_xll.qlCalendarAdvance(Calendar,Y878,NDays&amp;"D")</f>
        <v>45085</v>
      </c>
      <c r="AA878" s="173">
        <v>2.0639515639485358E-2</v>
      </c>
      <c r="AB878" s="182">
        <v>2.0123789248422952E-2</v>
      </c>
    </row>
    <row r="879" spans="24:28" x14ac:dyDescent="0.2">
      <c r="X879" s="186" t="str">
        <f t="shared" si="47"/>
        <v>1w</v>
      </c>
      <c r="Y879" s="174">
        <f>_xll.qlCalendarAdvance(Calendar,Y878,X879,"f",FALSE)</f>
        <v>45090</v>
      </c>
      <c r="Z879" s="198">
        <f>_xll.qlCalendarAdvance(Calendar,Y879,NDays&amp;"D")</f>
        <v>45092</v>
      </c>
      <c r="AA879" s="173">
        <v>2.0670118388893162E-2</v>
      </c>
      <c r="AB879" s="182">
        <v>2.0157333481254369E-2</v>
      </c>
    </row>
    <row r="880" spans="24:28" x14ac:dyDescent="0.2">
      <c r="X880" s="186" t="str">
        <f t="shared" si="47"/>
        <v>1w</v>
      </c>
      <c r="Y880" s="174">
        <f>_xll.qlCalendarAdvance(Calendar,Y879,X880,"f",FALSE)</f>
        <v>45097</v>
      </c>
      <c r="Z880" s="198">
        <f>_xll.qlCalendarAdvance(Calendar,Y880,NDays&amp;"D")</f>
        <v>45099</v>
      </c>
      <c r="AA880" s="173">
        <v>2.070049680991996E-2</v>
      </c>
      <c r="AB880" s="182">
        <v>2.0190620330851061E-2</v>
      </c>
    </row>
    <row r="881" spans="24:28" x14ac:dyDescent="0.2">
      <c r="X881" s="186" t="str">
        <f t="shared" si="47"/>
        <v>1w</v>
      </c>
      <c r="Y881" s="174">
        <f>_xll.qlCalendarAdvance(Calendar,Y880,X881,"f",FALSE)</f>
        <v>45104</v>
      </c>
      <c r="Z881" s="198">
        <f>_xll.qlCalendarAdvance(Calendar,Y881,NDays&amp;"D")</f>
        <v>45106</v>
      </c>
      <c r="AA881" s="173">
        <v>2.0730656772484948E-2</v>
      </c>
      <c r="AB881" s="182">
        <v>2.022364979697322E-2</v>
      </c>
    </row>
    <row r="882" spans="24:28" x14ac:dyDescent="0.2">
      <c r="X882" s="186" t="str">
        <f t="shared" si="47"/>
        <v>1w</v>
      </c>
      <c r="Y882" s="174">
        <f>_xll.qlCalendarAdvance(Calendar,Y881,X882,"f",FALSE)</f>
        <v>45111</v>
      </c>
      <c r="Z882" s="198">
        <f>_xll.qlCalendarAdvance(Calendar,Y882,NDays&amp;"D")</f>
        <v>45113</v>
      </c>
      <c r="AA882" s="173">
        <v>2.076858174259915E-2</v>
      </c>
      <c r="AB882" s="182">
        <v>2.0256421879620845E-2</v>
      </c>
    </row>
    <row r="883" spans="24:28" x14ac:dyDescent="0.2">
      <c r="X883" s="186" t="str">
        <f t="shared" si="47"/>
        <v>1w</v>
      </c>
      <c r="Y883" s="174">
        <f>_xll.qlCalendarAdvance(Calendar,Y882,X883,"f",FALSE)</f>
        <v>45118</v>
      </c>
      <c r="Z883" s="198">
        <f>_xll.qlCalendarAdvance(Calendar,Y883,NDays&amp;"D")</f>
        <v>45120</v>
      </c>
      <c r="AA883" s="173">
        <v>2.0798291678850112E-2</v>
      </c>
      <c r="AB883" s="182">
        <v>2.0288936578793937E-2</v>
      </c>
    </row>
    <row r="884" spans="24:28" x14ac:dyDescent="0.2">
      <c r="X884" s="186" t="str">
        <f t="shared" si="47"/>
        <v>1w</v>
      </c>
      <c r="Y884" s="174">
        <f>_xll.qlCalendarAdvance(Calendar,Y883,X884,"f",FALSE)</f>
        <v>45125</v>
      </c>
      <c r="Z884" s="198">
        <f>_xll.qlCalendarAdvance(Calendar,Y884,NDays&amp;"D")</f>
        <v>45127</v>
      </c>
      <c r="AA884" s="173">
        <v>2.0827802271226332E-2</v>
      </c>
      <c r="AB884" s="182">
        <v>2.0321193894332623E-2</v>
      </c>
    </row>
    <row r="885" spans="24:28" x14ac:dyDescent="0.2">
      <c r="X885" s="186" t="str">
        <f t="shared" si="47"/>
        <v>1w</v>
      </c>
      <c r="Y885" s="174">
        <f>_xll.qlCalendarAdvance(Calendar,Y884,X885,"f",FALSE)</f>
        <v>45132</v>
      </c>
      <c r="Z885" s="198">
        <f>_xll.qlCalendarAdvance(Calendar,Y885,NDays&amp;"D")</f>
        <v>45134</v>
      </c>
      <c r="AA885" s="173">
        <v>2.0857119297432149E-2</v>
      </c>
      <c r="AB885" s="182">
        <v>2.0353193826236904E-2</v>
      </c>
    </row>
    <row r="886" spans="24:28" x14ac:dyDescent="0.2">
      <c r="X886" s="186" t="str">
        <f t="shared" si="47"/>
        <v>1w</v>
      </c>
      <c r="Y886" s="174">
        <f>_xll.qlCalendarAdvance(Calendar,Y885,X886,"f",FALSE)</f>
        <v>45139</v>
      </c>
      <c r="Z886" s="198">
        <f>_xll.qlCalendarAdvance(Calendar,Y886,NDays&amp;"D")</f>
        <v>45141</v>
      </c>
      <c r="AA886" s="173">
        <v>2.0886248535578026E-2</v>
      </c>
      <c r="AB886" s="182">
        <v>2.0384936374346907E-2</v>
      </c>
    </row>
    <row r="887" spans="24:28" x14ac:dyDescent="0.2">
      <c r="X887" s="186" t="str">
        <f t="shared" si="47"/>
        <v>1w</v>
      </c>
      <c r="Y887" s="174">
        <f>_xll.qlCalendarAdvance(Calendar,Y886,X887,"f",FALSE)</f>
        <v>45146</v>
      </c>
      <c r="Z887" s="198">
        <f>_xll.qlCalendarAdvance(Calendar,Y887,NDays&amp;"D")</f>
        <v>45148</v>
      </c>
      <c r="AA887" s="173">
        <v>2.0915195764173673E-2</v>
      </c>
      <c r="AB887" s="182">
        <v>2.0416421538662632E-2</v>
      </c>
    </row>
    <row r="888" spans="24:28" x14ac:dyDescent="0.2">
      <c r="X888" s="186" t="str">
        <f t="shared" si="47"/>
        <v>1w</v>
      </c>
      <c r="Y888" s="174">
        <f>_xll.qlCalendarAdvance(Calendar,Y887,X888,"f",FALSE)</f>
        <v>45153</v>
      </c>
      <c r="Z888" s="198">
        <f>_xll.qlCalendarAdvance(Calendar,Y888,NDays&amp;"D")</f>
        <v>45155</v>
      </c>
      <c r="AA888" s="173">
        <v>2.0943966762123765E-2</v>
      </c>
      <c r="AB888" s="182">
        <v>2.0447649319104144E-2</v>
      </c>
    </row>
    <row r="889" spans="24:28" x14ac:dyDescent="0.2">
      <c r="X889" s="186" t="str">
        <f t="shared" si="47"/>
        <v>1w</v>
      </c>
      <c r="Y889" s="174">
        <f>_xll.qlCalendarAdvance(Calendar,Y888,X889,"f",FALSE)</f>
        <v>45160</v>
      </c>
      <c r="Z889" s="198">
        <f>_xll.qlCalendarAdvance(Calendar,Y889,NDays&amp;"D")</f>
        <v>45162</v>
      </c>
      <c r="AA889" s="173">
        <v>2.0972567308721466E-2</v>
      </c>
      <c r="AB889" s="182">
        <v>2.0478619715671442E-2</v>
      </c>
    </row>
    <row r="890" spans="24:28" x14ac:dyDescent="0.2">
      <c r="X890" s="186" t="str">
        <f t="shared" si="47"/>
        <v>1w</v>
      </c>
      <c r="Y890" s="174">
        <f>_xll.qlCalendarAdvance(Calendar,Y889,X890,"f",FALSE)</f>
        <v>45167</v>
      </c>
      <c r="Z890" s="198">
        <f>_xll.qlCalendarAdvance(Calendar,Y890,NDays&amp;"D")</f>
        <v>45169</v>
      </c>
      <c r="AA890" s="173">
        <v>2.0990643979782196E-2</v>
      </c>
      <c r="AB890" s="182">
        <v>2.0509332728124718E-2</v>
      </c>
    </row>
    <row r="891" spans="24:28" x14ac:dyDescent="0.2">
      <c r="X891" s="186" t="str">
        <f t="shared" si="47"/>
        <v>1w</v>
      </c>
      <c r="Y891" s="174">
        <f>_xll.qlCalendarAdvance(Calendar,Y890,X891,"f",FALSE)</f>
        <v>45174</v>
      </c>
      <c r="Z891" s="198">
        <f>_xll.qlCalendarAdvance(Calendar,Y891,NDays&amp;"D")</f>
        <v>45176</v>
      </c>
      <c r="AA891" s="173">
        <v>2.1018949430276889E-2</v>
      </c>
      <c r="AB891" s="182">
        <v>2.0539788356543909E-2</v>
      </c>
    </row>
    <row r="892" spans="24:28" x14ac:dyDescent="0.2">
      <c r="X892" s="186" t="str">
        <f t="shared" si="47"/>
        <v>1w</v>
      </c>
      <c r="Y892" s="174">
        <f>_xll.qlCalendarAdvance(Calendar,Y891,X892,"f",FALSE)</f>
        <v>45181</v>
      </c>
      <c r="Z892" s="198">
        <f>_xll.qlCalendarAdvance(Calendar,Y892,NDays&amp;"D")</f>
        <v>45183</v>
      </c>
      <c r="AA892" s="173">
        <v>2.1047100762540873E-2</v>
      </c>
      <c r="AB892" s="182">
        <v>2.0569986600849077E-2</v>
      </c>
    </row>
    <row r="893" spans="24:28" x14ac:dyDescent="0.2">
      <c r="X893" s="186" t="str">
        <f t="shared" si="47"/>
        <v>1w</v>
      </c>
      <c r="Y893" s="174">
        <f>_xll.qlCalendarAdvance(Calendar,Y892,X893,"f",FALSE)</f>
        <v>45188</v>
      </c>
      <c r="Z893" s="198">
        <f>_xll.qlCalendarAdvance(Calendar,Y893,NDays&amp;"D")</f>
        <v>45190</v>
      </c>
      <c r="AA893" s="173">
        <v>2.1075103883261601E-2</v>
      </c>
      <c r="AB893" s="182">
        <v>2.0599927460960288E-2</v>
      </c>
    </row>
    <row r="894" spans="24:28" x14ac:dyDescent="0.2">
      <c r="X894" s="186" t="str">
        <f t="shared" si="47"/>
        <v>1w</v>
      </c>
      <c r="Y894" s="174">
        <f>_xll.qlCalendarAdvance(Calendar,Y893,X894,"f",FALSE)</f>
        <v>45195</v>
      </c>
      <c r="Z894" s="198">
        <f>_xll.qlCalendarAdvance(Calendar,Y894,NDays&amp;"D")</f>
        <v>45197</v>
      </c>
      <c r="AA894" s="173">
        <v>2.1102964699491057E-2</v>
      </c>
      <c r="AB894" s="182">
        <v>2.0629610936797604E-2</v>
      </c>
    </row>
    <row r="895" spans="24:28" x14ac:dyDescent="0.2">
      <c r="X895" s="186" t="str">
        <f t="shared" si="47"/>
        <v>1w</v>
      </c>
      <c r="Y895" s="174">
        <f>_xll.qlCalendarAdvance(Calendar,Y894,X895,"f",FALSE)</f>
        <v>45202</v>
      </c>
      <c r="Z895" s="198">
        <f>_xll.qlCalendarAdvance(Calendar,Y895,NDays&amp;"D")</f>
        <v>45204</v>
      </c>
      <c r="AA895" s="173">
        <v>2.1133246251695676E-2</v>
      </c>
      <c r="AB895" s="182">
        <v>2.0659037028201155E-2</v>
      </c>
    </row>
    <row r="896" spans="24:28" x14ac:dyDescent="0.2">
      <c r="X896" s="186" t="str">
        <f t="shared" si="47"/>
        <v>1w</v>
      </c>
      <c r="Y896" s="174">
        <f>_xll.qlCalendarAdvance(Calendar,Y895,X896,"f",FALSE)</f>
        <v>45209</v>
      </c>
      <c r="Z896" s="198">
        <f>_xll.qlCalendarAdvance(Calendar,Y896,NDays&amp;"D")</f>
        <v>45211</v>
      </c>
      <c r="AA896" s="173">
        <v>2.1160834006170422E-2</v>
      </c>
      <c r="AB896" s="182">
        <v>2.0688205735410747E-2</v>
      </c>
    </row>
    <row r="897" spans="24:28" x14ac:dyDescent="0.2">
      <c r="X897" s="186" t="str">
        <f t="shared" si="47"/>
        <v>1w</v>
      </c>
      <c r="Y897" s="174">
        <f>_xll.qlCalendarAdvance(Calendar,Y896,X897,"f",FALSE)</f>
        <v>45216</v>
      </c>
      <c r="Z897" s="198">
        <f>_xll.qlCalendarAdvance(Calendar,Y897,NDays&amp;"D")</f>
        <v>45218</v>
      </c>
      <c r="AA897" s="173">
        <v>2.1188297275488561E-2</v>
      </c>
      <c r="AB897" s="182">
        <v>2.0717117057946766E-2</v>
      </c>
    </row>
    <row r="898" spans="24:28" x14ac:dyDescent="0.2">
      <c r="X898" s="186" t="str">
        <f t="shared" si="47"/>
        <v>1w</v>
      </c>
      <c r="Y898" s="174">
        <f>_xll.qlCalendarAdvance(Calendar,Y897,X898,"f",FALSE)</f>
        <v>45223</v>
      </c>
      <c r="Z898" s="198">
        <f>_xll.qlCalendarAdvance(Calendar,Y898,NDays&amp;"D")</f>
        <v>45225</v>
      </c>
      <c r="AA898" s="173">
        <v>2.1215641936134524E-2</v>
      </c>
      <c r="AB898" s="182">
        <v>2.0745770996128954E-2</v>
      </c>
    </row>
    <row r="899" spans="24:28" x14ac:dyDescent="0.2">
      <c r="X899" s="186" t="str">
        <f t="shared" si="47"/>
        <v>1w</v>
      </c>
      <c r="Y899" s="174">
        <f>_xll.qlCalendarAdvance(Calendar,Y898,X899,"f",FALSE)</f>
        <v>45230</v>
      </c>
      <c r="Z899" s="198">
        <f>_xll.qlCalendarAdvance(Calendar,Y899,NDays&amp;"D")</f>
        <v>45232</v>
      </c>
      <c r="AA899" s="173">
        <v>2.1240340985140615E-2</v>
      </c>
      <c r="AB899" s="182">
        <v>2.0774167549637568E-2</v>
      </c>
    </row>
    <row r="900" spans="24:28" x14ac:dyDescent="0.2">
      <c r="X900" s="186" t="str">
        <f t="shared" si="47"/>
        <v>1w</v>
      </c>
      <c r="Y900" s="174">
        <f>_xll.qlCalendarAdvance(Calendar,Y899,X900,"f",FALSE)</f>
        <v>45237</v>
      </c>
      <c r="Z900" s="198">
        <f>_xll.qlCalendarAdvance(Calendar,Y900,NDays&amp;"D")</f>
        <v>45239</v>
      </c>
      <c r="AA900" s="173">
        <v>2.1267471421766243E-2</v>
      </c>
      <c r="AB900" s="182">
        <v>2.0802372435104743E-2</v>
      </c>
    </row>
    <row r="901" spans="24:28" x14ac:dyDescent="0.2">
      <c r="X901" s="186" t="str">
        <f t="shared" si="47"/>
        <v>1w</v>
      </c>
      <c r="Y901" s="174">
        <f>_xll.qlCalendarAdvance(Calendar,Y900,X901,"f",FALSE)</f>
        <v>45244</v>
      </c>
      <c r="Z901" s="198">
        <f>_xll.qlCalendarAdvance(Calendar,Y901,NDays&amp;"D")</f>
        <v>45246</v>
      </c>
      <c r="AA901" s="173">
        <v>2.1294495841242527E-2</v>
      </c>
      <c r="AB901" s="182">
        <v>2.0830471550059571E-2</v>
      </c>
    </row>
    <row r="902" spans="24:28" x14ac:dyDescent="0.2">
      <c r="X902" s="186" t="str">
        <f t="shared" si="47"/>
        <v>1w</v>
      </c>
      <c r="Y902" s="174">
        <f>_xll.qlCalendarAdvance(Calendar,Y901,X902,"f",FALSE)</f>
        <v>45251</v>
      </c>
      <c r="Z902" s="198">
        <f>_xll.qlCalendarAdvance(Calendar,Y902,NDays&amp;"D")</f>
        <v>45253</v>
      </c>
      <c r="AA902" s="173">
        <v>2.1321414242133251E-2</v>
      </c>
      <c r="AB902" s="182">
        <v>2.0858465411528471E-2</v>
      </c>
    </row>
    <row r="903" spans="24:28" x14ac:dyDescent="0.2">
      <c r="X903" s="186" t="str">
        <f t="shared" si="47"/>
        <v>1w</v>
      </c>
      <c r="Y903" s="174">
        <f>_xll.qlCalendarAdvance(Calendar,Y902,X903,"f",FALSE)</f>
        <v>45258</v>
      </c>
      <c r="Z903" s="198">
        <f>_xll.qlCalendarAdvance(Calendar,Y903,NDays&amp;"D")</f>
        <v>45260</v>
      </c>
      <c r="AA903" s="173">
        <v>2.135073555346249E-2</v>
      </c>
      <c r="AB903" s="182">
        <v>2.0886354019751252E-2</v>
      </c>
    </row>
    <row r="904" spans="24:28" x14ac:dyDescent="0.2">
      <c r="X904" s="186" t="str">
        <f t="shared" si="47"/>
        <v>1w</v>
      </c>
      <c r="Y904" s="174">
        <f>_xll.qlCalendarAdvance(Calendar,Y903,X904,"f",FALSE)</f>
        <v>45265</v>
      </c>
      <c r="Z904" s="198">
        <f>_xll.qlCalendarAdvance(Calendar,Y904,NDays&amp;"D")</f>
        <v>45267</v>
      </c>
      <c r="AA904" s="173">
        <v>2.1377435906286935E-2</v>
      </c>
      <c r="AB904" s="182">
        <v>2.0914137374727915E-2</v>
      </c>
    </row>
    <row r="905" spans="24:28" x14ac:dyDescent="0.2">
      <c r="X905" s="186" t="str">
        <f t="shared" si="47"/>
        <v>1w</v>
      </c>
      <c r="Y905" s="174">
        <f>_xll.qlCalendarAdvance(Calendar,Y904,X905,"f",FALSE)</f>
        <v>45272</v>
      </c>
      <c r="Z905" s="198">
        <f>_xll.qlCalendarAdvance(Calendar,Y905,NDays&amp;"D")</f>
        <v>45274</v>
      </c>
      <c r="AA905" s="173">
        <v>2.1404030223087261E-2</v>
      </c>
      <c r="AB905" s="182">
        <v>2.0941815476298586E-2</v>
      </c>
    </row>
    <row r="906" spans="24:28" x14ac:dyDescent="0.2">
      <c r="X906" s="186" t="str">
        <f t="shared" si="47"/>
        <v>1w</v>
      </c>
      <c r="Y906" s="174">
        <f>_xll.qlCalendarAdvance(Calendar,Y905,X906,"f",FALSE)</f>
        <v>45279</v>
      </c>
      <c r="Z906" s="198">
        <f>_xll.qlCalendarAdvance(Calendar,Y906,NDays&amp;"D")</f>
        <v>45281</v>
      </c>
      <c r="AA906" s="173">
        <v>2.1430518499599784E-2</v>
      </c>
      <c r="AB906" s="182">
        <v>2.0969388324543203E-2</v>
      </c>
    </row>
    <row r="907" spans="24:28" x14ac:dyDescent="0.2">
      <c r="X907" s="186" t="str">
        <f t="shared" si="47"/>
        <v>1w</v>
      </c>
      <c r="Y907" s="174">
        <f>_xll.qlCalendarAdvance(Calendar,Y906,X907,"f",FALSE)</f>
        <v>45287</v>
      </c>
      <c r="Z907" s="198">
        <f>_xll.qlCalendarAdvance(Calendar,Y907,NDays&amp;"D")</f>
        <v>45289</v>
      </c>
      <c r="AA907" s="173">
        <v>2.1458176910746505E-2</v>
      </c>
      <c r="AB907" s="182">
        <v>2.1008477657693536E-2</v>
      </c>
    </row>
    <row r="908" spans="24:28" x14ac:dyDescent="0.2">
      <c r="X908" s="186" t="str">
        <f t="shared" si="47"/>
        <v>1w</v>
      </c>
      <c r="Y908" s="174">
        <f>_xll.qlCalendarAdvance(Calendar,Y907,X908,"f",FALSE)</f>
        <v>45294</v>
      </c>
      <c r="Z908" s="198">
        <f>_xll.qlCalendarAdvance(Calendar,Y908,NDays&amp;"D")</f>
        <v>45296</v>
      </c>
      <c r="AA908" s="173">
        <v>2.1484443961085713E-2</v>
      </c>
      <c r="AB908" s="182">
        <v>2.1033244786154981E-2</v>
      </c>
    </row>
    <row r="909" spans="24:28" x14ac:dyDescent="0.2">
      <c r="X909" s="186" t="str">
        <f t="shared" si="47"/>
        <v>1w</v>
      </c>
      <c r="Y909" s="174">
        <f>_xll.qlCalendarAdvance(Calendar,Y908,X909,"f",FALSE)</f>
        <v>45301</v>
      </c>
      <c r="Z909" s="198">
        <f>_xll.qlCalendarAdvance(Calendar,Y909,NDays&amp;"D")</f>
        <v>45303</v>
      </c>
      <c r="AA909" s="173">
        <v>2.151060496255194E-2</v>
      </c>
      <c r="AB909" s="182">
        <v>2.1060474985157285E-2</v>
      </c>
    </row>
    <row r="910" spans="24:28" x14ac:dyDescent="0.2">
      <c r="X910" s="186" t="str">
        <f t="shared" si="47"/>
        <v>1w</v>
      </c>
      <c r="Y910" s="174">
        <f>_xll.qlCalendarAdvance(Calendar,Y909,X910,"f",FALSE)</f>
        <v>45308</v>
      </c>
      <c r="Z910" s="198">
        <f>_xll.qlCalendarAdvance(Calendar,Y910,NDays&amp;"D")</f>
        <v>45310</v>
      </c>
      <c r="AA910" s="173">
        <v>2.1536659910974022E-2</v>
      </c>
      <c r="AB910" s="182">
        <v>2.1087599922440248E-2</v>
      </c>
    </row>
    <row r="911" spans="24:28" x14ac:dyDescent="0.2">
      <c r="X911" s="186" t="str">
        <f t="shared" si="47"/>
        <v>1w</v>
      </c>
      <c r="Y911" s="174">
        <f>_xll.qlCalendarAdvance(Calendar,Y910,X911,"f",FALSE)</f>
        <v>45315</v>
      </c>
      <c r="Z911" s="198">
        <f>_xll.qlCalendarAdvance(Calendar,Y911,NDays&amp;"D")</f>
        <v>45317</v>
      </c>
      <c r="AA911" s="173">
        <v>2.1562608802197031E-2</v>
      </c>
      <c r="AB911" s="182">
        <v>2.1114619597977224E-2</v>
      </c>
    </row>
    <row r="912" spans="24:28" x14ac:dyDescent="0.2">
      <c r="X912" s="186" t="str">
        <f t="shared" si="47"/>
        <v>1w</v>
      </c>
      <c r="Y912" s="174">
        <f>_xll.qlCalendarAdvance(Calendar,Y911,X912,"f",FALSE)</f>
        <v>45322</v>
      </c>
      <c r="Z912" s="198">
        <f>_xll.qlCalendarAdvance(Calendar,Y912,NDays&amp;"D")</f>
        <v>45324</v>
      </c>
      <c r="AA912" s="173">
        <v>2.158845163208363E-2</v>
      </c>
      <c r="AB912" s="182">
        <v>2.1141534011688279E-2</v>
      </c>
    </row>
    <row r="913" spans="24:28" x14ac:dyDescent="0.2">
      <c r="X913" s="186" t="str">
        <f t="shared" si="47"/>
        <v>1w</v>
      </c>
      <c r="Y913" s="174">
        <f>_xll.qlCalendarAdvance(Calendar,Y912,X913,"f",FALSE)</f>
        <v>45329</v>
      </c>
      <c r="Z913" s="198">
        <f>_xll.qlCalendarAdvance(Calendar,Y913,NDays&amp;"D")</f>
        <v>45331</v>
      </c>
      <c r="AA913" s="173">
        <v>2.161418839651227E-2</v>
      </c>
      <c r="AB913" s="182">
        <v>2.1168343163493475E-2</v>
      </c>
    </row>
    <row r="914" spans="24:28" x14ac:dyDescent="0.2">
      <c r="X914" s="186" t="str">
        <f t="shared" si="47"/>
        <v>1w</v>
      </c>
      <c r="Y914" s="174">
        <f>_xll.qlCalendarAdvance(Calendar,Y913,X914,"f",FALSE)</f>
        <v>45336</v>
      </c>
      <c r="Z914" s="198">
        <f>_xll.qlCalendarAdvance(Calendar,Y914,NDays&amp;"D")</f>
        <v>45338</v>
      </c>
      <c r="AA914" s="173">
        <v>2.1639819091378985E-2</v>
      </c>
      <c r="AB914" s="182">
        <v>2.1195047053312877E-2</v>
      </c>
    </row>
    <row r="915" spans="24:28" x14ac:dyDescent="0.2">
      <c r="X915" s="186" t="str">
        <f t="shared" si="47"/>
        <v>1w</v>
      </c>
      <c r="Y915" s="174">
        <f>_xll.qlCalendarAdvance(Calendar,Y914,X915,"f",FALSE)</f>
        <v>45343</v>
      </c>
      <c r="Z915" s="198">
        <f>_xll.qlCalendarAdvance(Calendar,Y915,NDays&amp;"D")</f>
        <v>45345</v>
      </c>
      <c r="AA915" s="173">
        <v>2.1665343712596936E-2</v>
      </c>
      <c r="AB915" s="182">
        <v>2.1221645681119838E-2</v>
      </c>
    </row>
    <row r="916" spans="24:28" x14ac:dyDescent="0.2">
      <c r="X916" s="186" t="str">
        <f t="shared" si="47"/>
        <v>1w</v>
      </c>
      <c r="Y916" s="174">
        <f>_xll.qlCalendarAdvance(Calendar,Y915,X916,"f",FALSE)</f>
        <v>45350</v>
      </c>
      <c r="Z916" s="198">
        <f>_xll.qlCalendarAdvance(Calendar,Y916,NDays&amp;"D")</f>
        <v>45352</v>
      </c>
      <c r="AA916" s="173">
        <v>2.1698049988662954E-2</v>
      </c>
      <c r="AB916" s="182">
        <v>2.1248139046781134E-2</v>
      </c>
    </row>
    <row r="917" spans="24:28" x14ac:dyDescent="0.2">
      <c r="X917" s="186" t="str">
        <f t="shared" ref="X917:X980" si="48">X916</f>
        <v>1w</v>
      </c>
      <c r="Y917" s="174">
        <f>_xll.qlCalendarAdvance(Calendar,Y916,X917,"f",FALSE)</f>
        <v>45357</v>
      </c>
      <c r="Z917" s="198">
        <f>_xll.qlCalendarAdvance(Calendar,Y917,NDays&amp;"D")</f>
        <v>45359</v>
      </c>
      <c r="AA917" s="173">
        <v>2.1723344267349239E-2</v>
      </c>
      <c r="AB917" s="182">
        <v>2.1274527150270117E-2</v>
      </c>
    </row>
    <row r="918" spans="24:28" x14ac:dyDescent="0.2">
      <c r="X918" s="186" t="str">
        <f t="shared" si="48"/>
        <v>1w</v>
      </c>
      <c r="Y918" s="174">
        <f>_xll.qlCalendarAdvance(Calendar,Y917,X918,"f",FALSE)</f>
        <v>45364</v>
      </c>
      <c r="Z918" s="198">
        <f>_xll.qlCalendarAdvance(Calendar,Y918,NDays&amp;"D")</f>
        <v>45366</v>
      </c>
      <c r="AA918" s="173">
        <v>2.1748532445519476E-2</v>
      </c>
      <c r="AB918" s="182">
        <v>2.1300809991506853E-2</v>
      </c>
    </row>
    <row r="919" spans="24:28" x14ac:dyDescent="0.2">
      <c r="X919" s="186" t="str">
        <f t="shared" si="48"/>
        <v>1w</v>
      </c>
      <c r="Y919" s="174">
        <f>_xll.qlCalendarAdvance(Calendar,Y918,X919,"f",FALSE)</f>
        <v>45371</v>
      </c>
      <c r="Z919" s="198">
        <f>_xll.qlCalendarAdvance(Calendar,Y919,NDays&amp;"D")</f>
        <v>45373</v>
      </c>
      <c r="AA919" s="173">
        <v>2.1773614519090878E-2</v>
      </c>
      <c r="AB919" s="182">
        <v>2.1326987570411404E-2</v>
      </c>
    </row>
    <row r="920" spans="24:28" x14ac:dyDescent="0.2">
      <c r="X920" s="186" t="str">
        <f t="shared" si="48"/>
        <v>1w</v>
      </c>
      <c r="Y920" s="174">
        <f>_xll.qlCalendarAdvance(Calendar,Y919,X920,"f",FALSE)</f>
        <v>45378</v>
      </c>
      <c r="Z920" s="198">
        <f>_xll.qlCalendarAdvance(Calendar,Y920,NDays&amp;"D")</f>
        <v>45384</v>
      </c>
      <c r="AA920" s="173">
        <v>2.1808012314569612E-2</v>
      </c>
      <c r="AB920" s="182">
        <v>2.136293449651383E-2</v>
      </c>
    </row>
    <row r="921" spans="24:28" x14ac:dyDescent="0.2">
      <c r="X921" s="186" t="str">
        <f t="shared" si="48"/>
        <v>1w</v>
      </c>
      <c r="Y921" s="174">
        <f>_xll.qlCalendarAdvance(Calendar,Y920,X921,"f",FALSE)</f>
        <v>45385</v>
      </c>
      <c r="Z921" s="198">
        <f>_xll.qlCalendarAdvance(Calendar,Y921,NDays&amp;"D")</f>
        <v>45387</v>
      </c>
      <c r="AA921" s="173">
        <v>2.1823460336192001E-2</v>
      </c>
      <c r="AB921" s="182">
        <v>2.1379026941010792E-2</v>
      </c>
    </row>
    <row r="922" spans="24:28" x14ac:dyDescent="0.2">
      <c r="X922" s="186" t="str">
        <f t="shared" si="48"/>
        <v>1w</v>
      </c>
      <c r="Y922" s="174">
        <f>_xll.qlCalendarAdvance(Calendar,Y921,X922,"f",FALSE)</f>
        <v>45392</v>
      </c>
      <c r="Z922" s="198">
        <f>_xll.qlCalendarAdvance(Calendar,Y922,NDays&amp;"D")</f>
        <v>45394</v>
      </c>
      <c r="AA922" s="173">
        <v>2.1848224071641699E-2</v>
      </c>
      <c r="AB922" s="182">
        <v>2.1404888732545757E-2</v>
      </c>
    </row>
    <row r="923" spans="24:28" x14ac:dyDescent="0.2">
      <c r="X923" s="186" t="str">
        <f t="shared" si="48"/>
        <v>1w</v>
      </c>
      <c r="Y923" s="174">
        <f>_xll.qlCalendarAdvance(Calendar,Y922,X923,"f",FALSE)</f>
        <v>45399</v>
      </c>
      <c r="Z923" s="198">
        <f>_xll.qlCalendarAdvance(Calendar,Y923,NDays&amp;"D")</f>
        <v>45401</v>
      </c>
      <c r="AA923" s="173">
        <v>2.1872881686332515E-2</v>
      </c>
      <c r="AB923" s="182">
        <v>2.1430645261482084E-2</v>
      </c>
    </row>
    <row r="924" spans="24:28" x14ac:dyDescent="0.2">
      <c r="X924" s="186" t="str">
        <f t="shared" si="48"/>
        <v>1w</v>
      </c>
      <c r="Y924" s="174">
        <f>_xll.qlCalendarAdvance(Calendar,Y923,X924,"f",FALSE)</f>
        <v>45406</v>
      </c>
      <c r="Z924" s="198">
        <f>_xll.qlCalendarAdvance(Calendar,Y924,NDays&amp;"D")</f>
        <v>45408</v>
      </c>
      <c r="AA924" s="173">
        <v>2.1897433176267647E-2</v>
      </c>
      <c r="AB924" s="182">
        <v>2.1456296527766483E-2</v>
      </c>
    </row>
    <row r="925" spans="24:28" x14ac:dyDescent="0.2">
      <c r="X925" s="186" t="str">
        <f t="shared" si="48"/>
        <v>1w</v>
      </c>
      <c r="Y925" s="174">
        <f>_xll.qlCalendarAdvance(Calendar,Y924,X925,"f",FALSE)</f>
        <v>45414</v>
      </c>
      <c r="Z925" s="198">
        <f>_xll.qlCalendarAdvance(Calendar,Y925,NDays&amp;"D")</f>
        <v>45418</v>
      </c>
      <c r="AA925" s="173">
        <v>2.1929951211200872E-2</v>
      </c>
      <c r="AB925" s="182">
        <v>2.1487840170317796E-2</v>
      </c>
    </row>
    <row r="926" spans="24:28" x14ac:dyDescent="0.2">
      <c r="X926" s="186" t="str">
        <f t="shared" si="48"/>
        <v>1w</v>
      </c>
      <c r="Y926" s="174">
        <f>_xll.qlCalendarAdvance(Calendar,Y925,X926,"f",FALSE)</f>
        <v>45421</v>
      </c>
      <c r="Z926" s="198">
        <f>_xll.qlCalendarAdvance(Calendar,Y926,NDays&amp;"D")</f>
        <v>45425</v>
      </c>
      <c r="AA926" s="173">
        <v>2.1954250294210935E-2</v>
      </c>
      <c r="AB926" s="182">
        <v>2.1513247801037139E-2</v>
      </c>
    </row>
    <row r="927" spans="24:28" x14ac:dyDescent="0.2">
      <c r="X927" s="186" t="str">
        <f t="shared" si="48"/>
        <v>1w</v>
      </c>
      <c r="Y927" s="174">
        <f>_xll.qlCalendarAdvance(Calendar,Y926,X927,"f",FALSE)</f>
        <v>45428</v>
      </c>
      <c r="Z927" s="198">
        <f>_xll.qlCalendarAdvance(Calendar,Y927,NDays&amp;"D")</f>
        <v>45432</v>
      </c>
      <c r="AA927" s="173">
        <v>2.1978440427190261E-2</v>
      </c>
      <c r="AB927" s="182">
        <v>2.1538550177870874E-2</v>
      </c>
    </row>
    <row r="928" spans="24:28" x14ac:dyDescent="0.2">
      <c r="X928" s="186" t="str">
        <f t="shared" si="48"/>
        <v>1w</v>
      </c>
      <c r="Y928" s="174">
        <f>_xll.qlCalendarAdvance(Calendar,Y927,X928,"f",FALSE)</f>
        <v>45435</v>
      </c>
      <c r="Z928" s="198">
        <f>_xll.qlCalendarAdvance(Calendar,Y928,NDays&amp;"D")</f>
        <v>45439</v>
      </c>
      <c r="AA928" s="173">
        <v>2.200251941527543E-2</v>
      </c>
      <c r="AB928" s="182">
        <v>2.1563747300739067E-2</v>
      </c>
    </row>
    <row r="929" spans="24:28" x14ac:dyDescent="0.2">
      <c r="X929" s="186" t="str">
        <f t="shared" si="48"/>
        <v>1w</v>
      </c>
      <c r="Y929" s="174">
        <f>_xll.qlCalendarAdvance(Calendar,Y928,X929,"f",FALSE)</f>
        <v>45442</v>
      </c>
      <c r="Z929" s="198">
        <f>_xll.qlCalendarAdvance(Calendar,Y929,NDays&amp;"D")</f>
        <v>45446</v>
      </c>
      <c r="AA929" s="173">
        <v>2.2024140265084372E-2</v>
      </c>
      <c r="AB929" s="182">
        <v>2.1588839169721652E-2</v>
      </c>
    </row>
    <row r="930" spans="24:28" x14ac:dyDescent="0.2">
      <c r="X930" s="186" t="str">
        <f t="shared" si="48"/>
        <v>1w</v>
      </c>
      <c r="Y930" s="174">
        <f>_xll.qlCalendarAdvance(Calendar,Y929,X930,"f",FALSE)</f>
        <v>45449</v>
      </c>
      <c r="Z930" s="198">
        <f>_xll.qlCalendarAdvance(Calendar,Y930,NDays&amp;"D")</f>
        <v>45453</v>
      </c>
      <c r="AA930" s="173">
        <v>2.2047997854498787E-2</v>
      </c>
      <c r="AB930" s="182">
        <v>2.1613825784738694E-2</v>
      </c>
    </row>
    <row r="931" spans="24:28" x14ac:dyDescent="0.2">
      <c r="X931" s="186" t="str">
        <f t="shared" si="48"/>
        <v>1w</v>
      </c>
      <c r="Y931" s="174">
        <f>_xll.qlCalendarAdvance(Calendar,Y930,X931,"f",FALSE)</f>
        <v>45456</v>
      </c>
      <c r="Z931" s="198">
        <f>_xll.qlCalendarAdvance(Calendar,Y931,NDays&amp;"D")</f>
        <v>45460</v>
      </c>
      <c r="AA931" s="173">
        <v>2.2071737971241612E-2</v>
      </c>
      <c r="AB931" s="182">
        <v>2.1638707145790192E-2</v>
      </c>
    </row>
    <row r="932" spans="24:28" x14ac:dyDescent="0.2">
      <c r="X932" s="186" t="str">
        <f t="shared" si="48"/>
        <v>1w</v>
      </c>
      <c r="Y932" s="174">
        <f>_xll.qlCalendarAdvance(Calendar,Y931,X932,"f",FALSE)</f>
        <v>45463</v>
      </c>
      <c r="Z932" s="198">
        <f>_xll.qlCalendarAdvance(Calendar,Y932,NDays&amp;"D")</f>
        <v>45467</v>
      </c>
      <c r="AA932" s="173">
        <v>2.2095358408300132E-2</v>
      </c>
      <c r="AB932" s="182">
        <v>2.1663483252956084E-2</v>
      </c>
    </row>
    <row r="933" spans="24:28" x14ac:dyDescent="0.2">
      <c r="X933" s="186" t="str">
        <f t="shared" si="48"/>
        <v>1w</v>
      </c>
      <c r="Y933" s="174">
        <f>_xll.qlCalendarAdvance(Calendar,Y932,X933,"f",FALSE)</f>
        <v>45470</v>
      </c>
      <c r="Z933" s="198">
        <f>_xll.qlCalendarAdvance(Calendar,Y933,NDays&amp;"D")</f>
        <v>45474</v>
      </c>
      <c r="AA933" s="173">
        <v>2.2123482992303819E-2</v>
      </c>
      <c r="AB933" s="182">
        <v>2.168815410599656E-2</v>
      </c>
    </row>
    <row r="934" spans="24:28" x14ac:dyDescent="0.2">
      <c r="X934" s="186" t="str">
        <f t="shared" si="48"/>
        <v>1w</v>
      </c>
      <c r="Y934" s="174">
        <f>_xll.qlCalendarAdvance(Calendar,Y933,X934,"f",FALSE)</f>
        <v>45477</v>
      </c>
      <c r="Z934" s="198">
        <f>_xll.qlCalendarAdvance(Calendar,Y934,NDays&amp;"D")</f>
        <v>45481</v>
      </c>
      <c r="AA934" s="173">
        <v>2.2144536377797956E-2</v>
      </c>
      <c r="AB934" s="182">
        <v>2.1712719704991557E-2</v>
      </c>
    </row>
    <row r="935" spans="24:28" x14ac:dyDescent="0.2">
      <c r="X935" s="186" t="str">
        <f t="shared" si="48"/>
        <v>1w</v>
      </c>
      <c r="Y935" s="174">
        <f>_xll.qlCalendarAdvance(Calendar,Y934,X935,"f",FALSE)</f>
        <v>45484</v>
      </c>
      <c r="Z935" s="198">
        <f>_xll.qlCalendarAdvance(Calendar,Y935,NDays&amp;"D")</f>
        <v>45488</v>
      </c>
      <c r="AA935" s="173">
        <v>2.2167775888245287E-2</v>
      </c>
      <c r="AB935" s="182">
        <v>2.1737180050100946E-2</v>
      </c>
    </row>
    <row r="936" spans="24:28" x14ac:dyDescent="0.2">
      <c r="X936" s="186" t="str">
        <f t="shared" si="48"/>
        <v>1w</v>
      </c>
      <c r="Y936" s="174">
        <f>_xll.qlCalendarAdvance(Calendar,Y935,X936,"f",FALSE)</f>
        <v>45491</v>
      </c>
      <c r="Z936" s="198">
        <f>_xll.qlCalendarAdvance(Calendar,Y936,NDays&amp;"D")</f>
        <v>45495</v>
      </c>
      <c r="AA936" s="173">
        <v>2.219088669183614E-2</v>
      </c>
      <c r="AB936" s="182">
        <v>2.1761535141004984E-2</v>
      </c>
    </row>
    <row r="937" spans="24:28" x14ac:dyDescent="0.2">
      <c r="X937" s="186" t="str">
        <f t="shared" si="48"/>
        <v>1w</v>
      </c>
      <c r="Y937" s="174">
        <f>_xll.qlCalendarAdvance(Calendar,Y936,X937,"f",FALSE)</f>
        <v>45498</v>
      </c>
      <c r="Z937" s="198">
        <f>_xll.qlCalendarAdvance(Calendar,Y937,NDays&amp;"D")</f>
        <v>45502</v>
      </c>
      <c r="AA937" s="173">
        <v>2.2213866592962907E-2</v>
      </c>
      <c r="AB937" s="182">
        <v>2.1785784977863543E-2</v>
      </c>
    </row>
    <row r="938" spans="24:28" x14ac:dyDescent="0.2">
      <c r="X938" s="186" t="str">
        <f t="shared" si="48"/>
        <v>1w</v>
      </c>
      <c r="Y938" s="174">
        <f>_xll.qlCalendarAdvance(Calendar,Y937,X938,"f",FALSE)</f>
        <v>45505</v>
      </c>
      <c r="Z938" s="198">
        <f>_xll.qlCalendarAdvance(Calendar,Y938,NDays&amp;"D")</f>
        <v>45509</v>
      </c>
      <c r="AA938" s="173">
        <v>2.2236713395938912E-2</v>
      </c>
      <c r="AB938" s="182">
        <v>2.1809929560596686E-2</v>
      </c>
    </row>
    <row r="939" spans="24:28" x14ac:dyDescent="0.2">
      <c r="X939" s="186" t="str">
        <f t="shared" si="48"/>
        <v>1w</v>
      </c>
      <c r="Y939" s="174">
        <f>_xll.qlCalendarAdvance(Calendar,Y938,X939,"f",FALSE)</f>
        <v>45512</v>
      </c>
      <c r="Z939" s="198">
        <f>_xll.qlCalendarAdvance(Calendar,Y939,NDays&amp;"D")</f>
        <v>45516</v>
      </c>
      <c r="AA939" s="173">
        <v>2.2259424905007104E-2</v>
      </c>
      <c r="AB939" s="182">
        <v>2.1833968889204414E-2</v>
      </c>
    </row>
    <row r="940" spans="24:28" x14ac:dyDescent="0.2">
      <c r="X940" s="186" t="str">
        <f t="shared" si="48"/>
        <v>1w</v>
      </c>
      <c r="Y940" s="174">
        <f>_xll.qlCalendarAdvance(Calendar,Y939,X940,"f",FALSE)</f>
        <v>45519</v>
      </c>
      <c r="Z940" s="198">
        <f>_xll.qlCalendarAdvance(Calendar,Y940,NDays&amp;"D")</f>
        <v>45523</v>
      </c>
      <c r="AA940" s="173">
        <v>2.2281998924333093E-2</v>
      </c>
      <c r="AB940" s="182">
        <v>2.185790296360679E-2</v>
      </c>
    </row>
    <row r="941" spans="24:28" x14ac:dyDescent="0.2">
      <c r="X941" s="186" t="str">
        <f t="shared" si="48"/>
        <v>1w</v>
      </c>
      <c r="Y941" s="174">
        <f>_xll.qlCalendarAdvance(Calendar,Y940,X941,"f",FALSE)</f>
        <v>45526</v>
      </c>
      <c r="Z941" s="198">
        <f>_xll.qlCalendarAdvance(Calendar,Y941,NDays&amp;"D")</f>
        <v>45530</v>
      </c>
      <c r="AA941" s="173">
        <v>2.2304433258012991E-2</v>
      </c>
      <c r="AB941" s="182">
        <v>2.1881731783883751E-2</v>
      </c>
    </row>
    <row r="942" spans="24:28" x14ac:dyDescent="0.2">
      <c r="X942" s="186" t="str">
        <f t="shared" si="48"/>
        <v>1w</v>
      </c>
      <c r="Y942" s="174">
        <f>_xll.qlCalendarAdvance(Calendar,Y941,X942,"f",FALSE)</f>
        <v>45533</v>
      </c>
      <c r="Z942" s="198">
        <f>_xll.qlCalendarAdvance(Calendar,Y942,NDays&amp;"D")</f>
        <v>45537</v>
      </c>
      <c r="AA942" s="173">
        <v>2.2322263001075027E-2</v>
      </c>
      <c r="AB942" s="182">
        <v>2.1905455349875425E-2</v>
      </c>
    </row>
    <row r="943" spans="24:28" x14ac:dyDescent="0.2">
      <c r="X943" s="186" t="str">
        <f t="shared" si="48"/>
        <v>1w</v>
      </c>
      <c r="Y943" s="174">
        <f>_xll.qlCalendarAdvance(Calendar,Y942,X943,"f",FALSE)</f>
        <v>45540</v>
      </c>
      <c r="Z943" s="198">
        <f>_xll.qlCalendarAdvance(Calendar,Y943,NDays&amp;"D")</f>
        <v>45544</v>
      </c>
      <c r="AA943" s="173">
        <v>2.2344431170500868E-2</v>
      </c>
      <c r="AB943" s="182">
        <v>2.1929073661741683E-2</v>
      </c>
    </row>
    <row r="944" spans="24:28" x14ac:dyDescent="0.2">
      <c r="X944" s="186" t="str">
        <f t="shared" si="48"/>
        <v>1w</v>
      </c>
      <c r="Y944" s="174">
        <f>_xll.qlCalendarAdvance(Calendar,Y943,X944,"f",FALSE)</f>
        <v>45547</v>
      </c>
      <c r="Z944" s="198">
        <f>_xll.qlCalendarAdvance(Calendar,Y944,NDays&amp;"D")</f>
        <v>45551</v>
      </c>
      <c r="AA944" s="173">
        <v>2.2366453274872595E-2</v>
      </c>
      <c r="AB944" s="182">
        <v>2.1952586719322653E-2</v>
      </c>
    </row>
    <row r="945" spans="24:28" x14ac:dyDescent="0.2">
      <c r="X945" s="186" t="str">
        <f t="shared" si="48"/>
        <v>1w</v>
      </c>
      <c r="Y945" s="174">
        <f>_xll.qlCalendarAdvance(Calendar,Y944,X945,"f",FALSE)</f>
        <v>45554</v>
      </c>
      <c r="Z945" s="198">
        <f>_xll.qlCalendarAdvance(Calendar,Y945,NDays&amp;"D")</f>
        <v>45558</v>
      </c>
      <c r="AA945" s="173">
        <v>2.2388327094265737E-2</v>
      </c>
      <c r="AB945" s="182">
        <v>2.1975994522698272E-2</v>
      </c>
    </row>
    <row r="946" spans="24:28" x14ac:dyDescent="0.2">
      <c r="X946" s="186" t="str">
        <f t="shared" si="48"/>
        <v>1w</v>
      </c>
      <c r="Y946" s="174">
        <f>_xll.qlCalendarAdvance(Calendar,Y945,X946,"f",FALSE)</f>
        <v>45561</v>
      </c>
      <c r="Z946" s="198">
        <f>_xll.qlCalendarAdvance(Calendar,Y946,NDays&amp;"D")</f>
        <v>45565</v>
      </c>
      <c r="AA946" s="173">
        <v>2.2410050408694347E-2</v>
      </c>
      <c r="AB946" s="182">
        <v>2.1999297071708668E-2</v>
      </c>
    </row>
    <row r="947" spans="24:28" x14ac:dyDescent="0.2">
      <c r="X947" s="186" t="str">
        <f t="shared" si="48"/>
        <v>1w</v>
      </c>
      <c r="Y947" s="174">
        <f>_xll.qlCalendarAdvance(Calendar,Y946,X947,"f",FALSE)</f>
        <v>45568</v>
      </c>
      <c r="Z947" s="198">
        <f>_xll.qlCalendarAdvance(Calendar,Y947,NDays&amp;"D")</f>
        <v>45572</v>
      </c>
      <c r="AA947" s="173">
        <v>2.2431620998108342E-2</v>
      </c>
      <c r="AB947" s="182">
        <v>2.2022494366433776E-2</v>
      </c>
    </row>
    <row r="948" spans="24:28" x14ac:dyDescent="0.2">
      <c r="X948" s="186" t="str">
        <f t="shared" si="48"/>
        <v>1w</v>
      </c>
      <c r="Y948" s="174">
        <f>_xll.qlCalendarAdvance(Calendar,Y947,X948,"f",FALSE)</f>
        <v>45575</v>
      </c>
      <c r="Z948" s="198">
        <f>_xll.qlCalendarAdvance(Calendar,Y948,NDays&amp;"D")</f>
        <v>45579</v>
      </c>
      <c r="AA948" s="173">
        <v>2.2453036642397475E-2</v>
      </c>
      <c r="AB948" s="182">
        <v>2.2045586406873596E-2</v>
      </c>
    </row>
    <row r="949" spans="24:28" x14ac:dyDescent="0.2">
      <c r="X949" s="186" t="str">
        <f t="shared" si="48"/>
        <v>1w</v>
      </c>
      <c r="Y949" s="174">
        <f>_xll.qlCalendarAdvance(Calendar,Y948,X949,"f",FALSE)</f>
        <v>45582</v>
      </c>
      <c r="Z949" s="198">
        <f>_xll.qlCalendarAdvance(Calendar,Y949,NDays&amp;"D")</f>
        <v>45586</v>
      </c>
      <c r="AA949" s="173">
        <v>2.2476455869525243E-2</v>
      </c>
      <c r="AB949" s="182">
        <v>2.2068573192948193E-2</v>
      </c>
    </row>
    <row r="950" spans="24:28" x14ac:dyDescent="0.2">
      <c r="X950" s="186" t="str">
        <f t="shared" si="48"/>
        <v>1w</v>
      </c>
      <c r="Y950" s="174">
        <f>_xll.qlCalendarAdvance(Calendar,Y949,X950,"f",FALSE)</f>
        <v>45589</v>
      </c>
      <c r="Z950" s="198">
        <f>_xll.qlCalendarAdvance(Calendar,Y950,NDays&amp;"D")</f>
        <v>45593</v>
      </c>
      <c r="AA950" s="173">
        <v>2.249539421486501E-2</v>
      </c>
      <c r="AB950" s="182">
        <v>2.2091454724657567E-2</v>
      </c>
    </row>
    <row r="951" spans="24:28" x14ac:dyDescent="0.2">
      <c r="X951" s="186" t="str">
        <f t="shared" si="48"/>
        <v>1w</v>
      </c>
      <c r="Y951" s="174">
        <f>_xll.qlCalendarAdvance(Calendar,Y950,X951,"f",FALSE)</f>
        <v>45596</v>
      </c>
      <c r="Z951" s="198">
        <f>_xll.qlCalendarAdvance(Calendar,Y951,NDays&amp;"D")</f>
        <v>45600</v>
      </c>
      <c r="AA951" s="173">
        <v>2.2516331702533469E-2</v>
      </c>
      <c r="AB951" s="182">
        <v>2.2114230808316648E-2</v>
      </c>
    </row>
    <row r="952" spans="24:28" x14ac:dyDescent="0.2">
      <c r="X952" s="186" t="str">
        <f t="shared" si="48"/>
        <v>1w</v>
      </c>
      <c r="Y952" s="174">
        <f>_xll.qlCalendarAdvance(Calendar,Y951,X952,"f",FALSE)</f>
        <v>45603</v>
      </c>
      <c r="Z952" s="198">
        <f>_xll.qlCalendarAdvance(Calendar,Y952,NDays&amp;"D")</f>
        <v>45607</v>
      </c>
      <c r="AA952" s="173">
        <v>2.2537105733269988E-2</v>
      </c>
      <c r="AB952" s="182">
        <v>2.2136869287567862E-2</v>
      </c>
    </row>
    <row r="953" spans="24:28" x14ac:dyDescent="0.2">
      <c r="X953" s="186" t="str">
        <f t="shared" si="48"/>
        <v>1w</v>
      </c>
      <c r="Y953" s="174">
        <f>_xll.qlCalendarAdvance(Calendar,Y952,X953,"f",FALSE)</f>
        <v>45610</v>
      </c>
      <c r="Z953" s="198">
        <f>_xll.qlCalendarAdvance(Calendar,Y953,NDays&amp;"D")</f>
        <v>45614</v>
      </c>
      <c r="AA953" s="173">
        <v>2.2557715932764302E-2</v>
      </c>
      <c r="AB953" s="182">
        <v>2.2159345561130195E-2</v>
      </c>
    </row>
    <row r="954" spans="24:28" x14ac:dyDescent="0.2">
      <c r="X954" s="186" t="str">
        <f t="shared" si="48"/>
        <v>1w</v>
      </c>
      <c r="Y954" s="174">
        <f>_xll.qlCalendarAdvance(Calendar,Y953,X954,"f",FALSE)</f>
        <v>45617</v>
      </c>
      <c r="Z954" s="198">
        <f>_xll.qlCalendarAdvance(Calendar,Y954,NDays&amp;"D")</f>
        <v>45621</v>
      </c>
      <c r="AA954" s="173">
        <v>2.2578162295948827E-2</v>
      </c>
      <c r="AB954" s="182">
        <v>2.2181659628763839E-2</v>
      </c>
    </row>
    <row r="955" spans="24:28" x14ac:dyDescent="0.2">
      <c r="X955" s="186" t="str">
        <f t="shared" si="48"/>
        <v>1w</v>
      </c>
      <c r="Y955" s="174">
        <f>_xll.qlCalendarAdvance(Calendar,Y954,X955,"f",FALSE)</f>
        <v>45624</v>
      </c>
      <c r="Z955" s="198">
        <f>_xll.qlCalendarAdvance(Calendar,Y955,NDays&amp;"D")</f>
        <v>45628</v>
      </c>
      <c r="AA955" s="173">
        <v>2.259844481779593E-2</v>
      </c>
      <c r="AB955" s="182">
        <v>2.2203811490628667E-2</v>
      </c>
    </row>
    <row r="956" spans="24:28" x14ac:dyDescent="0.2">
      <c r="X956" s="186" t="str">
        <f t="shared" si="48"/>
        <v>1w</v>
      </c>
      <c r="Y956" s="174">
        <f>_xll.qlCalendarAdvance(Calendar,Y955,X956,"f",FALSE)</f>
        <v>45631</v>
      </c>
      <c r="Z956" s="198">
        <f>_xll.qlCalendarAdvance(Calendar,Y956,NDays&amp;"D")</f>
        <v>45635</v>
      </c>
      <c r="AA956" s="173">
        <v>2.2618563493318831E-2</v>
      </c>
      <c r="AB956" s="182">
        <v>2.2225801146564805E-2</v>
      </c>
    </row>
    <row r="957" spans="24:28" x14ac:dyDescent="0.2">
      <c r="X957" s="186" t="str">
        <f t="shared" si="48"/>
        <v>1w</v>
      </c>
      <c r="Y957" s="174">
        <f>_xll.qlCalendarAdvance(Calendar,Y956,X957,"f",FALSE)</f>
        <v>45638</v>
      </c>
      <c r="Z957" s="198">
        <f>_xll.qlCalendarAdvance(Calendar,Y957,NDays&amp;"D")</f>
        <v>45642</v>
      </c>
      <c r="AA957" s="173">
        <v>2.2638518317569405E-2</v>
      </c>
      <c r="AB957" s="182">
        <v>2.2247628596652191E-2</v>
      </c>
    </row>
    <row r="958" spans="24:28" x14ac:dyDescent="0.2">
      <c r="X958" s="186" t="str">
        <f t="shared" si="48"/>
        <v>1w</v>
      </c>
      <c r="Y958" s="174">
        <f>_xll.qlCalendarAdvance(Calendar,Y957,X958,"f",FALSE)</f>
        <v>45645</v>
      </c>
      <c r="Z958" s="198">
        <f>_xll.qlCalendarAdvance(Calendar,Y958,NDays&amp;"D")</f>
        <v>45649</v>
      </c>
      <c r="AA958" s="173">
        <v>2.2658309285640364E-2</v>
      </c>
      <c r="AB958" s="182">
        <v>2.2269293840730953E-2</v>
      </c>
    </row>
    <row r="959" spans="24:28" x14ac:dyDescent="0.2">
      <c r="X959" s="186" t="str">
        <f t="shared" si="48"/>
        <v>1w</v>
      </c>
      <c r="Y959" s="174">
        <f>_xll.qlCalendarAdvance(Calendar,Y958,X959,"f",FALSE)</f>
        <v>45653</v>
      </c>
      <c r="Z959" s="198">
        <f>_xll.qlCalendarAdvance(Calendar,Y959,NDays&amp;"D")</f>
        <v>45657</v>
      </c>
      <c r="AA959" s="173">
        <v>2.267867104709172E-2</v>
      </c>
      <c r="AB959" s="182">
        <v>2.2296073550220896E-2</v>
      </c>
    </row>
    <row r="960" spans="24:28" x14ac:dyDescent="0.2">
      <c r="X960" s="186" t="str">
        <f t="shared" si="48"/>
        <v>1w</v>
      </c>
      <c r="Y960" s="174">
        <f>_xll.qlCalendarAdvance(Calendar,Y959,X960,"f",FALSE)</f>
        <v>45660</v>
      </c>
      <c r="Z960" s="198">
        <f>_xll.qlCalendarAdvance(Calendar,Y960,NDays&amp;"D")</f>
        <v>45664</v>
      </c>
      <c r="AA960" s="173">
        <v>2.269812136492674E-2</v>
      </c>
      <c r="AB960" s="182">
        <v>2.2315173160034618E-2</v>
      </c>
    </row>
    <row r="961" spans="24:28" x14ac:dyDescent="0.2">
      <c r="X961" s="186" t="str">
        <f t="shared" si="48"/>
        <v>1w</v>
      </c>
      <c r="Y961" s="174">
        <f>_xll.qlCalendarAdvance(Calendar,Y960,X961,"f",FALSE)</f>
        <v>45667</v>
      </c>
      <c r="Z961" s="198">
        <f>_xll.qlCalendarAdvance(Calendar,Y961,NDays&amp;"D")</f>
        <v>45671</v>
      </c>
      <c r="AA961" s="173">
        <v>2.27174078210018E-2</v>
      </c>
      <c r="AB961" s="182">
        <v>2.2336328613823397E-2</v>
      </c>
    </row>
    <row r="962" spans="24:28" x14ac:dyDescent="0.2">
      <c r="X962" s="186" t="str">
        <f t="shared" si="48"/>
        <v>1w</v>
      </c>
      <c r="Y962" s="174">
        <f>_xll.qlCalendarAdvance(Calendar,Y961,X962,"f",FALSE)</f>
        <v>45674</v>
      </c>
      <c r="Z962" s="198">
        <f>_xll.qlCalendarAdvance(Calendar,Y962,NDays&amp;"D")</f>
        <v>45678</v>
      </c>
      <c r="AA962" s="173">
        <v>2.2736530410600669E-2</v>
      </c>
      <c r="AB962" s="182">
        <v>2.2357321861523616E-2</v>
      </c>
    </row>
    <row r="963" spans="24:28" x14ac:dyDescent="0.2">
      <c r="X963" s="186" t="str">
        <f t="shared" si="48"/>
        <v>1w</v>
      </c>
      <c r="Y963" s="174">
        <f>_xll.qlCalendarAdvance(Calendar,Y962,X963,"f",FALSE)</f>
        <v>45681</v>
      </c>
      <c r="Z963" s="198">
        <f>_xll.qlCalendarAdvance(Calendar,Y963,NDays&amp;"D")</f>
        <v>45685</v>
      </c>
      <c r="AA963" s="173">
        <v>2.2755489129047308E-2</v>
      </c>
      <c r="AB963" s="182">
        <v>2.2378152903215209E-2</v>
      </c>
    </row>
    <row r="964" spans="24:28" x14ac:dyDescent="0.2">
      <c r="X964" s="186" t="str">
        <f t="shared" si="48"/>
        <v>1w</v>
      </c>
      <c r="Y964" s="174">
        <f>_xll.qlCalendarAdvance(Calendar,Y963,X964,"f",FALSE)</f>
        <v>45688</v>
      </c>
      <c r="Z964" s="198">
        <f>_xll.qlCalendarAdvance(Calendar,Y964,NDays&amp;"D")</f>
        <v>45692</v>
      </c>
      <c r="AA964" s="173">
        <v>2.2774283971704546E-2</v>
      </c>
      <c r="AB964" s="182">
        <v>2.2398821738738306E-2</v>
      </c>
    </row>
    <row r="965" spans="24:28" x14ac:dyDescent="0.2">
      <c r="X965" s="186" t="str">
        <f t="shared" si="48"/>
        <v>1w</v>
      </c>
      <c r="Y965" s="174">
        <f>_xll.qlCalendarAdvance(Calendar,Y964,X965,"f",FALSE)</f>
        <v>45695</v>
      </c>
      <c r="Z965" s="198">
        <f>_xll.qlCalendarAdvance(Calendar,Y965,NDays&amp;"D")</f>
        <v>45699</v>
      </c>
      <c r="AA965" s="173">
        <v>2.2792914933976279E-2</v>
      </c>
      <c r="AB965" s="182">
        <v>2.2419328368092906E-2</v>
      </c>
    </row>
    <row r="966" spans="24:28" x14ac:dyDescent="0.2">
      <c r="X966" s="186" t="str">
        <f t="shared" si="48"/>
        <v>1w</v>
      </c>
      <c r="Y966" s="174">
        <f>_xll.qlCalendarAdvance(Calendar,Y965,X966,"f",FALSE)</f>
        <v>45702</v>
      </c>
      <c r="Z966" s="198">
        <f>_xll.qlCalendarAdvance(Calendar,Y966,NDays&amp;"D")</f>
        <v>45706</v>
      </c>
      <c r="AA966" s="173">
        <v>2.2811382011306152E-2</v>
      </c>
      <c r="AB966" s="182">
        <v>2.2439672791358944E-2</v>
      </c>
    </row>
    <row r="967" spans="24:28" x14ac:dyDescent="0.2">
      <c r="X967" s="186" t="str">
        <f t="shared" si="48"/>
        <v>1w</v>
      </c>
      <c r="Y967" s="174">
        <f>_xll.qlCalendarAdvance(Calendar,Y966,X967,"f",FALSE)</f>
        <v>45709</v>
      </c>
      <c r="Z967" s="198">
        <f>_xll.qlCalendarAdvance(Calendar,Y967,NDays&amp;"D")</f>
        <v>45713</v>
      </c>
      <c r="AA967" s="173">
        <v>2.2829685199177555E-2</v>
      </c>
      <c r="AB967" s="182">
        <v>2.245985500837655E-2</v>
      </c>
    </row>
    <row r="968" spans="24:28" x14ac:dyDescent="0.2">
      <c r="X968" s="186" t="str">
        <f t="shared" si="48"/>
        <v>1w</v>
      </c>
      <c r="Y968" s="174">
        <f>_xll.qlCalendarAdvance(Calendar,Y967,X968,"f",FALSE)</f>
        <v>45716</v>
      </c>
      <c r="Z968" s="198">
        <f>_xll.qlCalendarAdvance(Calendar,Y968,NDays&amp;"D")</f>
        <v>45720</v>
      </c>
      <c r="AA968" s="173">
        <v>2.2853705055526547E-2</v>
      </c>
      <c r="AB968" s="182">
        <v>2.2479875019225659E-2</v>
      </c>
    </row>
    <row r="969" spans="24:28" x14ac:dyDescent="0.2">
      <c r="X969" s="186" t="str">
        <f t="shared" si="48"/>
        <v>1w</v>
      </c>
      <c r="Y969" s="174">
        <f>_xll.qlCalendarAdvance(Calendar,Y968,X969,"f",FALSE)</f>
        <v>45723</v>
      </c>
      <c r="Z969" s="198">
        <f>_xll.qlCalendarAdvance(Calendar,Y969,NDays&amp;"D")</f>
        <v>45727</v>
      </c>
      <c r="AA969" s="173">
        <v>2.28716487266051E-2</v>
      </c>
      <c r="AB969" s="182">
        <v>2.2499732823666463E-2</v>
      </c>
    </row>
    <row r="970" spans="24:28" x14ac:dyDescent="0.2">
      <c r="X970" s="186" t="str">
        <f t="shared" si="48"/>
        <v>1w</v>
      </c>
      <c r="Y970" s="174">
        <f>_xll.qlCalendarAdvance(Calendar,Y969,X970,"f",FALSE)</f>
        <v>45730</v>
      </c>
      <c r="Z970" s="198">
        <f>_xll.qlCalendarAdvance(Calendar,Y970,NDays&amp;"D")</f>
        <v>45734</v>
      </c>
      <c r="AA970" s="173">
        <v>2.2889428465558394E-2</v>
      </c>
      <c r="AB970" s="182">
        <v>2.2519428422018706E-2</v>
      </c>
    </row>
    <row r="971" spans="24:28" x14ac:dyDescent="0.2">
      <c r="X971" s="186" t="str">
        <f t="shared" si="48"/>
        <v>1w</v>
      </c>
      <c r="Y971" s="174">
        <f>_xll.qlCalendarAdvance(Calendar,Y970,X971,"f",FALSE)</f>
        <v>45737</v>
      </c>
      <c r="Z971" s="198">
        <f>_xll.qlCalendarAdvance(Calendar,Y971,NDays&amp;"D")</f>
        <v>45741</v>
      </c>
      <c r="AA971" s="173">
        <v>2.290704426796604E-2</v>
      </c>
      <c r="AB971" s="182">
        <v>2.2538961813962644E-2</v>
      </c>
    </row>
    <row r="972" spans="24:28" x14ac:dyDescent="0.2">
      <c r="X972" s="186" t="str">
        <f t="shared" si="48"/>
        <v>1w</v>
      </c>
      <c r="Y972" s="174">
        <f>_xll.qlCalendarAdvance(Calendar,Y971,X972,"f",FALSE)</f>
        <v>45744</v>
      </c>
      <c r="Z972" s="198">
        <f>_xll.qlCalendarAdvance(Calendar,Y972,NDays&amp;"D")</f>
        <v>45748</v>
      </c>
      <c r="AA972" s="173">
        <v>2.2922579234133093E-2</v>
      </c>
      <c r="AB972" s="182">
        <v>2.2558332999498276E-2</v>
      </c>
    </row>
    <row r="973" spans="24:28" x14ac:dyDescent="0.2">
      <c r="X973" s="186" t="str">
        <f t="shared" si="48"/>
        <v>1w</v>
      </c>
      <c r="Y973" s="174">
        <f>_xll.qlCalendarAdvance(Calendar,Y972,X973,"f",FALSE)</f>
        <v>45751</v>
      </c>
      <c r="Z973" s="198">
        <f>_xll.qlCalendarAdvance(Calendar,Y973,NDays&amp;"D")</f>
        <v>45755</v>
      </c>
      <c r="AA973" s="173">
        <v>2.2939877765777147E-2</v>
      </c>
      <c r="AB973" s="182">
        <v>2.2577541978785476E-2</v>
      </c>
    </row>
    <row r="974" spans="24:28" x14ac:dyDescent="0.2">
      <c r="X974" s="186" t="str">
        <f t="shared" si="48"/>
        <v>1w</v>
      </c>
      <c r="Y974" s="174">
        <f>_xll.qlCalendarAdvance(Calendar,Y973,X974,"f",FALSE)</f>
        <v>45758</v>
      </c>
      <c r="Z974" s="198">
        <f>_xll.qlCalendarAdvance(Calendar,Y974,NDays&amp;"D")</f>
        <v>45762</v>
      </c>
      <c r="AA974" s="173">
        <v>2.2957012357733151E-2</v>
      </c>
      <c r="AB974" s="182">
        <v>2.259658875166437E-2</v>
      </c>
    </row>
    <row r="975" spans="24:28" x14ac:dyDescent="0.2">
      <c r="X975" s="186" t="str">
        <f t="shared" si="48"/>
        <v>1w</v>
      </c>
      <c r="Y975" s="174">
        <f>_xll.qlCalendarAdvance(Calendar,Y974,X975,"f",FALSE)</f>
        <v>45769</v>
      </c>
      <c r="Z975" s="198">
        <f>_xll.qlCalendarAdvance(Calendar,Y975,NDays&amp;"D")</f>
        <v>45771</v>
      </c>
      <c r="AA975" s="173">
        <v>2.2978801649606462E-2</v>
      </c>
      <c r="AB975" s="182">
        <v>2.2620839115541358E-2</v>
      </c>
    </row>
    <row r="976" spans="24:28" x14ac:dyDescent="0.2">
      <c r="X976" s="186" t="str">
        <f t="shared" si="48"/>
        <v>1w</v>
      </c>
      <c r="Y976" s="174">
        <f>_xll.qlCalendarAdvance(Calendar,Y975,X976,"f",FALSE)</f>
        <v>45776</v>
      </c>
      <c r="Z976" s="198">
        <f>_xll.qlCalendarAdvance(Calendar,Y976,NDays&amp;"D")</f>
        <v>45779</v>
      </c>
      <c r="AA976" s="173">
        <v>2.3001681065769497E-2</v>
      </c>
      <c r="AB976" s="182">
        <v>2.2646244679354055E-2</v>
      </c>
    </row>
    <row r="977" spans="24:28" x14ac:dyDescent="0.2">
      <c r="X977" s="186" t="str">
        <f t="shared" si="48"/>
        <v>1w</v>
      </c>
      <c r="Y977" s="174">
        <f>_xll.qlCalendarAdvance(Calendar,Y976,X977,"f",FALSE)</f>
        <v>45783</v>
      </c>
      <c r="Z977" s="198">
        <f>_xll.qlCalendarAdvance(Calendar,Y977,NDays&amp;"D")</f>
        <v>45785</v>
      </c>
      <c r="AA977" s="173">
        <v>2.3017736604974234E-2</v>
      </c>
      <c r="AB977" s="182">
        <v>2.2658028939641639E-2</v>
      </c>
    </row>
    <row r="978" spans="24:28" x14ac:dyDescent="0.2">
      <c r="X978" s="186" t="str">
        <f t="shared" si="48"/>
        <v>1w</v>
      </c>
      <c r="Y978" s="174">
        <f>_xll.qlCalendarAdvance(Calendar,Y977,X978,"f",FALSE)</f>
        <v>45790</v>
      </c>
      <c r="Z978" s="198">
        <f>_xll.qlCalendarAdvance(Calendar,Y978,NDays&amp;"D")</f>
        <v>45792</v>
      </c>
      <c r="AA978" s="173">
        <v>2.3034136543208766E-2</v>
      </c>
      <c r="AB978" s="182">
        <v>2.2676380541959418E-2</v>
      </c>
    </row>
    <row r="979" spans="24:28" x14ac:dyDescent="0.2">
      <c r="X979" s="186" t="str">
        <f t="shared" si="48"/>
        <v>1w</v>
      </c>
      <c r="Y979" s="174">
        <f>_xll.qlCalendarAdvance(Calendar,Y978,X979,"f",FALSE)</f>
        <v>45797</v>
      </c>
      <c r="Z979" s="198">
        <f>_xll.qlCalendarAdvance(Calendar,Y979,NDays&amp;"D")</f>
        <v>45799</v>
      </c>
      <c r="AA979" s="173">
        <v>2.3050372489868999E-2</v>
      </c>
      <c r="AB979" s="182">
        <v>2.2694569937788955E-2</v>
      </c>
    </row>
    <row r="980" spans="24:28" x14ac:dyDescent="0.2">
      <c r="X980" s="186" t="str">
        <f t="shared" si="48"/>
        <v>1w</v>
      </c>
      <c r="Y980" s="174">
        <f>_xll.qlCalendarAdvance(Calendar,Y979,X980,"f",FALSE)</f>
        <v>45804</v>
      </c>
      <c r="Z980" s="198">
        <f>_xll.qlCalendarAdvance(Calendar,Y980,NDays&amp;"D")</f>
        <v>45806</v>
      </c>
      <c r="AA980" s="173">
        <v>2.3060961358310622E-2</v>
      </c>
      <c r="AB980" s="182">
        <v>2.2712597127130252E-2</v>
      </c>
    </row>
    <row r="981" spans="24:28" x14ac:dyDescent="0.2">
      <c r="X981" s="186" t="str">
        <f t="shared" ref="X981:X1044" si="49">X980</f>
        <v>1w</v>
      </c>
      <c r="Y981" s="174">
        <f>_xll.qlCalendarAdvance(Calendar,Y980,X981,"f",FALSE)</f>
        <v>45811</v>
      </c>
      <c r="Z981" s="198">
        <f>_xll.qlCalendarAdvance(Calendar,Y981,NDays&amp;"D")</f>
        <v>45813</v>
      </c>
      <c r="AA981" s="173">
        <v>2.3076901407211987E-2</v>
      </c>
      <c r="AB981" s="182">
        <v>2.2730462109823435E-2</v>
      </c>
    </row>
    <row r="982" spans="24:28" x14ac:dyDescent="0.2">
      <c r="X982" s="186" t="str">
        <f t="shared" si="49"/>
        <v>1w</v>
      </c>
      <c r="Y982" s="174">
        <f>_xll.qlCalendarAdvance(Calendar,Y981,X982,"f",FALSE)</f>
        <v>45818</v>
      </c>
      <c r="Z982" s="198">
        <f>_xll.qlCalendarAdvance(Calendar,Y982,NDays&amp;"D")</f>
        <v>45820</v>
      </c>
      <c r="AA982" s="173">
        <v>2.3092677482542456E-2</v>
      </c>
      <c r="AB982" s="182">
        <v>2.2748164885948441E-2</v>
      </c>
    </row>
    <row r="983" spans="24:28" x14ac:dyDescent="0.2">
      <c r="X983" s="186" t="str">
        <f t="shared" si="49"/>
        <v>1w</v>
      </c>
      <c r="Y983" s="174">
        <f>_xll.qlCalendarAdvance(Calendar,Y982,X983,"f",FALSE)</f>
        <v>45825</v>
      </c>
      <c r="Z983" s="198">
        <f>_xll.qlCalendarAdvance(Calendar,Y983,NDays&amp;"D")</f>
        <v>45827</v>
      </c>
      <c r="AA983" s="173">
        <v>2.3108289580399143E-2</v>
      </c>
      <c r="AB983" s="182">
        <v>2.2765705455425334E-2</v>
      </c>
    </row>
    <row r="984" spans="24:28" x14ac:dyDescent="0.2">
      <c r="X984" s="186" t="str">
        <f t="shared" si="49"/>
        <v>1w</v>
      </c>
      <c r="Y984" s="174">
        <f>_xll.qlCalendarAdvance(Calendar,Y983,X984,"f",FALSE)</f>
        <v>45832</v>
      </c>
      <c r="Z984" s="198">
        <f>_xll.qlCalendarAdvance(Calendar,Y984,NDays&amp;"D")</f>
        <v>45834</v>
      </c>
      <c r="AA984" s="173">
        <v>2.3129092208166845E-2</v>
      </c>
      <c r="AB984" s="182">
        <v>2.2783083818254113E-2</v>
      </c>
    </row>
    <row r="985" spans="24:28" x14ac:dyDescent="0.2">
      <c r="X985" s="186" t="str">
        <f t="shared" si="49"/>
        <v>1w</v>
      </c>
      <c r="Y985" s="174">
        <f>_xll.qlCalendarAdvance(Calendar,Y984,X985,"f",FALSE)</f>
        <v>45839</v>
      </c>
      <c r="Z985" s="198">
        <f>_xll.qlCalendarAdvance(Calendar,Y985,NDays&amp;"D")</f>
        <v>45841</v>
      </c>
      <c r="AA985" s="173">
        <v>2.3144344121126533E-2</v>
      </c>
      <c r="AB985" s="182">
        <v>2.2800299974434779E-2</v>
      </c>
    </row>
    <row r="986" spans="24:28" x14ac:dyDescent="0.2">
      <c r="X986" s="186" t="str">
        <f t="shared" si="49"/>
        <v>1w</v>
      </c>
      <c r="Y986" s="174">
        <f>_xll.qlCalendarAdvance(Calendar,Y985,X986,"f",FALSE)</f>
        <v>45846</v>
      </c>
      <c r="Z986" s="198">
        <f>_xll.qlCalendarAdvance(Calendar,Y986,NDays&amp;"D")</f>
        <v>45848</v>
      </c>
      <c r="AA986" s="173">
        <v>2.315943201481193E-2</v>
      </c>
      <c r="AB986" s="182">
        <v>2.2817353923967332E-2</v>
      </c>
    </row>
    <row r="987" spans="24:28" x14ac:dyDescent="0.2">
      <c r="X987" s="186" t="str">
        <f t="shared" si="49"/>
        <v>1w</v>
      </c>
      <c r="Y987" s="174">
        <f>_xll.qlCalendarAdvance(Calendar,Y986,X987,"f",FALSE)</f>
        <v>45853</v>
      </c>
      <c r="Z987" s="198">
        <f>_xll.qlCalendarAdvance(Calendar,Y987,NDays&amp;"D")</f>
        <v>45855</v>
      </c>
      <c r="AA987" s="173">
        <v>2.3174355885430369E-2</v>
      </c>
      <c r="AB987" s="182">
        <v>2.2834245666771835E-2</v>
      </c>
    </row>
    <row r="988" spans="24:28" x14ac:dyDescent="0.2">
      <c r="X988" s="186" t="str">
        <f t="shared" si="49"/>
        <v>1w</v>
      </c>
      <c r="Y988" s="174">
        <f>_xll.qlCalendarAdvance(Calendar,Y987,X988,"f",FALSE)</f>
        <v>45860</v>
      </c>
      <c r="Z988" s="198">
        <f>_xll.qlCalendarAdvance(Calendar,Y988,NDays&amp;"D")</f>
        <v>45862</v>
      </c>
      <c r="AA988" s="173">
        <v>2.3189115729231734E-2</v>
      </c>
      <c r="AB988" s="182">
        <v>2.2850975202848289E-2</v>
      </c>
    </row>
    <row r="989" spans="24:28" x14ac:dyDescent="0.2">
      <c r="X989" s="186" t="str">
        <f t="shared" si="49"/>
        <v>1w</v>
      </c>
      <c r="Y989" s="174">
        <f>_xll.qlCalendarAdvance(Calendar,Y988,X989,"f",FALSE)</f>
        <v>45867</v>
      </c>
      <c r="Z989" s="198">
        <f>_xll.qlCalendarAdvance(Calendar,Y989,NDays&amp;"D")</f>
        <v>45869</v>
      </c>
      <c r="AA989" s="173">
        <v>2.3198518427246975E-2</v>
      </c>
      <c r="AB989" s="182">
        <v>2.2867542532116758E-2</v>
      </c>
    </row>
    <row r="990" spans="24:28" x14ac:dyDescent="0.2">
      <c r="X990" s="186" t="str">
        <f t="shared" si="49"/>
        <v>1w</v>
      </c>
      <c r="Y990" s="174">
        <f>_xll.qlCalendarAdvance(Calendar,Y989,X990,"f",FALSE)</f>
        <v>45874</v>
      </c>
      <c r="Z990" s="198">
        <f>_xll.qlCalendarAdvance(Calendar,Y990,NDays&amp;"D")</f>
        <v>45876</v>
      </c>
      <c r="AA990" s="173">
        <v>2.3218143321582604E-2</v>
      </c>
      <c r="AB990" s="182">
        <v>2.2883947654657177E-2</v>
      </c>
    </row>
    <row r="991" spans="24:28" x14ac:dyDescent="0.2">
      <c r="X991" s="186" t="str">
        <f t="shared" si="49"/>
        <v>1w</v>
      </c>
      <c r="Y991" s="174">
        <f>_xll.qlCalendarAdvance(Calendar,Y990,X991,"f",FALSE)</f>
        <v>45881</v>
      </c>
      <c r="Z991" s="198">
        <f>_xll.qlCalendarAdvance(Calendar,Y991,NDays&amp;"D")</f>
        <v>45883</v>
      </c>
      <c r="AA991" s="173">
        <v>2.3232411062836009E-2</v>
      </c>
      <c r="AB991" s="182">
        <v>2.2900190570389611E-2</v>
      </c>
    </row>
    <row r="992" spans="24:28" x14ac:dyDescent="0.2">
      <c r="X992" s="186" t="str">
        <f t="shared" si="49"/>
        <v>1w</v>
      </c>
      <c r="Y992" s="174">
        <f>_xll.qlCalendarAdvance(Calendar,Y991,X992,"f",FALSE)</f>
        <v>45888</v>
      </c>
      <c r="Z992" s="198">
        <f>_xll.qlCalendarAdvance(Calendar,Y992,NDays&amp;"D")</f>
        <v>45890</v>
      </c>
      <c r="AA992" s="173">
        <v>2.3246514762679714E-2</v>
      </c>
      <c r="AB992" s="182">
        <v>2.291627127931406E-2</v>
      </c>
    </row>
    <row r="993" spans="24:28" x14ac:dyDescent="0.2">
      <c r="X993" s="186" t="str">
        <f t="shared" si="49"/>
        <v>1w</v>
      </c>
      <c r="Y993" s="174">
        <f>_xll.qlCalendarAdvance(Calendar,Y992,X993,"f",FALSE)</f>
        <v>45895</v>
      </c>
      <c r="Z993" s="198">
        <f>_xll.qlCalendarAdvance(Calendar,Y993,NDays&amp;"D")</f>
        <v>45897</v>
      </c>
      <c r="AA993" s="173">
        <v>2.3255390968666426E-2</v>
      </c>
      <c r="AB993" s="182">
        <v>2.2932189781270651E-2</v>
      </c>
    </row>
    <row r="994" spans="24:28" x14ac:dyDescent="0.2">
      <c r="X994" s="186" t="str">
        <f t="shared" si="49"/>
        <v>1w</v>
      </c>
      <c r="Y994" s="174">
        <f>_xll.qlCalendarAdvance(Calendar,Y993,X994,"f",FALSE)</f>
        <v>45902</v>
      </c>
      <c r="Z994" s="198">
        <f>_xll.qlCalendarAdvance(Calendar,Y994,NDays&amp;"D")</f>
        <v>45904</v>
      </c>
      <c r="AA994" s="173">
        <v>2.3265840275510118E-2</v>
      </c>
      <c r="AB994" s="182">
        <v>2.2947946076499193E-2</v>
      </c>
    </row>
    <row r="995" spans="24:28" x14ac:dyDescent="0.2">
      <c r="X995" s="186" t="str">
        <f t="shared" si="49"/>
        <v>1w</v>
      </c>
      <c r="Y995" s="174">
        <f>_xll.qlCalendarAdvance(Calendar,Y994,X995,"f",FALSE)</f>
        <v>45909</v>
      </c>
      <c r="Z995" s="198">
        <f>_xll.qlCalendarAdvance(Calendar,Y995,NDays&amp;"D")</f>
        <v>45911</v>
      </c>
      <c r="AA995" s="173">
        <v>2.3279506029907384E-2</v>
      </c>
      <c r="AB995" s="182">
        <v>2.2963540164759877E-2</v>
      </c>
    </row>
    <row r="996" spans="24:28" x14ac:dyDescent="0.2">
      <c r="X996" s="186" t="str">
        <f t="shared" si="49"/>
        <v>1w</v>
      </c>
      <c r="Y996" s="174">
        <f>_xll.qlCalendarAdvance(Calendar,Y995,X996,"f",FALSE)</f>
        <v>45916</v>
      </c>
      <c r="Z996" s="198">
        <f>_xll.qlCalendarAdvance(Calendar,Y996,NDays&amp;"D")</f>
        <v>45918</v>
      </c>
      <c r="AA996" s="173">
        <v>2.329300778035125E-2</v>
      </c>
      <c r="AB996" s="182">
        <v>2.2978972046212576E-2</v>
      </c>
    </row>
    <row r="997" spans="24:28" x14ac:dyDescent="0.2">
      <c r="X997" s="186" t="str">
        <f t="shared" si="49"/>
        <v>1w</v>
      </c>
      <c r="Y997" s="174">
        <f>_xll.qlCalendarAdvance(Calendar,Y996,X997,"f",FALSE)</f>
        <v>45923</v>
      </c>
      <c r="Z997" s="198">
        <f>_xll.qlCalendarAdvance(Calendar,Y997,NDays&amp;"D")</f>
        <v>45925</v>
      </c>
      <c r="AA997" s="173">
        <v>2.3306345523538281E-2</v>
      </c>
      <c r="AB997" s="182">
        <v>2.2994241720617481E-2</v>
      </c>
    </row>
    <row r="998" spans="24:28" x14ac:dyDescent="0.2">
      <c r="X998" s="186" t="str">
        <f t="shared" si="49"/>
        <v>1w</v>
      </c>
      <c r="Y998" s="174">
        <f>_xll.qlCalendarAdvance(Calendar,Y997,X998,"f",FALSE)</f>
        <v>45930</v>
      </c>
      <c r="Z998" s="198">
        <f>_xll.qlCalendarAdvance(Calendar,Y998,NDays&amp;"D")</f>
        <v>45932</v>
      </c>
      <c r="AA998" s="173">
        <v>2.3321155724381357E-2</v>
      </c>
      <c r="AB998" s="182">
        <v>2.3009349188134465E-2</v>
      </c>
    </row>
    <row r="999" spans="24:28" x14ac:dyDescent="0.2">
      <c r="X999" s="186" t="str">
        <f t="shared" si="49"/>
        <v>1w</v>
      </c>
      <c r="Y999" s="174">
        <f>_xll.qlCalendarAdvance(Calendar,Y998,X999,"f",FALSE)</f>
        <v>45937</v>
      </c>
      <c r="Z999" s="198">
        <f>_xll.qlCalendarAdvance(Calendar,Y999,NDays&amp;"D")</f>
        <v>45939</v>
      </c>
      <c r="AA999" s="173">
        <v>2.3334154564949687E-2</v>
      </c>
      <c r="AB999" s="182">
        <v>2.3024294448763527E-2</v>
      </c>
    </row>
    <row r="1000" spans="24:28" x14ac:dyDescent="0.2">
      <c r="X1000" s="186" t="str">
        <f t="shared" si="49"/>
        <v>1w</v>
      </c>
      <c r="Y1000" s="174">
        <f>_xll.qlCalendarAdvance(Calendar,Y999,X1000,"f",FALSE)</f>
        <v>45944</v>
      </c>
      <c r="Z1000" s="198">
        <f>_xll.qlCalendarAdvance(Calendar,Y1000,NDays&amp;"D")</f>
        <v>45946</v>
      </c>
      <c r="AA1000" s="173">
        <v>2.3346989378262503E-2</v>
      </c>
      <c r="AB1000" s="182">
        <v>2.303907750226486E-2</v>
      </c>
    </row>
    <row r="1001" spans="24:28" x14ac:dyDescent="0.2">
      <c r="X1001" s="186" t="str">
        <f t="shared" si="49"/>
        <v>1w</v>
      </c>
      <c r="Y1001" s="174">
        <f>_xll.qlCalendarAdvance(Calendar,Y1000,X1001,"f",FALSE)</f>
        <v>45951</v>
      </c>
      <c r="Z1001" s="198">
        <f>_xll.qlCalendarAdvance(Calendar,Y1001,NDays&amp;"D")</f>
        <v>45953</v>
      </c>
      <c r="AA1001" s="173">
        <v>2.3359660161162768E-2</v>
      </c>
      <c r="AB1001" s="182">
        <v>2.3053698348798335E-2</v>
      </c>
    </row>
    <row r="1002" spans="24:28" x14ac:dyDescent="0.2">
      <c r="X1002" s="186" t="str">
        <f t="shared" si="49"/>
        <v>1w</v>
      </c>
      <c r="Y1002" s="174">
        <f>_xll.qlCalendarAdvance(Calendar,Y1001,X1002,"f",FALSE)</f>
        <v>45958</v>
      </c>
      <c r="Z1002" s="198">
        <f>_xll.qlCalendarAdvance(Calendar,Y1002,NDays&amp;"D")</f>
        <v>45960</v>
      </c>
      <c r="AA1002" s="173">
        <v>2.3372166910532979E-2</v>
      </c>
      <c r="AB1002" s="182">
        <v>2.3068156988284017E-2</v>
      </c>
    </row>
    <row r="1003" spans="24:28" x14ac:dyDescent="0.2">
      <c r="X1003" s="186" t="str">
        <f t="shared" si="49"/>
        <v>1w</v>
      </c>
      <c r="Y1003" s="174">
        <f>_xll.qlCalendarAdvance(Calendar,Y1002,X1003,"f",FALSE)</f>
        <v>45965</v>
      </c>
      <c r="Z1003" s="198">
        <f>_xll.qlCalendarAdvance(Calendar,Y1003,NDays&amp;"D")</f>
        <v>45967</v>
      </c>
      <c r="AA1003" s="173">
        <v>2.3382927650394871E-2</v>
      </c>
      <c r="AB1003" s="182">
        <v>2.3082453420721905E-2</v>
      </c>
    </row>
    <row r="1004" spans="24:28" x14ac:dyDescent="0.2">
      <c r="X1004" s="186" t="str">
        <f t="shared" si="49"/>
        <v>1w</v>
      </c>
      <c r="Y1004" s="174">
        <f>_xll.qlCalendarAdvance(Calendar,Y1003,X1004,"f",FALSE)</f>
        <v>45972</v>
      </c>
      <c r="Z1004" s="198">
        <f>_xll.qlCalendarAdvance(Calendar,Y1004,NDays&amp;"D")</f>
        <v>45974</v>
      </c>
      <c r="AA1004" s="173">
        <v>2.33951172536867E-2</v>
      </c>
      <c r="AB1004" s="182">
        <v>2.3096587646111999E-2</v>
      </c>
    </row>
    <row r="1005" spans="24:28" x14ac:dyDescent="0.2">
      <c r="X1005" s="186" t="str">
        <f t="shared" si="49"/>
        <v>1w</v>
      </c>
      <c r="Y1005" s="174">
        <f>_xll.qlCalendarAdvance(Calendar,Y1004,X1005,"f",FALSE)</f>
        <v>45979</v>
      </c>
      <c r="Z1005" s="198">
        <f>_xll.qlCalendarAdvance(Calendar,Y1005,NDays&amp;"D")</f>
        <v>45981</v>
      </c>
      <c r="AA1005" s="173">
        <v>2.3407142824745431E-2</v>
      </c>
      <c r="AB1005" s="182">
        <v>2.31105596644543E-2</v>
      </c>
    </row>
    <row r="1006" spans="24:28" x14ac:dyDescent="0.2">
      <c r="X1006" s="186" t="str">
        <f t="shared" si="49"/>
        <v>1w</v>
      </c>
      <c r="Y1006" s="174">
        <f>_xll.qlCalendarAdvance(Calendar,Y1005,X1006,"f",FALSE)</f>
        <v>45986</v>
      </c>
      <c r="Z1006" s="198">
        <f>_xll.qlCalendarAdvance(Calendar,Y1006,NDays&amp;"D")</f>
        <v>45988</v>
      </c>
      <c r="AA1006" s="173">
        <v>2.3419004360629762E-2</v>
      </c>
      <c r="AB1006" s="182">
        <v>2.3124369475588935E-2</v>
      </c>
    </row>
    <row r="1007" spans="24:28" x14ac:dyDescent="0.2">
      <c r="X1007" s="186" t="str">
        <f t="shared" si="49"/>
        <v>1w</v>
      </c>
      <c r="Y1007" s="174">
        <f>_xll.qlCalendarAdvance(Calendar,Y1006,X1007,"f",FALSE)</f>
        <v>45993</v>
      </c>
      <c r="Z1007" s="198">
        <f>_xll.qlCalendarAdvance(Calendar,Y1007,NDays&amp;"D")</f>
        <v>45995</v>
      </c>
      <c r="AA1007" s="173">
        <v>2.3432240048192027E-2</v>
      </c>
      <c r="AB1007" s="182">
        <v>2.3138017079675777E-2</v>
      </c>
    </row>
    <row r="1008" spans="24:28" x14ac:dyDescent="0.2">
      <c r="X1008" s="186" t="str">
        <f t="shared" si="49"/>
        <v>1w</v>
      </c>
      <c r="Y1008" s="174">
        <f>_xll.qlCalendarAdvance(Calendar,Y1007,X1008,"f",FALSE)</f>
        <v>46000</v>
      </c>
      <c r="Z1008" s="198">
        <f>_xll.qlCalendarAdvance(Calendar,Y1008,NDays&amp;"D")</f>
        <v>46002</v>
      </c>
      <c r="AA1008" s="173">
        <v>2.344376253319904E-2</v>
      </c>
      <c r="AB1008" s="182">
        <v>2.3151502476634889E-2</v>
      </c>
    </row>
    <row r="1009" spans="24:28" x14ac:dyDescent="0.2">
      <c r="X1009" s="186" t="str">
        <f t="shared" si="49"/>
        <v>1w</v>
      </c>
      <c r="Y1009" s="174">
        <f>_xll.qlCalendarAdvance(Calendar,Y1008,X1009,"f",FALSE)</f>
        <v>46007</v>
      </c>
      <c r="Z1009" s="198">
        <f>_xll.qlCalendarAdvance(Calendar,Y1009,NDays&amp;"D")</f>
        <v>46009</v>
      </c>
      <c r="AA1009" s="173">
        <v>2.3455120963990564E-2</v>
      </c>
      <c r="AB1009" s="182">
        <v>2.3164825666386335E-2</v>
      </c>
    </row>
    <row r="1010" spans="24:28" x14ac:dyDescent="0.2">
      <c r="X1010" s="186" t="str">
        <f t="shared" si="49"/>
        <v>1w</v>
      </c>
      <c r="Y1010" s="174">
        <f>_xll.qlCalendarAdvance(Calendar,Y1009,X1010,"f",FALSE)</f>
        <v>46014</v>
      </c>
      <c r="Z1010" s="198">
        <f>_xll.qlCalendarAdvance(Calendar,Y1010,NDays&amp;"D")</f>
        <v>46020</v>
      </c>
      <c r="AA1010" s="173">
        <v>2.3472638463481535E-2</v>
      </c>
      <c r="AB1010" s="182">
        <v>2.3185434382719805E-2</v>
      </c>
    </row>
    <row r="1011" spans="24:28" x14ac:dyDescent="0.2">
      <c r="X1011" s="186" t="str">
        <f t="shared" si="49"/>
        <v>1w</v>
      </c>
      <c r="Y1011" s="174">
        <f>_xll.qlCalendarAdvance(Calendar,Y1010,X1011,"f",FALSE)</f>
        <v>46021</v>
      </c>
      <c r="Z1011" s="198">
        <f>_xll.qlCalendarAdvance(Calendar,Y1011,NDays&amp;"D")</f>
        <v>46024</v>
      </c>
      <c r="AA1011" s="173">
        <v>2.3477415351393964E-2</v>
      </c>
      <c r="AB1011" s="182">
        <v>2.3196162919632002E-2</v>
      </c>
    </row>
    <row r="1012" spans="24:28" x14ac:dyDescent="0.2">
      <c r="X1012" s="186" t="str">
        <f t="shared" si="49"/>
        <v>1w</v>
      </c>
      <c r="Y1012" s="174">
        <f>_xll.qlCalendarAdvance(Calendar,Y1011,X1012,"f",FALSE)</f>
        <v>46028</v>
      </c>
      <c r="Z1012" s="198">
        <f>_xll.qlCalendarAdvance(Calendar,Y1012,NDays&amp;"D")</f>
        <v>46030</v>
      </c>
      <c r="AA1012" s="173">
        <v>2.3486728677598791E-2</v>
      </c>
      <c r="AB1012" s="182">
        <v>2.3203821992474616E-2</v>
      </c>
    </row>
    <row r="1013" spans="24:28" x14ac:dyDescent="0.2">
      <c r="X1013" s="186" t="str">
        <f t="shared" si="49"/>
        <v>1w</v>
      </c>
      <c r="Y1013" s="174">
        <f>_xll.qlCalendarAdvance(Calendar,Y1012,X1013,"f",FALSE)</f>
        <v>46035</v>
      </c>
      <c r="Z1013" s="198">
        <f>_xll.qlCalendarAdvance(Calendar,Y1013,NDays&amp;"D")</f>
        <v>46037</v>
      </c>
      <c r="AA1013" s="173">
        <v>2.3497441888266996E-2</v>
      </c>
      <c r="AB1013" s="182">
        <v>2.3216496353395399E-2</v>
      </c>
    </row>
    <row r="1014" spans="24:28" x14ac:dyDescent="0.2">
      <c r="X1014" s="186" t="str">
        <f t="shared" si="49"/>
        <v>1w</v>
      </c>
      <c r="Y1014" s="174">
        <f>_xll.qlCalendarAdvance(Calendar,Y1013,X1014,"f",FALSE)</f>
        <v>46042</v>
      </c>
      <c r="Z1014" s="198">
        <f>_xll.qlCalendarAdvance(Calendar,Y1014,NDays&amp;"D")</f>
        <v>46044</v>
      </c>
      <c r="AA1014" s="173">
        <v>2.3507991041672838E-2</v>
      </c>
      <c r="AB1014" s="182">
        <v>2.3229008507108517E-2</v>
      </c>
    </row>
    <row r="1015" spans="24:28" x14ac:dyDescent="0.2">
      <c r="X1015" s="186" t="str">
        <f t="shared" si="49"/>
        <v>1w</v>
      </c>
      <c r="Y1015" s="174">
        <f>_xll.qlCalendarAdvance(Calendar,Y1014,X1015,"f",FALSE)</f>
        <v>46049</v>
      </c>
      <c r="Z1015" s="198">
        <f>_xll.qlCalendarAdvance(Calendar,Y1015,NDays&amp;"D")</f>
        <v>46051</v>
      </c>
      <c r="AA1015" s="173">
        <v>2.3518376135234515E-2</v>
      </c>
      <c r="AB1015" s="182">
        <v>2.3241358453454097E-2</v>
      </c>
    </row>
    <row r="1016" spans="24:28" x14ac:dyDescent="0.2">
      <c r="X1016" s="186" t="str">
        <f t="shared" si="49"/>
        <v>1w</v>
      </c>
      <c r="Y1016" s="174">
        <f>_xll.qlCalendarAdvance(Calendar,Y1015,X1016,"f",FALSE)</f>
        <v>46056</v>
      </c>
      <c r="Z1016" s="198">
        <f>_xll.qlCalendarAdvance(Calendar,Y1016,NDays&amp;"D")</f>
        <v>46058</v>
      </c>
      <c r="AA1016" s="173">
        <v>2.3528597166412625E-2</v>
      </c>
      <c r="AB1016" s="182">
        <v>2.3253546192592012E-2</v>
      </c>
    </row>
    <row r="1017" spans="24:28" x14ac:dyDescent="0.2">
      <c r="X1017" s="186" t="str">
        <f t="shared" si="49"/>
        <v>1w</v>
      </c>
      <c r="Y1017" s="174">
        <f>_xll.qlCalendarAdvance(Calendar,Y1016,X1017,"f",FALSE)</f>
        <v>46063</v>
      </c>
      <c r="Z1017" s="198">
        <f>_xll.qlCalendarAdvance(Calendar,Y1017,NDays&amp;"D")</f>
        <v>46065</v>
      </c>
      <c r="AA1017" s="173">
        <v>2.3538654132706185E-2</v>
      </c>
      <c r="AB1017" s="182">
        <v>2.3265571724442324E-2</v>
      </c>
    </row>
    <row r="1018" spans="24:28" x14ac:dyDescent="0.2">
      <c r="X1018" s="186" t="str">
        <f t="shared" si="49"/>
        <v>1w</v>
      </c>
      <c r="Y1018" s="174">
        <f>_xll.qlCalendarAdvance(Calendar,Y1017,X1018,"f",FALSE)</f>
        <v>46070</v>
      </c>
      <c r="Z1018" s="198">
        <f>_xll.qlCalendarAdvance(Calendar,Y1018,NDays&amp;"D")</f>
        <v>46072</v>
      </c>
      <c r="AA1018" s="173">
        <v>2.3548547031655286E-2</v>
      </c>
      <c r="AB1018" s="182">
        <v>2.3277435048925099E-2</v>
      </c>
    </row>
    <row r="1019" spans="24:28" x14ac:dyDescent="0.2">
      <c r="X1019" s="186" t="str">
        <f t="shared" si="49"/>
        <v>1w</v>
      </c>
      <c r="Y1019" s="174">
        <f>_xll.qlCalendarAdvance(Calendar,Y1018,X1019,"f",FALSE)</f>
        <v>46077</v>
      </c>
      <c r="Z1019" s="198">
        <f>_xll.qlCalendarAdvance(Calendar,Y1019,NDays&amp;"D")</f>
        <v>46079</v>
      </c>
      <c r="AA1019" s="173">
        <v>2.3558275860840198E-2</v>
      </c>
      <c r="AB1019" s="182">
        <v>2.3289136166120272E-2</v>
      </c>
    </row>
    <row r="1020" spans="24:28" x14ac:dyDescent="0.2">
      <c r="X1020" s="186" t="str">
        <f t="shared" si="49"/>
        <v>1w</v>
      </c>
      <c r="Y1020" s="174">
        <f>_xll.qlCalendarAdvance(Calendar,Y1019,X1020,"f",FALSE)</f>
        <v>46084</v>
      </c>
      <c r="Z1020" s="198">
        <f>_xll.qlCalendarAdvance(Calendar,Y1020,NDays&amp;"D")</f>
        <v>46086</v>
      </c>
      <c r="AA1020" s="173">
        <v>2.3574804282857128E-2</v>
      </c>
      <c r="AB1020" s="182">
        <v>2.3300675075947908E-2</v>
      </c>
    </row>
    <row r="1021" spans="24:28" x14ac:dyDescent="0.2">
      <c r="X1021" s="186" t="str">
        <f t="shared" si="49"/>
        <v>1w</v>
      </c>
      <c r="Y1021" s="174">
        <f>_xll.qlCalendarAdvance(Calendar,Y1020,X1021,"f",FALSE)</f>
        <v>46091</v>
      </c>
      <c r="Z1021" s="198">
        <f>_xll.qlCalendarAdvance(Calendar,Y1021,NDays&amp;"D")</f>
        <v>46093</v>
      </c>
      <c r="AA1021" s="173">
        <v>2.3584149407107909E-2</v>
      </c>
      <c r="AB1021" s="182">
        <v>2.3312051778408005E-2</v>
      </c>
    </row>
    <row r="1022" spans="24:28" x14ac:dyDescent="0.2">
      <c r="X1022" s="186" t="str">
        <f t="shared" si="49"/>
        <v>1w</v>
      </c>
      <c r="Y1022" s="174">
        <f>_xll.qlCalendarAdvance(Calendar,Y1021,X1022,"f",FALSE)</f>
        <v>46098</v>
      </c>
      <c r="Z1022" s="198">
        <f>_xll.qlCalendarAdvance(Calendar,Y1022,NDays&amp;"D")</f>
        <v>46100</v>
      </c>
      <c r="AA1022" s="173">
        <v>2.3593330401533261E-2</v>
      </c>
      <c r="AB1022" s="182">
        <v>2.3323266273500565E-2</v>
      </c>
    </row>
    <row r="1023" spans="24:28" x14ac:dyDescent="0.2">
      <c r="X1023" s="186" t="str">
        <f t="shared" si="49"/>
        <v>1w</v>
      </c>
      <c r="Y1023" s="174">
        <f>_xll.qlCalendarAdvance(Calendar,Y1022,X1023,"f",FALSE)</f>
        <v>46105</v>
      </c>
      <c r="Z1023" s="198">
        <f>_xll.qlCalendarAdvance(Calendar,Y1023,NDays&amp;"D")</f>
        <v>46107</v>
      </c>
      <c r="AA1023" s="173">
        <v>2.360234726382535E-2</v>
      </c>
      <c r="AB1023" s="182">
        <v>2.3334318561145651E-2</v>
      </c>
    </row>
    <row r="1024" spans="24:28" x14ac:dyDescent="0.2">
      <c r="X1024" s="186" t="str">
        <f t="shared" si="49"/>
        <v>1w</v>
      </c>
      <c r="Y1024" s="174">
        <f>_xll.qlCalendarAdvance(Calendar,Y1023,X1024,"f",FALSE)</f>
        <v>46112</v>
      </c>
      <c r="Z1024" s="198">
        <f>_xll.qlCalendarAdvance(Calendar,Y1024,NDays&amp;"D")</f>
        <v>46114</v>
      </c>
      <c r="AA1024" s="173">
        <v>2.3607158346721044E-2</v>
      </c>
      <c r="AB1024" s="182">
        <v>2.3351315755293811E-2</v>
      </c>
    </row>
    <row r="1025" spans="24:28" x14ac:dyDescent="0.2">
      <c r="X1025" s="186" t="str">
        <f t="shared" si="49"/>
        <v>1w</v>
      </c>
      <c r="Y1025" s="174">
        <f>_xll.qlCalendarAdvance(Calendar,Y1024,X1025,"f",FALSE)</f>
        <v>46119</v>
      </c>
      <c r="Z1025" s="198">
        <f>_xll.qlCalendarAdvance(Calendar,Y1025,NDays&amp;"D")</f>
        <v>46121</v>
      </c>
      <c r="AA1025" s="173">
        <v>2.361588040486912E-2</v>
      </c>
      <c r="AB1025" s="182">
        <v>2.3355936514253273E-2</v>
      </c>
    </row>
    <row r="1026" spans="24:28" x14ac:dyDescent="0.2">
      <c r="X1026" s="186" t="str">
        <f t="shared" si="49"/>
        <v>1w</v>
      </c>
      <c r="Y1026" s="174">
        <f>_xll.qlCalendarAdvance(Calendar,Y1025,X1026,"f",FALSE)</f>
        <v>46126</v>
      </c>
      <c r="Z1026" s="198">
        <f>_xll.qlCalendarAdvance(Calendar,Y1026,NDays&amp;"D")</f>
        <v>46128</v>
      </c>
      <c r="AA1026" s="173">
        <v>2.3624438356150954E-2</v>
      </c>
      <c r="AB1026" s="182">
        <v>2.3366502179715809E-2</v>
      </c>
    </row>
    <row r="1027" spans="24:28" x14ac:dyDescent="0.2">
      <c r="X1027" s="186" t="str">
        <f t="shared" si="49"/>
        <v>1w</v>
      </c>
      <c r="Y1027" s="174">
        <f>_xll.qlCalendarAdvance(Calendar,Y1026,X1027,"f",FALSE)</f>
        <v>46133</v>
      </c>
      <c r="Z1027" s="198">
        <f>_xll.qlCalendarAdvance(Calendar,Y1027,NDays&amp;"D")</f>
        <v>46135</v>
      </c>
      <c r="AA1027" s="173">
        <v>2.3632832198449777E-2</v>
      </c>
      <c r="AB1027" s="182">
        <v>2.3376905637650935E-2</v>
      </c>
    </row>
    <row r="1028" spans="24:28" x14ac:dyDescent="0.2">
      <c r="X1028" s="186" t="str">
        <f t="shared" si="49"/>
        <v>1w</v>
      </c>
      <c r="Y1028" s="174">
        <f>_xll.qlCalendarAdvance(Calendar,Y1027,X1028,"f",FALSE)</f>
        <v>46140</v>
      </c>
      <c r="Z1028" s="198">
        <f>_xll.qlCalendarAdvance(Calendar,Y1028,NDays&amp;"D")</f>
        <v>46142</v>
      </c>
      <c r="AA1028" s="173">
        <v>2.3641061929689431E-2</v>
      </c>
      <c r="AB1028" s="182">
        <v>2.3391597785589191E-2</v>
      </c>
    </row>
    <row r="1029" spans="24:28" x14ac:dyDescent="0.2">
      <c r="X1029" s="186" t="str">
        <f t="shared" si="49"/>
        <v>1w</v>
      </c>
      <c r="Y1029" s="174">
        <f>_xll.qlCalendarAdvance(Calendar,Y1028,X1029,"f",FALSE)</f>
        <v>46147</v>
      </c>
      <c r="Z1029" s="198">
        <f>_xll.qlCalendarAdvance(Calendar,Y1029,NDays&amp;"D")</f>
        <v>46149</v>
      </c>
      <c r="AA1029" s="173">
        <v>2.3653002052965791E-2</v>
      </c>
      <c r="AB1029" s="182">
        <v>2.3397225931178767E-2</v>
      </c>
    </row>
    <row r="1030" spans="24:28" x14ac:dyDescent="0.2">
      <c r="X1030" s="186" t="str">
        <f t="shared" si="49"/>
        <v>1w</v>
      </c>
      <c r="Y1030" s="174">
        <f>_xll.qlCalendarAdvance(Calendar,Y1029,X1030,"f",FALSE)</f>
        <v>46154</v>
      </c>
      <c r="Z1030" s="198">
        <f>_xll.qlCalendarAdvance(Calendar,Y1030,NDays&amp;"D")</f>
        <v>46156</v>
      </c>
      <c r="AA1030" s="173">
        <v>2.3660874645483033E-2</v>
      </c>
      <c r="AB1030" s="182">
        <v>2.3407142766611599E-2</v>
      </c>
    </row>
    <row r="1031" spans="24:28" x14ac:dyDescent="0.2">
      <c r="X1031" s="186" t="str">
        <f t="shared" si="49"/>
        <v>1w</v>
      </c>
      <c r="Y1031" s="174">
        <f>_xll.qlCalendarAdvance(Calendar,Y1030,X1031,"f",FALSE)</f>
        <v>46161</v>
      </c>
      <c r="Z1031" s="198">
        <f>_xll.qlCalendarAdvance(Calendar,Y1031,NDays&amp;"D")</f>
        <v>46163</v>
      </c>
      <c r="AA1031" s="173">
        <v>2.3668592188286992E-2</v>
      </c>
      <c r="AB1031" s="182">
        <v>2.3416897394676894E-2</v>
      </c>
    </row>
    <row r="1032" spans="24:28" x14ac:dyDescent="0.2">
      <c r="X1032" s="186" t="str">
        <f t="shared" si="49"/>
        <v>1w</v>
      </c>
      <c r="Y1032" s="174">
        <f>_xll.qlCalendarAdvance(Calendar,Y1031,X1032,"f",FALSE)</f>
        <v>46168</v>
      </c>
      <c r="Z1032" s="198">
        <f>_xll.qlCalendarAdvance(Calendar,Y1032,NDays&amp;"D")</f>
        <v>46170</v>
      </c>
      <c r="AA1032" s="173">
        <v>2.3676159579220233E-2</v>
      </c>
      <c r="AB1032" s="182">
        <v>2.3426489815134843E-2</v>
      </c>
    </row>
    <row r="1033" spans="24:28" x14ac:dyDescent="0.2">
      <c r="X1033" s="186" t="str">
        <f t="shared" si="49"/>
        <v>1w</v>
      </c>
      <c r="Y1033" s="174">
        <f>_xll.qlCalendarAdvance(Calendar,Y1032,X1033,"f",FALSE)</f>
        <v>46175</v>
      </c>
      <c r="Z1033" s="198">
        <f>_xll.qlCalendarAdvance(Calendar,Y1033,NDays&amp;"D")</f>
        <v>46177</v>
      </c>
      <c r="AA1033" s="173">
        <v>2.3679820925234296E-2</v>
      </c>
      <c r="AB1033" s="182">
        <v>2.3435920028065382E-2</v>
      </c>
    </row>
    <row r="1034" spans="24:28" x14ac:dyDescent="0.2">
      <c r="X1034" s="186" t="str">
        <f t="shared" si="49"/>
        <v>1w</v>
      </c>
      <c r="Y1034" s="174">
        <f>_xll.qlCalendarAdvance(Calendar,Y1033,X1034,"f",FALSE)</f>
        <v>46182</v>
      </c>
      <c r="Z1034" s="198">
        <f>_xll.qlCalendarAdvance(Calendar,Y1034,NDays&amp;"D")</f>
        <v>46184</v>
      </c>
      <c r="AA1034" s="173">
        <v>2.3687126629164636E-2</v>
      </c>
      <c r="AB1034" s="182">
        <v>2.3445188033548447E-2</v>
      </c>
    </row>
    <row r="1035" spans="24:28" x14ac:dyDescent="0.2">
      <c r="X1035" s="186" t="str">
        <f t="shared" si="49"/>
        <v>1w</v>
      </c>
      <c r="Y1035" s="174">
        <f>_xll.qlCalendarAdvance(Calendar,Y1034,X1035,"f",FALSE)</f>
        <v>46189</v>
      </c>
      <c r="Z1035" s="198">
        <f>_xll.qlCalendarAdvance(Calendar,Y1035,NDays&amp;"D")</f>
        <v>46191</v>
      </c>
      <c r="AA1035" s="173">
        <v>2.3694295238316607E-2</v>
      </c>
      <c r="AB1035" s="182">
        <v>2.3454293831344231E-2</v>
      </c>
    </row>
    <row r="1036" spans="24:28" x14ac:dyDescent="0.2">
      <c r="X1036" s="186" t="str">
        <f t="shared" si="49"/>
        <v>1w</v>
      </c>
      <c r="Y1036" s="174">
        <f>_xll.qlCalendarAdvance(Calendar,Y1035,X1036,"f",FALSE)</f>
        <v>46196</v>
      </c>
      <c r="Z1036" s="198">
        <f>_xll.qlCalendarAdvance(Calendar,Y1036,NDays&amp;"D")</f>
        <v>46198</v>
      </c>
      <c r="AA1036" s="173">
        <v>2.3705025584901035E-2</v>
      </c>
      <c r="AB1036" s="182">
        <v>2.346323742169254E-2</v>
      </c>
    </row>
    <row r="1037" spans="24:28" x14ac:dyDescent="0.2">
      <c r="X1037" s="186" t="str">
        <f t="shared" si="49"/>
        <v>1w</v>
      </c>
      <c r="Y1037" s="174">
        <f>_xll.qlCalendarAdvance(Calendar,Y1036,X1037,"f",FALSE)</f>
        <v>46203</v>
      </c>
      <c r="Z1037" s="198">
        <f>_xll.qlCalendarAdvance(Calendar,Y1037,NDays&amp;"D")</f>
        <v>46205</v>
      </c>
      <c r="AA1037" s="173">
        <v>2.3711915687874792E-2</v>
      </c>
      <c r="AB1037" s="182">
        <v>2.3472018804273631E-2</v>
      </c>
    </row>
    <row r="1038" spans="24:28" x14ac:dyDescent="0.2">
      <c r="X1038" s="186" t="str">
        <f t="shared" si="49"/>
        <v>1w</v>
      </c>
      <c r="Y1038" s="174">
        <f>_xll.qlCalendarAdvance(Calendar,Y1037,X1038,"f",FALSE)</f>
        <v>46210</v>
      </c>
      <c r="Z1038" s="198">
        <f>_xll.qlCalendarAdvance(Calendar,Y1038,NDays&amp;"D")</f>
        <v>46212</v>
      </c>
      <c r="AA1038" s="173">
        <v>2.3718685028238748E-2</v>
      </c>
      <c r="AB1038" s="182">
        <v>2.3480637979407248E-2</v>
      </c>
    </row>
    <row r="1039" spans="24:28" x14ac:dyDescent="0.2">
      <c r="X1039" s="186" t="str">
        <f t="shared" si="49"/>
        <v>1w</v>
      </c>
      <c r="Y1039" s="174">
        <f>_xll.qlCalendarAdvance(Calendar,Y1038,X1039,"f",FALSE)</f>
        <v>46217</v>
      </c>
      <c r="Z1039" s="198">
        <f>_xll.qlCalendarAdvance(Calendar,Y1039,NDays&amp;"D")</f>
        <v>46219</v>
      </c>
      <c r="AA1039" s="173">
        <v>2.3725338504538552E-2</v>
      </c>
      <c r="AB1039" s="182">
        <v>2.3489094946853584E-2</v>
      </c>
    </row>
    <row r="1040" spans="24:28" x14ac:dyDescent="0.2">
      <c r="X1040" s="186" t="str">
        <f t="shared" si="49"/>
        <v>1w</v>
      </c>
      <c r="Y1040" s="174">
        <f>_xll.qlCalendarAdvance(Calendar,Y1039,X1040,"f",FALSE)</f>
        <v>46224</v>
      </c>
      <c r="Z1040" s="198">
        <f>_xll.qlCalendarAdvance(Calendar,Y1040,NDays&amp;"D")</f>
        <v>46226</v>
      </c>
      <c r="AA1040" s="173">
        <v>2.373188101540925E-2</v>
      </c>
      <c r="AB1040" s="182">
        <v>2.3497389706692573E-2</v>
      </c>
    </row>
    <row r="1041" spans="24:28" x14ac:dyDescent="0.2">
      <c r="X1041" s="186" t="str">
        <f t="shared" si="49"/>
        <v>1w</v>
      </c>
      <c r="Y1041" s="174">
        <f>_xll.qlCalendarAdvance(Calendar,Y1040,X1041,"f",FALSE)</f>
        <v>46231</v>
      </c>
      <c r="Z1041" s="198">
        <f>_xll.qlCalendarAdvance(Calendar,Y1041,NDays&amp;"D")</f>
        <v>46233</v>
      </c>
      <c r="AA1041" s="173">
        <v>2.3734706655623737E-2</v>
      </c>
      <c r="AB1041" s="182">
        <v>2.3505522259004152E-2</v>
      </c>
    </row>
    <row r="1042" spans="24:28" x14ac:dyDescent="0.2">
      <c r="X1042" s="186" t="str">
        <f t="shared" si="49"/>
        <v>1w</v>
      </c>
      <c r="Y1042" s="174">
        <f>_xll.qlCalendarAdvance(Calendar,Y1041,X1042,"f",FALSE)</f>
        <v>46238</v>
      </c>
      <c r="Z1042" s="198">
        <f>_xll.qlCalendarAdvance(Calendar,Y1042,NDays&amp;"D")</f>
        <v>46240</v>
      </c>
      <c r="AA1042" s="173">
        <v>2.3744652735816961E-2</v>
      </c>
      <c r="AB1042" s="182">
        <v>2.3513492603548514E-2</v>
      </c>
    </row>
    <row r="1043" spans="24:28" x14ac:dyDescent="0.2">
      <c r="X1043" s="186" t="str">
        <f t="shared" si="49"/>
        <v>1w</v>
      </c>
      <c r="Y1043" s="174">
        <f>_xll.qlCalendarAdvance(Calendar,Y1042,X1043,"f",FALSE)</f>
        <v>46245</v>
      </c>
      <c r="Z1043" s="198">
        <f>_xll.qlCalendarAdvance(Calendar,Y1043,NDays&amp;"D")</f>
        <v>46247</v>
      </c>
      <c r="AA1043" s="173">
        <v>2.3750891743036202E-2</v>
      </c>
      <c r="AB1043" s="182">
        <v>2.3521300740485529E-2</v>
      </c>
    </row>
    <row r="1044" spans="24:28" x14ac:dyDescent="0.2">
      <c r="X1044" s="186" t="str">
        <f t="shared" si="49"/>
        <v>1w</v>
      </c>
      <c r="Y1044" s="174">
        <f>_xll.qlCalendarAdvance(Calendar,Y1043,X1044,"f",FALSE)</f>
        <v>46252</v>
      </c>
      <c r="Z1044" s="198">
        <f>_xll.qlCalendarAdvance(Calendar,Y1044,NDays&amp;"D")</f>
        <v>46254</v>
      </c>
      <c r="AA1044" s="173">
        <v>2.3757039380183077E-2</v>
      </c>
      <c r="AB1044" s="182">
        <v>2.3528946669735262E-2</v>
      </c>
    </row>
    <row r="1045" spans="24:28" x14ac:dyDescent="0.2">
      <c r="X1045" s="186" t="str">
        <f t="shared" ref="X1045:X1108" si="50">X1044</f>
        <v>1w</v>
      </c>
      <c r="Y1045" s="174">
        <f>_xll.qlCalendarAdvance(Calendar,Y1044,X1045,"f",FALSE)</f>
        <v>46259</v>
      </c>
      <c r="Z1045" s="198">
        <f>_xll.qlCalendarAdvance(Calendar,Y1045,NDays&amp;"D")</f>
        <v>46261</v>
      </c>
      <c r="AA1045" s="173">
        <v>2.37595362367349E-2</v>
      </c>
      <c r="AB1045" s="182">
        <v>2.353643039137765E-2</v>
      </c>
    </row>
    <row r="1046" spans="24:28" x14ac:dyDescent="0.2">
      <c r="X1046" s="186" t="str">
        <f t="shared" si="50"/>
        <v>1w</v>
      </c>
      <c r="Y1046" s="174">
        <f>_xll.qlCalendarAdvance(Calendar,Y1045,X1046,"f",FALSE)</f>
        <v>46266</v>
      </c>
      <c r="Z1046" s="198">
        <f>_xll.qlCalendarAdvance(Calendar,Y1046,NDays&amp;"D")</f>
        <v>46268</v>
      </c>
      <c r="AA1046" s="173">
        <v>2.3763154599435621E-2</v>
      </c>
      <c r="AB1046" s="182">
        <v>2.3543751905332755E-2</v>
      </c>
    </row>
    <row r="1047" spans="24:28" x14ac:dyDescent="0.2">
      <c r="X1047" s="186" t="str">
        <f t="shared" si="50"/>
        <v>1w</v>
      </c>
      <c r="Y1047" s="174">
        <f>_xll.qlCalendarAdvance(Calendar,Y1046,X1047,"f",FALSE)</f>
        <v>46273</v>
      </c>
      <c r="Z1047" s="198">
        <f>_xll.qlCalendarAdvance(Calendar,Y1047,NDays&amp;"D")</f>
        <v>46275</v>
      </c>
      <c r="AA1047" s="173">
        <v>2.376907228476699E-2</v>
      </c>
      <c r="AB1047" s="182">
        <v>2.3550911211520642E-2</v>
      </c>
    </row>
    <row r="1048" spans="24:28" x14ac:dyDescent="0.2">
      <c r="X1048" s="186" t="str">
        <f t="shared" si="50"/>
        <v>1w</v>
      </c>
      <c r="Y1048" s="174">
        <f>_xll.qlCalendarAdvance(Calendar,Y1047,X1048,"f",FALSE)</f>
        <v>46280</v>
      </c>
      <c r="Z1048" s="198">
        <f>_xll.qlCalendarAdvance(Calendar,Y1048,NDays&amp;"D")</f>
        <v>46282</v>
      </c>
      <c r="AA1048" s="173">
        <v>2.377491717598906E-2</v>
      </c>
      <c r="AB1048" s="182">
        <v>2.3557908310021247E-2</v>
      </c>
    </row>
    <row r="1049" spans="24:28" x14ac:dyDescent="0.2">
      <c r="X1049" s="186" t="str">
        <f t="shared" si="50"/>
        <v>1w</v>
      </c>
      <c r="Y1049" s="174">
        <f>_xll.qlCalendarAdvance(Calendar,Y1048,X1049,"f",FALSE)</f>
        <v>46287</v>
      </c>
      <c r="Z1049" s="198">
        <f>_xll.qlCalendarAdvance(Calendar,Y1049,NDays&amp;"D")</f>
        <v>46289</v>
      </c>
      <c r="AA1049" s="173">
        <v>2.3780694306119361E-2</v>
      </c>
      <c r="AB1049" s="182">
        <v>2.356474320083457E-2</v>
      </c>
    </row>
    <row r="1050" spans="24:28" x14ac:dyDescent="0.2">
      <c r="X1050" s="186" t="str">
        <f t="shared" si="50"/>
        <v>1w</v>
      </c>
      <c r="Y1050" s="174">
        <f>_xll.qlCalendarAdvance(Calendar,Y1049,X1050,"f",FALSE)</f>
        <v>46294</v>
      </c>
      <c r="Z1050" s="198">
        <f>_xll.qlCalendarAdvance(Calendar,Y1050,NDays&amp;"D")</f>
        <v>46296</v>
      </c>
      <c r="AA1050" s="173">
        <v>2.3787583424143721E-2</v>
      </c>
      <c r="AB1050" s="182">
        <v>2.3571415883960611E-2</v>
      </c>
    </row>
    <row r="1051" spans="24:28" x14ac:dyDescent="0.2">
      <c r="X1051" s="186" t="str">
        <f t="shared" si="50"/>
        <v>1w</v>
      </c>
      <c r="Y1051" s="174">
        <f>_xll.qlCalendarAdvance(Calendar,Y1050,X1051,"f",FALSE)</f>
        <v>46301</v>
      </c>
      <c r="Z1051" s="198">
        <f>_xll.qlCalendarAdvance(Calendar,Y1051,NDays&amp;"D")</f>
        <v>46303</v>
      </c>
      <c r="AA1051" s="173">
        <v>2.3793237829965525E-2</v>
      </c>
      <c r="AB1051" s="182">
        <v>2.3577926359319434E-2</v>
      </c>
    </row>
    <row r="1052" spans="24:28" x14ac:dyDescent="0.2">
      <c r="X1052" s="186" t="str">
        <f t="shared" si="50"/>
        <v>1w</v>
      </c>
      <c r="Y1052" s="174">
        <f>_xll.qlCalendarAdvance(Calendar,Y1051,X1052,"f",FALSE)</f>
        <v>46308</v>
      </c>
      <c r="Z1052" s="198">
        <f>_xll.qlCalendarAdvance(Calendar,Y1052,NDays&amp;"D")</f>
        <v>46310</v>
      </c>
      <c r="AA1052" s="173">
        <v>2.3798839673465803E-2</v>
      </c>
      <c r="AB1052" s="182">
        <v>2.3584274626911039E-2</v>
      </c>
    </row>
    <row r="1053" spans="24:28" x14ac:dyDescent="0.2">
      <c r="X1053" s="186" t="str">
        <f t="shared" si="50"/>
        <v>1w</v>
      </c>
      <c r="Y1053" s="174">
        <f>_xll.qlCalendarAdvance(Calendar,Y1052,X1053,"f",FALSE)</f>
        <v>46315</v>
      </c>
      <c r="Z1053" s="198">
        <f>_xll.qlCalendarAdvance(Calendar,Y1053,NDays&amp;"D")</f>
        <v>46317</v>
      </c>
      <c r="AA1053" s="173">
        <v>2.3804393960583075E-2</v>
      </c>
      <c r="AB1053" s="182">
        <v>2.3590460686815362E-2</v>
      </c>
    </row>
    <row r="1054" spans="24:28" x14ac:dyDescent="0.2">
      <c r="X1054" s="186" t="str">
        <f t="shared" si="50"/>
        <v>1w</v>
      </c>
      <c r="Y1054" s="174">
        <f>_xll.qlCalendarAdvance(Calendar,Y1053,X1054,"f",FALSE)</f>
        <v>46322</v>
      </c>
      <c r="Z1054" s="198">
        <f>_xll.qlCalendarAdvance(Calendar,Y1054,NDays&amp;"D")</f>
        <v>46324</v>
      </c>
      <c r="AA1054" s="173">
        <v>2.3809905697314712E-2</v>
      </c>
      <c r="AB1054" s="182">
        <v>2.3596484538872531E-2</v>
      </c>
    </row>
    <row r="1055" spans="24:28" x14ac:dyDescent="0.2">
      <c r="X1055" s="186" t="str">
        <f t="shared" si="50"/>
        <v>1w</v>
      </c>
      <c r="Y1055" s="174">
        <f>_xll.qlCalendarAdvance(Calendar,Y1054,X1055,"f",FALSE)</f>
        <v>46329</v>
      </c>
      <c r="Z1055" s="198">
        <f>_xll.qlCalendarAdvance(Calendar,Y1055,NDays&amp;"D")</f>
        <v>46331</v>
      </c>
      <c r="AA1055" s="173">
        <v>2.3814215941326676E-2</v>
      </c>
      <c r="AB1055" s="182">
        <v>2.3602354495873001E-2</v>
      </c>
    </row>
    <row r="1056" spans="24:28" x14ac:dyDescent="0.2">
      <c r="X1056" s="186" t="str">
        <f t="shared" si="50"/>
        <v>1w</v>
      </c>
      <c r="Y1056" s="174">
        <f>_xll.qlCalendarAdvance(Calendar,Y1055,X1056,"f",FALSE)</f>
        <v>46336</v>
      </c>
      <c r="Z1056" s="198">
        <f>_xll.qlCalendarAdvance(Calendar,Y1056,NDays&amp;"D")</f>
        <v>46338</v>
      </c>
      <c r="AA1056" s="173">
        <v>2.3819657910025108E-2</v>
      </c>
      <c r="AB1056" s="182">
        <v>2.3608164183723801E-2</v>
      </c>
    </row>
    <row r="1057" spans="24:28" x14ac:dyDescent="0.2">
      <c r="X1057" s="186" t="str">
        <f t="shared" si="50"/>
        <v>1w</v>
      </c>
      <c r="Y1057" s="174">
        <f>_xll.qlCalendarAdvance(Calendar,Y1056,X1057,"f",FALSE)</f>
        <v>46343</v>
      </c>
      <c r="Z1057" s="198">
        <f>_xll.qlCalendarAdvance(Calendar,Y1057,NDays&amp;"D")</f>
        <v>46345</v>
      </c>
      <c r="AA1057" s="173">
        <v>2.3825065911993563E-2</v>
      </c>
      <c r="AB1057" s="182">
        <v>2.3613940290276858E-2</v>
      </c>
    </row>
    <row r="1058" spans="24:28" x14ac:dyDescent="0.2">
      <c r="X1058" s="186" t="str">
        <f t="shared" si="50"/>
        <v>1w</v>
      </c>
      <c r="Y1058" s="174">
        <f>_xll.qlCalendarAdvance(Calendar,Y1057,X1058,"f",FALSE)</f>
        <v>46350</v>
      </c>
      <c r="Z1058" s="198">
        <f>_xll.qlCalendarAdvance(Calendar,Y1058,NDays&amp;"D")</f>
        <v>46352</v>
      </c>
      <c r="AA1058" s="173">
        <v>2.3830439946959544E-2</v>
      </c>
      <c r="AB1058" s="182">
        <v>2.3619682815452236E-2</v>
      </c>
    </row>
    <row r="1059" spans="24:28" x14ac:dyDescent="0.2">
      <c r="X1059" s="186" t="str">
        <f t="shared" si="50"/>
        <v>1w</v>
      </c>
      <c r="Y1059" s="174">
        <f>_xll.qlCalendarAdvance(Calendar,Y1058,X1059,"f",FALSE)</f>
        <v>46357</v>
      </c>
      <c r="Z1059" s="198">
        <f>_xll.qlCalendarAdvance(Calendar,Y1059,NDays&amp;"D")</f>
        <v>46359</v>
      </c>
      <c r="AA1059" s="173">
        <v>2.3836935656678666E-2</v>
      </c>
      <c r="AB1059" s="182">
        <v>2.3625391759329872E-2</v>
      </c>
    </row>
    <row r="1060" spans="24:28" x14ac:dyDescent="0.2">
      <c r="X1060" s="186" t="str">
        <f t="shared" si="50"/>
        <v>1w</v>
      </c>
      <c r="Y1060" s="174">
        <f>_xll.qlCalendarAdvance(Calendar,Y1059,X1060,"f",FALSE)</f>
        <v>46364</v>
      </c>
      <c r="Z1060" s="198">
        <f>_xll.qlCalendarAdvance(Calendar,Y1060,NDays&amp;"D")</f>
        <v>46366</v>
      </c>
      <c r="AA1060" s="173">
        <v>2.384223967965949E-2</v>
      </c>
      <c r="AB1060" s="182">
        <v>2.3631067121909766E-2</v>
      </c>
    </row>
    <row r="1061" spans="24:28" x14ac:dyDescent="0.2">
      <c r="X1061" s="186" t="str">
        <f t="shared" si="50"/>
        <v>1w</v>
      </c>
      <c r="Y1061" s="174">
        <f>_xll.qlCalendarAdvance(Calendar,Y1060,X1061,"f",FALSE)</f>
        <v>46371</v>
      </c>
      <c r="Z1061" s="198">
        <f>_xll.qlCalendarAdvance(Calendar,Y1061,NDays&amp;"D")</f>
        <v>46373</v>
      </c>
      <c r="AA1061" s="173">
        <v>2.3847509732647341E-2</v>
      </c>
      <c r="AB1061" s="182">
        <v>2.363670890311198E-2</v>
      </c>
    </row>
    <row r="1062" spans="24:28" x14ac:dyDescent="0.2">
      <c r="X1062" s="186" t="str">
        <f t="shared" si="50"/>
        <v>1w</v>
      </c>
      <c r="Y1062" s="174">
        <f>_xll.qlCalendarAdvance(Calendar,Y1061,X1062,"f",FALSE)</f>
        <v>46378</v>
      </c>
      <c r="Z1062" s="198">
        <f>_xll.qlCalendarAdvance(Calendar,Y1062,NDays&amp;"D")</f>
        <v>46380</v>
      </c>
      <c r="AA1062" s="173">
        <v>2.3852745815373864E-2</v>
      </c>
      <c r="AB1062" s="182">
        <v>2.3645843397113175E-2</v>
      </c>
    </row>
    <row r="1063" spans="24:28" x14ac:dyDescent="0.2">
      <c r="X1063" s="186" t="str">
        <f t="shared" si="50"/>
        <v>1w</v>
      </c>
      <c r="Y1063" s="174">
        <f>_xll.qlCalendarAdvance(Calendar,Y1062,X1063,"f",FALSE)</f>
        <v>46385</v>
      </c>
      <c r="Z1063" s="198">
        <f>_xll.qlCalendarAdvance(Calendar,Y1063,NDays&amp;"D")</f>
        <v>46387</v>
      </c>
      <c r="AA1063" s="173">
        <v>2.3856800607278437E-2</v>
      </c>
      <c r="AB1063" s="182">
        <v>2.3651411916858489E-2</v>
      </c>
    </row>
    <row r="1064" spans="24:28" x14ac:dyDescent="0.2">
      <c r="X1064" s="186" t="str">
        <f t="shared" si="50"/>
        <v>1w</v>
      </c>
      <c r="Y1064" s="174">
        <f>_xll.qlCalendarAdvance(Calendar,Y1063,X1064,"f",FALSE)</f>
        <v>46392</v>
      </c>
      <c r="Z1064" s="198">
        <f>_xll.qlCalendarAdvance(Calendar,Y1064,NDays&amp;"D")</f>
        <v>46394</v>
      </c>
      <c r="AA1064" s="173">
        <v>2.3861970834570919E-2</v>
      </c>
      <c r="AB1064" s="182">
        <v>2.3653432758852233E-2</v>
      </c>
    </row>
    <row r="1065" spans="24:28" x14ac:dyDescent="0.2">
      <c r="X1065" s="186" t="str">
        <f t="shared" si="50"/>
        <v>1w</v>
      </c>
      <c r="Y1065" s="174">
        <f>_xll.qlCalendarAdvance(Calendar,Y1064,X1065,"f",FALSE)</f>
        <v>46399</v>
      </c>
      <c r="Z1065" s="198">
        <f>_xll.qlCalendarAdvance(Calendar,Y1065,NDays&amp;"D")</f>
        <v>46401</v>
      </c>
      <c r="AA1065" s="173">
        <v>2.3867107092991485E-2</v>
      </c>
      <c r="AB1065" s="182">
        <v>2.3658940214783541E-2</v>
      </c>
    </row>
    <row r="1066" spans="24:28" x14ac:dyDescent="0.2">
      <c r="X1066" s="186" t="str">
        <f t="shared" si="50"/>
        <v>1w</v>
      </c>
      <c r="Y1066" s="174">
        <f>_xll.qlCalendarAdvance(Calendar,Y1065,X1066,"f",FALSE)</f>
        <v>46406</v>
      </c>
      <c r="Z1066" s="198">
        <f>_xll.qlCalendarAdvance(Calendar,Y1066,NDays&amp;"D")</f>
        <v>46408</v>
      </c>
      <c r="AA1066" s="173">
        <v>2.3872209382279574E-2</v>
      </c>
      <c r="AB1066" s="182">
        <v>2.3664414089337171E-2</v>
      </c>
    </row>
    <row r="1067" spans="24:28" x14ac:dyDescent="0.2">
      <c r="X1067" s="186" t="str">
        <f t="shared" si="50"/>
        <v>1w</v>
      </c>
      <c r="Y1067" s="174">
        <f>_xll.qlCalendarAdvance(Calendar,Y1066,X1067,"f",FALSE)</f>
        <v>46413</v>
      </c>
      <c r="Z1067" s="198">
        <f>_xll.qlCalendarAdvance(Calendar,Y1067,NDays&amp;"D")</f>
        <v>46415</v>
      </c>
      <c r="AA1067" s="173">
        <v>2.3877277702177711E-2</v>
      </c>
      <c r="AB1067" s="182">
        <v>2.3669854382672995E-2</v>
      </c>
    </row>
    <row r="1068" spans="24:28" x14ac:dyDescent="0.2">
      <c r="X1068" s="186" t="str">
        <f t="shared" si="50"/>
        <v>1w</v>
      </c>
      <c r="Y1068" s="174">
        <f>_xll.qlCalendarAdvance(Calendar,Y1067,X1068,"f",FALSE)</f>
        <v>46420</v>
      </c>
      <c r="Z1068" s="198">
        <f>_xll.qlCalendarAdvance(Calendar,Y1068,NDays&amp;"D")</f>
        <v>46422</v>
      </c>
      <c r="AA1068" s="173">
        <v>2.3882312052428422E-2</v>
      </c>
      <c r="AB1068" s="182">
        <v>2.3675261094631139E-2</v>
      </c>
    </row>
    <row r="1069" spans="24:28" x14ac:dyDescent="0.2">
      <c r="X1069" s="186" t="str">
        <f t="shared" si="50"/>
        <v>1w</v>
      </c>
      <c r="Y1069" s="174">
        <f>_xll.qlCalendarAdvance(Calendar,Y1068,X1069,"f",FALSE)</f>
        <v>46427</v>
      </c>
      <c r="Z1069" s="198">
        <f>_xll.qlCalendarAdvance(Calendar,Y1069,NDays&amp;"D")</f>
        <v>46429</v>
      </c>
      <c r="AA1069" s="173">
        <v>2.3887312432777322E-2</v>
      </c>
      <c r="AB1069" s="182">
        <v>2.3680634225211605E-2</v>
      </c>
    </row>
    <row r="1070" spans="24:28" x14ac:dyDescent="0.2">
      <c r="X1070" s="186" t="str">
        <f t="shared" si="50"/>
        <v>1w</v>
      </c>
      <c r="Y1070" s="174">
        <f>_xll.qlCalendarAdvance(Calendar,Y1069,X1070,"f",FALSE)</f>
        <v>46434</v>
      </c>
      <c r="Z1070" s="198">
        <f>_xll.qlCalendarAdvance(Calendar,Y1070,NDays&amp;"D")</f>
        <v>46436</v>
      </c>
      <c r="AA1070" s="173">
        <v>2.3892278842970474E-2</v>
      </c>
      <c r="AB1070" s="182">
        <v>2.3685973774494329E-2</v>
      </c>
    </row>
    <row r="1071" spans="24:28" x14ac:dyDescent="0.2">
      <c r="X1071" s="186" t="str">
        <f t="shared" si="50"/>
        <v>1w</v>
      </c>
      <c r="Y1071" s="174">
        <f>_xll.qlCalendarAdvance(Calendar,Y1070,X1071,"f",FALSE)</f>
        <v>46441</v>
      </c>
      <c r="Z1071" s="198">
        <f>_xll.qlCalendarAdvance(Calendar,Y1071,NDays&amp;"D")</f>
        <v>46443</v>
      </c>
      <c r="AA1071" s="173">
        <v>2.3897211282757028E-2</v>
      </c>
      <c r="AB1071" s="182">
        <v>2.3691279742399374E-2</v>
      </c>
    </row>
    <row r="1072" spans="24:28" x14ac:dyDescent="0.2">
      <c r="X1072" s="186" t="str">
        <f t="shared" si="50"/>
        <v>1w</v>
      </c>
      <c r="Y1072" s="174">
        <f>_xll.qlCalendarAdvance(Calendar,Y1071,X1072,"f",FALSE)</f>
        <v>46448</v>
      </c>
      <c r="Z1072" s="198">
        <f>_xll.qlCalendarAdvance(Calendar,Y1072,NDays&amp;"D")</f>
        <v>46450</v>
      </c>
      <c r="AA1072" s="173">
        <v>2.3907750577377453E-2</v>
      </c>
      <c r="AB1072" s="182">
        <v>2.3696552129006676E-2</v>
      </c>
    </row>
    <row r="1073" spans="24:28" x14ac:dyDescent="0.2">
      <c r="X1073" s="186" t="str">
        <f t="shared" si="50"/>
        <v>1w</v>
      </c>
      <c r="Y1073" s="174">
        <f>_xll.qlCalendarAdvance(Calendar,Y1072,X1073,"f",FALSE)</f>
        <v>46455</v>
      </c>
      <c r="Z1073" s="198">
        <f>_xll.qlCalendarAdvance(Calendar,Y1073,NDays&amp;"D")</f>
        <v>46457</v>
      </c>
      <c r="AA1073" s="173">
        <v>2.3912604544742706E-2</v>
      </c>
      <c r="AB1073" s="182">
        <v>2.37017909342363E-2</v>
      </c>
    </row>
    <row r="1074" spans="24:28" x14ac:dyDescent="0.2">
      <c r="X1074" s="186" t="str">
        <f t="shared" si="50"/>
        <v>1w</v>
      </c>
      <c r="Y1074" s="174">
        <f>_xll.qlCalendarAdvance(Calendar,Y1073,X1074,"f",FALSE)</f>
        <v>46462</v>
      </c>
      <c r="Z1074" s="198">
        <f>_xll.qlCalendarAdvance(Calendar,Y1074,NDays&amp;"D")</f>
        <v>46464</v>
      </c>
      <c r="AA1074" s="173">
        <v>2.3917424529976011E-2</v>
      </c>
      <c r="AB1074" s="182">
        <v>2.3706996158168181E-2</v>
      </c>
    </row>
    <row r="1075" spans="24:28" x14ac:dyDescent="0.2">
      <c r="X1075" s="186" t="str">
        <f t="shared" si="50"/>
        <v>1w</v>
      </c>
      <c r="Y1075" s="174">
        <f>_xll.qlCalendarAdvance(Calendar,Y1074,X1075,"f",FALSE)</f>
        <v>46469</v>
      </c>
      <c r="Z1075" s="198">
        <f>_xll.qlCalendarAdvance(Calendar,Y1075,NDays&amp;"D")</f>
        <v>46471</v>
      </c>
      <c r="AA1075" s="173">
        <v>2.3922210532826817E-2</v>
      </c>
      <c r="AB1075" s="182">
        <v>2.3716762857857177E-2</v>
      </c>
    </row>
    <row r="1076" spans="24:28" x14ac:dyDescent="0.2">
      <c r="X1076" s="186" t="str">
        <f t="shared" si="50"/>
        <v>1w</v>
      </c>
      <c r="Y1076" s="174">
        <f>_xll.qlCalendarAdvance(Calendar,Y1075,X1076,"f",FALSE)</f>
        <v>46476</v>
      </c>
      <c r="Z1076" s="198">
        <f>_xll.qlCalendarAdvance(Calendar,Y1076,NDays&amp;"D")</f>
        <v>46478</v>
      </c>
      <c r="AA1076" s="173">
        <v>2.3923603830135452E-2</v>
      </c>
      <c r="AB1076" s="182">
        <v>2.3717305861978843E-2</v>
      </c>
    </row>
    <row r="1077" spans="24:28" x14ac:dyDescent="0.2">
      <c r="X1077" s="186" t="str">
        <f t="shared" si="50"/>
        <v>1w</v>
      </c>
      <c r="Y1077" s="174">
        <f>_xll.qlCalendarAdvance(Calendar,Y1076,X1077,"f",FALSE)</f>
        <v>46483</v>
      </c>
      <c r="Z1077" s="198">
        <f>_xll.qlCalendarAdvance(Calendar,Y1077,NDays&amp;"D")</f>
        <v>46485</v>
      </c>
      <c r="AA1077" s="173">
        <v>2.3928328213245746E-2</v>
      </c>
      <c r="AB1077" s="182">
        <v>2.3722410341777689E-2</v>
      </c>
    </row>
    <row r="1078" spans="24:28" x14ac:dyDescent="0.2">
      <c r="X1078" s="186" t="str">
        <f t="shared" si="50"/>
        <v>1w</v>
      </c>
      <c r="Y1078" s="174">
        <f>_xll.qlCalendarAdvance(Calendar,Y1077,X1078,"f",FALSE)</f>
        <v>46490</v>
      </c>
      <c r="Z1078" s="198">
        <f>_xll.qlCalendarAdvance(Calendar,Y1078,NDays&amp;"D")</f>
        <v>46492</v>
      </c>
      <c r="AA1078" s="173">
        <v>2.3933018619835645E-2</v>
      </c>
      <c r="AB1078" s="182">
        <v>2.3727481240358728E-2</v>
      </c>
    </row>
    <row r="1079" spans="24:28" x14ac:dyDescent="0.2">
      <c r="X1079" s="186" t="str">
        <f t="shared" si="50"/>
        <v>1w</v>
      </c>
      <c r="Y1079" s="174">
        <f>_xll.qlCalendarAdvance(Calendar,Y1078,X1079,"f",FALSE)</f>
        <v>46497</v>
      </c>
      <c r="Z1079" s="198">
        <f>_xll.qlCalendarAdvance(Calendar,Y1079,NDays&amp;"D")</f>
        <v>46499</v>
      </c>
      <c r="AA1079" s="173">
        <v>2.3937675049664906E-2</v>
      </c>
      <c r="AB1079" s="182">
        <v>2.3732518557562088E-2</v>
      </c>
    </row>
    <row r="1080" spans="24:28" x14ac:dyDescent="0.2">
      <c r="X1080" s="186" t="str">
        <f t="shared" si="50"/>
        <v>1w</v>
      </c>
      <c r="Y1080" s="174">
        <f>_xll.qlCalendarAdvance(Calendar,Y1079,X1080,"f",FALSE)</f>
        <v>46504</v>
      </c>
      <c r="Z1080" s="198">
        <f>_xll.qlCalendarAdvance(Calendar,Y1080,NDays&amp;"D")</f>
        <v>46506</v>
      </c>
      <c r="AA1080" s="173">
        <v>2.3942297502494592E-2</v>
      </c>
      <c r="AB1080" s="182">
        <v>2.3737522293307833E-2</v>
      </c>
    </row>
    <row r="1081" spans="24:28" x14ac:dyDescent="0.2">
      <c r="X1081" s="186" t="str">
        <f t="shared" si="50"/>
        <v>1w</v>
      </c>
      <c r="Y1081" s="174">
        <f>_xll.qlCalendarAdvance(Calendar,Y1080,X1081,"f",FALSE)</f>
        <v>46511</v>
      </c>
      <c r="Z1081" s="198">
        <f>_xll.qlCalendarAdvance(Calendar,Y1081,NDays&amp;"D")</f>
        <v>46513</v>
      </c>
      <c r="AA1081" s="173">
        <v>2.3950212906066359E-2</v>
      </c>
      <c r="AB1081" s="182">
        <v>2.3742492447755836E-2</v>
      </c>
    </row>
    <row r="1082" spans="24:28" x14ac:dyDescent="0.2">
      <c r="X1082" s="186" t="str">
        <f t="shared" si="50"/>
        <v>1w</v>
      </c>
      <c r="Y1082" s="174">
        <f>_xll.qlCalendarAdvance(Calendar,Y1081,X1082,"f",FALSE)</f>
        <v>46518</v>
      </c>
      <c r="Z1082" s="198">
        <f>_xll.qlCalendarAdvance(Calendar,Y1082,NDays&amp;"D")</f>
        <v>46520</v>
      </c>
      <c r="AA1082" s="173">
        <v>2.3954761025362162E-2</v>
      </c>
      <c r="AB1082" s="182">
        <v>2.3747429020986033E-2</v>
      </c>
    </row>
    <row r="1083" spans="24:28" x14ac:dyDescent="0.2">
      <c r="X1083" s="186" t="str">
        <f t="shared" si="50"/>
        <v>1w</v>
      </c>
      <c r="Y1083" s="174">
        <f>_xll.qlCalendarAdvance(Calendar,Y1082,X1083,"f",FALSE)</f>
        <v>46525</v>
      </c>
      <c r="Z1083" s="198">
        <f>_xll.qlCalendarAdvance(Calendar,Y1083,NDays&amp;"D")</f>
        <v>46527</v>
      </c>
      <c r="AA1083" s="173">
        <v>2.3959275160332073E-2</v>
      </c>
      <c r="AB1083" s="182">
        <v>2.3752332012758615E-2</v>
      </c>
    </row>
    <row r="1084" spans="24:28" x14ac:dyDescent="0.2">
      <c r="X1084" s="186" t="str">
        <f t="shared" si="50"/>
        <v>1w</v>
      </c>
      <c r="Y1084" s="174">
        <f>_xll.qlCalendarAdvance(Calendar,Y1083,X1084,"f",FALSE)</f>
        <v>46532</v>
      </c>
      <c r="Z1084" s="198">
        <f>_xll.qlCalendarAdvance(Calendar,Y1084,NDays&amp;"D")</f>
        <v>46534</v>
      </c>
      <c r="AA1084" s="173">
        <v>2.3963755310740579E-2</v>
      </c>
      <c r="AB1084" s="182">
        <v>2.3757201423073582E-2</v>
      </c>
    </row>
    <row r="1085" spans="24:28" x14ac:dyDescent="0.2">
      <c r="X1085" s="186" t="str">
        <f t="shared" si="50"/>
        <v>1w</v>
      </c>
      <c r="Y1085" s="174">
        <f>_xll.qlCalendarAdvance(Calendar,Y1084,X1085,"f",FALSE)</f>
        <v>46539</v>
      </c>
      <c r="Z1085" s="198">
        <f>_xll.qlCalendarAdvance(Calendar,Y1085,NDays&amp;"D")</f>
        <v>46541</v>
      </c>
      <c r="AA1085" s="173">
        <v>2.3964900103436083E-2</v>
      </c>
      <c r="AB1085" s="182">
        <v>2.3762037252170742E-2</v>
      </c>
    </row>
    <row r="1086" spans="24:28" x14ac:dyDescent="0.2">
      <c r="X1086" s="186" t="str">
        <f t="shared" si="50"/>
        <v>1w</v>
      </c>
      <c r="Y1086" s="174">
        <f>_xll.qlCalendarAdvance(Calendar,Y1085,X1086,"f",FALSE)</f>
        <v>46546</v>
      </c>
      <c r="Z1086" s="198">
        <f>_xll.qlCalendarAdvance(Calendar,Y1086,NDays&amp;"D")</f>
        <v>46548</v>
      </c>
      <c r="AA1086" s="173">
        <v>2.3969318689361648E-2</v>
      </c>
      <c r="AB1086" s="182">
        <v>2.3766839499810288E-2</v>
      </c>
    </row>
    <row r="1087" spans="24:28" x14ac:dyDescent="0.2">
      <c r="X1087" s="186" t="str">
        <f t="shared" si="50"/>
        <v>1w</v>
      </c>
      <c r="Y1087" s="174">
        <f>_xll.qlCalendarAdvance(Calendar,Y1086,X1087,"f",FALSE)</f>
        <v>46553</v>
      </c>
      <c r="Z1087" s="198">
        <f>_xll.qlCalendarAdvance(Calendar,Y1087,NDays&amp;"D")</f>
        <v>46555</v>
      </c>
      <c r="AA1087" s="173">
        <v>2.3973703296668383E-2</v>
      </c>
      <c r="AB1087" s="182">
        <v>2.3771608166152092E-2</v>
      </c>
    </row>
    <row r="1088" spans="24:28" x14ac:dyDescent="0.2">
      <c r="X1088" s="186" t="str">
        <f t="shared" si="50"/>
        <v>1w</v>
      </c>
      <c r="Y1088" s="174">
        <f>_xll.qlCalendarAdvance(Calendar,Y1087,X1088,"f",FALSE)</f>
        <v>46560</v>
      </c>
      <c r="Z1088" s="198">
        <f>_xll.qlCalendarAdvance(Calendar,Y1088,NDays&amp;"D")</f>
        <v>46562</v>
      </c>
      <c r="AA1088" s="173">
        <v>2.3978053925131776E-2</v>
      </c>
      <c r="AB1088" s="182">
        <v>2.3776343251196153E-2</v>
      </c>
    </row>
    <row r="1089" spans="24:28" x14ac:dyDescent="0.2">
      <c r="X1089" s="186" t="str">
        <f t="shared" si="50"/>
        <v>1w</v>
      </c>
      <c r="Y1089" s="174">
        <f>_xll.qlCalendarAdvance(Calendar,Y1088,X1089,"f",FALSE)</f>
        <v>46567</v>
      </c>
      <c r="Z1089" s="198">
        <f>_xll.qlCalendarAdvance(Calendar,Y1089,NDays&amp;"D")</f>
        <v>46569</v>
      </c>
      <c r="AA1089" s="173">
        <v>2.3985646286274375E-2</v>
      </c>
      <c r="AB1089" s="182">
        <v>2.3781044754782599E-2</v>
      </c>
    </row>
    <row r="1090" spans="24:28" x14ac:dyDescent="0.2">
      <c r="X1090" s="186" t="str">
        <f t="shared" si="50"/>
        <v>1w</v>
      </c>
      <c r="Y1090" s="174">
        <f>_xll.qlCalendarAdvance(Calendar,Y1089,X1090,"f",FALSE)</f>
        <v>46574</v>
      </c>
      <c r="Z1090" s="198">
        <f>_xll.qlCalendarAdvance(Calendar,Y1090,NDays&amp;"D")</f>
        <v>46576</v>
      </c>
      <c r="AA1090" s="173">
        <v>2.3989922524483929E-2</v>
      </c>
      <c r="AB1090" s="182">
        <v>2.3785712676991366E-2</v>
      </c>
    </row>
    <row r="1091" spans="24:28" x14ac:dyDescent="0.2">
      <c r="X1091" s="186" t="str">
        <f t="shared" si="50"/>
        <v>1w</v>
      </c>
      <c r="Y1091" s="174">
        <f>_xll.qlCalendarAdvance(Calendar,Y1090,X1091,"f",FALSE)</f>
        <v>46581</v>
      </c>
      <c r="Z1091" s="198">
        <f>_xll.qlCalendarAdvance(Calendar,Y1091,NDays&amp;"D")</f>
        <v>46583</v>
      </c>
      <c r="AA1091" s="173">
        <v>2.3994164776537659E-2</v>
      </c>
      <c r="AB1091" s="182">
        <v>2.3790347017902391E-2</v>
      </c>
    </row>
    <row r="1092" spans="24:28" x14ac:dyDescent="0.2">
      <c r="X1092" s="186" t="str">
        <f t="shared" si="50"/>
        <v>1w</v>
      </c>
      <c r="Y1092" s="174">
        <f>_xll.qlCalendarAdvance(Calendar,Y1091,X1092,"f",FALSE)</f>
        <v>46588</v>
      </c>
      <c r="Z1092" s="198">
        <f>_xll.qlCalendarAdvance(Calendar,Y1092,NDays&amp;"D")</f>
        <v>46590</v>
      </c>
      <c r="AA1092" s="173">
        <v>2.3998373042215092E-2</v>
      </c>
      <c r="AB1092" s="182">
        <v>2.3794947777435738E-2</v>
      </c>
    </row>
    <row r="1093" spans="24:28" x14ac:dyDescent="0.2">
      <c r="X1093" s="186" t="str">
        <f t="shared" si="50"/>
        <v>1w</v>
      </c>
      <c r="Y1093" s="174">
        <f>_xll.qlCalendarAdvance(Calendar,Y1092,X1093,"f",FALSE)</f>
        <v>46595</v>
      </c>
      <c r="Z1093" s="198">
        <f>_xll.qlCalendarAdvance(Calendar,Y1093,NDays&amp;"D")</f>
        <v>46597</v>
      </c>
      <c r="AA1093" s="173">
        <v>2.4002547321296627E-2</v>
      </c>
      <c r="AB1093" s="182">
        <v>2.3799514955591405E-2</v>
      </c>
    </row>
    <row r="1094" spans="24:28" x14ac:dyDescent="0.2">
      <c r="X1094" s="186" t="str">
        <f t="shared" si="50"/>
        <v>1w</v>
      </c>
      <c r="Y1094" s="174">
        <f>_xll.qlCalendarAdvance(Calendar,Y1093,X1094,"f",FALSE)</f>
        <v>46602</v>
      </c>
      <c r="Z1094" s="198">
        <f>_xll.qlCalendarAdvance(Calendar,Y1094,NDays&amp;"D")</f>
        <v>46604</v>
      </c>
      <c r="AA1094" s="173">
        <v>2.4006687613564795E-2</v>
      </c>
      <c r="AB1094" s="182">
        <v>2.3804048552369395E-2</v>
      </c>
    </row>
    <row r="1095" spans="24:28" x14ac:dyDescent="0.2">
      <c r="X1095" s="186" t="str">
        <f t="shared" si="50"/>
        <v>1w</v>
      </c>
      <c r="Y1095" s="174">
        <f>_xll.qlCalendarAdvance(Calendar,Y1094,X1095,"f",FALSE)</f>
        <v>46609</v>
      </c>
      <c r="Z1095" s="198">
        <f>_xll.qlCalendarAdvance(Calendar,Y1095,NDays&amp;"D")</f>
        <v>46611</v>
      </c>
      <c r="AA1095" s="173">
        <v>2.4010793918805576E-2</v>
      </c>
      <c r="AB1095" s="182">
        <v>2.3808548567769705E-2</v>
      </c>
    </row>
    <row r="1096" spans="24:28" x14ac:dyDescent="0.2">
      <c r="X1096" s="186" t="str">
        <f t="shared" si="50"/>
        <v>1w</v>
      </c>
      <c r="Y1096" s="174">
        <f>_xll.qlCalendarAdvance(Calendar,Y1095,X1096,"f",FALSE)</f>
        <v>46616</v>
      </c>
      <c r="Z1096" s="198">
        <f>_xll.qlCalendarAdvance(Calendar,Y1096,NDays&amp;"D")</f>
        <v>46618</v>
      </c>
      <c r="AA1096" s="173">
        <v>2.4014866236803663E-2</v>
      </c>
      <c r="AB1096" s="182">
        <v>2.3813015001792337E-2</v>
      </c>
    </row>
    <row r="1097" spans="24:28" x14ac:dyDescent="0.2">
      <c r="X1097" s="186" t="str">
        <f t="shared" si="50"/>
        <v>1w</v>
      </c>
      <c r="Y1097" s="174">
        <f>_xll.qlCalendarAdvance(Calendar,Y1096,X1097,"f",FALSE)</f>
        <v>46623</v>
      </c>
      <c r="Z1097" s="198">
        <f>_xll.qlCalendarAdvance(Calendar,Y1097,NDays&amp;"D")</f>
        <v>46625</v>
      </c>
      <c r="AA1097" s="173">
        <v>2.4018904567348037E-2</v>
      </c>
      <c r="AB1097" s="182">
        <v>2.3817447854517226E-2</v>
      </c>
    </row>
    <row r="1098" spans="24:28" x14ac:dyDescent="0.2">
      <c r="X1098" s="186" t="str">
        <f t="shared" si="50"/>
        <v>1w</v>
      </c>
      <c r="Y1098" s="174">
        <f>_xll.qlCalendarAdvance(Calendar,Y1097,X1098,"f",FALSE)</f>
        <v>46630</v>
      </c>
      <c r="Z1098" s="198">
        <f>_xll.qlCalendarAdvance(Calendar,Y1098,NDays&amp;"D")</f>
        <v>46632</v>
      </c>
      <c r="AA1098" s="173">
        <v>2.4018618477948818E-2</v>
      </c>
      <c r="AB1098" s="182">
        <v>2.3821847125784501E-2</v>
      </c>
    </row>
    <row r="1099" spans="24:28" x14ac:dyDescent="0.2">
      <c r="X1099" s="186" t="str">
        <f t="shared" si="50"/>
        <v>1w</v>
      </c>
      <c r="Y1099" s="174">
        <f>_xll.qlCalendarAdvance(Calendar,Y1098,X1099,"f",FALSE)</f>
        <v>46637</v>
      </c>
      <c r="Z1099" s="198">
        <f>_xll.qlCalendarAdvance(Calendar,Y1099,NDays&amp;"D")</f>
        <v>46639</v>
      </c>
      <c r="AA1099" s="173">
        <v>2.4022597488160685E-2</v>
      </c>
      <c r="AB1099" s="182">
        <v>2.3826212815674097E-2</v>
      </c>
    </row>
    <row r="1100" spans="24:28" x14ac:dyDescent="0.2">
      <c r="X1100" s="186" t="str">
        <f t="shared" si="50"/>
        <v>1w</v>
      </c>
      <c r="Y1100" s="174">
        <f>_xll.qlCalendarAdvance(Calendar,Y1099,X1100,"f",FALSE)</f>
        <v>46644</v>
      </c>
      <c r="Z1100" s="198">
        <f>_xll.qlCalendarAdvance(Calendar,Y1100,NDays&amp;"D")</f>
        <v>46646</v>
      </c>
      <c r="AA1100" s="173">
        <v>2.4026542519195278E-2</v>
      </c>
      <c r="AB1100" s="182">
        <v>2.3830544924186015E-2</v>
      </c>
    </row>
    <row r="1101" spans="24:28" x14ac:dyDescent="0.2">
      <c r="X1101" s="186" t="str">
        <f t="shared" si="50"/>
        <v>1w</v>
      </c>
      <c r="Y1101" s="174">
        <f>_xll.qlCalendarAdvance(Calendar,Y1100,X1101,"f",FALSE)</f>
        <v>46651</v>
      </c>
      <c r="Z1101" s="198">
        <f>_xll.qlCalendarAdvance(Calendar,Y1101,NDays&amp;"D")</f>
        <v>46653</v>
      </c>
      <c r="AA1101" s="173">
        <v>2.4030453570852321E-2</v>
      </c>
      <c r="AB1101" s="182">
        <v>2.3834843451400189E-2</v>
      </c>
    </row>
    <row r="1102" spans="24:28" x14ac:dyDescent="0.2">
      <c r="X1102" s="186" t="str">
        <f t="shared" si="50"/>
        <v>1w</v>
      </c>
      <c r="Y1102" s="174">
        <f>_xll.qlCalendarAdvance(Calendar,Y1101,X1102,"f",FALSE)</f>
        <v>46658</v>
      </c>
      <c r="Z1102" s="198">
        <f>_xll.qlCalendarAdvance(Calendar,Y1102,NDays&amp;"D")</f>
        <v>46660</v>
      </c>
      <c r="AA1102" s="173">
        <v>2.4035394823422328E-2</v>
      </c>
      <c r="AB1102" s="182">
        <v>2.383910839715675E-2</v>
      </c>
    </row>
    <row r="1103" spans="24:28" x14ac:dyDescent="0.2">
      <c r="X1103" s="186" t="str">
        <f t="shared" si="50"/>
        <v>1w</v>
      </c>
      <c r="Y1103" s="174">
        <f>_xll.qlCalendarAdvance(Calendar,Y1102,X1103,"f",FALSE)</f>
        <v>46665</v>
      </c>
      <c r="Z1103" s="198">
        <f>_xll.qlCalendarAdvance(Calendar,Y1103,NDays&amp;"D")</f>
        <v>46667</v>
      </c>
      <c r="AA1103" s="173">
        <v>2.4039235743469042E-2</v>
      </c>
      <c r="AB1103" s="182">
        <v>2.3843339761535631E-2</v>
      </c>
    </row>
    <row r="1104" spans="24:28" x14ac:dyDescent="0.2">
      <c r="X1104" s="186" t="str">
        <f t="shared" si="50"/>
        <v>1w</v>
      </c>
      <c r="Y1104" s="174">
        <f>_xll.qlCalendarAdvance(Calendar,Y1103,X1104,"f",FALSE)</f>
        <v>46672</v>
      </c>
      <c r="Z1104" s="198">
        <f>_xll.qlCalendarAdvance(Calendar,Y1104,NDays&amp;"D")</f>
        <v>46674</v>
      </c>
      <c r="AA1104" s="173">
        <v>2.4047280403602003E-2</v>
      </c>
      <c r="AB1104" s="182">
        <v>2.3847537544536834E-2</v>
      </c>
    </row>
    <row r="1105" spans="24:28" x14ac:dyDescent="0.2">
      <c r="X1105" s="186" t="str">
        <f t="shared" si="50"/>
        <v>1w</v>
      </c>
      <c r="Y1105" s="174">
        <f>_xll.qlCalendarAdvance(Calendar,Y1104,X1105,"f",FALSE)</f>
        <v>46679</v>
      </c>
      <c r="Z1105" s="198">
        <f>_xll.qlCalendarAdvance(Calendar,Y1105,NDays&amp;"D")</f>
        <v>46681</v>
      </c>
      <c r="AA1105" s="173">
        <v>2.4046815636770046E-2</v>
      </c>
      <c r="AB1105" s="182">
        <v>2.3851701746240295E-2</v>
      </c>
    </row>
    <row r="1106" spans="24:28" x14ac:dyDescent="0.2">
      <c r="X1106" s="186" t="str">
        <f t="shared" si="50"/>
        <v>1w</v>
      </c>
      <c r="Y1106" s="174">
        <f>_xll.qlCalendarAdvance(Calendar,Y1105,X1106,"f",FALSE)</f>
        <v>46686</v>
      </c>
      <c r="Z1106" s="198">
        <f>_xll.qlCalendarAdvance(Calendar,Y1106,NDays&amp;"D")</f>
        <v>46688</v>
      </c>
      <c r="AA1106" s="173">
        <v>2.4050554609635573E-2</v>
      </c>
      <c r="AB1106" s="182">
        <v>2.3855832366406204E-2</v>
      </c>
    </row>
    <row r="1107" spans="24:28" x14ac:dyDescent="0.2">
      <c r="X1107" s="186" t="str">
        <f t="shared" si="50"/>
        <v>1w</v>
      </c>
      <c r="Y1107" s="174">
        <f>_xll.qlCalendarAdvance(Calendar,Y1106,X1107,"f",FALSE)</f>
        <v>46693</v>
      </c>
      <c r="Z1107" s="198">
        <f>_xll.qlCalendarAdvance(Calendar,Y1107,NDays&amp;"D")</f>
        <v>46695</v>
      </c>
      <c r="AA1107" s="173">
        <v>2.4053206302819392E-2</v>
      </c>
      <c r="AB1107" s="182">
        <v>2.3859929405354308E-2</v>
      </c>
    </row>
    <row r="1108" spans="24:28" x14ac:dyDescent="0.2">
      <c r="X1108" s="186" t="str">
        <f t="shared" si="50"/>
        <v>1w</v>
      </c>
      <c r="Y1108" s="174">
        <f>_xll.qlCalendarAdvance(Calendar,Y1107,X1108,"f",FALSE)</f>
        <v>46700</v>
      </c>
      <c r="Z1108" s="198">
        <f>_xll.qlCalendarAdvance(Calendar,Y1108,NDays&amp;"D")</f>
        <v>46702</v>
      </c>
      <c r="AA1108" s="173">
        <v>2.4056879493349594E-2</v>
      </c>
      <c r="AB1108" s="182">
        <v>2.386399286276486E-2</v>
      </c>
    </row>
    <row r="1109" spans="24:28" x14ac:dyDescent="0.2">
      <c r="X1109" s="186" t="str">
        <f t="shared" ref="X1109:X1172" si="51">X1108</f>
        <v>1w</v>
      </c>
      <c r="Y1109" s="174">
        <f>_xll.qlCalendarAdvance(Calendar,Y1108,X1109,"f",FALSE)</f>
        <v>46707</v>
      </c>
      <c r="Z1109" s="198">
        <f>_xll.qlCalendarAdvance(Calendar,Y1109,NDays&amp;"D")</f>
        <v>46709</v>
      </c>
      <c r="AA1109" s="173">
        <v>2.4060518702957105E-2</v>
      </c>
      <c r="AB1109" s="182">
        <v>2.386802273887767E-2</v>
      </c>
    </row>
    <row r="1110" spans="24:28" x14ac:dyDescent="0.2">
      <c r="X1110" s="186" t="str">
        <f t="shared" si="51"/>
        <v>1w</v>
      </c>
      <c r="Y1110" s="174">
        <f>_xll.qlCalendarAdvance(Calendar,Y1109,X1110,"f",FALSE)</f>
        <v>46714</v>
      </c>
      <c r="Z1110" s="198">
        <f>_xll.qlCalendarAdvance(Calendar,Y1110,NDays&amp;"D")</f>
        <v>46716</v>
      </c>
      <c r="AA1110" s="173">
        <v>2.4064123931455701E-2</v>
      </c>
      <c r="AB1110" s="182">
        <v>2.3872019033612801E-2</v>
      </c>
    </row>
    <row r="1111" spans="24:28" x14ac:dyDescent="0.2">
      <c r="X1111" s="186" t="str">
        <f t="shared" si="51"/>
        <v>1w</v>
      </c>
      <c r="Y1111" s="174">
        <f>_xll.qlCalendarAdvance(Calendar,Y1110,X1111,"f",FALSE)</f>
        <v>46721</v>
      </c>
      <c r="Z1111" s="198">
        <f>_xll.qlCalendarAdvance(Calendar,Y1111,NDays&amp;"D")</f>
        <v>46723</v>
      </c>
      <c r="AA1111" s="173">
        <v>2.4068739728511673E-2</v>
      </c>
      <c r="AB1111" s="182">
        <v>2.3875981746890318E-2</v>
      </c>
    </row>
    <row r="1112" spans="24:28" x14ac:dyDescent="0.2">
      <c r="X1112" s="186" t="str">
        <f t="shared" si="51"/>
        <v>1w</v>
      </c>
      <c r="Y1112" s="174">
        <f>_xll.qlCalendarAdvance(Calendar,Y1111,X1112,"f",FALSE)</f>
        <v>46728</v>
      </c>
      <c r="Z1112" s="198">
        <f>_xll.qlCalendarAdvance(Calendar,Y1112,NDays&amp;"D")</f>
        <v>46730</v>
      </c>
      <c r="AA1112" s="173">
        <v>2.40722748018928E-2</v>
      </c>
      <c r="AB1112" s="182">
        <v>2.3879910878790156E-2</v>
      </c>
    </row>
    <row r="1113" spans="24:28" x14ac:dyDescent="0.2">
      <c r="X1113" s="186" t="str">
        <f t="shared" si="51"/>
        <v>1w</v>
      </c>
      <c r="Y1113" s="174">
        <f>_xll.qlCalendarAdvance(Calendar,Y1112,X1113,"f",FALSE)</f>
        <v>46735</v>
      </c>
      <c r="Z1113" s="198">
        <f>_xll.qlCalendarAdvance(Calendar,Y1113,NDays&amp;"D")</f>
        <v>46737</v>
      </c>
      <c r="AA1113" s="173">
        <v>2.4075775891382815E-2</v>
      </c>
      <c r="AB1113" s="182">
        <v>2.3883806429312315E-2</v>
      </c>
    </row>
    <row r="1114" spans="24:28" x14ac:dyDescent="0.2">
      <c r="X1114" s="186" t="str">
        <f t="shared" si="51"/>
        <v>1w</v>
      </c>
      <c r="Y1114" s="174">
        <f>_xll.qlCalendarAdvance(Calendar,Y1113,X1114,"f",FALSE)</f>
        <v>46742</v>
      </c>
      <c r="Z1114" s="198">
        <f>_xll.qlCalendarAdvance(Calendar,Y1114,NDays&amp;"D")</f>
        <v>46744</v>
      </c>
      <c r="AA1114" s="173">
        <v>2.407924299680219E-2</v>
      </c>
      <c r="AB1114" s="182">
        <v>2.3887668398536732E-2</v>
      </c>
    </row>
    <row r="1115" spans="24:28" x14ac:dyDescent="0.2">
      <c r="X1115" s="186" t="str">
        <f t="shared" si="51"/>
        <v>1w</v>
      </c>
      <c r="Y1115" s="174">
        <f>_xll.qlCalendarAdvance(Calendar,Y1114,X1115,"f",FALSE)</f>
        <v>46749</v>
      </c>
      <c r="Z1115" s="198">
        <f>_xll.qlCalendarAdvance(Calendar,Y1115,NDays&amp;"D")</f>
        <v>46751</v>
      </c>
      <c r="AA1115" s="173">
        <v>2.408267611797402E-2</v>
      </c>
      <c r="AB1115" s="182">
        <v>2.3891496786223598E-2</v>
      </c>
    </row>
    <row r="1116" spans="24:28" x14ac:dyDescent="0.2">
      <c r="X1116" s="186" t="str">
        <f t="shared" si="51"/>
        <v>1w</v>
      </c>
      <c r="Y1116" s="174">
        <f>_xll.qlCalendarAdvance(Calendar,Y1115,X1116,"f",FALSE)</f>
        <v>46756</v>
      </c>
      <c r="Z1116" s="198">
        <f>_xll.qlCalendarAdvance(Calendar,Y1116,NDays&amp;"D")</f>
        <v>46758</v>
      </c>
      <c r="AA1116" s="173">
        <v>2.408504168901255E-2</v>
      </c>
      <c r="AB1116" s="182">
        <v>2.3895291592612722E-2</v>
      </c>
    </row>
    <row r="1117" spans="24:28" x14ac:dyDescent="0.2">
      <c r="X1117" s="186" t="str">
        <f t="shared" si="51"/>
        <v>1w</v>
      </c>
      <c r="Y1117" s="174">
        <f>_xll.qlCalendarAdvance(Calendar,Y1116,X1117,"f",FALSE)</f>
        <v>46763</v>
      </c>
      <c r="Z1117" s="198">
        <f>_xll.qlCalendarAdvance(Calendar,Y1117,NDays&amp;"D")</f>
        <v>46765</v>
      </c>
      <c r="AA1117" s="173">
        <v>2.4088409044709248E-2</v>
      </c>
      <c r="AB1117" s="182">
        <v>2.3899052817544231E-2</v>
      </c>
    </row>
    <row r="1118" spans="24:28" x14ac:dyDescent="0.2">
      <c r="X1118" s="186" t="str">
        <f t="shared" si="51"/>
        <v>1w</v>
      </c>
      <c r="Y1118" s="174">
        <f>_xll.qlCalendarAdvance(Calendar,Y1117,X1118,"f",FALSE)</f>
        <v>46770</v>
      </c>
      <c r="Z1118" s="198">
        <f>_xll.qlCalendarAdvance(Calendar,Y1118,NDays&amp;"D")</f>
        <v>46772</v>
      </c>
      <c r="AA1118" s="173">
        <v>2.4091742417876632E-2</v>
      </c>
      <c r="AB1118" s="182">
        <v>2.3902780461098061E-2</v>
      </c>
    </row>
    <row r="1119" spans="24:28" x14ac:dyDescent="0.2">
      <c r="X1119" s="186" t="str">
        <f t="shared" si="51"/>
        <v>1w</v>
      </c>
      <c r="Y1119" s="174">
        <f>_xll.qlCalendarAdvance(Calendar,Y1118,X1119,"f",FALSE)</f>
        <v>46777</v>
      </c>
      <c r="Z1119" s="198">
        <f>_xll.qlCalendarAdvance(Calendar,Y1119,NDays&amp;"D")</f>
        <v>46779</v>
      </c>
      <c r="AA1119" s="173">
        <v>2.4095041808346037E-2</v>
      </c>
      <c r="AB1119" s="182">
        <v>2.3906474523274213E-2</v>
      </c>
    </row>
    <row r="1120" spans="24:28" x14ac:dyDescent="0.2">
      <c r="X1120" s="186" t="str">
        <f t="shared" si="51"/>
        <v>1w</v>
      </c>
      <c r="Y1120" s="174">
        <f>_xll.qlCalendarAdvance(Calendar,Y1119,X1120,"f",FALSE)</f>
        <v>46784</v>
      </c>
      <c r="Z1120" s="198">
        <f>_xll.qlCalendarAdvance(Calendar,Y1120,NDays&amp;"D")</f>
        <v>46786</v>
      </c>
      <c r="AA1120" s="173">
        <v>2.4098307215949254E-2</v>
      </c>
      <c r="AB1120" s="182">
        <v>2.391013500399275E-2</v>
      </c>
    </row>
    <row r="1121" spans="24:28" x14ac:dyDescent="0.2">
      <c r="X1121" s="186" t="str">
        <f t="shared" si="51"/>
        <v>1w</v>
      </c>
      <c r="Y1121" s="174">
        <f>_xll.qlCalendarAdvance(Calendar,Y1120,X1121,"f",FALSE)</f>
        <v>46791</v>
      </c>
      <c r="Z1121" s="198">
        <f>_xll.qlCalendarAdvance(Calendar,Y1121,NDays&amp;"D")</f>
        <v>46793</v>
      </c>
      <c r="AA1121" s="173">
        <v>2.4101538640519379E-2</v>
      </c>
      <c r="AB1121" s="182">
        <v>2.3913761903413544E-2</v>
      </c>
    </row>
    <row r="1122" spans="24:28" x14ac:dyDescent="0.2">
      <c r="X1122" s="186" t="str">
        <f t="shared" si="51"/>
        <v>1w</v>
      </c>
      <c r="Y1122" s="174">
        <f>_xll.qlCalendarAdvance(Calendar,Y1121,X1122,"f",FALSE)</f>
        <v>46798</v>
      </c>
      <c r="Z1122" s="198">
        <f>_xll.qlCalendarAdvance(Calendar,Y1122,NDays&amp;"D")</f>
        <v>46800</v>
      </c>
      <c r="AA1122" s="173">
        <v>2.4104736081892588E-2</v>
      </c>
      <c r="AB1122" s="182">
        <v>2.3917355221376724E-2</v>
      </c>
    </row>
    <row r="1123" spans="24:28" x14ac:dyDescent="0.2">
      <c r="X1123" s="186" t="str">
        <f t="shared" si="51"/>
        <v>1w</v>
      </c>
      <c r="Y1123" s="174">
        <f>_xll.qlCalendarAdvance(Calendar,Y1122,X1123,"f",FALSE)</f>
        <v>46805</v>
      </c>
      <c r="Z1123" s="198">
        <f>_xll.qlCalendarAdvance(Calendar,Y1123,NDays&amp;"D")</f>
        <v>46807</v>
      </c>
      <c r="AA1123" s="173">
        <v>2.4107899539905494E-2</v>
      </c>
      <c r="AB1123" s="182">
        <v>2.3920914957962225E-2</v>
      </c>
    </row>
    <row r="1124" spans="24:28" x14ac:dyDescent="0.2">
      <c r="X1124" s="186" t="str">
        <f t="shared" si="51"/>
        <v>1w</v>
      </c>
      <c r="Y1124" s="174">
        <f>_xll.qlCalendarAdvance(Calendar,Y1123,X1124,"f",FALSE)</f>
        <v>46812</v>
      </c>
      <c r="Z1124" s="198">
        <f>_xll.qlCalendarAdvance(Calendar,Y1124,NDays&amp;"D")</f>
        <v>46814</v>
      </c>
      <c r="AA1124" s="173">
        <v>2.411509150849895E-2</v>
      </c>
      <c r="AB1124" s="182">
        <v>2.3924441113090111E-2</v>
      </c>
    </row>
    <row r="1125" spans="24:28" x14ac:dyDescent="0.2">
      <c r="X1125" s="186" t="str">
        <f t="shared" si="51"/>
        <v>1w</v>
      </c>
      <c r="Y1125" s="174">
        <f>_xll.qlCalendarAdvance(Calendar,Y1124,X1125,"f",FALSE)</f>
        <v>46819</v>
      </c>
      <c r="Z1125" s="198">
        <f>_xll.qlCalendarAdvance(Calendar,Y1125,NDays&amp;"D")</f>
        <v>46821</v>
      </c>
      <c r="AA1125" s="173">
        <v>2.4118178111466576E-2</v>
      </c>
      <c r="AB1125" s="182">
        <v>2.3927933686840319E-2</v>
      </c>
    </row>
    <row r="1126" spans="24:28" x14ac:dyDescent="0.2">
      <c r="X1126" s="186" t="str">
        <f t="shared" si="51"/>
        <v>1w</v>
      </c>
      <c r="Y1126" s="174">
        <f>_xll.qlCalendarAdvance(Calendar,Y1125,X1126,"f",FALSE)</f>
        <v>46826</v>
      </c>
      <c r="Z1126" s="198">
        <f>_xll.qlCalendarAdvance(Calendar,Y1126,NDays&amp;"D")</f>
        <v>46828</v>
      </c>
      <c r="AA1126" s="173">
        <v>2.4121230721603285E-2</v>
      </c>
      <c r="AB1126" s="182">
        <v>2.3931392679212848E-2</v>
      </c>
    </row>
    <row r="1127" spans="24:28" x14ac:dyDescent="0.2">
      <c r="X1127" s="186" t="str">
        <f t="shared" si="51"/>
        <v>1w</v>
      </c>
      <c r="Y1127" s="174">
        <f>_xll.qlCalendarAdvance(Calendar,Y1126,X1127,"f",FALSE)</f>
        <v>46833</v>
      </c>
      <c r="Z1127" s="198">
        <f>_xll.qlCalendarAdvance(Calendar,Y1127,NDays&amp;"D")</f>
        <v>46835</v>
      </c>
      <c r="AA1127" s="173">
        <v>2.4124249338750497E-2</v>
      </c>
      <c r="AB1127" s="182">
        <v>2.3934818090127763E-2</v>
      </c>
    </row>
    <row r="1128" spans="24:28" x14ac:dyDescent="0.2">
      <c r="X1128" s="186" t="str">
        <f t="shared" si="51"/>
        <v>1w</v>
      </c>
      <c r="Y1128" s="174">
        <f>_xll.qlCalendarAdvance(Calendar,Y1127,X1128,"f",FALSE)</f>
        <v>46840</v>
      </c>
      <c r="Z1128" s="198">
        <f>_xll.qlCalendarAdvance(Calendar,Y1128,NDays&amp;"D")</f>
        <v>46842</v>
      </c>
      <c r="AA1128" s="173">
        <v>2.4124214049029008E-2</v>
      </c>
      <c r="AB1128" s="182">
        <v>2.3938209919664999E-2</v>
      </c>
    </row>
    <row r="1129" spans="24:28" x14ac:dyDescent="0.2">
      <c r="X1129" s="186" t="str">
        <f t="shared" si="51"/>
        <v>1w</v>
      </c>
      <c r="Y1129" s="174">
        <f>_xll.qlCalendarAdvance(Calendar,Y1128,X1129,"f",FALSE)</f>
        <v>46847</v>
      </c>
      <c r="Z1129" s="198">
        <f>_xll.qlCalendarAdvance(Calendar,Y1129,NDays&amp;"D")</f>
        <v>46849</v>
      </c>
      <c r="AA1129" s="173">
        <v>2.4127171373062316E-2</v>
      </c>
      <c r="AB1129" s="182">
        <v>2.3941568167824556E-2</v>
      </c>
    </row>
    <row r="1130" spans="24:28" x14ac:dyDescent="0.2">
      <c r="X1130" s="186" t="str">
        <f t="shared" si="51"/>
        <v>1w</v>
      </c>
      <c r="Y1130" s="174">
        <f>_xll.qlCalendarAdvance(Calendar,Y1129,X1130,"f",FALSE)</f>
        <v>46854</v>
      </c>
      <c r="Z1130" s="198">
        <f>_xll.qlCalendarAdvance(Calendar,Y1130,NDays&amp;"D")</f>
        <v>46856</v>
      </c>
      <c r="AA1130" s="173">
        <v>2.4130094710393648E-2</v>
      </c>
      <c r="AB1130" s="182">
        <v>2.394902167034374E-2</v>
      </c>
    </row>
    <row r="1131" spans="24:28" x14ac:dyDescent="0.2">
      <c r="X1131" s="186" t="str">
        <f t="shared" si="51"/>
        <v>1w</v>
      </c>
      <c r="Y1131" s="174">
        <f>_xll.qlCalendarAdvance(Calendar,Y1130,X1131,"f",FALSE)</f>
        <v>46861</v>
      </c>
      <c r="Z1131" s="198">
        <f>_xll.qlCalendarAdvance(Calendar,Y1131,NDays&amp;"D")</f>
        <v>46863</v>
      </c>
      <c r="AA1131" s="173">
        <v>2.4132984060873178E-2</v>
      </c>
      <c r="AB1131" s="182">
        <v>2.3948183919770827E-2</v>
      </c>
    </row>
    <row r="1132" spans="24:28" x14ac:dyDescent="0.2">
      <c r="X1132" s="186" t="str">
        <f t="shared" si="51"/>
        <v>1w</v>
      </c>
      <c r="Y1132" s="174">
        <f>_xll.qlCalendarAdvance(Calendar,Y1131,X1132,"f",FALSE)</f>
        <v>46868</v>
      </c>
      <c r="Z1132" s="198">
        <f>_xll.qlCalendarAdvance(Calendar,Y1132,NDays&amp;"D")</f>
        <v>46870</v>
      </c>
      <c r="AA1132" s="173">
        <v>2.4135839424352826E-2</v>
      </c>
      <c r="AB1132" s="182">
        <v>2.3951441423717412E-2</v>
      </c>
    </row>
    <row r="1133" spans="24:28" x14ac:dyDescent="0.2">
      <c r="X1133" s="186" t="str">
        <f t="shared" si="51"/>
        <v>1w</v>
      </c>
      <c r="Y1133" s="174">
        <f>_xll.qlCalendarAdvance(Calendar,Y1132,X1133,"f",FALSE)</f>
        <v>46875</v>
      </c>
      <c r="Z1133" s="198">
        <f>_xll.qlCalendarAdvance(Calendar,Y1133,NDays&amp;"D")</f>
        <v>46877</v>
      </c>
      <c r="AA1133" s="173">
        <v>2.4141647180176935E-2</v>
      </c>
      <c r="AB1133" s="182">
        <v>2.3954665346206383E-2</v>
      </c>
    </row>
    <row r="1134" spans="24:28" x14ac:dyDescent="0.2">
      <c r="X1134" s="186" t="str">
        <f t="shared" si="51"/>
        <v>1w</v>
      </c>
      <c r="Y1134" s="174">
        <f>_xll.qlCalendarAdvance(Calendar,Y1133,X1134,"f",FALSE)</f>
        <v>46882</v>
      </c>
      <c r="Z1134" s="198">
        <f>_xll.qlCalendarAdvance(Calendar,Y1134,NDays&amp;"D")</f>
        <v>46884</v>
      </c>
      <c r="AA1134" s="173">
        <v>2.414442784209658E-2</v>
      </c>
      <c r="AB1134" s="182">
        <v>2.3957855687157803E-2</v>
      </c>
    </row>
    <row r="1135" spans="24:28" x14ac:dyDescent="0.2">
      <c r="X1135" s="186" t="str">
        <f t="shared" si="51"/>
        <v>1w</v>
      </c>
      <c r="Y1135" s="174">
        <f>_xll.qlCalendarAdvance(Calendar,Y1134,X1135,"f",FALSE)</f>
        <v>46889</v>
      </c>
      <c r="Z1135" s="198">
        <f>_xll.qlCalendarAdvance(Calendar,Y1135,NDays&amp;"D")</f>
        <v>46891</v>
      </c>
      <c r="AA1135" s="173">
        <v>2.414717450981952E-2</v>
      </c>
      <c r="AB1135" s="182">
        <v>2.3961012446891417E-2</v>
      </c>
    </row>
    <row r="1136" spans="24:28" x14ac:dyDescent="0.2">
      <c r="X1136" s="186" t="str">
        <f t="shared" si="51"/>
        <v>1w</v>
      </c>
      <c r="Y1136" s="174">
        <f>_xll.qlCalendarAdvance(Calendar,Y1135,X1136,"f",FALSE)</f>
        <v>46896</v>
      </c>
      <c r="Z1136" s="198">
        <f>_xll.qlCalendarAdvance(Calendar,Y1136,NDays&amp;"D")</f>
        <v>46898</v>
      </c>
      <c r="AA1136" s="173">
        <v>2.4149887183202646E-2</v>
      </c>
      <c r="AB1136" s="182">
        <v>2.3964135625087479E-2</v>
      </c>
    </row>
    <row r="1137" spans="24:28" x14ac:dyDescent="0.2">
      <c r="X1137" s="186" t="str">
        <f t="shared" si="51"/>
        <v>1w</v>
      </c>
      <c r="Y1137" s="174">
        <f>_xll.qlCalendarAdvance(Calendar,Y1136,X1137,"f",FALSE)</f>
        <v>46903</v>
      </c>
      <c r="Z1137" s="198">
        <f>_xll.qlCalendarAdvance(Calendar,Y1137,NDays&amp;"D")</f>
        <v>46905</v>
      </c>
      <c r="AA1137" s="173">
        <v>2.4149606431697661E-2</v>
      </c>
      <c r="AB1137" s="182">
        <v>2.3967225221905863E-2</v>
      </c>
    </row>
    <row r="1138" spans="24:28" x14ac:dyDescent="0.2">
      <c r="X1138" s="186" t="str">
        <f t="shared" si="51"/>
        <v>1w</v>
      </c>
      <c r="Y1138" s="174">
        <f>_xll.qlCalendarAdvance(Calendar,Y1137,X1138,"f",FALSE)</f>
        <v>46910</v>
      </c>
      <c r="Z1138" s="198">
        <f>_xll.qlCalendarAdvance(Calendar,Y1138,NDays&amp;"D")</f>
        <v>46912</v>
      </c>
      <c r="AA1138" s="173">
        <v>2.4152257870168843E-2</v>
      </c>
      <c r="AB1138" s="182">
        <v>2.3970281237346569E-2</v>
      </c>
    </row>
    <row r="1139" spans="24:28" x14ac:dyDescent="0.2">
      <c r="X1139" s="186" t="str">
        <f t="shared" si="51"/>
        <v>1w</v>
      </c>
      <c r="Y1139" s="174">
        <f>_xll.qlCalendarAdvance(Calendar,Y1138,X1139,"f",FALSE)</f>
        <v>46917</v>
      </c>
      <c r="Z1139" s="198">
        <f>_xll.qlCalendarAdvance(Calendar,Y1139,NDays&amp;"D")</f>
        <v>46919</v>
      </c>
      <c r="AA1139" s="173">
        <v>2.4154875320653395E-2</v>
      </c>
      <c r="AB1139" s="182">
        <v>2.3973303671409596E-2</v>
      </c>
    </row>
    <row r="1140" spans="24:28" x14ac:dyDescent="0.2">
      <c r="X1140" s="186" t="str">
        <f t="shared" si="51"/>
        <v>1w</v>
      </c>
      <c r="Y1140" s="174">
        <f>_xll.qlCalendarAdvance(Calendar,Y1139,X1140,"f",FALSE)</f>
        <v>46924</v>
      </c>
      <c r="Z1140" s="198">
        <f>_xll.qlCalendarAdvance(Calendar,Y1140,NDays&amp;"D")</f>
        <v>46926</v>
      </c>
      <c r="AA1140" s="173">
        <v>2.4157458783017213E-2</v>
      </c>
      <c r="AB1140" s="182">
        <v>2.3976292523935072E-2</v>
      </c>
    </row>
    <row r="1141" spans="24:28" x14ac:dyDescent="0.2">
      <c r="X1141" s="186" t="str">
        <f t="shared" si="51"/>
        <v>1w</v>
      </c>
      <c r="Y1141" s="174">
        <f>_xll.qlCalendarAdvance(Calendar,Y1140,X1141,"f",FALSE)</f>
        <v>46931</v>
      </c>
      <c r="Z1141" s="198">
        <f>_xll.qlCalendarAdvance(Calendar,Y1141,NDays&amp;"D")</f>
        <v>46933</v>
      </c>
      <c r="AA1141" s="173">
        <v>2.4160008257127944E-2</v>
      </c>
      <c r="AB1141" s="182">
        <v>2.397924779508287E-2</v>
      </c>
    </row>
    <row r="1142" spans="24:28" x14ac:dyDescent="0.2">
      <c r="X1142" s="186" t="str">
        <f t="shared" si="51"/>
        <v>1w</v>
      </c>
      <c r="Y1142" s="174">
        <f>_xll.qlCalendarAdvance(Calendar,Y1141,X1142,"f",FALSE)</f>
        <v>46938</v>
      </c>
      <c r="Z1142" s="198">
        <f>_xll.qlCalendarAdvance(Calendar,Y1142,NDays&amp;"D")</f>
        <v>46940</v>
      </c>
      <c r="AA1142" s="173">
        <v>2.4165449334580515E-2</v>
      </c>
      <c r="AB1142" s="182">
        <v>2.3982169484852989E-2</v>
      </c>
    </row>
    <row r="1143" spans="24:28" x14ac:dyDescent="0.2">
      <c r="X1143" s="186" t="str">
        <f t="shared" si="51"/>
        <v>1w</v>
      </c>
      <c r="Y1143" s="174">
        <f>_xll.qlCalendarAdvance(Calendar,Y1142,X1143,"f",FALSE)</f>
        <v>46945</v>
      </c>
      <c r="Z1143" s="198">
        <f>_xll.qlCalendarAdvance(Calendar,Y1143,NDays&amp;"D")</f>
        <v>46947</v>
      </c>
      <c r="AA1143" s="173">
        <v>2.4167924043729947E-2</v>
      </c>
      <c r="AB1143" s="182">
        <v>2.3985057593165493E-2</v>
      </c>
    </row>
    <row r="1144" spans="24:28" x14ac:dyDescent="0.2">
      <c r="X1144" s="186" t="str">
        <f t="shared" si="51"/>
        <v>1w</v>
      </c>
      <c r="Y1144" s="174">
        <f>_xll.qlCalendarAdvance(Calendar,Y1143,X1144,"f",FALSE)</f>
        <v>46952</v>
      </c>
      <c r="Z1144" s="198">
        <f>_xll.qlCalendarAdvance(Calendar,Y1144,NDays&amp;"D")</f>
        <v>46954</v>
      </c>
      <c r="AA1144" s="173">
        <v>2.4170364757459564E-2</v>
      </c>
      <c r="AB1144" s="182">
        <v>2.3987912120020383E-2</v>
      </c>
    </row>
    <row r="1145" spans="24:28" x14ac:dyDescent="0.2">
      <c r="X1145" s="186" t="str">
        <f t="shared" si="51"/>
        <v>1w</v>
      </c>
      <c r="Y1145" s="174">
        <f>_xll.qlCalendarAdvance(Calendar,Y1144,X1145,"f",FALSE)</f>
        <v>46959</v>
      </c>
      <c r="Z1145" s="198">
        <f>_xll.qlCalendarAdvance(Calendar,Y1145,NDays&amp;"D")</f>
        <v>46961</v>
      </c>
      <c r="AA1145" s="173">
        <v>2.417277147564259E-2</v>
      </c>
      <c r="AB1145" s="182">
        <v>2.3990733065497594E-2</v>
      </c>
    </row>
    <row r="1146" spans="24:28" x14ac:dyDescent="0.2">
      <c r="X1146" s="186" t="str">
        <f t="shared" si="51"/>
        <v>1w</v>
      </c>
      <c r="Y1146" s="174">
        <f>_xll.qlCalendarAdvance(Calendar,Y1145,X1146,"f",FALSE)</f>
        <v>46966</v>
      </c>
      <c r="Z1146" s="198">
        <f>_xll.qlCalendarAdvance(Calendar,Y1146,NDays&amp;"D")</f>
        <v>46968</v>
      </c>
      <c r="AA1146" s="173">
        <v>2.4175144198153531E-2</v>
      </c>
      <c r="AB1146" s="182">
        <v>2.3993520429597126E-2</v>
      </c>
    </row>
    <row r="1147" spans="24:28" x14ac:dyDescent="0.2">
      <c r="X1147" s="186" t="str">
        <f t="shared" si="51"/>
        <v>1w</v>
      </c>
      <c r="Y1147" s="174">
        <f>_xll.qlCalendarAdvance(Calendar,Y1146,X1147,"f",FALSE)</f>
        <v>46973</v>
      </c>
      <c r="Z1147" s="198">
        <f>_xll.qlCalendarAdvance(Calendar,Y1147,NDays&amp;"D")</f>
        <v>46975</v>
      </c>
      <c r="AA1147" s="173">
        <v>2.4177482924869046E-2</v>
      </c>
      <c r="AB1147" s="182">
        <v>2.3996274212239044E-2</v>
      </c>
    </row>
    <row r="1148" spans="24:28" x14ac:dyDescent="0.2">
      <c r="X1148" s="186" t="str">
        <f t="shared" si="51"/>
        <v>1w</v>
      </c>
      <c r="Y1148" s="174">
        <f>_xll.qlCalendarAdvance(Calendar,Y1147,X1148,"f",FALSE)</f>
        <v>46980</v>
      </c>
      <c r="Z1148" s="198">
        <f>_xll.qlCalendarAdvance(Calendar,Y1148,NDays&amp;"D")</f>
        <v>46982</v>
      </c>
      <c r="AA1148" s="173">
        <v>2.4179787655666651E-2</v>
      </c>
      <c r="AB1148" s="182">
        <v>2.3998994413423347E-2</v>
      </c>
    </row>
    <row r="1149" spans="24:28" x14ac:dyDescent="0.2">
      <c r="X1149" s="186" t="str">
        <f t="shared" si="51"/>
        <v>1w</v>
      </c>
      <c r="Y1149" s="174">
        <f>_xll.qlCalendarAdvance(Calendar,Y1148,X1149,"f",FALSE)</f>
        <v>46987</v>
      </c>
      <c r="Z1149" s="198">
        <f>_xll.qlCalendarAdvance(Calendar,Y1149,NDays&amp;"D")</f>
        <v>46989</v>
      </c>
      <c r="AA1149" s="173">
        <v>2.4182058390427304E-2</v>
      </c>
      <c r="AB1149" s="182">
        <v>2.4001681033150035E-2</v>
      </c>
    </row>
    <row r="1150" spans="24:28" x14ac:dyDescent="0.2">
      <c r="X1150" s="186" t="str">
        <f t="shared" si="51"/>
        <v>1w</v>
      </c>
      <c r="Y1150" s="174">
        <f>_xll.qlCalendarAdvance(Calendar,Y1149,X1150,"f",FALSE)</f>
        <v>46994</v>
      </c>
      <c r="Z1150" s="198">
        <f>_xll.qlCalendarAdvance(Calendar,Y1150,NDays&amp;"D")</f>
        <v>46996</v>
      </c>
      <c r="AA1150" s="173">
        <v>2.4179509090015507E-2</v>
      </c>
      <c r="AB1150" s="182">
        <v>2.4004334071499045E-2</v>
      </c>
    </row>
    <row r="1151" spans="24:28" x14ac:dyDescent="0.2">
      <c r="X1151" s="186" t="str">
        <f t="shared" si="51"/>
        <v>1w</v>
      </c>
      <c r="Y1151" s="174">
        <f>_xll.qlCalendarAdvance(Calendar,Y1150,X1151,"f",FALSE)</f>
        <v>47001</v>
      </c>
      <c r="Z1151" s="198">
        <f>_xll.qlCalendarAdvance(Calendar,Y1151,NDays&amp;"D")</f>
        <v>47003</v>
      </c>
      <c r="AA1151" s="173">
        <v>2.4181723234705865E-2</v>
      </c>
      <c r="AB1151" s="182">
        <v>2.4006953528470376E-2</v>
      </c>
    </row>
    <row r="1152" spans="24:28" x14ac:dyDescent="0.2">
      <c r="X1152" s="186" t="str">
        <f t="shared" si="51"/>
        <v>1w</v>
      </c>
      <c r="Y1152" s="174">
        <f>_xll.qlCalendarAdvance(Calendar,Y1151,X1152,"f",FALSE)</f>
        <v>47008</v>
      </c>
      <c r="Z1152" s="198">
        <f>_xll.qlCalendarAdvance(Calendar,Y1152,NDays&amp;"D")</f>
        <v>47010</v>
      </c>
      <c r="AA1152" s="173">
        <v>2.4183903394329968E-2</v>
      </c>
      <c r="AB1152" s="182">
        <v>2.4009539403984093E-2</v>
      </c>
    </row>
    <row r="1153" spans="24:28" x14ac:dyDescent="0.2">
      <c r="X1153" s="186" t="str">
        <f t="shared" si="51"/>
        <v>1w</v>
      </c>
      <c r="Y1153" s="174">
        <f>_xll.qlCalendarAdvance(Calendar,Y1152,X1153,"f",FALSE)</f>
        <v>47015</v>
      </c>
      <c r="Z1153" s="198">
        <f>_xll.qlCalendarAdvance(Calendar,Y1153,NDays&amp;"D")</f>
        <v>47017</v>
      </c>
      <c r="AA1153" s="173">
        <v>2.4186049568778289E-2</v>
      </c>
      <c r="AB1153" s="182">
        <v>2.4012091698040194E-2</v>
      </c>
    </row>
    <row r="1154" spans="24:28" x14ac:dyDescent="0.2">
      <c r="X1154" s="186" t="str">
        <f t="shared" si="51"/>
        <v>1w</v>
      </c>
      <c r="Y1154" s="174">
        <f>_xll.qlCalendarAdvance(Calendar,Y1153,X1154,"f",FALSE)</f>
        <v>47022</v>
      </c>
      <c r="Z1154" s="198">
        <f>_xll.qlCalendarAdvance(Calendar,Y1154,NDays&amp;"D")</f>
        <v>47024</v>
      </c>
      <c r="AA1154" s="173">
        <v>2.4188161757940869E-2</v>
      </c>
      <c r="AB1154" s="182">
        <v>2.4014610410638682E-2</v>
      </c>
    </row>
    <row r="1155" spans="24:28" x14ac:dyDescent="0.2">
      <c r="X1155" s="186" t="str">
        <f t="shared" si="51"/>
        <v>1w</v>
      </c>
      <c r="Y1155" s="174">
        <f>_xll.qlCalendarAdvance(Calendar,Y1154,X1155,"f",FALSE)</f>
        <v>47029</v>
      </c>
      <c r="Z1155" s="198">
        <f>_xll.qlCalendarAdvance(Calendar,Y1155,NDays&amp;"D")</f>
        <v>47031</v>
      </c>
      <c r="AA1155" s="173">
        <v>2.4191186098385276E-2</v>
      </c>
      <c r="AB1155" s="182">
        <v>2.401709554185949E-2</v>
      </c>
    </row>
    <row r="1156" spans="24:28" x14ac:dyDescent="0.2">
      <c r="X1156" s="186" t="str">
        <f t="shared" si="51"/>
        <v>1w</v>
      </c>
      <c r="Y1156" s="174">
        <f>_xll.qlCalendarAdvance(Calendar,Y1155,X1156,"f",FALSE)</f>
        <v>47036</v>
      </c>
      <c r="Z1156" s="198">
        <f>_xll.qlCalendarAdvance(Calendar,Y1156,NDays&amp;"D")</f>
        <v>47038</v>
      </c>
      <c r="AA1156" s="173">
        <v>2.4193228025490916E-2</v>
      </c>
      <c r="AB1156" s="182">
        <v>2.401954709170262E-2</v>
      </c>
    </row>
    <row r="1157" spans="24:28" x14ac:dyDescent="0.2">
      <c r="X1157" s="186" t="str">
        <f t="shared" si="51"/>
        <v>1w</v>
      </c>
      <c r="Y1157" s="174">
        <f>_xll.qlCalendarAdvance(Calendar,Y1156,X1157,"f",FALSE)</f>
        <v>47043</v>
      </c>
      <c r="Z1157" s="198">
        <f>_xll.qlCalendarAdvance(Calendar,Y1157,NDays&amp;"D")</f>
        <v>47045</v>
      </c>
      <c r="AA1157" s="173">
        <v>2.4195235964729972E-2</v>
      </c>
      <c r="AB1157" s="182">
        <v>2.4021965060088135E-2</v>
      </c>
    </row>
    <row r="1158" spans="24:28" x14ac:dyDescent="0.2">
      <c r="X1158" s="186" t="str">
        <f t="shared" si="51"/>
        <v>1w</v>
      </c>
      <c r="Y1158" s="174">
        <f>_xll.qlCalendarAdvance(Calendar,Y1157,X1158,"f",FALSE)</f>
        <v>47050</v>
      </c>
      <c r="Z1158" s="198">
        <f>_xll.qlCalendarAdvance(Calendar,Y1158,NDays&amp;"D")</f>
        <v>47052</v>
      </c>
      <c r="AA1158" s="173">
        <v>2.4197209915999666E-2</v>
      </c>
      <c r="AB1158" s="182">
        <v>2.40243494469361E-2</v>
      </c>
    </row>
    <row r="1159" spans="24:28" x14ac:dyDescent="0.2">
      <c r="X1159" s="186" t="str">
        <f t="shared" si="51"/>
        <v>1w</v>
      </c>
      <c r="Y1159" s="174">
        <f>_xll.qlCalendarAdvance(Calendar,Y1158,X1159,"f",FALSE)</f>
        <v>47057</v>
      </c>
      <c r="Z1159" s="198">
        <f>_xll.qlCalendarAdvance(Calendar,Y1159,NDays&amp;"D")</f>
        <v>47059</v>
      </c>
      <c r="AA1159" s="173">
        <v>2.419821292079935E-2</v>
      </c>
      <c r="AB1159" s="182">
        <v>2.4026700252406386E-2</v>
      </c>
    </row>
    <row r="1160" spans="24:28" x14ac:dyDescent="0.2">
      <c r="X1160" s="186" t="str">
        <f t="shared" si="51"/>
        <v>1w</v>
      </c>
      <c r="Y1160" s="174">
        <f>_xll.qlCalendarAdvance(Calendar,Y1159,X1160,"f",FALSE)</f>
        <v>47064</v>
      </c>
      <c r="Z1160" s="198">
        <f>_xll.qlCalendarAdvance(Calendar,Y1160,NDays&amp;"D")</f>
        <v>47066</v>
      </c>
      <c r="AA1160" s="173">
        <v>2.4200121196067098E-2</v>
      </c>
      <c r="AB1160" s="182">
        <v>2.4029017476498993E-2</v>
      </c>
    </row>
    <row r="1161" spans="24:28" x14ac:dyDescent="0.2">
      <c r="X1161" s="186" t="str">
        <f t="shared" si="51"/>
        <v>1w</v>
      </c>
      <c r="Y1161" s="174">
        <f>_xll.qlCalendarAdvance(Calendar,Y1160,X1161,"f",FALSE)</f>
        <v>47071</v>
      </c>
      <c r="Z1161" s="198">
        <f>_xll.qlCalendarAdvance(Calendar,Y1161,NDays&amp;"D")</f>
        <v>47073</v>
      </c>
      <c r="AA1161" s="173">
        <v>2.420199548533674E-2</v>
      </c>
      <c r="AB1161" s="182">
        <v>2.4031301119054049E-2</v>
      </c>
    </row>
    <row r="1162" spans="24:28" x14ac:dyDescent="0.2">
      <c r="X1162" s="186" t="str">
        <f t="shared" si="51"/>
        <v>1w</v>
      </c>
      <c r="Y1162" s="174">
        <f>_xll.qlCalendarAdvance(Calendar,Y1161,X1162,"f",FALSE)</f>
        <v>47078</v>
      </c>
      <c r="Z1162" s="198">
        <f>_xll.qlCalendarAdvance(Calendar,Y1162,NDays&amp;"D")</f>
        <v>47080</v>
      </c>
      <c r="AA1162" s="173">
        <v>2.4203835788514212E-2</v>
      </c>
      <c r="AB1162" s="182">
        <v>2.4033551180311363E-2</v>
      </c>
    </row>
    <row r="1163" spans="24:28" x14ac:dyDescent="0.2">
      <c r="X1163" s="186" t="str">
        <f t="shared" si="51"/>
        <v>1w</v>
      </c>
      <c r="Y1163" s="174">
        <f>_xll.qlCalendarAdvance(Calendar,Y1162,X1163,"f",FALSE)</f>
        <v>47085</v>
      </c>
      <c r="Z1163" s="198">
        <f>_xll.qlCalendarAdvance(Calendar,Y1163,NDays&amp;"D")</f>
        <v>47087</v>
      </c>
      <c r="AA1163" s="173">
        <v>2.4206569849357273E-2</v>
      </c>
      <c r="AB1163" s="182">
        <v>2.4035767660031127E-2</v>
      </c>
    </row>
    <row r="1164" spans="24:28" x14ac:dyDescent="0.2">
      <c r="X1164" s="186" t="str">
        <f t="shared" si="51"/>
        <v>1w</v>
      </c>
      <c r="Y1164" s="174">
        <f>_xll.qlCalendarAdvance(Calendar,Y1163,X1164,"f",FALSE)</f>
        <v>47092</v>
      </c>
      <c r="Z1164" s="198">
        <f>_xll.qlCalendarAdvance(Calendar,Y1164,NDays&amp;"D")</f>
        <v>47094</v>
      </c>
      <c r="AA1164" s="173">
        <v>2.4208339870763203E-2</v>
      </c>
      <c r="AB1164" s="182">
        <v>2.4037950558293275E-2</v>
      </c>
    </row>
    <row r="1165" spans="24:28" x14ac:dyDescent="0.2">
      <c r="X1165" s="186" t="str">
        <f t="shared" si="51"/>
        <v>1w</v>
      </c>
      <c r="Y1165" s="174">
        <f>_xll.qlCalendarAdvance(Calendar,Y1164,X1165,"f",FALSE)</f>
        <v>47099</v>
      </c>
      <c r="Z1165" s="198">
        <f>_xll.qlCalendarAdvance(Calendar,Y1165,NDays&amp;"D")</f>
        <v>47101</v>
      </c>
      <c r="AA1165" s="173">
        <v>2.421007590353217E-2</v>
      </c>
      <c r="AB1165" s="182">
        <v>2.4040099875177745E-2</v>
      </c>
    </row>
    <row r="1166" spans="24:28" x14ac:dyDescent="0.2">
      <c r="X1166" s="186" t="str">
        <f t="shared" si="51"/>
        <v>1w</v>
      </c>
      <c r="Y1166" s="174">
        <f>_xll.qlCalendarAdvance(Calendar,Y1165,X1166,"f",FALSE)</f>
        <v>47106</v>
      </c>
      <c r="Z1166" s="198">
        <f>_xll.qlCalendarAdvance(Calendar,Y1166,NDays&amp;"D")</f>
        <v>47108</v>
      </c>
      <c r="AA1166" s="173">
        <v>2.4211777947576774E-2</v>
      </c>
      <c r="AB1166" s="182">
        <v>2.4042215610684536E-2</v>
      </c>
    </row>
    <row r="1167" spans="24:28" x14ac:dyDescent="0.2">
      <c r="X1167" s="186" t="str">
        <f t="shared" si="51"/>
        <v>1w</v>
      </c>
      <c r="Y1167" s="174">
        <f>_xll.qlCalendarAdvance(Calendar,Y1166,X1167,"f",FALSE)</f>
        <v>47114</v>
      </c>
      <c r="Z1167" s="198">
        <f>_xll.qlCalendarAdvance(Calendar,Y1167,NDays&amp;"D")</f>
        <v>47116</v>
      </c>
      <c r="AA1167" s="173">
        <v>2.4213681521812597E-2</v>
      </c>
      <c r="AB1167" s="182">
        <v>2.4047441946708492E-2</v>
      </c>
    </row>
    <row r="1168" spans="24:28" x14ac:dyDescent="0.2">
      <c r="X1168" s="186" t="str">
        <f t="shared" si="51"/>
        <v>1w</v>
      </c>
      <c r="Y1168" s="174">
        <f>_xll.qlCalendarAdvance(Calendar,Y1167,X1168,"f",FALSE)</f>
        <v>47121</v>
      </c>
      <c r="Z1168" s="198">
        <f>_xll.qlCalendarAdvance(Calendar,Y1168,NDays&amp;"D")</f>
        <v>47123</v>
      </c>
      <c r="AA1168" s="173">
        <v>2.421439488935917E-2</v>
      </c>
      <c r="AB1168" s="182">
        <v>2.4048531545819429E-2</v>
      </c>
    </row>
    <row r="1169" spans="24:28" x14ac:dyDescent="0.2">
      <c r="X1169" s="186" t="str">
        <f t="shared" si="51"/>
        <v>1w</v>
      </c>
      <c r="Y1169" s="174">
        <f>_xll.qlCalendarAdvance(Calendar,Y1168,X1169,"f",FALSE)</f>
        <v>47128</v>
      </c>
      <c r="Z1169" s="198">
        <f>_xll.qlCalendarAdvance(Calendar,Y1169,NDays&amp;"D")</f>
        <v>47130</v>
      </c>
      <c r="AA1169" s="173">
        <v>2.4215992432125091E-2</v>
      </c>
      <c r="AB1169" s="182">
        <v>2.4050537210200673E-2</v>
      </c>
    </row>
    <row r="1170" spans="24:28" x14ac:dyDescent="0.2">
      <c r="X1170" s="186" t="str">
        <f t="shared" si="51"/>
        <v>1w</v>
      </c>
      <c r="Y1170" s="174">
        <f>_xll.qlCalendarAdvance(Calendar,Y1169,X1170,"f",FALSE)</f>
        <v>47135</v>
      </c>
      <c r="Z1170" s="198">
        <f>_xll.qlCalendarAdvance(Calendar,Y1170,NDays&amp;"D")</f>
        <v>47137</v>
      </c>
      <c r="AA1170" s="173">
        <v>2.421755598808957E-2</v>
      </c>
      <c r="AB1170" s="182">
        <v>2.4052509288647883E-2</v>
      </c>
    </row>
    <row r="1171" spans="24:28" x14ac:dyDescent="0.2">
      <c r="X1171" s="186" t="str">
        <f t="shared" si="51"/>
        <v>1w</v>
      </c>
      <c r="Y1171" s="174">
        <f>_xll.qlCalendarAdvance(Calendar,Y1170,X1171,"f",FALSE)</f>
        <v>47142</v>
      </c>
      <c r="Z1171" s="198">
        <f>_xll.qlCalendarAdvance(Calendar,Y1171,NDays&amp;"D")</f>
        <v>47144</v>
      </c>
      <c r="AA1171" s="173">
        <v>2.4219085557172674E-2</v>
      </c>
      <c r="AB1171" s="182">
        <v>2.405444778121435E-2</v>
      </c>
    </row>
    <row r="1172" spans="24:28" x14ac:dyDescent="0.2">
      <c r="X1172" s="186" t="str">
        <f t="shared" si="51"/>
        <v>1w</v>
      </c>
      <c r="Y1172" s="174">
        <f>_xll.qlCalendarAdvance(Calendar,Y1171,X1172,"f",FALSE)</f>
        <v>47149</v>
      </c>
      <c r="Z1172" s="198">
        <f>_xll.qlCalendarAdvance(Calendar,Y1172,NDays&amp;"D")</f>
        <v>47151</v>
      </c>
      <c r="AA1172" s="173">
        <v>2.4220581139298002E-2</v>
      </c>
      <c r="AB1172" s="182">
        <v>2.4056352687846783E-2</v>
      </c>
    </row>
    <row r="1173" spans="24:28" x14ac:dyDescent="0.2">
      <c r="X1173" s="186" t="str">
        <f t="shared" ref="X1173:X1236" si="52">X1172</f>
        <v>1w</v>
      </c>
      <c r="Y1173" s="174">
        <f>_xll.qlCalendarAdvance(Calendar,Y1172,X1173,"f",FALSE)</f>
        <v>47156</v>
      </c>
      <c r="Z1173" s="198">
        <f>_xll.qlCalendarAdvance(Calendar,Y1173,NDays&amp;"D")</f>
        <v>47158</v>
      </c>
      <c r="AA1173" s="173">
        <v>2.4222042734389587E-2</v>
      </c>
      <c r="AB1173" s="182">
        <v>2.4058224008598472E-2</v>
      </c>
    </row>
    <row r="1174" spans="24:28" x14ac:dyDescent="0.2">
      <c r="X1174" s="186" t="str">
        <f t="shared" si="52"/>
        <v>1w</v>
      </c>
      <c r="Y1174" s="174">
        <f>_xll.qlCalendarAdvance(Calendar,Y1173,X1174,"f",FALSE)</f>
        <v>47163</v>
      </c>
      <c r="Z1174" s="198">
        <f>_xll.qlCalendarAdvance(Calendar,Y1174,NDays&amp;"D")</f>
        <v>47165</v>
      </c>
      <c r="AA1174" s="173">
        <v>2.4223470342373238E-2</v>
      </c>
      <c r="AB1174" s="182">
        <v>2.4060061743442773E-2</v>
      </c>
    </row>
    <row r="1175" spans="24:28" x14ac:dyDescent="0.2">
      <c r="X1175" s="186" t="str">
        <f t="shared" si="52"/>
        <v>1w</v>
      </c>
      <c r="Y1175" s="174">
        <f>_xll.qlCalendarAdvance(Calendar,Y1174,X1175,"f",FALSE)</f>
        <v>47170</v>
      </c>
      <c r="Z1175" s="198">
        <f>_xll.qlCalendarAdvance(Calendar,Y1175,NDays&amp;"D")</f>
        <v>47172</v>
      </c>
      <c r="AA1175" s="173">
        <v>2.4224863963176527E-2</v>
      </c>
      <c r="AB1175" s="182">
        <v>2.406186589235304E-2</v>
      </c>
    </row>
    <row r="1176" spans="24:28" x14ac:dyDescent="0.2">
      <c r="X1176" s="186" t="str">
        <f t="shared" si="52"/>
        <v>1w</v>
      </c>
      <c r="Y1176" s="174">
        <f>_xll.qlCalendarAdvance(Calendar,Y1175,X1176,"f",FALSE)</f>
        <v>47177</v>
      </c>
      <c r="Z1176" s="198">
        <f>_xll.qlCalendarAdvance(Calendar,Y1176,NDays&amp;"D")</f>
        <v>47179</v>
      </c>
      <c r="AA1176" s="173">
        <v>2.4229811342046579E-2</v>
      </c>
      <c r="AB1176" s="182">
        <v>2.4063636455355919E-2</v>
      </c>
    </row>
    <row r="1177" spans="24:28" x14ac:dyDescent="0.2">
      <c r="X1177" s="186" t="str">
        <f t="shared" si="52"/>
        <v>1w</v>
      </c>
      <c r="Y1177" s="174">
        <f>_xll.qlCalendarAdvance(Calendar,Y1176,X1177,"f",FALSE)</f>
        <v>47184</v>
      </c>
      <c r="Z1177" s="198">
        <f>_xll.qlCalendarAdvance(Calendar,Y1177,NDays&amp;"D")</f>
        <v>47186</v>
      </c>
      <c r="AA1177" s="173">
        <v>2.4231127629722193E-2</v>
      </c>
      <c r="AB1177" s="182">
        <v>2.4065373432424764E-2</v>
      </c>
    </row>
    <row r="1178" spans="24:28" x14ac:dyDescent="0.2">
      <c r="X1178" s="186" t="str">
        <f t="shared" si="52"/>
        <v>1w</v>
      </c>
      <c r="Y1178" s="174">
        <f>_xll.qlCalendarAdvance(Calendar,Y1177,X1178,"f",FALSE)</f>
        <v>47191</v>
      </c>
      <c r="Z1178" s="198">
        <f>_xll.qlCalendarAdvance(Calendar,Y1178,NDays&amp;"D")</f>
        <v>47193</v>
      </c>
      <c r="AA1178" s="173">
        <v>2.4232409920916499E-2</v>
      </c>
      <c r="AB1178" s="182">
        <v>2.4067076823612865E-2</v>
      </c>
    </row>
    <row r="1179" spans="24:28" x14ac:dyDescent="0.2">
      <c r="X1179" s="186" t="str">
        <f t="shared" si="52"/>
        <v>1w</v>
      </c>
      <c r="Y1179" s="174">
        <f>_xll.qlCalendarAdvance(Calendar,Y1178,X1179,"f",FALSE)</f>
        <v>47198</v>
      </c>
      <c r="Z1179" s="198">
        <f>_xll.qlCalendarAdvance(Calendar,Y1179,NDays&amp;"D")</f>
        <v>47200</v>
      </c>
      <c r="AA1179" s="173">
        <v>2.4233658215562528E-2</v>
      </c>
      <c r="AB1179" s="182">
        <v>2.4068746628866933E-2</v>
      </c>
    </row>
    <row r="1180" spans="24:28" x14ac:dyDescent="0.2">
      <c r="X1180" s="186" t="str">
        <f t="shared" si="52"/>
        <v>1w</v>
      </c>
      <c r="Y1180" s="174">
        <f>_xll.qlCalendarAdvance(Calendar,Y1179,X1180,"f",FALSE)</f>
        <v>47205</v>
      </c>
      <c r="Z1180" s="198">
        <f>_xll.qlCalendarAdvance(Calendar,Y1180,NDays&amp;"D")</f>
        <v>47211</v>
      </c>
      <c r="AA1180" s="173">
        <v>2.4233779060000255E-2</v>
      </c>
      <c r="AB1180" s="182">
        <v>2.4069464720852807E-2</v>
      </c>
    </row>
    <row r="1181" spans="24:28" x14ac:dyDescent="0.2">
      <c r="X1181" s="186" t="str">
        <f t="shared" si="52"/>
        <v>1w</v>
      </c>
      <c r="Y1181" s="174">
        <f>_xll.qlCalendarAdvance(Calendar,Y1180,X1181,"f",FALSE)</f>
        <v>47212</v>
      </c>
      <c r="Z1181" s="198">
        <f>_xll.qlCalendarAdvance(Calendar,Y1181,NDays&amp;"D")</f>
        <v>47214</v>
      </c>
      <c r="AA1181" s="173">
        <v>2.4236052814953089E-2</v>
      </c>
      <c r="AB1181" s="182">
        <v>2.4071985481626257E-2</v>
      </c>
    </row>
    <row r="1182" spans="24:28" x14ac:dyDescent="0.2">
      <c r="X1182" s="186" t="str">
        <f t="shared" si="52"/>
        <v>1w</v>
      </c>
      <c r="Y1182" s="174">
        <f>_xll.qlCalendarAdvance(Calendar,Y1181,X1182,"f",FALSE)</f>
        <v>47219</v>
      </c>
      <c r="Z1182" s="198">
        <f>_xll.qlCalendarAdvance(Calendar,Y1182,NDays&amp;"D")</f>
        <v>47221</v>
      </c>
      <c r="AA1182" s="173">
        <v>2.4237199119574043E-2</v>
      </c>
      <c r="AB1182" s="182">
        <v>2.4073554529104868E-2</v>
      </c>
    </row>
    <row r="1183" spans="24:28" x14ac:dyDescent="0.2">
      <c r="X1183" s="186" t="str">
        <f t="shared" si="52"/>
        <v>1w</v>
      </c>
      <c r="Y1183" s="174">
        <f>_xll.qlCalendarAdvance(Calendar,Y1182,X1183,"f",FALSE)</f>
        <v>47226</v>
      </c>
      <c r="Z1183" s="198">
        <f>_xll.qlCalendarAdvance(Calendar,Y1183,NDays&amp;"D")</f>
        <v>47228</v>
      </c>
      <c r="AA1183" s="173">
        <v>2.4238311427399132E-2</v>
      </c>
      <c r="AB1183" s="182">
        <v>2.4075089990702736E-2</v>
      </c>
    </row>
    <row r="1184" spans="24:28" x14ac:dyDescent="0.2">
      <c r="X1184" s="186" t="str">
        <f t="shared" si="52"/>
        <v>1w</v>
      </c>
      <c r="Y1184" s="174">
        <f>_xll.qlCalendarAdvance(Calendar,Y1183,X1184,"f",FALSE)</f>
        <v>47233</v>
      </c>
      <c r="Z1184" s="198">
        <f>_xll.qlCalendarAdvance(Calendar,Y1184,NDays&amp;"D")</f>
        <v>47235</v>
      </c>
      <c r="AA1184" s="173">
        <v>2.4239389738370459E-2</v>
      </c>
      <c r="AB1184" s="182">
        <v>2.4076591866339925E-2</v>
      </c>
    </row>
    <row r="1185" spans="24:28" x14ac:dyDescent="0.2">
      <c r="X1185" s="186" t="str">
        <f t="shared" si="52"/>
        <v>1w</v>
      </c>
      <c r="Y1185" s="174">
        <f>_xll.qlCalendarAdvance(Calendar,Y1184,X1185,"f",FALSE)</f>
        <v>47240</v>
      </c>
      <c r="Z1185" s="198">
        <f>_xll.qlCalendarAdvance(Calendar,Y1185,NDays&amp;"D")</f>
        <v>47242</v>
      </c>
      <c r="AA1185" s="173">
        <v>2.4240434052432709E-2</v>
      </c>
      <c r="AB1185" s="182">
        <v>2.407806015604308E-2</v>
      </c>
    </row>
    <row r="1186" spans="24:28" x14ac:dyDescent="0.2">
      <c r="X1186" s="186" t="str">
        <f t="shared" si="52"/>
        <v>1w</v>
      </c>
      <c r="Y1186" s="174">
        <f>_xll.qlCalendarAdvance(Calendar,Y1185,X1186,"f",FALSE)</f>
        <v>47247</v>
      </c>
      <c r="Z1186" s="198">
        <f>_xll.qlCalendarAdvance(Calendar,Y1186,NDays&amp;"D")</f>
        <v>47249</v>
      </c>
      <c r="AA1186" s="173">
        <v>2.4241444310388272E-2</v>
      </c>
      <c r="AB1186" s="182">
        <v>2.4079494859865491E-2</v>
      </c>
    </row>
    <row r="1187" spans="24:28" x14ac:dyDescent="0.2">
      <c r="X1187" s="186" t="str">
        <f t="shared" si="52"/>
        <v>1w</v>
      </c>
      <c r="Y1187" s="174">
        <f>_xll.qlCalendarAdvance(Calendar,Y1186,X1187,"f",FALSE)</f>
        <v>47254</v>
      </c>
      <c r="Z1187" s="198">
        <f>_xll.qlCalendarAdvance(Calendar,Y1187,NDays&amp;"D")</f>
        <v>47256</v>
      </c>
      <c r="AA1187" s="173">
        <v>2.4242420216468111E-2</v>
      </c>
      <c r="AB1187" s="182">
        <v>2.4080895977700578E-2</v>
      </c>
    </row>
    <row r="1188" spans="24:28" x14ac:dyDescent="0.2">
      <c r="X1188" s="186" t="str">
        <f t="shared" si="52"/>
        <v>1w</v>
      </c>
      <c r="Y1188" s="174">
        <f>_xll.qlCalendarAdvance(Calendar,Y1187,X1188,"f",FALSE)</f>
        <v>47261</v>
      </c>
      <c r="Z1188" s="198">
        <f>_xll.qlCalendarAdvance(Calendar,Y1188,NDays&amp;"D")</f>
        <v>47263</v>
      </c>
      <c r="AA1188" s="173">
        <v>2.4243361415762183E-2</v>
      </c>
      <c r="AB1188" s="182">
        <v>2.4082263509654922E-2</v>
      </c>
    </row>
    <row r="1189" spans="24:28" x14ac:dyDescent="0.2">
      <c r="X1189" s="186" t="str">
        <f t="shared" si="52"/>
        <v>1w</v>
      </c>
      <c r="Y1189" s="174">
        <f>_xll.qlCalendarAdvance(Calendar,Y1188,X1189,"f",FALSE)</f>
        <v>47268</v>
      </c>
      <c r="Z1189" s="198">
        <f>_xll.qlCalendarAdvance(Calendar,Y1189,NDays&amp;"D")</f>
        <v>47270</v>
      </c>
      <c r="AA1189" s="173">
        <v>2.4244267553361298E-2</v>
      </c>
      <c r="AB1189" s="182">
        <v>2.4083597455648587E-2</v>
      </c>
    </row>
    <row r="1190" spans="24:28" x14ac:dyDescent="0.2">
      <c r="X1190" s="186" t="str">
        <f t="shared" si="52"/>
        <v>1w</v>
      </c>
      <c r="Y1190" s="174">
        <f>_xll.qlCalendarAdvance(Calendar,Y1189,X1190,"f",FALSE)</f>
        <v>47275</v>
      </c>
      <c r="Z1190" s="198">
        <f>_xll.qlCalendarAdvance(Calendar,Y1190,NDays&amp;"D")</f>
        <v>47277</v>
      </c>
      <c r="AA1190" s="173">
        <v>2.424513827435671E-2</v>
      </c>
      <c r="AB1190" s="182">
        <v>2.4084897815708217E-2</v>
      </c>
    </row>
    <row r="1191" spans="24:28" x14ac:dyDescent="0.2">
      <c r="X1191" s="186" t="str">
        <f t="shared" si="52"/>
        <v>1w</v>
      </c>
      <c r="Y1191" s="174">
        <f>_xll.qlCalendarAdvance(Calendar,Y1190,X1191,"f",FALSE)</f>
        <v>47282</v>
      </c>
      <c r="Z1191" s="198">
        <f>_xll.qlCalendarAdvance(Calendar,Y1191,NDays&amp;"D")</f>
        <v>47284</v>
      </c>
      <c r="AA1191" s="173">
        <v>2.4245973223841831E-2</v>
      </c>
      <c r="AB1191" s="182">
        <v>2.4086164589887105E-2</v>
      </c>
    </row>
    <row r="1192" spans="24:28" x14ac:dyDescent="0.2">
      <c r="X1192" s="186" t="str">
        <f t="shared" si="52"/>
        <v>1w</v>
      </c>
      <c r="Y1192" s="174">
        <f>_xll.qlCalendarAdvance(Calendar,Y1191,X1192,"f",FALSE)</f>
        <v>47289</v>
      </c>
      <c r="Z1192" s="198">
        <f>_xll.qlCalendarAdvance(Calendar,Y1192,NDays&amp;"D")</f>
        <v>47291</v>
      </c>
      <c r="AA1192" s="173">
        <v>2.424677204691093E-2</v>
      </c>
      <c r="AB1192" s="182">
        <v>2.4087397778078667E-2</v>
      </c>
    </row>
    <row r="1193" spans="24:28" x14ac:dyDescent="0.2">
      <c r="X1193" s="186" t="str">
        <f t="shared" si="52"/>
        <v>1w</v>
      </c>
      <c r="Y1193" s="174">
        <f>_xll.qlCalendarAdvance(Calendar,Y1192,X1193,"f",FALSE)</f>
        <v>47296</v>
      </c>
      <c r="Z1193" s="198">
        <f>_xll.qlCalendarAdvance(Calendar,Y1193,NDays&amp;"D")</f>
        <v>47298</v>
      </c>
      <c r="AA1193" s="173">
        <v>2.4247534388659144E-2</v>
      </c>
      <c r="AB1193" s="182">
        <v>2.4088597380362842E-2</v>
      </c>
    </row>
    <row r="1194" spans="24:28" x14ac:dyDescent="0.2">
      <c r="X1194" s="186" t="str">
        <f t="shared" si="52"/>
        <v>1w</v>
      </c>
      <c r="Y1194" s="174">
        <f>_xll.qlCalendarAdvance(Calendar,Y1193,X1194,"f",FALSE)</f>
        <v>47303</v>
      </c>
      <c r="Z1194" s="198">
        <f>_xll.qlCalendarAdvance(Calendar,Y1194,NDays&amp;"D")</f>
        <v>47305</v>
      </c>
      <c r="AA1194" s="173">
        <v>2.4248259894184637E-2</v>
      </c>
      <c r="AB1194" s="182">
        <v>2.4089763396686337E-2</v>
      </c>
    </row>
    <row r="1195" spans="24:28" x14ac:dyDescent="0.2">
      <c r="X1195" s="186" t="str">
        <f t="shared" si="52"/>
        <v>1w</v>
      </c>
      <c r="Y1195" s="174">
        <f>_xll.qlCalendarAdvance(Calendar,Y1194,X1195,"f",FALSE)</f>
        <v>47310</v>
      </c>
      <c r="Z1195" s="198">
        <f>_xll.qlCalendarAdvance(Calendar,Y1195,NDays&amp;"D")</f>
        <v>47312</v>
      </c>
      <c r="AA1195" s="173">
        <v>2.4248948208585142E-2</v>
      </c>
      <c r="AB1195" s="182">
        <v>2.4090895827075798E-2</v>
      </c>
    </row>
    <row r="1196" spans="24:28" x14ac:dyDescent="0.2">
      <c r="X1196" s="186" t="str">
        <f t="shared" si="52"/>
        <v>1w</v>
      </c>
      <c r="Y1196" s="174">
        <f>_xll.qlCalendarAdvance(Calendar,Y1195,X1196,"f",FALSE)</f>
        <v>47317</v>
      </c>
      <c r="Z1196" s="198">
        <f>_xll.qlCalendarAdvance(Calendar,Y1196,NDays&amp;"D")</f>
        <v>47319</v>
      </c>
      <c r="AA1196" s="173">
        <v>2.4249598976962272E-2</v>
      </c>
      <c r="AB1196" s="182">
        <v>2.409199467155787E-2</v>
      </c>
    </row>
    <row r="1197" spans="24:28" x14ac:dyDescent="0.2">
      <c r="X1197" s="186" t="str">
        <f t="shared" si="52"/>
        <v>1w</v>
      </c>
      <c r="Y1197" s="174">
        <f>_xll.qlCalendarAdvance(Calendar,Y1196,X1197,"f",FALSE)</f>
        <v>47324</v>
      </c>
      <c r="Z1197" s="198">
        <f>_xll.qlCalendarAdvance(Calendar,Y1197,NDays&amp;"D")</f>
        <v>47326</v>
      </c>
      <c r="AA1197" s="173">
        <v>2.4250211844416787E-2</v>
      </c>
      <c r="AB1197" s="182">
        <v>2.4093059930079264E-2</v>
      </c>
    </row>
    <row r="1198" spans="24:28" x14ac:dyDescent="0.2">
      <c r="X1198" s="186" t="str">
        <f t="shared" si="52"/>
        <v>1w</v>
      </c>
      <c r="Y1198" s="174">
        <f>_xll.qlCalendarAdvance(Calendar,Y1197,X1198,"f",FALSE)</f>
        <v>47331</v>
      </c>
      <c r="Z1198" s="198">
        <f>_xll.qlCalendarAdvance(Calendar,Y1198,NDays&amp;"D")</f>
        <v>47333</v>
      </c>
      <c r="AA1198" s="173">
        <v>2.425078645605333E-2</v>
      </c>
      <c r="AB1198" s="182">
        <v>2.4094091602666623E-2</v>
      </c>
    </row>
    <row r="1199" spans="24:28" x14ac:dyDescent="0.2">
      <c r="X1199" s="186" t="str">
        <f t="shared" si="52"/>
        <v>1w</v>
      </c>
      <c r="Y1199" s="174">
        <f>_xll.qlCalendarAdvance(Calendar,Y1198,X1199,"f",FALSE)</f>
        <v>47338</v>
      </c>
      <c r="Z1199" s="198">
        <f>_xll.qlCalendarAdvance(Calendar,Y1199,NDays&amp;"D")</f>
        <v>47340</v>
      </c>
      <c r="AA1199" s="173">
        <v>2.4251322456976976E-2</v>
      </c>
      <c r="AB1199" s="182">
        <v>2.4095089689293303E-2</v>
      </c>
    </row>
    <row r="1200" spans="24:28" x14ac:dyDescent="0.2">
      <c r="X1200" s="186" t="str">
        <f t="shared" si="52"/>
        <v>1w</v>
      </c>
      <c r="Y1200" s="174">
        <f>_xll.qlCalendarAdvance(Calendar,Y1199,X1200,"f",FALSE)</f>
        <v>47345</v>
      </c>
      <c r="Z1200" s="198">
        <f>_xll.qlCalendarAdvance(Calendar,Y1200,NDays&amp;"D")</f>
        <v>47347</v>
      </c>
      <c r="AA1200" s="173">
        <v>2.4251819492294963E-2</v>
      </c>
      <c r="AB1200" s="182">
        <v>2.4096054189985949E-2</v>
      </c>
    </row>
    <row r="1201" spans="24:28" x14ac:dyDescent="0.2">
      <c r="X1201" s="186" t="str">
        <f t="shared" si="52"/>
        <v>1w</v>
      </c>
      <c r="Y1201" s="174">
        <f>_xll.qlCalendarAdvance(Calendar,Y1200,X1201,"f",FALSE)</f>
        <v>47352</v>
      </c>
      <c r="Z1201" s="198">
        <f>_xll.qlCalendarAdvance(Calendar,Y1201,NDays&amp;"D")</f>
        <v>47354</v>
      </c>
      <c r="AA1201" s="173">
        <v>2.4252277207117114E-2</v>
      </c>
      <c r="AB1201" s="182">
        <v>2.4096985104771207E-2</v>
      </c>
    </row>
    <row r="1202" spans="24:28" x14ac:dyDescent="0.2">
      <c r="X1202" s="186" t="str">
        <f t="shared" si="52"/>
        <v>1w</v>
      </c>
      <c r="Y1202" s="174">
        <f>_xll.qlCalendarAdvance(Calendar,Y1201,X1202,"f",FALSE)</f>
        <v>47359</v>
      </c>
      <c r="Z1202" s="198">
        <f>_xll.qlCalendarAdvance(Calendar,Y1202,NDays&amp;"D")</f>
        <v>47361</v>
      </c>
      <c r="AA1202" s="173">
        <v>2.4249376385338861E-2</v>
      </c>
      <c r="AB1202" s="182">
        <v>2.4097882433595785E-2</v>
      </c>
    </row>
    <row r="1203" spans="24:28" x14ac:dyDescent="0.2">
      <c r="X1203" s="186" t="str">
        <f t="shared" si="52"/>
        <v>1w</v>
      </c>
      <c r="Y1203" s="174">
        <f>_xll.qlCalendarAdvance(Calendar,Y1202,X1203,"f",FALSE)</f>
        <v>47366</v>
      </c>
      <c r="Z1203" s="198">
        <f>_xll.qlCalendarAdvance(Calendar,Y1203,NDays&amp;"D")</f>
        <v>47368</v>
      </c>
      <c r="AA1203" s="173">
        <v>2.4249766370318861E-2</v>
      </c>
      <c r="AB1203" s="182">
        <v>2.4098746176459684E-2</v>
      </c>
    </row>
    <row r="1204" spans="24:28" x14ac:dyDescent="0.2">
      <c r="X1204" s="186" t="str">
        <f t="shared" si="52"/>
        <v>1w</v>
      </c>
      <c r="Y1204" s="174">
        <f>_xll.qlCalendarAdvance(Calendar,Y1203,X1204,"f",FALSE)</f>
        <v>47373</v>
      </c>
      <c r="Z1204" s="198">
        <f>_xll.qlCalendarAdvance(Calendar,Y1204,NDays&amp;"D")</f>
        <v>47375</v>
      </c>
      <c r="AA1204" s="173">
        <v>2.425011604704224E-2</v>
      </c>
      <c r="AB1204" s="182">
        <v>2.409957633338955E-2</v>
      </c>
    </row>
    <row r="1205" spans="24:28" x14ac:dyDescent="0.2">
      <c r="X1205" s="186" t="str">
        <f t="shared" si="52"/>
        <v>1w</v>
      </c>
      <c r="Y1205" s="174">
        <f>_xll.qlCalendarAdvance(Calendar,Y1204,X1205,"f",FALSE)</f>
        <v>47380</v>
      </c>
      <c r="Z1205" s="198">
        <f>_xll.qlCalendarAdvance(Calendar,Y1205,NDays&amp;"D")</f>
        <v>47382</v>
      </c>
      <c r="AA1205" s="173">
        <v>2.4250425052881941E-2</v>
      </c>
      <c r="AB1205" s="182">
        <v>2.4100372904358736E-2</v>
      </c>
    </row>
    <row r="1206" spans="24:28" x14ac:dyDescent="0.2">
      <c r="X1206" s="186" t="str">
        <f t="shared" si="52"/>
        <v>1w</v>
      </c>
      <c r="Y1206" s="174">
        <f>_xll.qlCalendarAdvance(Calendar,Y1205,X1206,"f",FALSE)</f>
        <v>47387</v>
      </c>
      <c r="Z1206" s="198">
        <f>_xll.qlCalendarAdvance(Calendar,Y1206,NDays&amp;"D")</f>
        <v>47389</v>
      </c>
      <c r="AA1206" s="173">
        <v>2.425151104342059E-2</v>
      </c>
      <c r="AB1206" s="182">
        <v>2.4101135889393888E-2</v>
      </c>
    </row>
    <row r="1207" spans="24:28" x14ac:dyDescent="0.2">
      <c r="X1207" s="186" t="str">
        <f t="shared" si="52"/>
        <v>1w</v>
      </c>
      <c r="Y1207" s="174">
        <f>_xll.qlCalendarAdvance(Calendar,Y1206,X1207,"f",FALSE)</f>
        <v>47394</v>
      </c>
      <c r="Z1207" s="198">
        <f>_xll.qlCalendarAdvance(Calendar,Y1207,NDays&amp;"D")</f>
        <v>47396</v>
      </c>
      <c r="AA1207" s="173">
        <v>2.425173456139439E-2</v>
      </c>
      <c r="AB1207" s="182">
        <v>2.4101865288495006E-2</v>
      </c>
    </row>
    <row r="1208" spans="24:28" x14ac:dyDescent="0.2">
      <c r="X1208" s="186" t="str">
        <f t="shared" si="52"/>
        <v>1w</v>
      </c>
      <c r="Y1208" s="174">
        <f>_xll.qlCalendarAdvance(Calendar,Y1207,X1208,"f",FALSE)</f>
        <v>47401</v>
      </c>
      <c r="Z1208" s="198">
        <f>_xll.qlCalendarAdvance(Calendar,Y1208,NDays&amp;"D")</f>
        <v>47403</v>
      </c>
      <c r="AA1208" s="173">
        <v>2.4251916308995099E-2</v>
      </c>
      <c r="AB1208" s="182">
        <v>2.4102561101635445E-2</v>
      </c>
    </row>
    <row r="1209" spans="24:28" x14ac:dyDescent="0.2">
      <c r="X1209" s="186" t="str">
        <f t="shared" si="52"/>
        <v>1w</v>
      </c>
      <c r="Y1209" s="174">
        <f>_xll.qlCalendarAdvance(Calendar,Y1208,X1209,"f",FALSE)</f>
        <v>47408</v>
      </c>
      <c r="Z1209" s="198">
        <f>_xll.qlCalendarAdvance(Calendar,Y1209,NDays&amp;"D")</f>
        <v>47410</v>
      </c>
      <c r="AA1209" s="173">
        <v>2.4255288574876587E-2</v>
      </c>
      <c r="AB1209" s="182">
        <v>2.410322332884185E-2</v>
      </c>
    </row>
    <row r="1210" spans="24:28" x14ac:dyDescent="0.2">
      <c r="X1210" s="186" t="str">
        <f t="shared" si="52"/>
        <v>1w</v>
      </c>
      <c r="Y1210" s="174">
        <f>_xll.qlCalendarAdvance(Calendar,Y1209,X1210,"f",FALSE)</f>
        <v>47415</v>
      </c>
      <c r="Z1210" s="198">
        <f>_xll.qlCalendarAdvance(Calendar,Y1210,NDays&amp;"D")</f>
        <v>47417</v>
      </c>
      <c r="AA1210" s="173">
        <v>2.4252153050479973E-2</v>
      </c>
      <c r="AB1210" s="182">
        <v>2.4103851970087575E-2</v>
      </c>
    </row>
    <row r="1211" spans="24:28" x14ac:dyDescent="0.2">
      <c r="X1211" s="186" t="str">
        <f t="shared" si="52"/>
        <v>1w</v>
      </c>
      <c r="Y1211" s="174">
        <f>_xll.qlCalendarAdvance(Calendar,Y1210,X1211,"f",FALSE)</f>
        <v>47422</v>
      </c>
      <c r="Z1211" s="198">
        <f>_xll.qlCalendarAdvance(Calendar,Y1211,NDays&amp;"D")</f>
        <v>47424</v>
      </c>
      <c r="AA1211" s="173">
        <v>2.4251404692511469E-2</v>
      </c>
      <c r="AB1211" s="182">
        <v>2.4104447025399267E-2</v>
      </c>
    </row>
    <row r="1212" spans="24:28" x14ac:dyDescent="0.2">
      <c r="X1212" s="186" t="str">
        <f t="shared" si="52"/>
        <v>1w</v>
      </c>
      <c r="Y1212" s="174">
        <f>_xll.qlCalendarAdvance(Calendar,Y1211,X1212,"f",FALSE)</f>
        <v>47429</v>
      </c>
      <c r="Z1212" s="198">
        <f>_xll.qlCalendarAdvance(Calendar,Y1212,NDays&amp;"D")</f>
        <v>47431</v>
      </c>
      <c r="AA1212" s="173">
        <v>2.4251418860066994E-2</v>
      </c>
      <c r="AB1212" s="182">
        <v>2.4105005564027948E-2</v>
      </c>
    </row>
    <row r="1213" spans="24:28" x14ac:dyDescent="0.2">
      <c r="X1213" s="186" t="str">
        <f t="shared" si="52"/>
        <v>1w</v>
      </c>
      <c r="Y1213" s="174">
        <f>_xll.qlCalendarAdvance(Calendar,Y1212,X1213,"f",FALSE)</f>
        <v>47436</v>
      </c>
      <c r="Z1213" s="198">
        <f>_xll.qlCalendarAdvance(Calendar,Y1213,NDays&amp;"D")</f>
        <v>47438</v>
      </c>
      <c r="AA1213" s="173">
        <v>2.4251389667766264E-2</v>
      </c>
      <c r="AB1213" s="182">
        <v>2.4105521535426888E-2</v>
      </c>
    </row>
    <row r="1214" spans="24:28" x14ac:dyDescent="0.2">
      <c r="X1214" s="186" t="str">
        <f t="shared" si="52"/>
        <v>1w</v>
      </c>
      <c r="Y1214" s="174">
        <f>_xll.qlCalendarAdvance(Calendar,Y1213,X1214,"f",FALSE)</f>
        <v>47443</v>
      </c>
      <c r="Z1214" s="198">
        <f>_xll.qlCalendarAdvance(Calendar,Y1214,NDays&amp;"D")</f>
        <v>47445</v>
      </c>
      <c r="AA1214" s="173">
        <v>2.4251317110853741E-2</v>
      </c>
      <c r="AB1214" s="182">
        <v>2.4105994655982954E-2</v>
      </c>
    </row>
    <row r="1215" spans="24:28" x14ac:dyDescent="0.2">
      <c r="X1215" s="186" t="str">
        <f t="shared" si="52"/>
        <v>1w</v>
      </c>
      <c r="Y1215" s="174">
        <f>_xll.qlCalendarAdvance(Calendar,Y1214,X1215,"f",FALSE)</f>
        <v>47450</v>
      </c>
      <c r="Z1215" s="198">
        <f>_xll.qlCalendarAdvance(Calendar,Y1215,NDays&amp;"D")</f>
        <v>47452</v>
      </c>
      <c r="AA1215" s="173">
        <v>2.4251991415578468E-2</v>
      </c>
      <c r="AB1215" s="182">
        <v>2.4106424925722791E-2</v>
      </c>
    </row>
    <row r="1216" spans="24:28" x14ac:dyDescent="0.2">
      <c r="X1216" s="186" t="str">
        <f t="shared" si="52"/>
        <v>1w</v>
      </c>
      <c r="Y1216" s="174">
        <f>_xll.qlCalendarAdvance(Calendar,Y1215,X1216,"f",FALSE)</f>
        <v>47457</v>
      </c>
      <c r="Z1216" s="198">
        <f>_xll.qlCalendarAdvance(Calendar,Y1216,NDays&amp;"D")</f>
        <v>47459</v>
      </c>
      <c r="AA1216" s="173">
        <v>2.4251829021115754E-2</v>
      </c>
      <c r="AB1216" s="182">
        <v>2.4106812344593109E-2</v>
      </c>
    </row>
    <row r="1217" spans="24:28" x14ac:dyDescent="0.2">
      <c r="X1217" s="186" t="str">
        <f t="shared" si="52"/>
        <v>1w</v>
      </c>
      <c r="Y1217" s="174">
        <f>_xll.qlCalendarAdvance(Calendar,Y1216,X1217,"f",FALSE)</f>
        <v>47464</v>
      </c>
      <c r="Z1217" s="198">
        <f>_xll.qlCalendarAdvance(Calendar,Y1217,NDays&amp;"D")</f>
        <v>47466</v>
      </c>
      <c r="AA1217" s="173">
        <v>2.4251623259161907E-2</v>
      </c>
      <c r="AB1217" s="182">
        <v>2.4107156912647199E-2</v>
      </c>
    </row>
    <row r="1218" spans="24:28" x14ac:dyDescent="0.2">
      <c r="X1218" s="186" t="str">
        <f t="shared" si="52"/>
        <v>1w</v>
      </c>
      <c r="Y1218" s="174">
        <f>_xll.qlCalendarAdvance(Calendar,Y1217,X1218,"f",FALSE)</f>
        <v>47471</v>
      </c>
      <c r="Z1218" s="198">
        <f>_xll.qlCalendarAdvance(Calendar,Y1218,NDays&amp;"D")</f>
        <v>47473</v>
      </c>
      <c r="AA1218" s="173">
        <v>2.425137412972922E-2</v>
      </c>
      <c r="AB1218" s="182">
        <v>2.4107458629831768E-2</v>
      </c>
    </row>
    <row r="1219" spans="24:28" x14ac:dyDescent="0.2">
      <c r="X1219" s="186" t="str">
        <f t="shared" si="52"/>
        <v>1w</v>
      </c>
      <c r="Y1219" s="174">
        <f>_xll.qlCalendarAdvance(Calendar,Y1218,X1219,"f",FALSE)</f>
        <v>47479</v>
      </c>
      <c r="Z1219" s="198">
        <f>_xll.qlCalendarAdvance(Calendar,Y1219,NDays&amp;"D")</f>
        <v>47483</v>
      </c>
      <c r="AA1219" s="173">
        <v>2.4248612894483518E-2</v>
      </c>
      <c r="AB1219" s="182">
        <v>2.4106992615124945E-2</v>
      </c>
    </row>
    <row r="1220" spans="24:28" x14ac:dyDescent="0.2">
      <c r="X1220" s="186" t="str">
        <f t="shared" si="52"/>
        <v>1w</v>
      </c>
      <c r="Y1220" s="174">
        <f>_xll.qlCalendarAdvance(Calendar,Y1219,X1220,"f",FALSE)</f>
        <v>47486</v>
      </c>
      <c r="Z1220" s="198">
        <f>_xll.qlCalendarAdvance(Calendar,Y1220,NDays&amp;"D")</f>
        <v>47490</v>
      </c>
      <c r="AA1220" s="173">
        <v>2.4250588550894708E-2</v>
      </c>
      <c r="AB1220" s="182">
        <v>2.4106373400805126E-2</v>
      </c>
    </row>
    <row r="1221" spans="24:28" x14ac:dyDescent="0.2">
      <c r="X1221" s="186" t="str">
        <f t="shared" si="52"/>
        <v>1w</v>
      </c>
      <c r="Y1221" s="174">
        <f>_xll.qlCalendarAdvance(Calendar,Y1220,X1221,"f",FALSE)</f>
        <v>47493</v>
      </c>
      <c r="Z1221" s="198">
        <f>_xll.qlCalendarAdvance(Calendar,Y1221,NDays&amp;"D")</f>
        <v>47497</v>
      </c>
      <c r="AA1221" s="173">
        <v>2.4250190733105446E-2</v>
      </c>
      <c r="AB1221" s="182">
        <v>2.4106534300818439E-2</v>
      </c>
    </row>
    <row r="1222" spans="24:28" x14ac:dyDescent="0.2">
      <c r="X1222" s="186" t="str">
        <f t="shared" si="52"/>
        <v>1w</v>
      </c>
      <c r="Y1222" s="174">
        <f>_xll.qlCalendarAdvance(Calendar,Y1221,X1222,"f",FALSE)</f>
        <v>47500</v>
      </c>
      <c r="Z1222" s="198">
        <f>_xll.qlCalendarAdvance(Calendar,Y1222,NDays&amp;"D")</f>
        <v>47504</v>
      </c>
      <c r="AA1222" s="173">
        <v>2.42497495479309E-2</v>
      </c>
      <c r="AB1222" s="182">
        <v>2.4106652355744274E-2</v>
      </c>
    </row>
    <row r="1223" spans="24:28" x14ac:dyDescent="0.2">
      <c r="X1223" s="186" t="str">
        <f t="shared" si="52"/>
        <v>1w</v>
      </c>
      <c r="Y1223" s="174">
        <f>_xll.qlCalendarAdvance(Calendar,Y1222,X1223,"f",FALSE)</f>
        <v>47507</v>
      </c>
      <c r="Z1223" s="198">
        <f>_xll.qlCalendarAdvance(Calendar,Y1223,NDays&amp;"D")</f>
        <v>47511</v>
      </c>
      <c r="AA1223" s="173">
        <v>2.4249264995399613E-2</v>
      </c>
      <c r="AB1223" s="182">
        <v>2.4106727565582631E-2</v>
      </c>
    </row>
    <row r="1224" spans="24:28" x14ac:dyDescent="0.2">
      <c r="X1224" s="186" t="str">
        <f t="shared" si="52"/>
        <v>1w</v>
      </c>
      <c r="Y1224" s="174">
        <f>_xll.qlCalendarAdvance(Calendar,Y1223,X1224,"f",FALSE)</f>
        <v>47514</v>
      </c>
      <c r="Z1224" s="198">
        <f>_xll.qlCalendarAdvance(Calendar,Y1224,NDays&amp;"D")</f>
        <v>47518</v>
      </c>
      <c r="AA1224" s="173">
        <v>2.4248737075542773E-2</v>
      </c>
      <c r="AB1224" s="182">
        <v>2.4106759930253574E-2</v>
      </c>
    </row>
    <row r="1225" spans="24:28" x14ac:dyDescent="0.2">
      <c r="X1225" s="186" t="str">
        <f t="shared" si="52"/>
        <v>1w</v>
      </c>
      <c r="Y1225" s="174">
        <f>_xll.qlCalendarAdvance(Calendar,Y1224,X1225,"f",FALSE)</f>
        <v>47521</v>
      </c>
      <c r="Z1225" s="198">
        <f>_xll.qlCalendarAdvance(Calendar,Y1225,NDays&amp;"D")</f>
        <v>47525</v>
      </c>
      <c r="AA1225" s="173">
        <v>2.4248165788395074E-2</v>
      </c>
      <c r="AB1225" s="182">
        <v>2.4106749449916975E-2</v>
      </c>
    </row>
    <row r="1226" spans="24:28" x14ac:dyDescent="0.2">
      <c r="X1226" s="186" t="str">
        <f t="shared" si="52"/>
        <v>1w</v>
      </c>
      <c r="Y1226" s="174">
        <f>_xll.qlCalendarAdvance(Calendar,Y1225,X1226,"f",FALSE)</f>
        <v>47528</v>
      </c>
      <c r="Z1226" s="198">
        <f>_xll.qlCalendarAdvance(Calendar,Y1226,NDays&amp;"D")</f>
        <v>47532</v>
      </c>
      <c r="AA1226" s="173">
        <v>2.4247551133993853E-2</v>
      </c>
      <c r="AB1226" s="182">
        <v>2.4106696124412963E-2</v>
      </c>
    </row>
    <row r="1227" spans="24:28" x14ac:dyDescent="0.2">
      <c r="X1227" s="186" t="str">
        <f t="shared" si="52"/>
        <v>1w</v>
      </c>
      <c r="Y1227" s="174">
        <f>_xll.qlCalendarAdvance(Calendar,Y1226,X1227,"f",FALSE)</f>
        <v>47535</v>
      </c>
      <c r="Z1227" s="198">
        <f>_xll.qlCalendarAdvance(Calendar,Y1227,NDays&amp;"D")</f>
        <v>47539</v>
      </c>
      <c r="AA1227" s="173">
        <v>2.4246893112379073E-2</v>
      </c>
      <c r="AB1227" s="182">
        <v>2.4106599953821473E-2</v>
      </c>
    </row>
    <row r="1228" spans="24:28" x14ac:dyDescent="0.2">
      <c r="X1228" s="186" t="str">
        <f t="shared" si="52"/>
        <v>1w</v>
      </c>
      <c r="Y1228" s="174">
        <f>_xll.qlCalendarAdvance(Calendar,Y1227,X1228,"f",FALSE)</f>
        <v>47542</v>
      </c>
      <c r="Z1228" s="198">
        <f>_xll.qlCalendarAdvance(Calendar,Y1228,NDays&amp;"D")</f>
        <v>47546</v>
      </c>
      <c r="AA1228" s="173">
        <v>2.4247687408406861E-2</v>
      </c>
      <c r="AB1228" s="182">
        <v>2.4106460938142504E-2</v>
      </c>
    </row>
    <row r="1229" spans="24:28" x14ac:dyDescent="0.2">
      <c r="X1229" s="186" t="str">
        <f t="shared" si="52"/>
        <v>1w</v>
      </c>
      <c r="Y1229" s="174">
        <f>_xll.qlCalendarAdvance(Calendar,Y1228,X1229,"f",FALSE)</f>
        <v>47549</v>
      </c>
      <c r="Z1229" s="198">
        <f>_xll.qlCalendarAdvance(Calendar,Y1229,NDays&amp;"D")</f>
        <v>47553</v>
      </c>
      <c r="AA1229" s="173">
        <v>2.4246936356661714E-2</v>
      </c>
      <c r="AB1229" s="182">
        <v>2.4106279077296122E-2</v>
      </c>
    </row>
    <row r="1230" spans="24:28" x14ac:dyDescent="0.2">
      <c r="X1230" s="186" t="str">
        <f t="shared" si="52"/>
        <v>1w</v>
      </c>
      <c r="Y1230" s="174">
        <f>_xll.qlCalendarAdvance(Calendar,Y1229,X1230,"f",FALSE)</f>
        <v>47556</v>
      </c>
      <c r="Z1230" s="198">
        <f>_xll.qlCalendarAdvance(Calendar,Y1230,NDays&amp;"D")</f>
        <v>47560</v>
      </c>
      <c r="AA1230" s="173">
        <v>2.4246141932044756E-2</v>
      </c>
      <c r="AB1230" s="182">
        <v>2.4106054371362262E-2</v>
      </c>
    </row>
    <row r="1231" spans="24:28" x14ac:dyDescent="0.2">
      <c r="X1231" s="186" t="str">
        <f t="shared" si="52"/>
        <v>1w</v>
      </c>
      <c r="Y1231" s="174">
        <f>_xll.qlCalendarAdvance(Calendar,Y1230,X1231,"f",FALSE)</f>
        <v>47563</v>
      </c>
      <c r="Z1231" s="198">
        <f>_xll.qlCalendarAdvance(Calendar,Y1231,NDays&amp;"D")</f>
        <v>47567</v>
      </c>
      <c r="AA1231" s="173">
        <v>2.4245304134607678E-2</v>
      </c>
      <c r="AB1231" s="182">
        <v>2.4105786820340924E-2</v>
      </c>
    </row>
    <row r="1232" spans="24:28" x14ac:dyDescent="0.2">
      <c r="X1232" s="186" t="str">
        <f t="shared" si="52"/>
        <v>1w</v>
      </c>
      <c r="Y1232" s="174">
        <f>_xll.qlCalendarAdvance(Calendar,Y1231,X1232,"f",FALSE)</f>
        <v>47570</v>
      </c>
      <c r="Z1232" s="198">
        <f>_xll.qlCalendarAdvance(Calendar,Y1232,NDays&amp;"D")</f>
        <v>47574</v>
      </c>
      <c r="AA1232" s="173">
        <v>2.4243687865612779E-2</v>
      </c>
      <c r="AB1232" s="182">
        <v>2.4105476424232108E-2</v>
      </c>
    </row>
    <row r="1233" spans="24:28" x14ac:dyDescent="0.2">
      <c r="X1233" s="186" t="str">
        <f t="shared" si="52"/>
        <v>1w</v>
      </c>
      <c r="Y1233" s="174">
        <f>_xll.qlCalendarAdvance(Calendar,Y1232,X1233,"f",FALSE)</f>
        <v>47577</v>
      </c>
      <c r="Z1233" s="198">
        <f>_xll.qlCalendarAdvance(Calendar,Y1233,NDays&amp;"D")</f>
        <v>47581</v>
      </c>
      <c r="AA1233" s="173">
        <v>2.4242766482416155E-2</v>
      </c>
      <c r="AB1233" s="182">
        <v>2.4105123183035815E-2</v>
      </c>
    </row>
    <row r="1234" spans="24:28" x14ac:dyDescent="0.2">
      <c r="X1234" s="186" t="str">
        <f t="shared" si="52"/>
        <v>1w</v>
      </c>
      <c r="Y1234" s="174">
        <f>_xll.qlCalendarAdvance(Calendar,Y1233,X1234,"f",FALSE)</f>
        <v>47584</v>
      </c>
      <c r="Z1234" s="198">
        <f>_xll.qlCalendarAdvance(Calendar,Y1234,NDays&amp;"D")</f>
        <v>47588</v>
      </c>
      <c r="AA1234" s="173">
        <v>2.4241801729468899E-2</v>
      </c>
      <c r="AB1234" s="182">
        <v>2.4104727096672107E-2</v>
      </c>
    </row>
    <row r="1235" spans="24:28" x14ac:dyDescent="0.2">
      <c r="X1235" s="186" t="str">
        <f t="shared" si="52"/>
        <v>1w</v>
      </c>
      <c r="Y1235" s="174">
        <f>_xll.qlCalendarAdvance(Calendar,Y1234,X1235,"f",FALSE)</f>
        <v>47591</v>
      </c>
      <c r="Z1235" s="198">
        <f>_xll.qlCalendarAdvance(Calendar,Y1235,NDays&amp;"D")</f>
        <v>47597</v>
      </c>
      <c r="AA1235" s="173">
        <v>2.4240497605943663E-2</v>
      </c>
      <c r="AB1235" s="182">
        <v>2.4104154886792628E-2</v>
      </c>
    </row>
    <row r="1236" spans="24:28" x14ac:dyDescent="0.2">
      <c r="X1236" s="186" t="str">
        <f t="shared" si="52"/>
        <v>1w</v>
      </c>
      <c r="Y1236" s="174">
        <f>_xll.qlCalendarAdvance(Calendar,Y1235,X1236,"f",FALSE)</f>
        <v>47598</v>
      </c>
      <c r="Z1236" s="198">
        <f>_xll.qlCalendarAdvance(Calendar,Y1236,NDays&amp;"D")</f>
        <v>47602</v>
      </c>
      <c r="AA1236" s="173">
        <v>2.4239742114577148E-2</v>
      </c>
      <c r="AB1236" s="182">
        <v>2.4103806388762195E-2</v>
      </c>
    </row>
    <row r="1237" spans="24:28" x14ac:dyDescent="0.2">
      <c r="X1237" s="186" t="str">
        <f t="shared" ref="X1237:X1300" si="53">X1236</f>
        <v>1w</v>
      </c>
      <c r="Y1237" s="174">
        <f>_xll.qlCalendarAdvance(Calendar,Y1236,X1237,"f",FALSE)</f>
        <v>47605</v>
      </c>
      <c r="Z1237" s="198">
        <f>_xll.qlCalendarAdvance(Calendar,Y1237,NDays&amp;"D")</f>
        <v>47609</v>
      </c>
      <c r="AA1237" s="173">
        <v>2.4239366524043151E-2</v>
      </c>
      <c r="AB1237" s="182">
        <v>2.4103281767136053E-2</v>
      </c>
    </row>
    <row r="1238" spans="24:28" x14ac:dyDescent="0.2">
      <c r="X1238" s="186" t="str">
        <f t="shared" si="53"/>
        <v>1w</v>
      </c>
      <c r="Y1238" s="174">
        <f>_xll.qlCalendarAdvance(Calendar,Y1237,X1238,"f",FALSE)</f>
        <v>47612</v>
      </c>
      <c r="Z1238" s="198">
        <f>_xll.qlCalendarAdvance(Calendar,Y1238,NDays&amp;"D")</f>
        <v>47616</v>
      </c>
      <c r="AA1238" s="173">
        <v>2.4238225118565195E-2</v>
      </c>
      <c r="AB1238" s="182">
        <v>2.4102714300342498E-2</v>
      </c>
    </row>
    <row r="1239" spans="24:28" x14ac:dyDescent="0.2">
      <c r="X1239" s="186" t="str">
        <f t="shared" si="53"/>
        <v>1w</v>
      </c>
      <c r="Y1239" s="174">
        <f>_xll.qlCalendarAdvance(Calendar,Y1238,X1239,"f",FALSE)</f>
        <v>47619</v>
      </c>
      <c r="Z1239" s="198">
        <f>_xll.qlCalendarAdvance(Calendar,Y1239,NDays&amp;"D")</f>
        <v>47623</v>
      </c>
      <c r="AA1239" s="173">
        <v>2.4237040340788003E-2</v>
      </c>
      <c r="AB1239" s="182">
        <v>2.4102103988541401E-2</v>
      </c>
    </row>
    <row r="1240" spans="24:28" x14ac:dyDescent="0.2">
      <c r="X1240" s="186" t="str">
        <f t="shared" si="53"/>
        <v>1w</v>
      </c>
      <c r="Y1240" s="174">
        <f>_xll.qlCalendarAdvance(Calendar,Y1239,X1240,"f",FALSE)</f>
        <v>47626</v>
      </c>
      <c r="Z1240" s="198">
        <f>_xll.qlCalendarAdvance(Calendar,Y1240,NDays&amp;"D")</f>
        <v>47630</v>
      </c>
      <c r="AA1240" s="173">
        <v>2.4235812190788044E-2</v>
      </c>
      <c r="AB1240" s="182">
        <v>2.410145083157289E-2</v>
      </c>
    </row>
    <row r="1241" spans="24:28" x14ac:dyDescent="0.2">
      <c r="X1241" s="186" t="str">
        <f t="shared" si="53"/>
        <v>1w</v>
      </c>
      <c r="Y1241" s="174">
        <f>_xll.qlCalendarAdvance(Calendar,Y1240,X1241,"f",FALSE)</f>
        <v>47633</v>
      </c>
      <c r="Z1241" s="198">
        <f>_xll.qlCalendarAdvance(Calendar,Y1241,NDays&amp;"D")</f>
        <v>47637</v>
      </c>
      <c r="AA1241" s="173">
        <v>2.4233834111467026E-2</v>
      </c>
      <c r="AB1241" s="182">
        <v>2.4100754829516902E-2</v>
      </c>
    </row>
    <row r="1242" spans="24:28" x14ac:dyDescent="0.2">
      <c r="X1242" s="186" t="str">
        <f t="shared" si="53"/>
        <v>1w</v>
      </c>
      <c r="Y1242" s="174">
        <f>_xll.qlCalendarAdvance(Calendar,Y1241,X1242,"f",FALSE)</f>
        <v>47640</v>
      </c>
      <c r="Z1242" s="198">
        <f>_xll.qlCalendarAdvance(Calendar,Y1242,NDays&amp;"D")</f>
        <v>47644</v>
      </c>
      <c r="AA1242" s="173">
        <v>2.4232522403020249E-2</v>
      </c>
      <c r="AB1242" s="182">
        <v>2.4100015982373435E-2</v>
      </c>
    </row>
    <row r="1243" spans="24:28" x14ac:dyDescent="0.2">
      <c r="X1243" s="186" t="str">
        <f t="shared" si="53"/>
        <v>1w</v>
      </c>
      <c r="Y1243" s="174">
        <f>_xll.qlCalendarAdvance(Calendar,Y1242,X1243,"f",FALSE)</f>
        <v>47647</v>
      </c>
      <c r="Z1243" s="198">
        <f>_xll.qlCalendarAdvance(Calendar,Y1243,NDays&amp;"D")</f>
        <v>47651</v>
      </c>
      <c r="AA1243" s="173">
        <v>2.4231167325492031E-2</v>
      </c>
      <c r="AB1243" s="182">
        <v>2.4099234290142491E-2</v>
      </c>
    </row>
    <row r="1244" spans="24:28" x14ac:dyDescent="0.2">
      <c r="X1244" s="186" t="str">
        <f t="shared" si="53"/>
        <v>1w</v>
      </c>
      <c r="Y1244" s="174">
        <f>_xll.qlCalendarAdvance(Calendar,Y1243,X1244,"f",FALSE)</f>
        <v>47654</v>
      </c>
      <c r="Z1244" s="198">
        <f>_xll.qlCalendarAdvance(Calendar,Y1244,NDays&amp;"D")</f>
        <v>47658</v>
      </c>
      <c r="AA1244" s="173">
        <v>2.4229768878970603E-2</v>
      </c>
      <c r="AB1244" s="182">
        <v>2.4098409752824068E-2</v>
      </c>
    </row>
    <row r="1245" spans="24:28" x14ac:dyDescent="0.2">
      <c r="X1245" s="186" t="str">
        <f t="shared" si="53"/>
        <v>1w</v>
      </c>
      <c r="Y1245" s="174">
        <f>_xll.qlCalendarAdvance(Calendar,Y1244,X1245,"f",FALSE)</f>
        <v>47661</v>
      </c>
      <c r="Z1245" s="198">
        <f>_xll.qlCalendarAdvance(Calendar,Y1245,NDays&amp;"D")</f>
        <v>47665</v>
      </c>
      <c r="AA1245" s="173">
        <v>2.422971438257953E-2</v>
      </c>
      <c r="AB1245" s="182">
        <v>2.4097542370338232E-2</v>
      </c>
    </row>
    <row r="1246" spans="24:28" x14ac:dyDescent="0.2">
      <c r="X1246" s="186" t="str">
        <f t="shared" si="53"/>
        <v>1w</v>
      </c>
      <c r="Y1246" s="174">
        <f>_xll.qlCalendarAdvance(Calendar,Y1245,X1246,"f",FALSE)</f>
        <v>47668</v>
      </c>
      <c r="Z1246" s="198">
        <f>_xll.qlCalendarAdvance(Calendar,Y1246,NDays&amp;"D")</f>
        <v>47672</v>
      </c>
      <c r="AA1246" s="173">
        <v>2.4227532478839377E-2</v>
      </c>
      <c r="AB1246" s="182">
        <v>2.4096632142844854E-2</v>
      </c>
    </row>
    <row r="1247" spans="24:28" x14ac:dyDescent="0.2">
      <c r="X1247" s="186" t="str">
        <f t="shared" si="53"/>
        <v>1w</v>
      </c>
      <c r="Y1247" s="174">
        <f>_xll.qlCalendarAdvance(Calendar,Y1246,X1247,"f",FALSE)</f>
        <v>47675</v>
      </c>
      <c r="Z1247" s="198">
        <f>_xll.qlCalendarAdvance(Calendar,Y1247,NDays&amp;"D")</f>
        <v>47679</v>
      </c>
      <c r="AA1247" s="173">
        <v>2.422600072570244E-2</v>
      </c>
      <c r="AB1247" s="182">
        <v>2.4095679070184062E-2</v>
      </c>
    </row>
    <row r="1248" spans="24:28" x14ac:dyDescent="0.2">
      <c r="X1248" s="186" t="str">
        <f t="shared" si="53"/>
        <v>1w</v>
      </c>
      <c r="Y1248" s="174">
        <f>_xll.qlCalendarAdvance(Calendar,Y1247,X1248,"f",FALSE)</f>
        <v>47682</v>
      </c>
      <c r="Z1248" s="198">
        <f>_xll.qlCalendarAdvance(Calendar,Y1248,NDays&amp;"D")</f>
        <v>47686</v>
      </c>
      <c r="AA1248" s="173">
        <v>2.4224425601068238E-2</v>
      </c>
      <c r="AB1248" s="182">
        <v>2.4094683152355856E-2</v>
      </c>
    </row>
    <row r="1249" spans="24:28" x14ac:dyDescent="0.2">
      <c r="X1249" s="186" t="str">
        <f t="shared" si="53"/>
        <v>1w</v>
      </c>
      <c r="Y1249" s="174">
        <f>_xll.qlCalendarAdvance(Calendar,Y1248,X1249,"f",FALSE)</f>
        <v>47689</v>
      </c>
      <c r="Z1249" s="198">
        <f>_xll.qlCalendarAdvance(Calendar,Y1249,NDays&amp;"D")</f>
        <v>47693</v>
      </c>
      <c r="AA1249" s="173">
        <v>2.4222807105040604E-2</v>
      </c>
      <c r="AB1249" s="182">
        <v>2.4093644389520108E-2</v>
      </c>
    </row>
    <row r="1250" spans="24:28" x14ac:dyDescent="0.2">
      <c r="X1250" s="186" t="str">
        <f t="shared" si="53"/>
        <v>1w</v>
      </c>
      <c r="Y1250" s="174">
        <f>_xll.qlCalendarAdvance(Calendar,Y1249,X1250,"f",FALSE)</f>
        <v>47696</v>
      </c>
      <c r="Z1250" s="198">
        <f>_xll.qlCalendarAdvance(Calendar,Y1250,NDays&amp;"D")</f>
        <v>47700</v>
      </c>
      <c r="AA1250" s="173">
        <v>2.4221145237725974E-2</v>
      </c>
      <c r="AB1250" s="182">
        <v>2.4092562781596882E-2</v>
      </c>
    </row>
    <row r="1251" spans="24:28" x14ac:dyDescent="0.2">
      <c r="X1251" s="186" t="str">
        <f t="shared" si="53"/>
        <v>1w</v>
      </c>
      <c r="Y1251" s="174">
        <f>_xll.qlCalendarAdvance(Calendar,Y1250,X1251,"f",FALSE)</f>
        <v>47703</v>
      </c>
      <c r="Z1251" s="198">
        <f>_xll.qlCalendarAdvance(Calendar,Y1251,NDays&amp;"D")</f>
        <v>47707</v>
      </c>
      <c r="AA1251" s="173">
        <v>2.4219439999232952E-2</v>
      </c>
      <c r="AB1251" s="182">
        <v>2.4091438328506243E-2</v>
      </c>
    </row>
    <row r="1252" spans="24:28" x14ac:dyDescent="0.2">
      <c r="X1252" s="186" t="str">
        <f t="shared" si="53"/>
        <v>1w</v>
      </c>
      <c r="Y1252" s="174">
        <f>_xll.qlCalendarAdvance(Calendar,Y1251,X1252,"f",FALSE)</f>
        <v>47710</v>
      </c>
      <c r="Z1252" s="198">
        <f>_xll.qlCalendarAdvance(Calendar,Y1252,NDays&amp;"D")</f>
        <v>47714</v>
      </c>
      <c r="AA1252" s="173">
        <v>2.4217691389674501E-2</v>
      </c>
      <c r="AB1252" s="182">
        <v>2.4090271030328125E-2</v>
      </c>
    </row>
    <row r="1253" spans="24:28" x14ac:dyDescent="0.2">
      <c r="X1253" s="186" t="str">
        <f t="shared" si="53"/>
        <v>1w</v>
      </c>
      <c r="Y1253" s="174">
        <f>_xll.qlCalendarAdvance(Calendar,Y1252,X1253,"f",FALSE)</f>
        <v>47717</v>
      </c>
      <c r="Z1253" s="198">
        <f>_xll.qlCalendarAdvance(Calendar,Y1253,NDays&amp;"D")</f>
        <v>47721</v>
      </c>
      <c r="AA1253" s="173">
        <v>2.4215899409164E-2</v>
      </c>
      <c r="AB1253" s="182">
        <v>2.4089060887142466E-2</v>
      </c>
    </row>
    <row r="1254" spans="24:28" x14ac:dyDescent="0.2">
      <c r="X1254" s="186" t="str">
        <f t="shared" si="53"/>
        <v>1w</v>
      </c>
      <c r="Y1254" s="174">
        <f>_xll.qlCalendarAdvance(Calendar,Y1253,X1254,"f",FALSE)</f>
        <v>47724</v>
      </c>
      <c r="Z1254" s="198">
        <f>_xll.qlCalendarAdvance(Calendar,Y1254,NDays&amp;"D")</f>
        <v>47728</v>
      </c>
      <c r="AA1254" s="173">
        <v>2.4212733945119445E-2</v>
      </c>
      <c r="AB1254" s="182">
        <v>2.4087807898789393E-2</v>
      </c>
    </row>
    <row r="1255" spans="24:28" x14ac:dyDescent="0.2">
      <c r="X1255" s="186" t="str">
        <f t="shared" si="53"/>
        <v>1w</v>
      </c>
      <c r="Y1255" s="174">
        <f>_xll.qlCalendarAdvance(Calendar,Y1254,X1255,"f",FALSE)</f>
        <v>47731</v>
      </c>
      <c r="Z1255" s="198">
        <f>_xll.qlCalendarAdvance(Calendar,Y1255,NDays&amp;"D")</f>
        <v>47735</v>
      </c>
      <c r="AA1255" s="173">
        <v>2.4210861669173734E-2</v>
      </c>
      <c r="AB1255" s="182">
        <v>2.4086512065348842E-2</v>
      </c>
    </row>
    <row r="1256" spans="24:28" x14ac:dyDescent="0.2">
      <c r="X1256" s="186" t="str">
        <f t="shared" si="53"/>
        <v>1w</v>
      </c>
      <c r="Y1256" s="174">
        <f>_xll.qlCalendarAdvance(Calendar,Y1255,X1256,"f",FALSE)</f>
        <v>47738</v>
      </c>
      <c r="Z1256" s="198">
        <f>_xll.qlCalendarAdvance(Calendar,Y1256,NDays&amp;"D")</f>
        <v>47742</v>
      </c>
      <c r="AA1256" s="173">
        <v>2.4208946028398497E-2</v>
      </c>
      <c r="AB1256" s="182">
        <v>2.4085173386820813E-2</v>
      </c>
    </row>
    <row r="1257" spans="24:28" x14ac:dyDescent="0.2">
      <c r="X1257" s="186" t="str">
        <f t="shared" si="53"/>
        <v>1w</v>
      </c>
      <c r="Y1257" s="174">
        <f>_xll.qlCalendarAdvance(Calendar,Y1256,X1257,"f",FALSE)</f>
        <v>47745</v>
      </c>
      <c r="Z1257" s="198">
        <f>_xll.qlCalendarAdvance(Calendar,Y1257,NDays&amp;"D")</f>
        <v>47749</v>
      </c>
      <c r="AA1257" s="173">
        <v>2.4206987022917147E-2</v>
      </c>
      <c r="AB1257" s="182">
        <v>2.408379186312537E-2</v>
      </c>
    </row>
    <row r="1258" spans="24:28" x14ac:dyDescent="0.2">
      <c r="X1258" s="186" t="str">
        <f t="shared" si="53"/>
        <v>1w</v>
      </c>
      <c r="Y1258" s="174">
        <f>_xll.qlCalendarAdvance(Calendar,Y1257,X1258,"f",FALSE)</f>
        <v>47752</v>
      </c>
      <c r="Z1258" s="198">
        <f>_xll.qlCalendarAdvance(Calendar,Y1258,NDays&amp;"D")</f>
        <v>47756</v>
      </c>
      <c r="AA1258" s="173">
        <v>2.4204984652858811E-2</v>
      </c>
      <c r="AB1258" s="182">
        <v>2.4082367494422385E-2</v>
      </c>
    </row>
    <row r="1259" spans="24:28" x14ac:dyDescent="0.2">
      <c r="X1259" s="186" t="str">
        <f t="shared" si="53"/>
        <v>1w</v>
      </c>
      <c r="Y1259" s="174">
        <f>_xll.qlCalendarAdvance(Calendar,Y1258,X1259,"f",FALSE)</f>
        <v>47759</v>
      </c>
      <c r="Z1259" s="198">
        <f>_xll.qlCalendarAdvance(Calendar,Y1259,NDays&amp;"D")</f>
        <v>47763</v>
      </c>
      <c r="AA1259" s="173">
        <v>2.4202938918351742E-2</v>
      </c>
      <c r="AB1259" s="182">
        <v>2.4080900280551987E-2</v>
      </c>
    </row>
    <row r="1260" spans="24:28" x14ac:dyDescent="0.2">
      <c r="X1260" s="186" t="str">
        <f t="shared" si="53"/>
        <v>1w</v>
      </c>
      <c r="Y1260" s="174">
        <f>_xll.qlCalendarAdvance(Calendar,Y1259,X1260,"f",FALSE)</f>
        <v>47766</v>
      </c>
      <c r="Z1260" s="198">
        <f>_xll.qlCalendarAdvance(Calendar,Y1260,NDays&amp;"D")</f>
        <v>47770</v>
      </c>
      <c r="AA1260" s="173">
        <v>2.4201495634805056E-2</v>
      </c>
      <c r="AB1260" s="182">
        <v>2.407939022159411E-2</v>
      </c>
    </row>
    <row r="1261" spans="24:28" x14ac:dyDescent="0.2">
      <c r="X1261" s="186" t="str">
        <f t="shared" si="53"/>
        <v>1w</v>
      </c>
      <c r="Y1261" s="174">
        <f>_xll.qlCalendarAdvance(Calendar,Y1260,X1261,"f",FALSE)</f>
        <v>47773</v>
      </c>
      <c r="Z1261" s="198">
        <f>_xll.qlCalendarAdvance(Calendar,Y1261,NDays&amp;"D")</f>
        <v>47777</v>
      </c>
      <c r="AA1261" s="173">
        <v>2.4198717356528551E-2</v>
      </c>
      <c r="AB1261" s="182">
        <v>2.4077837317708628E-2</v>
      </c>
    </row>
    <row r="1262" spans="24:28" x14ac:dyDescent="0.2">
      <c r="X1262" s="186" t="str">
        <f t="shared" si="53"/>
        <v>1w</v>
      </c>
      <c r="Y1262" s="174">
        <f>_xll.qlCalendarAdvance(Calendar,Y1261,X1262,"f",FALSE)</f>
        <v>47780</v>
      </c>
      <c r="Z1262" s="198">
        <f>_xll.qlCalendarAdvance(Calendar,Y1262,NDays&amp;"D")</f>
        <v>47784</v>
      </c>
      <c r="AA1262" s="173">
        <v>2.4196541529486935E-2</v>
      </c>
      <c r="AB1262" s="182">
        <v>2.4076241568575796E-2</v>
      </c>
    </row>
    <row r="1263" spans="24:28" x14ac:dyDescent="0.2">
      <c r="X1263" s="186" t="str">
        <f t="shared" si="53"/>
        <v>1w</v>
      </c>
      <c r="Y1263" s="174">
        <f>_xll.qlCalendarAdvance(Calendar,Y1262,X1263,"f",FALSE)</f>
        <v>47787</v>
      </c>
      <c r="Z1263" s="198">
        <f>_xll.qlCalendarAdvance(Calendar,Y1263,NDays&amp;"D")</f>
        <v>47791</v>
      </c>
      <c r="AA1263" s="173">
        <v>2.4194322338545154E-2</v>
      </c>
      <c r="AB1263" s="182">
        <v>2.407460297427555E-2</v>
      </c>
    </row>
    <row r="1264" spans="24:28" x14ac:dyDescent="0.2">
      <c r="X1264" s="186" t="str">
        <f t="shared" si="53"/>
        <v>1w</v>
      </c>
      <c r="Y1264" s="174">
        <f>_xll.qlCalendarAdvance(Calendar,Y1263,X1264,"f",FALSE)</f>
        <v>47794</v>
      </c>
      <c r="Z1264" s="198">
        <f>_xll.qlCalendarAdvance(Calendar,Y1264,NDays&amp;"D")</f>
        <v>47798</v>
      </c>
      <c r="AA1264" s="173">
        <v>2.4192059783849029E-2</v>
      </c>
      <c r="AB1264" s="182">
        <v>2.4072921534967762E-2</v>
      </c>
    </row>
    <row r="1265" spans="24:28" x14ac:dyDescent="0.2">
      <c r="X1265" s="186" t="str">
        <f t="shared" si="53"/>
        <v>1w</v>
      </c>
      <c r="Y1265" s="174">
        <f>_xll.qlCalendarAdvance(Calendar,Y1264,X1265,"f",FALSE)</f>
        <v>47801</v>
      </c>
      <c r="Z1265" s="198">
        <f>_xll.qlCalendarAdvance(Calendar,Y1265,NDays&amp;"D")</f>
        <v>47805</v>
      </c>
      <c r="AA1265" s="173">
        <v>2.4189753865544377E-2</v>
      </c>
      <c r="AB1265" s="182">
        <v>2.4071197250652432E-2</v>
      </c>
    </row>
    <row r="1266" spans="24:28" x14ac:dyDescent="0.2">
      <c r="X1266" s="186" t="str">
        <f t="shared" si="53"/>
        <v>1w</v>
      </c>
      <c r="Y1266" s="174">
        <f>_xll.qlCalendarAdvance(Calendar,Y1265,X1266,"f",FALSE)</f>
        <v>47808</v>
      </c>
      <c r="Z1266" s="198">
        <f>_xll.qlCalendarAdvance(Calendar,Y1266,NDays&amp;"D")</f>
        <v>47812</v>
      </c>
      <c r="AA1266" s="173">
        <v>2.4187404583781845E-2</v>
      </c>
      <c r="AB1266" s="182">
        <v>2.4069430121169688E-2</v>
      </c>
    </row>
    <row r="1267" spans="24:28" x14ac:dyDescent="0.2">
      <c r="X1267" s="186" t="str">
        <f t="shared" si="53"/>
        <v>1w</v>
      </c>
      <c r="Y1267" s="174">
        <f>_xll.qlCalendarAdvance(Calendar,Y1266,X1267,"f",FALSE)</f>
        <v>47815</v>
      </c>
      <c r="Z1267" s="198">
        <f>_xll.qlCalendarAdvance(Calendar,Y1267,NDays&amp;"D")</f>
        <v>47819</v>
      </c>
      <c r="AA1267" s="173">
        <v>2.4185011938713398E-2</v>
      </c>
      <c r="AB1267" s="182">
        <v>2.4067620146599467E-2</v>
      </c>
    </row>
    <row r="1268" spans="24:28" x14ac:dyDescent="0.2">
      <c r="X1268" s="186" t="str">
        <f t="shared" si="53"/>
        <v>1w</v>
      </c>
      <c r="Y1268" s="174">
        <f>_xll.qlCalendarAdvance(Calendar,Y1267,X1268,"f",FALSE)</f>
        <v>47822</v>
      </c>
      <c r="Z1268" s="198">
        <f>_xll.qlCalendarAdvance(Calendar,Y1268,NDays&amp;"D")</f>
        <v>47826</v>
      </c>
      <c r="AA1268" s="173">
        <v>2.4182575930494082E-2</v>
      </c>
      <c r="AB1268" s="182">
        <v>2.4065767326861831E-2</v>
      </c>
    </row>
    <row r="1269" spans="24:28" x14ac:dyDescent="0.2">
      <c r="X1269" s="186" t="str">
        <f t="shared" si="53"/>
        <v>1w</v>
      </c>
      <c r="Y1269" s="174">
        <f>_xll.qlCalendarAdvance(Calendar,Y1268,X1269,"f",FALSE)</f>
        <v>47829</v>
      </c>
      <c r="Z1269" s="198">
        <f>_xll.qlCalendarAdvance(Calendar,Y1269,NDays&amp;"D")</f>
        <v>47833</v>
      </c>
      <c r="AA1269" s="173">
        <v>2.4180096559283763E-2</v>
      </c>
      <c r="AB1269" s="182">
        <v>2.406387166219659E-2</v>
      </c>
    </row>
    <row r="1270" spans="24:28" x14ac:dyDescent="0.2">
      <c r="X1270" s="186" t="str">
        <f t="shared" si="53"/>
        <v>1w</v>
      </c>
      <c r="Y1270" s="174">
        <f>_xll.qlCalendarAdvance(Calendar,Y1269,X1270,"f",FALSE)</f>
        <v>47836</v>
      </c>
      <c r="Z1270" s="198">
        <f>_xll.qlCalendarAdvance(Calendar,Y1270,NDays&amp;"D")</f>
        <v>47840</v>
      </c>
      <c r="AA1270" s="173">
        <v>2.4177573825242316E-2</v>
      </c>
      <c r="AB1270" s="182">
        <v>2.4061933152283999E-2</v>
      </c>
    </row>
    <row r="1271" spans="24:28" x14ac:dyDescent="0.2">
      <c r="X1271" s="186" t="str">
        <f t="shared" si="53"/>
        <v>1w</v>
      </c>
      <c r="Y1271" s="174">
        <f>_xll.qlCalendarAdvance(Calendar,Y1270,X1271,"f",FALSE)</f>
        <v>47844</v>
      </c>
      <c r="Z1271" s="198">
        <f>_xll.qlCalendarAdvance(Calendar,Y1271,NDays&amp;"D")</f>
        <v>47848</v>
      </c>
      <c r="AA1271" s="173">
        <v>2.4174027769042705E-2</v>
      </c>
      <c r="AB1271" s="182">
        <v>2.4060325510824043E-2</v>
      </c>
    </row>
    <row r="1272" spans="24:28" x14ac:dyDescent="0.2">
      <c r="X1272" s="186" t="str">
        <f t="shared" si="53"/>
        <v>1w</v>
      </c>
      <c r="Y1272" s="174">
        <f>_xll.qlCalendarAdvance(Calendar,Y1271,X1272,"f",FALSE)</f>
        <v>47851</v>
      </c>
      <c r="Z1272" s="198">
        <f>_xll.qlCalendarAdvance(Calendar,Y1272,NDays&amp;"D")</f>
        <v>47855</v>
      </c>
      <c r="AA1272" s="173">
        <v>2.4171415386862516E-2</v>
      </c>
      <c r="AB1272" s="182">
        <v>2.4057634928347227E-2</v>
      </c>
    </row>
    <row r="1273" spans="24:28" x14ac:dyDescent="0.2">
      <c r="X1273" s="186" t="str">
        <f t="shared" si="53"/>
        <v>1w</v>
      </c>
      <c r="Y1273" s="174">
        <f>_xll.qlCalendarAdvance(Calendar,Y1272,X1273,"f",FALSE)</f>
        <v>47858</v>
      </c>
      <c r="Z1273" s="198">
        <f>_xll.qlCalendarAdvance(Calendar,Y1273,NDays&amp;"D")</f>
        <v>47862</v>
      </c>
      <c r="AA1273" s="173">
        <v>2.4168759645238111E-2</v>
      </c>
      <c r="AB1273" s="182">
        <v>2.4055561762548194E-2</v>
      </c>
    </row>
    <row r="1274" spans="24:28" x14ac:dyDescent="0.2">
      <c r="X1274" s="186" t="str">
        <f t="shared" si="53"/>
        <v>1w</v>
      </c>
      <c r="Y1274" s="174">
        <f>_xll.qlCalendarAdvance(Calendar,Y1273,X1274,"f",FALSE)</f>
        <v>47865</v>
      </c>
      <c r="Z1274" s="198">
        <f>_xll.qlCalendarAdvance(Calendar,Y1274,NDays&amp;"D")</f>
        <v>47869</v>
      </c>
      <c r="AA1274" s="173">
        <v>2.4166060544341735E-2</v>
      </c>
      <c r="AB1274" s="182">
        <v>2.4053445751661684E-2</v>
      </c>
    </row>
    <row r="1275" spans="24:28" x14ac:dyDescent="0.2">
      <c r="X1275" s="186" t="str">
        <f t="shared" si="53"/>
        <v>1w</v>
      </c>
      <c r="Y1275" s="174">
        <f>_xll.qlCalendarAdvance(Calendar,Y1274,X1275,"f",FALSE)</f>
        <v>47872</v>
      </c>
      <c r="Z1275" s="198">
        <f>_xll.qlCalendarAdvance(Calendar,Y1275,NDays&amp;"D")</f>
        <v>47876</v>
      </c>
      <c r="AA1275" s="173">
        <v>2.4163318084346946E-2</v>
      </c>
      <c r="AB1275" s="182">
        <v>2.405128689560776E-2</v>
      </c>
    </row>
    <row r="1276" spans="24:28" x14ac:dyDescent="0.2">
      <c r="X1276" s="186" t="str">
        <f t="shared" si="53"/>
        <v>1w</v>
      </c>
      <c r="Y1276" s="174">
        <f>_xll.qlCalendarAdvance(Calendar,Y1275,X1276,"f",FALSE)</f>
        <v>47879</v>
      </c>
      <c r="Z1276" s="198">
        <f>_xll.qlCalendarAdvance(Calendar,Y1276,NDays&amp;"D")</f>
        <v>47883</v>
      </c>
      <c r="AA1276" s="173">
        <v>2.4160532265431724E-2</v>
      </c>
      <c r="AB1276" s="182">
        <v>2.4049085194546294E-2</v>
      </c>
    </row>
    <row r="1277" spans="24:28" x14ac:dyDescent="0.2">
      <c r="X1277" s="186" t="str">
        <f t="shared" si="53"/>
        <v>1w</v>
      </c>
      <c r="Y1277" s="174">
        <f>_xll.qlCalendarAdvance(Calendar,Y1276,X1277,"f",FALSE)</f>
        <v>47886</v>
      </c>
      <c r="Z1277" s="198">
        <f>_xll.qlCalendarAdvance(Calendar,Y1277,NDays&amp;"D")</f>
        <v>47890</v>
      </c>
      <c r="AA1277" s="173">
        <v>2.4157703087775817E-2</v>
      </c>
      <c r="AB1277" s="182">
        <v>2.4046840648317414E-2</v>
      </c>
    </row>
    <row r="1278" spans="24:28" x14ac:dyDescent="0.2">
      <c r="X1278" s="186" t="str">
        <f t="shared" si="53"/>
        <v>1w</v>
      </c>
      <c r="Y1278" s="174">
        <f>_xll.qlCalendarAdvance(Calendar,Y1277,X1278,"f",FALSE)</f>
        <v>47893</v>
      </c>
      <c r="Z1278" s="198">
        <f>_xll.qlCalendarAdvance(Calendar,Y1278,NDays&amp;"D")</f>
        <v>47897</v>
      </c>
      <c r="AA1278" s="173">
        <v>2.4154830551562503E-2</v>
      </c>
      <c r="AB1278" s="182">
        <v>2.4044553257160928E-2</v>
      </c>
    </row>
    <row r="1279" spans="24:28" x14ac:dyDescent="0.2">
      <c r="X1279" s="186" t="str">
        <f t="shared" si="53"/>
        <v>1w</v>
      </c>
      <c r="Y1279" s="174">
        <f>_xll.qlCalendarAdvance(Calendar,Y1278,X1279,"f",FALSE)</f>
        <v>47900</v>
      </c>
      <c r="Z1279" s="198">
        <f>_xll.qlCalendarAdvance(Calendar,Y1279,NDays&amp;"D")</f>
        <v>47904</v>
      </c>
      <c r="AA1279" s="173">
        <v>2.4151914656976387E-2</v>
      </c>
      <c r="AB1279" s="182">
        <v>2.4042223020757092E-2</v>
      </c>
    </row>
    <row r="1280" spans="24:28" x14ac:dyDescent="0.2">
      <c r="X1280" s="186" t="str">
        <f t="shared" si="53"/>
        <v>1w</v>
      </c>
      <c r="Y1280" s="174">
        <f>_xll.qlCalendarAdvance(Calendar,Y1279,X1280,"f",FALSE)</f>
        <v>47907</v>
      </c>
      <c r="Z1280" s="198">
        <f>_xll.qlCalendarAdvance(Calendar,Y1280,NDays&amp;"D")</f>
        <v>47911</v>
      </c>
      <c r="AA1280" s="173">
        <v>2.4150695396029102E-2</v>
      </c>
      <c r="AB1280" s="182">
        <v>2.4039849939265778E-2</v>
      </c>
    </row>
    <row r="1281" spans="24:28" x14ac:dyDescent="0.2">
      <c r="X1281" s="186" t="str">
        <f t="shared" si="53"/>
        <v>1w</v>
      </c>
      <c r="Y1281" s="174">
        <f>_xll.qlCalendarAdvance(Calendar,Y1280,X1281,"f",FALSE)</f>
        <v>47914</v>
      </c>
      <c r="Z1281" s="198">
        <f>_xll.qlCalendarAdvance(Calendar,Y1281,NDays&amp;"D")</f>
        <v>47918</v>
      </c>
      <c r="AA1281" s="173">
        <v>2.4147682891879053E-2</v>
      </c>
      <c r="AB1281" s="182">
        <v>2.4037434012846859E-2</v>
      </c>
    </row>
    <row r="1282" spans="24:28" x14ac:dyDescent="0.2">
      <c r="X1282" s="186" t="str">
        <f t="shared" si="53"/>
        <v>1w</v>
      </c>
      <c r="Y1282" s="174">
        <f>_xll.qlCalendarAdvance(Calendar,Y1281,X1282,"f",FALSE)</f>
        <v>47921</v>
      </c>
      <c r="Z1282" s="198">
        <f>_xll.qlCalendarAdvance(Calendar,Y1282,NDays&amp;"D")</f>
        <v>47925</v>
      </c>
      <c r="AA1282" s="173">
        <v>2.4144627021376756E-2</v>
      </c>
      <c r="AB1282" s="182">
        <v>2.4034975241260526E-2</v>
      </c>
    </row>
    <row r="1283" spans="24:28" x14ac:dyDescent="0.2">
      <c r="X1283" s="186" t="str">
        <f t="shared" si="53"/>
        <v>1w</v>
      </c>
      <c r="Y1283" s="174">
        <f>_xll.qlCalendarAdvance(Calendar,Y1282,X1283,"f",FALSE)</f>
        <v>47928</v>
      </c>
      <c r="Z1283" s="198">
        <f>_xll.qlCalendarAdvance(Calendar,Y1283,NDays&amp;"D")</f>
        <v>47932</v>
      </c>
      <c r="AA1283" s="173">
        <v>2.4141527784722484E-2</v>
      </c>
      <c r="AB1283" s="182">
        <v>2.4032473624586714E-2</v>
      </c>
    </row>
    <row r="1284" spans="24:28" x14ac:dyDescent="0.2">
      <c r="X1284" s="186" t="str">
        <f t="shared" si="53"/>
        <v>1w</v>
      </c>
      <c r="Y1284" s="174">
        <f>_xll.qlCalendarAdvance(Calendar,Y1283,X1284,"f",FALSE)</f>
        <v>47935</v>
      </c>
      <c r="Z1284" s="198">
        <f>_xll.qlCalendarAdvance(Calendar,Y1284,NDays&amp;"D")</f>
        <v>47939</v>
      </c>
      <c r="AA1284" s="173">
        <v>2.4137818684154128E-2</v>
      </c>
      <c r="AB1284" s="182">
        <v>2.4029929162825425E-2</v>
      </c>
    </row>
    <row r="1285" spans="24:28" x14ac:dyDescent="0.2">
      <c r="X1285" s="186" t="str">
        <f t="shared" si="53"/>
        <v>1w</v>
      </c>
      <c r="Y1285" s="174">
        <f>_xll.qlCalendarAdvance(Calendar,Y1284,X1285,"f",FALSE)</f>
        <v>47942</v>
      </c>
      <c r="Z1285" s="198">
        <f>_xll.qlCalendarAdvance(Calendar,Y1285,NDays&amp;"D")</f>
        <v>47946</v>
      </c>
      <c r="AA1285" s="173">
        <v>2.4134636025425215E-2</v>
      </c>
      <c r="AB1285" s="182">
        <v>2.4027341856056594E-2</v>
      </c>
    </row>
    <row r="1286" spans="24:28" x14ac:dyDescent="0.2">
      <c r="X1286" s="186" t="str">
        <f t="shared" si="53"/>
        <v>1w</v>
      </c>
      <c r="Y1286" s="174">
        <f>_xll.qlCalendarAdvance(Calendar,Y1285,X1286,"f",FALSE)</f>
        <v>47953</v>
      </c>
      <c r="Z1286" s="198">
        <f>_xll.qlCalendarAdvance(Calendar,Y1286,NDays&amp;"D")</f>
        <v>47955</v>
      </c>
      <c r="AA1286" s="173">
        <v>2.4130480319059521E-2</v>
      </c>
      <c r="AB1286" s="182">
        <v>2.4023952362650647E-2</v>
      </c>
    </row>
    <row r="1287" spans="24:28" x14ac:dyDescent="0.2">
      <c r="X1287" s="186" t="str">
        <f t="shared" si="53"/>
        <v>1w</v>
      </c>
      <c r="Y1287" s="174">
        <f>_xll.qlCalendarAdvance(Calendar,Y1286,X1287,"f",FALSE)</f>
        <v>47960</v>
      </c>
      <c r="Z1287" s="198">
        <f>_xll.qlCalendarAdvance(Calendar,Y1287,NDays&amp;"D")</f>
        <v>47962</v>
      </c>
      <c r="AA1287" s="173">
        <v>2.4127198545929113E-2</v>
      </c>
      <c r="AB1287" s="182">
        <v>2.4021267124298973E-2</v>
      </c>
    </row>
    <row r="1288" spans="24:28" x14ac:dyDescent="0.2">
      <c r="X1288" s="186" t="str">
        <f t="shared" si="53"/>
        <v>1w</v>
      </c>
      <c r="Y1288" s="174">
        <f>_xll.qlCalendarAdvance(Calendar,Y1287,X1288,"f",FALSE)</f>
        <v>47967</v>
      </c>
      <c r="Z1288" s="198">
        <f>_xll.qlCalendarAdvance(Calendar,Y1288,NDays&amp;"D")</f>
        <v>47970</v>
      </c>
      <c r="AA1288" s="173">
        <v>2.4124498197547074E-2</v>
      </c>
      <c r="AB1288" s="182">
        <v>2.4019353830775358E-2</v>
      </c>
    </row>
    <row r="1289" spans="24:28" x14ac:dyDescent="0.2">
      <c r="X1289" s="186" t="str">
        <f t="shared" si="53"/>
        <v>1w</v>
      </c>
      <c r="Y1289" s="174">
        <f>_xll.qlCalendarAdvance(Calendar,Y1288,X1289,"f",FALSE)</f>
        <v>47974</v>
      </c>
      <c r="Z1289" s="198">
        <f>_xll.qlCalendarAdvance(Calendar,Y1289,NDays&amp;"D")</f>
        <v>47976</v>
      </c>
      <c r="AA1289" s="173">
        <v>2.4122150949451186E-2</v>
      </c>
      <c r="AB1289" s="182">
        <v>2.4015768112173319E-2</v>
      </c>
    </row>
    <row r="1290" spans="24:28" x14ac:dyDescent="0.2">
      <c r="X1290" s="186" t="str">
        <f t="shared" si="53"/>
        <v>1w</v>
      </c>
      <c r="Y1290" s="174">
        <f>_xll.qlCalendarAdvance(Calendar,Y1289,X1290,"f",FALSE)</f>
        <v>47981</v>
      </c>
      <c r="Z1290" s="198">
        <f>_xll.qlCalendarAdvance(Calendar,Y1290,NDays&amp;"D")</f>
        <v>47983</v>
      </c>
      <c r="AA1290" s="173">
        <v>2.4118729115184066E-2</v>
      </c>
      <c r="AB1290" s="182">
        <v>2.4012954338559211E-2</v>
      </c>
    </row>
    <row r="1291" spans="24:28" x14ac:dyDescent="0.2">
      <c r="X1291" s="186" t="str">
        <f t="shared" si="53"/>
        <v>1w</v>
      </c>
      <c r="Y1291" s="174">
        <f>_xll.qlCalendarAdvance(Calendar,Y1290,X1291,"f",FALSE)</f>
        <v>47988</v>
      </c>
      <c r="Z1291" s="198">
        <f>_xll.qlCalendarAdvance(Calendar,Y1291,NDays&amp;"D")</f>
        <v>47990</v>
      </c>
      <c r="AA1291" s="173">
        <v>2.4115263910861443E-2</v>
      </c>
      <c r="AB1291" s="182">
        <v>2.4010097719857626E-2</v>
      </c>
    </row>
    <row r="1292" spans="24:28" x14ac:dyDescent="0.2">
      <c r="X1292" s="186" t="str">
        <f t="shared" si="53"/>
        <v>1w</v>
      </c>
      <c r="Y1292" s="174">
        <f>_xll.qlCalendarAdvance(Calendar,Y1291,X1292,"f",FALSE)</f>
        <v>47995</v>
      </c>
      <c r="Z1292" s="198">
        <f>_xll.qlCalendarAdvance(Calendar,Y1292,NDays&amp;"D")</f>
        <v>47997</v>
      </c>
      <c r="AA1292" s="173">
        <v>2.411013925165683E-2</v>
      </c>
      <c r="AB1292" s="182">
        <v>2.4007198256148499E-2</v>
      </c>
    </row>
    <row r="1293" spans="24:28" x14ac:dyDescent="0.2">
      <c r="X1293" s="186" t="str">
        <f t="shared" si="53"/>
        <v>1w</v>
      </c>
      <c r="Y1293" s="174">
        <f>_xll.qlCalendarAdvance(Calendar,Y1292,X1293,"f",FALSE)</f>
        <v>48002</v>
      </c>
      <c r="Z1293" s="198">
        <f>_xll.qlCalendarAdvance(Calendar,Y1293,NDays&amp;"D")</f>
        <v>48004</v>
      </c>
      <c r="AA1293" s="173">
        <v>2.4106597308638605E-2</v>
      </c>
      <c r="AB1293" s="182">
        <v>2.4004255947351893E-2</v>
      </c>
    </row>
    <row r="1294" spans="24:28" x14ac:dyDescent="0.2">
      <c r="X1294" s="186" t="str">
        <f t="shared" si="53"/>
        <v>1w</v>
      </c>
      <c r="Y1294" s="174">
        <f>_xll.qlCalendarAdvance(Calendar,Y1293,X1294,"f",FALSE)</f>
        <v>48009</v>
      </c>
      <c r="Z1294" s="198">
        <f>_xll.qlCalendarAdvance(Calendar,Y1294,NDays&amp;"D")</f>
        <v>48011</v>
      </c>
      <c r="AA1294" s="173">
        <v>2.4103012004765799E-2</v>
      </c>
      <c r="AB1294" s="182">
        <v>2.4001270793387874E-2</v>
      </c>
    </row>
    <row r="1295" spans="24:28" x14ac:dyDescent="0.2">
      <c r="X1295" s="186" t="str">
        <f t="shared" si="53"/>
        <v>1w</v>
      </c>
      <c r="Y1295" s="174">
        <f>_xll.qlCalendarAdvance(Calendar,Y1294,X1295,"f",FALSE)</f>
        <v>48016</v>
      </c>
      <c r="Z1295" s="198">
        <f>_xll.qlCalendarAdvance(Calendar,Y1295,NDays&amp;"D")</f>
        <v>48018</v>
      </c>
      <c r="AA1295" s="173">
        <v>2.4099383340272982E-2</v>
      </c>
      <c r="AB1295" s="182">
        <v>2.3998242794416313E-2</v>
      </c>
    </row>
    <row r="1296" spans="24:28" x14ac:dyDescent="0.2">
      <c r="X1296" s="186" t="str">
        <f t="shared" si="53"/>
        <v>1w</v>
      </c>
      <c r="Y1296" s="174">
        <f>_xll.qlCalendarAdvance(Calendar,Y1295,X1296,"f",FALSE)</f>
        <v>48023</v>
      </c>
      <c r="Z1296" s="198">
        <f>_xll.qlCalendarAdvance(Calendar,Y1296,NDays&amp;"D")</f>
        <v>48025</v>
      </c>
      <c r="AA1296" s="173">
        <v>2.4097287346562798E-2</v>
      </c>
      <c r="AB1296" s="182">
        <v>2.3995171950437211E-2</v>
      </c>
    </row>
    <row r="1297" spans="24:28" x14ac:dyDescent="0.2">
      <c r="X1297" s="186" t="str">
        <f t="shared" si="53"/>
        <v>1w</v>
      </c>
      <c r="Y1297" s="174">
        <f>_xll.qlCalendarAdvance(Calendar,Y1296,X1297,"f",FALSE)</f>
        <v>48030</v>
      </c>
      <c r="Z1297" s="198">
        <f>_xll.qlCalendarAdvance(Calendar,Y1297,NDays&amp;"D")</f>
        <v>48032</v>
      </c>
      <c r="AA1297" s="173">
        <v>2.4093561926838262E-2</v>
      </c>
      <c r="AB1297" s="182">
        <v>2.3992058261290694E-2</v>
      </c>
    </row>
    <row r="1298" spans="24:28" x14ac:dyDescent="0.2">
      <c r="X1298" s="186" t="str">
        <f t="shared" si="53"/>
        <v>1w</v>
      </c>
      <c r="Y1298" s="174">
        <f>_xll.qlCalendarAdvance(Calendar,Y1297,X1298,"f",FALSE)</f>
        <v>48037</v>
      </c>
      <c r="Z1298" s="198">
        <f>_xll.qlCalendarAdvance(Calendar,Y1298,NDays&amp;"D")</f>
        <v>48039</v>
      </c>
      <c r="AA1298" s="173">
        <v>2.4089793138728281E-2</v>
      </c>
      <c r="AB1298" s="182">
        <v>2.3988901727136636E-2</v>
      </c>
    </row>
    <row r="1299" spans="24:28" x14ac:dyDescent="0.2">
      <c r="X1299" s="186" t="str">
        <f t="shared" si="53"/>
        <v>1w</v>
      </c>
      <c r="Y1299" s="174">
        <f>_xll.qlCalendarAdvance(Calendar,Y1298,X1299,"f",FALSE)</f>
        <v>48044</v>
      </c>
      <c r="Z1299" s="198">
        <f>_xll.qlCalendarAdvance(Calendar,Y1299,NDays&amp;"D")</f>
        <v>48046</v>
      </c>
      <c r="AA1299" s="173">
        <v>2.4085980982484271E-2</v>
      </c>
      <c r="AB1299" s="182">
        <v>2.3985702347895099E-2</v>
      </c>
    </row>
    <row r="1300" spans="24:28" x14ac:dyDescent="0.2">
      <c r="X1300" s="186" t="str">
        <f t="shared" si="53"/>
        <v>1w</v>
      </c>
      <c r="Y1300" s="174">
        <f>_xll.qlCalendarAdvance(Calendar,Y1299,X1300,"f",FALSE)</f>
        <v>48051</v>
      </c>
      <c r="Z1300" s="198">
        <f>_xll.qlCalendarAdvance(Calendar,Y1300,NDays&amp;"D")</f>
        <v>48053</v>
      </c>
      <c r="AA1300" s="173">
        <v>2.4082125458358503E-2</v>
      </c>
      <c r="AB1300" s="182">
        <v>2.3982460123566085E-2</v>
      </c>
    </row>
    <row r="1301" spans="24:28" x14ac:dyDescent="0.2">
      <c r="X1301" s="186" t="str">
        <f t="shared" ref="X1301:X1364" si="54">X1300</f>
        <v>1w</v>
      </c>
      <c r="Y1301" s="174">
        <f>_xll.qlCalendarAdvance(Calendar,Y1300,X1301,"f",FALSE)</f>
        <v>48058</v>
      </c>
      <c r="Z1301" s="198">
        <f>_xll.qlCalendarAdvance(Calendar,Y1301,NDays&amp;"D")</f>
        <v>48060</v>
      </c>
      <c r="AA1301" s="173">
        <v>2.4076700793763072E-2</v>
      </c>
      <c r="AB1301" s="182">
        <v>2.3979175054229529E-2</v>
      </c>
    </row>
    <row r="1302" spans="24:28" x14ac:dyDescent="0.2">
      <c r="X1302" s="186" t="str">
        <f t="shared" si="54"/>
        <v>1w</v>
      </c>
      <c r="Y1302" s="174">
        <f>_xll.qlCalendarAdvance(Calendar,Y1301,X1302,"f",FALSE)</f>
        <v>48065</v>
      </c>
      <c r="Z1302" s="198">
        <f>_xll.qlCalendarAdvance(Calendar,Y1302,NDays&amp;"D")</f>
        <v>48067</v>
      </c>
      <c r="AA1302" s="173">
        <v>2.4074284307490545E-2</v>
      </c>
      <c r="AB1302" s="182">
        <v>2.3975847139885431E-2</v>
      </c>
    </row>
    <row r="1303" spans="24:28" x14ac:dyDescent="0.2">
      <c r="X1303" s="186" t="str">
        <f t="shared" si="54"/>
        <v>1w</v>
      </c>
      <c r="Y1303" s="174">
        <f>_xll.qlCalendarAdvance(Calendar,Y1302,X1303,"f",FALSE)</f>
        <v>48072</v>
      </c>
      <c r="Z1303" s="198">
        <f>_xll.qlCalendarAdvance(Calendar,Y1303,NDays&amp;"D")</f>
        <v>48074</v>
      </c>
      <c r="AA1303" s="173">
        <v>2.4070298681268799E-2</v>
      </c>
      <c r="AB1303" s="182">
        <v>2.3972476380373919E-2</v>
      </c>
    </row>
    <row r="1304" spans="24:28" x14ac:dyDescent="0.2">
      <c r="X1304" s="186" t="str">
        <f t="shared" si="54"/>
        <v>1w</v>
      </c>
      <c r="Y1304" s="174">
        <f>_xll.qlCalendarAdvance(Calendar,Y1303,X1304,"f",FALSE)</f>
        <v>48079</v>
      </c>
      <c r="Z1304" s="198">
        <f>_xll.qlCalendarAdvance(Calendar,Y1304,NDays&amp;"D")</f>
        <v>48081</v>
      </c>
      <c r="AA1304" s="173">
        <v>2.4066269688207038E-2</v>
      </c>
      <c r="AB1304" s="182">
        <v>2.3969062775854866E-2</v>
      </c>
    </row>
    <row r="1305" spans="24:28" x14ac:dyDescent="0.2">
      <c r="X1305" s="186" t="str">
        <f t="shared" si="54"/>
        <v>1w</v>
      </c>
      <c r="Y1305" s="174">
        <f>_xll.qlCalendarAdvance(Calendar,Y1304,X1305,"f",FALSE)</f>
        <v>48086</v>
      </c>
      <c r="Z1305" s="198">
        <f>_xll.qlCalendarAdvance(Calendar,Y1305,NDays&amp;"D")</f>
        <v>48088</v>
      </c>
      <c r="AA1305" s="173">
        <v>2.4060711914783803E-2</v>
      </c>
      <c r="AB1305" s="182">
        <v>2.396560632632827E-2</v>
      </c>
    </row>
    <row r="1306" spans="24:28" x14ac:dyDescent="0.2">
      <c r="X1306" s="186" t="str">
        <f t="shared" si="54"/>
        <v>1w</v>
      </c>
      <c r="Y1306" s="174">
        <f>_xll.qlCalendarAdvance(Calendar,Y1305,X1306,"f",FALSE)</f>
        <v>48093</v>
      </c>
      <c r="Z1306" s="198">
        <f>_xll.qlCalendarAdvance(Calendar,Y1306,NDays&amp;"D")</f>
        <v>48095</v>
      </c>
      <c r="AA1306" s="173">
        <v>2.4056113931159688E-2</v>
      </c>
      <c r="AB1306" s="182">
        <v>2.3962107031634261E-2</v>
      </c>
    </row>
    <row r="1307" spans="24:28" x14ac:dyDescent="0.2">
      <c r="X1307" s="186" t="str">
        <f t="shared" si="54"/>
        <v>1w</v>
      </c>
      <c r="Y1307" s="174">
        <f>_xll.qlCalendarAdvance(Calendar,Y1306,X1307,"f",FALSE)</f>
        <v>48100</v>
      </c>
      <c r="Z1307" s="198">
        <f>_xll.qlCalendarAdvance(Calendar,Y1307,NDays&amp;"D")</f>
        <v>48102</v>
      </c>
      <c r="AA1307" s="173">
        <v>2.4051968330792085E-2</v>
      </c>
      <c r="AB1307" s="182">
        <v>2.3958564892012646E-2</v>
      </c>
    </row>
    <row r="1308" spans="24:28" x14ac:dyDescent="0.2">
      <c r="X1308" s="186" t="str">
        <f t="shared" si="54"/>
        <v>1w</v>
      </c>
      <c r="Y1308" s="174">
        <f>_xll.qlCalendarAdvance(Calendar,Y1307,X1308,"f",FALSE)</f>
        <v>48107</v>
      </c>
      <c r="Z1308" s="198">
        <f>_xll.qlCalendarAdvance(Calendar,Y1308,NDays&amp;"D")</f>
        <v>48109</v>
      </c>
      <c r="AA1308" s="173">
        <v>2.4047779375918121E-2</v>
      </c>
      <c r="AB1308" s="182">
        <v>2.3954979907223617E-2</v>
      </c>
    </row>
    <row r="1309" spans="24:28" x14ac:dyDescent="0.2">
      <c r="X1309" s="186" t="str">
        <f t="shared" si="54"/>
        <v>1w</v>
      </c>
      <c r="Y1309" s="174">
        <f>_xll.qlCalendarAdvance(Calendar,Y1308,X1309,"f",FALSE)</f>
        <v>48114</v>
      </c>
      <c r="Z1309" s="198">
        <f>_xll.qlCalendarAdvance(Calendar,Y1309,NDays&amp;"D")</f>
        <v>48116</v>
      </c>
      <c r="AA1309" s="173">
        <v>2.4043547066811426E-2</v>
      </c>
      <c r="AB1309" s="182">
        <v>2.3951352077427046E-2</v>
      </c>
    </row>
    <row r="1310" spans="24:28" x14ac:dyDescent="0.2">
      <c r="X1310" s="186" t="str">
        <f t="shared" si="54"/>
        <v>1w</v>
      </c>
      <c r="Y1310" s="174">
        <f>_xll.qlCalendarAdvance(Calendar,Y1309,X1310,"f",FALSE)</f>
        <v>48121</v>
      </c>
      <c r="Z1310" s="198">
        <f>_xll.qlCalendarAdvance(Calendar,Y1310,NDays&amp;"D")</f>
        <v>48123</v>
      </c>
      <c r="AA1310" s="173">
        <v>2.4039750266388177E-2</v>
      </c>
      <c r="AB1310" s="182">
        <v>2.3947681402622933E-2</v>
      </c>
    </row>
    <row r="1311" spans="24:28" x14ac:dyDescent="0.2">
      <c r="X1311" s="186" t="str">
        <f t="shared" si="54"/>
        <v>1w</v>
      </c>
      <c r="Y1311" s="174">
        <f>_xll.qlCalendarAdvance(Calendar,Y1310,X1311,"f",FALSE)</f>
        <v>48128</v>
      </c>
      <c r="Z1311" s="198">
        <f>_xll.qlCalendarAdvance(Calendar,Y1311,NDays&amp;"D")</f>
        <v>48130</v>
      </c>
      <c r="AA1311" s="173">
        <v>2.4035427866137559E-2</v>
      </c>
      <c r="AB1311" s="182">
        <v>2.3943967882731343E-2</v>
      </c>
    </row>
    <row r="1312" spans="24:28" x14ac:dyDescent="0.2">
      <c r="X1312" s="186" t="str">
        <f t="shared" si="54"/>
        <v>1w</v>
      </c>
      <c r="Y1312" s="174">
        <f>_xll.qlCalendarAdvance(Calendar,Y1311,X1312,"f",FALSE)</f>
        <v>48135</v>
      </c>
      <c r="Z1312" s="198">
        <f>_xll.qlCalendarAdvance(Calendar,Y1312,NDays&amp;"D")</f>
        <v>48137</v>
      </c>
      <c r="AA1312" s="173">
        <v>2.4031062109681756E-2</v>
      </c>
      <c r="AB1312" s="182">
        <v>2.3940211517752275E-2</v>
      </c>
    </row>
    <row r="1313" spans="24:28" x14ac:dyDescent="0.2">
      <c r="X1313" s="186" t="str">
        <f t="shared" si="54"/>
        <v>1w</v>
      </c>
      <c r="Y1313" s="174">
        <f>_xll.qlCalendarAdvance(Calendar,Y1312,X1313,"f",FALSE)</f>
        <v>48142</v>
      </c>
      <c r="Z1313" s="198">
        <f>_xll.qlCalendarAdvance(Calendar,Y1313,NDays&amp;"D")</f>
        <v>48144</v>
      </c>
      <c r="AA1313" s="173">
        <v>2.4026652997306008E-2</v>
      </c>
      <c r="AB1313" s="182">
        <v>2.39364123078456E-2</v>
      </c>
    </row>
    <row r="1314" spans="24:28" x14ac:dyDescent="0.2">
      <c r="X1314" s="186" t="str">
        <f t="shared" si="54"/>
        <v>1w</v>
      </c>
      <c r="Y1314" s="174">
        <f>_xll.qlCalendarAdvance(Calendar,Y1313,X1314,"f",FALSE)</f>
        <v>48149</v>
      </c>
      <c r="Z1314" s="198">
        <f>_xll.qlCalendarAdvance(Calendar,Y1314,NDays&amp;"D")</f>
        <v>48151</v>
      </c>
      <c r="AA1314" s="173">
        <v>2.4022200529298605E-2</v>
      </c>
      <c r="AB1314" s="182">
        <v>2.3932570252851448E-2</v>
      </c>
    </row>
    <row r="1315" spans="24:28" x14ac:dyDescent="0.2">
      <c r="X1315" s="186" t="str">
        <f t="shared" si="54"/>
        <v>1w</v>
      </c>
      <c r="Y1315" s="174">
        <f>_xll.qlCalendarAdvance(Calendar,Y1314,X1315,"f",FALSE)</f>
        <v>48156</v>
      </c>
      <c r="Z1315" s="198">
        <f>_xll.qlCalendarAdvance(Calendar,Y1315,NDays&amp;"D")</f>
        <v>48158</v>
      </c>
      <c r="AA1315" s="173">
        <v>2.4017242788860017E-2</v>
      </c>
      <c r="AB1315" s="182">
        <v>2.3928685352689882E-2</v>
      </c>
    </row>
    <row r="1316" spans="24:28" x14ac:dyDescent="0.2">
      <c r="X1316" s="186" t="str">
        <f t="shared" si="54"/>
        <v>1w</v>
      </c>
      <c r="Y1316" s="174">
        <f>_xll.qlCalendarAdvance(Calendar,Y1315,X1316,"f",FALSE)</f>
        <v>48163</v>
      </c>
      <c r="Z1316" s="198">
        <f>_xll.qlCalendarAdvance(Calendar,Y1316,NDays&amp;"D")</f>
        <v>48165</v>
      </c>
      <c r="AA1316" s="173">
        <v>2.4012707007975066E-2</v>
      </c>
      <c r="AB1316" s="182">
        <v>2.3924757607600711E-2</v>
      </c>
    </row>
    <row r="1317" spans="24:28" x14ac:dyDescent="0.2">
      <c r="X1317" s="186" t="str">
        <f t="shared" si="54"/>
        <v>1w</v>
      </c>
      <c r="Y1317" s="174">
        <f>_xll.qlCalendarAdvance(Calendar,Y1316,X1317,"f",FALSE)</f>
        <v>48170</v>
      </c>
      <c r="Z1317" s="198">
        <f>_xll.qlCalendarAdvance(Calendar,Y1317,NDays&amp;"D")</f>
        <v>48172</v>
      </c>
      <c r="AA1317" s="173">
        <v>2.4008127875135562E-2</v>
      </c>
      <c r="AB1317" s="182">
        <v>2.3920787017503997E-2</v>
      </c>
    </row>
    <row r="1318" spans="24:28" x14ac:dyDescent="0.2">
      <c r="X1318" s="186" t="str">
        <f t="shared" si="54"/>
        <v>1w</v>
      </c>
      <c r="Y1318" s="174">
        <f>_xll.qlCalendarAdvance(Calendar,Y1317,X1318,"f",FALSE)</f>
        <v>48177</v>
      </c>
      <c r="Z1318" s="198">
        <f>_xll.qlCalendarAdvance(Calendar,Y1318,NDays&amp;"D")</f>
        <v>48179</v>
      </c>
      <c r="AA1318" s="173">
        <v>2.4003505390638849E-2</v>
      </c>
      <c r="AB1318" s="182">
        <v>2.3916773582319806E-2</v>
      </c>
    </row>
    <row r="1319" spans="24:28" x14ac:dyDescent="0.2">
      <c r="X1319" s="186" t="str">
        <f t="shared" si="54"/>
        <v>1w</v>
      </c>
      <c r="Y1319" s="174">
        <f>_xll.qlCalendarAdvance(Calendar,Y1318,X1319,"f",FALSE)</f>
        <v>48184</v>
      </c>
      <c r="Z1319" s="198">
        <f>_xll.qlCalendarAdvance(Calendar,Y1319,NDays&amp;"D")</f>
        <v>48186</v>
      </c>
      <c r="AA1319" s="173">
        <v>2.3999287865064476E-2</v>
      </c>
      <c r="AB1319" s="182">
        <v>2.3912717302128073E-2</v>
      </c>
    </row>
    <row r="1320" spans="24:28" x14ac:dyDescent="0.2">
      <c r="X1320" s="186" t="str">
        <f t="shared" si="54"/>
        <v>1w</v>
      </c>
      <c r="Y1320" s="174">
        <f>_xll.qlCalendarAdvance(Calendar,Y1319,X1320,"f",FALSE)</f>
        <v>48191</v>
      </c>
      <c r="Z1320" s="198">
        <f>_xll.qlCalendarAdvance(Calendar,Y1320,NDays&amp;"D")</f>
        <v>48193</v>
      </c>
      <c r="AA1320" s="173">
        <v>2.3994575269474648E-2</v>
      </c>
      <c r="AB1320" s="182">
        <v>2.3908618176928798E-2</v>
      </c>
    </row>
    <row r="1321" spans="24:28" x14ac:dyDescent="0.2">
      <c r="X1321" s="186" t="str">
        <f t="shared" si="54"/>
        <v>1w</v>
      </c>
      <c r="Y1321" s="174">
        <f>_xll.qlCalendarAdvance(Calendar,Y1320,X1321,"f",FALSE)</f>
        <v>48198</v>
      </c>
      <c r="Z1321" s="198">
        <f>_xll.qlCalendarAdvance(Calendar,Y1321,NDays&amp;"D")</f>
        <v>48200</v>
      </c>
      <c r="AA1321" s="173">
        <v>2.3989819320347668E-2</v>
      </c>
      <c r="AB1321" s="182">
        <v>2.3904476206562109E-2</v>
      </c>
    </row>
    <row r="1322" spans="24:28" x14ac:dyDescent="0.2">
      <c r="X1322" s="186" t="str">
        <f t="shared" si="54"/>
        <v>1w</v>
      </c>
      <c r="Y1322" s="174">
        <f>_xll.qlCalendarAdvance(Calendar,Y1321,X1322,"f",FALSE)</f>
        <v>48205</v>
      </c>
      <c r="Z1322" s="198">
        <f>_xll.qlCalendarAdvance(Calendar,Y1322,NDays&amp;"D")</f>
        <v>48211</v>
      </c>
      <c r="AA1322" s="173">
        <v>2.3982258094916539E-2</v>
      </c>
      <c r="AB1322" s="182">
        <v>2.3897880831755813E-2</v>
      </c>
    </row>
    <row r="1323" spans="24:28" x14ac:dyDescent="0.2">
      <c r="X1323" s="186" t="str">
        <f t="shared" si="54"/>
        <v>1w</v>
      </c>
      <c r="Y1323" s="174">
        <f>_xll.qlCalendarAdvance(Calendar,Y1322,X1323,"f",FALSE)</f>
        <v>48212</v>
      </c>
      <c r="Z1323" s="198">
        <f>_xll.qlCalendarAdvance(Calendar,Y1323,NDays&amp;"D")</f>
        <v>48215</v>
      </c>
      <c r="AA1323" s="173">
        <v>2.3979047845390025E-2</v>
      </c>
      <c r="AB1323" s="182">
        <v>2.3896433712531362E-2</v>
      </c>
    </row>
    <row r="1324" spans="24:28" x14ac:dyDescent="0.2">
      <c r="X1324" s="186" t="str">
        <f t="shared" si="54"/>
        <v>1w</v>
      </c>
      <c r="Y1324" s="174">
        <f>_xll.qlCalendarAdvance(Calendar,Y1323,X1324,"f",FALSE)</f>
        <v>48219</v>
      </c>
      <c r="Z1324" s="198">
        <f>_xll.qlCalendarAdvance(Calendar,Y1324,NDays&amp;"D")</f>
        <v>48221</v>
      </c>
      <c r="AA1324" s="173">
        <v>2.3974860115868187E-2</v>
      </c>
      <c r="AB1324" s="182">
        <v>2.3891793225576663E-2</v>
      </c>
    </row>
    <row r="1325" spans="24:28" x14ac:dyDescent="0.2">
      <c r="X1325" s="186" t="str">
        <f t="shared" si="54"/>
        <v>1w</v>
      </c>
      <c r="Y1325" s="174">
        <f>_xll.qlCalendarAdvance(Calendar,Y1324,X1325,"f",FALSE)</f>
        <v>48226</v>
      </c>
      <c r="Z1325" s="198">
        <f>_xll.qlCalendarAdvance(Calendar,Y1325,NDays&amp;"D")</f>
        <v>48228</v>
      </c>
      <c r="AA1325" s="173">
        <v>2.3969934178336469E-2</v>
      </c>
      <c r="AB1325" s="182">
        <v>2.3887479875179807E-2</v>
      </c>
    </row>
    <row r="1326" spans="24:28" x14ac:dyDescent="0.2">
      <c r="X1326" s="186" t="str">
        <f t="shared" si="54"/>
        <v>1w</v>
      </c>
      <c r="Y1326" s="174">
        <f>_xll.qlCalendarAdvance(Calendar,Y1325,X1326,"f",FALSE)</f>
        <v>48233</v>
      </c>
      <c r="Z1326" s="198">
        <f>_xll.qlCalendarAdvance(Calendar,Y1326,NDays&amp;"D")</f>
        <v>48235</v>
      </c>
      <c r="AA1326" s="173">
        <v>2.3964964891629508E-2</v>
      </c>
      <c r="AB1326" s="182">
        <v>2.3883123679695473E-2</v>
      </c>
    </row>
    <row r="1327" spans="24:28" x14ac:dyDescent="0.2">
      <c r="X1327" s="186" t="str">
        <f t="shared" si="54"/>
        <v>1w</v>
      </c>
      <c r="Y1327" s="174">
        <f>_xll.qlCalendarAdvance(Calendar,Y1326,X1327,"f",FALSE)</f>
        <v>48240</v>
      </c>
      <c r="Z1327" s="198">
        <f>_xll.qlCalendarAdvance(Calendar,Y1327,NDays&amp;"D")</f>
        <v>48242</v>
      </c>
      <c r="AA1327" s="173">
        <v>2.3959952256069252E-2</v>
      </c>
      <c r="AB1327" s="182">
        <v>2.3878724639283533E-2</v>
      </c>
    </row>
    <row r="1328" spans="24:28" x14ac:dyDescent="0.2">
      <c r="X1328" s="186" t="str">
        <f t="shared" si="54"/>
        <v>1w</v>
      </c>
      <c r="Y1328" s="174">
        <f>_xll.qlCalendarAdvance(Calendar,Y1327,X1328,"f",FALSE)</f>
        <v>48247</v>
      </c>
      <c r="Z1328" s="198">
        <f>_xll.qlCalendarAdvance(Calendar,Y1328,NDays&amp;"D")</f>
        <v>48249</v>
      </c>
      <c r="AA1328" s="173">
        <v>2.395489627198159E-2</v>
      </c>
      <c r="AB1328" s="182">
        <v>2.3874282753784115E-2</v>
      </c>
    </row>
    <row r="1329" spans="24:28" x14ac:dyDescent="0.2">
      <c r="X1329" s="186" t="str">
        <f t="shared" si="54"/>
        <v>1w</v>
      </c>
      <c r="Y1329" s="174">
        <f>_xll.qlCalendarAdvance(Calendar,Y1328,X1329,"f",FALSE)</f>
        <v>48254</v>
      </c>
      <c r="Z1329" s="198">
        <f>_xll.qlCalendarAdvance(Calendar,Y1329,NDays&amp;"D")</f>
        <v>48256</v>
      </c>
      <c r="AA1329" s="173">
        <v>2.3949796939695928E-2</v>
      </c>
      <c r="AB1329" s="182">
        <v>2.3869798023357092E-2</v>
      </c>
    </row>
    <row r="1330" spans="24:28" x14ac:dyDescent="0.2">
      <c r="X1330" s="186" t="str">
        <f t="shared" si="54"/>
        <v>1w</v>
      </c>
      <c r="Y1330" s="174">
        <f>_xll.qlCalendarAdvance(Calendar,Y1329,X1330,"f",FALSE)</f>
        <v>48261</v>
      </c>
      <c r="Z1330" s="198">
        <f>_xll.qlCalendarAdvance(Calendar,Y1330,NDays&amp;"D")</f>
        <v>48263</v>
      </c>
      <c r="AA1330" s="173">
        <v>2.3944654259541676E-2</v>
      </c>
      <c r="AB1330" s="182">
        <v>2.386527044784259E-2</v>
      </c>
    </row>
    <row r="1331" spans="24:28" x14ac:dyDescent="0.2">
      <c r="X1331" s="186" t="str">
        <f t="shared" si="54"/>
        <v>1w</v>
      </c>
      <c r="Y1331" s="174">
        <f>_xll.qlCalendarAdvance(Calendar,Y1330,X1331,"f",FALSE)</f>
        <v>48268</v>
      </c>
      <c r="Z1331" s="198">
        <f>_xll.qlCalendarAdvance(Calendar,Y1331,NDays&amp;"D")</f>
        <v>48270</v>
      </c>
      <c r="AA1331" s="173">
        <v>2.3939468231854829E-2</v>
      </c>
      <c r="AB1331" s="182">
        <v>2.3860700027240611E-2</v>
      </c>
    </row>
    <row r="1332" spans="24:28" x14ac:dyDescent="0.2">
      <c r="X1332" s="186" t="str">
        <f t="shared" si="54"/>
        <v>1w</v>
      </c>
      <c r="Y1332" s="174">
        <f>_xll.qlCalendarAdvance(Calendar,Y1331,X1332,"f",FALSE)</f>
        <v>48275</v>
      </c>
      <c r="Z1332" s="198">
        <f>_xll.qlCalendarAdvance(Calendar,Y1332,NDays&amp;"D")</f>
        <v>48277</v>
      </c>
      <c r="AA1332" s="173">
        <v>2.3935852110532545E-2</v>
      </c>
      <c r="AB1332" s="182">
        <v>2.3856086761711026E-2</v>
      </c>
    </row>
    <row r="1333" spans="24:28" x14ac:dyDescent="0.2">
      <c r="X1333" s="186" t="str">
        <f t="shared" si="54"/>
        <v>1w</v>
      </c>
      <c r="Y1333" s="174">
        <f>_xll.qlCalendarAdvance(Calendar,Y1332,X1333,"f",FALSE)</f>
        <v>48282</v>
      </c>
      <c r="Z1333" s="198">
        <f>_xll.qlCalendarAdvance(Calendar,Y1333,NDays&amp;"D")</f>
        <v>48284</v>
      </c>
      <c r="AA1333" s="173">
        <v>2.3930565607176612E-2</v>
      </c>
      <c r="AB1333" s="182">
        <v>2.3851430651173899E-2</v>
      </c>
    </row>
    <row r="1334" spans="24:28" x14ac:dyDescent="0.2">
      <c r="X1334" s="186" t="str">
        <f t="shared" si="54"/>
        <v>1w</v>
      </c>
      <c r="Y1334" s="174">
        <f>_xll.qlCalendarAdvance(Calendar,Y1333,X1334,"f",FALSE)</f>
        <v>48289</v>
      </c>
      <c r="Z1334" s="198">
        <f>_xll.qlCalendarAdvance(Calendar,Y1334,NDays&amp;"D")</f>
        <v>48291</v>
      </c>
      <c r="AA1334" s="173">
        <v>2.3925235746259266E-2</v>
      </c>
      <c r="AB1334" s="182">
        <v>2.3846731695629231E-2</v>
      </c>
    </row>
    <row r="1335" spans="24:28" x14ac:dyDescent="0.2">
      <c r="X1335" s="186" t="str">
        <f t="shared" si="54"/>
        <v>1w</v>
      </c>
      <c r="Y1335" s="174">
        <f>_xll.qlCalendarAdvance(Calendar,Y1334,X1335,"f",FALSE)</f>
        <v>48296</v>
      </c>
      <c r="Z1335" s="198">
        <f>_xll.qlCalendarAdvance(Calendar,Y1335,NDays&amp;"D")</f>
        <v>48298</v>
      </c>
      <c r="AA1335" s="173">
        <v>2.3919862528133776E-2</v>
      </c>
      <c r="AB1335" s="182">
        <v>2.3843784201556417E-2</v>
      </c>
    </row>
    <row r="1336" spans="24:28" x14ac:dyDescent="0.2">
      <c r="X1336" s="186" t="str">
        <f t="shared" si="54"/>
        <v>1w</v>
      </c>
      <c r="Y1336" s="174">
        <f>_xll.qlCalendarAdvance(Calendar,Y1335,X1336,"f",FALSE)</f>
        <v>48303</v>
      </c>
      <c r="Z1336" s="198">
        <f>_xll.qlCalendarAdvance(Calendar,Y1336,NDays&amp;"D")</f>
        <v>48305</v>
      </c>
      <c r="AA1336" s="173">
        <v>2.39132778771287E-2</v>
      </c>
      <c r="AB1336" s="182">
        <v>2.3837205249357396E-2</v>
      </c>
    </row>
    <row r="1337" spans="24:28" x14ac:dyDescent="0.2">
      <c r="X1337" s="186" t="str">
        <f t="shared" si="54"/>
        <v>1w</v>
      </c>
      <c r="Y1337" s="174">
        <f>_xll.qlCalendarAdvance(Calendar,Y1336,X1337,"f",FALSE)</f>
        <v>48310</v>
      </c>
      <c r="Z1337" s="198">
        <f>_xll.qlCalendarAdvance(Calendar,Y1337,NDays&amp;"D")</f>
        <v>48312</v>
      </c>
      <c r="AA1337" s="173">
        <v>2.3907828315604913E-2</v>
      </c>
      <c r="AB1337" s="182">
        <v>2.3832377758790102E-2</v>
      </c>
    </row>
    <row r="1338" spans="24:28" x14ac:dyDescent="0.2">
      <c r="X1338" s="186" t="str">
        <f t="shared" si="54"/>
        <v>1w</v>
      </c>
      <c r="Y1338" s="174">
        <f>_xll.qlCalendarAdvance(Calendar,Y1337,X1338,"f",FALSE)</f>
        <v>48317</v>
      </c>
      <c r="Z1338" s="198">
        <f>_xll.qlCalendarAdvance(Calendar,Y1338,NDays&amp;"D")</f>
        <v>48319</v>
      </c>
      <c r="AA1338" s="173">
        <v>2.3902335406211565E-2</v>
      </c>
      <c r="AB1338" s="182">
        <v>2.3827507423215266E-2</v>
      </c>
    </row>
    <row r="1339" spans="24:28" x14ac:dyDescent="0.2">
      <c r="X1339" s="186" t="str">
        <f t="shared" si="54"/>
        <v>1w</v>
      </c>
      <c r="Y1339" s="174">
        <f>_xll.qlCalendarAdvance(Calendar,Y1338,X1339,"f",FALSE)</f>
        <v>48324</v>
      </c>
      <c r="Z1339" s="198">
        <f>_xll.qlCalendarAdvance(Calendar,Y1339,NDays&amp;"D")</f>
        <v>48326</v>
      </c>
      <c r="AA1339" s="173">
        <v>2.3896799149308159E-2</v>
      </c>
      <c r="AB1339" s="182">
        <v>2.3822594242552952E-2</v>
      </c>
    </row>
    <row r="1340" spans="24:28" x14ac:dyDescent="0.2">
      <c r="X1340" s="186" t="str">
        <f t="shared" si="54"/>
        <v>1w</v>
      </c>
      <c r="Y1340" s="174">
        <f>_xll.qlCalendarAdvance(Calendar,Y1339,X1340,"f",FALSE)</f>
        <v>48331</v>
      </c>
      <c r="Z1340" s="198">
        <f>_xll.qlCalendarAdvance(Calendar,Y1340,NDays&amp;"D")</f>
        <v>48333</v>
      </c>
      <c r="AA1340" s="173">
        <v>2.3891219545256366E-2</v>
      </c>
      <c r="AB1340" s="182">
        <v>2.3817638217042969E-2</v>
      </c>
    </row>
    <row r="1341" spans="24:28" x14ac:dyDescent="0.2">
      <c r="X1341" s="186" t="str">
        <f t="shared" si="54"/>
        <v>1w</v>
      </c>
      <c r="Y1341" s="174">
        <f>_xll.qlCalendarAdvance(Calendar,Y1340,X1341,"f",FALSE)</f>
        <v>48338</v>
      </c>
      <c r="Z1341" s="198">
        <f>_xll.qlCalendarAdvance(Calendar,Y1341,NDays&amp;"D")</f>
        <v>48340</v>
      </c>
      <c r="AA1341" s="173">
        <v>2.388671273819748E-2</v>
      </c>
      <c r="AB1341" s="182">
        <v>2.3812639346365572E-2</v>
      </c>
    </row>
    <row r="1342" spans="24:28" x14ac:dyDescent="0.2">
      <c r="X1342" s="186" t="str">
        <f t="shared" si="54"/>
        <v>1w</v>
      </c>
      <c r="Y1342" s="174">
        <f>_xll.qlCalendarAdvance(Calendar,Y1341,X1342,"f",FALSE)</f>
        <v>48345</v>
      </c>
      <c r="Z1342" s="198">
        <f>_xll.qlCalendarAdvance(Calendar,Y1342,NDays&amp;"D")</f>
        <v>48347</v>
      </c>
      <c r="AA1342" s="173">
        <v>2.3881036029768134E-2</v>
      </c>
      <c r="AB1342" s="182">
        <v>2.3807597630760569E-2</v>
      </c>
    </row>
    <row r="1343" spans="24:28" x14ac:dyDescent="0.2">
      <c r="X1343" s="186" t="str">
        <f t="shared" si="54"/>
        <v>1w</v>
      </c>
      <c r="Y1343" s="174">
        <f>_xll.qlCalendarAdvance(Calendar,Y1342,X1343,"f",FALSE)</f>
        <v>48352</v>
      </c>
      <c r="Z1343" s="198">
        <f>_xll.qlCalendarAdvance(Calendar,Y1343,NDays&amp;"D")</f>
        <v>48354</v>
      </c>
      <c r="AA1343" s="173">
        <v>2.3875315967065495E-2</v>
      </c>
      <c r="AB1343" s="182">
        <v>2.3802513070068088E-2</v>
      </c>
    </row>
    <row r="1344" spans="24:28" x14ac:dyDescent="0.2">
      <c r="X1344" s="186" t="str">
        <f t="shared" si="54"/>
        <v>1w</v>
      </c>
      <c r="Y1344" s="174">
        <f>_xll.qlCalendarAdvance(Calendar,Y1343,X1344,"f",FALSE)</f>
        <v>48359</v>
      </c>
      <c r="Z1344" s="198">
        <f>_xll.qlCalendarAdvance(Calendar,Y1344,NDays&amp;"D")</f>
        <v>48361</v>
      </c>
      <c r="AA1344" s="173">
        <v>2.3869552550469481E-2</v>
      </c>
      <c r="AB1344" s="182">
        <v>2.3797385664527937E-2</v>
      </c>
    </row>
    <row r="1345" spans="24:28" x14ac:dyDescent="0.2">
      <c r="X1345" s="186" t="str">
        <f t="shared" si="54"/>
        <v>1w</v>
      </c>
      <c r="Y1345" s="174">
        <f>_xll.qlCalendarAdvance(Calendar,Y1344,X1345,"f",FALSE)</f>
        <v>48366</v>
      </c>
      <c r="Z1345" s="198">
        <f>_xll.qlCalendarAdvance(Calendar,Y1345,NDays&amp;"D")</f>
        <v>48368</v>
      </c>
      <c r="AA1345" s="173">
        <v>2.3862671330622129E-2</v>
      </c>
      <c r="AB1345" s="182">
        <v>2.3792215413900308E-2</v>
      </c>
    </row>
    <row r="1346" spans="24:28" x14ac:dyDescent="0.2">
      <c r="X1346" s="186" t="str">
        <f t="shared" si="54"/>
        <v>1w</v>
      </c>
      <c r="Y1346" s="174">
        <f>_xll.qlCalendarAdvance(Calendar,Y1345,X1346,"f",FALSE)</f>
        <v>48373</v>
      </c>
      <c r="Z1346" s="198">
        <f>_xll.qlCalendarAdvance(Calendar,Y1346,NDays&amp;"D")</f>
        <v>48375</v>
      </c>
      <c r="AA1346" s="173">
        <v>2.3856831651431643E-2</v>
      </c>
      <c r="AB1346" s="182">
        <v>2.3787002318345074E-2</v>
      </c>
    </row>
    <row r="1347" spans="24:28" x14ac:dyDescent="0.2">
      <c r="X1347" s="186" t="str">
        <f t="shared" si="54"/>
        <v>1w</v>
      </c>
      <c r="Y1347" s="174">
        <f>_xll.qlCalendarAdvance(Calendar,Y1346,X1347,"f",FALSE)</f>
        <v>48380</v>
      </c>
      <c r="Z1347" s="198">
        <f>_xll.qlCalendarAdvance(Calendar,Y1347,NDays&amp;"D")</f>
        <v>48382</v>
      </c>
      <c r="AA1347" s="173">
        <v>2.3850948627703147E-2</v>
      </c>
      <c r="AB1347" s="182">
        <v>2.3781746377702362E-2</v>
      </c>
    </row>
    <row r="1348" spans="24:28" x14ac:dyDescent="0.2">
      <c r="X1348" s="186" t="str">
        <f t="shared" si="54"/>
        <v>1w</v>
      </c>
      <c r="Y1348" s="174">
        <f>_xll.qlCalendarAdvance(Calendar,Y1347,X1348,"f",FALSE)</f>
        <v>48387</v>
      </c>
      <c r="Z1348" s="198">
        <f>_xll.qlCalendarAdvance(Calendar,Y1348,NDays&amp;"D")</f>
        <v>48389</v>
      </c>
      <c r="AA1348" s="173">
        <v>2.3845022259821463E-2</v>
      </c>
      <c r="AB1348" s="182">
        <v>2.3776447592132044E-2</v>
      </c>
    </row>
    <row r="1349" spans="24:28" x14ac:dyDescent="0.2">
      <c r="X1349" s="186" t="str">
        <f t="shared" si="54"/>
        <v>1w</v>
      </c>
      <c r="Y1349" s="174">
        <f>_xll.qlCalendarAdvance(Calendar,Y1348,X1349,"f",FALSE)</f>
        <v>48394</v>
      </c>
      <c r="Z1349" s="198">
        <f>_xll.qlCalendarAdvance(Calendar,Y1349,NDays&amp;"D")</f>
        <v>48396</v>
      </c>
      <c r="AA1349" s="173">
        <v>2.384008517258589E-2</v>
      </c>
      <c r="AB1349" s="182">
        <v>2.3771105961554184E-2</v>
      </c>
    </row>
    <row r="1350" spans="24:28" x14ac:dyDescent="0.2">
      <c r="X1350" s="186" t="str">
        <f t="shared" si="54"/>
        <v>1w</v>
      </c>
      <c r="Y1350" s="174">
        <f>_xll.qlCalendarAdvance(Calendar,Y1349,X1350,"f",FALSE)</f>
        <v>48401</v>
      </c>
      <c r="Z1350" s="198">
        <f>_xll.qlCalendarAdvance(Calendar,Y1350,NDays&amp;"D")</f>
        <v>48403</v>
      </c>
      <c r="AA1350" s="173">
        <v>2.3834061640767179E-2</v>
      </c>
      <c r="AB1350" s="182">
        <v>2.3765721486048719E-2</v>
      </c>
    </row>
    <row r="1351" spans="24:28" x14ac:dyDescent="0.2">
      <c r="X1351" s="186" t="str">
        <f t="shared" si="54"/>
        <v>1w</v>
      </c>
      <c r="Y1351" s="174">
        <f>_xll.qlCalendarAdvance(Calendar,Y1350,X1351,"f",FALSE)</f>
        <v>48408</v>
      </c>
      <c r="Z1351" s="198">
        <f>_xll.qlCalendarAdvance(Calendar,Y1351,NDays&amp;"D")</f>
        <v>48410</v>
      </c>
      <c r="AA1351" s="173">
        <v>2.3827994757794405E-2</v>
      </c>
      <c r="AB1351" s="182">
        <v>2.3760294165535711E-2</v>
      </c>
    </row>
    <row r="1352" spans="24:28" x14ac:dyDescent="0.2">
      <c r="X1352" s="186" t="str">
        <f t="shared" si="54"/>
        <v>1w</v>
      </c>
      <c r="Y1352" s="174">
        <f>_xll.qlCalendarAdvance(Calendar,Y1351,X1352,"f",FALSE)</f>
        <v>48415</v>
      </c>
      <c r="Z1352" s="198">
        <f>_xll.qlCalendarAdvance(Calendar,Y1352,NDays&amp;"D")</f>
        <v>48417</v>
      </c>
      <c r="AA1352" s="173">
        <v>2.3821884524069827E-2</v>
      </c>
      <c r="AB1352" s="182">
        <v>2.3754823999935226E-2</v>
      </c>
    </row>
    <row r="1353" spans="24:28" x14ac:dyDescent="0.2">
      <c r="X1353" s="186" t="str">
        <f t="shared" si="54"/>
        <v>1w</v>
      </c>
      <c r="Y1353" s="174">
        <f>_xll.qlCalendarAdvance(Calendar,Y1352,X1353,"f",FALSE)</f>
        <v>48422</v>
      </c>
      <c r="Z1353" s="198">
        <f>_xll.qlCalendarAdvance(Calendar,Y1353,NDays&amp;"D")</f>
        <v>48424</v>
      </c>
      <c r="AA1353" s="173">
        <v>2.3815730939999998E-2</v>
      </c>
      <c r="AB1353" s="182">
        <v>2.3749310989487071E-2</v>
      </c>
    </row>
    <row r="1354" spans="24:28" x14ac:dyDescent="0.2">
      <c r="X1354" s="186" t="str">
        <f t="shared" si="54"/>
        <v>1w</v>
      </c>
      <c r="Y1354" s="174">
        <f>_xll.qlCalendarAdvance(Calendar,Y1353,X1354,"f",FALSE)</f>
        <v>48429</v>
      </c>
      <c r="Z1354" s="198">
        <f>_xll.qlCalendarAdvance(Calendar,Y1354,NDays&amp;"D")</f>
        <v>48431</v>
      </c>
      <c r="AA1354" s="173">
        <v>2.3809534005993199E-2</v>
      </c>
      <c r="AB1354" s="182">
        <v>2.3743755134031375E-2</v>
      </c>
    </row>
    <row r="1355" spans="24:28" x14ac:dyDescent="0.2">
      <c r="X1355" s="186" t="str">
        <f t="shared" si="54"/>
        <v>1w</v>
      </c>
      <c r="Y1355" s="174">
        <f>_xll.qlCalendarAdvance(Calendar,Y1354,X1355,"f",FALSE)</f>
        <v>48436</v>
      </c>
      <c r="Z1355" s="198">
        <f>_xll.qlCalendarAdvance(Calendar,Y1355,NDays&amp;"D")</f>
        <v>48438</v>
      </c>
      <c r="AA1355" s="173">
        <v>2.3803293722461136E-2</v>
      </c>
      <c r="AB1355" s="182">
        <v>2.3738156433568136E-2</v>
      </c>
    </row>
    <row r="1356" spans="24:28" x14ac:dyDescent="0.2">
      <c r="X1356" s="186" t="str">
        <f t="shared" si="54"/>
        <v>1w</v>
      </c>
      <c r="Y1356" s="174">
        <f>_xll.qlCalendarAdvance(Calendar,Y1355,X1356,"f",FALSE)</f>
        <v>48443</v>
      </c>
      <c r="Z1356" s="198">
        <f>_xll.qlCalendarAdvance(Calendar,Y1356,NDays&amp;"D")</f>
        <v>48445</v>
      </c>
      <c r="AA1356" s="173">
        <v>2.3797010089817678E-2</v>
      </c>
      <c r="AB1356" s="182">
        <v>2.3732514888177292E-2</v>
      </c>
    </row>
    <row r="1357" spans="24:28" x14ac:dyDescent="0.2">
      <c r="X1357" s="186" t="str">
        <f t="shared" si="54"/>
        <v>1w</v>
      </c>
      <c r="Y1357" s="174">
        <f>_xll.qlCalendarAdvance(Calendar,Y1356,X1357,"f",FALSE)</f>
        <v>48450</v>
      </c>
      <c r="Z1357" s="198">
        <f>_xll.qlCalendarAdvance(Calendar,Y1357,NDays&amp;"D")</f>
        <v>48452</v>
      </c>
      <c r="AA1357" s="173">
        <v>2.3790683108479694E-2</v>
      </c>
      <c r="AB1357" s="182">
        <v>2.3726830497778906E-2</v>
      </c>
    </row>
    <row r="1358" spans="24:28" x14ac:dyDescent="0.2">
      <c r="X1358" s="186" t="str">
        <f t="shared" si="54"/>
        <v>1w</v>
      </c>
      <c r="Y1358" s="174">
        <f>_xll.qlCalendarAdvance(Calendar,Y1357,X1358,"f",FALSE)</f>
        <v>48457</v>
      </c>
      <c r="Z1358" s="198">
        <f>_xll.qlCalendarAdvance(Calendar,Y1358,NDays&amp;"D")</f>
        <v>48459</v>
      </c>
      <c r="AA1358" s="173">
        <v>2.3782747768197308E-2</v>
      </c>
      <c r="AB1358" s="182">
        <v>2.3721103262452914E-2</v>
      </c>
    </row>
    <row r="1359" spans="24:28" x14ac:dyDescent="0.2">
      <c r="X1359" s="186" t="str">
        <f t="shared" si="54"/>
        <v>1w</v>
      </c>
      <c r="Y1359" s="174">
        <f>_xll.qlCalendarAdvance(Calendar,Y1358,X1359,"f",FALSE)</f>
        <v>48464</v>
      </c>
      <c r="Z1359" s="198">
        <f>_xll.qlCalendarAdvance(Calendar,Y1359,NDays&amp;"D")</f>
        <v>48466</v>
      </c>
      <c r="AA1359" s="173">
        <v>2.3776351672104765E-2</v>
      </c>
      <c r="AB1359" s="182">
        <v>2.371533318211938E-2</v>
      </c>
    </row>
    <row r="1360" spans="24:28" x14ac:dyDescent="0.2">
      <c r="X1360" s="186" t="str">
        <f t="shared" si="54"/>
        <v>1w</v>
      </c>
      <c r="Y1360" s="174">
        <f>_xll.qlCalendarAdvance(Calendar,Y1359,X1360,"f",FALSE)</f>
        <v>48471</v>
      </c>
      <c r="Z1360" s="198">
        <f>_xll.qlCalendarAdvance(Calendar,Y1360,NDays&amp;"D")</f>
        <v>48473</v>
      </c>
      <c r="AA1360" s="173">
        <v>2.3769912242095435E-2</v>
      </c>
      <c r="AB1360" s="182">
        <v>2.3709520256858241E-2</v>
      </c>
    </row>
    <row r="1361" spans="24:28" x14ac:dyDescent="0.2">
      <c r="X1361" s="186" t="str">
        <f t="shared" si="54"/>
        <v>1w</v>
      </c>
      <c r="Y1361" s="174">
        <f>_xll.qlCalendarAdvance(Calendar,Y1360,X1361,"f",FALSE)</f>
        <v>48478</v>
      </c>
      <c r="Z1361" s="198">
        <f>_xll.qlCalendarAdvance(Calendar,Y1361,NDays&amp;"D")</f>
        <v>48480</v>
      </c>
      <c r="AA1361" s="173">
        <v>2.3763429478584456E-2</v>
      </c>
      <c r="AB1361" s="182">
        <v>2.3703664486509624E-2</v>
      </c>
    </row>
    <row r="1362" spans="24:28" x14ac:dyDescent="0.2">
      <c r="X1362" s="186" t="str">
        <f t="shared" si="54"/>
        <v>1w</v>
      </c>
      <c r="Y1362" s="174">
        <f>_xll.qlCalendarAdvance(Calendar,Y1361,X1362,"f",FALSE)</f>
        <v>48485</v>
      </c>
      <c r="Z1362" s="198">
        <f>_xll.qlCalendarAdvance(Calendar,Y1362,NDays&amp;"D")</f>
        <v>48487</v>
      </c>
      <c r="AA1362" s="173">
        <v>2.3757202950558973E-2</v>
      </c>
      <c r="AB1362" s="182">
        <v>2.3697765871393273E-2</v>
      </c>
    </row>
    <row r="1363" spans="24:28" x14ac:dyDescent="0.2">
      <c r="X1363" s="186" t="str">
        <f t="shared" si="54"/>
        <v>1w</v>
      </c>
      <c r="Y1363" s="174">
        <f>_xll.qlCalendarAdvance(Calendar,Y1362,X1363,"f",FALSE)</f>
        <v>48492</v>
      </c>
      <c r="Z1363" s="198">
        <f>_xll.qlCalendarAdvance(Calendar,Y1363,NDays&amp;"D")</f>
        <v>48494</v>
      </c>
      <c r="AA1363" s="173">
        <v>2.3750629995069193E-2</v>
      </c>
      <c r="AB1363" s="182">
        <v>2.369182441126938E-2</v>
      </c>
    </row>
    <row r="1364" spans="24:28" x14ac:dyDescent="0.2">
      <c r="X1364" s="186" t="str">
        <f t="shared" si="54"/>
        <v>1w</v>
      </c>
      <c r="Y1364" s="174">
        <f>_xll.qlCalendarAdvance(Calendar,Y1363,X1364,"f",FALSE)</f>
        <v>48499</v>
      </c>
      <c r="Z1364" s="198">
        <f>_xll.qlCalendarAdvance(Calendar,Y1364,NDays&amp;"D")</f>
        <v>48501</v>
      </c>
      <c r="AA1364" s="173">
        <v>2.3744013704651675E-2</v>
      </c>
      <c r="AB1364" s="182">
        <v>2.3685840106137945E-2</v>
      </c>
    </row>
    <row r="1365" spans="24:28" x14ac:dyDescent="0.2">
      <c r="X1365" s="186" t="str">
        <f t="shared" ref="X1365:X1428" si="55">X1364</f>
        <v>1w</v>
      </c>
      <c r="Y1365" s="174">
        <f>_xll.qlCalendarAdvance(Calendar,Y1364,X1365,"f",FALSE)</f>
        <v>48506</v>
      </c>
      <c r="Z1365" s="198">
        <f>_xll.qlCalendarAdvance(Calendar,Y1365,NDays&amp;"D")</f>
        <v>48508</v>
      </c>
      <c r="AA1365" s="173">
        <v>2.373735407973597E-2</v>
      </c>
      <c r="AB1365" s="182">
        <v>2.3679812955998969E-2</v>
      </c>
    </row>
    <row r="1366" spans="24:28" x14ac:dyDescent="0.2">
      <c r="X1366" s="186" t="str">
        <f t="shared" si="55"/>
        <v>1w</v>
      </c>
      <c r="Y1366" s="174">
        <f>_xll.qlCalendarAdvance(Calendar,Y1365,X1366,"f",FALSE)</f>
        <v>48513</v>
      </c>
      <c r="Z1366" s="198">
        <f>_xll.qlCalendarAdvance(Calendar,Y1366,NDays&amp;"D")</f>
        <v>48515</v>
      </c>
      <c r="AA1366" s="173">
        <v>2.373065112075514E-2</v>
      </c>
      <c r="AB1366" s="182">
        <v>2.3673742961012323E-2</v>
      </c>
    </row>
    <row r="1367" spans="24:28" x14ac:dyDescent="0.2">
      <c r="X1367" s="186" t="str">
        <f t="shared" si="55"/>
        <v>1w</v>
      </c>
      <c r="Y1367" s="174">
        <f>_xll.qlCalendarAdvance(Calendar,Y1366,X1367,"f",FALSE)</f>
        <v>48520</v>
      </c>
      <c r="Z1367" s="198">
        <f>_xll.qlCalendarAdvance(Calendar,Y1367,NDays&amp;"D")</f>
        <v>48522</v>
      </c>
      <c r="AA1367" s="173">
        <v>2.3723622917651652E-2</v>
      </c>
      <c r="AB1367" s="182">
        <v>2.3667630121018135E-2</v>
      </c>
    </row>
    <row r="1368" spans="24:28" x14ac:dyDescent="0.2">
      <c r="X1368" s="186" t="str">
        <f t="shared" si="55"/>
        <v>1w</v>
      </c>
      <c r="Y1368" s="174">
        <f>_xll.qlCalendarAdvance(Calendar,Y1367,X1368,"f",FALSE)</f>
        <v>48527</v>
      </c>
      <c r="Z1368" s="198">
        <f>_xll.qlCalendarAdvance(Calendar,Y1368,NDays&amp;"D")</f>
        <v>48529</v>
      </c>
      <c r="AA1368" s="173">
        <v>2.3716836831518848E-2</v>
      </c>
      <c r="AB1368" s="182">
        <v>2.3661474436096341E-2</v>
      </c>
    </row>
    <row r="1369" spans="24:28" x14ac:dyDescent="0.2">
      <c r="X1369" s="186" t="str">
        <f t="shared" si="55"/>
        <v>1w</v>
      </c>
      <c r="Y1369" s="174">
        <f>_xll.qlCalendarAdvance(Calendar,Y1368,X1369,"f",FALSE)</f>
        <v>48534</v>
      </c>
      <c r="Z1369" s="198">
        <f>_xll.qlCalendarAdvance(Calendar,Y1369,NDays&amp;"D")</f>
        <v>48536</v>
      </c>
      <c r="AA1369" s="173">
        <v>2.3710007415314135E-2</v>
      </c>
      <c r="AB1369" s="182">
        <v>2.3655275906326878E-2</v>
      </c>
    </row>
    <row r="1370" spans="24:28" x14ac:dyDescent="0.2">
      <c r="X1370" s="186" t="str">
        <f t="shared" si="55"/>
        <v>1w</v>
      </c>
      <c r="Y1370" s="174">
        <f>_xll.qlCalendarAdvance(Calendar,Y1369,X1370,"f",FALSE)</f>
        <v>48541</v>
      </c>
      <c r="Z1370" s="198">
        <f>_xll.qlCalendarAdvance(Calendar,Y1370,NDays&amp;"D")</f>
        <v>48543</v>
      </c>
      <c r="AA1370" s="173">
        <v>2.3703134669478272E-2</v>
      </c>
      <c r="AB1370" s="182">
        <v>2.3649034531390001E-2</v>
      </c>
    </row>
    <row r="1371" spans="24:28" x14ac:dyDescent="0.2">
      <c r="X1371" s="186" t="str">
        <f t="shared" si="55"/>
        <v>1w</v>
      </c>
      <c r="Y1371" s="174">
        <f>_xll.qlCalendarAdvance(Calendar,Y1370,X1371,"f",FALSE)</f>
        <v>48548</v>
      </c>
      <c r="Z1371" s="198">
        <f>_xll.qlCalendarAdvance(Calendar,Y1371,NDays&amp;"D")</f>
        <v>48550</v>
      </c>
      <c r="AA1371" s="173">
        <v>2.3696486330209498E-2</v>
      </c>
      <c r="AB1371" s="182">
        <v>2.364275031168539E-2</v>
      </c>
    </row>
    <row r="1372" spans="24:28" x14ac:dyDescent="0.2">
      <c r="X1372" s="186" t="str">
        <f t="shared" si="55"/>
        <v>1w</v>
      </c>
      <c r="Y1372" s="174">
        <f>_xll.qlCalendarAdvance(Calendar,Y1371,X1372,"f",FALSE)</f>
        <v>48555</v>
      </c>
      <c r="Z1372" s="198">
        <f>_xll.qlCalendarAdvance(Calendar,Y1372,NDays&amp;"D")</f>
        <v>48557</v>
      </c>
      <c r="AA1372" s="173">
        <v>2.36895233760793E-2</v>
      </c>
      <c r="AB1372" s="182">
        <v>2.3636423246973237E-2</v>
      </c>
    </row>
    <row r="1373" spans="24:28" x14ac:dyDescent="0.2">
      <c r="X1373" s="186" t="str">
        <f t="shared" si="55"/>
        <v>1w</v>
      </c>
      <c r="Y1373" s="174">
        <f>_xll.qlCalendarAdvance(Calendar,Y1372,X1373,"f",FALSE)</f>
        <v>48562</v>
      </c>
      <c r="Z1373" s="198">
        <f>_xll.qlCalendarAdvance(Calendar,Y1373,NDays&amp;"D")</f>
        <v>48564</v>
      </c>
      <c r="AA1373" s="173">
        <v>2.3682517090991818E-2</v>
      </c>
      <c r="AB1373" s="182">
        <v>2.3630053337333479E-2</v>
      </c>
    </row>
    <row r="1374" spans="24:28" x14ac:dyDescent="0.2">
      <c r="X1374" s="186" t="str">
        <f t="shared" si="55"/>
        <v>1w</v>
      </c>
      <c r="Y1374" s="174">
        <f>_xll.qlCalendarAdvance(Calendar,Y1373,X1374,"f",FALSE)</f>
        <v>48569</v>
      </c>
      <c r="Z1374" s="198">
        <f>_xll.qlCalendarAdvance(Calendar,Y1374,NDays&amp;"D")</f>
        <v>48571</v>
      </c>
      <c r="AA1374" s="173">
        <v>2.3675467475400756E-2</v>
      </c>
      <c r="AB1374" s="182">
        <v>2.3623640582846051E-2</v>
      </c>
    </row>
    <row r="1375" spans="24:28" x14ac:dyDescent="0.2">
      <c r="X1375" s="186" t="str">
        <f t="shared" si="55"/>
        <v>1w</v>
      </c>
      <c r="Y1375" s="174">
        <f>_xll.qlCalendarAdvance(Calendar,Y1374,X1375,"f",FALSE)</f>
        <v>48576</v>
      </c>
      <c r="Z1375" s="198">
        <f>_xll.qlCalendarAdvance(Calendar,Y1375,NDays&amp;"D")</f>
        <v>48578</v>
      </c>
      <c r="AA1375" s="173">
        <v>2.3668374529764648E-2</v>
      </c>
      <c r="AB1375" s="182">
        <v>2.3617184983271144E-2</v>
      </c>
    </row>
    <row r="1376" spans="24:28" x14ac:dyDescent="0.2">
      <c r="X1376" s="186" t="str">
        <f t="shared" si="55"/>
        <v>1w</v>
      </c>
      <c r="Y1376" s="174">
        <f>_xll.qlCalendarAdvance(Calendar,Y1375,X1376,"f",FALSE)</f>
        <v>48583</v>
      </c>
      <c r="Z1376" s="198">
        <f>_xll.qlCalendarAdvance(Calendar,Y1376,NDays&amp;"D")</f>
        <v>48585</v>
      </c>
      <c r="AA1376" s="173">
        <v>2.3660988297283157E-2</v>
      </c>
      <c r="AB1376" s="182">
        <v>2.3610686538928505E-2</v>
      </c>
    </row>
    <row r="1377" spans="24:28" x14ac:dyDescent="0.2">
      <c r="X1377" s="186" t="str">
        <f t="shared" si="55"/>
        <v>1w</v>
      </c>
      <c r="Y1377" s="174">
        <f>_xll.qlCalendarAdvance(Calendar,Y1376,X1377,"f",FALSE)</f>
        <v>48590</v>
      </c>
      <c r="Z1377" s="198">
        <f>_xll.qlCalendarAdvance(Calendar,Y1377,NDays&amp;"D")</f>
        <v>48592</v>
      </c>
      <c r="AA1377" s="173">
        <v>2.36538122566229E-2</v>
      </c>
      <c r="AB1377" s="182">
        <v>2.3604145249498387E-2</v>
      </c>
    </row>
    <row r="1378" spans="24:28" x14ac:dyDescent="0.2">
      <c r="X1378" s="186" t="str">
        <f t="shared" si="55"/>
        <v>1w</v>
      </c>
      <c r="Y1378" s="174">
        <f>_xll.qlCalendarAdvance(Calendar,Y1377,X1378,"f",FALSE)</f>
        <v>48597</v>
      </c>
      <c r="Z1378" s="198">
        <f>_xll.qlCalendarAdvance(Calendar,Y1378,NDays&amp;"D")</f>
        <v>48599</v>
      </c>
      <c r="AA1378" s="173">
        <v>2.3646592889963059E-2</v>
      </c>
      <c r="AB1378" s="182">
        <v>2.3597561115300536E-2</v>
      </c>
    </row>
    <row r="1379" spans="24:28" x14ac:dyDescent="0.2">
      <c r="X1379" s="186" t="str">
        <f t="shared" si="55"/>
        <v>1w</v>
      </c>
      <c r="Y1379" s="174">
        <f>_xll.qlCalendarAdvance(Calendar,Y1378,X1379,"f",FALSE)</f>
        <v>48604</v>
      </c>
      <c r="Z1379" s="198">
        <f>_xll.qlCalendarAdvance(Calendar,Y1379,NDays&amp;"D")</f>
        <v>48606</v>
      </c>
      <c r="AA1379" s="173">
        <v>2.3639330197769117E-2</v>
      </c>
      <c r="AB1379" s="182">
        <v>2.3590934136095143E-2</v>
      </c>
    </row>
    <row r="1380" spans="24:28" x14ac:dyDescent="0.2">
      <c r="X1380" s="186" t="str">
        <f t="shared" si="55"/>
        <v>1w</v>
      </c>
      <c r="Y1380" s="174">
        <f>_xll.qlCalendarAdvance(Calendar,Y1379,X1380,"f",FALSE)</f>
        <v>48611</v>
      </c>
      <c r="Z1380" s="198">
        <f>_xll.qlCalendarAdvance(Calendar,Y1380,NDays&amp;"D")</f>
        <v>48613</v>
      </c>
      <c r="AA1380" s="173">
        <v>2.3632024180510976E-2</v>
      </c>
      <c r="AB1380" s="182">
        <v>2.3584264311962144E-2</v>
      </c>
    </row>
    <row r="1381" spans="24:28" x14ac:dyDescent="0.2">
      <c r="X1381" s="186" t="str">
        <f t="shared" si="55"/>
        <v>1w</v>
      </c>
      <c r="Y1381" s="174">
        <f>_xll.qlCalendarAdvance(Calendar,Y1380,X1381,"f",FALSE)</f>
        <v>48618</v>
      </c>
      <c r="Z1381" s="198">
        <f>_xll.qlCalendarAdvance(Calendar,Y1381,NDays&amp;"D")</f>
        <v>48620</v>
      </c>
      <c r="AA1381" s="173">
        <v>2.3624674838660743E-2</v>
      </c>
      <c r="AB1381" s="182">
        <v>2.357755164290154E-2</v>
      </c>
    </row>
    <row r="1382" spans="24:28" x14ac:dyDescent="0.2">
      <c r="X1382" s="186" t="str">
        <f t="shared" si="55"/>
        <v>1w</v>
      </c>
      <c r="Y1382" s="174">
        <f>_xll.qlCalendarAdvance(Calendar,Y1381,X1382,"f",FALSE)</f>
        <v>48625</v>
      </c>
      <c r="Z1382" s="198">
        <f>_xll.qlCalendarAdvance(Calendar,Y1382,NDays&amp;"D")</f>
        <v>48627</v>
      </c>
      <c r="AA1382" s="173">
        <v>2.3617282172692738E-2</v>
      </c>
      <c r="AB1382" s="182">
        <v>2.3570796128913329E-2</v>
      </c>
    </row>
    <row r="1383" spans="24:28" x14ac:dyDescent="0.2">
      <c r="X1383" s="186" t="str">
        <f t="shared" si="55"/>
        <v>1w</v>
      </c>
      <c r="Y1383" s="174">
        <f>_xll.qlCalendarAdvance(Calendar,Y1382,X1383,"f",FALSE)</f>
        <v>48632</v>
      </c>
      <c r="Z1383" s="198">
        <f>_xll.qlCalendarAdvance(Calendar,Y1383,NDays&amp;"D")</f>
        <v>48634</v>
      </c>
      <c r="AA1383" s="173">
        <v>2.3609846183085249E-2</v>
      </c>
      <c r="AB1383" s="182">
        <v>2.3563997770077449E-2</v>
      </c>
    </row>
    <row r="1384" spans="24:28" x14ac:dyDescent="0.2">
      <c r="X1384" s="186" t="str">
        <f t="shared" si="55"/>
        <v>1w</v>
      </c>
      <c r="Y1384" s="174">
        <f>_xll.qlCalendarAdvance(Calendar,Y1383,X1384,"f",FALSE)</f>
        <v>48639</v>
      </c>
      <c r="Z1384" s="198">
        <f>_xll.qlCalendarAdvance(Calendar,Y1384,NDays&amp;"D")</f>
        <v>48641</v>
      </c>
      <c r="AA1384" s="173">
        <v>2.3603470409299609E-2</v>
      </c>
      <c r="AB1384" s="182">
        <v>2.3557156566313964E-2</v>
      </c>
    </row>
    <row r="1385" spans="24:28" x14ac:dyDescent="0.2">
      <c r="X1385" s="186" t="str">
        <f t="shared" si="55"/>
        <v>1w</v>
      </c>
      <c r="Y1385" s="174">
        <f>_xll.qlCalendarAdvance(Calendar,Y1384,X1385,"f",FALSE)</f>
        <v>48646</v>
      </c>
      <c r="Z1385" s="198">
        <f>_xll.qlCalendarAdvance(Calendar,Y1385,NDays&amp;"D")</f>
        <v>48648</v>
      </c>
      <c r="AA1385" s="173">
        <v>2.3595929845592833E-2</v>
      </c>
      <c r="AB1385" s="182">
        <v>2.3550272517702808E-2</v>
      </c>
    </row>
    <row r="1386" spans="24:28" x14ac:dyDescent="0.2">
      <c r="X1386" s="186" t="str">
        <f t="shared" si="55"/>
        <v>1w</v>
      </c>
      <c r="Y1386" s="174">
        <f>_xll.qlCalendarAdvance(Calendar,Y1385,X1386,"f",FALSE)</f>
        <v>48653</v>
      </c>
      <c r="Z1386" s="198">
        <f>_xll.qlCalendarAdvance(Calendar,Y1386,NDays&amp;"D")</f>
        <v>48655</v>
      </c>
      <c r="AA1386" s="173">
        <v>2.3588345946541283E-2</v>
      </c>
      <c r="AB1386" s="182">
        <v>2.3543345624084111E-2</v>
      </c>
    </row>
    <row r="1387" spans="24:28" x14ac:dyDescent="0.2">
      <c r="X1387" s="186" t="str">
        <f t="shared" si="55"/>
        <v>1w</v>
      </c>
      <c r="Y1387" s="174">
        <f>_xll.qlCalendarAdvance(Calendar,Y1386,X1387,"f",FALSE)</f>
        <v>48660</v>
      </c>
      <c r="Z1387" s="198">
        <f>_xll.qlCalendarAdvance(Calendar,Y1387,NDays&amp;"D")</f>
        <v>48662</v>
      </c>
      <c r="AA1387" s="173">
        <v>2.3580718712649929E-2</v>
      </c>
      <c r="AB1387" s="182">
        <v>2.3536375885617744E-2</v>
      </c>
    </row>
    <row r="1388" spans="24:28" x14ac:dyDescent="0.2">
      <c r="X1388" s="186" t="str">
        <f t="shared" si="55"/>
        <v>1w</v>
      </c>
      <c r="Y1388" s="174">
        <f>_xll.qlCalendarAdvance(Calendar,Y1387,X1388,"f",FALSE)</f>
        <v>48667</v>
      </c>
      <c r="Z1388" s="198">
        <f>_xll.qlCalendarAdvance(Calendar,Y1388,NDays&amp;"D")</f>
        <v>48669</v>
      </c>
      <c r="AA1388" s="173">
        <v>2.3572430099960975E-2</v>
      </c>
      <c r="AB1388" s="182">
        <v>2.3529363302143835E-2</v>
      </c>
    </row>
    <row r="1389" spans="24:28" x14ac:dyDescent="0.2">
      <c r="X1389" s="186" t="str">
        <f t="shared" si="55"/>
        <v>1w</v>
      </c>
      <c r="Y1389" s="174">
        <f>_xll.qlCalendarAdvance(Calendar,Y1388,X1389,"f",FALSE)</f>
        <v>48674</v>
      </c>
      <c r="Z1389" s="198">
        <f>_xll.qlCalendarAdvance(Calendar,Y1389,NDays&amp;"D")</f>
        <v>48676</v>
      </c>
      <c r="AA1389" s="173">
        <v>2.3564726987611022E-2</v>
      </c>
      <c r="AB1389" s="182">
        <v>2.3522307873902193E-2</v>
      </c>
    </row>
    <row r="1390" spans="24:28" x14ac:dyDescent="0.2">
      <c r="X1390" s="186" t="str">
        <f t="shared" si="55"/>
        <v>1w</v>
      </c>
      <c r="Y1390" s="174">
        <f>_xll.qlCalendarAdvance(Calendar,Y1389,X1390,"f",FALSE)</f>
        <v>48681</v>
      </c>
      <c r="Z1390" s="198">
        <f>_xll.qlCalendarAdvance(Calendar,Y1390,NDays&amp;"D")</f>
        <v>48683</v>
      </c>
      <c r="AA1390" s="173">
        <v>2.3556980549804183E-2</v>
      </c>
      <c r="AB1390" s="182">
        <v>2.351624447549483E-2</v>
      </c>
    </row>
    <row r="1391" spans="24:28" x14ac:dyDescent="0.2">
      <c r="X1391" s="186" t="str">
        <f t="shared" si="55"/>
        <v>1w</v>
      </c>
      <c r="Y1391" s="174">
        <f>_xll.qlCalendarAdvance(Calendar,Y1390,X1391,"f",FALSE)</f>
        <v>48688</v>
      </c>
      <c r="Z1391" s="198">
        <f>_xll.qlCalendarAdvance(Calendar,Y1391,NDays&amp;"D")</f>
        <v>48690</v>
      </c>
      <c r="AA1391" s="173">
        <v>2.3549190787046283E-2</v>
      </c>
      <c r="AB1391" s="182">
        <v>2.3508068482636091E-2</v>
      </c>
    </row>
    <row r="1392" spans="24:28" x14ac:dyDescent="0.2">
      <c r="X1392" s="186" t="str">
        <f t="shared" si="55"/>
        <v>1w</v>
      </c>
      <c r="Y1392" s="174">
        <f>_xll.qlCalendarAdvance(Calendar,Y1391,X1392,"f",FALSE)</f>
        <v>48695</v>
      </c>
      <c r="Z1392" s="198">
        <f>_xll.qlCalendarAdvance(Calendar,Y1392,NDays&amp;"D")</f>
        <v>48697</v>
      </c>
      <c r="AA1392" s="173">
        <v>2.3541357699847523E-2</v>
      </c>
      <c r="AB1392" s="182">
        <v>2.3500884519691567E-2</v>
      </c>
    </row>
    <row r="1393" spans="24:28" x14ac:dyDescent="0.2">
      <c r="X1393" s="186" t="str">
        <f t="shared" si="55"/>
        <v>1w</v>
      </c>
      <c r="Y1393" s="174">
        <f>_xll.qlCalendarAdvance(Calendar,Y1392,X1393,"f",FALSE)</f>
        <v>48702</v>
      </c>
      <c r="Z1393" s="198">
        <f>_xll.qlCalendarAdvance(Calendar,Y1393,NDays&amp;"D")</f>
        <v>48704</v>
      </c>
      <c r="AA1393" s="173">
        <v>2.353404530621301E-2</v>
      </c>
      <c r="AB1393" s="182">
        <v>2.3493657711819438E-2</v>
      </c>
    </row>
    <row r="1394" spans="24:28" x14ac:dyDescent="0.2">
      <c r="X1394" s="186" t="str">
        <f t="shared" si="55"/>
        <v>1w</v>
      </c>
      <c r="Y1394" s="174">
        <f>_xll.qlCalendarAdvance(Calendar,Y1393,X1394,"f",FALSE)</f>
        <v>48709</v>
      </c>
      <c r="Z1394" s="198">
        <f>_xll.qlCalendarAdvance(Calendar,Y1394,NDays&amp;"D")</f>
        <v>48711</v>
      </c>
      <c r="AA1394" s="173">
        <v>2.3526114742779096E-2</v>
      </c>
      <c r="AB1394" s="182">
        <v>2.3486388059099639E-2</v>
      </c>
    </row>
    <row r="1395" spans="24:28" x14ac:dyDescent="0.2">
      <c r="X1395" s="186" t="str">
        <f t="shared" si="55"/>
        <v>1w</v>
      </c>
      <c r="Y1395" s="174">
        <f>_xll.qlCalendarAdvance(Calendar,Y1394,X1395,"f",FALSE)</f>
        <v>48716</v>
      </c>
      <c r="Z1395" s="198">
        <f>_xll.qlCalendarAdvance(Calendar,Y1395,NDays&amp;"D")</f>
        <v>48718</v>
      </c>
      <c r="AA1395" s="173">
        <v>2.3518140848635842E-2</v>
      </c>
      <c r="AB1395" s="182">
        <v>2.3479075561452234E-2</v>
      </c>
    </row>
    <row r="1396" spans="24:28" x14ac:dyDescent="0.2">
      <c r="X1396" s="186" t="str">
        <f t="shared" si="55"/>
        <v>1w</v>
      </c>
      <c r="Y1396" s="174">
        <f>_xll.qlCalendarAdvance(Calendar,Y1395,X1396,"f",FALSE)</f>
        <v>48723</v>
      </c>
      <c r="Z1396" s="198">
        <f>_xll.qlCalendarAdvance(Calendar,Y1396,NDays&amp;"D")</f>
        <v>48725</v>
      </c>
      <c r="AA1396" s="173">
        <v>2.3510123624314001E-2</v>
      </c>
      <c r="AB1396" s="182">
        <v>2.3471720218957159E-2</v>
      </c>
    </row>
    <row r="1397" spans="24:28" x14ac:dyDescent="0.2">
      <c r="X1397" s="186" t="str">
        <f t="shared" si="55"/>
        <v>1w</v>
      </c>
      <c r="Y1397" s="174">
        <f>_xll.qlCalendarAdvance(Calendar,Y1396,X1397,"f",FALSE)</f>
        <v>48730</v>
      </c>
      <c r="Z1397" s="198">
        <f>_xll.qlCalendarAdvance(Calendar,Y1397,NDays&amp;"D")</f>
        <v>48732</v>
      </c>
      <c r="AA1397" s="173">
        <v>2.3501542415228963E-2</v>
      </c>
      <c r="AB1397" s="182">
        <v>2.3464322031614415E-2</v>
      </c>
    </row>
    <row r="1398" spans="24:28" x14ac:dyDescent="0.2">
      <c r="X1398" s="186" t="str">
        <f t="shared" si="55"/>
        <v>1w</v>
      </c>
      <c r="Y1398" s="174">
        <f>_xll.qlCalendarAdvance(Calendar,Y1397,X1398,"f",FALSE)</f>
        <v>48737</v>
      </c>
      <c r="Z1398" s="198">
        <f>_xll.qlCalendarAdvance(Calendar,Y1398,NDays&amp;"D")</f>
        <v>48739</v>
      </c>
      <c r="AA1398" s="173">
        <v>2.3493449392221366E-2</v>
      </c>
      <c r="AB1398" s="182">
        <v>2.3456880999344065E-2</v>
      </c>
    </row>
    <row r="1399" spans="24:28" x14ac:dyDescent="0.2">
      <c r="X1399" s="186" t="str">
        <f t="shared" si="55"/>
        <v>1w</v>
      </c>
      <c r="Y1399" s="174">
        <f>_xll.qlCalendarAdvance(Calendar,Y1398,X1399,"f",FALSE)</f>
        <v>48744</v>
      </c>
      <c r="Z1399" s="198">
        <f>_xll.qlCalendarAdvance(Calendar,Y1399,NDays&amp;"D")</f>
        <v>48746</v>
      </c>
      <c r="AA1399" s="173">
        <v>2.3485313048413271E-2</v>
      </c>
      <c r="AB1399" s="182">
        <v>2.3449397122146109E-2</v>
      </c>
    </row>
    <row r="1400" spans="24:28" x14ac:dyDescent="0.2">
      <c r="X1400" s="186" t="str">
        <f t="shared" si="55"/>
        <v>1w</v>
      </c>
      <c r="Y1400" s="174">
        <f>_xll.qlCalendarAdvance(Calendar,Y1399,X1400,"f",FALSE)</f>
        <v>48751</v>
      </c>
      <c r="Z1400" s="198">
        <f>_xll.qlCalendarAdvance(Calendar,Y1400,NDays&amp;"D")</f>
        <v>48753</v>
      </c>
      <c r="AA1400" s="173">
        <v>2.3477133384335835E-2</v>
      </c>
      <c r="AB1400" s="182">
        <v>2.344187040018042E-2</v>
      </c>
    </row>
    <row r="1401" spans="24:28" x14ac:dyDescent="0.2">
      <c r="X1401" s="186" t="str">
        <f t="shared" si="55"/>
        <v>1w</v>
      </c>
      <c r="Y1401" s="174">
        <f>_xll.qlCalendarAdvance(Calendar,Y1400,X1401,"f",FALSE)</f>
        <v>48758</v>
      </c>
      <c r="Z1401" s="198">
        <f>_xll.qlCalendarAdvance(Calendar,Y1401,NDays&amp;"D")</f>
        <v>48760</v>
      </c>
      <c r="AA1401" s="173">
        <v>2.346891040052328E-2</v>
      </c>
      <c r="AB1401" s="182">
        <v>2.3434300833287125E-2</v>
      </c>
    </row>
    <row r="1402" spans="24:28" x14ac:dyDescent="0.2">
      <c r="X1402" s="186" t="str">
        <f t="shared" si="55"/>
        <v>1w</v>
      </c>
      <c r="Y1402" s="174">
        <f>_xll.qlCalendarAdvance(Calendar,Y1401,X1402,"f",FALSE)</f>
        <v>48765</v>
      </c>
      <c r="Z1402" s="198">
        <f>_xll.qlCalendarAdvance(Calendar,Y1402,NDays&amp;"D")</f>
        <v>48767</v>
      </c>
      <c r="AA1402" s="173">
        <v>2.346111037461987E-2</v>
      </c>
      <c r="AB1402" s="182">
        <v>2.3426688421626096E-2</v>
      </c>
    </row>
    <row r="1403" spans="24:28" x14ac:dyDescent="0.2">
      <c r="X1403" s="186" t="str">
        <f t="shared" si="55"/>
        <v>1w</v>
      </c>
      <c r="Y1403" s="174">
        <f>_xll.qlCalendarAdvance(Calendar,Y1402,X1403,"f",FALSE)</f>
        <v>48772</v>
      </c>
      <c r="Z1403" s="198">
        <f>_xll.qlCalendarAdvance(Calendar,Y1403,NDays&amp;"D")</f>
        <v>48774</v>
      </c>
      <c r="AA1403" s="173">
        <v>2.3452789854105996E-2</v>
      </c>
      <c r="AB1403" s="182">
        <v>2.3419033165037462E-2</v>
      </c>
    </row>
    <row r="1404" spans="24:28" x14ac:dyDescent="0.2">
      <c r="X1404" s="186" t="str">
        <f t="shared" si="55"/>
        <v>1w</v>
      </c>
      <c r="Y1404" s="174">
        <f>_xll.qlCalendarAdvance(Calendar,Y1403,X1404,"f",FALSE)</f>
        <v>48779</v>
      </c>
      <c r="Z1404" s="198">
        <f>_xll.qlCalendarAdvance(Calendar,Y1404,NDays&amp;"D")</f>
        <v>48781</v>
      </c>
      <c r="AA1404" s="173">
        <v>2.3444426007750714E-2</v>
      </c>
      <c r="AB1404" s="182">
        <v>2.3411335063521221E-2</v>
      </c>
    </row>
    <row r="1405" spans="24:28" x14ac:dyDescent="0.2">
      <c r="X1405" s="186" t="str">
        <f t="shared" si="55"/>
        <v>1w</v>
      </c>
      <c r="Y1405" s="174">
        <f>_xll.qlCalendarAdvance(Calendar,Y1404,X1405,"f",FALSE)</f>
        <v>48786</v>
      </c>
      <c r="Z1405" s="198">
        <f>_xll.qlCalendarAdvance(Calendar,Y1405,NDays&amp;"D")</f>
        <v>48788</v>
      </c>
      <c r="AA1405" s="173">
        <v>2.3436018836110135E-2</v>
      </c>
      <c r="AB1405" s="182">
        <v>2.3403594117237247E-2</v>
      </c>
    </row>
    <row r="1406" spans="24:28" x14ac:dyDescent="0.2">
      <c r="X1406" s="186" t="str">
        <f t="shared" si="55"/>
        <v>1w</v>
      </c>
      <c r="Y1406" s="174">
        <f>_xll.qlCalendarAdvance(Calendar,Y1405,X1406,"f",FALSE)</f>
        <v>48793</v>
      </c>
      <c r="Z1406" s="198">
        <f>_xll.qlCalendarAdvance(Calendar,Y1406,NDays&amp;"D")</f>
        <v>48795</v>
      </c>
      <c r="AA1406" s="173">
        <v>2.3427568339742529E-2</v>
      </c>
      <c r="AB1406" s="182">
        <v>2.3395810326025668E-2</v>
      </c>
    </row>
    <row r="1407" spans="24:28" x14ac:dyDescent="0.2">
      <c r="X1407" s="186" t="str">
        <f t="shared" si="55"/>
        <v>1w</v>
      </c>
      <c r="Y1407" s="174">
        <f>_xll.qlCalendarAdvance(Calendar,Y1406,X1407,"f",FALSE)</f>
        <v>48800</v>
      </c>
      <c r="Z1407" s="198">
        <f>_xll.qlCalendarAdvance(Calendar,Y1407,NDays&amp;"D")</f>
        <v>48802</v>
      </c>
      <c r="AA1407" s="173">
        <v>2.3419074519207869E-2</v>
      </c>
      <c r="AB1407" s="182">
        <v>2.3387983690126291E-2</v>
      </c>
    </row>
    <row r="1408" spans="24:28" x14ac:dyDescent="0.2">
      <c r="X1408" s="186" t="str">
        <f t="shared" si="55"/>
        <v>1w</v>
      </c>
      <c r="Y1408" s="174">
        <f>_xll.qlCalendarAdvance(Calendar,Y1407,X1408,"f",FALSE)</f>
        <v>48807</v>
      </c>
      <c r="Z1408" s="198">
        <f>_xll.qlCalendarAdvance(Calendar,Y1408,NDays&amp;"D")</f>
        <v>48809</v>
      </c>
      <c r="AA1408" s="173">
        <v>2.3410537375070872E-2</v>
      </c>
      <c r="AB1408" s="182">
        <v>2.3380114209219371E-2</v>
      </c>
    </row>
    <row r="1409" spans="24:28" x14ac:dyDescent="0.2">
      <c r="X1409" s="186" t="str">
        <f t="shared" si="55"/>
        <v>1w</v>
      </c>
      <c r="Y1409" s="174">
        <f>_xll.qlCalendarAdvance(Calendar,Y1408,X1409,"f",FALSE)</f>
        <v>48814</v>
      </c>
      <c r="Z1409" s="198">
        <f>_xll.qlCalendarAdvance(Calendar,Y1409,NDays&amp;"D")</f>
        <v>48816</v>
      </c>
      <c r="AA1409" s="173">
        <v>2.3401956907897963E-2</v>
      </c>
      <c r="AB1409" s="182">
        <v>2.3372201883544719E-2</v>
      </c>
    </row>
    <row r="1410" spans="24:28" x14ac:dyDescent="0.2">
      <c r="X1410" s="186" t="str">
        <f t="shared" si="55"/>
        <v>1w</v>
      </c>
      <c r="Y1410" s="174">
        <f>_xll.qlCalendarAdvance(Calendar,Y1409,X1410,"f",FALSE)</f>
        <v>48821</v>
      </c>
      <c r="Z1410" s="198">
        <f>_xll.qlCalendarAdvance(Calendar,Y1410,NDays&amp;"D")</f>
        <v>48823</v>
      </c>
      <c r="AA1410" s="173">
        <v>2.3392699949693927E-2</v>
      </c>
      <c r="AB1410" s="182">
        <v>2.336424671294246E-2</v>
      </c>
    </row>
    <row r="1411" spans="24:28" x14ac:dyDescent="0.2">
      <c r="X1411" s="186" t="str">
        <f t="shared" si="55"/>
        <v>1w</v>
      </c>
      <c r="Y1411" s="174">
        <f>_xll.qlCalendarAdvance(Calendar,Y1410,X1411,"f",FALSE)</f>
        <v>48828</v>
      </c>
      <c r="Z1411" s="198">
        <f>_xll.qlCalendarAdvance(Calendar,Y1411,NDays&amp;"D")</f>
        <v>48830</v>
      </c>
      <c r="AA1411" s="173">
        <v>2.3384051103440384E-2</v>
      </c>
      <c r="AB1411" s="182">
        <v>2.3356248697572468E-2</v>
      </c>
    </row>
    <row r="1412" spans="24:28" x14ac:dyDescent="0.2">
      <c r="X1412" s="186" t="str">
        <f t="shared" si="55"/>
        <v>1w</v>
      </c>
      <c r="Y1412" s="174">
        <f>_xll.qlCalendarAdvance(Calendar,Y1411,X1412,"f",FALSE)</f>
        <v>48835</v>
      </c>
      <c r="Z1412" s="198">
        <f>_xll.qlCalendarAdvance(Calendar,Y1412,NDays&amp;"D")</f>
        <v>48837</v>
      </c>
      <c r="AA1412" s="173">
        <v>2.3375358948615085E-2</v>
      </c>
      <c r="AB1412" s="182">
        <v>2.3348207837354806E-2</v>
      </c>
    </row>
    <row r="1413" spans="24:28" x14ac:dyDescent="0.2">
      <c r="X1413" s="186" t="str">
        <f t="shared" si="55"/>
        <v>1w</v>
      </c>
      <c r="Y1413" s="174">
        <f>_xll.qlCalendarAdvance(Calendar,Y1412,X1413,"f",FALSE)</f>
        <v>48842</v>
      </c>
      <c r="Z1413" s="198">
        <f>_xll.qlCalendarAdvance(Calendar,Y1413,NDays&amp;"D")</f>
        <v>48844</v>
      </c>
      <c r="AA1413" s="173">
        <v>2.3366623485778903E-2</v>
      </c>
      <c r="AB1413" s="182">
        <v>2.3340124132289475E-2</v>
      </c>
    </row>
    <row r="1414" spans="24:28" x14ac:dyDescent="0.2">
      <c r="X1414" s="186" t="str">
        <f t="shared" si="55"/>
        <v>1w</v>
      </c>
      <c r="Y1414" s="174">
        <f>_xll.qlCalendarAdvance(Calendar,Y1413,X1414,"f",FALSE)</f>
        <v>48849</v>
      </c>
      <c r="Z1414" s="198">
        <f>_xll.qlCalendarAdvance(Calendar,Y1414,NDays&amp;"D")</f>
        <v>48851</v>
      </c>
      <c r="AA1414" s="173">
        <v>2.3357844715496699E-2</v>
      </c>
      <c r="AB1414" s="182">
        <v>2.333199758245641E-2</v>
      </c>
    </row>
    <row r="1415" spans="24:28" x14ac:dyDescent="0.2">
      <c r="X1415" s="186" t="str">
        <f t="shared" si="55"/>
        <v>1w</v>
      </c>
      <c r="Y1415" s="174">
        <f>_xll.qlCalendarAdvance(Calendar,Y1414,X1415,"f",FALSE)</f>
        <v>48856</v>
      </c>
      <c r="Z1415" s="198">
        <f>_xll.qlCalendarAdvance(Calendar,Y1415,NDays&amp;"D")</f>
        <v>48858</v>
      </c>
      <c r="AA1415" s="173">
        <v>2.3349131672326405E-2</v>
      </c>
      <c r="AB1415" s="182">
        <v>2.3323828187775675E-2</v>
      </c>
    </row>
    <row r="1416" spans="24:28" x14ac:dyDescent="0.2">
      <c r="X1416" s="186" t="str">
        <f t="shared" si="55"/>
        <v>1w</v>
      </c>
      <c r="Y1416" s="174">
        <f>_xll.qlCalendarAdvance(Calendar,Y1415,X1416,"f",FALSE)</f>
        <v>48863</v>
      </c>
      <c r="Z1416" s="198">
        <f>_xll.qlCalendarAdvance(Calendar,Y1416,NDays&amp;"D")</f>
        <v>48865</v>
      </c>
      <c r="AA1416" s="173">
        <v>2.3340262623889201E-2</v>
      </c>
      <c r="AB1416" s="182">
        <v>2.331561594824727E-2</v>
      </c>
    </row>
    <row r="1417" spans="24:28" x14ac:dyDescent="0.2">
      <c r="X1417" s="186" t="str">
        <f t="shared" si="55"/>
        <v>1w</v>
      </c>
      <c r="Y1417" s="174">
        <f>_xll.qlCalendarAdvance(Calendar,Y1416,X1417,"f",FALSE)</f>
        <v>48870</v>
      </c>
      <c r="Z1417" s="198">
        <f>_xll.qlCalendarAdvance(Calendar,Y1417,NDays&amp;"D")</f>
        <v>48872</v>
      </c>
      <c r="AA1417" s="173">
        <v>2.3331350267182062E-2</v>
      </c>
      <c r="AB1417" s="182">
        <v>2.3307360863871196E-2</v>
      </c>
    </row>
    <row r="1418" spans="24:28" x14ac:dyDescent="0.2">
      <c r="X1418" s="186" t="str">
        <f t="shared" si="55"/>
        <v>1w</v>
      </c>
      <c r="Y1418" s="174">
        <f>_xll.qlCalendarAdvance(Calendar,Y1417,X1418,"f",FALSE)</f>
        <v>48877</v>
      </c>
      <c r="Z1418" s="198">
        <f>_xll.qlCalendarAdvance(Calendar,Y1418,NDays&amp;"D")</f>
        <v>48879</v>
      </c>
      <c r="AA1418" s="173">
        <v>2.3322394602784298E-2</v>
      </c>
      <c r="AB1418" s="182">
        <v>2.3299062934647452E-2</v>
      </c>
    </row>
    <row r="1419" spans="24:28" x14ac:dyDescent="0.2">
      <c r="X1419" s="186" t="str">
        <f t="shared" si="55"/>
        <v>1w</v>
      </c>
      <c r="Y1419" s="174">
        <f>_xll.qlCalendarAdvance(Calendar,Y1418,X1419,"f",FALSE)</f>
        <v>48884</v>
      </c>
      <c r="Z1419" s="198">
        <f>_xll.qlCalendarAdvance(Calendar,Y1419,NDays&amp;"D")</f>
        <v>48886</v>
      </c>
      <c r="AA1419" s="173">
        <v>2.3313301272338646E-2</v>
      </c>
      <c r="AB1419" s="182">
        <v>2.3290722160655974E-2</v>
      </c>
    </row>
    <row r="1420" spans="24:28" x14ac:dyDescent="0.2">
      <c r="X1420" s="186" t="str">
        <f t="shared" si="55"/>
        <v>1w</v>
      </c>
      <c r="Y1420" s="174">
        <f>_xll.qlCalendarAdvance(Calendar,Y1419,X1420,"f",FALSE)</f>
        <v>48891</v>
      </c>
      <c r="Z1420" s="198">
        <f>_xll.qlCalendarAdvance(Calendar,Y1420,NDays&amp;"D")</f>
        <v>48893</v>
      </c>
      <c r="AA1420" s="173">
        <v>2.3304262669385702E-2</v>
      </c>
      <c r="AB1420" s="182">
        <v>2.3282338541896763E-2</v>
      </c>
    </row>
    <row r="1421" spans="24:28" x14ac:dyDescent="0.2">
      <c r="X1421" s="186" t="str">
        <f t="shared" si="55"/>
        <v>1w</v>
      </c>
      <c r="Y1421" s="174">
        <f>_xll.qlCalendarAdvance(Calendar,Y1420,X1421,"f",FALSE)</f>
        <v>48898</v>
      </c>
      <c r="Z1421" s="198">
        <f>_xll.qlCalendarAdvance(Calendar,Y1421,NDays&amp;"D")</f>
        <v>48900</v>
      </c>
      <c r="AA1421" s="173">
        <v>2.3295180763015334E-2</v>
      </c>
      <c r="AB1421" s="182">
        <v>2.3273912078289882E-2</v>
      </c>
    </row>
    <row r="1422" spans="24:28" x14ac:dyDescent="0.2">
      <c r="X1422" s="186" t="str">
        <f t="shared" si="55"/>
        <v>1w</v>
      </c>
      <c r="Y1422" s="174">
        <f>_xll.qlCalendarAdvance(Calendar,Y1421,X1422,"f",FALSE)</f>
        <v>48905</v>
      </c>
      <c r="Z1422" s="198">
        <f>_xll.qlCalendarAdvance(Calendar,Y1422,NDays&amp;"D")</f>
        <v>48907</v>
      </c>
      <c r="AA1422" s="173">
        <v>2.328605555381447E-2</v>
      </c>
      <c r="AB1422" s="182">
        <v>2.3265442769835332E-2</v>
      </c>
    </row>
    <row r="1423" spans="24:28" x14ac:dyDescent="0.2">
      <c r="X1423" s="186" t="str">
        <f t="shared" si="55"/>
        <v>1w</v>
      </c>
      <c r="Y1423" s="174">
        <f>_xll.qlCalendarAdvance(Calendar,Y1422,X1423,"f",FALSE)</f>
        <v>48912</v>
      </c>
      <c r="Z1423" s="198">
        <f>_xll.qlCalendarAdvance(Calendar,Y1423,NDays&amp;"D")</f>
        <v>48914</v>
      </c>
      <c r="AA1423" s="173">
        <v>2.327696668589542E-2</v>
      </c>
      <c r="AB1423" s="182">
        <v>2.3256930616613047E-2</v>
      </c>
    </row>
    <row r="1424" spans="24:28" x14ac:dyDescent="0.2">
      <c r="X1424" s="186" t="str">
        <f t="shared" si="55"/>
        <v>1w</v>
      </c>
      <c r="Y1424" s="174">
        <f>_xll.qlCalendarAdvance(Calendar,Y1423,X1424,"f",FALSE)</f>
        <v>48919</v>
      </c>
      <c r="Z1424" s="198">
        <f>_xll.qlCalendarAdvance(Calendar,Y1424,NDays&amp;"D")</f>
        <v>48921</v>
      </c>
      <c r="AA1424" s="173">
        <v>2.3267751187668922E-2</v>
      </c>
      <c r="AB1424" s="182">
        <v>2.3248375618623029E-2</v>
      </c>
    </row>
    <row r="1425" spans="24:28" x14ac:dyDescent="0.2">
      <c r="X1425" s="186" t="str">
        <f t="shared" si="55"/>
        <v>1w</v>
      </c>
      <c r="Y1425" s="174">
        <f>_xll.qlCalendarAdvance(Calendar,Y1424,X1425,"f",FALSE)</f>
        <v>48926</v>
      </c>
      <c r="Z1425" s="198">
        <f>_xll.qlCalendarAdvance(Calendar,Y1425,NDays&amp;"D")</f>
        <v>48928</v>
      </c>
      <c r="AA1425" s="173">
        <v>2.3258492385883001E-2</v>
      </c>
      <c r="AB1425" s="182">
        <v>2.3239777775785342E-2</v>
      </c>
    </row>
    <row r="1426" spans="24:28" x14ac:dyDescent="0.2">
      <c r="X1426" s="186" t="str">
        <f t="shared" si="55"/>
        <v>1w</v>
      </c>
      <c r="Y1426" s="174">
        <f>_xll.qlCalendarAdvance(Calendar,Y1425,X1426,"f",FALSE)</f>
        <v>48933</v>
      </c>
      <c r="Z1426" s="198">
        <f>_xll.qlCalendarAdvance(Calendar,Y1426,NDays&amp;"D")</f>
        <v>48935</v>
      </c>
      <c r="AA1426" s="173">
        <v>2.3249190281138938E-2</v>
      </c>
      <c r="AB1426" s="182">
        <v>2.3231137088179921E-2</v>
      </c>
    </row>
    <row r="1427" spans="24:28" x14ac:dyDescent="0.2">
      <c r="X1427" s="186" t="str">
        <f t="shared" si="55"/>
        <v>1w</v>
      </c>
      <c r="Y1427" s="174">
        <f>_xll.qlCalendarAdvance(Calendar,Y1426,X1427,"f",FALSE)</f>
        <v>48940</v>
      </c>
      <c r="Z1427" s="198">
        <f>_xll.qlCalendarAdvance(Calendar,Y1427,NDays&amp;"D")</f>
        <v>48942</v>
      </c>
      <c r="AA1427" s="173">
        <v>2.3239844874041085E-2</v>
      </c>
      <c r="AB1427" s="182">
        <v>2.322245355572683E-2</v>
      </c>
    </row>
    <row r="1428" spans="24:28" x14ac:dyDescent="0.2">
      <c r="X1428" s="186" t="str">
        <f t="shared" si="55"/>
        <v>1w</v>
      </c>
      <c r="Y1428" s="174">
        <f>_xll.qlCalendarAdvance(Calendar,Y1427,X1428,"f",FALSE)</f>
        <v>48947</v>
      </c>
      <c r="Z1428" s="198">
        <f>_xll.qlCalendarAdvance(Calendar,Y1428,NDays&amp;"D")</f>
        <v>48949</v>
      </c>
      <c r="AA1428" s="173">
        <v>2.3230394972362282E-2</v>
      </c>
      <c r="AB1428" s="182">
        <v>2.3213727178585941E-2</v>
      </c>
    </row>
    <row r="1429" spans="24:28" x14ac:dyDescent="0.2">
      <c r="X1429" s="186" t="str">
        <f t="shared" ref="X1429:X1492" si="56">X1428</f>
        <v>1w</v>
      </c>
      <c r="Y1429" s="174">
        <f>_xll.qlCalendarAdvance(Calendar,Y1428,X1429,"f",FALSE)</f>
        <v>48954</v>
      </c>
      <c r="Z1429" s="198">
        <f>_xll.qlCalendarAdvance(Calendar,Y1429,NDays&amp;"D")</f>
        <v>48956</v>
      </c>
      <c r="AA1429" s="173">
        <v>2.3220966660006028E-2</v>
      </c>
      <c r="AB1429" s="182">
        <v>2.3204957956517447E-2</v>
      </c>
    </row>
    <row r="1430" spans="24:28" x14ac:dyDescent="0.2">
      <c r="X1430" s="186" t="str">
        <f t="shared" si="56"/>
        <v>1w</v>
      </c>
      <c r="Y1430" s="174">
        <f>_xll.qlCalendarAdvance(Calendar,Y1429,X1430,"f",FALSE)</f>
        <v>48961</v>
      </c>
      <c r="Z1430" s="198">
        <f>_xll.qlCalendarAdvance(Calendar,Y1430,NDays&amp;"D")</f>
        <v>48963</v>
      </c>
      <c r="AA1430" s="173">
        <v>2.3211495049612795E-2</v>
      </c>
      <c r="AB1430" s="182">
        <v>2.3196145889841091E-2</v>
      </c>
    </row>
    <row r="1431" spans="24:28" x14ac:dyDescent="0.2">
      <c r="X1431" s="186" t="str">
        <f t="shared" si="56"/>
        <v>1w</v>
      </c>
      <c r="Y1431" s="174">
        <f>_xll.qlCalendarAdvance(Calendar,Y1430,X1431,"f",FALSE)</f>
        <v>48968</v>
      </c>
      <c r="Z1431" s="198">
        <f>_xll.qlCalendarAdvance(Calendar,Y1431,NDays&amp;"D")</f>
        <v>48970</v>
      </c>
      <c r="AA1431" s="173">
        <v>2.3201980141794688E-2</v>
      </c>
      <c r="AB1431" s="182">
        <v>2.3187290978237129E-2</v>
      </c>
    </row>
    <row r="1432" spans="24:28" x14ac:dyDescent="0.2">
      <c r="X1432" s="186" t="str">
        <f t="shared" si="56"/>
        <v>1w</v>
      </c>
      <c r="Y1432" s="174">
        <f>_xll.qlCalendarAdvance(Calendar,Y1431,X1432,"f",FALSE)</f>
        <v>48975</v>
      </c>
      <c r="Z1432" s="198">
        <f>_xll.qlCalendarAdvance(Calendar,Y1432,NDays&amp;"D")</f>
        <v>48977</v>
      </c>
      <c r="AA1432" s="173">
        <v>2.3192421937166467E-2</v>
      </c>
      <c r="AB1432" s="182">
        <v>2.317839322194537E-2</v>
      </c>
    </row>
    <row r="1433" spans="24:28" x14ac:dyDescent="0.2">
      <c r="X1433" s="186" t="str">
        <f t="shared" si="56"/>
        <v>1w</v>
      </c>
      <c r="Y1433" s="174">
        <f>_xll.qlCalendarAdvance(Calendar,Y1432,X1433,"f",FALSE)</f>
        <v>48982</v>
      </c>
      <c r="Z1433" s="198">
        <f>_xll.qlCalendarAdvance(Calendar,Y1433,NDays&amp;"D")</f>
        <v>48984</v>
      </c>
      <c r="AA1433" s="173">
        <v>2.3182820436345095E-2</v>
      </c>
      <c r="AB1433" s="182">
        <v>2.3169452620885878E-2</v>
      </c>
    </row>
    <row r="1434" spans="24:28" x14ac:dyDescent="0.2">
      <c r="X1434" s="186" t="str">
        <f t="shared" si="56"/>
        <v>1w</v>
      </c>
      <c r="Y1434" s="174">
        <f>_xll.qlCalendarAdvance(Calendar,Y1433,X1434,"f",FALSE)</f>
        <v>48989</v>
      </c>
      <c r="Z1434" s="198">
        <f>_xll.qlCalendarAdvance(Calendar,Y1434,NDays&amp;"D")</f>
        <v>48991</v>
      </c>
      <c r="AA1434" s="173">
        <v>2.3173175639951072E-2</v>
      </c>
      <c r="AB1434" s="182">
        <v>2.3160469174978715E-2</v>
      </c>
    </row>
    <row r="1435" spans="24:28" x14ac:dyDescent="0.2">
      <c r="X1435" s="186" t="str">
        <f t="shared" si="56"/>
        <v>1w</v>
      </c>
      <c r="Y1435" s="174">
        <f>_xll.qlCalendarAdvance(Calendar,Y1434,X1435,"f",FALSE)</f>
        <v>48996</v>
      </c>
      <c r="Z1435" s="198">
        <f>_xll.qlCalendarAdvance(Calendar,Y1435,NDays&amp;"D")</f>
        <v>48998</v>
      </c>
      <c r="AA1435" s="173">
        <v>2.3163487548607101E-2</v>
      </c>
      <c r="AB1435" s="182">
        <v>2.3151442884303819E-2</v>
      </c>
    </row>
    <row r="1436" spans="24:28" x14ac:dyDescent="0.2">
      <c r="X1436" s="186" t="str">
        <f t="shared" si="56"/>
        <v>1w</v>
      </c>
      <c r="Y1436" s="174">
        <f>_xll.qlCalendarAdvance(Calendar,Y1435,X1436,"f",FALSE)</f>
        <v>49003</v>
      </c>
      <c r="Z1436" s="198">
        <f>_xll.qlCalendarAdvance(Calendar,Y1436,NDays&amp;"D")</f>
        <v>49005</v>
      </c>
      <c r="AA1436" s="173">
        <v>2.3153910336337909E-2</v>
      </c>
      <c r="AB1436" s="182">
        <v>2.3142373748941125E-2</v>
      </c>
    </row>
    <row r="1437" spans="24:28" x14ac:dyDescent="0.2">
      <c r="X1437" s="186" t="str">
        <f t="shared" si="56"/>
        <v>1w</v>
      </c>
      <c r="Y1437" s="174">
        <f>_xll.qlCalendarAdvance(Calendar,Y1436,X1437,"f",FALSE)</f>
        <v>49010</v>
      </c>
      <c r="Z1437" s="198">
        <f>_xll.qlCalendarAdvance(Calendar,Y1437,NDays&amp;"D")</f>
        <v>49012</v>
      </c>
      <c r="AA1437" s="173">
        <v>2.3144117065929525E-2</v>
      </c>
      <c r="AB1437" s="182">
        <v>2.3133261768810698E-2</v>
      </c>
    </row>
    <row r="1438" spans="24:28" x14ac:dyDescent="0.2">
      <c r="X1438" s="186" t="str">
        <f t="shared" si="56"/>
        <v>1w</v>
      </c>
      <c r="Y1438" s="174">
        <f>_xll.qlCalendarAdvance(Calendar,Y1437,X1438,"f",FALSE)</f>
        <v>49017</v>
      </c>
      <c r="Z1438" s="198">
        <f>_xll.qlCalendarAdvance(Calendar,Y1438,NDays&amp;"D")</f>
        <v>49019</v>
      </c>
      <c r="AA1438" s="173">
        <v>2.3134280490171296E-2</v>
      </c>
      <c r="AB1438" s="182">
        <v>2.3124106943912537E-2</v>
      </c>
    </row>
    <row r="1439" spans="24:28" x14ac:dyDescent="0.2">
      <c r="X1439" s="186" t="str">
        <f t="shared" si="56"/>
        <v>1w</v>
      </c>
      <c r="Y1439" s="174">
        <f>_xll.qlCalendarAdvance(Calendar,Y1438,X1439,"f",FALSE)</f>
        <v>49024</v>
      </c>
      <c r="Z1439" s="198">
        <f>_xll.qlCalendarAdvance(Calendar,Y1439,NDays&amp;"D")</f>
        <v>49026</v>
      </c>
      <c r="AA1439" s="173">
        <v>2.3124400609715608E-2</v>
      </c>
      <c r="AB1439" s="182">
        <v>2.3114909274246642E-2</v>
      </c>
    </row>
    <row r="1440" spans="24:28" x14ac:dyDescent="0.2">
      <c r="X1440" s="186" t="str">
        <f t="shared" si="56"/>
        <v>1w</v>
      </c>
      <c r="Y1440" s="174">
        <f>_xll.qlCalendarAdvance(Calendar,Y1439,X1440,"f",FALSE)</f>
        <v>49031</v>
      </c>
      <c r="Z1440" s="198">
        <f>_xll.qlCalendarAdvance(Calendar,Y1440,NDays&amp;"D")</f>
        <v>49033</v>
      </c>
      <c r="AA1440" s="173">
        <v>2.3114430650213121E-2</v>
      </c>
      <c r="AB1440" s="182">
        <v>2.3105668759733078E-2</v>
      </c>
    </row>
    <row r="1441" spans="24:28" x14ac:dyDescent="0.2">
      <c r="X1441" s="186" t="str">
        <f t="shared" si="56"/>
        <v>1w</v>
      </c>
      <c r="Y1441" s="174">
        <f>_xll.qlCalendarAdvance(Calendar,Y1440,X1441,"f",FALSE)</f>
        <v>49038</v>
      </c>
      <c r="Z1441" s="198">
        <f>_xll.qlCalendarAdvance(Calendar,Y1441,NDays&amp;"D")</f>
        <v>49040</v>
      </c>
      <c r="AA1441" s="173">
        <v>2.3104475347556129E-2</v>
      </c>
      <c r="AB1441" s="182">
        <v>2.3096687348006739E-2</v>
      </c>
    </row>
    <row r="1442" spans="24:28" x14ac:dyDescent="0.2">
      <c r="X1442" s="186" t="str">
        <f t="shared" si="56"/>
        <v>1w</v>
      </c>
      <c r="Y1442" s="174">
        <f>_xll.qlCalendarAdvance(Calendar,Y1441,X1442,"f",FALSE)</f>
        <v>49045</v>
      </c>
      <c r="Z1442" s="198">
        <f>_xll.qlCalendarAdvance(Calendar,Y1442,NDays&amp;"D")</f>
        <v>49047</v>
      </c>
      <c r="AA1442" s="173">
        <v>2.3094476749503452E-2</v>
      </c>
      <c r="AB1442" s="182">
        <v>2.3087059196722493E-2</v>
      </c>
    </row>
    <row r="1443" spans="24:28" x14ac:dyDescent="0.2">
      <c r="X1443" s="186" t="str">
        <f t="shared" si="56"/>
        <v>1w</v>
      </c>
      <c r="Y1443" s="174">
        <f>_xll.qlCalendarAdvance(Calendar,Y1442,X1443,"f",FALSE)</f>
        <v>49052</v>
      </c>
      <c r="Z1443" s="198">
        <f>_xll.qlCalendarAdvance(Calendar,Y1443,NDays&amp;"D")</f>
        <v>49054</v>
      </c>
      <c r="AA1443" s="173">
        <v>2.3084434856708559E-2</v>
      </c>
      <c r="AB1443" s="182">
        <v>2.3077690148145535E-2</v>
      </c>
    </row>
    <row r="1444" spans="24:28" x14ac:dyDescent="0.2">
      <c r="X1444" s="186" t="str">
        <f t="shared" si="56"/>
        <v>1w</v>
      </c>
      <c r="Y1444" s="174">
        <f>_xll.qlCalendarAdvance(Calendar,Y1443,X1444,"f",FALSE)</f>
        <v>49059</v>
      </c>
      <c r="Z1444" s="198">
        <f>_xll.qlCalendarAdvance(Calendar,Y1444,NDays&amp;"D")</f>
        <v>49061</v>
      </c>
      <c r="AA1444" s="173">
        <v>2.307434966982666E-2</v>
      </c>
      <c r="AB1444" s="182">
        <v>2.3068278254720909E-2</v>
      </c>
    </row>
    <row r="1445" spans="24:28" x14ac:dyDescent="0.2">
      <c r="X1445" s="186" t="str">
        <f t="shared" si="56"/>
        <v>1w</v>
      </c>
      <c r="Y1445" s="174">
        <f>_xll.qlCalendarAdvance(Calendar,Y1444,X1445,"f",FALSE)</f>
        <v>49066</v>
      </c>
      <c r="Z1445" s="198">
        <f>_xll.qlCalendarAdvance(Calendar,Y1445,NDays&amp;"D")</f>
        <v>49068</v>
      </c>
      <c r="AA1445" s="173">
        <v>2.3064211994358506E-2</v>
      </c>
      <c r="AB1445" s="182">
        <v>2.3058823516608484E-2</v>
      </c>
    </row>
    <row r="1446" spans="24:28" x14ac:dyDescent="0.2">
      <c r="X1446" s="186" t="str">
        <f t="shared" si="56"/>
        <v>1w</v>
      </c>
      <c r="Y1446" s="174">
        <f>_xll.qlCalendarAdvance(Calendar,Y1445,X1446,"f",FALSE)</f>
        <v>49073</v>
      </c>
      <c r="Z1446" s="198">
        <f>_xll.qlCalendarAdvance(Calendar,Y1446,NDays&amp;"D")</f>
        <v>49075</v>
      </c>
      <c r="AA1446" s="173">
        <v>2.3054030047692062E-2</v>
      </c>
      <c r="AB1446" s="182">
        <v>2.3049325933728326E-2</v>
      </c>
    </row>
    <row r="1447" spans="24:28" x14ac:dyDescent="0.2">
      <c r="X1447" s="186" t="str">
        <f t="shared" si="56"/>
        <v>1w</v>
      </c>
      <c r="Y1447" s="174">
        <f>_xll.qlCalendarAdvance(Calendar,Y1446,X1447,"f",FALSE)</f>
        <v>49080</v>
      </c>
      <c r="Z1447" s="198">
        <f>_xll.qlCalendarAdvance(Calendar,Y1447,NDays&amp;"D")</f>
        <v>49082</v>
      </c>
      <c r="AA1447" s="173">
        <v>2.3043807968684726E-2</v>
      </c>
      <c r="AB1447" s="182">
        <v>2.3039785506160371E-2</v>
      </c>
    </row>
    <row r="1448" spans="24:28" x14ac:dyDescent="0.2">
      <c r="X1448" s="186" t="str">
        <f t="shared" si="56"/>
        <v>1w</v>
      </c>
      <c r="Y1448" s="174">
        <f>_xll.qlCalendarAdvance(Calendar,Y1447,X1448,"f",FALSE)</f>
        <v>49087</v>
      </c>
      <c r="Z1448" s="198">
        <f>_xll.qlCalendarAdvance(Calendar,Y1448,NDays&amp;"D")</f>
        <v>49089</v>
      </c>
      <c r="AA1448" s="173">
        <v>2.3033547974880927E-2</v>
      </c>
      <c r="AB1448" s="182">
        <v>2.3030202233904618E-2</v>
      </c>
    </row>
    <row r="1449" spans="24:28" x14ac:dyDescent="0.2">
      <c r="X1449" s="186" t="str">
        <f t="shared" si="56"/>
        <v>1w</v>
      </c>
      <c r="Y1449" s="174">
        <f>_xll.qlCalendarAdvance(Calendar,Y1448,X1449,"f",FALSE)</f>
        <v>49094</v>
      </c>
      <c r="Z1449" s="198">
        <f>_xll.qlCalendarAdvance(Calendar,Y1449,NDays&amp;"D")</f>
        <v>49096</v>
      </c>
      <c r="AA1449" s="173">
        <v>2.302329837734321E-2</v>
      </c>
      <c r="AB1449" s="182">
        <v>2.3020576116881131E-2</v>
      </c>
    </row>
    <row r="1450" spans="24:28" x14ac:dyDescent="0.2">
      <c r="X1450" s="186" t="str">
        <f t="shared" si="56"/>
        <v>1w</v>
      </c>
      <c r="Y1450" s="174">
        <f>_xll.qlCalendarAdvance(Calendar,Y1449,X1450,"f",FALSE)</f>
        <v>49101</v>
      </c>
      <c r="Z1450" s="198">
        <f>_xll.qlCalendarAdvance(Calendar,Y1450,NDays&amp;"D")</f>
        <v>49103</v>
      </c>
      <c r="AA1450" s="173">
        <v>2.3012976343295608E-2</v>
      </c>
      <c r="AB1450" s="182">
        <v>2.301090715508991E-2</v>
      </c>
    </row>
    <row r="1451" spans="24:28" x14ac:dyDescent="0.2">
      <c r="X1451" s="186" t="str">
        <f t="shared" si="56"/>
        <v>1w</v>
      </c>
      <c r="Y1451" s="174">
        <f>_xll.qlCalendarAdvance(Calendar,Y1450,X1451,"f",FALSE)</f>
        <v>49108</v>
      </c>
      <c r="Z1451" s="198">
        <f>_xll.qlCalendarAdvance(Calendar,Y1451,NDays&amp;"D")</f>
        <v>49110</v>
      </c>
      <c r="AA1451" s="173">
        <v>2.3002622283573651E-2</v>
      </c>
      <c r="AB1451" s="182">
        <v>2.3001195348690828E-2</v>
      </c>
    </row>
    <row r="1452" spans="24:28" x14ac:dyDescent="0.2">
      <c r="X1452" s="186" t="str">
        <f t="shared" si="56"/>
        <v>1w</v>
      </c>
      <c r="Y1452" s="174">
        <f>_xll.qlCalendarAdvance(Calendar,Y1451,X1452,"f",FALSE)</f>
        <v>49115</v>
      </c>
      <c r="Z1452" s="198">
        <f>_xll.qlCalendarAdvance(Calendar,Y1452,NDays&amp;"D")</f>
        <v>49117</v>
      </c>
      <c r="AA1452" s="173">
        <v>2.2992238451462987E-2</v>
      </c>
      <c r="AB1452" s="182">
        <v>2.2991440697603949E-2</v>
      </c>
    </row>
    <row r="1453" spans="24:28" x14ac:dyDescent="0.2">
      <c r="X1453" s="186" t="str">
        <f t="shared" si="56"/>
        <v>1w</v>
      </c>
      <c r="Y1453" s="174">
        <f>_xll.qlCalendarAdvance(Calendar,Y1452,X1453,"f",FALSE)</f>
        <v>49122</v>
      </c>
      <c r="Z1453" s="198">
        <f>_xll.qlCalendarAdvance(Calendar,Y1453,NDays&amp;"D")</f>
        <v>49124</v>
      </c>
      <c r="AA1453" s="173">
        <v>2.2981827100202523E-2</v>
      </c>
      <c r="AB1453" s="182">
        <v>2.2981643201669399E-2</v>
      </c>
    </row>
    <row r="1454" spans="24:28" x14ac:dyDescent="0.2">
      <c r="X1454" s="186" t="str">
        <f t="shared" si="56"/>
        <v>1w</v>
      </c>
      <c r="Y1454" s="174">
        <f>_xll.qlCalendarAdvance(Calendar,Y1453,X1454,"f",FALSE)</f>
        <v>49129</v>
      </c>
      <c r="Z1454" s="198">
        <f>_xll.qlCalendarAdvance(Calendar,Y1454,NDays&amp;"D")</f>
        <v>49131</v>
      </c>
      <c r="AA1454" s="173">
        <v>2.2971315978229975E-2</v>
      </c>
      <c r="AB1454" s="182">
        <v>2.2971802861126989E-2</v>
      </c>
    </row>
    <row r="1455" spans="24:28" x14ac:dyDescent="0.2">
      <c r="X1455" s="186" t="str">
        <f t="shared" si="56"/>
        <v>1w</v>
      </c>
      <c r="Y1455" s="174">
        <f>_xll.qlCalendarAdvance(Calendar,Y1454,X1455,"f",FALSE)</f>
        <v>49136</v>
      </c>
      <c r="Z1455" s="198">
        <f>_xll.qlCalendarAdvance(Calendar,Y1455,NDays&amp;"D")</f>
        <v>49138</v>
      </c>
      <c r="AA1455" s="173">
        <v>2.2960852668349085E-2</v>
      </c>
      <c r="AB1455" s="182">
        <v>2.296191967589678E-2</v>
      </c>
    </row>
    <row r="1456" spans="24:28" x14ac:dyDescent="0.2">
      <c r="X1456" s="186" t="str">
        <f t="shared" si="56"/>
        <v>1w</v>
      </c>
      <c r="Y1456" s="174">
        <f>_xll.qlCalendarAdvance(Calendar,Y1455,X1456,"f",FALSE)</f>
        <v>49143</v>
      </c>
      <c r="Z1456" s="198">
        <f>_xll.qlCalendarAdvance(Calendar,Y1456,NDays&amp;"D")</f>
        <v>49145</v>
      </c>
      <c r="AA1456" s="173">
        <v>2.295036918240952E-2</v>
      </c>
      <c r="AB1456" s="182">
        <v>2.2951993645898838E-2</v>
      </c>
    </row>
    <row r="1457" spans="24:28" x14ac:dyDescent="0.2">
      <c r="X1457" s="186" t="str">
        <f t="shared" si="56"/>
        <v>1w</v>
      </c>
      <c r="Y1457" s="174">
        <f>_xll.qlCalendarAdvance(Calendar,Y1456,X1457,"f",FALSE)</f>
        <v>49150</v>
      </c>
      <c r="Z1457" s="198">
        <f>_xll.qlCalendarAdvance(Calendar,Y1457,NDays&amp;"D")</f>
        <v>49152</v>
      </c>
      <c r="AA1457" s="173">
        <v>2.2939867737546145E-2</v>
      </c>
      <c r="AB1457" s="182">
        <v>2.2942024771293035E-2</v>
      </c>
    </row>
    <row r="1458" spans="24:28" x14ac:dyDescent="0.2">
      <c r="X1458" s="186" t="str">
        <f t="shared" si="56"/>
        <v>1w</v>
      </c>
      <c r="Y1458" s="174">
        <f>_xll.qlCalendarAdvance(Calendar,Y1457,X1458,"f",FALSE)</f>
        <v>49157</v>
      </c>
      <c r="Z1458" s="198">
        <f>_xll.qlCalendarAdvance(Calendar,Y1458,NDays&amp;"D")</f>
        <v>49159</v>
      </c>
      <c r="AA1458" s="173">
        <v>2.292935055084569E-2</v>
      </c>
      <c r="AB1458" s="182">
        <v>2.2932013051919498E-2</v>
      </c>
    </row>
    <row r="1459" spans="24:28" x14ac:dyDescent="0.2">
      <c r="X1459" s="186" t="str">
        <f t="shared" si="56"/>
        <v>1w</v>
      </c>
      <c r="Y1459" s="174">
        <f>_xll.qlCalendarAdvance(Calendar,Y1458,X1459,"f",FALSE)</f>
        <v>49164</v>
      </c>
      <c r="Z1459" s="198">
        <f>_xll.qlCalendarAdvance(Calendar,Y1459,NDays&amp;"D")</f>
        <v>49166</v>
      </c>
      <c r="AA1459" s="173">
        <v>2.2918819839348896E-2</v>
      </c>
      <c r="AB1459" s="182">
        <v>2.2921958487858163E-2</v>
      </c>
    </row>
    <row r="1460" spans="24:28" x14ac:dyDescent="0.2">
      <c r="X1460" s="186" t="str">
        <f t="shared" si="56"/>
        <v>1w</v>
      </c>
      <c r="Y1460" s="174">
        <f>_xll.qlCalendarAdvance(Calendar,Y1459,X1460,"f",FALSE)</f>
        <v>49171</v>
      </c>
      <c r="Z1460" s="198">
        <f>_xll.qlCalendarAdvance(Calendar,Y1460,NDays&amp;"D")</f>
        <v>49173</v>
      </c>
      <c r="AA1460" s="173">
        <v>2.2908277820049235E-2</v>
      </c>
      <c r="AB1460" s="182">
        <v>2.2911861079188967E-2</v>
      </c>
    </row>
    <row r="1461" spans="24:28" x14ac:dyDescent="0.2">
      <c r="X1461" s="186" t="str">
        <f t="shared" si="56"/>
        <v>1w</v>
      </c>
      <c r="Y1461" s="174">
        <f>_xll.qlCalendarAdvance(Calendar,Y1460,X1461,"f",FALSE)</f>
        <v>49178</v>
      </c>
      <c r="Z1461" s="198">
        <f>_xll.qlCalendarAdvance(Calendar,Y1461,NDays&amp;"D")</f>
        <v>49180</v>
      </c>
      <c r="AA1461" s="173">
        <v>2.2897726709891188E-2</v>
      </c>
      <c r="AB1461" s="182">
        <v>2.2901720825831973E-2</v>
      </c>
    </row>
    <row r="1462" spans="24:28" x14ac:dyDescent="0.2">
      <c r="X1462" s="186" t="str">
        <f t="shared" si="56"/>
        <v>1w</v>
      </c>
      <c r="Y1462" s="174">
        <f>_xll.qlCalendarAdvance(Calendar,Y1461,X1462,"f",FALSE)</f>
        <v>49185</v>
      </c>
      <c r="Z1462" s="198">
        <f>_xll.qlCalendarAdvance(Calendar,Y1462,NDays&amp;"D")</f>
        <v>49187</v>
      </c>
      <c r="AA1462" s="173">
        <v>2.2887318201658017E-2</v>
      </c>
      <c r="AB1462" s="182">
        <v>2.2891537727787181E-2</v>
      </c>
    </row>
    <row r="1463" spans="24:28" x14ac:dyDescent="0.2">
      <c r="X1463" s="186" t="str">
        <f t="shared" si="56"/>
        <v>1w</v>
      </c>
      <c r="Y1463" s="174">
        <f>_xll.qlCalendarAdvance(Calendar,Y1462,X1463,"f",FALSE)</f>
        <v>49192</v>
      </c>
      <c r="Z1463" s="198">
        <f>_xll.qlCalendarAdvance(Calendar,Y1463,NDays&amp;"D")</f>
        <v>49194</v>
      </c>
      <c r="AA1463" s="173">
        <v>2.2876755613222291E-2</v>
      </c>
      <c r="AB1463" s="182">
        <v>2.2881311785054592E-2</v>
      </c>
    </row>
    <row r="1464" spans="24:28" x14ac:dyDescent="0.2">
      <c r="X1464" s="186" t="str">
        <f t="shared" si="56"/>
        <v>1w</v>
      </c>
      <c r="Y1464" s="174">
        <f>_xll.qlCalendarAdvance(Calendar,Y1463,X1464,"f",FALSE)</f>
        <v>49199</v>
      </c>
      <c r="Z1464" s="198">
        <f>_xll.qlCalendarAdvance(Calendar,Y1464,NDays&amp;"D")</f>
        <v>49201</v>
      </c>
      <c r="AA1464" s="173">
        <v>2.2866190085272738E-2</v>
      </c>
      <c r="AB1464" s="182">
        <v>2.2871042997714142E-2</v>
      </c>
    </row>
    <row r="1465" spans="24:28" x14ac:dyDescent="0.2">
      <c r="X1465" s="186" t="str">
        <f t="shared" si="56"/>
        <v>1w</v>
      </c>
      <c r="Y1465" s="174">
        <f>_xll.qlCalendarAdvance(Calendar,Y1464,X1465,"f",FALSE)</f>
        <v>49206</v>
      </c>
      <c r="Z1465" s="198">
        <f>_xll.qlCalendarAdvance(Calendar,Y1465,NDays&amp;"D")</f>
        <v>49208</v>
      </c>
      <c r="AA1465" s="173">
        <v>2.285562389509093E-2</v>
      </c>
      <c r="AB1465" s="182">
        <v>2.2860731365605957E-2</v>
      </c>
    </row>
    <row r="1466" spans="24:28" x14ac:dyDescent="0.2">
      <c r="X1466" s="186" t="str">
        <f t="shared" si="56"/>
        <v>1w</v>
      </c>
      <c r="Y1466" s="174">
        <f>_xll.qlCalendarAdvance(Calendar,Y1465,X1466,"f",FALSE)</f>
        <v>49213</v>
      </c>
      <c r="Z1466" s="198">
        <f>_xll.qlCalendarAdvance(Calendar,Y1466,NDays&amp;"D")</f>
        <v>49215</v>
      </c>
      <c r="AA1466" s="173">
        <v>2.2845059319911615E-2</v>
      </c>
      <c r="AB1466" s="182">
        <v>2.2850376888889912E-2</v>
      </c>
    </row>
    <row r="1467" spans="24:28" x14ac:dyDescent="0.2">
      <c r="X1467" s="186" t="str">
        <f t="shared" si="56"/>
        <v>1w</v>
      </c>
      <c r="Y1467" s="174">
        <f>_xll.qlCalendarAdvance(Calendar,Y1466,X1467,"f",FALSE)</f>
        <v>49220</v>
      </c>
      <c r="Z1467" s="198">
        <f>_xll.qlCalendarAdvance(Calendar,Y1467,NDays&amp;"D")</f>
        <v>49222</v>
      </c>
      <c r="AA1467" s="173">
        <v>2.2834469485965344E-2</v>
      </c>
      <c r="AB1467" s="182">
        <v>2.2839979567486068E-2</v>
      </c>
    </row>
    <row r="1468" spans="24:28" x14ac:dyDescent="0.2">
      <c r="X1468" s="186" t="str">
        <f t="shared" si="56"/>
        <v>1w</v>
      </c>
      <c r="Y1468" s="174">
        <f>_xll.qlCalendarAdvance(Calendar,Y1467,X1468,"f",FALSE)</f>
        <v>49227</v>
      </c>
      <c r="Z1468" s="198">
        <f>_xll.qlCalendarAdvance(Calendar,Y1468,NDays&amp;"D")</f>
        <v>49229</v>
      </c>
      <c r="AA1468" s="173">
        <v>2.2823915337837147E-2</v>
      </c>
      <c r="AB1468" s="182">
        <v>2.2829539401474364E-2</v>
      </c>
    </row>
    <row r="1469" spans="24:28" x14ac:dyDescent="0.2">
      <c r="X1469" s="186" t="str">
        <f t="shared" si="56"/>
        <v>1w</v>
      </c>
      <c r="Y1469" s="174">
        <f>_xll.qlCalendarAdvance(Calendar,Y1468,X1469,"f",FALSE)</f>
        <v>49234</v>
      </c>
      <c r="Z1469" s="198">
        <f>_xll.qlCalendarAdvance(Calendar,Y1469,NDays&amp;"D")</f>
        <v>49236</v>
      </c>
      <c r="AA1469" s="173">
        <v>2.2813369676276882E-2</v>
      </c>
      <c r="AB1469" s="182">
        <v>2.2819056390774861E-2</v>
      </c>
    </row>
    <row r="1470" spans="24:28" x14ac:dyDescent="0.2">
      <c r="X1470" s="186" t="str">
        <f t="shared" si="56"/>
        <v>1w</v>
      </c>
      <c r="Y1470" s="174">
        <f>_xll.qlCalendarAdvance(Calendar,Y1469,X1470,"f",FALSE)</f>
        <v>49241</v>
      </c>
      <c r="Z1470" s="198">
        <f>_xll.qlCalendarAdvance(Calendar,Y1470,NDays&amp;"D")</f>
        <v>49243</v>
      </c>
      <c r="AA1470" s="173">
        <v>2.2802834765956514E-2</v>
      </c>
      <c r="AB1470" s="182">
        <v>2.2808530535547433E-2</v>
      </c>
    </row>
    <row r="1471" spans="24:28" x14ac:dyDescent="0.2">
      <c r="X1471" s="186" t="str">
        <f t="shared" si="56"/>
        <v>1w</v>
      </c>
      <c r="Y1471" s="174">
        <f>_xll.qlCalendarAdvance(Calendar,Y1470,X1471,"f",FALSE)</f>
        <v>49248</v>
      </c>
      <c r="Z1471" s="198">
        <f>_xll.qlCalendarAdvance(Calendar,Y1471,NDays&amp;"D")</f>
        <v>49250</v>
      </c>
      <c r="AA1471" s="173">
        <v>2.2792340368897008E-2</v>
      </c>
      <c r="AB1471" s="182">
        <v>2.2797961835552272E-2</v>
      </c>
    </row>
    <row r="1472" spans="24:28" x14ac:dyDescent="0.2">
      <c r="X1472" s="186" t="str">
        <f t="shared" si="56"/>
        <v>1w</v>
      </c>
      <c r="Y1472" s="174">
        <f>_xll.qlCalendarAdvance(Calendar,Y1471,X1472,"f",FALSE)</f>
        <v>49255</v>
      </c>
      <c r="Z1472" s="198">
        <f>_xll.qlCalendarAdvance(Calendar,Y1472,NDays&amp;"D")</f>
        <v>49257</v>
      </c>
      <c r="AA1472" s="173">
        <v>2.278183306397253E-2</v>
      </c>
      <c r="AB1472" s="182">
        <v>2.2787375439392576E-2</v>
      </c>
    </row>
    <row r="1473" spans="24:28" x14ac:dyDescent="0.2">
      <c r="X1473" s="186" t="str">
        <f t="shared" si="56"/>
        <v>1w</v>
      </c>
      <c r="Y1473" s="174">
        <f>_xll.qlCalendarAdvance(Calendar,Y1472,X1473,"f",FALSE)</f>
        <v>49262</v>
      </c>
      <c r="Z1473" s="198">
        <f>_xll.qlCalendarAdvance(Calendar,Y1473,NDays&amp;"D")</f>
        <v>49264</v>
      </c>
      <c r="AA1473" s="173">
        <v>2.2771341360415767E-2</v>
      </c>
      <c r="AB1473" s="182">
        <v>2.2776804217974345E-2</v>
      </c>
    </row>
    <row r="1474" spans="24:28" x14ac:dyDescent="0.2">
      <c r="X1474" s="186" t="str">
        <f t="shared" si="56"/>
        <v>1w</v>
      </c>
      <c r="Y1474" s="174">
        <f>_xll.qlCalendarAdvance(Calendar,Y1473,X1474,"f",FALSE)</f>
        <v>49269</v>
      </c>
      <c r="Z1474" s="198">
        <f>_xll.qlCalendarAdvance(Calendar,Y1474,NDays&amp;"D")</f>
        <v>49271</v>
      </c>
      <c r="AA1474" s="173">
        <v>2.2760865259089668E-2</v>
      </c>
      <c r="AB1474" s="182">
        <v>2.2766248369538999E-2</v>
      </c>
    </row>
    <row r="1475" spans="24:28" x14ac:dyDescent="0.2">
      <c r="X1475" s="186" t="str">
        <f t="shared" si="56"/>
        <v>1w</v>
      </c>
      <c r="Y1475" s="174">
        <f>_xll.qlCalendarAdvance(Calendar,Y1474,X1475,"f",FALSE)</f>
        <v>49276</v>
      </c>
      <c r="Z1475" s="198">
        <f>_xll.qlCalendarAdvance(Calendar,Y1475,NDays&amp;"D")</f>
        <v>49278</v>
      </c>
      <c r="AA1475" s="173">
        <v>2.2750379082791022E-2</v>
      </c>
      <c r="AB1475" s="182">
        <v>2.2755707894086541E-2</v>
      </c>
    </row>
    <row r="1476" spans="24:28" x14ac:dyDescent="0.2">
      <c r="X1476" s="186" t="str">
        <f t="shared" si="56"/>
        <v>1w</v>
      </c>
      <c r="Y1476" s="174">
        <f>_xll.qlCalendarAdvance(Calendar,Y1475,X1476,"f",FALSE)</f>
        <v>49283</v>
      </c>
      <c r="Z1476" s="198">
        <f>_xll.qlCalendarAdvance(Calendar,Y1476,NDays&amp;"D")</f>
        <v>49285</v>
      </c>
      <c r="AA1476" s="173">
        <v>2.273993464346926E-2</v>
      </c>
      <c r="AB1476" s="182">
        <v>2.2745182791377161E-2</v>
      </c>
    </row>
    <row r="1477" spans="24:28" x14ac:dyDescent="0.2">
      <c r="X1477" s="186" t="str">
        <f t="shared" si="56"/>
        <v>1w</v>
      </c>
      <c r="Y1477" s="174">
        <f>_xll.qlCalendarAdvance(Calendar,Y1476,X1477,"f",FALSE)</f>
        <v>49290</v>
      </c>
      <c r="Z1477" s="198">
        <f>_xll.qlCalendarAdvance(Calendar,Y1477,NDays&amp;"D")</f>
        <v>49292</v>
      </c>
      <c r="AA1477" s="173">
        <v>2.2729505806911413E-2</v>
      </c>
      <c r="AB1477" s="182">
        <v>2.2734673061570732E-2</v>
      </c>
    </row>
    <row r="1478" spans="24:28" x14ac:dyDescent="0.2">
      <c r="X1478" s="186" t="str">
        <f t="shared" si="56"/>
        <v>1w</v>
      </c>
      <c r="Y1478" s="174">
        <f>_xll.qlCalendarAdvance(Calendar,Y1477,X1478,"f",FALSE)</f>
        <v>49297</v>
      </c>
      <c r="Z1478" s="198">
        <f>_xll.qlCalendarAdvance(Calendar,Y1478,NDays&amp;"D")</f>
        <v>49299</v>
      </c>
      <c r="AA1478" s="173">
        <v>2.2719092572874161E-2</v>
      </c>
      <c r="AB1478" s="182">
        <v>2.2724178704667253E-2</v>
      </c>
    </row>
    <row r="1479" spans="24:28" x14ac:dyDescent="0.2">
      <c r="X1479" s="186" t="str">
        <f t="shared" si="56"/>
        <v>1w</v>
      </c>
      <c r="Y1479" s="174">
        <f>_xll.qlCalendarAdvance(Calendar,Y1478,X1479,"f",FALSE)</f>
        <v>49305</v>
      </c>
      <c r="Z1479" s="198">
        <f>_xll.qlCalendarAdvance(Calendar,Y1479,NDays&amp;"D")</f>
        <v>49307</v>
      </c>
      <c r="AA1479" s="173">
        <v>2.2707210838790071E-2</v>
      </c>
      <c r="AB1479" s="182">
        <v>2.2712110164759824E-2</v>
      </c>
    </row>
    <row r="1480" spans="24:28" x14ac:dyDescent="0.2">
      <c r="X1480" s="186" t="str">
        <f t="shared" si="56"/>
        <v>1w</v>
      </c>
      <c r="Y1480" s="174">
        <f>_xll.qlCalendarAdvance(Calendar,Y1479,X1480,"f",FALSE)</f>
        <v>49312</v>
      </c>
      <c r="Z1480" s="198">
        <f>_xll.qlCalendarAdvance(Calendar,Y1480,NDays&amp;"D")</f>
        <v>49314</v>
      </c>
      <c r="AA1480" s="173">
        <v>2.2696854344613986E-2</v>
      </c>
      <c r="AB1480" s="182">
        <v>2.2701680857135642E-2</v>
      </c>
    </row>
    <row r="1481" spans="24:28" x14ac:dyDescent="0.2">
      <c r="X1481" s="186" t="str">
        <f t="shared" si="56"/>
        <v>1w</v>
      </c>
      <c r="Y1481" s="174">
        <f>_xll.qlCalendarAdvance(Calendar,Y1480,X1481,"f",FALSE)</f>
        <v>49319</v>
      </c>
      <c r="Z1481" s="198">
        <f>_xll.qlCalendarAdvance(Calendar,Y1481,NDays&amp;"D")</f>
        <v>49321</v>
      </c>
      <c r="AA1481" s="173">
        <v>2.2686489680742952E-2</v>
      </c>
      <c r="AB1481" s="182">
        <v>2.2691235694294321E-2</v>
      </c>
    </row>
    <row r="1482" spans="24:28" x14ac:dyDescent="0.2">
      <c r="X1482" s="186" t="str">
        <f t="shared" si="56"/>
        <v>1w</v>
      </c>
      <c r="Y1482" s="174">
        <f>_xll.qlCalendarAdvance(Calendar,Y1481,X1482,"f",FALSE)</f>
        <v>49326</v>
      </c>
      <c r="Z1482" s="198">
        <f>_xll.qlCalendarAdvance(Calendar,Y1482,NDays&amp;"D")</f>
        <v>49328</v>
      </c>
      <c r="AA1482" s="173">
        <v>2.2676140617133335E-2</v>
      </c>
      <c r="AB1482" s="182">
        <v>2.2680805906860613E-2</v>
      </c>
    </row>
    <row r="1483" spans="24:28" x14ac:dyDescent="0.2">
      <c r="X1483" s="186" t="str">
        <f t="shared" si="56"/>
        <v>1w</v>
      </c>
      <c r="Y1483" s="174">
        <f>_xll.qlCalendarAdvance(Calendar,Y1482,X1483,"f",FALSE)</f>
        <v>49333</v>
      </c>
      <c r="Z1483" s="198">
        <f>_xll.qlCalendarAdvance(Calendar,Y1483,NDays&amp;"D")</f>
        <v>49335</v>
      </c>
      <c r="AA1483" s="173">
        <v>2.2665807153543556E-2</v>
      </c>
      <c r="AB1483" s="182">
        <v>2.2670391494834519E-2</v>
      </c>
    </row>
    <row r="1484" spans="24:28" x14ac:dyDescent="0.2">
      <c r="X1484" s="186" t="str">
        <f t="shared" si="56"/>
        <v>1w</v>
      </c>
      <c r="Y1484" s="174">
        <f>_xll.qlCalendarAdvance(Calendar,Y1483,X1484,"f",FALSE)</f>
        <v>49340</v>
      </c>
      <c r="Z1484" s="198">
        <f>_xll.qlCalendarAdvance(Calendar,Y1484,NDays&amp;"D")</f>
        <v>49342</v>
      </c>
      <c r="AA1484" s="173">
        <v>2.2655489289736017E-2</v>
      </c>
      <c r="AB1484" s="182">
        <v>2.2659992458269329E-2</v>
      </c>
    </row>
    <row r="1485" spans="24:28" x14ac:dyDescent="0.2">
      <c r="X1485" s="186" t="str">
        <f t="shared" si="56"/>
        <v>1w</v>
      </c>
      <c r="Y1485" s="174">
        <f>_xll.qlCalendarAdvance(Calendar,Y1484,X1485,"f",FALSE)</f>
        <v>49347</v>
      </c>
      <c r="Z1485" s="198">
        <f>_xll.qlCalendarAdvance(Calendar,Y1485,NDays&amp;"D")</f>
        <v>49349</v>
      </c>
      <c r="AA1485" s="173">
        <v>2.2645187025469141E-2</v>
      </c>
      <c r="AB1485" s="182">
        <v>2.2649608797085108E-2</v>
      </c>
    </row>
    <row r="1486" spans="24:28" x14ac:dyDescent="0.2">
      <c r="X1486" s="186" t="str">
        <f t="shared" si="56"/>
        <v>1w</v>
      </c>
      <c r="Y1486" s="174">
        <f>_xll.qlCalendarAdvance(Calendar,Y1485,X1486,"f",FALSE)</f>
        <v>49354</v>
      </c>
      <c r="Z1486" s="198">
        <f>_xll.qlCalendarAdvance(Calendar,Y1486,NDays&amp;"D")</f>
        <v>49356</v>
      </c>
      <c r="AA1486" s="173">
        <v>2.2634900360505771E-2</v>
      </c>
      <c r="AB1486" s="182">
        <v>2.2639240511281855E-2</v>
      </c>
    </row>
    <row r="1487" spans="24:28" x14ac:dyDescent="0.2">
      <c r="X1487" s="186" t="str">
        <f t="shared" si="56"/>
        <v>1w</v>
      </c>
      <c r="Y1487" s="174">
        <f>_xll.qlCalendarAdvance(Calendar,Y1486,X1487,"f",FALSE)</f>
        <v>49361</v>
      </c>
      <c r="Z1487" s="198">
        <f>_xll.qlCalendarAdvance(Calendar,Y1487,NDays&amp;"D")</f>
        <v>49363</v>
      </c>
      <c r="AA1487" s="173">
        <v>2.2624629294605219E-2</v>
      </c>
      <c r="AB1487" s="182">
        <v>2.2628887600912861E-2</v>
      </c>
    </row>
    <row r="1488" spans="24:28" x14ac:dyDescent="0.2">
      <c r="X1488" s="186" t="str">
        <f t="shared" si="56"/>
        <v>1w</v>
      </c>
      <c r="Y1488" s="174">
        <f>_xll.qlCalendarAdvance(Calendar,Y1487,X1488,"f",FALSE)</f>
        <v>49368</v>
      </c>
      <c r="Z1488" s="198">
        <f>_xll.qlCalendarAdvance(Calendar,Y1488,NDays&amp;"D")</f>
        <v>49370</v>
      </c>
      <c r="AA1488" s="173">
        <v>2.2614295881050912E-2</v>
      </c>
      <c r="AB1488" s="182">
        <v>2.2618550065924836E-2</v>
      </c>
    </row>
    <row r="1489" spans="24:28" x14ac:dyDescent="0.2">
      <c r="X1489" s="186" t="str">
        <f t="shared" si="56"/>
        <v>1w</v>
      </c>
      <c r="Y1489" s="174">
        <f>_xll.qlCalendarAdvance(Calendar,Y1488,X1489,"f",FALSE)</f>
        <v>49375</v>
      </c>
      <c r="Z1489" s="198">
        <f>_xll.qlCalendarAdvance(Calendar,Y1489,NDays&amp;"D")</f>
        <v>49377</v>
      </c>
      <c r="AA1489" s="173">
        <v>2.2604057912394285E-2</v>
      </c>
      <c r="AB1489" s="182">
        <v>2.2608227906344425E-2</v>
      </c>
    </row>
    <row r="1490" spans="24:28" x14ac:dyDescent="0.2">
      <c r="X1490" s="186" t="str">
        <f t="shared" si="56"/>
        <v>1w</v>
      </c>
      <c r="Y1490" s="174">
        <f>_xll.qlCalendarAdvance(Calendar,Y1489,X1490,"f",FALSE)</f>
        <v>49382</v>
      </c>
      <c r="Z1490" s="198">
        <f>_xll.qlCalendarAdvance(Calendar,Y1490,NDays&amp;"D")</f>
        <v>49384</v>
      </c>
      <c r="AA1490" s="173">
        <v>2.2593835547063852E-2</v>
      </c>
      <c r="AB1490" s="182">
        <v>2.2597921122118336E-2</v>
      </c>
    </row>
    <row r="1491" spans="24:28" x14ac:dyDescent="0.2">
      <c r="X1491" s="186" t="str">
        <f t="shared" si="56"/>
        <v>1w</v>
      </c>
      <c r="Y1491" s="174">
        <f>_xll.qlCalendarAdvance(Calendar,Y1490,X1491,"f",FALSE)</f>
        <v>49389</v>
      </c>
      <c r="Z1491" s="198">
        <f>_xll.qlCalendarAdvance(Calendar,Y1491,NDays&amp;"D")</f>
        <v>49395</v>
      </c>
      <c r="AA1491" s="173">
        <v>2.2577821071448369E-2</v>
      </c>
      <c r="AB1491" s="182">
        <v>2.2581807187611602E-2</v>
      </c>
    </row>
    <row r="1492" spans="24:28" x14ac:dyDescent="0.2">
      <c r="X1492" s="186" t="str">
        <f t="shared" si="56"/>
        <v>1w</v>
      </c>
      <c r="Y1492" s="174">
        <f>_xll.qlCalendarAdvance(Calendar,Y1491,X1492,"f",FALSE)</f>
        <v>49396</v>
      </c>
      <c r="Z1492" s="198">
        <f>_xll.qlCalendarAdvance(Calendar,Y1492,NDays&amp;"D")</f>
        <v>49398</v>
      </c>
      <c r="AA1492" s="173">
        <v>2.2573490295520977E-2</v>
      </c>
      <c r="AB1492" s="182">
        <v>2.2577353679889001E-2</v>
      </c>
    </row>
    <row r="1493" spans="24:28" x14ac:dyDescent="0.2">
      <c r="X1493" s="186" t="str">
        <f t="shared" ref="X1493:X1556" si="57">X1492</f>
        <v>1w</v>
      </c>
      <c r="Y1493" s="174">
        <f>_xll.qlCalendarAdvance(Calendar,Y1492,X1493,"f",FALSE)</f>
        <v>49403</v>
      </c>
      <c r="Z1493" s="198">
        <f>_xll.qlCalendarAdvance(Calendar,Y1493,NDays&amp;"D")</f>
        <v>49405</v>
      </c>
      <c r="AA1493" s="173">
        <v>2.2563262068612228E-2</v>
      </c>
      <c r="AB1493" s="182">
        <v>2.2567093021805817E-2</v>
      </c>
    </row>
    <row r="1494" spans="24:28" x14ac:dyDescent="0.2">
      <c r="X1494" s="186" t="str">
        <f t="shared" si="57"/>
        <v>1w</v>
      </c>
      <c r="Y1494" s="174">
        <f>_xll.qlCalendarAdvance(Calendar,Y1493,X1494,"f",FALSE)</f>
        <v>49410</v>
      </c>
      <c r="Z1494" s="198">
        <f>_xll.qlCalendarAdvance(Calendar,Y1494,NDays&amp;"D")</f>
        <v>49412</v>
      </c>
      <c r="AA1494" s="173">
        <v>2.2553102114167771E-2</v>
      </c>
      <c r="AB1494" s="182">
        <v>2.2556847739130248E-2</v>
      </c>
    </row>
    <row r="1495" spans="24:28" x14ac:dyDescent="0.2">
      <c r="X1495" s="186" t="str">
        <f t="shared" si="57"/>
        <v>1w</v>
      </c>
      <c r="Y1495" s="174">
        <f>_xll.qlCalendarAdvance(Calendar,Y1494,X1495,"f",FALSE)</f>
        <v>49417</v>
      </c>
      <c r="Z1495" s="198">
        <f>_xll.qlCalendarAdvance(Calendar,Y1495,NDays&amp;"D")</f>
        <v>49419</v>
      </c>
      <c r="AA1495" s="173">
        <v>2.2542957761841828E-2</v>
      </c>
      <c r="AB1495" s="182">
        <v>2.2546617831809002E-2</v>
      </c>
    </row>
    <row r="1496" spans="24:28" x14ac:dyDescent="0.2">
      <c r="X1496" s="186" t="str">
        <f t="shared" si="57"/>
        <v>1w</v>
      </c>
      <c r="Y1496" s="174">
        <f>_xll.qlCalendarAdvance(Calendar,Y1495,X1496,"f",FALSE)</f>
        <v>49424</v>
      </c>
      <c r="Z1496" s="198">
        <f>_xll.qlCalendarAdvance(Calendar,Y1496,NDays&amp;"D")</f>
        <v>49426</v>
      </c>
      <c r="AA1496" s="173">
        <v>2.2532829011393297E-2</v>
      </c>
      <c r="AB1496" s="182">
        <v>2.2536403299868724E-2</v>
      </c>
    </row>
    <row r="1497" spans="24:28" x14ac:dyDescent="0.2">
      <c r="X1497" s="186" t="str">
        <f t="shared" si="57"/>
        <v>1w</v>
      </c>
      <c r="Y1497" s="174">
        <f>_xll.qlCalendarAdvance(Calendar,Y1496,X1497,"f",FALSE)</f>
        <v>49431</v>
      </c>
      <c r="Z1497" s="198">
        <f>_xll.qlCalendarAdvance(Calendar,Y1497,NDays&amp;"D")</f>
        <v>49433</v>
      </c>
      <c r="AA1497" s="173">
        <v>2.2522715862581505E-2</v>
      </c>
      <c r="AB1497" s="182">
        <v>2.2526204143282769E-2</v>
      </c>
    </row>
    <row r="1498" spans="24:28" x14ac:dyDescent="0.2">
      <c r="X1498" s="186" t="str">
        <f t="shared" si="57"/>
        <v>1w</v>
      </c>
      <c r="Y1498" s="174">
        <f>_xll.qlCalendarAdvance(Calendar,Y1497,X1498,"f",FALSE)</f>
        <v>49438</v>
      </c>
      <c r="Z1498" s="198">
        <f>_xll.qlCalendarAdvance(Calendar,Y1498,NDays&amp;"D")</f>
        <v>49440</v>
      </c>
      <c r="AA1498" s="173">
        <v>2.2512618315166648E-2</v>
      </c>
      <c r="AB1498" s="182">
        <v>2.2516020362051137E-2</v>
      </c>
    </row>
    <row r="1499" spans="24:28" x14ac:dyDescent="0.2">
      <c r="X1499" s="186" t="str">
        <f t="shared" si="57"/>
        <v>1w</v>
      </c>
      <c r="Y1499" s="174">
        <f>_xll.qlCalendarAdvance(Calendar,Y1498,X1499,"f",FALSE)</f>
        <v>49445</v>
      </c>
      <c r="Z1499" s="198">
        <f>_xll.qlCalendarAdvance(Calendar,Y1499,NDays&amp;"D")</f>
        <v>49447</v>
      </c>
      <c r="AA1499" s="173">
        <v>2.250253636890891E-2</v>
      </c>
      <c r="AB1499" s="182">
        <v>2.2505851956147183E-2</v>
      </c>
    </row>
    <row r="1500" spans="24:28" x14ac:dyDescent="0.2">
      <c r="X1500" s="186" t="str">
        <f t="shared" si="57"/>
        <v>1w</v>
      </c>
      <c r="Y1500" s="174">
        <f>_xll.qlCalendarAdvance(Calendar,Y1499,X1500,"f",FALSE)</f>
        <v>49452</v>
      </c>
      <c r="Z1500" s="198">
        <f>_xll.qlCalendarAdvance(Calendar,Y1500,NDays&amp;"D")</f>
        <v>49454</v>
      </c>
      <c r="AA1500" s="173">
        <v>2.2492470023570216E-2</v>
      </c>
      <c r="AB1500" s="182">
        <v>2.2495698925624197E-2</v>
      </c>
    </row>
    <row r="1501" spans="24:28" x14ac:dyDescent="0.2">
      <c r="X1501" s="186" t="str">
        <f t="shared" si="57"/>
        <v>1w</v>
      </c>
      <c r="Y1501" s="174">
        <f>_xll.qlCalendarAdvance(Calendar,Y1500,X1501,"f",FALSE)</f>
        <v>49459</v>
      </c>
      <c r="Z1501" s="198">
        <f>_xll.qlCalendarAdvance(Calendar,Y1501,NDays&amp;"D")</f>
        <v>49461</v>
      </c>
      <c r="AA1501" s="173">
        <v>2.2482419278910325E-2</v>
      </c>
      <c r="AB1501" s="182">
        <v>2.2485561270428889E-2</v>
      </c>
    </row>
    <row r="1502" spans="24:28" x14ac:dyDescent="0.2">
      <c r="X1502" s="186" t="str">
        <f t="shared" si="57"/>
        <v>1w</v>
      </c>
      <c r="Y1502" s="174">
        <f>_xll.qlCalendarAdvance(Calendar,Y1501,X1502,"f",FALSE)</f>
        <v>49466</v>
      </c>
      <c r="Z1502" s="198">
        <f>_xll.qlCalendarAdvance(Calendar,Y1502,NDays&amp;"D")</f>
        <v>49468</v>
      </c>
      <c r="AA1502" s="173">
        <v>2.2472384134692019E-2</v>
      </c>
      <c r="AB1502" s="182">
        <v>2.2475438990614549E-2</v>
      </c>
    </row>
    <row r="1503" spans="24:28" x14ac:dyDescent="0.2">
      <c r="X1503" s="186" t="str">
        <f t="shared" si="57"/>
        <v>1w</v>
      </c>
      <c r="Y1503" s="174">
        <f>_xll.qlCalendarAdvance(Calendar,Y1502,X1503,"f",FALSE)</f>
        <v>49473</v>
      </c>
      <c r="Z1503" s="198">
        <f>_xll.qlCalendarAdvance(Calendar,Y1503,NDays&amp;"D")</f>
        <v>49475</v>
      </c>
      <c r="AA1503" s="173">
        <v>2.2462364590676791E-2</v>
      </c>
      <c r="AB1503" s="182">
        <v>2.2465332086074596E-2</v>
      </c>
    </row>
    <row r="1504" spans="24:28" x14ac:dyDescent="0.2">
      <c r="X1504" s="186" t="str">
        <f t="shared" si="57"/>
        <v>1w</v>
      </c>
      <c r="Y1504" s="174">
        <f>_xll.qlCalendarAdvance(Calendar,Y1503,X1504,"f",FALSE)</f>
        <v>49480</v>
      </c>
      <c r="Z1504" s="198">
        <f>_xll.qlCalendarAdvance(Calendar,Y1504,NDays&amp;"D")</f>
        <v>49482</v>
      </c>
      <c r="AA1504" s="173">
        <v>2.2452360646626559E-2</v>
      </c>
      <c r="AB1504" s="182">
        <v>2.2455240556915612E-2</v>
      </c>
    </row>
    <row r="1505" spans="24:28" x14ac:dyDescent="0.2">
      <c r="X1505" s="186" t="str">
        <f t="shared" si="57"/>
        <v>1w</v>
      </c>
      <c r="Y1505" s="174">
        <f>_xll.qlCalendarAdvance(Calendar,Y1504,X1505,"f",FALSE)</f>
        <v>49487</v>
      </c>
      <c r="Z1505" s="198">
        <f>_xll.qlCalendarAdvance(Calendar,Y1505,NDays&amp;"D")</f>
        <v>49489</v>
      </c>
      <c r="AA1505" s="173">
        <v>2.2442372302304107E-2</v>
      </c>
      <c r="AB1505" s="182">
        <v>2.2445164403084306E-2</v>
      </c>
    </row>
    <row r="1506" spans="24:28" x14ac:dyDescent="0.2">
      <c r="X1506" s="186" t="str">
        <f t="shared" si="57"/>
        <v>1w</v>
      </c>
      <c r="Y1506" s="174">
        <f>_xll.qlCalendarAdvance(Calendar,Y1505,X1506,"f",FALSE)</f>
        <v>49494</v>
      </c>
      <c r="Z1506" s="198">
        <f>_xll.qlCalendarAdvance(Calendar,Y1506,NDays&amp;"D")</f>
        <v>49496</v>
      </c>
      <c r="AA1506" s="173">
        <v>2.243239955747308E-2</v>
      </c>
      <c r="AB1506" s="182">
        <v>2.2435103624554031E-2</v>
      </c>
    </row>
    <row r="1507" spans="24:28" x14ac:dyDescent="0.2">
      <c r="X1507" s="186" t="str">
        <f t="shared" si="57"/>
        <v>1w</v>
      </c>
      <c r="Y1507" s="174">
        <f>_xll.qlCalendarAdvance(Calendar,Y1506,X1507,"f",FALSE)</f>
        <v>49501</v>
      </c>
      <c r="Z1507" s="198">
        <f>_xll.qlCalendarAdvance(Calendar,Y1507,NDays&amp;"D")</f>
        <v>49503</v>
      </c>
      <c r="AA1507" s="173">
        <v>2.2422442411895838E-2</v>
      </c>
      <c r="AB1507" s="182">
        <v>2.242505822137808E-2</v>
      </c>
    </row>
    <row r="1508" spans="24:28" x14ac:dyDescent="0.2">
      <c r="X1508" s="186" t="str">
        <f t="shared" si="57"/>
        <v>1w</v>
      </c>
      <c r="Y1508" s="174">
        <f>_xll.qlCalendarAdvance(Calendar,Y1507,X1508,"f",FALSE)</f>
        <v>49508</v>
      </c>
      <c r="Z1508" s="198">
        <f>_xll.qlCalendarAdvance(Calendar,Y1508,NDays&amp;"D")</f>
        <v>49510</v>
      </c>
      <c r="AA1508" s="173">
        <v>2.2412500865337318E-2</v>
      </c>
      <c r="AB1508" s="182">
        <v>2.2415028193476516E-2</v>
      </c>
    </row>
    <row r="1509" spans="24:28" x14ac:dyDescent="0.2">
      <c r="X1509" s="186" t="str">
        <f t="shared" si="57"/>
        <v>1w</v>
      </c>
      <c r="Y1509" s="174">
        <f>_xll.qlCalendarAdvance(Calendar,Y1508,X1509,"f",FALSE)</f>
        <v>49515</v>
      </c>
      <c r="Z1509" s="198">
        <f>_xll.qlCalendarAdvance(Calendar,Y1509,NDays&amp;"D")</f>
        <v>49517</v>
      </c>
      <c r="AA1509" s="173">
        <v>2.2402574917560741E-2</v>
      </c>
      <c r="AB1509" s="182">
        <v>2.2405013540929275E-2</v>
      </c>
    </row>
    <row r="1510" spans="24:28" x14ac:dyDescent="0.2">
      <c r="X1510" s="186" t="str">
        <f t="shared" si="57"/>
        <v>1w</v>
      </c>
      <c r="Y1510" s="174">
        <f>_xll.qlCalendarAdvance(Calendar,Y1509,X1510,"f",FALSE)</f>
        <v>49522</v>
      </c>
      <c r="Z1510" s="198">
        <f>_xll.qlCalendarAdvance(Calendar,Y1510,NDays&amp;"D")</f>
        <v>49524</v>
      </c>
      <c r="AA1510" s="173">
        <v>2.2392664568331049E-2</v>
      </c>
      <c r="AB1510" s="182">
        <v>2.2395014263683066E-2</v>
      </c>
    </row>
    <row r="1511" spans="24:28" x14ac:dyDescent="0.2">
      <c r="X1511" s="186" t="str">
        <f t="shared" si="57"/>
        <v>1w</v>
      </c>
      <c r="Y1511" s="174">
        <f>_xll.qlCalendarAdvance(Calendar,Y1510,X1511,"f",FALSE)</f>
        <v>49529</v>
      </c>
      <c r="Z1511" s="198">
        <f>_xll.qlCalendarAdvance(Calendar,Y1511,NDays&amp;"D")</f>
        <v>49531</v>
      </c>
      <c r="AA1511" s="173">
        <v>2.2382769817413623E-2</v>
      </c>
      <c r="AB1511" s="182">
        <v>2.2385030361764535E-2</v>
      </c>
    </row>
    <row r="1512" spans="24:28" x14ac:dyDescent="0.2">
      <c r="X1512" s="186" t="str">
        <f t="shared" si="57"/>
        <v>1w</v>
      </c>
      <c r="Y1512" s="174">
        <f>_xll.qlCalendarAdvance(Calendar,Y1511,X1512,"f",FALSE)</f>
        <v>49536</v>
      </c>
      <c r="Z1512" s="198">
        <f>_xll.qlCalendarAdvance(Calendar,Y1512,NDays&amp;"D")</f>
        <v>49538</v>
      </c>
      <c r="AA1512" s="173">
        <v>2.2372890664572539E-2</v>
      </c>
      <c r="AB1512" s="182">
        <v>2.2375061835093746E-2</v>
      </c>
    </row>
    <row r="1513" spans="24:28" x14ac:dyDescent="0.2">
      <c r="X1513" s="186" t="str">
        <f t="shared" si="57"/>
        <v>1w</v>
      </c>
      <c r="Y1513" s="174">
        <f>_xll.qlCalendarAdvance(Calendar,Y1512,X1513,"f",FALSE)</f>
        <v>49543</v>
      </c>
      <c r="Z1513" s="198">
        <f>_xll.qlCalendarAdvance(Calendar,Y1513,NDays&amp;"D")</f>
        <v>49545</v>
      </c>
      <c r="AA1513" s="173">
        <v>2.2363027109574475E-2</v>
      </c>
      <c r="AB1513" s="182">
        <v>2.2365108683777279E-2</v>
      </c>
    </row>
    <row r="1514" spans="24:28" x14ac:dyDescent="0.2">
      <c r="X1514" s="186" t="str">
        <f t="shared" si="57"/>
        <v>1w</v>
      </c>
      <c r="Y1514" s="174">
        <f>_xll.qlCalendarAdvance(Calendar,Y1513,X1514,"f",FALSE)</f>
        <v>49550</v>
      </c>
      <c r="Z1514" s="198">
        <f>_xll.qlCalendarAdvance(Calendar,Y1514,NDays&amp;"D")</f>
        <v>49552</v>
      </c>
      <c r="AA1514" s="173">
        <v>2.2353199289762725E-2</v>
      </c>
      <c r="AB1514" s="182">
        <v>2.23551709077352E-2</v>
      </c>
    </row>
    <row r="1515" spans="24:28" x14ac:dyDescent="0.2">
      <c r="X1515" s="186" t="str">
        <f t="shared" si="57"/>
        <v>1w</v>
      </c>
      <c r="Y1515" s="174">
        <f>_xll.qlCalendarAdvance(Calendar,Y1514,X1515,"f",FALSE)</f>
        <v>49557</v>
      </c>
      <c r="Z1515" s="198">
        <f>_xll.qlCalendarAdvance(Calendar,Y1515,NDays&amp;"D")</f>
        <v>49559</v>
      </c>
      <c r="AA1515" s="173">
        <v>2.2343365408865442E-2</v>
      </c>
      <c r="AB1515" s="182">
        <v>2.2345248506967508E-2</v>
      </c>
    </row>
    <row r="1516" spans="24:28" x14ac:dyDescent="0.2">
      <c r="X1516" s="186" t="str">
        <f t="shared" si="57"/>
        <v>1w</v>
      </c>
      <c r="Y1516" s="174">
        <f>_xll.qlCalendarAdvance(Calendar,Y1515,X1516,"f",FALSE)</f>
        <v>49564</v>
      </c>
      <c r="Z1516" s="198">
        <f>_xll.qlCalendarAdvance(Calendar,Y1516,NDays&amp;"D")</f>
        <v>49566</v>
      </c>
      <c r="AA1516" s="173">
        <v>2.2333547121476619E-2</v>
      </c>
      <c r="AB1516" s="182">
        <v>2.2335341481500848E-2</v>
      </c>
    </row>
    <row r="1517" spans="24:28" x14ac:dyDescent="0.2">
      <c r="X1517" s="186" t="str">
        <f t="shared" si="57"/>
        <v>1w</v>
      </c>
      <c r="Y1517" s="174">
        <f>_xll.qlCalendarAdvance(Calendar,Y1516,X1517,"f",FALSE)</f>
        <v>49571</v>
      </c>
      <c r="Z1517" s="198">
        <f>_xll.qlCalendarAdvance(Calendar,Y1517,NDays&amp;"D")</f>
        <v>49573</v>
      </c>
      <c r="AA1517" s="173">
        <v>2.2323744427366995E-2</v>
      </c>
      <c r="AB1517" s="182">
        <v>2.232544983133522E-2</v>
      </c>
    </row>
    <row r="1518" spans="24:28" x14ac:dyDescent="0.2">
      <c r="X1518" s="186" t="str">
        <f t="shared" si="57"/>
        <v>1w</v>
      </c>
      <c r="Y1518" s="174">
        <f>_xll.qlCalendarAdvance(Calendar,Y1517,X1518,"f",FALSE)</f>
        <v>49578</v>
      </c>
      <c r="Z1518" s="198">
        <f>_xll.qlCalendarAdvance(Calendar,Y1518,NDays&amp;"D")</f>
        <v>49580</v>
      </c>
      <c r="AA1518" s="173">
        <v>2.2313943294046543E-2</v>
      </c>
      <c r="AB1518" s="182">
        <v>2.2315573556417334E-2</v>
      </c>
    </row>
    <row r="1519" spans="24:28" x14ac:dyDescent="0.2">
      <c r="X1519" s="186" t="str">
        <f t="shared" si="57"/>
        <v>1w</v>
      </c>
      <c r="Y1519" s="174">
        <f>_xll.qlCalendarAdvance(Calendar,Y1518,X1519,"f",FALSE)</f>
        <v>49585</v>
      </c>
      <c r="Z1519" s="198">
        <f>_xll.qlCalendarAdvance(Calendar,Y1519,NDays&amp;"D")</f>
        <v>49587</v>
      </c>
      <c r="AA1519" s="173">
        <v>2.2304173321203692E-2</v>
      </c>
      <c r="AB1519" s="182">
        <v>2.230571265680048E-2</v>
      </c>
    </row>
    <row r="1520" spans="24:28" x14ac:dyDescent="0.2">
      <c r="X1520" s="186" t="str">
        <f t="shared" si="57"/>
        <v>1w</v>
      </c>
      <c r="Y1520" s="174">
        <f>_xll.qlCalendarAdvance(Calendar,Y1519,X1520,"f",FALSE)</f>
        <v>49592</v>
      </c>
      <c r="Z1520" s="198">
        <f>_xll.qlCalendarAdvance(Calendar,Y1520,NDays&amp;"D")</f>
        <v>49594</v>
      </c>
      <c r="AA1520" s="173">
        <v>2.2294415390196984E-2</v>
      </c>
      <c r="AB1520" s="182">
        <v>2.2295867132458014E-2</v>
      </c>
    </row>
    <row r="1521" spans="24:28" x14ac:dyDescent="0.2">
      <c r="X1521" s="186" t="str">
        <f t="shared" si="57"/>
        <v>1w</v>
      </c>
      <c r="Y1521" s="174">
        <f>_xll.qlCalendarAdvance(Calendar,Y1520,X1521,"f",FALSE)</f>
        <v>49599</v>
      </c>
      <c r="Z1521" s="198">
        <f>_xll.qlCalendarAdvance(Calendar,Y1521,NDays&amp;"D")</f>
        <v>49601</v>
      </c>
      <c r="AA1521" s="173">
        <v>2.2284680163923355E-2</v>
      </c>
      <c r="AB1521" s="182">
        <v>2.2286036983363289E-2</v>
      </c>
    </row>
    <row r="1522" spans="24:28" x14ac:dyDescent="0.2">
      <c r="X1522" s="186" t="str">
        <f t="shared" si="57"/>
        <v>1w</v>
      </c>
      <c r="Y1522" s="174">
        <f>_xll.qlCalendarAdvance(Calendar,Y1521,X1522,"f",FALSE)</f>
        <v>49606</v>
      </c>
      <c r="Z1522" s="198">
        <f>_xll.qlCalendarAdvance(Calendar,Y1522,NDays&amp;"D")</f>
        <v>49608</v>
      </c>
      <c r="AA1522" s="173">
        <v>2.2274956979023534E-2</v>
      </c>
      <c r="AB1522" s="182">
        <v>2.2276222209569596E-2</v>
      </c>
    </row>
    <row r="1523" spans="24:28" x14ac:dyDescent="0.2">
      <c r="X1523" s="186" t="str">
        <f t="shared" si="57"/>
        <v>1w</v>
      </c>
      <c r="Y1523" s="174">
        <f>_xll.qlCalendarAdvance(Calendar,Y1522,X1523,"f",FALSE)</f>
        <v>49613</v>
      </c>
      <c r="Z1523" s="198">
        <f>_xll.qlCalendarAdvance(Calendar,Y1523,NDays&amp;"D")</f>
        <v>49615</v>
      </c>
      <c r="AA1523" s="173">
        <v>2.2265255708790035E-2</v>
      </c>
      <c r="AB1523" s="182">
        <v>2.2266422811023645E-2</v>
      </c>
    </row>
    <row r="1524" spans="24:28" x14ac:dyDescent="0.2">
      <c r="X1524" s="186" t="str">
        <f t="shared" si="57"/>
        <v>1w</v>
      </c>
      <c r="Y1524" s="174">
        <f>_xll.qlCalendarAdvance(Calendar,Y1523,X1524,"f",FALSE)</f>
        <v>49620</v>
      </c>
      <c r="Z1524" s="198">
        <f>_xll.qlCalendarAdvance(Calendar,Y1524,NDays&amp;"D")</f>
        <v>49622</v>
      </c>
      <c r="AA1524" s="173">
        <v>2.2255562161250433E-2</v>
      </c>
      <c r="AB1524" s="182">
        <v>2.225663878769879E-2</v>
      </c>
    </row>
    <row r="1525" spans="24:28" x14ac:dyDescent="0.2">
      <c r="X1525" s="186" t="str">
        <f t="shared" si="57"/>
        <v>1w</v>
      </c>
      <c r="Y1525" s="174">
        <f>_xll.qlCalendarAdvance(Calendar,Y1524,X1525,"f",FALSE)</f>
        <v>49627</v>
      </c>
      <c r="Z1525" s="198">
        <f>_xll.qlCalendarAdvance(Calendar,Y1525,NDays&amp;"D")</f>
        <v>49629</v>
      </c>
      <c r="AA1525" s="173">
        <v>2.2245884205169941E-2</v>
      </c>
      <c r="AB1525" s="182">
        <v>2.2246870139648323E-2</v>
      </c>
    </row>
    <row r="1526" spans="24:28" x14ac:dyDescent="0.2">
      <c r="X1526" s="186" t="str">
        <f t="shared" si="57"/>
        <v>1w</v>
      </c>
      <c r="Y1526" s="174">
        <f>_xll.qlCalendarAdvance(Calendar,Y1525,X1526,"f",FALSE)</f>
        <v>49634</v>
      </c>
      <c r="Z1526" s="198">
        <f>_xll.qlCalendarAdvance(Calendar,Y1526,NDays&amp;"D")</f>
        <v>49636</v>
      </c>
      <c r="AA1526" s="173">
        <v>2.2236221840323249E-2</v>
      </c>
      <c r="AB1526" s="182">
        <v>2.2237116866845597E-2</v>
      </c>
    </row>
    <row r="1527" spans="24:28" x14ac:dyDescent="0.2">
      <c r="X1527" s="186" t="str">
        <f t="shared" si="57"/>
        <v>1w</v>
      </c>
      <c r="Y1527" s="174">
        <f>_xll.qlCalendarAdvance(Calendar,Y1526,X1527,"f",FALSE)</f>
        <v>49641</v>
      </c>
      <c r="Z1527" s="198">
        <f>_xll.qlCalendarAdvance(Calendar,Y1527,NDays&amp;"D")</f>
        <v>49643</v>
      </c>
      <c r="AA1527" s="173">
        <v>2.2226575066484604E-2</v>
      </c>
      <c r="AB1527" s="182">
        <v>2.2227378969317257E-2</v>
      </c>
    </row>
    <row r="1528" spans="24:28" x14ac:dyDescent="0.2">
      <c r="X1528" s="186" t="str">
        <f t="shared" si="57"/>
        <v>1w</v>
      </c>
      <c r="Y1528" s="174">
        <f>_xll.qlCalendarAdvance(Calendar,Y1527,X1528,"f",FALSE)</f>
        <v>49648</v>
      </c>
      <c r="Z1528" s="198">
        <f>_xll.qlCalendarAdvance(Calendar,Y1528,NDays&amp;"D")</f>
        <v>49650</v>
      </c>
      <c r="AA1528" s="173">
        <v>2.2216945367486536E-2</v>
      </c>
      <c r="AB1528" s="182">
        <v>2.2217656446983369E-2</v>
      </c>
    </row>
    <row r="1529" spans="24:28" x14ac:dyDescent="0.2">
      <c r="X1529" s="186" t="str">
        <f t="shared" si="57"/>
        <v>1w</v>
      </c>
      <c r="Y1529" s="174">
        <f>_xll.qlCalendarAdvance(Calendar,Y1528,X1529,"f",FALSE)</f>
        <v>49655</v>
      </c>
      <c r="Z1529" s="198">
        <f>_xll.qlCalendarAdvance(Calendar,Y1529,NDays&amp;"D")</f>
        <v>49657</v>
      </c>
      <c r="AA1529" s="173">
        <v>2.2207331346400277E-2</v>
      </c>
      <c r="AB1529" s="182">
        <v>2.2207949299950513E-2</v>
      </c>
    </row>
    <row r="1530" spans="24:28" x14ac:dyDescent="0.2">
      <c r="X1530" s="186" t="str">
        <f t="shared" si="57"/>
        <v>1w</v>
      </c>
      <c r="Y1530" s="174">
        <f>_xll.qlCalendarAdvance(Calendar,Y1529,X1530,"f",FALSE)</f>
        <v>49662</v>
      </c>
      <c r="Z1530" s="198">
        <f>_xll.qlCalendarAdvance(Calendar,Y1530,NDays&amp;"D")</f>
        <v>49664</v>
      </c>
      <c r="AA1530" s="173">
        <v>2.2197732919228497E-2</v>
      </c>
      <c r="AB1530" s="182">
        <v>2.2198257528112109E-2</v>
      </c>
    </row>
    <row r="1531" spans="24:28" x14ac:dyDescent="0.2">
      <c r="X1531" s="186" t="str">
        <f t="shared" si="57"/>
        <v>1w</v>
      </c>
      <c r="Y1531" s="174">
        <f>_xll.qlCalendarAdvance(Calendar,Y1530,X1531,"f",FALSE)</f>
        <v>49670</v>
      </c>
      <c r="Z1531" s="198">
        <f>_xll.qlCalendarAdvance(Calendar,Y1531,NDays&amp;"D")</f>
        <v>49674</v>
      </c>
      <c r="AA1531" s="173">
        <v>2.2184041043973046E-2</v>
      </c>
      <c r="AB1531" s="182">
        <v>2.2184445409250131E-2</v>
      </c>
    </row>
    <row r="1532" spans="24:28" x14ac:dyDescent="0.2">
      <c r="X1532" s="186" t="str">
        <f t="shared" si="57"/>
        <v>1w</v>
      </c>
      <c r="Y1532" s="174">
        <f>_xll.qlCalendarAdvance(Calendar,Y1531,X1532,"f",FALSE)</f>
        <v>49677</v>
      </c>
      <c r="Z1532" s="198">
        <f>_xll.qlCalendarAdvance(Calendar,Y1532,NDays&amp;"D")</f>
        <v>49681</v>
      </c>
      <c r="AA1532" s="173">
        <v>2.2174478903115902E-2</v>
      </c>
      <c r="AB1532" s="182">
        <v>2.2174796616365455E-2</v>
      </c>
    </row>
    <row r="1533" spans="24:28" x14ac:dyDescent="0.2">
      <c r="X1533" s="186" t="str">
        <f t="shared" si="57"/>
        <v>1w</v>
      </c>
      <c r="Y1533" s="174">
        <f>_xll.qlCalendarAdvance(Calendar,Y1532,X1533,"f",FALSE)</f>
        <v>49684</v>
      </c>
      <c r="Z1533" s="198">
        <f>_xll.qlCalendarAdvance(Calendar,Y1533,NDays&amp;"D")</f>
        <v>49688</v>
      </c>
      <c r="AA1533" s="173">
        <v>2.2164932351825758E-2</v>
      </c>
      <c r="AB1533" s="182">
        <v>2.2165156550499887E-2</v>
      </c>
    </row>
    <row r="1534" spans="24:28" x14ac:dyDescent="0.2">
      <c r="X1534" s="186" t="str">
        <f t="shared" si="57"/>
        <v>1w</v>
      </c>
      <c r="Y1534" s="174">
        <f>_xll.qlCalendarAdvance(Calendar,Y1533,X1534,"f",FALSE)</f>
        <v>49691</v>
      </c>
      <c r="Z1534" s="198">
        <f>_xll.qlCalendarAdvance(Calendar,Y1534,NDays&amp;"D")</f>
        <v>49695</v>
      </c>
      <c r="AA1534" s="173">
        <v>2.2155401389880813E-2</v>
      </c>
      <c r="AB1534" s="182">
        <v>2.2155531857457333E-2</v>
      </c>
    </row>
    <row r="1535" spans="24:28" x14ac:dyDescent="0.2">
      <c r="X1535" s="186" t="str">
        <f t="shared" si="57"/>
        <v>1w</v>
      </c>
      <c r="Y1535" s="174">
        <f>_xll.qlCalendarAdvance(Calendar,Y1534,X1535,"f",FALSE)</f>
        <v>49698</v>
      </c>
      <c r="Z1535" s="198">
        <f>_xll.qlCalendarAdvance(Calendar,Y1535,NDays&amp;"D")</f>
        <v>49702</v>
      </c>
      <c r="AA1535" s="173">
        <v>2.2145886017057071E-2</v>
      </c>
      <c r="AB1535" s="182">
        <v>2.2145922537237794E-2</v>
      </c>
    </row>
    <row r="1536" spans="24:28" x14ac:dyDescent="0.2">
      <c r="X1536" s="186" t="str">
        <f t="shared" si="57"/>
        <v>1w</v>
      </c>
      <c r="Y1536" s="174">
        <f>_xll.qlCalendarAdvance(Calendar,Y1535,X1536,"f",FALSE)</f>
        <v>49705</v>
      </c>
      <c r="Z1536" s="198">
        <f>_xll.qlCalendarAdvance(Calendar,Y1536,NDays&amp;"D")</f>
        <v>49709</v>
      </c>
      <c r="AA1536" s="173">
        <v>2.2136386233133607E-2</v>
      </c>
      <c r="AB1536" s="182">
        <v>2.213632858984127E-2</v>
      </c>
    </row>
    <row r="1537" spans="24:28" x14ac:dyDescent="0.2">
      <c r="X1537" s="186" t="str">
        <f t="shared" si="57"/>
        <v>1w</v>
      </c>
      <c r="Y1537" s="174">
        <f>_xll.qlCalendarAdvance(Calendar,Y1536,X1537,"f",FALSE)</f>
        <v>49712</v>
      </c>
      <c r="Z1537" s="198">
        <f>_xll.qlCalendarAdvance(Calendar,Y1537,NDays&amp;"D")</f>
        <v>49716</v>
      </c>
      <c r="AA1537" s="173">
        <v>2.2126902037887308E-2</v>
      </c>
      <c r="AB1537" s="182">
        <v>2.2126750015187824E-2</v>
      </c>
    </row>
    <row r="1538" spans="24:28" x14ac:dyDescent="0.2">
      <c r="X1538" s="186" t="str">
        <f t="shared" si="57"/>
        <v>1w</v>
      </c>
      <c r="Y1538" s="174">
        <f>_xll.qlCalendarAdvance(Calendar,Y1537,X1538,"f",FALSE)</f>
        <v>49719</v>
      </c>
      <c r="Z1538" s="198">
        <f>_xll.qlCalendarAdvance(Calendar,Y1538,NDays&amp;"D")</f>
        <v>49723</v>
      </c>
      <c r="AA1538" s="173">
        <v>2.2117433431098565E-2</v>
      </c>
      <c r="AB1538" s="182">
        <v>2.2117186813357392E-2</v>
      </c>
    </row>
    <row r="1539" spans="24:28" x14ac:dyDescent="0.2">
      <c r="X1539" s="186" t="str">
        <f t="shared" si="57"/>
        <v>1w</v>
      </c>
      <c r="Y1539" s="174">
        <f>_xll.qlCalendarAdvance(Calendar,Y1538,X1539,"f",FALSE)</f>
        <v>49726</v>
      </c>
      <c r="Z1539" s="198">
        <f>_xll.qlCalendarAdvance(Calendar,Y1539,NDays&amp;"D")</f>
        <v>49730</v>
      </c>
      <c r="AA1539" s="173">
        <v>2.2107980412545584E-2</v>
      </c>
      <c r="AB1539" s="182">
        <v>2.2107638984429911E-2</v>
      </c>
    </row>
    <row r="1540" spans="24:28" x14ac:dyDescent="0.2">
      <c r="X1540" s="186" t="str">
        <f t="shared" si="57"/>
        <v>1w</v>
      </c>
      <c r="Y1540" s="174">
        <f>_xll.qlCalendarAdvance(Calendar,Y1539,X1540,"f",FALSE)</f>
        <v>49733</v>
      </c>
      <c r="Z1540" s="198">
        <f>_xll.qlCalendarAdvance(Calendar,Y1540,NDays&amp;"D")</f>
        <v>49737</v>
      </c>
      <c r="AA1540" s="173">
        <v>2.2098557108746246E-2</v>
      </c>
      <c r="AB1540" s="182">
        <v>2.2098106528085637E-2</v>
      </c>
    </row>
    <row r="1541" spans="24:28" x14ac:dyDescent="0.2">
      <c r="X1541" s="186" t="str">
        <f t="shared" si="57"/>
        <v>1w</v>
      </c>
      <c r="Y1541" s="174">
        <f>_xll.qlCalendarAdvance(Calendar,Y1540,X1541,"f",FALSE)</f>
        <v>49740</v>
      </c>
      <c r="Z1541" s="198">
        <f>_xll.qlCalendarAdvance(Calendar,Y1541,NDays&amp;"D")</f>
        <v>49744</v>
      </c>
      <c r="AA1541" s="173">
        <v>2.208913634297963E-2</v>
      </c>
      <c r="AB1541" s="182">
        <v>2.2088589444724249E-2</v>
      </c>
    </row>
    <row r="1542" spans="24:28" x14ac:dyDescent="0.2">
      <c r="X1542" s="186" t="str">
        <f t="shared" si="57"/>
        <v>1w</v>
      </c>
      <c r="Y1542" s="174">
        <f>_xll.qlCalendarAdvance(Calendar,Y1541,X1542,"f",FALSE)</f>
        <v>49747</v>
      </c>
      <c r="Z1542" s="198">
        <f>_xll.qlCalendarAdvance(Calendar,Y1542,NDays&amp;"D")</f>
        <v>49751</v>
      </c>
      <c r="AA1542" s="173">
        <v>2.2079731167145834E-2</v>
      </c>
      <c r="AB1542" s="182">
        <v>2.207908773410594E-2</v>
      </c>
    </row>
    <row r="1543" spans="24:28" x14ac:dyDescent="0.2">
      <c r="X1543" s="186" t="str">
        <f t="shared" si="57"/>
        <v>1w</v>
      </c>
      <c r="Y1543" s="174">
        <f>_xll.qlCalendarAdvance(Calendar,Y1542,X1543,"f",FALSE)</f>
        <v>49754</v>
      </c>
      <c r="Z1543" s="198">
        <f>_xll.qlCalendarAdvance(Calendar,Y1543,NDays&amp;"D")</f>
        <v>49758</v>
      </c>
      <c r="AA1543" s="173">
        <v>2.2070341581023299E-2</v>
      </c>
      <c r="AB1543" s="182">
        <v>2.2069601396310645E-2</v>
      </c>
    </row>
    <row r="1544" spans="24:28" x14ac:dyDescent="0.2">
      <c r="X1544" s="186" t="str">
        <f t="shared" si="57"/>
        <v>1w</v>
      </c>
      <c r="Y1544" s="174">
        <f>_xll.qlCalendarAdvance(Calendar,Y1543,X1544,"f",FALSE)</f>
        <v>49761</v>
      </c>
      <c r="Z1544" s="198">
        <f>_xll.qlCalendarAdvance(Calendar,Y1544,NDays&amp;"D")</f>
        <v>49765</v>
      </c>
      <c r="AA1544" s="173">
        <v>2.2060958333804077E-2</v>
      </c>
      <c r="AB1544" s="182">
        <v>2.2060130431338365E-2</v>
      </c>
    </row>
    <row r="1545" spans="24:28" x14ac:dyDescent="0.2">
      <c r="X1545" s="186" t="str">
        <f t="shared" si="57"/>
        <v>1w</v>
      </c>
      <c r="Y1545" s="174">
        <f>_xll.qlCalendarAdvance(Calendar,Y1544,X1545,"f",FALSE)</f>
        <v>49768</v>
      </c>
      <c r="Z1545" s="198">
        <f>_xll.qlCalendarAdvance(Calendar,Y1545,NDays&amp;"D")</f>
        <v>49772</v>
      </c>
      <c r="AA1545" s="173">
        <v>2.2051599383175389E-2</v>
      </c>
      <c r="AB1545" s="182">
        <v>2.2050674839029227E-2</v>
      </c>
    </row>
    <row r="1546" spans="24:28" x14ac:dyDescent="0.2">
      <c r="X1546" s="186" t="str">
        <f t="shared" si="57"/>
        <v>1w</v>
      </c>
      <c r="Y1546" s="174">
        <f>_xll.qlCalendarAdvance(Calendar,Y1545,X1546,"f",FALSE)</f>
        <v>49775</v>
      </c>
      <c r="Z1546" s="198">
        <f>_xll.qlCalendarAdvance(Calendar,Y1546,NDays&amp;"D")</f>
        <v>49781</v>
      </c>
      <c r="AA1546" s="173">
        <v>2.2039589351253847E-2</v>
      </c>
      <c r="AB1546" s="182">
        <v>2.2038540237705462E-2</v>
      </c>
    </row>
    <row r="1547" spans="24:28" x14ac:dyDescent="0.2">
      <c r="X1547" s="186" t="str">
        <f t="shared" si="57"/>
        <v>1w</v>
      </c>
      <c r="Y1547" s="174">
        <f>_xll.qlCalendarAdvance(Calendar,Y1546,X1547,"f",FALSE)</f>
        <v>49782</v>
      </c>
      <c r="Z1547" s="198">
        <f>_xll.qlCalendarAdvance(Calendar,Y1547,NDays&amp;"D")</f>
        <v>49786</v>
      </c>
      <c r="AA1547" s="173">
        <v>2.2032928245321218E-2</v>
      </c>
      <c r="AB1547" s="182">
        <v>2.2031809773039868E-2</v>
      </c>
    </row>
    <row r="1548" spans="24:28" x14ac:dyDescent="0.2">
      <c r="X1548" s="186" t="str">
        <f t="shared" si="57"/>
        <v>1w</v>
      </c>
      <c r="Y1548" s="174">
        <f>_xll.qlCalendarAdvance(Calendar,Y1547,X1548,"f",FALSE)</f>
        <v>49789</v>
      </c>
      <c r="Z1548" s="198">
        <f>_xll.qlCalendarAdvance(Calendar,Y1548,NDays&amp;"D")</f>
        <v>49793</v>
      </c>
      <c r="AA1548" s="173">
        <v>2.2023616057656743E-2</v>
      </c>
      <c r="AB1548" s="182">
        <v>2.2022400299199774E-2</v>
      </c>
    </row>
    <row r="1549" spans="24:28" x14ac:dyDescent="0.2">
      <c r="X1549" s="186" t="str">
        <f t="shared" si="57"/>
        <v>1w</v>
      </c>
      <c r="Y1549" s="174">
        <f>_xll.qlCalendarAdvance(Calendar,Y1548,X1549,"f",FALSE)</f>
        <v>49797</v>
      </c>
      <c r="Z1549" s="198">
        <f>_xll.qlCalendarAdvance(Calendar,Y1549,NDays&amp;"D")</f>
        <v>49801</v>
      </c>
      <c r="AA1549" s="173">
        <v>2.2013004700849135E-2</v>
      </c>
      <c r="AB1549" s="182">
        <v>2.2011665438679273E-2</v>
      </c>
    </row>
    <row r="1550" spans="24:28" x14ac:dyDescent="0.2">
      <c r="X1550" s="186" t="str">
        <f t="shared" si="57"/>
        <v>1w</v>
      </c>
      <c r="Y1550" s="174">
        <f>_xll.qlCalendarAdvance(Calendar,Y1549,X1550,"f",FALSE)</f>
        <v>49804</v>
      </c>
      <c r="Z1550" s="198">
        <f>_xll.qlCalendarAdvance(Calendar,Y1550,NDays&amp;"D")</f>
        <v>49808</v>
      </c>
      <c r="AA1550" s="173">
        <v>2.2003726463385154E-2</v>
      </c>
      <c r="AB1550" s="182">
        <v>2.2002288906568523E-2</v>
      </c>
    </row>
    <row r="1551" spans="24:28" x14ac:dyDescent="0.2">
      <c r="X1551" s="186" t="str">
        <f t="shared" si="57"/>
        <v>1w</v>
      </c>
      <c r="Y1551" s="174">
        <f>_xll.qlCalendarAdvance(Calendar,Y1550,X1551,"f",FALSE)</f>
        <v>49811</v>
      </c>
      <c r="Z1551" s="198">
        <f>_xll.qlCalendarAdvance(Calendar,Y1551,NDays&amp;"D")</f>
        <v>49815</v>
      </c>
      <c r="AA1551" s="173">
        <v>2.1994463813839089E-2</v>
      </c>
      <c r="AB1551" s="182">
        <v>2.1992927747200852E-2</v>
      </c>
    </row>
    <row r="1552" spans="24:28" x14ac:dyDescent="0.2">
      <c r="X1552" s="186" t="str">
        <f t="shared" si="57"/>
        <v>1w</v>
      </c>
      <c r="Y1552" s="174">
        <f>_xll.qlCalendarAdvance(Calendar,Y1551,X1552,"f",FALSE)</f>
        <v>49818</v>
      </c>
      <c r="Z1552" s="198">
        <f>_xll.qlCalendarAdvance(Calendar,Y1552,NDays&amp;"D")</f>
        <v>49822</v>
      </c>
      <c r="AA1552" s="173">
        <v>2.1985216751991978E-2</v>
      </c>
      <c r="AB1552" s="182">
        <v>2.1983581960656196E-2</v>
      </c>
    </row>
    <row r="1553" spans="24:28" x14ac:dyDescent="0.2">
      <c r="X1553" s="186" t="str">
        <f t="shared" si="57"/>
        <v>1w</v>
      </c>
      <c r="Y1553" s="174">
        <f>_xll.qlCalendarAdvance(Calendar,Y1552,X1553,"f",FALSE)</f>
        <v>49825</v>
      </c>
      <c r="Z1553" s="198">
        <f>_xll.qlCalendarAdvance(Calendar,Y1553,NDays&amp;"D")</f>
        <v>49829</v>
      </c>
      <c r="AA1553" s="173">
        <v>2.1975971016463938E-2</v>
      </c>
      <c r="AB1553" s="182">
        <v>2.1974251546934553E-2</v>
      </c>
    </row>
    <row r="1554" spans="24:28" x14ac:dyDescent="0.2">
      <c r="X1554" s="186" t="str">
        <f t="shared" si="57"/>
        <v>1w</v>
      </c>
      <c r="Y1554" s="174">
        <f>_xll.qlCalendarAdvance(Calendar,Y1553,X1554,"f",FALSE)</f>
        <v>49832</v>
      </c>
      <c r="Z1554" s="198">
        <f>_xll.qlCalendarAdvance(Calendar,Y1554,NDays&amp;"D")</f>
        <v>49836</v>
      </c>
      <c r="AA1554" s="173">
        <v>2.1966754575408354E-2</v>
      </c>
      <c r="AB1554" s="182">
        <v>2.1964936505876054E-2</v>
      </c>
    </row>
    <row r="1555" spans="24:28" x14ac:dyDescent="0.2">
      <c r="X1555" s="186" t="str">
        <f t="shared" si="57"/>
        <v>1w</v>
      </c>
      <c r="Y1555" s="174">
        <f>_xll.qlCalendarAdvance(Calendar,Y1554,X1555,"f",FALSE)</f>
        <v>49839</v>
      </c>
      <c r="Z1555" s="198">
        <f>_xll.qlCalendarAdvance(Calendar,Y1555,NDays&amp;"D")</f>
        <v>49843</v>
      </c>
      <c r="AA1555" s="173">
        <v>2.1957553720235518E-2</v>
      </c>
      <c r="AB1555" s="182">
        <v>2.1955636837720505E-2</v>
      </c>
    </row>
    <row r="1556" spans="24:28" x14ac:dyDescent="0.2">
      <c r="X1556" s="186" t="str">
        <f t="shared" si="57"/>
        <v>1w</v>
      </c>
      <c r="Y1556" s="174">
        <f>_xll.qlCalendarAdvance(Calendar,Y1555,X1556,"f",FALSE)</f>
        <v>49846</v>
      </c>
      <c r="Z1556" s="198">
        <f>_xll.qlCalendarAdvance(Calendar,Y1556,NDays&amp;"D")</f>
        <v>49850</v>
      </c>
      <c r="AA1556" s="173">
        <v>2.1948368450729651E-2</v>
      </c>
      <c r="AB1556" s="182">
        <v>2.1946352542308034E-2</v>
      </c>
    </row>
    <row r="1557" spans="24:28" x14ac:dyDescent="0.2">
      <c r="X1557" s="186" t="str">
        <f t="shared" ref="X1557:X1620" si="58">X1556</f>
        <v>1w</v>
      </c>
      <c r="Y1557" s="174">
        <f>_xll.qlCalendarAdvance(Calendar,Y1556,X1557,"f",FALSE)</f>
        <v>49853</v>
      </c>
      <c r="Z1557" s="198">
        <f>_xll.qlCalendarAdvance(Calendar,Y1557,NDays&amp;"D")</f>
        <v>49857</v>
      </c>
      <c r="AA1557" s="173">
        <v>2.1939231788740271E-2</v>
      </c>
      <c r="AB1557" s="182">
        <v>2.1937083619638642E-2</v>
      </c>
    </row>
    <row r="1558" spans="24:28" x14ac:dyDescent="0.2">
      <c r="X1558" s="186" t="str">
        <f t="shared" si="58"/>
        <v>1w</v>
      </c>
      <c r="Y1558" s="174">
        <f>_xll.qlCalendarAdvance(Calendar,Y1557,X1558,"f",FALSE)</f>
        <v>49860</v>
      </c>
      <c r="Z1558" s="198">
        <f>_xll.qlCalendarAdvance(Calendar,Y1558,NDays&amp;"D")</f>
        <v>49864</v>
      </c>
      <c r="AA1558" s="173">
        <v>2.1930061710407612E-2</v>
      </c>
      <c r="AB1558" s="182">
        <v>2.1927830069872201E-2</v>
      </c>
    </row>
    <row r="1559" spans="24:28" x14ac:dyDescent="0.2">
      <c r="X1559" s="186" t="str">
        <f t="shared" si="58"/>
        <v>1w</v>
      </c>
      <c r="Y1559" s="174">
        <f>_xll.qlCalendarAdvance(Calendar,Y1558,X1559,"f",FALSE)</f>
        <v>49867</v>
      </c>
      <c r="Z1559" s="198">
        <f>_xll.qlCalendarAdvance(Calendar,Y1559,NDays&amp;"D")</f>
        <v>49871</v>
      </c>
      <c r="AA1559" s="173">
        <v>2.1920923756368508E-2</v>
      </c>
      <c r="AB1559" s="182">
        <v>2.1918591892768902E-2</v>
      </c>
    </row>
    <row r="1560" spans="24:28" x14ac:dyDescent="0.2">
      <c r="X1560" s="186" t="str">
        <f t="shared" si="58"/>
        <v>1w</v>
      </c>
      <c r="Y1560" s="174">
        <f>_xll.qlCalendarAdvance(Calendar,Y1559,X1560,"f",FALSE)</f>
        <v>49874</v>
      </c>
      <c r="Z1560" s="198">
        <f>_xll.qlCalendarAdvance(Calendar,Y1560,NDays&amp;"D")</f>
        <v>49878</v>
      </c>
      <c r="AA1560" s="173">
        <v>2.1911801388294096E-2</v>
      </c>
      <c r="AB1560" s="182">
        <v>2.1909369088488617E-2</v>
      </c>
    </row>
    <row r="1561" spans="24:28" x14ac:dyDescent="0.2">
      <c r="X1561" s="186" t="str">
        <f t="shared" si="58"/>
        <v>1w</v>
      </c>
      <c r="Y1561" s="174">
        <f>_xll.qlCalendarAdvance(Calendar,Y1560,X1561,"f",FALSE)</f>
        <v>49881</v>
      </c>
      <c r="Z1561" s="198">
        <f>_xll.qlCalendarAdvance(Calendar,Y1561,NDays&amp;"D")</f>
        <v>49885</v>
      </c>
      <c r="AA1561" s="173">
        <v>2.1902694605969334E-2</v>
      </c>
      <c r="AB1561" s="182">
        <v>2.1900161656951411E-2</v>
      </c>
    </row>
    <row r="1562" spans="24:28" x14ac:dyDescent="0.2">
      <c r="X1562" s="186" t="str">
        <f t="shared" si="58"/>
        <v>1w</v>
      </c>
      <c r="Y1562" s="174">
        <f>_xll.qlCalendarAdvance(Calendar,Y1561,X1562,"f",FALSE)</f>
        <v>49888</v>
      </c>
      <c r="Z1562" s="198">
        <f>_xll.qlCalendarAdvance(Calendar,Y1562,NDays&amp;"D")</f>
        <v>49892</v>
      </c>
      <c r="AA1562" s="173">
        <v>2.1893603409178741E-2</v>
      </c>
      <c r="AB1562" s="182">
        <v>2.189096959823722E-2</v>
      </c>
    </row>
    <row r="1563" spans="24:28" x14ac:dyDescent="0.2">
      <c r="X1563" s="186" t="str">
        <f t="shared" si="58"/>
        <v>1w</v>
      </c>
      <c r="Y1563" s="174">
        <f>_xll.qlCalendarAdvance(Calendar,Y1562,X1563,"f",FALSE)</f>
        <v>49895</v>
      </c>
      <c r="Z1563" s="198">
        <f>_xll.qlCalendarAdvance(Calendar,Y1563,NDays&amp;"D")</f>
        <v>49899</v>
      </c>
      <c r="AA1563" s="173">
        <v>2.1884527797707699E-2</v>
      </c>
      <c r="AB1563" s="182">
        <v>2.1881792912266107E-2</v>
      </c>
    </row>
    <row r="1564" spans="24:28" x14ac:dyDescent="0.2">
      <c r="X1564" s="186" t="str">
        <f t="shared" si="58"/>
        <v>1w</v>
      </c>
      <c r="Y1564" s="174">
        <f>_xll.qlCalendarAdvance(Calendar,Y1563,X1564,"f",FALSE)</f>
        <v>49902</v>
      </c>
      <c r="Z1564" s="198">
        <f>_xll.qlCalendarAdvance(Calendar,Y1564,NDays&amp;"D")</f>
        <v>49906</v>
      </c>
      <c r="AA1564" s="173">
        <v>2.1875467771343346E-2</v>
      </c>
      <c r="AB1564" s="182">
        <v>2.1872631599118009E-2</v>
      </c>
    </row>
    <row r="1565" spans="24:28" x14ac:dyDescent="0.2">
      <c r="X1565" s="186" t="str">
        <f t="shared" si="58"/>
        <v>1w</v>
      </c>
      <c r="Y1565" s="174">
        <f>_xll.qlCalendarAdvance(Calendar,Y1564,X1565,"f",FALSE)</f>
        <v>49909</v>
      </c>
      <c r="Z1565" s="198">
        <f>_xll.qlCalendarAdvance(Calendar,Y1565,NDays&amp;"D")</f>
        <v>49913</v>
      </c>
      <c r="AA1565" s="173">
        <v>2.1866423329870627E-2</v>
      </c>
      <c r="AB1565" s="182">
        <v>2.1863485658712989E-2</v>
      </c>
    </row>
    <row r="1566" spans="24:28" x14ac:dyDescent="0.2">
      <c r="X1566" s="186" t="str">
        <f t="shared" si="58"/>
        <v>1w</v>
      </c>
      <c r="Y1566" s="174">
        <f>_xll.qlCalendarAdvance(Calendar,Y1565,X1566,"f",FALSE)</f>
        <v>49916</v>
      </c>
      <c r="Z1566" s="198">
        <f>_xll.qlCalendarAdvance(Calendar,Y1566,NDays&amp;"D")</f>
        <v>49920</v>
      </c>
      <c r="AA1566" s="173">
        <v>2.1857329980195354E-2</v>
      </c>
      <c r="AB1566" s="182">
        <v>2.1854355091051048E-2</v>
      </c>
    </row>
    <row r="1567" spans="24:28" x14ac:dyDescent="0.2">
      <c r="X1567" s="186" t="str">
        <f t="shared" si="58"/>
        <v>1w</v>
      </c>
      <c r="Y1567" s="174">
        <f>_xll.qlCalendarAdvance(Calendar,Y1566,X1567,"f",FALSE)</f>
        <v>49923</v>
      </c>
      <c r="Z1567" s="198">
        <f>_xll.qlCalendarAdvance(Calendar,Y1567,NDays&amp;"D")</f>
        <v>49927</v>
      </c>
      <c r="AA1567" s="173">
        <v>2.1848315001306882E-2</v>
      </c>
      <c r="AB1567" s="182">
        <v>2.1845239896212121E-2</v>
      </c>
    </row>
    <row r="1568" spans="24:28" x14ac:dyDescent="0.2">
      <c r="X1568" s="186" t="str">
        <f t="shared" si="58"/>
        <v>1w</v>
      </c>
      <c r="Y1568" s="174">
        <f>_xll.qlCalendarAdvance(Calendar,Y1567,X1568,"f",FALSE)</f>
        <v>49930</v>
      </c>
      <c r="Z1568" s="198">
        <f>_xll.qlCalendarAdvance(Calendar,Y1568,NDays&amp;"D")</f>
        <v>49934</v>
      </c>
      <c r="AA1568" s="173">
        <v>2.1839315603226217E-2</v>
      </c>
      <c r="AB1568" s="182">
        <v>2.1836140074036337E-2</v>
      </c>
    </row>
    <row r="1569" spans="24:28" x14ac:dyDescent="0.2">
      <c r="X1569" s="186" t="str">
        <f t="shared" si="58"/>
        <v>1w</v>
      </c>
      <c r="Y1569" s="174">
        <f>_xll.qlCalendarAdvance(Calendar,Y1568,X1569,"f",FALSE)</f>
        <v>49937</v>
      </c>
      <c r="Z1569" s="198">
        <f>_xll.qlCalendarAdvance(Calendar,Y1569,NDays&amp;"D")</f>
        <v>49941</v>
      </c>
      <c r="AA1569" s="173">
        <v>2.1830331785745342E-2</v>
      </c>
      <c r="AB1569" s="182">
        <v>2.1827055624763503E-2</v>
      </c>
    </row>
    <row r="1570" spans="24:28" x14ac:dyDescent="0.2">
      <c r="X1570" s="186" t="str">
        <f t="shared" si="58"/>
        <v>1w</v>
      </c>
      <c r="Y1570" s="174">
        <f>_xll.qlCalendarAdvance(Calendar,Y1569,X1570,"f",FALSE)</f>
        <v>49944</v>
      </c>
      <c r="Z1570" s="198">
        <f>_xll.qlCalendarAdvance(Calendar,Y1570,NDays&amp;"D")</f>
        <v>49948</v>
      </c>
      <c r="AA1570" s="173">
        <v>2.1821387272727404E-2</v>
      </c>
      <c r="AB1570" s="182">
        <v>2.1817986548233748E-2</v>
      </c>
    </row>
    <row r="1571" spans="24:28" x14ac:dyDescent="0.2">
      <c r="X1571" s="186" t="str">
        <f t="shared" si="58"/>
        <v>1w</v>
      </c>
      <c r="Y1571" s="174">
        <f>_xll.qlCalendarAdvance(Calendar,Y1570,X1571,"f",FALSE)</f>
        <v>49951</v>
      </c>
      <c r="Z1571" s="198">
        <f>_xll.qlCalendarAdvance(Calendar,Y1571,NDays&amp;"D")</f>
        <v>49955</v>
      </c>
      <c r="AA1571" s="173">
        <v>2.1812435189128156E-2</v>
      </c>
      <c r="AB1571" s="182">
        <v>2.1808932844447071E-2</v>
      </c>
    </row>
    <row r="1572" spans="24:28" x14ac:dyDescent="0.2">
      <c r="X1572" s="186" t="str">
        <f t="shared" si="58"/>
        <v>1w</v>
      </c>
      <c r="Y1572" s="174">
        <f>_xll.qlCalendarAdvance(Calendar,Y1571,X1572,"f",FALSE)</f>
        <v>49958</v>
      </c>
      <c r="Z1572" s="198">
        <f>_xll.qlCalendarAdvance(Calendar,Y1572,NDays&amp;"D")</f>
        <v>49962</v>
      </c>
      <c r="AA1572" s="173">
        <v>2.1803498686647722E-2</v>
      </c>
      <c r="AB1572" s="182">
        <v>2.1799894513323537E-2</v>
      </c>
    </row>
    <row r="1573" spans="24:28" x14ac:dyDescent="0.2">
      <c r="X1573" s="186" t="str">
        <f t="shared" si="58"/>
        <v>1w</v>
      </c>
      <c r="Y1573" s="174">
        <f>_xll.qlCalendarAdvance(Calendar,Y1572,X1573,"f",FALSE)</f>
        <v>49965</v>
      </c>
      <c r="Z1573" s="198">
        <f>_xll.qlCalendarAdvance(Calendar,Y1573,NDays&amp;"D")</f>
        <v>49969</v>
      </c>
      <c r="AA1573" s="173">
        <v>2.1794577765077476E-2</v>
      </c>
      <c r="AB1573" s="182">
        <v>2.1790871555102953E-2</v>
      </c>
    </row>
    <row r="1574" spans="24:28" x14ac:dyDescent="0.2">
      <c r="X1574" s="186" t="str">
        <f t="shared" si="58"/>
        <v>1w</v>
      </c>
      <c r="Y1574" s="174">
        <f>_xll.qlCalendarAdvance(Calendar,Y1573,X1574,"f",FALSE)</f>
        <v>49972</v>
      </c>
      <c r="Z1574" s="198">
        <f>_xll.qlCalendarAdvance(Calendar,Y1574,NDays&amp;"D")</f>
        <v>49976</v>
      </c>
      <c r="AA1574" s="173">
        <v>2.1785672424209236E-2</v>
      </c>
      <c r="AB1574" s="182">
        <v>2.1781863969625448E-2</v>
      </c>
    </row>
    <row r="1575" spans="24:28" x14ac:dyDescent="0.2">
      <c r="X1575" s="186" t="str">
        <f t="shared" si="58"/>
        <v>1w</v>
      </c>
      <c r="Y1575" s="174">
        <f>_xll.qlCalendarAdvance(Calendar,Y1574,X1575,"f",FALSE)</f>
        <v>49979</v>
      </c>
      <c r="Z1575" s="198">
        <f>_xll.qlCalendarAdvance(Calendar,Y1575,NDays&amp;"D")</f>
        <v>49983</v>
      </c>
      <c r="AA1575" s="173">
        <v>2.1776756061794821E-2</v>
      </c>
      <c r="AB1575" s="182">
        <v>2.1772871756891021E-2</v>
      </c>
    </row>
    <row r="1576" spans="24:28" x14ac:dyDescent="0.2">
      <c r="X1576" s="186" t="str">
        <f t="shared" si="58"/>
        <v>1w</v>
      </c>
      <c r="Y1576" s="174">
        <f>_xll.qlCalendarAdvance(Calendar,Y1575,X1576,"f",FALSE)</f>
        <v>49986</v>
      </c>
      <c r="Z1576" s="198">
        <f>_xll.qlCalendarAdvance(Calendar,Y1576,NDays&amp;"D")</f>
        <v>49990</v>
      </c>
      <c r="AA1576" s="173">
        <v>2.1767881302691746E-2</v>
      </c>
      <c r="AB1576" s="182">
        <v>2.1763894916819737E-2</v>
      </c>
    </row>
    <row r="1577" spans="24:28" x14ac:dyDescent="0.2">
      <c r="X1577" s="186" t="str">
        <f t="shared" si="58"/>
        <v>1w</v>
      </c>
      <c r="Y1577" s="174">
        <f>_xll.qlCalendarAdvance(Calendar,Y1576,X1577,"f",FALSE)</f>
        <v>49993</v>
      </c>
      <c r="Z1577" s="198">
        <f>_xll.qlCalendarAdvance(Calendar,Y1577,NDays&amp;"D")</f>
        <v>49997</v>
      </c>
      <c r="AA1577" s="173">
        <v>2.1759022122530124E-2</v>
      </c>
      <c r="AB1577" s="182">
        <v>2.1754933449651404E-2</v>
      </c>
    </row>
    <row r="1578" spans="24:28" x14ac:dyDescent="0.2">
      <c r="X1578" s="186" t="str">
        <f t="shared" si="58"/>
        <v>1w</v>
      </c>
      <c r="Y1578" s="174">
        <f>_xll.qlCalendarAdvance(Calendar,Y1577,X1578,"f",FALSE)</f>
        <v>50000</v>
      </c>
      <c r="Z1578" s="198">
        <f>_xll.qlCalendarAdvance(Calendar,Y1578,NDays&amp;"D")</f>
        <v>50004</v>
      </c>
      <c r="AA1578" s="173">
        <v>2.1750178521105033E-2</v>
      </c>
      <c r="AB1578" s="182">
        <v>2.1745987355226148E-2</v>
      </c>
    </row>
    <row r="1579" spans="24:28" x14ac:dyDescent="0.2">
      <c r="X1579" s="186" t="str">
        <f t="shared" si="58"/>
        <v>1w</v>
      </c>
      <c r="Y1579" s="174">
        <f>_xll.qlCalendarAdvance(Calendar,Y1578,X1579,"f",FALSE)</f>
        <v>50007</v>
      </c>
      <c r="Z1579" s="198">
        <f>_xll.qlCalendarAdvance(Calendar,Y1579,NDays&amp;"D")</f>
        <v>50011</v>
      </c>
      <c r="AA1579" s="173">
        <v>2.1741379423141898E-2</v>
      </c>
      <c r="AB1579" s="182">
        <v>2.1737056633464036E-2</v>
      </c>
    </row>
    <row r="1580" spans="24:28" x14ac:dyDescent="0.2">
      <c r="X1580" s="186" t="str">
        <f t="shared" si="58"/>
        <v>1w</v>
      </c>
      <c r="Y1580" s="174">
        <f>_xll.qlCalendarAdvance(Calendar,Y1579,X1580,"f",FALSE)</f>
        <v>50014</v>
      </c>
      <c r="Z1580" s="198">
        <f>_xll.qlCalendarAdvance(Calendar,Y1580,NDays&amp;"D")</f>
        <v>50018</v>
      </c>
      <c r="AA1580" s="173">
        <v>2.1732567562135749E-2</v>
      </c>
      <c r="AB1580" s="182">
        <v>2.1728141284524938E-2</v>
      </c>
    </row>
    <row r="1581" spans="24:28" x14ac:dyDescent="0.2">
      <c r="X1581" s="186" t="str">
        <f t="shared" si="58"/>
        <v>1w</v>
      </c>
      <c r="Y1581" s="174">
        <f>_xll.qlCalendarAdvance(Calendar,Y1580,X1581,"f",FALSE)</f>
        <v>50021</v>
      </c>
      <c r="Z1581" s="198">
        <f>_xll.qlCalendarAdvance(Calendar,Y1581,NDays&amp;"D")</f>
        <v>50025</v>
      </c>
      <c r="AA1581" s="173">
        <v>2.1723771280385287E-2</v>
      </c>
      <c r="AB1581" s="182">
        <v>2.1719241308328918E-2</v>
      </c>
    </row>
    <row r="1582" spans="24:28" x14ac:dyDescent="0.2">
      <c r="X1582" s="186" t="str">
        <f t="shared" si="58"/>
        <v>1w</v>
      </c>
      <c r="Y1582" s="174">
        <f>_xll.qlCalendarAdvance(Calendar,Y1581,X1582,"f",FALSE)</f>
        <v>50028</v>
      </c>
      <c r="Z1582" s="198">
        <f>_xll.qlCalendarAdvance(Calendar,Y1582,NDays&amp;"D")</f>
        <v>50032</v>
      </c>
      <c r="AA1582" s="173">
        <v>2.1714990577684522E-2</v>
      </c>
      <c r="AB1582" s="182">
        <v>2.1710356704875977E-2</v>
      </c>
    </row>
    <row r="1583" spans="24:28" x14ac:dyDescent="0.2">
      <c r="X1583" s="186" t="str">
        <f t="shared" si="58"/>
        <v>1w</v>
      </c>
      <c r="Y1583" s="174">
        <f>_xll.qlCalendarAdvance(Calendar,Y1582,X1583,"f",FALSE)</f>
        <v>50038</v>
      </c>
      <c r="Z1583" s="198">
        <f>_xll.qlCalendarAdvance(Calendar,Y1583,NDays&amp;"D")</f>
        <v>50040</v>
      </c>
      <c r="AA1583" s="173">
        <v>2.1704943215086057E-2</v>
      </c>
      <c r="AB1583" s="182">
        <v>2.1700242953159865E-2</v>
      </c>
    </row>
    <row r="1584" spans="24:28" x14ac:dyDescent="0.2">
      <c r="X1584" s="186" t="str">
        <f t="shared" si="58"/>
        <v>1w</v>
      </c>
      <c r="Y1584" s="174">
        <f>_xll.qlCalendarAdvance(Calendar,Y1583,X1584,"f",FALSE)</f>
        <v>50045</v>
      </c>
      <c r="Z1584" s="198">
        <f>_xll.qlCalendarAdvance(Calendar,Y1584,NDays&amp;"D")</f>
        <v>50047</v>
      </c>
      <c r="AA1584" s="173">
        <v>2.1696195307122076E-2</v>
      </c>
      <c r="AB1584" s="182">
        <v>2.1691370034320201E-2</v>
      </c>
    </row>
    <row r="1585" spans="24:28" x14ac:dyDescent="0.2">
      <c r="X1585" s="186" t="str">
        <f t="shared" si="58"/>
        <v>1w</v>
      </c>
      <c r="Y1585" s="174">
        <f>_xll.qlCalendarAdvance(Calendar,Y1584,X1585,"f",FALSE)</f>
        <v>50052</v>
      </c>
      <c r="Z1585" s="198">
        <f>_xll.qlCalendarAdvance(Calendar,Y1585,NDays&amp;"D")</f>
        <v>50054</v>
      </c>
      <c r="AA1585" s="173">
        <v>2.168746297643635E-2</v>
      </c>
      <c r="AB1585" s="182">
        <v>2.1682533745259747E-2</v>
      </c>
    </row>
    <row r="1586" spans="24:28" x14ac:dyDescent="0.2">
      <c r="X1586" s="186" t="str">
        <f t="shared" si="58"/>
        <v>1w</v>
      </c>
      <c r="Y1586" s="174">
        <f>_xll.qlCalendarAdvance(Calendar,Y1585,X1586,"f",FALSE)</f>
        <v>50059</v>
      </c>
      <c r="Z1586" s="198">
        <f>_xll.qlCalendarAdvance(Calendar,Y1586,NDays&amp;"D")</f>
        <v>50061</v>
      </c>
      <c r="AA1586" s="173">
        <v>2.1678746222826603E-2</v>
      </c>
      <c r="AB1586" s="182">
        <v>2.1673712828862435E-2</v>
      </c>
    </row>
    <row r="1587" spans="24:28" x14ac:dyDescent="0.2">
      <c r="X1587" s="186" t="str">
        <f t="shared" si="58"/>
        <v>1w</v>
      </c>
      <c r="Y1587" s="174">
        <f>_xll.qlCalendarAdvance(Calendar,Y1586,X1587,"f",FALSE)</f>
        <v>50066</v>
      </c>
      <c r="Z1587" s="198">
        <f>_xll.qlCalendarAdvance(Calendar,Y1587,NDays&amp;"D")</f>
        <v>50068</v>
      </c>
      <c r="AA1587" s="173">
        <v>2.1670045046090131E-2</v>
      </c>
      <c r="AB1587" s="182">
        <v>2.1664907285368074E-2</v>
      </c>
    </row>
    <row r="1588" spans="24:28" x14ac:dyDescent="0.2">
      <c r="X1588" s="186" t="str">
        <f t="shared" si="58"/>
        <v>1w</v>
      </c>
      <c r="Y1588" s="174">
        <f>_xll.qlCalendarAdvance(Calendar,Y1587,X1588,"f",FALSE)</f>
        <v>50073</v>
      </c>
      <c r="Z1588" s="198">
        <f>_xll.qlCalendarAdvance(Calendar,Y1588,NDays&amp;"D")</f>
        <v>50075</v>
      </c>
      <c r="AA1588" s="173">
        <v>2.166135944602466E-2</v>
      </c>
      <c r="AB1588" s="182">
        <v>2.1656117114456919E-2</v>
      </c>
    </row>
    <row r="1589" spans="24:28" x14ac:dyDescent="0.2">
      <c r="X1589" s="186" t="str">
        <f t="shared" si="58"/>
        <v>1w</v>
      </c>
      <c r="Y1589" s="174">
        <f>_xll.qlCalendarAdvance(Calendar,Y1588,X1589,"f",FALSE)</f>
        <v>50080</v>
      </c>
      <c r="Z1589" s="198">
        <f>_xll.qlCalendarAdvance(Calendar,Y1589,NDays&amp;"D")</f>
        <v>50082</v>
      </c>
      <c r="AA1589" s="173">
        <v>2.1652689422429247E-2</v>
      </c>
      <c r="AB1589" s="182">
        <v>2.1647342316368778E-2</v>
      </c>
    </row>
    <row r="1590" spans="24:28" x14ac:dyDescent="0.2">
      <c r="X1590" s="186" t="str">
        <f t="shared" si="58"/>
        <v>1w</v>
      </c>
      <c r="Y1590" s="174">
        <f>_xll.qlCalendarAdvance(Calendar,Y1589,X1590,"f",FALSE)</f>
        <v>50087</v>
      </c>
      <c r="Z1590" s="198">
        <f>_xll.qlCalendarAdvance(Calendar,Y1590,NDays&amp;"D")</f>
        <v>50089</v>
      </c>
      <c r="AA1590" s="173">
        <v>2.1644034975102509E-2</v>
      </c>
      <c r="AB1590" s="182">
        <v>2.1638582891023717E-2</v>
      </c>
    </row>
    <row r="1591" spans="24:28" x14ac:dyDescent="0.2">
      <c r="X1591" s="186" t="str">
        <f t="shared" si="58"/>
        <v>1w</v>
      </c>
      <c r="Y1591" s="174">
        <f>_xll.qlCalendarAdvance(Calendar,Y1590,X1591,"f",FALSE)</f>
        <v>50094</v>
      </c>
      <c r="Z1591" s="198">
        <f>_xll.qlCalendarAdvance(Calendar,Y1591,NDays&amp;"D")</f>
        <v>50096</v>
      </c>
      <c r="AA1591" s="173">
        <v>2.1635396103843497E-2</v>
      </c>
      <c r="AB1591" s="182">
        <v>2.1629838838421733E-2</v>
      </c>
    </row>
    <row r="1592" spans="24:28" x14ac:dyDescent="0.2">
      <c r="X1592" s="186" t="str">
        <f t="shared" si="58"/>
        <v>1w</v>
      </c>
      <c r="Y1592" s="174">
        <f>_xll.qlCalendarAdvance(Calendar,Y1591,X1592,"f",FALSE)</f>
        <v>50101</v>
      </c>
      <c r="Z1592" s="198">
        <f>_xll.qlCalendarAdvance(Calendar,Y1592,NDays&amp;"D")</f>
        <v>50103</v>
      </c>
      <c r="AA1592" s="173">
        <v>2.1626883038948729E-2</v>
      </c>
      <c r="AB1592" s="182">
        <v>2.1621110158482892E-2</v>
      </c>
    </row>
    <row r="1593" spans="24:28" x14ac:dyDescent="0.2">
      <c r="X1593" s="186" t="str">
        <f t="shared" si="58"/>
        <v>1w</v>
      </c>
      <c r="Y1593" s="174">
        <f>_xll.qlCalendarAdvance(Calendar,Y1592,X1593,"f",FALSE)</f>
        <v>50108</v>
      </c>
      <c r="Z1593" s="198">
        <f>_xll.qlCalendarAdvance(Calendar,Y1593,NDays&amp;"D")</f>
        <v>50110</v>
      </c>
      <c r="AA1593" s="173">
        <v>2.1618277114738512E-2</v>
      </c>
      <c r="AB1593" s="182">
        <v>2.1612396851447002E-2</v>
      </c>
    </row>
    <row r="1594" spans="24:28" x14ac:dyDescent="0.2">
      <c r="X1594" s="186" t="str">
        <f t="shared" si="58"/>
        <v>1w</v>
      </c>
      <c r="Y1594" s="174">
        <f>_xll.qlCalendarAdvance(Calendar,Y1593,X1594,"f",FALSE)</f>
        <v>50115</v>
      </c>
      <c r="Z1594" s="198">
        <f>_xll.qlCalendarAdvance(Calendar,Y1594,NDays&amp;"D")</f>
        <v>50117</v>
      </c>
      <c r="AA1594" s="173">
        <v>2.1609686769353049E-2</v>
      </c>
      <c r="AB1594" s="182">
        <v>2.160369891715419E-2</v>
      </c>
    </row>
    <row r="1595" spans="24:28" x14ac:dyDescent="0.2">
      <c r="X1595" s="186" t="str">
        <f t="shared" si="58"/>
        <v>1w</v>
      </c>
      <c r="Y1595" s="174">
        <f>_xll.qlCalendarAdvance(Calendar,Y1594,X1595,"f",FALSE)</f>
        <v>50122</v>
      </c>
      <c r="Z1595" s="198">
        <f>_xll.qlCalendarAdvance(Calendar,Y1595,NDays&amp;"D")</f>
        <v>50124</v>
      </c>
      <c r="AA1595" s="173">
        <v>2.1601112002589892E-2</v>
      </c>
      <c r="AB1595" s="182">
        <v>2.1595016355444585E-2</v>
      </c>
    </row>
    <row r="1596" spans="24:28" x14ac:dyDescent="0.2">
      <c r="X1596" s="186" t="str">
        <f t="shared" si="58"/>
        <v>1w</v>
      </c>
      <c r="Y1596" s="174">
        <f>_xll.qlCalendarAdvance(Calendar,Y1595,X1596,"f",FALSE)</f>
        <v>50129</v>
      </c>
      <c r="Z1596" s="198">
        <f>_xll.qlCalendarAdvance(Calendar,Y1596,NDays&amp;"D")</f>
        <v>50131</v>
      </c>
      <c r="AA1596" s="173">
        <v>2.1592513610743269E-2</v>
      </c>
      <c r="AB1596" s="182">
        <v>2.1586349166557994E-2</v>
      </c>
    </row>
    <row r="1597" spans="24:28" x14ac:dyDescent="0.2">
      <c r="X1597" s="186" t="str">
        <f t="shared" si="58"/>
        <v>1w</v>
      </c>
      <c r="Y1597" s="174">
        <f>_xll.qlCalendarAdvance(Calendar,Y1596,X1597,"f",FALSE)</f>
        <v>50137</v>
      </c>
      <c r="Z1597" s="198">
        <f>_xll.qlCalendarAdvance(Calendar,Y1597,NDays&amp;"D")</f>
        <v>50139</v>
      </c>
      <c r="AA1597" s="173">
        <v>2.1582750067213323E-2</v>
      </c>
      <c r="AB1597" s="182">
        <v>2.1576462631527349E-2</v>
      </c>
    </row>
    <row r="1598" spans="24:28" x14ac:dyDescent="0.2">
      <c r="X1598" s="186" t="str">
        <f t="shared" si="58"/>
        <v>1w</v>
      </c>
      <c r="Y1598" s="174">
        <f>_xll.qlCalendarAdvance(Calendar,Y1597,X1598,"f",FALSE)</f>
        <v>50144</v>
      </c>
      <c r="Z1598" s="198">
        <f>_xll.qlCalendarAdvance(Calendar,Y1598,NDays&amp;"D")</f>
        <v>50146</v>
      </c>
      <c r="AA1598" s="173">
        <v>2.1574223656141055E-2</v>
      </c>
      <c r="AB1598" s="182">
        <v>2.1567828384130294E-2</v>
      </c>
    </row>
    <row r="1599" spans="24:28" x14ac:dyDescent="0.2">
      <c r="X1599" s="186" t="str">
        <f t="shared" si="58"/>
        <v>1w</v>
      </c>
      <c r="Y1599" s="174">
        <f>_xll.qlCalendarAdvance(Calendar,Y1598,X1599,"f",FALSE)</f>
        <v>50151</v>
      </c>
      <c r="Z1599" s="198">
        <f>_xll.qlCalendarAdvance(Calendar,Y1599,NDays&amp;"D")</f>
        <v>50153</v>
      </c>
      <c r="AA1599" s="173">
        <v>2.1565712821743164E-2</v>
      </c>
      <c r="AB1599" s="182">
        <v>2.1559209509556254E-2</v>
      </c>
    </row>
    <row r="1600" spans="24:28" x14ac:dyDescent="0.2">
      <c r="X1600" s="186" t="str">
        <f t="shared" si="58"/>
        <v>1w</v>
      </c>
      <c r="Y1600" s="174">
        <f>_xll.qlCalendarAdvance(Calendar,Y1599,X1600,"f",FALSE)</f>
        <v>50158</v>
      </c>
      <c r="Z1600" s="198">
        <f>_xll.qlCalendarAdvance(Calendar,Y1600,NDays&amp;"D")</f>
        <v>50160</v>
      </c>
      <c r="AA1600" s="173">
        <v>2.1557217563818717E-2</v>
      </c>
      <c r="AB1600" s="182">
        <v>2.1550699462049572E-2</v>
      </c>
    </row>
    <row r="1601" spans="24:28" x14ac:dyDescent="0.2">
      <c r="X1601" s="186" t="str">
        <f t="shared" si="58"/>
        <v>1w</v>
      </c>
      <c r="Y1601" s="174">
        <f>_xll.qlCalendarAdvance(Calendar,Y1600,X1601,"f",FALSE)</f>
        <v>50165</v>
      </c>
      <c r="Z1601" s="198">
        <f>_xll.qlCalendarAdvance(Calendar,Y1601,NDays&amp;"D")</f>
        <v>50167</v>
      </c>
      <c r="AA1601" s="173">
        <v>2.154886501321716E-2</v>
      </c>
      <c r="AB1601" s="182">
        <v>2.1542017878637409E-2</v>
      </c>
    </row>
    <row r="1602" spans="24:28" x14ac:dyDescent="0.2">
      <c r="X1602" s="186" t="str">
        <f t="shared" si="58"/>
        <v>1w</v>
      </c>
      <c r="Y1602" s="174">
        <f>_xll.qlCalendarAdvance(Calendar,Y1601,X1602,"f",FALSE)</f>
        <v>50172</v>
      </c>
      <c r="Z1602" s="198">
        <f>_xll.qlCalendarAdvance(Calendar,Y1602,NDays&amp;"D")</f>
        <v>50174</v>
      </c>
      <c r="AA1602" s="173">
        <v>2.154040273450757E-2</v>
      </c>
      <c r="AB1602" s="182">
        <v>2.1533445122212669E-2</v>
      </c>
    </row>
    <row r="1603" spans="24:28" x14ac:dyDescent="0.2">
      <c r="X1603" s="186" t="str">
        <f t="shared" si="58"/>
        <v>1w</v>
      </c>
      <c r="Y1603" s="174">
        <f>_xll.qlCalendarAdvance(Calendar,Y1602,X1603,"f",FALSE)</f>
        <v>50179</v>
      </c>
      <c r="Z1603" s="198">
        <f>_xll.qlCalendarAdvance(Calendar,Y1603,NDays&amp;"D")</f>
        <v>50181</v>
      </c>
      <c r="AA1603" s="173">
        <v>2.1531956035002568E-2</v>
      </c>
      <c r="AB1603" s="182">
        <v>2.1524887738531007E-2</v>
      </c>
    </row>
    <row r="1604" spans="24:28" x14ac:dyDescent="0.2">
      <c r="X1604" s="186" t="str">
        <f t="shared" si="58"/>
        <v>1w</v>
      </c>
      <c r="Y1604" s="174">
        <f>_xll.qlCalendarAdvance(Calendar,Y1603,X1604,"f",FALSE)</f>
        <v>50186</v>
      </c>
      <c r="Z1604" s="198">
        <f>_xll.qlCalendarAdvance(Calendar,Y1604,NDays&amp;"D")</f>
        <v>50188</v>
      </c>
      <c r="AA1604" s="173">
        <v>2.1523524914500176E-2</v>
      </c>
      <c r="AB1604" s="182">
        <v>2.1516345727592423E-2</v>
      </c>
    </row>
    <row r="1605" spans="24:28" x14ac:dyDescent="0.2">
      <c r="X1605" s="186" t="str">
        <f t="shared" si="58"/>
        <v>1w</v>
      </c>
      <c r="Y1605" s="174">
        <f>_xll.qlCalendarAdvance(Calendar,Y1604,X1605,"f",FALSE)</f>
        <v>50193</v>
      </c>
      <c r="Z1605" s="198">
        <f>_xll.qlCalendarAdvance(Calendar,Y1605,NDays&amp;"D")</f>
        <v>50195</v>
      </c>
      <c r="AA1605" s="173">
        <v>2.151497491433935E-2</v>
      </c>
      <c r="AB1605" s="182">
        <v>2.1507819089396918E-2</v>
      </c>
    </row>
    <row r="1606" spans="24:28" x14ac:dyDescent="0.2">
      <c r="X1606" s="186" t="str">
        <f t="shared" si="58"/>
        <v>1w</v>
      </c>
      <c r="Y1606" s="174">
        <f>_xll.qlCalendarAdvance(Calendar,Y1605,X1606,"f",FALSE)</f>
        <v>50200</v>
      </c>
      <c r="Z1606" s="198">
        <f>_xll.qlCalendarAdvance(Calendar,Y1606,NDays&amp;"D")</f>
        <v>50202</v>
      </c>
      <c r="AA1606" s="173">
        <v>2.1506573111084483E-2</v>
      </c>
      <c r="AB1606" s="182">
        <v>2.1499307823784619E-2</v>
      </c>
    </row>
    <row r="1607" spans="24:28" x14ac:dyDescent="0.2">
      <c r="X1607" s="186" t="str">
        <f t="shared" si="58"/>
        <v>1w</v>
      </c>
      <c r="Y1607" s="174">
        <f>_xll.qlCalendarAdvance(Calendar,Y1606,X1607,"f",FALSE)</f>
        <v>50207</v>
      </c>
      <c r="Z1607" s="198">
        <f>_xll.qlCalendarAdvance(Calendar,Y1607,NDays&amp;"D")</f>
        <v>50209</v>
      </c>
      <c r="AA1607" s="173">
        <v>2.149818688291575E-2</v>
      </c>
      <c r="AB1607" s="182">
        <v>2.1490811931075271E-2</v>
      </c>
    </row>
    <row r="1608" spans="24:28" x14ac:dyDescent="0.2">
      <c r="X1608" s="186" t="str">
        <f t="shared" si="58"/>
        <v>1w</v>
      </c>
      <c r="Y1608" s="174">
        <f>_xll.qlCalendarAdvance(Calendar,Y1607,X1608,"f",FALSE)</f>
        <v>50214</v>
      </c>
      <c r="Z1608" s="198">
        <f>_xll.qlCalendarAdvance(Calendar,Y1608,NDays&amp;"D")</f>
        <v>50216</v>
      </c>
      <c r="AA1608" s="173">
        <v>2.1489956218506079E-2</v>
      </c>
      <c r="AB1608" s="182">
        <v>2.1482331411029065E-2</v>
      </c>
    </row>
    <row r="1609" spans="24:28" x14ac:dyDescent="0.2">
      <c r="X1609" s="186" t="str">
        <f t="shared" si="58"/>
        <v>1w</v>
      </c>
      <c r="Y1609" s="174">
        <f>_xll.qlCalendarAdvance(Calendar,Y1608,X1609,"f",FALSE)</f>
        <v>50221</v>
      </c>
      <c r="Z1609" s="198">
        <f>_xll.qlCalendarAdvance(Calendar,Y1609,NDays&amp;"D")</f>
        <v>50223</v>
      </c>
      <c r="AA1609" s="173">
        <v>2.1481602990010076E-2</v>
      </c>
      <c r="AB1609" s="182">
        <v>2.1473866263725938E-2</v>
      </c>
    </row>
    <row r="1610" spans="24:28" x14ac:dyDescent="0.2">
      <c r="X1610" s="186" t="str">
        <f t="shared" si="58"/>
        <v>1w</v>
      </c>
      <c r="Y1610" s="174">
        <f>_xll.qlCalendarAdvance(Calendar,Y1609,X1610,"f",FALSE)</f>
        <v>50228</v>
      </c>
      <c r="Z1610" s="198">
        <f>_xll.qlCalendarAdvance(Calendar,Y1610,NDays&amp;"D")</f>
        <v>50230</v>
      </c>
      <c r="AA1610" s="173">
        <v>2.1473265339316778E-2</v>
      </c>
      <c r="AB1610" s="182">
        <v>2.1465416489165889E-2</v>
      </c>
    </row>
    <row r="1611" spans="24:28" x14ac:dyDescent="0.2">
      <c r="X1611" s="186" t="str">
        <f t="shared" si="58"/>
        <v>1w</v>
      </c>
      <c r="Y1611" s="174">
        <f>_xll.qlCalendarAdvance(Calendar,Y1610,X1611,"f",FALSE)</f>
        <v>50235</v>
      </c>
      <c r="Z1611" s="198">
        <f>_xll.qlCalendarAdvance(Calendar,Y1611,NDays&amp;"D")</f>
        <v>50237</v>
      </c>
      <c r="AA1611" s="173">
        <v>2.1464943266226773E-2</v>
      </c>
      <c r="AB1611" s="182">
        <v>2.1456982087268983E-2</v>
      </c>
    </row>
    <row r="1612" spans="24:28" x14ac:dyDescent="0.2">
      <c r="X1612" s="186" t="str">
        <f t="shared" si="58"/>
        <v>1w</v>
      </c>
      <c r="Y1612" s="174">
        <f>_xll.qlCalendarAdvance(Calendar,Y1611,X1612,"f",FALSE)</f>
        <v>50242</v>
      </c>
      <c r="Z1612" s="198">
        <f>_xll.qlCalendarAdvance(Calendar,Y1612,NDays&amp;"D")</f>
        <v>50244</v>
      </c>
      <c r="AA1612" s="173">
        <v>2.1456636770542371E-2</v>
      </c>
      <c r="AB1612" s="182">
        <v>2.1448563058115155E-2</v>
      </c>
    </row>
    <row r="1613" spans="24:28" x14ac:dyDescent="0.2">
      <c r="X1613" s="186" t="str">
        <f t="shared" si="58"/>
        <v>1w</v>
      </c>
      <c r="Y1613" s="174">
        <f>_xll.qlCalendarAdvance(Calendar,Y1612,X1613,"f",FALSE)</f>
        <v>50249</v>
      </c>
      <c r="Z1613" s="198">
        <f>_xll.qlCalendarAdvance(Calendar,Y1613,NDays&amp;"D")</f>
        <v>50251</v>
      </c>
      <c r="AA1613" s="173">
        <v>2.1448196579725663E-2</v>
      </c>
      <c r="AB1613" s="182">
        <v>2.144015940162447E-2</v>
      </c>
    </row>
    <row r="1614" spans="24:28" x14ac:dyDescent="0.2">
      <c r="X1614" s="186" t="str">
        <f t="shared" si="58"/>
        <v>1w</v>
      </c>
      <c r="Y1614" s="174">
        <f>_xll.qlCalendarAdvance(Calendar,Y1613,X1614,"f",FALSE)</f>
        <v>50256</v>
      </c>
      <c r="Z1614" s="198">
        <f>_xll.qlCalendarAdvance(Calendar,Y1614,NDays&amp;"D")</f>
        <v>50258</v>
      </c>
      <c r="AA1614" s="173">
        <v>2.1440070510595738E-2</v>
      </c>
      <c r="AB1614" s="182">
        <v>2.1431771117956799E-2</v>
      </c>
    </row>
    <row r="1615" spans="24:28" x14ac:dyDescent="0.2">
      <c r="X1615" s="186" t="str">
        <f t="shared" si="58"/>
        <v>1w</v>
      </c>
      <c r="Y1615" s="174">
        <f>_xll.qlCalendarAdvance(Calendar,Y1614,X1615,"f",FALSE)</f>
        <v>50263</v>
      </c>
      <c r="Z1615" s="198">
        <f>_xll.qlCalendarAdvance(Calendar,Y1615,NDays&amp;"D")</f>
        <v>50265</v>
      </c>
      <c r="AA1615" s="173">
        <v>2.1431810745938983E-2</v>
      </c>
      <c r="AB1615" s="182">
        <v>2.1423398206952271E-2</v>
      </c>
    </row>
    <row r="1616" spans="24:28" x14ac:dyDescent="0.2">
      <c r="X1616" s="186" t="str">
        <f t="shared" si="58"/>
        <v>1w</v>
      </c>
      <c r="Y1616" s="174">
        <f>_xll.qlCalendarAdvance(Calendar,Y1615,X1616,"f",FALSE)</f>
        <v>50270</v>
      </c>
      <c r="Z1616" s="198">
        <f>_xll.qlCalendarAdvance(Calendar,Y1616,NDays&amp;"D")</f>
        <v>50272</v>
      </c>
      <c r="AA1616" s="173">
        <v>2.1423566557897497E-2</v>
      </c>
      <c r="AB1616" s="182">
        <v>2.1415040668770757E-2</v>
      </c>
    </row>
    <row r="1617" spans="24:28" x14ac:dyDescent="0.2">
      <c r="X1617" s="186" t="str">
        <f t="shared" si="58"/>
        <v>1w</v>
      </c>
      <c r="Y1617" s="174">
        <f>_xll.qlCalendarAdvance(Calendar,Y1616,X1617,"f",FALSE)</f>
        <v>50277</v>
      </c>
      <c r="Z1617" s="198">
        <f>_xll.qlCalendarAdvance(Calendar,Y1617,NDays&amp;"D")</f>
        <v>50279</v>
      </c>
      <c r="AA1617" s="173">
        <v>2.1415181187876619E-2</v>
      </c>
      <c r="AB1617" s="182">
        <v>2.140669850317245E-2</v>
      </c>
    </row>
    <row r="1618" spans="24:28" x14ac:dyDescent="0.2">
      <c r="X1618" s="186" t="str">
        <f t="shared" si="58"/>
        <v>1w</v>
      </c>
      <c r="Y1618" s="174">
        <f>_xll.qlCalendarAdvance(Calendar,Y1617,X1618,"f",FALSE)</f>
        <v>50284</v>
      </c>
      <c r="Z1618" s="198">
        <f>_xll.qlCalendarAdvance(Calendar,Y1618,NDays&amp;"D")</f>
        <v>50286</v>
      </c>
      <c r="AA1618" s="173">
        <v>2.1406860824704579E-2</v>
      </c>
      <c r="AB1618" s="182">
        <v>2.1398371710317221E-2</v>
      </c>
    </row>
    <row r="1619" spans="24:28" x14ac:dyDescent="0.2">
      <c r="X1619" s="186" t="str">
        <f t="shared" si="58"/>
        <v>1w</v>
      </c>
      <c r="Y1619" s="174">
        <f>_xll.qlCalendarAdvance(Calendar,Y1618,X1619,"f",FALSE)</f>
        <v>50291</v>
      </c>
      <c r="Z1619" s="198">
        <f>_xll.qlCalendarAdvance(Calendar,Y1619,NDays&amp;"D")</f>
        <v>50293</v>
      </c>
      <c r="AA1619" s="173">
        <v>2.1398660227637752E-2</v>
      </c>
      <c r="AB1619" s="182">
        <v>2.1390060290125135E-2</v>
      </c>
    </row>
    <row r="1620" spans="24:28" x14ac:dyDescent="0.2">
      <c r="X1620" s="186" t="str">
        <f t="shared" si="58"/>
        <v>1w</v>
      </c>
      <c r="Y1620" s="174">
        <f>_xll.qlCalendarAdvance(Calendar,Y1619,X1620,"f",FALSE)</f>
        <v>50298</v>
      </c>
      <c r="Z1620" s="198">
        <f>_xll.qlCalendarAdvance(Calendar,Y1620,NDays&amp;"D")</f>
        <v>50300</v>
      </c>
      <c r="AA1620" s="173">
        <v>2.139047520094509E-2</v>
      </c>
      <c r="AB1620" s="182">
        <v>2.1381764242756063E-2</v>
      </c>
    </row>
    <row r="1621" spans="24:28" x14ac:dyDescent="0.2">
      <c r="X1621" s="186" t="str">
        <f t="shared" ref="X1621:X1684" si="59">X1620</f>
        <v>1w</v>
      </c>
      <c r="Y1621" s="174">
        <f>_xll.qlCalendarAdvance(Calendar,Y1620,X1621,"f",FALSE)</f>
        <v>50305</v>
      </c>
      <c r="Z1621" s="198">
        <f>_xll.qlCalendarAdvance(Calendar,Y1621,NDays&amp;"D")</f>
        <v>50307</v>
      </c>
      <c r="AA1621" s="173">
        <v>2.1382305744437127E-2</v>
      </c>
      <c r="AB1621" s="182">
        <v>2.1373483567970197E-2</v>
      </c>
    </row>
    <row r="1622" spans="24:28" x14ac:dyDescent="0.2">
      <c r="X1622" s="186" t="str">
        <f t="shared" si="59"/>
        <v>1w</v>
      </c>
      <c r="Y1622" s="174">
        <f>_xll.qlCalendarAdvance(Calendar,Y1621,X1622,"f",FALSE)</f>
        <v>50312</v>
      </c>
      <c r="Z1622" s="198">
        <f>_xll.qlCalendarAdvance(Calendar,Y1622,NDays&amp;"D")</f>
        <v>50314</v>
      </c>
      <c r="AA1622" s="173">
        <v>2.137420706656442E-2</v>
      </c>
      <c r="AB1622" s="182">
        <v>2.136521826592741E-2</v>
      </c>
    </row>
    <row r="1623" spans="24:28" x14ac:dyDescent="0.2">
      <c r="X1623" s="186" t="str">
        <f t="shared" si="59"/>
        <v>1w</v>
      </c>
      <c r="Y1623" s="174">
        <f>_xll.qlCalendarAdvance(Calendar,Y1622,X1623,"f",FALSE)</f>
        <v>50319</v>
      </c>
      <c r="Z1623" s="198">
        <f>_xll.qlCalendarAdvance(Calendar,Y1623,NDays&amp;"D")</f>
        <v>50321</v>
      </c>
      <c r="AA1623" s="173">
        <v>2.1366069381499278E-2</v>
      </c>
      <c r="AB1623" s="182">
        <v>2.1356968336707638E-2</v>
      </c>
    </row>
    <row r="1624" spans="24:28" x14ac:dyDescent="0.2">
      <c r="X1624" s="186" t="str">
        <f t="shared" si="59"/>
        <v>1w</v>
      </c>
      <c r="Y1624" s="174">
        <f>_xll.qlCalendarAdvance(Calendar,Y1623,X1624,"f",FALSE)</f>
        <v>50326</v>
      </c>
      <c r="Z1624" s="198">
        <f>_xll.qlCalendarAdvance(Calendar,Y1624,NDays&amp;"D")</f>
        <v>50328</v>
      </c>
      <c r="AA1624" s="173">
        <v>2.1357947267138862E-2</v>
      </c>
      <c r="AB1624" s="182">
        <v>2.1348733780071072E-2</v>
      </c>
    </row>
    <row r="1625" spans="24:28" x14ac:dyDescent="0.2">
      <c r="X1625" s="186" t="str">
        <f t="shared" si="59"/>
        <v>1w</v>
      </c>
      <c r="Y1625" s="174">
        <f>_xll.qlCalendarAdvance(Calendar,Y1624,X1625,"f",FALSE)</f>
        <v>50333</v>
      </c>
      <c r="Z1625" s="198">
        <f>_xll.qlCalendarAdvance(Calendar,Y1625,NDays&amp;"D")</f>
        <v>50335</v>
      </c>
      <c r="AA1625" s="173">
        <v>2.1349840723292993E-2</v>
      </c>
      <c r="AB1625" s="182">
        <v>2.1340514596097648E-2</v>
      </c>
    </row>
    <row r="1626" spans="24:28" x14ac:dyDescent="0.2">
      <c r="X1626" s="186" t="str">
        <f t="shared" si="59"/>
        <v>1w</v>
      </c>
      <c r="Y1626" s="174">
        <f>_xll.qlCalendarAdvance(Calendar,Y1625,X1626,"f",FALSE)</f>
        <v>50340</v>
      </c>
      <c r="Z1626" s="198">
        <f>_xll.qlCalendarAdvance(Calendar,Y1626,NDays&amp;"D")</f>
        <v>50342</v>
      </c>
      <c r="AA1626" s="173">
        <v>2.1341749749772373E-2</v>
      </c>
      <c r="AB1626" s="182">
        <v>2.1332310784947239E-2</v>
      </c>
    </row>
    <row r="1627" spans="24:28" x14ac:dyDescent="0.2">
      <c r="X1627" s="186" t="str">
        <f t="shared" si="59"/>
        <v>1w</v>
      </c>
      <c r="Y1627" s="174">
        <f>_xll.qlCalendarAdvance(Calendar,Y1626,X1627,"f",FALSE)</f>
        <v>50347</v>
      </c>
      <c r="Z1627" s="198">
        <f>_xll.qlCalendarAdvance(Calendar,Y1627,NDays&amp;"D")</f>
        <v>50349</v>
      </c>
      <c r="AA1627" s="173">
        <v>2.1333615968674523E-2</v>
      </c>
      <c r="AB1627" s="182">
        <v>2.1324122346459973E-2</v>
      </c>
    </row>
    <row r="1628" spans="24:28" x14ac:dyDescent="0.2">
      <c r="X1628" s="186" t="str">
        <f t="shared" si="59"/>
        <v>1w</v>
      </c>
      <c r="Y1628" s="174">
        <f>_xll.qlCalendarAdvance(Calendar,Y1627,X1628,"f",FALSE)</f>
        <v>50354</v>
      </c>
      <c r="Z1628" s="198">
        <f>_xll.qlCalendarAdvance(Calendar,Y1628,NDays&amp;"D")</f>
        <v>50356</v>
      </c>
      <c r="AA1628" s="173">
        <v>2.1325555498171313E-2</v>
      </c>
      <c r="AB1628" s="182">
        <v>2.1315949280795721E-2</v>
      </c>
    </row>
    <row r="1629" spans="24:28" x14ac:dyDescent="0.2">
      <c r="X1629" s="186" t="str">
        <f t="shared" si="59"/>
        <v>1w</v>
      </c>
      <c r="Y1629" s="174">
        <f>_xll.qlCalendarAdvance(Calendar,Y1628,X1629,"f",FALSE)</f>
        <v>50361</v>
      </c>
      <c r="Z1629" s="198">
        <f>_xll.qlCalendarAdvance(Calendar,Y1629,NDays&amp;"D")</f>
        <v>50363</v>
      </c>
      <c r="AA1629" s="173">
        <v>2.1317510596345495E-2</v>
      </c>
      <c r="AB1629" s="182">
        <v>2.1307791587554803E-2</v>
      </c>
    </row>
    <row r="1630" spans="24:28" x14ac:dyDescent="0.2">
      <c r="X1630" s="186" t="str">
        <f t="shared" si="59"/>
        <v>1w</v>
      </c>
      <c r="Y1630" s="174">
        <f>_xll.qlCalendarAdvance(Calendar,Y1629,X1630,"f",FALSE)</f>
        <v>50368</v>
      </c>
      <c r="Z1630" s="198">
        <f>_xll.qlCalendarAdvance(Calendar,Y1630,NDays&amp;"D")</f>
        <v>50370</v>
      </c>
      <c r="AA1630" s="173">
        <v>2.1309481263012034E-2</v>
      </c>
      <c r="AB1630" s="182">
        <v>2.1299649267216836E-2</v>
      </c>
    </row>
    <row r="1631" spans="24:28" x14ac:dyDescent="0.2">
      <c r="X1631" s="186" t="str">
        <f t="shared" si="59"/>
        <v>1w</v>
      </c>
      <c r="Y1631" s="174">
        <f>_xll.qlCalendarAdvance(Calendar,Y1630,X1631,"f",FALSE)</f>
        <v>50375</v>
      </c>
      <c r="Z1631" s="198">
        <f>_xll.qlCalendarAdvance(Calendar,Y1631,NDays&amp;"D")</f>
        <v>50377</v>
      </c>
      <c r="AA1631" s="173">
        <v>2.1301528430462069E-2</v>
      </c>
      <c r="AB1631" s="182">
        <v>2.1291522319542011E-2</v>
      </c>
    </row>
    <row r="1632" spans="24:28" x14ac:dyDescent="0.2">
      <c r="X1632" s="186" t="str">
        <f t="shared" si="59"/>
        <v>1w</v>
      </c>
      <c r="Y1632" s="174">
        <f>_xll.qlCalendarAdvance(Calendar,Y1631,X1632,"f",FALSE)</f>
        <v>50382</v>
      </c>
      <c r="Z1632" s="198">
        <f>_xll.qlCalendarAdvance(Calendar,Y1632,NDays&amp;"D")</f>
        <v>50384</v>
      </c>
      <c r="AA1632" s="173">
        <v>2.1293530874944011E-2</v>
      </c>
      <c r="AB1632" s="182">
        <v>2.1283410744610265E-2</v>
      </c>
    </row>
    <row r="1633" spans="24:28" x14ac:dyDescent="0.2">
      <c r="X1633" s="186" t="str">
        <f t="shared" si="59"/>
        <v>1w</v>
      </c>
      <c r="Y1633" s="174">
        <f>_xll.qlCalendarAdvance(Calendar,Y1632,X1633,"f",FALSE)</f>
        <v>50389</v>
      </c>
      <c r="Z1633" s="198">
        <f>_xll.qlCalendarAdvance(Calendar,Y1633,NDays&amp;"D")</f>
        <v>50391</v>
      </c>
      <c r="AA1633" s="173">
        <v>2.1285548888438411E-2</v>
      </c>
      <c r="AB1633" s="182">
        <v>2.1275314542341661E-2</v>
      </c>
    </row>
    <row r="1634" spans="24:28" x14ac:dyDescent="0.2">
      <c r="X1634" s="186" t="str">
        <f t="shared" si="59"/>
        <v>1w</v>
      </c>
      <c r="Y1634" s="174">
        <f>_xll.qlCalendarAdvance(Calendar,Y1633,X1634,"f",FALSE)</f>
        <v>50396</v>
      </c>
      <c r="Z1634" s="198">
        <f>_xll.qlCalendarAdvance(Calendar,Y1634,NDays&amp;"D")</f>
        <v>50398</v>
      </c>
      <c r="AA1634" s="173">
        <v>2.1277582470758595E-2</v>
      </c>
      <c r="AB1634" s="182">
        <v>2.1267388633652295E-2</v>
      </c>
    </row>
    <row r="1635" spans="24:28" x14ac:dyDescent="0.2">
      <c r="X1635" s="186" t="str">
        <f t="shared" si="59"/>
        <v>1w</v>
      </c>
      <c r="Y1635" s="174">
        <f>_xll.qlCalendarAdvance(Calendar,Y1634,X1635,"f",FALSE)</f>
        <v>50403</v>
      </c>
      <c r="Z1635" s="198">
        <f>_xll.qlCalendarAdvance(Calendar,Y1635,NDays&amp;"D")</f>
        <v>50405</v>
      </c>
      <c r="AA1635" s="173">
        <v>2.1269568117210123E-2</v>
      </c>
      <c r="AB1635" s="182">
        <v>2.1259325042377597E-2</v>
      </c>
    </row>
    <row r="1636" spans="24:28" x14ac:dyDescent="0.2">
      <c r="X1636" s="186" t="str">
        <f t="shared" si="59"/>
        <v>1w</v>
      </c>
      <c r="Y1636" s="174">
        <f>_xll.qlCalendarAdvance(Calendar,Y1635,X1636,"f",FALSE)</f>
        <v>50410</v>
      </c>
      <c r="Z1636" s="198">
        <f>_xll.qlCalendarAdvance(Calendar,Y1636,NDays&amp;"D")</f>
        <v>50412</v>
      </c>
      <c r="AA1636" s="173">
        <v>2.126163219092627E-2</v>
      </c>
      <c r="AB1636" s="182">
        <v>2.1251118171594641E-2</v>
      </c>
    </row>
    <row r="1637" spans="24:28" x14ac:dyDescent="0.2">
      <c r="X1637" s="186" t="str">
        <f t="shared" si="59"/>
        <v>1w</v>
      </c>
      <c r="Y1637" s="174">
        <f>_xll.qlCalendarAdvance(Calendar,Y1636,X1637,"f",FALSE)</f>
        <v>50417</v>
      </c>
      <c r="Z1637" s="198">
        <f>_xll.qlCalendarAdvance(Calendar,Y1637,NDays&amp;"D")</f>
        <v>50419</v>
      </c>
      <c r="AA1637" s="173">
        <v>2.1253711831837684E-2</v>
      </c>
      <c r="AB1637" s="182">
        <v>2.1243083460138479E-2</v>
      </c>
    </row>
    <row r="1638" spans="24:28" x14ac:dyDescent="0.2">
      <c r="X1638" s="186" t="str">
        <f t="shared" si="59"/>
        <v>1w</v>
      </c>
      <c r="Y1638" s="174">
        <f>_xll.qlCalendarAdvance(Calendar,Y1637,X1638,"f",FALSE)</f>
        <v>50424</v>
      </c>
      <c r="Z1638" s="198">
        <f>_xll.qlCalendarAdvance(Calendar,Y1638,NDays&amp;"D")</f>
        <v>50426</v>
      </c>
      <c r="AA1638" s="173">
        <v>2.1245807039760645E-2</v>
      </c>
      <c r="AB1638" s="182">
        <v>2.1235064121265523E-2</v>
      </c>
    </row>
    <row r="1639" spans="24:28" x14ac:dyDescent="0.2">
      <c r="X1639" s="186" t="str">
        <f t="shared" si="59"/>
        <v>1w</v>
      </c>
      <c r="Y1639" s="174">
        <f>_xll.qlCalendarAdvance(Calendar,Y1638,X1639,"f",FALSE)</f>
        <v>50431</v>
      </c>
      <c r="Z1639" s="198">
        <f>_xll.qlCalendarAdvance(Calendar,Y1639,NDays&amp;"D")</f>
        <v>50433</v>
      </c>
      <c r="AA1639" s="173">
        <v>2.1237917814511873E-2</v>
      </c>
      <c r="AB1639" s="182">
        <v>2.1227060155215582E-2</v>
      </c>
    </row>
    <row r="1640" spans="24:28" x14ac:dyDescent="0.2">
      <c r="X1640" s="186" t="str">
        <f t="shared" si="59"/>
        <v>1w</v>
      </c>
      <c r="Y1640" s="174">
        <f>_xll.qlCalendarAdvance(Calendar,Y1639,X1640,"f",FALSE)</f>
        <v>50438</v>
      </c>
      <c r="Z1640" s="198">
        <f>_xll.qlCalendarAdvance(Calendar,Y1640,NDays&amp;"D")</f>
        <v>50440</v>
      </c>
      <c r="AA1640" s="173">
        <v>2.1230044155907207E-2</v>
      </c>
      <c r="AB1640" s="182">
        <v>2.1219071561828784E-2</v>
      </c>
    </row>
    <row r="1641" spans="24:28" x14ac:dyDescent="0.2">
      <c r="X1641" s="186" t="str">
        <f t="shared" si="59"/>
        <v>1w</v>
      </c>
      <c r="Y1641" s="174">
        <f>_xll.qlCalendarAdvance(Calendar,Y1640,X1641,"f",FALSE)</f>
        <v>50445</v>
      </c>
      <c r="Z1641" s="198">
        <f>_xll.qlCalendarAdvance(Calendar,Y1641,NDays&amp;"D")</f>
        <v>50447</v>
      </c>
      <c r="AA1641" s="173">
        <v>2.1222186063765577E-2</v>
      </c>
      <c r="AB1641" s="182">
        <v>2.1211098341025192E-2</v>
      </c>
    </row>
    <row r="1642" spans="24:28" x14ac:dyDescent="0.2">
      <c r="X1642" s="186" t="str">
        <f t="shared" si="59"/>
        <v>1w</v>
      </c>
      <c r="Y1642" s="174">
        <f>_xll.qlCalendarAdvance(Calendar,Y1641,X1642,"f",FALSE)</f>
        <v>50452</v>
      </c>
      <c r="Z1642" s="198">
        <f>_xll.qlCalendarAdvance(Calendar,Y1642,NDays&amp;"D")</f>
        <v>50454</v>
      </c>
      <c r="AA1642" s="173">
        <v>2.1214343537903704E-2</v>
      </c>
      <c r="AB1642" s="182">
        <v>2.1203140492964678E-2</v>
      </c>
    </row>
    <row r="1643" spans="24:28" x14ac:dyDescent="0.2">
      <c r="X1643" s="186" t="str">
        <f t="shared" si="59"/>
        <v>1w</v>
      </c>
      <c r="Y1643" s="174">
        <f>_xll.qlCalendarAdvance(Calendar,Y1642,X1643,"f",FALSE)</f>
        <v>50459</v>
      </c>
      <c r="Z1643" s="198">
        <f>_xll.qlCalendarAdvance(Calendar,Y1643,NDays&amp;"D")</f>
        <v>50461</v>
      </c>
      <c r="AA1643" s="173">
        <v>2.1206516578139635E-2</v>
      </c>
      <c r="AB1643" s="182">
        <v>2.1195198017647243E-2</v>
      </c>
    </row>
    <row r="1644" spans="24:28" x14ac:dyDescent="0.2">
      <c r="X1644" s="186" t="str">
        <f t="shared" si="59"/>
        <v>1w</v>
      </c>
      <c r="Y1644" s="174">
        <f>_xll.qlCalendarAdvance(Calendar,Y1643,X1644,"f",FALSE)</f>
        <v>50466</v>
      </c>
      <c r="Z1644" s="198">
        <f>_xll.qlCalendarAdvance(Calendar,Y1644,NDays&amp;"D")</f>
        <v>50468</v>
      </c>
      <c r="AA1644" s="173">
        <v>2.1199052610546731E-2</v>
      </c>
      <c r="AB1644" s="182">
        <v>2.1187270914913015E-2</v>
      </c>
    </row>
    <row r="1645" spans="24:28" x14ac:dyDescent="0.2">
      <c r="X1645" s="186" t="str">
        <f t="shared" si="59"/>
        <v>1w</v>
      </c>
      <c r="Y1645" s="174">
        <f>_xll.qlCalendarAdvance(Calendar,Y1644,X1645,"f",FALSE)</f>
        <v>50473</v>
      </c>
      <c r="Z1645" s="198">
        <f>_xll.qlCalendarAdvance(Calendar,Y1645,NDays&amp;"D")</f>
        <v>50475</v>
      </c>
      <c r="AA1645" s="173">
        <v>2.1191260060342051E-2</v>
      </c>
      <c r="AB1645" s="182">
        <v>2.1179359184921864E-2</v>
      </c>
    </row>
    <row r="1646" spans="24:28" x14ac:dyDescent="0.2">
      <c r="X1646" s="186" t="str">
        <f t="shared" si="59"/>
        <v>1w</v>
      </c>
      <c r="Y1646" s="174">
        <f>_xll.qlCalendarAdvance(Calendar,Y1645,X1646,"f",FALSE)</f>
        <v>50480</v>
      </c>
      <c r="Z1646" s="198">
        <f>_xll.qlCalendarAdvance(Calendar,Y1646,NDays&amp;"D")</f>
        <v>50482</v>
      </c>
      <c r="AA1646" s="173">
        <v>2.1183483081017439E-2</v>
      </c>
      <c r="AB1646" s="182">
        <v>2.1171462827673793E-2</v>
      </c>
    </row>
    <row r="1647" spans="24:28" x14ac:dyDescent="0.2">
      <c r="X1647" s="186" t="str">
        <f t="shared" si="59"/>
        <v>1w</v>
      </c>
      <c r="Y1647" s="174">
        <f>_xll.qlCalendarAdvance(Calendar,Y1646,X1647,"f",FALSE)</f>
        <v>50487</v>
      </c>
      <c r="Z1647" s="198">
        <f>_xll.qlCalendarAdvance(Calendar,Y1647,NDays&amp;"D")</f>
        <v>50489</v>
      </c>
      <c r="AA1647" s="173">
        <v>2.1175721672386811E-2</v>
      </c>
      <c r="AB1647" s="182">
        <v>2.1163581843008927E-2</v>
      </c>
    </row>
    <row r="1648" spans="24:28" x14ac:dyDescent="0.2">
      <c r="X1648" s="186" t="str">
        <f t="shared" si="59"/>
        <v>1w</v>
      </c>
      <c r="Y1648" s="174">
        <f>_xll.qlCalendarAdvance(Calendar,Y1647,X1648,"f",FALSE)</f>
        <v>50494</v>
      </c>
      <c r="Z1648" s="198">
        <f>_xll.qlCalendarAdvance(Calendar,Y1648,NDays&amp;"D")</f>
        <v>50496</v>
      </c>
      <c r="AA1648" s="173">
        <v>2.116775929453199E-2</v>
      </c>
      <c r="AB1648" s="182">
        <v>2.115571623108714E-2</v>
      </c>
    </row>
    <row r="1649" spans="24:28" x14ac:dyDescent="0.2">
      <c r="X1649" s="186" t="str">
        <f t="shared" si="59"/>
        <v>1w</v>
      </c>
      <c r="Y1649" s="174">
        <f>_xll.qlCalendarAdvance(Calendar,Y1648,X1649,"f",FALSE)</f>
        <v>50501</v>
      </c>
      <c r="Z1649" s="198">
        <f>_xll.qlCalendarAdvance(Calendar,Y1649,NDays&amp;"D")</f>
        <v>50503</v>
      </c>
      <c r="AA1649" s="173">
        <v>2.1160027046850074E-2</v>
      </c>
      <c r="AB1649" s="182">
        <v>2.1147865991908432E-2</v>
      </c>
    </row>
    <row r="1650" spans="24:28" x14ac:dyDescent="0.2">
      <c r="X1650" s="186" t="str">
        <f t="shared" si="59"/>
        <v>1w</v>
      </c>
      <c r="Y1650" s="174">
        <f>_xll.qlCalendarAdvance(Calendar,Y1649,X1650,"f",FALSE)</f>
        <v>50508</v>
      </c>
      <c r="Z1650" s="198">
        <f>_xll.qlCalendarAdvance(Calendar,Y1650,NDays&amp;"D")</f>
        <v>50510</v>
      </c>
      <c r="AA1650" s="173">
        <v>2.1152310366124406E-2</v>
      </c>
      <c r="AB1650" s="182">
        <v>2.1140031125232994E-2</v>
      </c>
    </row>
    <row r="1651" spans="24:28" x14ac:dyDescent="0.2">
      <c r="X1651" s="186" t="str">
        <f t="shared" si="59"/>
        <v>1w</v>
      </c>
      <c r="Y1651" s="174">
        <f>_xll.qlCalendarAdvance(Calendar,Y1650,X1651,"f",FALSE)</f>
        <v>50515</v>
      </c>
      <c r="Z1651" s="198">
        <f>_xll.qlCalendarAdvance(Calendar,Y1651,NDays&amp;"D")</f>
        <v>50517</v>
      </c>
      <c r="AA1651" s="173">
        <v>2.1144609252175022E-2</v>
      </c>
      <c r="AB1651" s="182">
        <v>2.1132461195781715E-2</v>
      </c>
    </row>
    <row r="1652" spans="24:28" x14ac:dyDescent="0.2">
      <c r="X1652" s="186" t="str">
        <f t="shared" si="59"/>
        <v>1w</v>
      </c>
      <c r="Y1652" s="174">
        <f>_xll.qlCalendarAdvance(Calendar,Y1651,X1652,"f",FALSE)</f>
        <v>50522</v>
      </c>
      <c r="Z1652" s="198">
        <f>_xll.qlCalendarAdvance(Calendar,Y1652,NDays&amp;"D")</f>
        <v>50524</v>
      </c>
      <c r="AA1652" s="173">
        <v>2.1136923704821082E-2</v>
      </c>
      <c r="AB1652" s="182">
        <v>2.112440751019129E-2</v>
      </c>
    </row>
    <row r="1653" spans="24:28" x14ac:dyDescent="0.2">
      <c r="X1653" s="186" t="str">
        <f t="shared" si="59"/>
        <v>1w</v>
      </c>
      <c r="Y1653" s="174">
        <f>_xll.qlCalendarAdvance(Calendar,Y1652,X1653,"f",FALSE)</f>
        <v>50529</v>
      </c>
      <c r="Z1653" s="198">
        <f>_xll.qlCalendarAdvance(Calendar,Y1653,NDays&amp;"D")</f>
        <v>50531</v>
      </c>
      <c r="AA1653" s="173">
        <v>2.1129480194844261E-2</v>
      </c>
      <c r="AB1653" s="182">
        <v>2.1116618761585215E-2</v>
      </c>
    </row>
    <row r="1654" spans="24:28" x14ac:dyDescent="0.2">
      <c r="X1654" s="186" t="str">
        <f t="shared" si="59"/>
        <v>1w</v>
      </c>
      <c r="Y1654" s="174">
        <f>_xll.qlCalendarAdvance(Calendar,Y1653,X1654,"f",FALSE)</f>
        <v>50536</v>
      </c>
      <c r="Z1654" s="198">
        <f>_xll.qlCalendarAdvance(Calendar,Y1654,NDays&amp;"D")</f>
        <v>50538</v>
      </c>
      <c r="AA1654" s="173">
        <v>2.1121827775913048E-2</v>
      </c>
      <c r="AB1654" s="182">
        <v>2.1108845385722219E-2</v>
      </c>
    </row>
    <row r="1655" spans="24:28" x14ac:dyDescent="0.2">
      <c r="X1655" s="186" t="str">
        <f t="shared" si="59"/>
        <v>1w</v>
      </c>
      <c r="Y1655" s="174">
        <f>_xll.qlCalendarAdvance(Calendar,Y1654,X1655,"f",FALSE)</f>
        <v>50543</v>
      </c>
      <c r="Z1655" s="198">
        <f>_xll.qlCalendarAdvance(Calendar,Y1655,NDays&amp;"D")</f>
        <v>50545</v>
      </c>
      <c r="AA1655" s="173">
        <v>2.1114190926205593E-2</v>
      </c>
      <c r="AB1655" s="182">
        <v>2.1101087382522365E-2</v>
      </c>
    </row>
    <row r="1656" spans="24:28" x14ac:dyDescent="0.2">
      <c r="X1656" s="186" t="str">
        <f t="shared" si="59"/>
        <v>1w</v>
      </c>
      <c r="Y1656" s="174">
        <f>_xll.qlCalendarAdvance(Calendar,Y1655,X1656,"f",FALSE)</f>
        <v>50550</v>
      </c>
      <c r="Z1656" s="198">
        <f>_xll.qlCalendarAdvance(Calendar,Y1656,NDays&amp;"D")</f>
        <v>50552</v>
      </c>
      <c r="AA1656" s="173">
        <v>2.110656964554054E-2</v>
      </c>
      <c r="AB1656" s="182">
        <v>2.109334475206559E-2</v>
      </c>
    </row>
    <row r="1657" spans="24:28" x14ac:dyDescent="0.2">
      <c r="X1657" s="186" t="str">
        <f t="shared" si="59"/>
        <v>1w</v>
      </c>
      <c r="Y1657" s="174">
        <f>_xll.qlCalendarAdvance(Calendar,Y1656,X1657,"f",FALSE)</f>
        <v>50557</v>
      </c>
      <c r="Z1657" s="198">
        <f>_xll.qlCalendarAdvance(Calendar,Y1657,NDays&amp;"D")</f>
        <v>50559</v>
      </c>
      <c r="AA1657" s="173">
        <v>2.1098729460682947E-2</v>
      </c>
      <c r="AB1657" s="182">
        <v>2.1085617494192022E-2</v>
      </c>
    </row>
    <row r="1658" spans="24:28" x14ac:dyDescent="0.2">
      <c r="X1658" s="186" t="str">
        <f t="shared" si="59"/>
        <v>1w</v>
      </c>
      <c r="Y1658" s="174">
        <f>_xll.qlCalendarAdvance(Calendar,Y1657,X1658,"f",FALSE)</f>
        <v>50564</v>
      </c>
      <c r="Z1658" s="198">
        <f>_xll.qlCalendarAdvance(Calendar,Y1658,NDays&amp;"D")</f>
        <v>50566</v>
      </c>
      <c r="AA1658" s="173">
        <v>2.109113730912808E-2</v>
      </c>
      <c r="AB1658" s="182">
        <v>2.1077905609061531E-2</v>
      </c>
    </row>
    <row r="1659" spans="24:28" x14ac:dyDescent="0.2">
      <c r="X1659" s="186" t="str">
        <f t="shared" si="59"/>
        <v>1w</v>
      </c>
      <c r="Y1659" s="174">
        <f>_xll.qlCalendarAdvance(Calendar,Y1658,X1659,"f",FALSE)</f>
        <v>50571</v>
      </c>
      <c r="Z1659" s="198">
        <f>_xll.qlCalendarAdvance(Calendar,Y1659,NDays&amp;"D")</f>
        <v>50573</v>
      </c>
      <c r="AA1659" s="173">
        <v>2.1083560722913702E-2</v>
      </c>
      <c r="AB1659" s="182">
        <v>2.1070209096514247E-2</v>
      </c>
    </row>
    <row r="1660" spans="24:28" x14ac:dyDescent="0.2">
      <c r="X1660" s="186" t="str">
        <f t="shared" si="59"/>
        <v>1w</v>
      </c>
      <c r="Y1660" s="174">
        <f>_xll.qlCalendarAdvance(Calendar,Y1659,X1660,"f",FALSE)</f>
        <v>50578</v>
      </c>
      <c r="Z1660" s="198">
        <f>_xll.qlCalendarAdvance(Calendar,Y1660,NDays&amp;"D")</f>
        <v>50580</v>
      </c>
      <c r="AA1660" s="173">
        <v>2.1075999701862913E-2</v>
      </c>
      <c r="AB1660" s="182">
        <v>2.1062527956630106E-2</v>
      </c>
    </row>
    <row r="1661" spans="24:28" x14ac:dyDescent="0.2">
      <c r="X1661" s="186" t="str">
        <f t="shared" si="59"/>
        <v>1w</v>
      </c>
      <c r="Y1661" s="174">
        <f>_xll.qlCalendarAdvance(Calendar,Y1660,X1661,"f",FALSE)</f>
        <v>50585</v>
      </c>
      <c r="Z1661" s="198">
        <f>_xll.qlCalendarAdvance(Calendar,Y1661,NDays&amp;"D")</f>
        <v>50587</v>
      </c>
      <c r="AA1661" s="173">
        <v>2.1068696771500639E-2</v>
      </c>
      <c r="AB1661" s="182">
        <v>2.1054862189489043E-2</v>
      </c>
    </row>
    <row r="1662" spans="24:28" x14ac:dyDescent="0.2">
      <c r="X1662" s="186" t="str">
        <f t="shared" si="59"/>
        <v>1w</v>
      </c>
      <c r="Y1662" s="174">
        <f>_xll.qlCalendarAdvance(Calendar,Y1661,X1662,"f",FALSE)</f>
        <v>50592</v>
      </c>
      <c r="Z1662" s="198">
        <f>_xll.qlCalendarAdvance(Calendar,Y1662,NDays&amp;"D")</f>
        <v>50594</v>
      </c>
      <c r="AA1662" s="173">
        <v>2.1061168901286141E-2</v>
      </c>
      <c r="AB1662" s="182">
        <v>2.1047211795011123E-2</v>
      </c>
    </row>
    <row r="1663" spans="24:28" x14ac:dyDescent="0.2">
      <c r="X1663" s="186" t="str">
        <f t="shared" si="59"/>
        <v>1w</v>
      </c>
      <c r="Y1663" s="174">
        <f>_xll.qlCalendarAdvance(Calendar,Y1662,X1663,"f",FALSE)</f>
        <v>50599</v>
      </c>
      <c r="Z1663" s="198">
        <f>_xll.qlCalendarAdvance(Calendar,Y1663,NDays&amp;"D")</f>
        <v>50601</v>
      </c>
      <c r="AA1663" s="173">
        <v>2.1053656598849679E-2</v>
      </c>
      <c r="AB1663" s="182">
        <v>2.1039576773196345E-2</v>
      </c>
    </row>
    <row r="1664" spans="24:28" x14ac:dyDescent="0.2">
      <c r="X1664" s="186" t="str">
        <f t="shared" si="59"/>
        <v>1w</v>
      </c>
      <c r="Y1664" s="174">
        <f>_xll.qlCalendarAdvance(Calendar,Y1663,X1664,"f",FALSE)</f>
        <v>50606</v>
      </c>
      <c r="Z1664" s="198">
        <f>_xll.qlCalendarAdvance(Calendar,Y1664,NDays&amp;"D")</f>
        <v>50608</v>
      </c>
      <c r="AA1664" s="173">
        <v>2.1046159864012037E-2</v>
      </c>
      <c r="AB1664" s="182">
        <v>2.1031957124044709E-2</v>
      </c>
    </row>
    <row r="1665" spans="24:28" x14ac:dyDescent="0.2">
      <c r="X1665" s="186" t="str">
        <f t="shared" si="59"/>
        <v>1w</v>
      </c>
      <c r="Y1665" s="174">
        <f>_xll.qlCalendarAdvance(Calendar,Y1664,X1665,"f",FALSE)</f>
        <v>50613</v>
      </c>
      <c r="Z1665" s="198">
        <f>_xll.qlCalendarAdvance(Calendar,Y1665,NDays&amp;"D")</f>
        <v>50615</v>
      </c>
      <c r="AA1665" s="173">
        <v>2.103867869659444E-2</v>
      </c>
      <c r="AB1665" s="182">
        <v>2.1024352847556216E-2</v>
      </c>
    </row>
    <row r="1666" spans="24:28" x14ac:dyDescent="0.2">
      <c r="X1666" s="186" t="str">
        <f t="shared" si="59"/>
        <v>1w</v>
      </c>
      <c r="Y1666" s="174">
        <f>_xll.qlCalendarAdvance(Calendar,Y1665,X1666,"f",FALSE)</f>
        <v>50620</v>
      </c>
      <c r="Z1666" s="198">
        <f>_xll.qlCalendarAdvance(Calendar,Y1666,NDays&amp;"D")</f>
        <v>50622</v>
      </c>
      <c r="AA1666" s="173">
        <v>2.103121309641896E-2</v>
      </c>
      <c r="AB1666" s="182">
        <v>2.1016763943650929E-2</v>
      </c>
    </row>
    <row r="1667" spans="24:28" x14ac:dyDescent="0.2">
      <c r="X1667" s="186" t="str">
        <f t="shared" si="59"/>
        <v>1w</v>
      </c>
      <c r="Y1667" s="174">
        <f>_xll.qlCalendarAdvance(Calendar,Y1666,X1667,"f",FALSE)</f>
        <v>50627</v>
      </c>
      <c r="Z1667" s="198">
        <f>_xll.qlCalendarAdvance(Calendar,Y1667,NDays&amp;"D")</f>
        <v>50629</v>
      </c>
      <c r="AA1667" s="173">
        <v>2.1023763063307249E-2</v>
      </c>
      <c r="AB1667" s="182">
        <v>2.1009190412568657E-2</v>
      </c>
    </row>
    <row r="1668" spans="24:28" x14ac:dyDescent="0.2">
      <c r="X1668" s="186" t="str">
        <f t="shared" si="59"/>
        <v>1w</v>
      </c>
      <c r="Y1668" s="174">
        <f>_xll.qlCalendarAdvance(Calendar,Y1667,X1668,"f",FALSE)</f>
        <v>50634</v>
      </c>
      <c r="Z1668" s="198">
        <f>_xll.qlCalendarAdvance(Calendar,Y1668,NDays&amp;"D")</f>
        <v>50636</v>
      </c>
      <c r="AA1668" s="173">
        <v>2.1016328597082239E-2</v>
      </c>
      <c r="AB1668" s="182">
        <v>2.1001632254069591E-2</v>
      </c>
    </row>
    <row r="1669" spans="24:28" x14ac:dyDescent="0.2">
      <c r="X1669" s="186" t="str">
        <f t="shared" si="59"/>
        <v>1w</v>
      </c>
      <c r="Y1669" s="174">
        <f>_xll.qlCalendarAdvance(Calendar,Y1668,X1669,"f",FALSE)</f>
        <v>50641</v>
      </c>
      <c r="Z1669" s="198">
        <f>_xll.qlCalendarAdvance(Calendar,Y1669,NDays&amp;"D")</f>
        <v>50643</v>
      </c>
      <c r="AA1669" s="173">
        <v>2.1008909697566015E-2</v>
      </c>
      <c r="AB1669" s="182">
        <v>2.0994089468233668E-2</v>
      </c>
    </row>
    <row r="1670" spans="24:28" x14ac:dyDescent="0.2">
      <c r="X1670" s="186" t="str">
        <f t="shared" si="59"/>
        <v>1w</v>
      </c>
      <c r="Y1670" s="174">
        <f>_xll.qlCalendarAdvance(Calendar,Y1669,X1670,"f",FALSE)</f>
        <v>50648</v>
      </c>
      <c r="Z1670" s="198">
        <f>_xll.qlCalendarAdvance(Calendar,Y1670,NDays&amp;"D")</f>
        <v>50650</v>
      </c>
      <c r="AA1670" s="173">
        <v>2.1001071994614408E-2</v>
      </c>
      <c r="AB1670" s="182">
        <v>2.0986562054980951E-2</v>
      </c>
    </row>
    <row r="1671" spans="24:28" x14ac:dyDescent="0.2">
      <c r="X1671" s="186" t="str">
        <f t="shared" si="59"/>
        <v>1w</v>
      </c>
      <c r="Y1671" s="174">
        <f>_xll.qlCalendarAdvance(Calendar,Y1670,X1671,"f",FALSE)</f>
        <v>50655</v>
      </c>
      <c r="Z1671" s="198">
        <f>_xll.qlCalendarAdvance(Calendar,Y1671,NDays&amp;"D")</f>
        <v>50657</v>
      </c>
      <c r="AA1671" s="173">
        <v>2.0993680813190162E-2</v>
      </c>
      <c r="AB1671" s="182">
        <v>2.0979050014471312E-2</v>
      </c>
    </row>
    <row r="1672" spans="24:28" x14ac:dyDescent="0.2">
      <c r="X1672" s="186" t="str">
        <f t="shared" si="59"/>
        <v>1w</v>
      </c>
      <c r="Y1672" s="174">
        <f>_xll.qlCalendarAdvance(Calendar,Y1671,X1672,"f",FALSE)</f>
        <v>50662</v>
      </c>
      <c r="Z1672" s="198">
        <f>_xll.qlCalendarAdvance(Calendar,Y1672,NDays&amp;"D")</f>
        <v>50664</v>
      </c>
      <c r="AA1672" s="173">
        <v>2.0986305192744276E-2</v>
      </c>
      <c r="AB1672" s="182">
        <v>2.0971553346624816E-2</v>
      </c>
    </row>
    <row r="1673" spans="24:28" x14ac:dyDescent="0.2">
      <c r="X1673" s="186" t="str">
        <f t="shared" si="59"/>
        <v>1w</v>
      </c>
      <c r="Y1673" s="174">
        <f>_xll.qlCalendarAdvance(Calendar,Y1672,X1673,"f",FALSE)</f>
        <v>50669</v>
      </c>
      <c r="Z1673" s="198">
        <f>_xll.qlCalendarAdvance(Calendar,Y1673,NDays&amp;"D")</f>
        <v>50671</v>
      </c>
      <c r="AA1673" s="173">
        <v>2.0978945133105841E-2</v>
      </c>
      <c r="AB1673" s="182">
        <v>2.0964072051441462E-2</v>
      </c>
    </row>
    <row r="1674" spans="24:28" x14ac:dyDescent="0.2">
      <c r="X1674" s="186" t="str">
        <f t="shared" si="59"/>
        <v>1w</v>
      </c>
      <c r="Y1674" s="174">
        <f>_xll.qlCalendarAdvance(Calendar,Y1673,X1674,"f",FALSE)</f>
        <v>50676</v>
      </c>
      <c r="Z1674" s="198">
        <f>_xll.qlCalendarAdvance(Calendar,Y1674,NDays&amp;"D")</f>
        <v>50678</v>
      </c>
      <c r="AA1674" s="173">
        <v>2.0971690107788089E-2</v>
      </c>
      <c r="AB1674" s="182">
        <v>2.0956606128841315E-2</v>
      </c>
    </row>
    <row r="1675" spans="24:28" x14ac:dyDescent="0.2">
      <c r="X1675" s="186" t="str">
        <f t="shared" si="59"/>
        <v>1w</v>
      </c>
      <c r="Y1675" s="174">
        <f>_xll.qlCalendarAdvance(Calendar,Y1674,X1675,"f",FALSE)</f>
        <v>50683</v>
      </c>
      <c r="Z1675" s="198">
        <f>_xll.qlCalendarAdvance(Calendar,Y1675,NDays&amp;"D")</f>
        <v>50685</v>
      </c>
      <c r="AA1675" s="173">
        <v>2.0964361856119301E-2</v>
      </c>
      <c r="AB1675" s="182">
        <v>2.0949155578984247E-2</v>
      </c>
    </row>
    <row r="1676" spans="24:28" x14ac:dyDescent="0.2">
      <c r="X1676" s="186" t="str">
        <f t="shared" si="59"/>
        <v>1w</v>
      </c>
      <c r="Y1676" s="174">
        <f>_xll.qlCalendarAdvance(Calendar,Y1675,X1676,"f",FALSE)</f>
        <v>50690</v>
      </c>
      <c r="Z1676" s="198">
        <f>_xll.qlCalendarAdvance(Calendar,Y1676,NDays&amp;"D")</f>
        <v>50692</v>
      </c>
      <c r="AA1676" s="173">
        <v>2.0957049165783392E-2</v>
      </c>
      <c r="AB1676" s="182">
        <v>2.0941720401710384E-2</v>
      </c>
    </row>
    <row r="1677" spans="24:28" x14ac:dyDescent="0.2">
      <c r="X1677" s="186" t="str">
        <f t="shared" si="59"/>
        <v>1w</v>
      </c>
      <c r="Y1677" s="174">
        <f>_xll.qlCalendarAdvance(Calendar,Y1676,X1677,"f",FALSE)</f>
        <v>50697</v>
      </c>
      <c r="Z1677" s="198">
        <f>_xll.qlCalendarAdvance(Calendar,Y1677,NDays&amp;"D")</f>
        <v>50699</v>
      </c>
      <c r="AA1677" s="173">
        <v>2.0949752036610394E-2</v>
      </c>
      <c r="AB1677" s="182">
        <v>2.0934300597259536E-2</v>
      </c>
    </row>
    <row r="1678" spans="24:28" x14ac:dyDescent="0.2">
      <c r="X1678" s="186" t="str">
        <f t="shared" si="59"/>
        <v>1w</v>
      </c>
      <c r="Y1678" s="174">
        <f>_xll.qlCalendarAdvance(Calendar,Y1677,X1678,"f",FALSE)</f>
        <v>50704</v>
      </c>
      <c r="Z1678" s="198">
        <f>_xll.qlCalendarAdvance(Calendar,Y1678,NDays&amp;"D")</f>
        <v>50706</v>
      </c>
      <c r="AA1678" s="173">
        <v>2.0942470468428571E-2</v>
      </c>
      <c r="AB1678" s="182">
        <v>2.0926896165232023E-2</v>
      </c>
    </row>
    <row r="1679" spans="24:28" x14ac:dyDescent="0.2">
      <c r="X1679" s="186" t="str">
        <f t="shared" si="59"/>
        <v>1w</v>
      </c>
      <c r="Y1679" s="174">
        <f>_xll.qlCalendarAdvance(Calendar,Y1678,X1679,"f",FALSE)</f>
        <v>50711</v>
      </c>
      <c r="Z1679" s="198">
        <f>_xll.qlCalendarAdvance(Calendar,Y1679,NDays&amp;"D")</f>
        <v>50713</v>
      </c>
      <c r="AA1679" s="173">
        <v>2.0935111542698073E-2</v>
      </c>
      <c r="AB1679" s="182">
        <v>2.0919507105947588E-2</v>
      </c>
    </row>
    <row r="1680" spans="24:28" x14ac:dyDescent="0.2">
      <c r="X1680" s="186" t="str">
        <f t="shared" si="59"/>
        <v>1w</v>
      </c>
      <c r="Y1680" s="174">
        <f>_xll.qlCalendarAdvance(Calendar,Y1679,X1680,"f",FALSE)</f>
        <v>50718</v>
      </c>
      <c r="Z1680" s="198">
        <f>_xll.qlCalendarAdvance(Calendar,Y1680,NDays&amp;"D")</f>
        <v>50720</v>
      </c>
      <c r="AA1680" s="173">
        <v>2.0927860403952715E-2</v>
      </c>
      <c r="AB1680" s="182">
        <v>2.0912133419326295E-2</v>
      </c>
    </row>
    <row r="1681" spans="24:28" x14ac:dyDescent="0.2">
      <c r="X1681" s="186" t="str">
        <f t="shared" si="59"/>
        <v>1w</v>
      </c>
      <c r="Y1681" s="174">
        <f>_xll.qlCalendarAdvance(Calendar,Y1680,X1681,"f",FALSE)</f>
        <v>50725</v>
      </c>
      <c r="Z1681" s="198">
        <f>_xll.qlCalendarAdvance(Calendar,Y1681,NDays&amp;"D")</f>
        <v>50727</v>
      </c>
      <c r="AA1681" s="173">
        <v>2.0920624824658101E-2</v>
      </c>
      <c r="AB1681" s="182">
        <v>2.0904775105368145E-2</v>
      </c>
    </row>
    <row r="1682" spans="24:28" x14ac:dyDescent="0.2">
      <c r="X1682" s="186" t="str">
        <f t="shared" si="59"/>
        <v>1w</v>
      </c>
      <c r="Y1682" s="174">
        <f>_xll.qlCalendarAdvance(Calendar,Y1681,X1682,"f",FALSE)</f>
        <v>50732</v>
      </c>
      <c r="Z1682" s="198">
        <f>_xll.qlCalendarAdvance(Calendar,Y1682,NDays&amp;"D")</f>
        <v>50734</v>
      </c>
      <c r="AA1682" s="173">
        <v>2.0913404804647737E-2</v>
      </c>
      <c r="AB1682" s="182">
        <v>2.0897432164073138E-2</v>
      </c>
    </row>
    <row r="1683" spans="24:28" x14ac:dyDescent="0.2">
      <c r="X1683" s="186" t="str">
        <f t="shared" si="59"/>
        <v>1w</v>
      </c>
      <c r="Y1683" s="174">
        <f>_xll.qlCalendarAdvance(Calendar,Y1682,X1683,"f",FALSE)</f>
        <v>50739</v>
      </c>
      <c r="Z1683" s="198">
        <f>_xll.qlCalendarAdvance(Calendar,Y1683,NDays&amp;"D")</f>
        <v>50741</v>
      </c>
      <c r="AA1683" s="173">
        <v>2.0906296036473163E-2</v>
      </c>
      <c r="AB1683" s="182">
        <v>2.08901045952814E-2</v>
      </c>
    </row>
    <row r="1684" spans="24:28" x14ac:dyDescent="0.2">
      <c r="X1684" s="186" t="str">
        <f t="shared" si="59"/>
        <v>1w</v>
      </c>
      <c r="Y1684" s="174">
        <f>_xll.qlCalendarAdvance(Calendar,Y1683,X1684,"f",FALSE)</f>
        <v>50746</v>
      </c>
      <c r="Z1684" s="198">
        <f>_xll.qlCalendarAdvance(Calendar,Y1684,NDays&amp;"D")</f>
        <v>50748</v>
      </c>
      <c r="AA1684" s="173">
        <v>2.0899107830690909E-2</v>
      </c>
      <c r="AB1684" s="182">
        <v>2.0882792399312677E-2</v>
      </c>
    </row>
    <row r="1685" spans="24:28" x14ac:dyDescent="0.2">
      <c r="X1685" s="186" t="str">
        <f t="shared" ref="X1685:X1748" si="60">X1684</f>
        <v>1w</v>
      </c>
      <c r="Y1685" s="174">
        <f>_xll.qlCalendarAdvance(Calendar,Y1684,X1685,"f",FALSE)</f>
        <v>50753</v>
      </c>
      <c r="Z1685" s="198">
        <f>_xll.qlCalendarAdvance(Calendar,Y1685,NDays&amp;"D")</f>
        <v>50755</v>
      </c>
      <c r="AA1685" s="173">
        <v>2.0891935184719677E-2</v>
      </c>
      <c r="AB1685" s="182">
        <v>2.0875495575927161E-2</v>
      </c>
    </row>
    <row r="1686" spans="24:28" x14ac:dyDescent="0.2">
      <c r="X1686" s="186" t="str">
        <f t="shared" si="60"/>
        <v>1w</v>
      </c>
      <c r="Y1686" s="174">
        <f>_xll.qlCalendarAdvance(Calendar,Y1685,X1686,"f",FALSE)</f>
        <v>50760</v>
      </c>
      <c r="Z1686" s="198">
        <f>_xll.qlCalendarAdvance(Calendar,Y1686,NDays&amp;"D")</f>
        <v>50762</v>
      </c>
      <c r="AA1686" s="173">
        <v>2.088477809839169E-2</v>
      </c>
      <c r="AB1686" s="182">
        <v>2.0868214125204787E-2</v>
      </c>
    </row>
    <row r="1687" spans="24:28" x14ac:dyDescent="0.2">
      <c r="X1687" s="186" t="str">
        <f t="shared" si="60"/>
        <v>1w</v>
      </c>
      <c r="Y1687" s="174">
        <f>_xll.qlCalendarAdvance(Calendar,Y1686,X1687,"f",FALSE)</f>
        <v>50767</v>
      </c>
      <c r="Z1687" s="198">
        <f>_xll.qlCalendarAdvance(Calendar,Y1687,NDays&amp;"D")</f>
        <v>50769</v>
      </c>
      <c r="AA1687" s="173">
        <v>2.0877636571540487E-2</v>
      </c>
      <c r="AB1687" s="182">
        <v>2.0860948047145556E-2</v>
      </c>
    </row>
    <row r="1688" spans="24:28" x14ac:dyDescent="0.2">
      <c r="X1688" s="186" t="str">
        <f t="shared" si="60"/>
        <v>1w</v>
      </c>
      <c r="Y1688" s="174">
        <f>_xll.qlCalendarAdvance(Calendar,Y1687,X1688,"f",FALSE)</f>
        <v>50774</v>
      </c>
      <c r="Z1688" s="198">
        <f>_xll.qlCalendarAdvance(Calendar,Y1688,NDays&amp;"D")</f>
        <v>50776</v>
      </c>
      <c r="AA1688" s="173">
        <v>2.0870411420191633E-2</v>
      </c>
      <c r="AB1688" s="182">
        <v>2.085369734166953E-2</v>
      </c>
    </row>
    <row r="1689" spans="24:28" x14ac:dyDescent="0.2">
      <c r="X1689" s="186" t="str">
        <f t="shared" si="60"/>
        <v>1w</v>
      </c>
      <c r="Y1689" s="174">
        <f>_xll.qlCalendarAdvance(Calendar,Y1688,X1689,"f",FALSE)</f>
        <v>50781</v>
      </c>
      <c r="Z1689" s="198">
        <f>_xll.qlCalendarAdvance(Calendar,Y1689,NDays&amp;"D")</f>
        <v>50783</v>
      </c>
      <c r="AA1689" s="173">
        <v>2.0863300310498496E-2</v>
      </c>
      <c r="AB1689" s="182">
        <v>2.0846462008856648E-2</v>
      </c>
    </row>
    <row r="1690" spans="24:28" x14ac:dyDescent="0.2">
      <c r="X1690" s="186" t="str">
        <f t="shared" si="60"/>
        <v>1w</v>
      </c>
      <c r="Y1690" s="174">
        <f>_xll.qlCalendarAdvance(Calendar,Y1689,X1690,"f",FALSE)</f>
        <v>50788</v>
      </c>
      <c r="Z1690" s="198">
        <f>_xll.qlCalendarAdvance(Calendar,Y1690,NDays&amp;"D")</f>
        <v>50790</v>
      </c>
      <c r="AA1690" s="173">
        <v>2.0856204758759402E-2</v>
      </c>
      <c r="AB1690" s="182">
        <v>2.0839242048626971E-2</v>
      </c>
    </row>
    <row r="1691" spans="24:28" x14ac:dyDescent="0.2">
      <c r="X1691" s="186" t="str">
        <f t="shared" si="60"/>
        <v>1w</v>
      </c>
      <c r="Y1691" s="174">
        <f>_xll.qlCalendarAdvance(Calendar,Y1690,X1691,"f",FALSE)</f>
        <v>50795</v>
      </c>
      <c r="Z1691" s="198">
        <f>_xll.qlCalendarAdvance(Calendar,Y1691,NDays&amp;"D")</f>
        <v>50797</v>
      </c>
      <c r="AA1691" s="173">
        <v>2.0849124764809619E-2</v>
      </c>
      <c r="AB1691" s="182">
        <v>2.0832037461060438E-2</v>
      </c>
    </row>
    <row r="1692" spans="24:28" x14ac:dyDescent="0.2">
      <c r="X1692" s="186" t="str">
        <f t="shared" si="60"/>
        <v>1w</v>
      </c>
      <c r="Y1692" s="174">
        <f>_xll.qlCalendarAdvance(Calendar,Y1691,X1692,"f",FALSE)</f>
        <v>50802</v>
      </c>
      <c r="Z1692" s="198">
        <f>_xll.qlCalendarAdvance(Calendar,Y1692,NDays&amp;"D")</f>
        <v>50804</v>
      </c>
      <c r="AA1692" s="173">
        <v>2.0842060328485738E-2</v>
      </c>
      <c r="AB1692" s="182">
        <v>2.0824848246236982E-2</v>
      </c>
    </row>
    <row r="1693" spans="24:28" x14ac:dyDescent="0.2">
      <c r="X1693" s="186" t="str">
        <f t="shared" si="60"/>
        <v>1w</v>
      </c>
      <c r="Y1693" s="174">
        <f>_xll.qlCalendarAdvance(Calendar,Y1692,X1693,"f",FALSE)</f>
        <v>50809</v>
      </c>
      <c r="Z1693" s="198">
        <f>_xll.qlCalendarAdvance(Calendar,Y1693,NDays&amp;"D")</f>
        <v>50811</v>
      </c>
      <c r="AA1693" s="173">
        <v>2.0835011449622153E-2</v>
      </c>
      <c r="AB1693" s="182">
        <v>2.0817674403996733E-2</v>
      </c>
    </row>
    <row r="1694" spans="24:28" x14ac:dyDescent="0.2">
      <c r="X1694" s="186" t="str">
        <f t="shared" si="60"/>
        <v>1w</v>
      </c>
      <c r="Y1694" s="174">
        <f>_xll.qlCalendarAdvance(Calendar,Y1693,X1694,"f",FALSE)</f>
        <v>50816</v>
      </c>
      <c r="Z1694" s="198">
        <f>_xll.qlCalendarAdvance(Calendar,Y1694,NDays&amp;"D")</f>
        <v>50818</v>
      </c>
      <c r="AA1694" s="173">
        <v>2.0827978128057222E-2</v>
      </c>
      <c r="AB1694" s="182">
        <v>2.0810515934419627E-2</v>
      </c>
    </row>
    <row r="1695" spans="24:28" x14ac:dyDescent="0.2">
      <c r="X1695" s="186" t="str">
        <f t="shared" si="60"/>
        <v>1w</v>
      </c>
      <c r="Y1695" s="174">
        <f>_xll.qlCalendarAdvance(Calendar,Y1694,X1695,"f",FALSE)</f>
        <v>50823</v>
      </c>
      <c r="Z1695" s="198">
        <f>_xll.qlCalendarAdvance(Calendar,Y1695,NDays&amp;"D")</f>
        <v>50825</v>
      </c>
      <c r="AA1695" s="173">
        <v>2.0820960363626653E-2</v>
      </c>
      <c r="AB1695" s="182">
        <v>2.0803372837505663E-2</v>
      </c>
    </row>
    <row r="1696" spans="24:28" x14ac:dyDescent="0.2">
      <c r="X1696" s="186" t="str">
        <f t="shared" si="60"/>
        <v>1w</v>
      </c>
      <c r="Y1696" s="174">
        <f>_xll.qlCalendarAdvance(Calendar,Y1695,X1696,"f",FALSE)</f>
        <v>50830</v>
      </c>
      <c r="Z1696" s="198">
        <f>_xll.qlCalendarAdvance(Calendar,Y1696,NDays&amp;"D")</f>
        <v>50832</v>
      </c>
      <c r="AA1696" s="173">
        <v>2.0814482989203652E-2</v>
      </c>
      <c r="AB1696" s="182">
        <v>2.0796245113094969E-2</v>
      </c>
    </row>
    <row r="1697" spans="24:28" x14ac:dyDescent="0.2">
      <c r="X1697" s="186" t="str">
        <f t="shared" si="60"/>
        <v>1w</v>
      </c>
      <c r="Y1697" s="174">
        <f>_xll.qlCalendarAdvance(Calendar,Y1696,X1697,"f",FALSE)</f>
        <v>50837</v>
      </c>
      <c r="Z1697" s="198">
        <f>_xll.qlCalendarAdvance(Calendar,Y1697,NDays&amp;"D")</f>
        <v>50839</v>
      </c>
      <c r="AA1697" s="173">
        <v>2.0807499887089891E-2</v>
      </c>
      <c r="AB1697" s="182">
        <v>2.0789132761427354E-2</v>
      </c>
    </row>
    <row r="1698" spans="24:28" x14ac:dyDescent="0.2">
      <c r="X1698" s="186" t="str">
        <f t="shared" si="60"/>
        <v>1w</v>
      </c>
      <c r="Y1698" s="174">
        <f>_xll.qlCalendarAdvance(Calendar,Y1697,X1698,"f",FALSE)</f>
        <v>50844</v>
      </c>
      <c r="Z1698" s="198">
        <f>_xll.qlCalendarAdvance(Calendar,Y1698,NDays&amp;"D")</f>
        <v>50846</v>
      </c>
      <c r="AA1698" s="173">
        <v>2.0800532346707389E-2</v>
      </c>
      <c r="AB1698" s="182">
        <v>2.0782035782263009E-2</v>
      </c>
    </row>
    <row r="1699" spans="24:28" x14ac:dyDescent="0.2">
      <c r="X1699" s="186" t="str">
        <f t="shared" si="60"/>
        <v>1w</v>
      </c>
      <c r="Y1699" s="174">
        <f>_xll.qlCalendarAdvance(Calendar,Y1698,X1699,"f",FALSE)</f>
        <v>50851</v>
      </c>
      <c r="Z1699" s="198">
        <f>_xll.qlCalendarAdvance(Calendar,Y1699,NDays&amp;"D")</f>
        <v>50853</v>
      </c>
      <c r="AA1699" s="173">
        <v>2.0793580367888968E-2</v>
      </c>
      <c r="AB1699" s="182">
        <v>2.0774954175841742E-2</v>
      </c>
    </row>
    <row r="1700" spans="24:28" x14ac:dyDescent="0.2">
      <c r="X1700" s="186" t="str">
        <f t="shared" si="60"/>
        <v>1w</v>
      </c>
      <c r="Y1700" s="174">
        <f>_xll.qlCalendarAdvance(Calendar,Y1699,X1700,"f",FALSE)</f>
        <v>50858</v>
      </c>
      <c r="Z1700" s="198">
        <f>_xll.qlCalendarAdvance(Calendar,Y1700,NDays&amp;"D")</f>
        <v>50860</v>
      </c>
      <c r="AA1700" s="173">
        <v>2.0786320298658449E-2</v>
      </c>
      <c r="AB1700" s="182">
        <v>2.0767887942003682E-2</v>
      </c>
    </row>
    <row r="1701" spans="24:28" x14ac:dyDescent="0.2">
      <c r="X1701" s="186" t="str">
        <f t="shared" si="60"/>
        <v>1w</v>
      </c>
      <c r="Y1701" s="174">
        <f>_xll.qlCalendarAdvance(Calendar,Y1700,X1701,"f",FALSE)</f>
        <v>50865</v>
      </c>
      <c r="Z1701" s="198">
        <f>_xll.qlCalendarAdvance(Calendar,Y1701,NDays&amp;"D")</f>
        <v>50867</v>
      </c>
      <c r="AA1701" s="173">
        <v>2.0779397300799095E-2</v>
      </c>
      <c r="AB1701" s="182">
        <v>2.0761219873586256E-2</v>
      </c>
    </row>
    <row r="1702" spans="24:28" x14ac:dyDescent="0.2">
      <c r="X1702" s="186" t="str">
        <f t="shared" si="60"/>
        <v>1w</v>
      </c>
      <c r="Y1702" s="174">
        <f>_xll.qlCalendarAdvance(Calendar,Y1701,X1702,"f",FALSE)</f>
        <v>50872</v>
      </c>
      <c r="Z1702" s="198">
        <f>_xll.qlCalendarAdvance(Calendar,Y1702,NDays&amp;"D")</f>
        <v>50874</v>
      </c>
      <c r="AA1702" s="173">
        <v>2.077248986096936E-2</v>
      </c>
      <c r="AB1702" s="182">
        <v>2.0753801592396925E-2</v>
      </c>
    </row>
    <row r="1703" spans="24:28" x14ac:dyDescent="0.2">
      <c r="X1703" s="186" t="str">
        <f t="shared" si="60"/>
        <v>1w</v>
      </c>
      <c r="Y1703" s="174">
        <f>_xll.qlCalendarAdvance(Calendar,Y1702,X1703,"f",FALSE)</f>
        <v>50879</v>
      </c>
      <c r="Z1703" s="198">
        <f>_xll.qlCalendarAdvance(Calendar,Y1703,NDays&amp;"D")</f>
        <v>50881</v>
      </c>
      <c r="AA1703" s="173">
        <v>2.0765597979006314E-2</v>
      </c>
      <c r="AB1703" s="182">
        <v>2.0746781476468357E-2</v>
      </c>
    </row>
    <row r="1704" spans="24:28" x14ac:dyDescent="0.2">
      <c r="X1704" s="186" t="str">
        <f t="shared" si="60"/>
        <v>1w</v>
      </c>
      <c r="Y1704" s="174">
        <f>_xll.qlCalendarAdvance(Calendar,Y1703,X1704,"f",FALSE)</f>
        <v>50886</v>
      </c>
      <c r="Z1704" s="198">
        <f>_xll.qlCalendarAdvance(Calendar,Y1704,NDays&amp;"D")</f>
        <v>50888</v>
      </c>
      <c r="AA1704" s="173">
        <v>2.0758721654749214E-2</v>
      </c>
      <c r="AB1704" s="182">
        <v>2.0739776733122994E-2</v>
      </c>
    </row>
    <row r="1705" spans="24:28" x14ac:dyDescent="0.2">
      <c r="X1705" s="186" t="str">
        <f t="shared" si="60"/>
        <v>1w</v>
      </c>
      <c r="Y1705" s="174">
        <f>_xll.qlCalendarAdvance(Calendar,Y1704,X1705,"f",FALSE)</f>
        <v>50893</v>
      </c>
      <c r="Z1705" s="198">
        <f>_xll.qlCalendarAdvance(Calendar,Y1705,NDays&amp;"D")</f>
        <v>50895</v>
      </c>
      <c r="AA1705" s="173">
        <v>2.0752195300633665E-2</v>
      </c>
      <c r="AB1705" s="182">
        <v>2.073278736252071E-2</v>
      </c>
    </row>
    <row r="1706" spans="24:28" x14ac:dyDescent="0.2">
      <c r="X1706" s="186" t="str">
        <f t="shared" si="60"/>
        <v>1w</v>
      </c>
      <c r="Y1706" s="174">
        <f>_xll.qlCalendarAdvance(Calendar,Y1705,X1706,"f",FALSE)</f>
        <v>50900</v>
      </c>
      <c r="Z1706" s="198">
        <f>_xll.qlCalendarAdvance(Calendar,Y1706,NDays&amp;"D")</f>
        <v>50902</v>
      </c>
      <c r="AA1706" s="173">
        <v>2.0745352684699587E-2</v>
      </c>
      <c r="AB1706" s="182">
        <v>2.0725813364581569E-2</v>
      </c>
    </row>
    <row r="1707" spans="24:28" x14ac:dyDescent="0.2">
      <c r="X1707" s="186" t="str">
        <f t="shared" si="60"/>
        <v>1w</v>
      </c>
      <c r="Y1707" s="174">
        <f>_xll.qlCalendarAdvance(Calendar,Y1706,X1707,"f",FALSE)</f>
        <v>50907</v>
      </c>
      <c r="Z1707" s="198">
        <f>_xll.qlCalendarAdvance(Calendar,Y1707,NDays&amp;"D")</f>
        <v>50909</v>
      </c>
      <c r="AA1707" s="173">
        <v>2.0738526743298225E-2</v>
      </c>
      <c r="AB1707" s="182">
        <v>2.0718854739145698E-2</v>
      </c>
    </row>
    <row r="1708" spans="24:28" x14ac:dyDescent="0.2">
      <c r="X1708" s="186" t="str">
        <f t="shared" si="60"/>
        <v>1w</v>
      </c>
      <c r="Y1708" s="174">
        <f>_xll.qlCalendarAdvance(Calendar,Y1707,X1708,"f",FALSE)</f>
        <v>50914</v>
      </c>
      <c r="Z1708" s="198">
        <f>_xll.qlCalendarAdvance(Calendar,Y1708,NDays&amp;"D")</f>
        <v>50916</v>
      </c>
      <c r="AA1708" s="173">
        <v>2.0731718185346387E-2</v>
      </c>
      <c r="AB1708" s="182">
        <v>2.0711911486293033E-2</v>
      </c>
    </row>
    <row r="1709" spans="24:28" x14ac:dyDescent="0.2">
      <c r="X1709" s="186" t="str">
        <f t="shared" si="60"/>
        <v>1w</v>
      </c>
      <c r="Y1709" s="174">
        <f>_xll.qlCalendarAdvance(Calendar,Y1708,X1709,"f",FALSE)</f>
        <v>50921</v>
      </c>
      <c r="Z1709" s="198">
        <f>_xll.qlCalendarAdvance(Calendar,Y1709,NDays&amp;"D")</f>
        <v>50923</v>
      </c>
      <c r="AA1709" s="173">
        <v>2.0724581932978325E-2</v>
      </c>
      <c r="AB1709" s="182">
        <v>2.0704983606183447E-2</v>
      </c>
    </row>
    <row r="1710" spans="24:28" x14ac:dyDescent="0.2">
      <c r="X1710" s="186" t="str">
        <f t="shared" si="60"/>
        <v>1w</v>
      </c>
      <c r="Y1710" s="174">
        <f>_xll.qlCalendarAdvance(Calendar,Y1709,X1710,"f",FALSE)</f>
        <v>50928</v>
      </c>
      <c r="Z1710" s="198">
        <f>_xll.qlCalendarAdvance(Calendar,Y1710,NDays&amp;"D")</f>
        <v>50930</v>
      </c>
      <c r="AA1710" s="173">
        <v>2.0717806748092635E-2</v>
      </c>
      <c r="AB1710" s="182">
        <v>2.0698071098657067E-2</v>
      </c>
    </row>
    <row r="1711" spans="24:28" x14ac:dyDescent="0.2">
      <c r="X1711" s="186" t="str">
        <f t="shared" si="60"/>
        <v>1w</v>
      </c>
      <c r="Y1711" s="174">
        <f>_xll.qlCalendarAdvance(Calendar,Y1710,X1711,"f",FALSE)</f>
        <v>50935</v>
      </c>
      <c r="Z1711" s="198">
        <f>_xll.qlCalendarAdvance(Calendar,Y1711,NDays&amp;"D")</f>
        <v>50937</v>
      </c>
      <c r="AA1711" s="173">
        <v>2.0711050825594914E-2</v>
      </c>
      <c r="AB1711" s="182">
        <v>2.0691173963713894E-2</v>
      </c>
    </row>
    <row r="1712" spans="24:28" x14ac:dyDescent="0.2">
      <c r="X1712" s="186" t="str">
        <f t="shared" si="60"/>
        <v>1w</v>
      </c>
      <c r="Y1712" s="174">
        <f>_xll.qlCalendarAdvance(Calendar,Y1711,X1712,"f",FALSE)</f>
        <v>50942</v>
      </c>
      <c r="Z1712" s="198">
        <f>_xll.qlCalendarAdvance(Calendar,Y1712,NDays&amp;"D")</f>
        <v>50944</v>
      </c>
      <c r="AA1712" s="173">
        <v>2.0704314885870226E-2</v>
      </c>
      <c r="AB1712" s="182">
        <v>2.0684292201433863E-2</v>
      </c>
    </row>
    <row r="1713" spans="24:28" x14ac:dyDescent="0.2">
      <c r="X1713" s="186" t="str">
        <f t="shared" si="60"/>
        <v>1w</v>
      </c>
      <c r="Y1713" s="174">
        <f>_xll.qlCalendarAdvance(Calendar,Y1712,X1713,"f",FALSE)</f>
        <v>50949</v>
      </c>
      <c r="Z1713" s="198">
        <f>_xll.qlCalendarAdvance(Calendar,Y1713,NDays&amp;"D")</f>
        <v>50951</v>
      </c>
      <c r="AA1713" s="173">
        <v>2.0697599649293585E-2</v>
      </c>
      <c r="AB1713" s="182">
        <v>2.0677425811816974E-2</v>
      </c>
    </row>
    <row r="1714" spans="24:28" x14ac:dyDescent="0.2">
      <c r="X1714" s="186" t="str">
        <f t="shared" si="60"/>
        <v>1w</v>
      </c>
      <c r="Y1714" s="174">
        <f>_xll.qlCalendarAdvance(Calendar,Y1713,X1714,"f",FALSE)</f>
        <v>50956</v>
      </c>
      <c r="Z1714" s="198">
        <f>_xll.qlCalendarAdvance(Calendar,Y1714,NDays&amp;"D")</f>
        <v>50958</v>
      </c>
      <c r="AA1714" s="173">
        <v>2.0691271588129969E-2</v>
      </c>
      <c r="AB1714" s="182">
        <v>2.0670574794783292E-2</v>
      </c>
    </row>
    <row r="1715" spans="24:28" x14ac:dyDescent="0.2">
      <c r="X1715" s="186" t="str">
        <f t="shared" si="60"/>
        <v>1w</v>
      </c>
      <c r="Y1715" s="174">
        <f>_xll.qlCalendarAdvance(Calendar,Y1714,X1715,"f",FALSE)</f>
        <v>50963</v>
      </c>
      <c r="Z1715" s="198">
        <f>_xll.qlCalendarAdvance(Calendar,Y1715,NDays&amp;"D")</f>
        <v>50965</v>
      </c>
      <c r="AA1715" s="173">
        <v>2.0684604563161312E-2</v>
      </c>
      <c r="AB1715" s="182">
        <v>2.0663739150412752E-2</v>
      </c>
    </row>
    <row r="1716" spans="24:28" x14ac:dyDescent="0.2">
      <c r="X1716" s="186" t="str">
        <f t="shared" si="60"/>
        <v>1w</v>
      </c>
      <c r="Y1716" s="174">
        <f>_xll.qlCalendarAdvance(Calendar,Y1715,X1716,"f",FALSE)</f>
        <v>50970</v>
      </c>
      <c r="Z1716" s="198">
        <f>_xll.qlCalendarAdvance(Calendar,Y1716,NDays&amp;"D")</f>
        <v>50972</v>
      </c>
      <c r="AA1716" s="173">
        <v>2.0677960592628865E-2</v>
      </c>
      <c r="AB1716" s="182">
        <v>2.0656918878545483E-2</v>
      </c>
    </row>
    <row r="1717" spans="24:28" x14ac:dyDescent="0.2">
      <c r="X1717" s="186" t="str">
        <f t="shared" si="60"/>
        <v>1w</v>
      </c>
      <c r="Y1717" s="174">
        <f>_xll.qlCalendarAdvance(Calendar,Y1716,X1717,"f",FALSE)</f>
        <v>50977</v>
      </c>
      <c r="Z1717" s="198">
        <f>_xll.qlCalendarAdvance(Calendar,Y1717,NDays&amp;"D")</f>
        <v>50979</v>
      </c>
      <c r="AA1717" s="173">
        <v>2.0671340385366478E-2</v>
      </c>
      <c r="AB1717" s="182">
        <v>2.0650113979341356E-2</v>
      </c>
    </row>
    <row r="1718" spans="24:28" x14ac:dyDescent="0.2">
      <c r="X1718" s="186" t="str">
        <f t="shared" si="60"/>
        <v>1w</v>
      </c>
      <c r="Y1718" s="174">
        <f>_xll.qlCalendarAdvance(Calendar,Y1717,X1718,"f",FALSE)</f>
        <v>50984</v>
      </c>
      <c r="Z1718" s="198">
        <f>_xll.qlCalendarAdvance(Calendar,Y1718,NDays&amp;"D")</f>
        <v>50986</v>
      </c>
      <c r="AA1718" s="173">
        <v>2.066474465019769E-2</v>
      </c>
      <c r="AB1718" s="182">
        <v>2.0643324452720435E-2</v>
      </c>
    </row>
    <row r="1719" spans="24:28" x14ac:dyDescent="0.2">
      <c r="X1719" s="186" t="str">
        <f t="shared" si="60"/>
        <v>1w</v>
      </c>
      <c r="Y1719" s="174">
        <f>_xll.qlCalendarAdvance(Calendar,Y1718,X1719,"f",FALSE)</f>
        <v>50991</v>
      </c>
      <c r="Z1719" s="198">
        <f>_xll.qlCalendarAdvance(Calendar,Y1719,NDays&amp;"D")</f>
        <v>50993</v>
      </c>
      <c r="AA1719" s="173">
        <v>2.0658174095938304E-2</v>
      </c>
      <c r="AB1719" s="182">
        <v>2.0636550298842593E-2</v>
      </c>
    </row>
    <row r="1720" spans="24:28" x14ac:dyDescent="0.2">
      <c r="X1720" s="186" t="str">
        <f t="shared" si="60"/>
        <v>1w</v>
      </c>
      <c r="Y1720" s="174">
        <f>_xll.qlCalendarAdvance(Calendar,Y1719,X1720,"f",FALSE)</f>
        <v>50998</v>
      </c>
      <c r="Z1720" s="198">
        <f>_xll.qlCalendarAdvance(Calendar,Y1720,NDays&amp;"D")</f>
        <v>51000</v>
      </c>
      <c r="AA1720" s="173">
        <v>2.0651629431394664E-2</v>
      </c>
      <c r="AB1720" s="182">
        <v>2.0629791517468021E-2</v>
      </c>
    </row>
    <row r="1721" spans="24:28" x14ac:dyDescent="0.2">
      <c r="X1721" s="186" t="str">
        <f t="shared" si="60"/>
        <v>1w</v>
      </c>
      <c r="Y1721" s="174">
        <f>_xll.qlCalendarAdvance(Calendar,Y1720,X1721,"f",FALSE)</f>
        <v>51005</v>
      </c>
      <c r="Z1721" s="198">
        <f>_xll.qlCalendarAdvance(Calendar,Y1721,NDays&amp;"D")</f>
        <v>51007</v>
      </c>
      <c r="AA1721" s="173">
        <v>2.0645111365365381E-2</v>
      </c>
      <c r="AB1721" s="182">
        <v>2.0623048108676656E-2</v>
      </c>
    </row>
    <row r="1722" spans="24:28" x14ac:dyDescent="0.2">
      <c r="X1722" s="186" t="str">
        <f t="shared" si="60"/>
        <v>1w</v>
      </c>
      <c r="Y1722" s="174">
        <f>_xll.qlCalendarAdvance(Calendar,Y1721,X1722,"f",FALSE)</f>
        <v>51012</v>
      </c>
      <c r="Z1722" s="198">
        <f>_xll.qlCalendarAdvance(Calendar,Y1722,NDays&amp;"D")</f>
        <v>51014</v>
      </c>
      <c r="AA1722" s="173">
        <v>2.0638077555665581E-2</v>
      </c>
      <c r="AB1722" s="182">
        <v>2.0616320072628369E-2</v>
      </c>
    </row>
    <row r="1723" spans="24:28" x14ac:dyDescent="0.2">
      <c r="X1723" s="186" t="str">
        <f t="shared" si="60"/>
        <v>1w</v>
      </c>
      <c r="Y1723" s="174">
        <f>_xll.qlCalendarAdvance(Calendar,Y1722,X1723,"f",FALSE)</f>
        <v>51019</v>
      </c>
      <c r="Z1723" s="198">
        <f>_xll.qlCalendarAdvance(Calendar,Y1723,NDays&amp;"D")</f>
        <v>51021</v>
      </c>
      <c r="AA1723" s="173">
        <v>2.0631607024926679E-2</v>
      </c>
      <c r="AB1723" s="182">
        <v>2.0609607409163289E-2</v>
      </c>
    </row>
    <row r="1724" spans="24:28" x14ac:dyDescent="0.2">
      <c r="X1724" s="186" t="str">
        <f t="shared" si="60"/>
        <v>1w</v>
      </c>
      <c r="Y1724" s="174">
        <f>_xll.qlCalendarAdvance(Calendar,Y1723,X1724,"f",FALSE)</f>
        <v>51026</v>
      </c>
      <c r="Z1724" s="198">
        <f>_xll.qlCalendarAdvance(Calendar,Y1724,NDays&amp;"D")</f>
        <v>51028</v>
      </c>
      <c r="AA1724" s="173">
        <v>2.0625165087487369E-2</v>
      </c>
      <c r="AB1724" s="182">
        <v>2.0602910118361351E-2</v>
      </c>
    </row>
    <row r="1725" spans="24:28" x14ac:dyDescent="0.2">
      <c r="X1725" s="186" t="str">
        <f t="shared" si="60"/>
        <v>1w</v>
      </c>
      <c r="Y1725" s="174">
        <f>_xll.qlCalendarAdvance(Calendar,Y1724,X1725,"f",FALSE)</f>
        <v>51033</v>
      </c>
      <c r="Z1725" s="198">
        <f>_xll.qlCalendarAdvance(Calendar,Y1725,NDays&amp;"D")</f>
        <v>51035</v>
      </c>
      <c r="AA1725" s="173">
        <v>2.0618752467538474E-2</v>
      </c>
      <c r="AB1725" s="182">
        <v>2.0596228199982747E-2</v>
      </c>
    </row>
    <row r="1726" spans="24:28" x14ac:dyDescent="0.2">
      <c r="X1726" s="186" t="str">
        <f t="shared" si="60"/>
        <v>1w</v>
      </c>
      <c r="Y1726" s="174">
        <f>_xll.qlCalendarAdvance(Calendar,Y1725,X1726,"f",FALSE)</f>
        <v>51040</v>
      </c>
      <c r="Z1726" s="198">
        <f>_xll.qlCalendarAdvance(Calendar,Y1726,NDays&amp;"D")</f>
        <v>51042</v>
      </c>
      <c r="AA1726" s="173">
        <v>2.0612369889263345E-2</v>
      </c>
      <c r="AB1726" s="182">
        <v>2.0589561654267285E-2</v>
      </c>
    </row>
    <row r="1727" spans="24:28" x14ac:dyDescent="0.2">
      <c r="X1727" s="186" t="str">
        <f t="shared" si="60"/>
        <v>1w</v>
      </c>
      <c r="Y1727" s="174">
        <f>_xll.qlCalendarAdvance(Calendar,Y1726,X1727,"f",FALSE)</f>
        <v>51047</v>
      </c>
      <c r="Z1727" s="198">
        <f>_xll.qlCalendarAdvance(Calendar,Y1727,NDays&amp;"D")</f>
        <v>51049</v>
      </c>
      <c r="AA1727" s="173">
        <v>2.0606163556860506E-2</v>
      </c>
      <c r="AB1727" s="182">
        <v>2.0582910481214967E-2</v>
      </c>
    </row>
    <row r="1728" spans="24:28" x14ac:dyDescent="0.2">
      <c r="X1728" s="186" t="str">
        <f t="shared" si="60"/>
        <v>1w</v>
      </c>
      <c r="Y1728" s="174">
        <f>_xll.qlCalendarAdvance(Calendar,Y1727,X1728,"f",FALSE)</f>
        <v>51054</v>
      </c>
      <c r="Z1728" s="198">
        <f>_xll.qlCalendarAdvance(Calendar,Y1728,NDays&amp;"D")</f>
        <v>51056</v>
      </c>
      <c r="AA1728" s="173">
        <v>2.0599845306565525E-2</v>
      </c>
      <c r="AB1728" s="182">
        <v>2.057627468082579E-2</v>
      </c>
    </row>
    <row r="1729" spans="24:28" x14ac:dyDescent="0.2">
      <c r="X1729" s="186" t="str">
        <f t="shared" si="60"/>
        <v>1w</v>
      </c>
      <c r="Y1729" s="174">
        <f>_xll.qlCalendarAdvance(Calendar,Y1728,X1729,"f",FALSE)</f>
        <v>51061</v>
      </c>
      <c r="Z1729" s="198">
        <f>_xll.qlCalendarAdvance(Calendar,Y1729,NDays&amp;"D")</f>
        <v>51063</v>
      </c>
      <c r="AA1729" s="173">
        <v>2.059355928424559E-2</v>
      </c>
      <c r="AB1729" s="182">
        <v>2.0569654252939884E-2</v>
      </c>
    </row>
    <row r="1730" spans="24:28" x14ac:dyDescent="0.2">
      <c r="X1730" s="186" t="str">
        <f t="shared" si="60"/>
        <v>1w</v>
      </c>
      <c r="Y1730" s="174">
        <f>_xll.qlCalendarAdvance(Calendar,Y1729,X1730,"f",FALSE)</f>
        <v>51068</v>
      </c>
      <c r="Z1730" s="198">
        <f>_xll.qlCalendarAdvance(Calendar,Y1730,NDays&amp;"D")</f>
        <v>51070</v>
      </c>
      <c r="AA1730" s="173">
        <v>2.058730621013375E-2</v>
      </c>
      <c r="AB1730" s="182">
        <v>2.056304919771712E-2</v>
      </c>
    </row>
    <row r="1731" spans="24:28" x14ac:dyDescent="0.2">
      <c r="X1731" s="186" t="str">
        <f t="shared" si="60"/>
        <v>1w</v>
      </c>
      <c r="Y1731" s="174">
        <f>_xll.qlCalendarAdvance(Calendar,Y1730,X1731,"f",FALSE)</f>
        <v>51075</v>
      </c>
      <c r="Z1731" s="198">
        <f>_xll.qlCalendarAdvance(Calendar,Y1731,NDays&amp;"D")</f>
        <v>51077</v>
      </c>
      <c r="AA1731" s="173">
        <v>2.0580932968874716E-2</v>
      </c>
      <c r="AB1731" s="182">
        <v>2.0556459578546793E-2</v>
      </c>
    </row>
    <row r="1732" spans="24:28" x14ac:dyDescent="0.2">
      <c r="X1732" s="186" t="str">
        <f t="shared" si="60"/>
        <v>1w</v>
      </c>
      <c r="Y1732" s="174">
        <f>_xll.qlCalendarAdvance(Calendar,Y1731,X1732,"f",FALSE)</f>
        <v>51082</v>
      </c>
      <c r="Z1732" s="198">
        <f>_xll.qlCalendarAdvance(Calendar,Y1732,NDays&amp;"D")</f>
        <v>51084</v>
      </c>
      <c r="AA1732" s="173">
        <v>2.0574745727319571E-2</v>
      </c>
      <c r="AB1732" s="182">
        <v>2.0549895921568861E-2</v>
      </c>
    </row>
    <row r="1733" spans="24:28" x14ac:dyDescent="0.2">
      <c r="X1733" s="186" t="str">
        <f t="shared" si="60"/>
        <v>1w</v>
      </c>
      <c r="Y1733" s="174">
        <f>_xll.qlCalendarAdvance(Calendar,Y1732,X1733,"f",FALSE)</f>
        <v>51089</v>
      </c>
      <c r="Z1733" s="198">
        <f>_xll.qlCalendarAdvance(Calendar,Y1733,NDays&amp;"D")</f>
        <v>51091</v>
      </c>
      <c r="AA1733" s="173">
        <v>2.0568592872058238E-2</v>
      </c>
      <c r="AB1733" s="182">
        <v>2.0543366280181274E-2</v>
      </c>
    </row>
    <row r="1734" spans="24:28" x14ac:dyDescent="0.2">
      <c r="X1734" s="186" t="str">
        <f t="shared" si="60"/>
        <v>1w</v>
      </c>
      <c r="Y1734" s="174">
        <f>_xll.qlCalendarAdvance(Calendar,Y1733,X1734,"f",FALSE)</f>
        <v>51096</v>
      </c>
      <c r="Z1734" s="198">
        <f>_xll.qlCalendarAdvance(Calendar,Y1734,NDays&amp;"D")</f>
        <v>51098</v>
      </c>
      <c r="AA1734" s="173">
        <v>2.056247440277361E-2</v>
      </c>
      <c r="AB1734" s="182">
        <v>2.053687065422416E-2</v>
      </c>
    </row>
    <row r="1735" spans="24:28" x14ac:dyDescent="0.2">
      <c r="X1735" s="186" t="str">
        <f t="shared" si="60"/>
        <v>1w</v>
      </c>
      <c r="Y1735" s="174">
        <f>_xll.qlCalendarAdvance(Calendar,Y1734,X1735,"f",FALSE)</f>
        <v>51103</v>
      </c>
      <c r="Z1735" s="198">
        <f>_xll.qlCalendarAdvance(Calendar,Y1735,NDays&amp;"D")</f>
        <v>51105</v>
      </c>
      <c r="AA1735" s="173">
        <v>2.0556552584700391E-2</v>
      </c>
      <c r="AB1735" s="182">
        <v>2.0530409043697517E-2</v>
      </c>
    </row>
    <row r="1736" spans="24:28" x14ac:dyDescent="0.2">
      <c r="X1736" s="186" t="str">
        <f t="shared" si="60"/>
        <v>1w</v>
      </c>
      <c r="Y1736" s="174">
        <f>_xll.qlCalendarAdvance(Calendar,Y1735,X1736,"f",FALSE)</f>
        <v>51110</v>
      </c>
      <c r="Z1736" s="198">
        <f>_xll.qlCalendarAdvance(Calendar,Y1736,NDays&amp;"D")</f>
        <v>51112</v>
      </c>
      <c r="AA1736" s="173">
        <v>2.0550504999000851E-2</v>
      </c>
      <c r="AB1736" s="182">
        <v>2.0523981448921091E-2</v>
      </c>
    </row>
    <row r="1737" spans="24:28" x14ac:dyDescent="0.2">
      <c r="X1737" s="186" t="str">
        <f t="shared" si="60"/>
        <v>1w</v>
      </c>
      <c r="Y1737" s="174">
        <f>_xll.qlCalendarAdvance(Calendar,Y1736,X1737,"f",FALSE)</f>
        <v>51117</v>
      </c>
      <c r="Z1737" s="198">
        <f>_xll.qlCalendarAdvance(Calendar,Y1737,NDays&amp;"D")</f>
        <v>51119</v>
      </c>
      <c r="AA1737" s="173">
        <v>2.0544491800366743E-2</v>
      </c>
      <c r="AB1737" s="182">
        <v>2.0517587869415266E-2</v>
      </c>
    </row>
    <row r="1738" spans="24:28" x14ac:dyDescent="0.2">
      <c r="X1738" s="186" t="str">
        <f t="shared" si="60"/>
        <v>1w</v>
      </c>
      <c r="Y1738" s="174">
        <f>_xll.qlCalendarAdvance(Calendar,Y1737,X1738,"f",FALSE)</f>
        <v>51124</v>
      </c>
      <c r="Z1738" s="198">
        <f>_xll.qlCalendarAdvance(Calendar,Y1738,NDays&amp;"D")</f>
        <v>51126</v>
      </c>
      <c r="AA1738" s="173">
        <v>2.0538512988486191E-2</v>
      </c>
      <c r="AB1738" s="182">
        <v>2.0511228305579721E-2</v>
      </c>
    </row>
    <row r="1739" spans="24:28" x14ac:dyDescent="0.2">
      <c r="X1739" s="186" t="str">
        <f t="shared" si="60"/>
        <v>1w</v>
      </c>
      <c r="Y1739" s="174">
        <f>_xll.qlCalendarAdvance(Calendar,Y1738,X1739,"f",FALSE)</f>
        <v>51131</v>
      </c>
      <c r="Z1739" s="198">
        <f>_xll.qlCalendarAdvance(Calendar,Y1739,NDays&amp;"D")</f>
        <v>51133</v>
      </c>
      <c r="AA1739" s="173">
        <v>2.0532568563048182E-2</v>
      </c>
      <c r="AB1739" s="182">
        <v>2.0504902757174648E-2</v>
      </c>
    </row>
    <row r="1740" spans="24:28" x14ac:dyDescent="0.2">
      <c r="X1740" s="186" t="str">
        <f t="shared" si="60"/>
        <v>1w</v>
      </c>
      <c r="Y1740" s="174">
        <f>_xll.qlCalendarAdvance(Calendar,Y1739,X1740,"f",FALSE)</f>
        <v>51138</v>
      </c>
      <c r="Z1740" s="198">
        <f>_xll.qlCalendarAdvance(Calendar,Y1740,NDays&amp;"D")</f>
        <v>51140</v>
      </c>
      <c r="AA1740" s="173">
        <v>2.0526485675017473E-2</v>
      </c>
      <c r="AB1740" s="182">
        <v>2.0498611224279983E-2</v>
      </c>
    </row>
    <row r="1741" spans="24:28" x14ac:dyDescent="0.2">
      <c r="X1741" s="186" t="str">
        <f t="shared" si="60"/>
        <v>1w</v>
      </c>
      <c r="Y1741" s="174">
        <f>_xll.qlCalendarAdvance(Calendar,Y1740,X1741,"f",FALSE)</f>
        <v>51145</v>
      </c>
      <c r="Z1741" s="198">
        <f>_xll.qlCalendarAdvance(Calendar,Y1741,NDays&amp;"D")</f>
        <v>51147</v>
      </c>
      <c r="AA1741" s="173">
        <v>2.0520607898828189E-2</v>
      </c>
      <c r="AB1741" s="182">
        <v>2.0492353706815791E-2</v>
      </c>
    </row>
    <row r="1742" spans="24:28" x14ac:dyDescent="0.2">
      <c r="X1742" s="186" t="str">
        <f t="shared" si="60"/>
        <v>1w</v>
      </c>
      <c r="Y1742" s="174">
        <f>_xll.qlCalendarAdvance(Calendar,Y1741,X1742,"f",FALSE)</f>
        <v>51152</v>
      </c>
      <c r="Z1742" s="198">
        <f>_xll.qlCalendarAdvance(Calendar,Y1742,NDays&amp;"D")</f>
        <v>51154</v>
      </c>
      <c r="AA1742" s="173">
        <v>2.0514764506139788E-2</v>
      </c>
      <c r="AB1742" s="182">
        <v>2.0486130204862008E-2</v>
      </c>
    </row>
    <row r="1743" spans="24:28" x14ac:dyDescent="0.2">
      <c r="X1743" s="186" t="str">
        <f t="shared" si="60"/>
        <v>1w</v>
      </c>
      <c r="Y1743" s="174">
        <f>_xll.qlCalendarAdvance(Calendar,Y1742,X1743,"f",FALSE)</f>
        <v>51159</v>
      </c>
      <c r="Z1743" s="198">
        <f>_xll.qlCalendarAdvance(Calendar,Y1743,NDays&amp;"D")</f>
        <v>51161</v>
      </c>
      <c r="AA1743" s="173">
        <v>2.0508955496650091E-2</v>
      </c>
      <c r="AB1743" s="182">
        <v>2.0479940718498568E-2</v>
      </c>
    </row>
    <row r="1744" spans="24:28" x14ac:dyDescent="0.2">
      <c r="X1744" s="186" t="str">
        <f t="shared" si="60"/>
        <v>1w</v>
      </c>
      <c r="Y1744" s="174">
        <f>_xll.qlCalendarAdvance(Calendar,Y1743,X1744,"f",FALSE)</f>
        <v>51166</v>
      </c>
      <c r="Z1744" s="198">
        <f>_xll.qlCalendarAdvance(Calendar,Y1744,NDays&amp;"D")</f>
        <v>51168</v>
      </c>
      <c r="AA1744" s="173">
        <v>2.0503180870060436E-2</v>
      </c>
      <c r="AB1744" s="182">
        <v>2.0473785247565601E-2</v>
      </c>
    </row>
    <row r="1745" spans="24:28" x14ac:dyDescent="0.2">
      <c r="X1745" s="186" t="str">
        <f t="shared" si="60"/>
        <v>1w</v>
      </c>
      <c r="Y1745" s="174">
        <f>_xll.qlCalendarAdvance(Calendar,Y1744,X1745,"f",FALSE)</f>
        <v>51173</v>
      </c>
      <c r="Z1745" s="198">
        <f>_xll.qlCalendarAdvance(Calendar,Y1745,NDays&amp;"D")</f>
        <v>51175</v>
      </c>
      <c r="AA1745" s="173">
        <v>2.0497440626071728E-2</v>
      </c>
      <c r="AB1745" s="182">
        <v>2.0467663792063107E-2</v>
      </c>
    </row>
    <row r="1746" spans="24:28" x14ac:dyDescent="0.2">
      <c r="X1746" s="186" t="str">
        <f t="shared" si="60"/>
        <v>1w</v>
      </c>
      <c r="Y1746" s="174">
        <f>_xll.qlCalendarAdvance(Calendar,Y1745,X1746,"f",FALSE)</f>
        <v>51180</v>
      </c>
      <c r="Z1746" s="198">
        <f>_xll.qlCalendarAdvance(Calendar,Y1746,NDays&amp;"D")</f>
        <v>51182</v>
      </c>
      <c r="AA1746" s="173">
        <v>2.049173476438881E-2</v>
      </c>
      <c r="AB1746" s="182">
        <v>2.046157635207102E-2</v>
      </c>
    </row>
    <row r="1747" spans="24:28" x14ac:dyDescent="0.2">
      <c r="X1747" s="186" t="str">
        <f t="shared" si="60"/>
        <v>1w</v>
      </c>
      <c r="Y1747" s="174">
        <f>_xll.qlCalendarAdvance(Calendar,Y1746,X1747,"f",FALSE)</f>
        <v>51187</v>
      </c>
      <c r="Z1747" s="198">
        <f>_xll.qlCalendarAdvance(Calendar,Y1747,NDays&amp;"D")</f>
        <v>51189</v>
      </c>
      <c r="AA1747" s="173">
        <v>2.0486063284716541E-2</v>
      </c>
      <c r="AB1747" s="182">
        <v>2.0455522927589342E-2</v>
      </c>
    </row>
    <row r="1748" spans="24:28" x14ac:dyDescent="0.2">
      <c r="X1748" s="186" t="str">
        <f t="shared" si="60"/>
        <v>1w</v>
      </c>
      <c r="Y1748" s="174">
        <f>_xll.qlCalendarAdvance(Calendar,Y1747,X1748,"f",FALSE)</f>
        <v>51194</v>
      </c>
      <c r="Z1748" s="198">
        <f>_xll.qlCalendarAdvance(Calendar,Y1748,NDays&amp;"D")</f>
        <v>51196</v>
      </c>
      <c r="AA1748" s="173">
        <v>2.0481187004411316E-2</v>
      </c>
      <c r="AB1748" s="182">
        <v>2.0449503518538137E-2</v>
      </c>
    </row>
    <row r="1749" spans="24:28" x14ac:dyDescent="0.2">
      <c r="X1749" s="186" t="str">
        <f t="shared" ref="X1749:X1812" si="61">X1748</f>
        <v>1w</v>
      </c>
      <c r="Y1749" s="174">
        <f>_xll.qlCalendarAdvance(Calendar,Y1748,X1749,"f",FALSE)</f>
        <v>51201</v>
      </c>
      <c r="Z1749" s="198">
        <f>_xll.qlCalendarAdvance(Calendar,Y1749,NDays&amp;"D")</f>
        <v>51203</v>
      </c>
      <c r="AA1749" s="173">
        <v>2.0475592844924274E-2</v>
      </c>
      <c r="AB1749" s="182">
        <v>2.044351812499734E-2</v>
      </c>
    </row>
    <row r="1750" spans="24:28" x14ac:dyDescent="0.2">
      <c r="X1750" s="186" t="str">
        <f t="shared" si="61"/>
        <v>1w</v>
      </c>
      <c r="Y1750" s="174">
        <f>_xll.qlCalendarAdvance(Calendar,Y1749,X1750,"f",FALSE)</f>
        <v>51208</v>
      </c>
      <c r="Z1750" s="198">
        <f>_xll.qlCalendarAdvance(Calendar,Y1750,NDays&amp;"D")</f>
        <v>51210</v>
      </c>
      <c r="AA1750" s="173">
        <v>2.0470033074617769E-2</v>
      </c>
      <c r="AB1750" s="182">
        <v>2.0437566746966951E-2</v>
      </c>
    </row>
    <row r="1751" spans="24:28" x14ac:dyDescent="0.2">
      <c r="X1751" s="186" t="str">
        <f t="shared" si="61"/>
        <v>1w</v>
      </c>
      <c r="Y1751" s="174">
        <f>_xll.qlCalendarAdvance(Calendar,Y1750,X1751,"f",FALSE)</f>
        <v>51215</v>
      </c>
      <c r="Z1751" s="198">
        <f>_xll.qlCalendarAdvance(Calendar,Y1751,NDays&amp;"D")</f>
        <v>51217</v>
      </c>
      <c r="AA1751" s="173">
        <v>2.046450769319913E-2</v>
      </c>
      <c r="AB1751" s="182">
        <v>2.043164938444697E-2</v>
      </c>
    </row>
    <row r="1752" spans="24:28" x14ac:dyDescent="0.2">
      <c r="X1752" s="186" t="str">
        <f t="shared" si="61"/>
        <v>1w</v>
      </c>
      <c r="Y1752" s="174">
        <f>_xll.qlCalendarAdvance(Calendar,Y1751,X1752,"f",FALSE)</f>
        <v>51222</v>
      </c>
      <c r="Z1752" s="198">
        <f>_xll.qlCalendarAdvance(Calendar,Y1752,NDays&amp;"D")</f>
        <v>51224</v>
      </c>
      <c r="AA1752" s="173">
        <v>2.0458420060814251E-2</v>
      </c>
      <c r="AB1752" s="182">
        <v>2.0426409618545804E-2</v>
      </c>
    </row>
    <row r="1753" spans="24:28" x14ac:dyDescent="0.2">
      <c r="X1753" s="186" t="str">
        <f t="shared" si="61"/>
        <v>1w</v>
      </c>
      <c r="Y1753" s="174">
        <f>_xll.qlCalendarAdvance(Calendar,Y1752,X1753,"f",FALSE)</f>
        <v>51229</v>
      </c>
      <c r="Z1753" s="198">
        <f>_xll.qlCalendarAdvance(Calendar,Y1753,NDays&amp;"D")</f>
        <v>51231</v>
      </c>
      <c r="AA1753" s="173">
        <v>2.0452957014012431E-2</v>
      </c>
      <c r="AB1753" s="182">
        <v>2.0419916705698427E-2</v>
      </c>
    </row>
    <row r="1754" spans="24:28" x14ac:dyDescent="0.2">
      <c r="X1754" s="186" t="str">
        <f t="shared" si="61"/>
        <v>1w</v>
      </c>
      <c r="Y1754" s="174">
        <f>_xll.qlCalendarAdvance(Calendar,Y1753,X1754,"f",FALSE)</f>
        <v>51236</v>
      </c>
      <c r="Z1754" s="198">
        <f>_xll.qlCalendarAdvance(Calendar,Y1754,NDays&amp;"D")</f>
        <v>51238</v>
      </c>
      <c r="AA1754" s="173">
        <v>2.0447528349216048E-2</v>
      </c>
      <c r="AB1754" s="182">
        <v>2.0414101389629735E-2</v>
      </c>
    </row>
    <row r="1755" spans="24:28" x14ac:dyDescent="0.2">
      <c r="X1755" s="186" t="str">
        <f t="shared" si="61"/>
        <v>1w</v>
      </c>
      <c r="Y1755" s="174">
        <f>_xll.qlCalendarAdvance(Calendar,Y1754,X1755,"f",FALSE)</f>
        <v>51243</v>
      </c>
      <c r="Z1755" s="198">
        <f>_xll.qlCalendarAdvance(Calendar,Y1755,NDays&amp;"D")</f>
        <v>51245</v>
      </c>
      <c r="AA1755" s="173">
        <v>2.0442134066142491E-2</v>
      </c>
      <c r="AB1755" s="182">
        <v>2.040832008891158E-2</v>
      </c>
    </row>
    <row r="1756" spans="24:28" x14ac:dyDescent="0.2">
      <c r="X1756" s="186" t="str">
        <f t="shared" si="61"/>
        <v>1w</v>
      </c>
      <c r="Y1756" s="174">
        <f>_xll.qlCalendarAdvance(Calendar,Y1755,X1756,"f",FALSE)</f>
        <v>51250</v>
      </c>
      <c r="Z1756" s="198">
        <f>_xll.qlCalendarAdvance(Calendar,Y1756,NDays&amp;"D")</f>
        <v>51252</v>
      </c>
      <c r="AA1756" s="173">
        <v>2.0436774164512204E-2</v>
      </c>
      <c r="AB1756" s="182">
        <v>2.0402572803703833E-2</v>
      </c>
    </row>
    <row r="1757" spans="24:28" x14ac:dyDescent="0.2">
      <c r="X1757" s="186" t="str">
        <f t="shared" si="61"/>
        <v>1w</v>
      </c>
      <c r="Y1757" s="174">
        <f>_xll.qlCalendarAdvance(Calendar,Y1756,X1757,"f",FALSE)</f>
        <v>51258</v>
      </c>
      <c r="Z1757" s="198">
        <f>_xll.qlCalendarAdvance(Calendar,Y1757,NDays&amp;"D")</f>
        <v>51260</v>
      </c>
      <c r="AA1757" s="173">
        <v>2.0431110338125447E-2</v>
      </c>
      <c r="AB1757" s="182">
        <v>2.0396389132022463E-2</v>
      </c>
    </row>
    <row r="1758" spans="24:28" x14ac:dyDescent="0.2">
      <c r="X1758" s="186" t="str">
        <f t="shared" si="61"/>
        <v>1w</v>
      </c>
      <c r="Y1758" s="174">
        <f>_xll.qlCalendarAdvance(Calendar,Y1757,X1758,"f",FALSE)</f>
        <v>51265</v>
      </c>
      <c r="Z1758" s="198">
        <f>_xll.qlCalendarAdvance(Calendar,Y1758,NDays&amp;"D")</f>
        <v>51267</v>
      </c>
      <c r="AA1758" s="173">
        <v>2.0425828425258578E-2</v>
      </c>
      <c r="AB1758" s="182">
        <v>2.0390718954121922E-2</v>
      </c>
    </row>
    <row r="1759" spans="24:28" x14ac:dyDescent="0.2">
      <c r="X1759" s="186" t="str">
        <f t="shared" si="61"/>
        <v>1w</v>
      </c>
      <c r="Y1759" s="174">
        <f>_xll.qlCalendarAdvance(Calendar,Y1758,X1759,"f",FALSE)</f>
        <v>51272</v>
      </c>
      <c r="Z1759" s="198">
        <f>_xll.qlCalendarAdvance(Calendar,Y1759,NDays&amp;"D")</f>
        <v>51274</v>
      </c>
      <c r="AA1759" s="173">
        <v>2.0420580896962578E-2</v>
      </c>
      <c r="AB1759" s="182">
        <v>2.0385082795755238E-2</v>
      </c>
    </row>
    <row r="1760" spans="24:28" x14ac:dyDescent="0.2">
      <c r="X1760" s="186" t="str">
        <f t="shared" si="61"/>
        <v>1w</v>
      </c>
      <c r="Y1760" s="174">
        <f>_xll.qlCalendarAdvance(Calendar,Y1759,X1760,"f",FALSE)</f>
        <v>51279</v>
      </c>
      <c r="Z1760" s="198">
        <f>_xll.qlCalendarAdvance(Calendar,Y1760,NDays&amp;"D")</f>
        <v>51281</v>
      </c>
      <c r="AA1760" s="173">
        <v>2.0415367752961773E-2</v>
      </c>
      <c r="AB1760" s="182">
        <v>2.0379480656815829E-2</v>
      </c>
    </row>
    <row r="1761" spans="24:28" x14ac:dyDescent="0.2">
      <c r="X1761" s="186" t="str">
        <f t="shared" si="61"/>
        <v>1w</v>
      </c>
      <c r="Y1761" s="174">
        <f>_xll.qlCalendarAdvance(Calendar,Y1760,X1761,"f",FALSE)</f>
        <v>51286</v>
      </c>
      <c r="Z1761" s="198">
        <f>_xll.qlCalendarAdvance(Calendar,Y1761,NDays&amp;"D")</f>
        <v>51288</v>
      </c>
      <c r="AA1761" s="173">
        <v>2.041018899298265E-2</v>
      </c>
      <c r="AB1761" s="182">
        <v>2.0373912537410277E-2</v>
      </c>
    </row>
    <row r="1762" spans="24:28" x14ac:dyDescent="0.2">
      <c r="X1762" s="186" t="str">
        <f t="shared" si="61"/>
        <v>1w</v>
      </c>
      <c r="Y1762" s="174">
        <f>_xll.qlCalendarAdvance(Calendar,Y1761,X1762,"f",FALSE)</f>
        <v>51293</v>
      </c>
      <c r="Z1762" s="198">
        <f>_xll.qlCalendarAdvance(Calendar,Y1762,NDays&amp;"D")</f>
        <v>51295</v>
      </c>
      <c r="AA1762" s="173">
        <v>2.040504461675343E-2</v>
      </c>
      <c r="AB1762" s="182">
        <v>2.0368378437458645E-2</v>
      </c>
    </row>
    <row r="1763" spans="24:28" x14ac:dyDescent="0.2">
      <c r="X1763" s="186" t="str">
        <f t="shared" si="61"/>
        <v>1w</v>
      </c>
      <c r="Y1763" s="174">
        <f>_xll.qlCalendarAdvance(Calendar,Y1762,X1763,"f",FALSE)</f>
        <v>51300</v>
      </c>
      <c r="Z1763" s="198">
        <f>_xll.qlCalendarAdvance(Calendar,Y1763,NDays&amp;"D")</f>
        <v>51302</v>
      </c>
      <c r="AA1763" s="173">
        <v>2.0399934624004488E-2</v>
      </c>
      <c r="AB1763" s="182">
        <v>2.0362878357014225E-2</v>
      </c>
    </row>
    <row r="1764" spans="24:28" x14ac:dyDescent="0.2">
      <c r="X1764" s="186" t="str">
        <f t="shared" si="61"/>
        <v>1w</v>
      </c>
      <c r="Y1764" s="174">
        <f>_xll.qlCalendarAdvance(Calendar,Y1763,X1764,"f",FALSE)</f>
        <v>51307</v>
      </c>
      <c r="Z1764" s="198">
        <f>_xll.qlCalendarAdvance(Calendar,Y1764,NDays&amp;"D")</f>
        <v>51309</v>
      </c>
      <c r="AA1764" s="173">
        <v>2.0394859014468362E-2</v>
      </c>
      <c r="AB1764" s="182">
        <v>2.0357412295997079E-2</v>
      </c>
    </row>
    <row r="1765" spans="24:28" x14ac:dyDescent="0.2">
      <c r="X1765" s="186" t="str">
        <f t="shared" si="61"/>
        <v>1w</v>
      </c>
      <c r="Y1765" s="174">
        <f>_xll.qlCalendarAdvance(Calendar,Y1764,X1765,"f",FALSE)</f>
        <v>51314</v>
      </c>
      <c r="Z1765" s="198">
        <f>_xll.qlCalendarAdvance(Calendar,Y1765,NDays&amp;"D")</f>
        <v>51316</v>
      </c>
      <c r="AA1765" s="173">
        <v>2.0389817787878028E-2</v>
      </c>
      <c r="AB1765" s="182">
        <v>2.0351980254487145E-2</v>
      </c>
    </row>
    <row r="1766" spans="24:28" x14ac:dyDescent="0.2">
      <c r="X1766" s="186" t="str">
        <f t="shared" si="61"/>
        <v>1w</v>
      </c>
      <c r="Y1766" s="174">
        <f>_xll.qlCalendarAdvance(Calendar,Y1765,X1766,"f",FALSE)</f>
        <v>51321</v>
      </c>
      <c r="Z1766" s="198">
        <f>_xll.qlCalendarAdvance(Calendar,Y1766,NDays&amp;"D")</f>
        <v>51323</v>
      </c>
      <c r="AA1766" s="173">
        <v>2.0384810943969905E-2</v>
      </c>
      <c r="AB1766" s="182">
        <v>2.0346582232431132E-2</v>
      </c>
    </row>
    <row r="1767" spans="24:28" x14ac:dyDescent="0.2">
      <c r="X1767" s="186" t="str">
        <f t="shared" si="61"/>
        <v>1w</v>
      </c>
      <c r="Y1767" s="174">
        <f>_xll.qlCalendarAdvance(Calendar,Y1766,X1767,"f",FALSE)</f>
        <v>51328</v>
      </c>
      <c r="Z1767" s="198">
        <f>_xll.qlCalendarAdvance(Calendar,Y1767,NDays&amp;"D")</f>
        <v>51330</v>
      </c>
      <c r="AA1767" s="173">
        <v>2.0379838482480858E-2</v>
      </c>
      <c r="AB1767" s="182">
        <v>2.0341218229802394E-2</v>
      </c>
    </row>
    <row r="1768" spans="24:28" x14ac:dyDescent="0.2">
      <c r="X1768" s="186" t="str">
        <f t="shared" si="61"/>
        <v>1w</v>
      </c>
      <c r="Y1768" s="174">
        <f>_xll.qlCalendarAdvance(Calendar,Y1767,X1768,"f",FALSE)</f>
        <v>51335</v>
      </c>
      <c r="Z1768" s="198">
        <f>_xll.qlCalendarAdvance(Calendar,Y1768,NDays&amp;"D")</f>
        <v>51337</v>
      </c>
      <c r="AA1768" s="173">
        <v>2.0374900403149904E-2</v>
      </c>
      <c r="AB1768" s="182">
        <v>2.0335888246654221E-2</v>
      </c>
    </row>
    <row r="1769" spans="24:28" x14ac:dyDescent="0.2">
      <c r="X1769" s="186" t="str">
        <f t="shared" si="61"/>
        <v>1w</v>
      </c>
      <c r="Y1769" s="174">
        <f>_xll.qlCalendarAdvance(Calendar,Y1768,X1769,"f",FALSE)</f>
        <v>51342</v>
      </c>
      <c r="Z1769" s="198">
        <f>_xll.qlCalendarAdvance(Calendar,Y1769,NDays&amp;"D")</f>
        <v>51344</v>
      </c>
      <c r="AA1769" s="173">
        <v>2.0369996705719089E-2</v>
      </c>
      <c r="AB1769" s="182">
        <v>2.0330592282933324E-2</v>
      </c>
    </row>
    <row r="1770" spans="24:28" x14ac:dyDescent="0.2">
      <c r="X1770" s="186" t="str">
        <f t="shared" si="61"/>
        <v>1w</v>
      </c>
      <c r="Y1770" s="174">
        <f>_xll.qlCalendarAdvance(Calendar,Y1769,X1770,"f",FALSE)</f>
        <v>51349</v>
      </c>
      <c r="Z1770" s="198">
        <f>_xll.qlCalendarAdvance(Calendar,Y1770,NDays&amp;"D")</f>
        <v>51351</v>
      </c>
      <c r="AA1770" s="173">
        <v>2.0365127389930019E-2</v>
      </c>
      <c r="AB1770" s="182">
        <v>2.0325330338666348E-2</v>
      </c>
    </row>
    <row r="1771" spans="24:28" x14ac:dyDescent="0.2">
      <c r="X1771" s="186" t="str">
        <f t="shared" si="61"/>
        <v>1w</v>
      </c>
      <c r="Y1771" s="174">
        <f>_xll.qlCalendarAdvance(Calendar,Y1770,X1771,"f",FALSE)</f>
        <v>51356</v>
      </c>
      <c r="Z1771" s="198">
        <f>_xll.qlCalendarAdvance(Calendar,Y1771,NDays&amp;"D")</f>
        <v>51358</v>
      </c>
      <c r="AA1771" s="173">
        <v>2.0360292455528204E-2</v>
      </c>
      <c r="AB1771" s="182">
        <v>2.0320102413826646E-2</v>
      </c>
    </row>
    <row r="1772" spans="24:28" x14ac:dyDescent="0.2">
      <c r="X1772" s="186" t="str">
        <f t="shared" si="61"/>
        <v>1w</v>
      </c>
      <c r="Y1772" s="174">
        <f>_xll.qlCalendarAdvance(Calendar,Y1771,X1772,"f",FALSE)</f>
        <v>51363</v>
      </c>
      <c r="Z1772" s="198">
        <f>_xll.qlCalendarAdvance(Calendar,Y1772,NDays&amp;"D")</f>
        <v>51365</v>
      </c>
      <c r="AA1772" s="173">
        <v>2.0355491902259572E-2</v>
      </c>
      <c r="AB1772" s="182">
        <v>2.0314908508467511E-2</v>
      </c>
    </row>
    <row r="1773" spans="24:28" x14ac:dyDescent="0.2">
      <c r="X1773" s="186" t="str">
        <f t="shared" si="61"/>
        <v>1w</v>
      </c>
      <c r="Y1773" s="174">
        <f>_xll.qlCalendarAdvance(Calendar,Y1772,X1773,"f",FALSE)</f>
        <v>51370</v>
      </c>
      <c r="Z1773" s="198">
        <f>_xll.qlCalendarAdvance(Calendar,Y1773,NDays&amp;"D")</f>
        <v>51372</v>
      </c>
      <c r="AA1773" s="173">
        <v>2.0350725729873082E-2</v>
      </c>
      <c r="AB1773" s="182">
        <v>2.030974862248236E-2</v>
      </c>
    </row>
    <row r="1774" spans="24:28" x14ac:dyDescent="0.2">
      <c r="X1774" s="186" t="str">
        <f t="shared" si="61"/>
        <v>1w</v>
      </c>
      <c r="Y1774" s="174">
        <f>_xll.qlCalendarAdvance(Calendar,Y1773,X1774,"f",FALSE)</f>
        <v>51377</v>
      </c>
      <c r="Z1774" s="198">
        <f>_xll.qlCalendarAdvance(Calendar,Y1774,NDays&amp;"D")</f>
        <v>51379</v>
      </c>
      <c r="AA1774" s="173">
        <v>2.0345007661406702E-2</v>
      </c>
      <c r="AB1774" s="182">
        <v>2.0304622755951129E-2</v>
      </c>
    </row>
    <row r="1775" spans="24:28" x14ac:dyDescent="0.2">
      <c r="X1775" s="186" t="str">
        <f t="shared" si="61"/>
        <v>1w</v>
      </c>
      <c r="Y1775" s="174">
        <f>_xll.qlCalendarAdvance(Calendar,Y1774,X1775,"f",FALSE)</f>
        <v>51384</v>
      </c>
      <c r="Z1775" s="198">
        <f>_xll.qlCalendarAdvance(Calendar,Y1775,NDays&amp;"D")</f>
        <v>51386</v>
      </c>
      <c r="AA1775" s="173">
        <v>2.0340301485646004E-2</v>
      </c>
      <c r="AB1775" s="182">
        <v>2.0299530908847174E-2</v>
      </c>
    </row>
    <row r="1776" spans="24:28" x14ac:dyDescent="0.2">
      <c r="X1776" s="186" t="str">
        <f t="shared" si="61"/>
        <v>1w</v>
      </c>
      <c r="Y1776" s="174">
        <f>_xll.qlCalendarAdvance(Calendar,Y1775,X1776,"f",FALSE)</f>
        <v>51391</v>
      </c>
      <c r="Z1776" s="198">
        <f>_xll.qlCalendarAdvance(Calendar,Y1776,NDays&amp;"D")</f>
        <v>51393</v>
      </c>
      <c r="AA1776" s="173">
        <v>2.0335629682121197E-2</v>
      </c>
      <c r="AB1776" s="182">
        <v>2.0294473081143849E-2</v>
      </c>
    </row>
    <row r="1777" spans="24:28" x14ac:dyDescent="0.2">
      <c r="X1777" s="186" t="str">
        <f t="shared" si="61"/>
        <v>1w</v>
      </c>
      <c r="Y1777" s="174">
        <f>_xll.qlCalendarAdvance(Calendar,Y1776,X1777,"f",FALSE)</f>
        <v>51398</v>
      </c>
      <c r="Z1777" s="198">
        <f>_xll.qlCalendarAdvance(Calendar,Y1777,NDays&amp;"D")</f>
        <v>51400</v>
      </c>
      <c r="AA1777" s="173">
        <v>2.0330992250591141E-2</v>
      </c>
      <c r="AB1777" s="182">
        <v>2.0289449272867799E-2</v>
      </c>
    </row>
    <row r="1778" spans="24:28" x14ac:dyDescent="0.2">
      <c r="X1778" s="186" t="str">
        <f t="shared" si="61"/>
        <v>1w</v>
      </c>
      <c r="Y1778" s="174">
        <f>_xll.qlCalendarAdvance(Calendar,Y1777,X1778,"f",FALSE)</f>
        <v>51405</v>
      </c>
      <c r="Z1778" s="198">
        <f>_xll.qlCalendarAdvance(Calendar,Y1778,NDays&amp;"D")</f>
        <v>51407</v>
      </c>
      <c r="AA1778" s="173">
        <v>2.0326644206707673E-2</v>
      </c>
      <c r="AB1778" s="182">
        <v>2.0284459483965733E-2</v>
      </c>
    </row>
    <row r="1779" spans="24:28" x14ac:dyDescent="0.2">
      <c r="X1779" s="186" t="str">
        <f t="shared" si="61"/>
        <v>1w</v>
      </c>
      <c r="Y1779" s="174">
        <f>_xll.qlCalendarAdvance(Calendar,Y1778,X1779,"f",FALSE)</f>
        <v>51412</v>
      </c>
      <c r="Z1779" s="198">
        <f>_xll.qlCalendarAdvance(Calendar,Y1779,NDays&amp;"D")</f>
        <v>51414</v>
      </c>
      <c r="AA1779" s="173">
        <v>2.0322077717046541E-2</v>
      </c>
      <c r="AB1779" s="182">
        <v>2.0279503714517588E-2</v>
      </c>
    </row>
    <row r="1780" spans="24:28" x14ac:dyDescent="0.2">
      <c r="X1780" s="186" t="str">
        <f t="shared" si="61"/>
        <v>1w</v>
      </c>
      <c r="Y1780" s="174">
        <f>_xll.qlCalendarAdvance(Calendar,Y1779,X1780,"f",FALSE)</f>
        <v>51419</v>
      </c>
      <c r="Z1780" s="198">
        <f>_xll.qlCalendarAdvance(Calendar,Y1780,NDays&amp;"D")</f>
        <v>51421</v>
      </c>
      <c r="AA1780" s="173">
        <v>2.0317545600643055E-2</v>
      </c>
      <c r="AB1780" s="182">
        <v>2.0274581964443428E-2</v>
      </c>
    </row>
    <row r="1781" spans="24:28" x14ac:dyDescent="0.2">
      <c r="X1781" s="186" t="str">
        <f t="shared" si="61"/>
        <v>1w</v>
      </c>
      <c r="Y1781" s="174">
        <f>_xll.qlCalendarAdvance(Calendar,Y1780,X1781,"f",FALSE)</f>
        <v>51426</v>
      </c>
      <c r="Z1781" s="198">
        <f>_xll.qlCalendarAdvance(Calendar,Y1781,NDays&amp;"D")</f>
        <v>51428</v>
      </c>
      <c r="AA1781" s="173">
        <v>2.0314096532550469E-2</v>
      </c>
      <c r="AB1781" s="182">
        <v>2.0269694233769897E-2</v>
      </c>
    </row>
    <row r="1782" spans="24:28" x14ac:dyDescent="0.2">
      <c r="X1782" s="186" t="str">
        <f t="shared" si="61"/>
        <v>1w</v>
      </c>
      <c r="Y1782" s="174">
        <f>_xll.qlCalendarAdvance(Calendar,Y1781,X1782,"f",FALSE)</f>
        <v>51433</v>
      </c>
      <c r="Z1782" s="198">
        <f>_xll.qlCalendarAdvance(Calendar,Y1782,NDays&amp;"D")</f>
        <v>51435</v>
      </c>
      <c r="AA1782" s="173">
        <v>2.0308584486676145E-2</v>
      </c>
      <c r="AB1782" s="182">
        <v>2.0264840522470351E-2</v>
      </c>
    </row>
    <row r="1783" spans="24:28" x14ac:dyDescent="0.2">
      <c r="X1783" s="186" t="str">
        <f t="shared" si="61"/>
        <v>1w</v>
      </c>
      <c r="Y1783" s="174">
        <f>_xll.qlCalendarAdvance(Calendar,Y1782,X1783,"f",FALSE)</f>
        <v>51440</v>
      </c>
      <c r="Z1783" s="198">
        <f>_xll.qlCalendarAdvance(Calendar,Y1783,NDays&amp;"D")</f>
        <v>51442</v>
      </c>
      <c r="AA1783" s="173">
        <v>2.0303889460115142E-2</v>
      </c>
      <c r="AB1783" s="182">
        <v>2.026002083059808E-2</v>
      </c>
    </row>
    <row r="1784" spans="24:28" x14ac:dyDescent="0.2">
      <c r="X1784" s="186" t="str">
        <f t="shared" si="61"/>
        <v>1w</v>
      </c>
      <c r="Y1784" s="174">
        <f>_xll.qlCalendarAdvance(Calendar,Y1783,X1784,"f",FALSE)</f>
        <v>51447</v>
      </c>
      <c r="Z1784" s="198">
        <f>_xll.qlCalendarAdvance(Calendar,Y1784,NDays&amp;"D")</f>
        <v>51449</v>
      </c>
      <c r="AA1784" s="173">
        <v>2.0299492625989186E-2</v>
      </c>
      <c r="AB1784" s="182">
        <v>2.0255235158073148E-2</v>
      </c>
    </row>
    <row r="1785" spans="24:28" x14ac:dyDescent="0.2">
      <c r="X1785" s="186" t="str">
        <f t="shared" si="61"/>
        <v>1w</v>
      </c>
      <c r="Y1785" s="174">
        <f>_xll.qlCalendarAdvance(Calendar,Y1784,X1785,"f",FALSE)</f>
        <v>51454</v>
      </c>
      <c r="Z1785" s="198">
        <f>_xll.qlCalendarAdvance(Calendar,Y1785,NDays&amp;"D")</f>
        <v>51456</v>
      </c>
      <c r="AA1785" s="173">
        <v>2.029513016200532E-2</v>
      </c>
      <c r="AB1785" s="182">
        <v>2.0250483504922201E-2</v>
      </c>
    </row>
    <row r="1786" spans="24:28" x14ac:dyDescent="0.2">
      <c r="X1786" s="186" t="str">
        <f t="shared" si="61"/>
        <v>1w</v>
      </c>
      <c r="Y1786" s="174">
        <f>_xll.qlCalendarAdvance(Calendar,Y1785,X1786,"f",FALSE)</f>
        <v>51461</v>
      </c>
      <c r="Z1786" s="198">
        <f>_xll.qlCalendarAdvance(Calendar,Y1786,NDays&amp;"D")</f>
        <v>51463</v>
      </c>
      <c r="AA1786" s="173">
        <v>2.0290802067938311E-2</v>
      </c>
      <c r="AB1786" s="182">
        <v>2.0245765871171884E-2</v>
      </c>
    </row>
    <row r="1787" spans="24:28" x14ac:dyDescent="0.2">
      <c r="X1787" s="186" t="str">
        <f t="shared" si="61"/>
        <v>1w</v>
      </c>
      <c r="Y1787" s="174">
        <f>_xll.qlCalendarAdvance(Calendar,Y1786,X1787,"f",FALSE)</f>
        <v>51468</v>
      </c>
      <c r="Z1787" s="198">
        <f>_xll.qlCalendarAdvance(Calendar,Y1787,NDays&amp;"D")</f>
        <v>51470</v>
      </c>
      <c r="AA1787" s="173">
        <v>2.0286783217617971E-2</v>
      </c>
      <c r="AB1787" s="182">
        <v>2.0241082256795551E-2</v>
      </c>
    </row>
    <row r="1788" spans="24:28" x14ac:dyDescent="0.2">
      <c r="X1788" s="186" t="str">
        <f t="shared" si="61"/>
        <v>1w</v>
      </c>
      <c r="Y1788" s="174">
        <f>_xll.qlCalendarAdvance(Calendar,Y1787,X1788,"f",FALSE)</f>
        <v>51475</v>
      </c>
      <c r="Z1788" s="198">
        <f>_xll.qlCalendarAdvance(Calendar,Y1788,NDays&amp;"D")</f>
        <v>51477</v>
      </c>
      <c r="AA1788" s="173">
        <v>2.028252607900799E-2</v>
      </c>
      <c r="AB1788" s="182">
        <v>2.0236432661793202E-2</v>
      </c>
    </row>
    <row r="1789" spans="24:28" x14ac:dyDescent="0.2">
      <c r="X1789" s="186" t="str">
        <f t="shared" si="61"/>
        <v>1w</v>
      </c>
      <c r="Y1789" s="174">
        <f>_xll.qlCalendarAdvance(Calendar,Y1788,X1789,"f",FALSE)</f>
        <v>51482</v>
      </c>
      <c r="Z1789" s="198">
        <f>_xll.qlCalendarAdvance(Calendar,Y1789,NDays&amp;"D")</f>
        <v>51484</v>
      </c>
      <c r="AA1789" s="173">
        <v>2.0278303311614211E-2</v>
      </c>
      <c r="AB1789" s="182">
        <v>2.0231817086111548E-2</v>
      </c>
    </row>
    <row r="1790" spans="24:28" x14ac:dyDescent="0.2">
      <c r="X1790" s="186" t="str">
        <f t="shared" si="61"/>
        <v>1w</v>
      </c>
      <c r="Y1790" s="174">
        <f>_xll.qlCalendarAdvance(Calendar,Y1789,X1790,"f",FALSE)</f>
        <v>51489</v>
      </c>
      <c r="Z1790" s="198">
        <f>_xll.qlCalendarAdvance(Calendar,Y1790,NDays&amp;"D")</f>
        <v>51491</v>
      </c>
      <c r="AA1790" s="173">
        <v>2.0274114915220982E-2</v>
      </c>
      <c r="AB1790" s="182">
        <v>2.0227235529857168E-2</v>
      </c>
    </row>
    <row r="1791" spans="24:28" x14ac:dyDescent="0.2">
      <c r="X1791" s="186" t="str">
        <f t="shared" si="61"/>
        <v>1w</v>
      </c>
      <c r="Y1791" s="174">
        <f>_xll.qlCalendarAdvance(Calendar,Y1790,X1791,"f",FALSE)</f>
        <v>51497</v>
      </c>
      <c r="Z1791" s="198">
        <f>_xll.qlCalendarAdvance(Calendar,Y1791,NDays&amp;"D")</f>
        <v>51501</v>
      </c>
      <c r="AA1791" s="173">
        <v>2.0267337672410735E-2</v>
      </c>
      <c r="AB1791" s="182">
        <v>2.0220504109742521E-2</v>
      </c>
    </row>
    <row r="1792" spans="24:28" x14ac:dyDescent="0.2">
      <c r="X1792" s="186" t="str">
        <f t="shared" si="61"/>
        <v>1w</v>
      </c>
      <c r="Y1792" s="174">
        <f>_xll.qlCalendarAdvance(Calendar,Y1791,X1792,"f",FALSE)</f>
        <v>51504</v>
      </c>
      <c r="Z1792" s="198">
        <f>_xll.qlCalendarAdvance(Calendar,Y1792,NDays&amp;"D")</f>
        <v>51508</v>
      </c>
      <c r="AA1792" s="173">
        <v>2.0264086189672074E-2</v>
      </c>
      <c r="AB1792" s="182">
        <v>2.0215755681372016E-2</v>
      </c>
    </row>
    <row r="1793" spans="24:28" x14ac:dyDescent="0.2">
      <c r="X1793" s="186" t="str">
        <f t="shared" si="61"/>
        <v>1w</v>
      </c>
      <c r="Y1793" s="174">
        <f>_xll.qlCalendarAdvance(Calendar,Y1792,X1793,"f",FALSE)</f>
        <v>51511</v>
      </c>
      <c r="Z1793" s="198">
        <f>_xll.qlCalendarAdvance(Calendar,Y1793,NDays&amp;"D")</f>
        <v>51515</v>
      </c>
      <c r="AA1793" s="173">
        <v>2.026001563507451E-2</v>
      </c>
      <c r="AB1793" s="182">
        <v>2.021128640482317E-2</v>
      </c>
    </row>
    <row r="1794" spans="24:28" x14ac:dyDescent="0.2">
      <c r="X1794" s="186" t="str">
        <f t="shared" si="61"/>
        <v>1w</v>
      </c>
      <c r="Y1794" s="174">
        <f>_xll.qlCalendarAdvance(Calendar,Y1793,X1794,"f",FALSE)</f>
        <v>51518</v>
      </c>
      <c r="Z1794" s="198">
        <f>_xll.qlCalendarAdvance(Calendar,Y1794,NDays&amp;"D")</f>
        <v>51522</v>
      </c>
      <c r="AA1794" s="173">
        <v>2.0255979450533194E-2</v>
      </c>
      <c r="AB1794" s="182">
        <v>2.0206851143784732E-2</v>
      </c>
    </row>
    <row r="1795" spans="24:28" x14ac:dyDescent="0.2">
      <c r="X1795" s="186" t="str">
        <f t="shared" si="61"/>
        <v>1w</v>
      </c>
      <c r="Y1795" s="174">
        <f>_xll.qlCalendarAdvance(Calendar,Y1794,X1795,"f",FALSE)</f>
        <v>51525</v>
      </c>
      <c r="Z1795" s="198">
        <f>_xll.qlCalendarAdvance(Calendar,Y1795,NDays&amp;"D")</f>
        <v>51529</v>
      </c>
      <c r="AA1795" s="173">
        <v>2.0251977635839066E-2</v>
      </c>
      <c r="AB1795" s="182">
        <v>2.0202449898016894E-2</v>
      </c>
    </row>
    <row r="1796" spans="24:28" x14ac:dyDescent="0.2">
      <c r="X1796" s="186" t="str">
        <f t="shared" si="61"/>
        <v>1w</v>
      </c>
      <c r="Y1796" s="174">
        <f>_xll.qlCalendarAdvance(Calendar,Y1795,X1796,"f",FALSE)</f>
        <v>51532</v>
      </c>
      <c r="Z1796" s="198">
        <f>_xll.qlCalendarAdvance(Calendar,Y1796,NDays&amp;"D")</f>
        <v>51536</v>
      </c>
      <c r="AA1796" s="173">
        <v>2.0248010190786578E-2</v>
      </c>
      <c r="AB1796" s="182">
        <v>2.0198082667759465E-2</v>
      </c>
    </row>
    <row r="1797" spans="24:28" x14ac:dyDescent="0.2">
      <c r="X1797" s="186" t="str">
        <f t="shared" si="61"/>
        <v>1w</v>
      </c>
      <c r="Y1797" s="174">
        <f>_xll.qlCalendarAdvance(Calendar,Y1796,X1797,"f",FALSE)</f>
        <v>51539</v>
      </c>
      <c r="Z1797" s="198">
        <f>_xll.qlCalendarAdvance(Calendar,Y1797,NDays&amp;"D")</f>
        <v>51543</v>
      </c>
      <c r="AA1797" s="173">
        <v>2.0244077115170178E-2</v>
      </c>
      <c r="AB1797" s="182">
        <v>2.0193749452852572E-2</v>
      </c>
    </row>
    <row r="1798" spans="24:28" x14ac:dyDescent="0.2">
      <c r="X1798" s="186" t="str">
        <f t="shared" si="61"/>
        <v>1w</v>
      </c>
      <c r="Y1798" s="174">
        <f>_xll.qlCalendarAdvance(Calendar,Y1797,X1798,"f",FALSE)</f>
        <v>51546</v>
      </c>
      <c r="Z1798" s="198">
        <f>_xll.qlCalendarAdvance(Calendar,Y1798,NDays&amp;"D")</f>
        <v>51550</v>
      </c>
      <c r="AA1798" s="173">
        <v>2.024017840878739E-2</v>
      </c>
      <c r="AB1798" s="182">
        <v>2.0189450253456087E-2</v>
      </c>
    </row>
    <row r="1799" spans="24:28" x14ac:dyDescent="0.2">
      <c r="X1799" s="186" t="str">
        <f t="shared" si="61"/>
        <v>1w</v>
      </c>
      <c r="Y1799" s="174">
        <f>_xll.qlCalendarAdvance(Calendar,Y1798,X1799,"f",FALSE)</f>
        <v>51553</v>
      </c>
      <c r="Z1799" s="198">
        <f>_xll.qlCalendarAdvance(Calendar,Y1799,NDays&amp;"D")</f>
        <v>51557</v>
      </c>
      <c r="AA1799" s="173">
        <v>2.0236314071436622E-2</v>
      </c>
      <c r="AB1799" s="182">
        <v>2.0185185069330203E-2</v>
      </c>
    </row>
    <row r="1800" spans="24:28" x14ac:dyDescent="0.2">
      <c r="X1800" s="186" t="str">
        <f t="shared" si="61"/>
        <v>1w</v>
      </c>
      <c r="Y1800" s="174">
        <f>_xll.qlCalendarAdvance(Calendar,Y1799,X1800,"f",FALSE)</f>
        <v>51560</v>
      </c>
      <c r="Z1800" s="198">
        <f>_xll.qlCalendarAdvance(Calendar,Y1800,NDays&amp;"D")</f>
        <v>51564</v>
      </c>
      <c r="AA1800" s="173">
        <v>2.023309437769941E-2</v>
      </c>
      <c r="AB1800" s="182">
        <v>2.0180953900714727E-2</v>
      </c>
    </row>
    <row r="1801" spans="24:28" x14ac:dyDescent="0.2">
      <c r="X1801" s="186" t="str">
        <f t="shared" si="61"/>
        <v>1w</v>
      </c>
      <c r="Y1801" s="174">
        <f>_xll.qlCalendarAdvance(Calendar,Y1800,X1801,"f",FALSE)</f>
        <v>51567</v>
      </c>
      <c r="Z1801" s="198">
        <f>_xll.qlCalendarAdvance(Calendar,Y1801,NDays&amp;"D")</f>
        <v>51571</v>
      </c>
      <c r="AA1801" s="173">
        <v>2.0229303263673223E-2</v>
      </c>
      <c r="AB1801" s="182">
        <v>2.0176756747449787E-2</v>
      </c>
    </row>
    <row r="1802" spans="24:28" x14ac:dyDescent="0.2">
      <c r="X1802" s="186" t="str">
        <f t="shared" si="61"/>
        <v>1w</v>
      </c>
      <c r="Y1802" s="174">
        <f>_xll.qlCalendarAdvance(Calendar,Y1801,X1802,"f",FALSE)</f>
        <v>51574</v>
      </c>
      <c r="Z1802" s="198">
        <f>_xll.qlCalendarAdvance(Calendar,Y1802,NDays&amp;"D")</f>
        <v>51578</v>
      </c>
      <c r="AA1802" s="173">
        <v>2.0225546521980713E-2</v>
      </c>
      <c r="AB1802" s="182">
        <v>2.0172593609615319E-2</v>
      </c>
    </row>
    <row r="1803" spans="24:28" x14ac:dyDescent="0.2">
      <c r="X1803" s="186" t="str">
        <f t="shared" si="61"/>
        <v>1w</v>
      </c>
      <c r="Y1803" s="174">
        <f>_xll.qlCalendarAdvance(Calendar,Y1802,X1803,"f",FALSE)</f>
        <v>51581</v>
      </c>
      <c r="Z1803" s="198">
        <f>_xll.qlCalendarAdvance(Calendar,Y1803,NDays&amp;"D")</f>
        <v>51585</v>
      </c>
      <c r="AA1803" s="173">
        <v>2.0221824152425075E-2</v>
      </c>
      <c r="AB1803" s="182">
        <v>2.0168464487131388E-2</v>
      </c>
    </row>
    <row r="1804" spans="24:28" x14ac:dyDescent="0.2">
      <c r="X1804" s="186" t="str">
        <f t="shared" si="61"/>
        <v>1w</v>
      </c>
      <c r="Y1804" s="174">
        <f>_xll.qlCalendarAdvance(Calendar,Y1803,X1804,"f",FALSE)</f>
        <v>51588</v>
      </c>
      <c r="Z1804" s="198">
        <f>_xll.qlCalendarAdvance(Calendar,Y1804,NDays&amp;"D")</f>
        <v>51592</v>
      </c>
      <c r="AA1804" s="173">
        <v>2.0217821920651365E-2</v>
      </c>
      <c r="AB1804" s="182">
        <v>2.0164369380077929E-2</v>
      </c>
    </row>
    <row r="1805" spans="24:28" x14ac:dyDescent="0.2">
      <c r="X1805" s="186" t="str">
        <f t="shared" si="61"/>
        <v>1w</v>
      </c>
      <c r="Y1805" s="174">
        <f>_xll.qlCalendarAdvance(Calendar,Y1804,X1805,"f",FALSE)</f>
        <v>51595</v>
      </c>
      <c r="Z1805" s="198">
        <f>_xll.qlCalendarAdvance(Calendar,Y1805,NDays&amp;"D")</f>
        <v>51599</v>
      </c>
      <c r="AA1805" s="173">
        <v>2.0214166043947046E-2</v>
      </c>
      <c r="AB1805" s="182">
        <v>2.0160308288454942E-2</v>
      </c>
    </row>
    <row r="1806" spans="24:28" x14ac:dyDescent="0.2">
      <c r="X1806" s="186" t="str">
        <f t="shared" si="61"/>
        <v>1w</v>
      </c>
      <c r="Y1806" s="174">
        <f>_xll.qlCalendarAdvance(Calendar,Y1805,X1806,"f",FALSE)</f>
        <v>51602</v>
      </c>
      <c r="Z1806" s="198">
        <f>_xll.qlCalendarAdvance(Calendar,Y1806,NDays&amp;"D")</f>
        <v>51606</v>
      </c>
      <c r="AA1806" s="173">
        <v>2.0210544536859828E-2</v>
      </c>
      <c r="AB1806" s="182">
        <v>2.0156281212182492E-2</v>
      </c>
    </row>
    <row r="1807" spans="24:28" x14ac:dyDescent="0.2">
      <c r="X1807" s="186" t="str">
        <f t="shared" si="61"/>
        <v>1w</v>
      </c>
      <c r="Y1807" s="174">
        <f>_xll.qlCalendarAdvance(Calendar,Y1806,X1807,"f",FALSE)</f>
        <v>51609</v>
      </c>
      <c r="Z1807" s="198">
        <f>_xll.qlCalendarAdvance(Calendar,Y1807,NDays&amp;"D")</f>
        <v>51615</v>
      </c>
      <c r="AA1807" s="173">
        <v>2.0205938815454256E-2</v>
      </c>
      <c r="AB1807" s="182">
        <v>2.0151153524547993E-2</v>
      </c>
    </row>
    <row r="1808" spans="24:28" x14ac:dyDescent="0.2">
      <c r="X1808" s="186" t="str">
        <f t="shared" si="61"/>
        <v>1w</v>
      </c>
      <c r="Y1808" s="174">
        <f>_xll.qlCalendarAdvance(Calendar,Y1807,X1808,"f",FALSE)</f>
        <v>51616</v>
      </c>
      <c r="Z1808" s="198">
        <f>_xll.qlCalendarAdvance(Calendar,Y1808,NDays&amp;"D")</f>
        <v>51620</v>
      </c>
      <c r="AA1808" s="173">
        <v>2.0203404630787115E-2</v>
      </c>
      <c r="AB1808" s="182">
        <v>2.0148329105929008E-2</v>
      </c>
    </row>
    <row r="1809" spans="24:28" x14ac:dyDescent="0.2">
      <c r="X1809" s="186" t="str">
        <f t="shared" si="61"/>
        <v>1w</v>
      </c>
      <c r="Y1809" s="174">
        <f>_xll.qlCalendarAdvance(Calendar,Y1808,X1809,"f",FALSE)</f>
        <v>51623</v>
      </c>
      <c r="Z1809" s="198">
        <f>_xll.qlCalendarAdvance(Calendar,Y1809,NDays&amp;"D")</f>
        <v>51627</v>
      </c>
      <c r="AA1809" s="173">
        <v>2.0200211739230766E-2</v>
      </c>
      <c r="AB1809" s="182">
        <v>2.0144404075868039E-2</v>
      </c>
    </row>
    <row r="1810" spans="24:28" x14ac:dyDescent="0.2">
      <c r="X1810" s="186" t="str">
        <f t="shared" si="61"/>
        <v>1w</v>
      </c>
      <c r="Y1810" s="174">
        <f>_xll.qlCalendarAdvance(Calendar,Y1809,X1810,"f",FALSE)</f>
        <v>51630</v>
      </c>
      <c r="Z1810" s="198">
        <f>_xll.qlCalendarAdvance(Calendar,Y1810,NDays&amp;"D")</f>
        <v>51634</v>
      </c>
      <c r="AA1810" s="173">
        <v>2.0196729969301004E-2</v>
      </c>
      <c r="AB1810" s="182">
        <v>2.0140513061157606E-2</v>
      </c>
    </row>
    <row r="1811" spans="24:28" x14ac:dyDescent="0.2">
      <c r="X1811" s="186" t="str">
        <f t="shared" si="61"/>
        <v>1w</v>
      </c>
      <c r="Y1811" s="174">
        <f>_xll.qlCalendarAdvance(Calendar,Y1810,X1811,"f",FALSE)</f>
        <v>51637</v>
      </c>
      <c r="Z1811" s="198">
        <f>_xll.qlCalendarAdvance(Calendar,Y1811,NDays&amp;"D")</f>
        <v>51641</v>
      </c>
      <c r="AA1811" s="173">
        <v>2.0193282570006275E-2</v>
      </c>
      <c r="AB1811" s="182">
        <v>2.0136656061957581E-2</v>
      </c>
    </row>
    <row r="1812" spans="24:28" x14ac:dyDescent="0.2">
      <c r="X1812" s="186" t="str">
        <f t="shared" si="61"/>
        <v>1w</v>
      </c>
      <c r="Y1812" s="174">
        <f>_xll.qlCalendarAdvance(Calendar,Y1811,X1812,"f",FALSE)</f>
        <v>51644</v>
      </c>
      <c r="Z1812" s="198">
        <f>_xll.qlCalendarAdvance(Calendar,Y1812,NDays&amp;"D")</f>
        <v>51648</v>
      </c>
      <c r="AA1812" s="173">
        <v>2.0189869541165424E-2</v>
      </c>
      <c r="AB1812" s="182">
        <v>2.0132833078028156E-2</v>
      </c>
    </row>
    <row r="1813" spans="24:28" x14ac:dyDescent="0.2">
      <c r="X1813" s="186" t="str">
        <f t="shared" ref="X1813:X1876" si="62">X1812</f>
        <v>1w</v>
      </c>
      <c r="Y1813" s="174">
        <f>_xll.qlCalendarAdvance(Calendar,Y1812,X1813,"f",FALSE)</f>
        <v>51651</v>
      </c>
      <c r="Z1813" s="198">
        <f>_xll.qlCalendarAdvance(Calendar,Y1813,NDays&amp;"D")</f>
        <v>51655</v>
      </c>
      <c r="AA1813" s="173">
        <v>2.0186156320974997E-2</v>
      </c>
      <c r="AB1813" s="182">
        <v>2.0129044109529204E-2</v>
      </c>
    </row>
    <row r="1814" spans="24:28" x14ac:dyDescent="0.2">
      <c r="X1814" s="186" t="str">
        <f t="shared" si="62"/>
        <v>1w</v>
      </c>
      <c r="Y1814" s="174">
        <f>_xll.qlCalendarAdvance(Calendar,Y1813,X1814,"f",FALSE)</f>
        <v>51658</v>
      </c>
      <c r="Z1814" s="198">
        <f>_xll.qlCalendarAdvance(Calendar,Y1814,NDays&amp;"D")</f>
        <v>51662</v>
      </c>
      <c r="AA1814" s="173">
        <v>2.0182809764212144E-2</v>
      </c>
      <c r="AB1814" s="182">
        <v>2.0125289156460724E-2</v>
      </c>
    </row>
    <row r="1815" spans="24:28" x14ac:dyDescent="0.2">
      <c r="X1815" s="186" t="str">
        <f t="shared" si="62"/>
        <v>1w</v>
      </c>
      <c r="Y1815" s="174">
        <f>_xll.qlCalendarAdvance(Calendar,Y1814,X1815,"f",FALSE)</f>
        <v>51665</v>
      </c>
      <c r="Z1815" s="198">
        <f>_xll.qlCalendarAdvance(Calendar,Y1815,NDays&amp;"D")</f>
        <v>51669</v>
      </c>
      <c r="AA1815" s="173">
        <v>2.0179497575439711E-2</v>
      </c>
      <c r="AB1815" s="182">
        <v>2.012156821874278E-2</v>
      </c>
    </row>
    <row r="1816" spans="24:28" x14ac:dyDescent="0.2">
      <c r="X1816" s="186" t="str">
        <f t="shared" si="62"/>
        <v>1w</v>
      </c>
      <c r="Y1816" s="174">
        <f>_xll.qlCalendarAdvance(Calendar,Y1815,X1816,"f",FALSE)</f>
        <v>51672</v>
      </c>
      <c r="Z1816" s="198">
        <f>_xll.qlCalendarAdvance(Calendar,Y1816,NDays&amp;"D")</f>
        <v>51676</v>
      </c>
      <c r="AA1816" s="173">
        <v>2.0176219754486906E-2</v>
      </c>
      <c r="AB1816" s="182">
        <v>2.0117881296455309E-2</v>
      </c>
    </row>
    <row r="1817" spans="24:28" x14ac:dyDescent="0.2">
      <c r="X1817" s="186" t="str">
        <f t="shared" si="62"/>
        <v>1w</v>
      </c>
      <c r="Y1817" s="174">
        <f>_xll.qlCalendarAdvance(Calendar,Y1816,X1817,"f",FALSE)</f>
        <v>51679</v>
      </c>
      <c r="Z1817" s="198">
        <f>_xll.qlCalendarAdvance(Calendar,Y1817,NDays&amp;"D")</f>
        <v>51683</v>
      </c>
      <c r="AA1817" s="173">
        <v>2.0173663824316613E-2</v>
      </c>
      <c r="AB1817" s="182">
        <v>2.0114228389518374E-2</v>
      </c>
    </row>
    <row r="1818" spans="24:28" x14ac:dyDescent="0.2">
      <c r="X1818" s="186" t="str">
        <f t="shared" si="62"/>
        <v>1w</v>
      </c>
      <c r="Y1818" s="174">
        <f>_xll.qlCalendarAdvance(Calendar,Y1817,X1818,"f",FALSE)</f>
        <v>51686</v>
      </c>
      <c r="Z1818" s="198">
        <f>_xll.qlCalendarAdvance(Calendar,Y1818,NDays&amp;"D")</f>
        <v>51690</v>
      </c>
      <c r="AA1818" s="173">
        <v>2.0170113137826049E-2</v>
      </c>
      <c r="AB1818" s="182">
        <v>2.0110609498011911E-2</v>
      </c>
    </row>
    <row r="1819" spans="24:28" x14ac:dyDescent="0.2">
      <c r="X1819" s="186" t="str">
        <f t="shared" si="62"/>
        <v>1w</v>
      </c>
      <c r="Y1819" s="174">
        <f>_xll.qlCalendarAdvance(Calendar,Y1818,X1819,"f",FALSE)</f>
        <v>51693</v>
      </c>
      <c r="Z1819" s="198">
        <f>_xll.qlCalendarAdvance(Calendar,Y1819,NDays&amp;"D")</f>
        <v>51697</v>
      </c>
      <c r="AA1819" s="173">
        <v>2.0166940697284044E-2</v>
      </c>
      <c r="AB1819" s="182">
        <v>2.0107024621855984E-2</v>
      </c>
    </row>
    <row r="1820" spans="24:28" x14ac:dyDescent="0.2">
      <c r="X1820" s="186" t="str">
        <f t="shared" si="62"/>
        <v>1w</v>
      </c>
      <c r="Y1820" s="174">
        <f>_xll.qlCalendarAdvance(Calendar,Y1819,X1820,"f",FALSE)</f>
        <v>51700</v>
      </c>
      <c r="Z1820" s="198">
        <f>_xll.qlCalendarAdvance(Calendar,Y1820,NDays&amp;"D")</f>
        <v>51704</v>
      </c>
      <c r="AA1820" s="173">
        <v>2.0163802625822229E-2</v>
      </c>
      <c r="AB1820" s="182">
        <v>2.0103473761050594E-2</v>
      </c>
    </row>
    <row r="1821" spans="24:28" x14ac:dyDescent="0.2">
      <c r="X1821" s="186" t="str">
        <f t="shared" si="62"/>
        <v>1w</v>
      </c>
      <c r="Y1821" s="174">
        <f>_xll.qlCalendarAdvance(Calendar,Y1820,X1821,"f",FALSE)</f>
        <v>51707</v>
      </c>
      <c r="Z1821" s="198">
        <f>_xll.qlCalendarAdvance(Calendar,Y1821,NDays&amp;"D")</f>
        <v>51711</v>
      </c>
      <c r="AA1821" s="173">
        <v>2.0160698923278129E-2</v>
      </c>
      <c r="AB1821" s="182">
        <v>2.0099956915675676E-2</v>
      </c>
    </row>
    <row r="1822" spans="24:28" x14ac:dyDescent="0.2">
      <c r="X1822" s="186" t="str">
        <f t="shared" si="62"/>
        <v>1w</v>
      </c>
      <c r="Y1822" s="174">
        <f>_xll.qlCalendarAdvance(Calendar,Y1821,X1822,"f",FALSE)</f>
        <v>51714</v>
      </c>
      <c r="Z1822" s="198">
        <f>_xll.qlCalendarAdvance(Calendar,Y1822,NDays&amp;"D")</f>
        <v>51718</v>
      </c>
      <c r="AA1822" s="173">
        <v>2.0157629589488826E-2</v>
      </c>
      <c r="AB1822" s="182">
        <v>2.0096474085651295E-2</v>
      </c>
    </row>
    <row r="1823" spans="24:28" x14ac:dyDescent="0.2">
      <c r="X1823" s="186" t="str">
        <f t="shared" si="62"/>
        <v>1w</v>
      </c>
      <c r="Y1823" s="174">
        <f>_xll.qlCalendarAdvance(Calendar,Y1822,X1823,"f",FALSE)</f>
        <v>51721</v>
      </c>
      <c r="Z1823" s="198">
        <f>_xll.qlCalendarAdvance(Calendar,Y1823,NDays&amp;"D")</f>
        <v>51725</v>
      </c>
      <c r="AA1823" s="173">
        <v>2.0154594624294447E-2</v>
      </c>
      <c r="AB1823" s="182">
        <v>2.0093025270977449E-2</v>
      </c>
    </row>
    <row r="1824" spans="24:28" x14ac:dyDescent="0.2">
      <c r="X1824" s="186" t="str">
        <f t="shared" si="62"/>
        <v>1w</v>
      </c>
      <c r="Y1824" s="174">
        <f>_xll.qlCalendarAdvance(Calendar,Y1823,X1824,"f",FALSE)</f>
        <v>51728</v>
      </c>
      <c r="Z1824" s="198">
        <f>_xll.qlCalendarAdvance(Calendar,Y1824,NDays&amp;"D")</f>
        <v>51732</v>
      </c>
      <c r="AA1824" s="173">
        <v>2.0151594027536864E-2</v>
      </c>
      <c r="AB1824" s="182">
        <v>2.0089610471734076E-2</v>
      </c>
    </row>
    <row r="1825" spans="24:28" x14ac:dyDescent="0.2">
      <c r="X1825" s="186" t="str">
        <f t="shared" si="62"/>
        <v>1w</v>
      </c>
      <c r="Y1825" s="174">
        <f>_xll.qlCalendarAdvance(Calendar,Y1824,X1825,"f",FALSE)</f>
        <v>51735</v>
      </c>
      <c r="Z1825" s="198">
        <f>_xll.qlCalendarAdvance(Calendar,Y1825,NDays&amp;"D")</f>
        <v>51739</v>
      </c>
      <c r="AA1825" s="173">
        <v>2.0148627799059675E-2</v>
      </c>
      <c r="AB1825" s="182">
        <v>2.0086229687921175E-2</v>
      </c>
    </row>
    <row r="1826" spans="24:28" x14ac:dyDescent="0.2">
      <c r="X1826" s="186" t="str">
        <f t="shared" si="62"/>
        <v>1w</v>
      </c>
      <c r="Y1826" s="174">
        <f>_xll.qlCalendarAdvance(Calendar,Y1825,X1826,"f",FALSE)</f>
        <v>51742</v>
      </c>
      <c r="Z1826" s="198">
        <f>_xll.qlCalendarAdvance(Calendar,Y1826,NDays&amp;"D")</f>
        <v>51746</v>
      </c>
      <c r="AA1826" s="173">
        <v>2.0144967770854554E-2</v>
      </c>
      <c r="AB1826" s="182">
        <v>2.0082882919378875E-2</v>
      </c>
    </row>
    <row r="1827" spans="24:28" x14ac:dyDescent="0.2">
      <c r="X1827" s="186" t="str">
        <f t="shared" si="62"/>
        <v>1w</v>
      </c>
      <c r="Y1827" s="174">
        <f>_xll.qlCalendarAdvance(Calendar,Y1826,X1827,"f",FALSE)</f>
        <v>51749</v>
      </c>
      <c r="Z1827" s="198">
        <f>_xll.qlCalendarAdvance(Calendar,Y1827,NDays&amp;"D")</f>
        <v>51753</v>
      </c>
      <c r="AA1827" s="173">
        <v>2.0142065691948135E-2</v>
      </c>
      <c r="AB1827" s="182">
        <v>2.0079570166346983E-2</v>
      </c>
    </row>
    <row r="1828" spans="24:28" x14ac:dyDescent="0.2">
      <c r="X1828" s="186" t="str">
        <f t="shared" si="62"/>
        <v>1w</v>
      </c>
      <c r="Y1828" s="174">
        <f>_xll.qlCalendarAdvance(Calendar,Y1827,X1828,"f",FALSE)</f>
        <v>51756</v>
      </c>
      <c r="Z1828" s="198">
        <f>_xll.qlCalendarAdvance(Calendar,Y1828,NDays&amp;"D")</f>
        <v>51760</v>
      </c>
      <c r="AA1828" s="173">
        <v>2.0139197977013166E-2</v>
      </c>
      <c r="AB1828" s="182">
        <v>2.0076291428585691E-2</v>
      </c>
    </row>
    <row r="1829" spans="24:28" x14ac:dyDescent="0.2">
      <c r="X1829" s="186" t="str">
        <f t="shared" si="62"/>
        <v>1w</v>
      </c>
      <c r="Y1829" s="174">
        <f>_xll.qlCalendarAdvance(Calendar,Y1828,X1829,"f",FALSE)</f>
        <v>51763</v>
      </c>
      <c r="Z1829" s="198">
        <f>_xll.qlCalendarAdvance(Calendar,Y1829,NDays&amp;"D")</f>
        <v>51767</v>
      </c>
      <c r="AA1829" s="173">
        <v>2.0136364625900755E-2</v>
      </c>
      <c r="AB1829" s="182">
        <v>2.0073046706174935E-2</v>
      </c>
    </row>
    <row r="1830" spans="24:28" x14ac:dyDescent="0.2">
      <c r="X1830" s="186" t="str">
        <f t="shared" si="62"/>
        <v>1w</v>
      </c>
      <c r="Y1830" s="174">
        <f>_xll.qlCalendarAdvance(Calendar,Y1829,X1830,"f",FALSE)</f>
        <v>51770</v>
      </c>
      <c r="Z1830" s="198">
        <f>_xll.qlCalendarAdvance(Calendar,Y1830,NDays&amp;"D")</f>
        <v>51774</v>
      </c>
      <c r="AA1830" s="173">
        <v>2.0133565638464645E-2</v>
      </c>
      <c r="AB1830" s="182">
        <v>2.0069835999194652E-2</v>
      </c>
    </row>
    <row r="1831" spans="24:28" x14ac:dyDescent="0.2">
      <c r="X1831" s="186" t="str">
        <f t="shared" si="62"/>
        <v>1w</v>
      </c>
      <c r="Y1831" s="174">
        <f>_xll.qlCalendarAdvance(Calendar,Y1830,X1831,"f",FALSE)</f>
        <v>51777</v>
      </c>
      <c r="Z1831" s="198">
        <f>_xll.qlCalendarAdvance(Calendar,Y1831,NDays&amp;"D")</f>
        <v>51781</v>
      </c>
      <c r="AA1831" s="173">
        <v>2.0131176467070019E-2</v>
      </c>
      <c r="AB1831" s="182">
        <v>2.0066659307564905E-2</v>
      </c>
    </row>
    <row r="1832" spans="24:28" x14ac:dyDescent="0.2">
      <c r="X1832" s="186" t="str">
        <f t="shared" si="62"/>
        <v>1w</v>
      </c>
      <c r="Y1832" s="174">
        <f>_xll.qlCalendarAdvance(Calendar,Y1831,X1832,"f",FALSE)</f>
        <v>51784</v>
      </c>
      <c r="Z1832" s="198">
        <f>_xll.qlCalendarAdvance(Calendar,Y1832,NDays&amp;"D")</f>
        <v>51788</v>
      </c>
      <c r="AA1832" s="173">
        <v>2.0128070754046837E-2</v>
      </c>
      <c r="AB1832" s="182">
        <v>2.0063516631285694E-2</v>
      </c>
    </row>
    <row r="1833" spans="24:28" x14ac:dyDescent="0.2">
      <c r="X1833" s="186" t="str">
        <f t="shared" si="62"/>
        <v>1w</v>
      </c>
      <c r="Y1833" s="174">
        <f>_xll.qlCalendarAdvance(Calendar,Y1832,X1833,"f",FALSE)</f>
        <v>51791</v>
      </c>
      <c r="Z1833" s="198">
        <f>_xll.qlCalendarAdvance(Calendar,Y1833,NDays&amp;"D")</f>
        <v>51795</v>
      </c>
      <c r="AA1833" s="173">
        <v>2.0125374856781411E-2</v>
      </c>
      <c r="AB1833" s="182">
        <v>2.0060407970436955E-2</v>
      </c>
    </row>
    <row r="1834" spans="24:28" x14ac:dyDescent="0.2">
      <c r="X1834" s="186" t="str">
        <f t="shared" si="62"/>
        <v>1w</v>
      </c>
      <c r="Y1834" s="174">
        <f>_xll.qlCalendarAdvance(Calendar,Y1833,X1834,"f",FALSE)</f>
        <v>51798</v>
      </c>
      <c r="Z1834" s="198">
        <f>_xll.qlCalendarAdvance(Calendar,Y1834,NDays&amp;"D")</f>
        <v>51802</v>
      </c>
      <c r="AA1834" s="173">
        <v>2.0122713322625704E-2</v>
      </c>
      <c r="AB1834" s="182">
        <v>2.0057333324938753E-2</v>
      </c>
    </row>
    <row r="1835" spans="24:28" x14ac:dyDescent="0.2">
      <c r="X1835" s="186" t="str">
        <f t="shared" si="62"/>
        <v>1w</v>
      </c>
      <c r="Y1835" s="174">
        <f>_xll.qlCalendarAdvance(Calendar,Y1834,X1835,"f",FALSE)</f>
        <v>51805</v>
      </c>
      <c r="Z1835" s="198">
        <f>_xll.qlCalendarAdvance(Calendar,Y1835,NDays&amp;"D")</f>
        <v>51809</v>
      </c>
      <c r="AA1835" s="173">
        <v>2.012008615144225E-2</v>
      </c>
      <c r="AB1835" s="182">
        <v>2.0054292694791087E-2</v>
      </c>
    </row>
    <row r="1836" spans="24:28" x14ac:dyDescent="0.2">
      <c r="X1836" s="186" t="str">
        <f t="shared" si="62"/>
        <v>1w</v>
      </c>
      <c r="Y1836" s="174">
        <f>_xll.qlCalendarAdvance(Calendar,Y1835,X1836,"f",FALSE)</f>
        <v>51812</v>
      </c>
      <c r="Z1836" s="198">
        <f>_xll.qlCalendarAdvance(Calendar,Y1836,NDays&amp;"D")</f>
        <v>51816</v>
      </c>
      <c r="AA1836" s="173">
        <v>2.0117493343096201E-2</v>
      </c>
      <c r="AB1836" s="182">
        <v>2.0051286080073893E-2</v>
      </c>
    </row>
    <row r="1837" spans="24:28" x14ac:dyDescent="0.2">
      <c r="X1837" s="186" t="str">
        <f t="shared" si="62"/>
        <v>1w</v>
      </c>
      <c r="Y1837" s="174">
        <f>_xll.qlCalendarAdvance(Calendar,Y1836,X1837,"f",FALSE)</f>
        <v>51819</v>
      </c>
      <c r="Z1837" s="198">
        <f>_xll.qlCalendarAdvance(Calendar,Y1837,NDays&amp;"D")</f>
        <v>51823</v>
      </c>
      <c r="AA1837" s="173">
        <v>2.0114934897452728E-2</v>
      </c>
      <c r="AB1837" s="182">
        <v>2.00483134806273E-2</v>
      </c>
    </row>
    <row r="1838" spans="24:28" x14ac:dyDescent="0.2">
      <c r="X1838" s="186" t="str">
        <f t="shared" si="62"/>
        <v>1w</v>
      </c>
      <c r="Y1838" s="174">
        <f>_xll.qlCalendarAdvance(Calendar,Y1837,X1838,"f",FALSE)</f>
        <v>51826</v>
      </c>
      <c r="Z1838" s="198">
        <f>_xll.qlCalendarAdvance(Calendar,Y1838,NDays&amp;"D")</f>
        <v>51830</v>
      </c>
      <c r="AA1838" s="173">
        <v>2.0112410814380945E-2</v>
      </c>
      <c r="AB1838" s="182">
        <v>2.0045374896691115E-2</v>
      </c>
    </row>
    <row r="1839" spans="24:28" x14ac:dyDescent="0.2">
      <c r="X1839" s="186" t="str">
        <f t="shared" si="62"/>
        <v>1w</v>
      </c>
      <c r="Y1839" s="174">
        <f>_xll.qlCalendarAdvance(Calendar,Y1838,X1839,"f",FALSE)</f>
        <v>51833</v>
      </c>
      <c r="Z1839" s="198">
        <f>_xll.qlCalendarAdvance(Calendar,Y1839,NDays&amp;"D")</f>
        <v>51837</v>
      </c>
      <c r="AA1839" s="173">
        <v>2.0109921093749088E-2</v>
      </c>
      <c r="AB1839" s="182">
        <v>2.004247032802553E-2</v>
      </c>
    </row>
    <row r="1840" spans="24:28" x14ac:dyDescent="0.2">
      <c r="X1840" s="186" t="str">
        <f t="shared" si="62"/>
        <v>1w</v>
      </c>
      <c r="Y1840" s="174">
        <f>_xll.qlCalendarAdvance(Calendar,Y1839,X1840,"f",FALSE)</f>
        <v>51840</v>
      </c>
      <c r="Z1840" s="198">
        <f>_xll.qlCalendarAdvance(Calendar,Y1840,NDays&amp;"D")</f>
        <v>51844</v>
      </c>
      <c r="AA1840" s="173">
        <v>2.0107465735430225E-2</v>
      </c>
      <c r="AB1840" s="182">
        <v>2.0039599774710481E-2</v>
      </c>
    </row>
    <row r="1841" spans="24:28" x14ac:dyDescent="0.2">
      <c r="X1841" s="186" t="str">
        <f t="shared" si="62"/>
        <v>1w</v>
      </c>
      <c r="Y1841" s="174">
        <f>_xll.qlCalendarAdvance(Calendar,Y1840,X1841,"f",FALSE)</f>
        <v>51847</v>
      </c>
      <c r="Z1841" s="198">
        <f>_xll.qlCalendarAdvance(Calendar,Y1841,NDays&amp;"D")</f>
        <v>51851</v>
      </c>
      <c r="AA1841" s="173">
        <v>2.0105044739296987E-2</v>
      </c>
      <c r="AB1841" s="182">
        <v>2.0036763236745969E-2</v>
      </c>
    </row>
    <row r="1842" spans="24:28" x14ac:dyDescent="0.2">
      <c r="X1842" s="186" t="str">
        <f t="shared" si="62"/>
        <v>1w</v>
      </c>
      <c r="Y1842" s="174">
        <f>_xll.qlCalendarAdvance(Calendar,Y1841,X1842,"f",FALSE)</f>
        <v>51854</v>
      </c>
      <c r="Z1842" s="198">
        <f>_xll.qlCalendarAdvance(Calendar,Y1842,NDays&amp;"D")</f>
        <v>51858</v>
      </c>
      <c r="AA1842" s="173">
        <v>2.0102658105225078E-2</v>
      </c>
      <c r="AB1842" s="182">
        <v>2.0033960714211929E-2</v>
      </c>
    </row>
    <row r="1843" spans="24:28" x14ac:dyDescent="0.2">
      <c r="X1843" s="186" t="str">
        <f t="shared" si="62"/>
        <v>1w</v>
      </c>
      <c r="Y1843" s="174">
        <f>_xll.qlCalendarAdvance(Calendar,Y1842,X1843,"f",FALSE)</f>
        <v>51862</v>
      </c>
      <c r="Z1843" s="198">
        <f>_xll.qlCalendarAdvance(Calendar,Y1843,NDays&amp;"D")</f>
        <v>51866</v>
      </c>
      <c r="AA1843" s="173">
        <v>2.0099569292062469E-2</v>
      </c>
      <c r="AB1843" s="182">
        <v>2.0031160724731656E-2</v>
      </c>
    </row>
    <row r="1844" spans="24:28" x14ac:dyDescent="0.2">
      <c r="X1844" s="186" t="str">
        <f t="shared" si="62"/>
        <v>1w</v>
      </c>
      <c r="Y1844" s="174">
        <f>_xll.qlCalendarAdvance(Calendar,Y1843,X1844,"f",FALSE)</f>
        <v>51869</v>
      </c>
      <c r="Z1844" s="198">
        <f>_xll.qlCalendarAdvance(Calendar,Y1844,NDays&amp;"D")</f>
        <v>51873</v>
      </c>
      <c r="AA1844" s="173">
        <v>2.0097253964784942E-2</v>
      </c>
      <c r="AB1844" s="182">
        <v>2.0028069850255292E-2</v>
      </c>
    </row>
    <row r="1845" spans="24:28" x14ac:dyDescent="0.2">
      <c r="X1845" s="186" t="str">
        <f t="shared" si="62"/>
        <v>1w</v>
      </c>
      <c r="Y1845" s="174">
        <f>_xll.qlCalendarAdvance(Calendar,Y1844,X1845,"f",FALSE)</f>
        <v>51876</v>
      </c>
      <c r="Z1845" s="198">
        <f>_xll.qlCalendarAdvance(Calendar,Y1845,NDays&amp;"D")</f>
        <v>51880</v>
      </c>
      <c r="AA1845" s="173">
        <v>2.0094972997271511E-2</v>
      </c>
      <c r="AB1845" s="182">
        <v>2.0025374233005877E-2</v>
      </c>
    </row>
    <row r="1846" spans="24:28" x14ac:dyDescent="0.2">
      <c r="X1846" s="186" t="str">
        <f t="shared" si="62"/>
        <v>1w</v>
      </c>
      <c r="Y1846" s="174">
        <f>_xll.qlCalendarAdvance(Calendar,Y1845,X1846,"f",FALSE)</f>
        <v>51883</v>
      </c>
      <c r="Z1846" s="198">
        <f>_xll.qlCalendarAdvance(Calendar,Y1846,NDays&amp;"D")</f>
        <v>51887</v>
      </c>
      <c r="AA1846" s="173">
        <v>2.0092726389407348E-2</v>
      </c>
      <c r="AB1846" s="182">
        <v>2.002271263126687E-2</v>
      </c>
    </row>
    <row r="1847" spans="24:28" x14ac:dyDescent="0.2">
      <c r="X1847" s="186" t="str">
        <f t="shared" si="62"/>
        <v>1w</v>
      </c>
      <c r="Y1847" s="174">
        <f>_xll.qlCalendarAdvance(Calendar,Y1846,X1847,"f",FALSE)</f>
        <v>51890</v>
      </c>
      <c r="Z1847" s="198">
        <f>_xll.qlCalendarAdvance(Calendar,Y1847,NDays&amp;"D")</f>
        <v>51894</v>
      </c>
      <c r="AA1847" s="173">
        <v>2.0090514141075422E-2</v>
      </c>
      <c r="AB1847" s="182">
        <v>2.00200850448784E-2</v>
      </c>
    </row>
    <row r="1848" spans="24:28" x14ac:dyDescent="0.2">
      <c r="X1848" s="186" t="str">
        <f t="shared" si="62"/>
        <v>1w</v>
      </c>
      <c r="Y1848" s="174">
        <f>_xll.qlCalendarAdvance(Calendar,Y1847,X1848,"f",FALSE)</f>
        <v>51897</v>
      </c>
      <c r="Z1848" s="198">
        <f>_xll.qlCalendarAdvance(Calendar,Y1848,NDays&amp;"D")</f>
        <v>51901</v>
      </c>
      <c r="AA1848" s="173">
        <v>2.008833625216223E-2</v>
      </c>
      <c r="AB1848" s="182">
        <v>2.0017491473840465E-2</v>
      </c>
    </row>
    <row r="1849" spans="24:28" x14ac:dyDescent="0.2">
      <c r="X1849" s="186" t="str">
        <f t="shared" si="62"/>
        <v>1w</v>
      </c>
      <c r="Y1849" s="174">
        <f>_xll.qlCalendarAdvance(Calendar,Y1848,X1849,"f",FALSE)</f>
        <v>51904</v>
      </c>
      <c r="Z1849" s="198">
        <f>_xll.qlCalendarAdvance(Calendar,Y1849,NDays&amp;"D")</f>
        <v>51908</v>
      </c>
      <c r="AA1849" s="173">
        <v>2.0086192722557367E-2</v>
      </c>
      <c r="AB1849" s="182">
        <v>2.0014931918153067E-2</v>
      </c>
    </row>
    <row r="1850" spans="24:28" x14ac:dyDescent="0.2">
      <c r="X1850" s="186" t="str">
        <f t="shared" si="62"/>
        <v>1w</v>
      </c>
      <c r="Y1850" s="174">
        <f>_xll.qlCalendarAdvance(Calendar,Y1849,X1850,"f",FALSE)</f>
        <v>51911</v>
      </c>
      <c r="Z1850" s="198">
        <f>_xll.qlCalendarAdvance(Calendar,Y1850,NDays&amp;"D")</f>
        <v>51915</v>
      </c>
      <c r="AA1850" s="173">
        <v>2.0084083552149537E-2</v>
      </c>
      <c r="AB1850" s="182">
        <v>2.0012406377816205E-2</v>
      </c>
    </row>
    <row r="1851" spans="24:28" x14ac:dyDescent="0.2">
      <c r="X1851" s="186" t="str">
        <f t="shared" si="62"/>
        <v>1w</v>
      </c>
      <c r="Y1851" s="174">
        <f>_xll.qlCalendarAdvance(Calendar,Y1850,X1851,"f",FALSE)</f>
        <v>51918</v>
      </c>
      <c r="Z1851" s="198">
        <f>_xll.qlCalendarAdvance(Calendar,Y1851,NDays&amp;"D")</f>
        <v>51922</v>
      </c>
      <c r="AA1851" s="173">
        <v>2.0082008740831426E-2</v>
      </c>
      <c r="AB1851" s="182">
        <v>2.0009914852749944E-2</v>
      </c>
    </row>
    <row r="1852" spans="24:28" x14ac:dyDescent="0.2">
      <c r="X1852" s="186" t="str">
        <f t="shared" si="62"/>
        <v>1w</v>
      </c>
      <c r="Y1852" s="174">
        <f>_xll.qlCalendarAdvance(Calendar,Y1851,X1852,"f",FALSE)</f>
        <v>51925</v>
      </c>
      <c r="Z1852" s="198">
        <f>_xll.qlCalendarAdvance(Calendar,Y1852,NDays&amp;"D")</f>
        <v>51929</v>
      </c>
      <c r="AA1852" s="173">
        <v>2.0081241931596695E-2</v>
      </c>
      <c r="AB1852" s="182">
        <v>2.0007457343194091E-2</v>
      </c>
    </row>
    <row r="1853" spans="24:28" x14ac:dyDescent="0.2">
      <c r="X1853" s="186" t="str">
        <f t="shared" si="62"/>
        <v>1w</v>
      </c>
      <c r="Y1853" s="174">
        <f>_xll.qlCalendarAdvance(Calendar,Y1852,X1853,"f",FALSE)</f>
        <v>51932</v>
      </c>
      <c r="Z1853" s="198">
        <f>_xll.qlCalendarAdvance(Calendar,Y1853,NDays&amp;"D")</f>
        <v>51936</v>
      </c>
      <c r="AA1853" s="173">
        <v>2.007924286792992E-2</v>
      </c>
      <c r="AB1853" s="182">
        <v>2.0005033848908838E-2</v>
      </c>
    </row>
    <row r="1854" spans="24:28" x14ac:dyDescent="0.2">
      <c r="X1854" s="186" t="str">
        <f t="shared" si="62"/>
        <v>1w</v>
      </c>
      <c r="Y1854" s="174">
        <f>_xll.qlCalendarAdvance(Calendar,Y1853,X1854,"f",FALSE)</f>
        <v>51939</v>
      </c>
      <c r="Z1854" s="198">
        <f>_xll.qlCalendarAdvance(Calendar,Y1854,NDays&amp;"D")</f>
        <v>51943</v>
      </c>
      <c r="AA1854" s="173">
        <v>2.0077278168769603E-2</v>
      </c>
      <c r="AB1854" s="182">
        <v>2.0002644369974121E-2</v>
      </c>
    </row>
    <row r="1855" spans="24:28" x14ac:dyDescent="0.2">
      <c r="X1855" s="186" t="str">
        <f t="shared" si="62"/>
        <v>1w</v>
      </c>
      <c r="Y1855" s="174">
        <f>_xll.qlCalendarAdvance(Calendar,Y1854,X1855,"f",FALSE)</f>
        <v>51946</v>
      </c>
      <c r="Z1855" s="198">
        <f>_xll.qlCalendarAdvance(Calendar,Y1855,NDays&amp;"D")</f>
        <v>51950</v>
      </c>
      <c r="AA1855" s="173">
        <v>2.007534783401365E-2</v>
      </c>
      <c r="AB1855" s="182">
        <v>2.000028890638994E-2</v>
      </c>
    </row>
    <row r="1856" spans="24:28" x14ac:dyDescent="0.2">
      <c r="X1856" s="186" t="str">
        <f t="shared" si="62"/>
        <v>1w</v>
      </c>
      <c r="Y1856" s="174">
        <f>_xll.qlCalendarAdvance(Calendar,Y1855,X1856,"f",FALSE)</f>
        <v>51953</v>
      </c>
      <c r="Z1856" s="198">
        <f>_xll.qlCalendarAdvance(Calendar,Y1856,NDays&amp;"D")</f>
        <v>51957</v>
      </c>
      <c r="AA1856" s="173">
        <v>2.0073017690683724E-2</v>
      </c>
      <c r="AB1856" s="182">
        <v>1.9997967458156296E-2</v>
      </c>
    </row>
    <row r="1857" spans="24:28" x14ac:dyDescent="0.2">
      <c r="X1857" s="186" t="str">
        <f t="shared" si="62"/>
        <v>1w</v>
      </c>
      <c r="Y1857" s="174">
        <f>_xll.qlCalendarAdvance(Calendar,Y1856,X1857,"f",FALSE)</f>
        <v>51964</v>
      </c>
      <c r="Z1857" s="198">
        <f>_xll.qlCalendarAdvance(Calendar,Y1857,NDays&amp;"D")</f>
        <v>51966</v>
      </c>
      <c r="AA1857" s="173">
        <v>2.0070627485432951E-2</v>
      </c>
      <c r="AB1857" s="182">
        <v>1.9995032720823147E-2</v>
      </c>
    </row>
    <row r="1858" spans="24:28" x14ac:dyDescent="0.2">
      <c r="X1858" s="186" t="str">
        <f t="shared" si="62"/>
        <v>1w</v>
      </c>
      <c r="Y1858" s="174">
        <f>_xll.qlCalendarAdvance(Calendar,Y1857,X1858,"f",FALSE)</f>
        <v>51971</v>
      </c>
      <c r="Z1858" s="198">
        <f>_xll.qlCalendarAdvance(Calendar,Y1858,NDays&amp;"D")</f>
        <v>51973</v>
      </c>
      <c r="AA1858" s="173">
        <v>2.0068807707967623E-2</v>
      </c>
      <c r="AB1858" s="182">
        <v>1.9992789021916479E-2</v>
      </c>
    </row>
    <row r="1859" spans="24:28" x14ac:dyDescent="0.2">
      <c r="X1859" s="186" t="str">
        <f t="shared" si="62"/>
        <v>1w</v>
      </c>
      <c r="Y1859" s="174">
        <f>_xll.qlCalendarAdvance(Calendar,Y1858,X1859,"f",FALSE)</f>
        <v>51978</v>
      </c>
      <c r="Z1859" s="198">
        <f>_xll.qlCalendarAdvance(Calendar,Y1859,NDays&amp;"D")</f>
        <v>51980</v>
      </c>
      <c r="AA1859" s="173">
        <v>2.0067022292579194E-2</v>
      </c>
      <c r="AB1859" s="182">
        <v>1.9990579338440284E-2</v>
      </c>
    </row>
    <row r="1860" spans="24:28" x14ac:dyDescent="0.2">
      <c r="X1860" s="186" t="str">
        <f t="shared" si="62"/>
        <v>1w</v>
      </c>
      <c r="Y1860" s="174">
        <f>_xll.qlCalendarAdvance(Calendar,Y1859,X1860,"f",FALSE)</f>
        <v>51985</v>
      </c>
      <c r="Z1860" s="198">
        <f>_xll.qlCalendarAdvance(Calendar,Y1860,NDays&amp;"D")</f>
        <v>51988</v>
      </c>
      <c r="AA1860" s="173">
        <v>2.0065913335024086E-2</v>
      </c>
      <c r="AB1860" s="182">
        <v>1.998889830520767E-2</v>
      </c>
    </row>
    <row r="1861" spans="24:28" x14ac:dyDescent="0.2">
      <c r="X1861" s="186" t="str">
        <f t="shared" si="62"/>
        <v>1w</v>
      </c>
      <c r="Y1861" s="174">
        <f>_xll.qlCalendarAdvance(Calendar,Y1860,X1861,"f",FALSE)</f>
        <v>51992</v>
      </c>
      <c r="Z1861" s="198">
        <f>_xll.qlCalendarAdvance(Calendar,Y1861,NDays&amp;"D")</f>
        <v>51994</v>
      </c>
      <c r="AA1861" s="173">
        <v>2.006489514040459E-2</v>
      </c>
      <c r="AB1861" s="182">
        <v>1.9986262017539502E-2</v>
      </c>
    </row>
    <row r="1862" spans="24:28" x14ac:dyDescent="0.2">
      <c r="X1862" s="186" t="str">
        <f t="shared" si="62"/>
        <v>1w</v>
      </c>
      <c r="Y1862" s="174">
        <f>_xll.qlCalendarAdvance(Calendar,Y1861,X1862,"f",FALSE)</f>
        <v>51999</v>
      </c>
      <c r="Z1862" s="198">
        <f>_xll.qlCalendarAdvance(Calendar,Y1862,NDays&amp;"D")</f>
        <v>52001</v>
      </c>
      <c r="AA1862" s="173">
        <v>2.0063219895267569E-2</v>
      </c>
      <c r="AB1862" s="182">
        <v>1.9984154380194852E-2</v>
      </c>
    </row>
    <row r="1863" spans="24:28" x14ac:dyDescent="0.2">
      <c r="X1863" s="186" t="str">
        <f t="shared" si="62"/>
        <v>1w</v>
      </c>
      <c r="Y1863" s="174">
        <f>_xll.qlCalendarAdvance(Calendar,Y1862,X1863,"f",FALSE)</f>
        <v>52006</v>
      </c>
      <c r="Z1863" s="198">
        <f>_xll.qlCalendarAdvance(Calendar,Y1863,NDays&amp;"D")</f>
        <v>52008</v>
      </c>
      <c r="AA1863" s="173">
        <v>2.0061579017568477E-2</v>
      </c>
      <c r="AB1863" s="182">
        <v>1.9982080757960929E-2</v>
      </c>
    </row>
    <row r="1864" spans="24:28" x14ac:dyDescent="0.2">
      <c r="X1864" s="186" t="str">
        <f t="shared" si="62"/>
        <v>1w</v>
      </c>
      <c r="Y1864" s="174">
        <f>_xll.qlCalendarAdvance(Calendar,Y1863,X1864,"f",FALSE)</f>
        <v>52013</v>
      </c>
      <c r="Z1864" s="198">
        <f>_xll.qlCalendarAdvance(Calendar,Y1864,NDays&amp;"D")</f>
        <v>52015</v>
      </c>
      <c r="AA1864" s="173">
        <v>2.0058610643616248E-2</v>
      </c>
      <c r="AB1864" s="182">
        <v>1.9980041151317351E-2</v>
      </c>
    </row>
    <row r="1865" spans="24:28" x14ac:dyDescent="0.2">
      <c r="X1865" s="186" t="str">
        <f t="shared" si="62"/>
        <v>1w</v>
      </c>
      <c r="Y1865" s="174">
        <f>_xll.qlCalendarAdvance(Calendar,Y1864,X1865,"f",FALSE)</f>
        <v>52020</v>
      </c>
      <c r="Z1865" s="198">
        <f>_xll.qlCalendarAdvance(Calendar,Y1865,NDays&amp;"D")</f>
        <v>52022</v>
      </c>
      <c r="AA1865" s="173">
        <v>2.0057031398808319E-2</v>
      </c>
      <c r="AB1865" s="182">
        <v>1.9978035559944374E-2</v>
      </c>
    </row>
    <row r="1866" spans="24:28" x14ac:dyDescent="0.2">
      <c r="X1866" s="186" t="str">
        <f t="shared" si="62"/>
        <v>1w</v>
      </c>
      <c r="Y1866" s="174">
        <f>_xll.qlCalendarAdvance(Calendar,Y1865,X1866,"f",FALSE)</f>
        <v>52027</v>
      </c>
      <c r="Z1866" s="198">
        <f>_xll.qlCalendarAdvance(Calendar,Y1866,NDays&amp;"D")</f>
        <v>52029</v>
      </c>
      <c r="AA1866" s="173">
        <v>2.0055486515466191E-2</v>
      </c>
      <c r="AB1866" s="182">
        <v>1.9976063983841996E-2</v>
      </c>
    </row>
    <row r="1867" spans="24:28" x14ac:dyDescent="0.2">
      <c r="X1867" s="186" t="str">
        <f t="shared" si="62"/>
        <v>1w</v>
      </c>
      <c r="Y1867" s="174">
        <f>_xll.qlCalendarAdvance(Calendar,Y1866,X1867,"f",FALSE)</f>
        <v>52034</v>
      </c>
      <c r="Z1867" s="198">
        <f>_xll.qlCalendarAdvance(Calendar,Y1867,NDays&amp;"D")</f>
        <v>52036</v>
      </c>
      <c r="AA1867" s="173">
        <v>2.0053975993510807E-2</v>
      </c>
      <c r="AB1867" s="182">
        <v>1.9974126423170091E-2</v>
      </c>
    </row>
    <row r="1868" spans="24:28" x14ac:dyDescent="0.2">
      <c r="X1868" s="186" t="str">
        <f t="shared" si="62"/>
        <v>1w</v>
      </c>
      <c r="Y1868" s="174">
        <f>_xll.qlCalendarAdvance(Calendar,Y1867,X1868,"f",FALSE)</f>
        <v>52041</v>
      </c>
      <c r="Z1868" s="198">
        <f>_xll.qlCalendarAdvance(Calendar,Y1868,NDays&amp;"D")</f>
        <v>52043</v>
      </c>
      <c r="AA1868" s="173">
        <v>2.0053890137681288E-2</v>
      </c>
      <c r="AB1868" s="182">
        <v>1.9972222877848722E-2</v>
      </c>
    </row>
    <row r="1869" spans="24:28" x14ac:dyDescent="0.2">
      <c r="X1869" s="186" t="str">
        <f t="shared" si="62"/>
        <v>1w</v>
      </c>
      <c r="Y1869" s="174">
        <f>_xll.qlCalendarAdvance(Calendar,Y1868,X1869,"f",FALSE)</f>
        <v>52048</v>
      </c>
      <c r="Z1869" s="198">
        <f>_xll.qlCalendarAdvance(Calendar,Y1869,NDays&amp;"D")</f>
        <v>52050</v>
      </c>
      <c r="AA1869" s="173">
        <v>2.0052455462856757E-2</v>
      </c>
      <c r="AB1869" s="182">
        <v>1.9970353347797953E-2</v>
      </c>
    </row>
    <row r="1870" spans="24:28" x14ac:dyDescent="0.2">
      <c r="X1870" s="186" t="str">
        <f t="shared" si="62"/>
        <v>1w</v>
      </c>
      <c r="Y1870" s="174">
        <f>_xll.qlCalendarAdvance(Calendar,Y1869,X1870,"f",FALSE)</f>
        <v>52055</v>
      </c>
      <c r="Z1870" s="198">
        <f>_xll.qlCalendarAdvance(Calendar,Y1870,NDays&amp;"D")</f>
        <v>52057</v>
      </c>
      <c r="AA1870" s="173">
        <v>2.0051055154903723E-2</v>
      </c>
      <c r="AB1870" s="182">
        <v>1.9968517833177657E-2</v>
      </c>
    </row>
    <row r="1871" spans="24:28" x14ac:dyDescent="0.2">
      <c r="X1871" s="186" t="str">
        <f t="shared" si="62"/>
        <v>1w</v>
      </c>
      <c r="Y1871" s="174">
        <f>_xll.qlCalendarAdvance(Calendar,Y1870,X1871,"f",FALSE)</f>
        <v>52062</v>
      </c>
      <c r="Z1871" s="198">
        <f>_xll.qlCalendarAdvance(Calendar,Y1871,NDays&amp;"D")</f>
        <v>52064</v>
      </c>
      <c r="AA1871" s="173">
        <v>2.0049689213747411E-2</v>
      </c>
      <c r="AB1871" s="182">
        <v>1.9966716333907897E-2</v>
      </c>
    </row>
    <row r="1872" spans="24:28" x14ac:dyDescent="0.2">
      <c r="X1872" s="186" t="str">
        <f t="shared" si="62"/>
        <v>1w</v>
      </c>
      <c r="Y1872" s="174">
        <f>_xll.qlCalendarAdvance(Calendar,Y1871,X1872,"f",FALSE)</f>
        <v>52069</v>
      </c>
      <c r="Z1872" s="198">
        <f>_xll.qlCalendarAdvance(Calendar,Y1872,NDays&amp;"D")</f>
        <v>52071</v>
      </c>
      <c r="AA1872" s="173">
        <v>2.0048357639315617E-2</v>
      </c>
      <c r="AB1872" s="182">
        <v>1.9964948849828801E-2</v>
      </c>
    </row>
    <row r="1873" spans="24:28" x14ac:dyDescent="0.2">
      <c r="X1873" s="186" t="str">
        <f t="shared" si="62"/>
        <v>1w</v>
      </c>
      <c r="Y1873" s="174">
        <f>_xll.qlCalendarAdvance(Calendar,Y1872,X1873,"f",FALSE)</f>
        <v>52076</v>
      </c>
      <c r="Z1873" s="198">
        <f>_xll.qlCalendarAdvance(Calendar,Y1873,NDays&amp;"D")</f>
        <v>52078</v>
      </c>
      <c r="AA1873" s="173">
        <v>2.0045634446621954E-2</v>
      </c>
      <c r="AB1873" s="182">
        <v>1.9963215381260113E-2</v>
      </c>
    </row>
    <row r="1874" spans="24:28" x14ac:dyDescent="0.2">
      <c r="X1874" s="186" t="str">
        <f t="shared" si="62"/>
        <v>1w</v>
      </c>
      <c r="Y1874" s="174">
        <f>_xll.qlCalendarAdvance(Calendar,Y1873,X1874,"f",FALSE)</f>
        <v>52083</v>
      </c>
      <c r="Z1874" s="198">
        <f>_xll.qlCalendarAdvance(Calendar,Y1874,NDays&amp;"D")</f>
        <v>52085</v>
      </c>
      <c r="AA1874" s="173">
        <v>2.0045797590347105E-2</v>
      </c>
      <c r="AB1874" s="182">
        <v>1.996151592788209E-2</v>
      </c>
    </row>
    <row r="1875" spans="24:28" x14ac:dyDescent="0.2">
      <c r="X1875" s="186" t="str">
        <f t="shared" si="62"/>
        <v>1w</v>
      </c>
      <c r="Y1875" s="174">
        <f>_xll.qlCalendarAdvance(Calendar,Y1874,X1875,"f",FALSE)</f>
        <v>52090</v>
      </c>
      <c r="Z1875" s="198">
        <f>_xll.qlCalendarAdvance(Calendar,Y1875,NDays&amp;"D")</f>
        <v>52092</v>
      </c>
      <c r="AA1875" s="173">
        <v>2.0044569115675866E-2</v>
      </c>
      <c r="AB1875" s="182">
        <v>1.9959850490014475E-2</v>
      </c>
    </row>
    <row r="1876" spans="24:28" x14ac:dyDescent="0.2">
      <c r="X1876" s="186" t="str">
        <f t="shared" si="62"/>
        <v>1w</v>
      </c>
      <c r="Y1876" s="174">
        <f>_xll.qlCalendarAdvance(Calendar,Y1875,X1876,"f",FALSE)</f>
        <v>52097</v>
      </c>
      <c r="Z1876" s="198">
        <f>_xll.qlCalendarAdvance(Calendar,Y1876,NDays&amp;"D")</f>
        <v>52099</v>
      </c>
      <c r="AA1876" s="173">
        <v>2.0043375007458831E-2</v>
      </c>
      <c r="AB1876" s="182">
        <v>1.995821906741746E-2</v>
      </c>
    </row>
    <row r="1877" spans="24:28" x14ac:dyDescent="0.2">
      <c r="X1877" s="186" t="str">
        <f t="shared" ref="X1877:X1940" si="63">X1876</f>
        <v>1w</v>
      </c>
      <c r="Y1877" s="174">
        <f>_xll.qlCalendarAdvance(Calendar,Y1876,X1877,"f",FALSE)</f>
        <v>52104</v>
      </c>
      <c r="Z1877" s="198">
        <f>_xll.qlCalendarAdvance(Calendar,Y1877,NDays&amp;"D")</f>
        <v>52106</v>
      </c>
      <c r="AA1877" s="173">
        <v>2.0040760633835156E-2</v>
      </c>
      <c r="AB1877" s="182">
        <v>1.9956621660170981E-2</v>
      </c>
    </row>
    <row r="1878" spans="24:28" x14ac:dyDescent="0.2">
      <c r="X1878" s="186" t="str">
        <f t="shared" si="63"/>
        <v>1w</v>
      </c>
      <c r="Y1878" s="174">
        <f>_xll.qlCalendarAdvance(Calendar,Y1877,X1878,"f",FALSE)</f>
        <v>52111</v>
      </c>
      <c r="Z1878" s="198">
        <f>_xll.qlCalendarAdvance(Calendar,Y1878,NDays&amp;"D")</f>
        <v>52113</v>
      </c>
      <c r="AA1878" s="173">
        <v>2.0038654777109428E-2</v>
      </c>
      <c r="AB1878" s="182">
        <v>1.9955058268275039E-2</v>
      </c>
    </row>
    <row r="1879" spans="24:28" x14ac:dyDescent="0.2">
      <c r="X1879" s="186" t="str">
        <f t="shared" si="63"/>
        <v>1w</v>
      </c>
      <c r="Y1879" s="174">
        <f>_xll.qlCalendarAdvance(Calendar,Y1878,X1879,"f",FALSE)</f>
        <v>52118</v>
      </c>
      <c r="Z1879" s="198">
        <f>_xll.qlCalendarAdvance(Calendar,Y1879,NDays&amp;"D")</f>
        <v>52120</v>
      </c>
      <c r="AA1879" s="173">
        <v>2.0037551799727514E-2</v>
      </c>
      <c r="AB1879" s="182">
        <v>1.9953528891729633E-2</v>
      </c>
    </row>
    <row r="1880" spans="24:28" x14ac:dyDescent="0.2">
      <c r="X1880" s="186" t="str">
        <f t="shared" si="63"/>
        <v>1w</v>
      </c>
      <c r="Y1880" s="174">
        <f>_xll.qlCalendarAdvance(Calendar,Y1879,X1880,"f",FALSE)</f>
        <v>52125</v>
      </c>
      <c r="Z1880" s="198">
        <f>_xll.qlCalendarAdvance(Calendar,Y1880,NDays&amp;"D")</f>
        <v>52127</v>
      </c>
      <c r="AA1880" s="173">
        <v>2.0036483179047833E-2</v>
      </c>
      <c r="AB1880" s="182">
        <v>1.9952033530454827E-2</v>
      </c>
    </row>
    <row r="1881" spans="24:28" x14ac:dyDescent="0.2">
      <c r="X1881" s="186" t="str">
        <f t="shared" si="63"/>
        <v>1w</v>
      </c>
      <c r="Y1881" s="174">
        <f>_xll.qlCalendarAdvance(Calendar,Y1880,X1881,"f",FALSE)</f>
        <v>52132</v>
      </c>
      <c r="Z1881" s="198">
        <f>_xll.qlCalendarAdvance(Calendar,Y1881,NDays&amp;"D")</f>
        <v>52134</v>
      </c>
      <c r="AA1881" s="173">
        <v>2.0035448915015623E-2</v>
      </c>
      <c r="AB1881" s="182">
        <v>1.9950572184610493E-2</v>
      </c>
    </row>
    <row r="1882" spans="24:28" x14ac:dyDescent="0.2">
      <c r="X1882" s="186" t="str">
        <f t="shared" si="63"/>
        <v>1w</v>
      </c>
      <c r="Y1882" s="174">
        <f>_xll.qlCalendarAdvance(Calendar,Y1881,X1882,"f",FALSE)</f>
        <v>52139</v>
      </c>
      <c r="Z1882" s="198">
        <f>_xll.qlCalendarAdvance(Calendar,Y1882,NDays&amp;"D")</f>
        <v>52141</v>
      </c>
      <c r="AA1882" s="173">
        <v>2.0034945120684749E-2</v>
      </c>
      <c r="AB1882" s="182">
        <v>1.994914485403676E-2</v>
      </c>
    </row>
    <row r="1883" spans="24:28" x14ac:dyDescent="0.2">
      <c r="X1883" s="186" t="str">
        <f t="shared" si="63"/>
        <v>1w</v>
      </c>
      <c r="Y1883" s="174">
        <f>_xll.qlCalendarAdvance(Calendar,Y1882,X1883,"f",FALSE)</f>
        <v>52146</v>
      </c>
      <c r="Z1883" s="198">
        <f>_xll.qlCalendarAdvance(Calendar,Y1883,NDays&amp;"D")</f>
        <v>52148</v>
      </c>
      <c r="AA1883" s="173">
        <v>2.0033981970491742E-2</v>
      </c>
      <c r="AB1883" s="182">
        <v>1.9947751538813563E-2</v>
      </c>
    </row>
    <row r="1884" spans="24:28" x14ac:dyDescent="0.2">
      <c r="X1884" s="186" t="str">
        <f t="shared" si="63"/>
        <v>1w</v>
      </c>
      <c r="Y1884" s="174">
        <f>_xll.qlCalendarAdvance(Calendar,Y1883,X1884,"f",FALSE)</f>
        <v>52153</v>
      </c>
      <c r="Z1884" s="198">
        <f>_xll.qlCalendarAdvance(Calendar,Y1884,NDays&amp;"D")</f>
        <v>52155</v>
      </c>
      <c r="AA1884" s="173">
        <v>2.0033053178693108E-2</v>
      </c>
      <c r="AB1884" s="182">
        <v>1.9946392238860966E-2</v>
      </c>
    </row>
    <row r="1885" spans="24:28" x14ac:dyDescent="0.2">
      <c r="X1885" s="186" t="str">
        <f t="shared" si="63"/>
        <v>1w</v>
      </c>
      <c r="Y1885" s="174">
        <f>_xll.qlCalendarAdvance(Calendar,Y1884,X1885,"f",FALSE)</f>
        <v>52160</v>
      </c>
      <c r="Z1885" s="198">
        <f>_xll.qlCalendarAdvance(Calendar,Y1885,NDays&amp;"D")</f>
        <v>52162</v>
      </c>
      <c r="AA1885" s="173">
        <v>2.0032158745242726E-2</v>
      </c>
      <c r="AB1885" s="182">
        <v>1.9945066954338841E-2</v>
      </c>
    </row>
    <row r="1886" spans="24:28" x14ac:dyDescent="0.2">
      <c r="X1886" s="186" t="str">
        <f t="shared" si="63"/>
        <v>1w</v>
      </c>
      <c r="Y1886" s="174">
        <f>_xll.qlCalendarAdvance(Calendar,Y1885,X1886,"f",FALSE)</f>
        <v>52167</v>
      </c>
      <c r="Z1886" s="198">
        <f>_xll.qlCalendarAdvance(Calendar,Y1886,NDays&amp;"D")</f>
        <v>52169</v>
      </c>
      <c r="AA1886" s="173">
        <v>2.0031298670091846E-2</v>
      </c>
      <c r="AB1886" s="182">
        <v>1.9943775685247189E-2</v>
      </c>
    </row>
    <row r="1887" spans="24:28" x14ac:dyDescent="0.2">
      <c r="X1887" s="186" t="str">
        <f t="shared" si="63"/>
        <v>1w</v>
      </c>
      <c r="Y1887" s="174">
        <f>_xll.qlCalendarAdvance(Calendar,Y1886,X1887,"f",FALSE)</f>
        <v>52174</v>
      </c>
      <c r="Z1887" s="198">
        <f>_xll.qlCalendarAdvance(Calendar,Y1887,NDays&amp;"D")</f>
        <v>52176</v>
      </c>
      <c r="AA1887" s="173">
        <v>2.0029964817565873E-2</v>
      </c>
      <c r="AB1887" s="182">
        <v>1.9942518431426137E-2</v>
      </c>
    </row>
    <row r="1888" spans="24:28" x14ac:dyDescent="0.2">
      <c r="X1888" s="186" t="str">
        <f t="shared" si="63"/>
        <v>1w</v>
      </c>
      <c r="Y1888" s="174">
        <f>_xll.qlCalendarAdvance(Calendar,Y1887,X1888,"f",FALSE)</f>
        <v>52181</v>
      </c>
      <c r="Z1888" s="198">
        <f>_xll.qlCalendarAdvance(Calendar,Y1888,NDays&amp;"D")</f>
        <v>52183</v>
      </c>
      <c r="AA1888" s="173">
        <v>2.0029171048677467E-2</v>
      </c>
      <c r="AB1888" s="182">
        <v>1.9941295192795749E-2</v>
      </c>
    </row>
    <row r="1889" spans="24:28" x14ac:dyDescent="0.2">
      <c r="X1889" s="186" t="str">
        <f t="shared" si="63"/>
        <v>1w</v>
      </c>
      <c r="Y1889" s="174">
        <f>_xll.qlCalendarAdvance(Calendar,Y1888,X1889,"f",FALSE)</f>
        <v>52188</v>
      </c>
      <c r="Z1889" s="198">
        <f>_xll.qlCalendarAdvance(Calendar,Y1889,NDays&amp;"D")</f>
        <v>52190</v>
      </c>
      <c r="AA1889" s="173">
        <v>2.0028411636060697E-2</v>
      </c>
      <c r="AB1889" s="182">
        <v>1.9940105969595834E-2</v>
      </c>
    </row>
    <row r="1890" spans="24:28" x14ac:dyDescent="0.2">
      <c r="X1890" s="186" t="str">
        <f t="shared" si="63"/>
        <v>1w</v>
      </c>
      <c r="Y1890" s="174">
        <f>_xll.qlCalendarAdvance(Calendar,Y1889,X1890,"f",FALSE)</f>
        <v>52195</v>
      </c>
      <c r="Z1890" s="198">
        <f>_xll.qlCalendarAdvance(Calendar,Y1890,NDays&amp;"D")</f>
        <v>52197</v>
      </c>
      <c r="AA1890" s="173">
        <v>2.0027686579677146E-2</v>
      </c>
      <c r="AB1890" s="182">
        <v>1.9938950761746455E-2</v>
      </c>
    </row>
    <row r="1891" spans="24:28" x14ac:dyDescent="0.2">
      <c r="X1891" s="186" t="str">
        <f t="shared" si="63"/>
        <v>1w</v>
      </c>
      <c r="Y1891" s="174">
        <f>_xll.qlCalendarAdvance(Calendar,Y1890,X1891,"f",FALSE)</f>
        <v>52202</v>
      </c>
      <c r="Z1891" s="198">
        <f>_xll.qlCalendarAdvance(Calendar,Y1891,NDays&amp;"D")</f>
        <v>52204</v>
      </c>
      <c r="AA1891" s="173">
        <v>2.0027513667363463E-2</v>
      </c>
      <c r="AB1891" s="182">
        <v>1.9937829569247612E-2</v>
      </c>
    </row>
    <row r="1892" spans="24:28" x14ac:dyDescent="0.2">
      <c r="X1892" s="186" t="str">
        <f t="shared" si="63"/>
        <v>1w</v>
      </c>
      <c r="Y1892" s="174">
        <f>_xll.qlCalendarAdvance(Calendar,Y1891,X1892,"f",FALSE)</f>
        <v>52209</v>
      </c>
      <c r="Z1892" s="198">
        <f>_xll.qlCalendarAdvance(Calendar,Y1892,NDays&amp;"D")</f>
        <v>52211</v>
      </c>
      <c r="AA1892" s="173">
        <v>2.0026859741148307E-2</v>
      </c>
      <c r="AB1892" s="182">
        <v>1.9936742392099305E-2</v>
      </c>
    </row>
    <row r="1893" spans="24:28" x14ac:dyDescent="0.2">
      <c r="X1893" s="186" t="str">
        <f t="shared" si="63"/>
        <v>1w</v>
      </c>
      <c r="Y1893" s="174">
        <f>_xll.qlCalendarAdvance(Calendar,Y1892,X1893,"f",FALSE)</f>
        <v>52216</v>
      </c>
      <c r="Z1893" s="198">
        <f>_xll.qlCalendarAdvance(Calendar,Y1893,NDays&amp;"D")</f>
        <v>52218</v>
      </c>
      <c r="AA1893" s="173">
        <v>2.0026240172960785E-2</v>
      </c>
      <c r="AB1893" s="182">
        <v>1.9935689230221598E-2</v>
      </c>
    </row>
    <row r="1894" spans="24:28" x14ac:dyDescent="0.2">
      <c r="X1894" s="186" t="str">
        <f t="shared" si="63"/>
        <v>1w</v>
      </c>
      <c r="Y1894" s="174">
        <f>_xll.qlCalendarAdvance(Calendar,Y1893,X1894,"f",FALSE)</f>
        <v>52223</v>
      </c>
      <c r="Z1894" s="198">
        <f>_xll.qlCalendarAdvance(Calendar,Y1894,NDays&amp;"D")</f>
        <v>52229</v>
      </c>
      <c r="AA1894" s="173">
        <v>2.0025335982971969E-2</v>
      </c>
      <c r="AB1894" s="182">
        <v>1.9934102986445268E-2</v>
      </c>
    </row>
    <row r="1895" spans="24:28" x14ac:dyDescent="0.2">
      <c r="X1895" s="186" t="str">
        <f t="shared" si="63"/>
        <v>1w</v>
      </c>
      <c r="Y1895" s="174">
        <f>_xll.qlCalendarAdvance(Calendar,Y1894,X1895,"f",FALSE)</f>
        <v>52230</v>
      </c>
      <c r="Z1895" s="198">
        <f>_xll.qlCalendarAdvance(Calendar,Y1895,NDays&amp;"D")</f>
        <v>52233</v>
      </c>
      <c r="AA1895" s="173">
        <v>2.0024500405201068E-2</v>
      </c>
      <c r="AB1895" s="182">
        <v>1.9934513710513357E-2</v>
      </c>
    </row>
    <row r="1896" spans="24:28" x14ac:dyDescent="0.2">
      <c r="X1896" s="186" t="str">
        <f t="shared" si="63"/>
        <v>1w</v>
      </c>
      <c r="Y1896" s="174">
        <f>_xll.qlCalendarAdvance(Calendar,Y1895,X1896,"f",FALSE)</f>
        <v>52237</v>
      </c>
      <c r="Z1896" s="198">
        <f>_xll.qlCalendarAdvance(Calendar,Y1896,NDays&amp;"D")</f>
        <v>52239</v>
      </c>
      <c r="AA1896" s="173">
        <v>2.0024057720313865E-2</v>
      </c>
      <c r="AB1896" s="182">
        <v>1.9932733836691696E-2</v>
      </c>
    </row>
    <row r="1897" spans="24:28" x14ac:dyDescent="0.2">
      <c r="X1897" s="186" t="str">
        <f t="shared" si="63"/>
        <v>1w</v>
      </c>
      <c r="Y1897" s="174">
        <f>_xll.qlCalendarAdvance(Calendar,Y1896,X1897,"f",FALSE)</f>
        <v>52244</v>
      </c>
      <c r="Z1897" s="198">
        <f>_xll.qlCalendarAdvance(Calendar,Y1897,NDays&amp;"D")</f>
        <v>52246</v>
      </c>
      <c r="AA1897" s="173">
        <v>2.0023573156619946E-2</v>
      </c>
      <c r="AB1897" s="182">
        <v>1.9931816736216135E-2</v>
      </c>
    </row>
    <row r="1898" spans="24:28" x14ac:dyDescent="0.2">
      <c r="X1898" s="186" t="str">
        <f t="shared" si="63"/>
        <v>1w</v>
      </c>
      <c r="Y1898" s="174">
        <f>_xll.qlCalendarAdvance(Calendar,Y1897,X1898,"f",FALSE)</f>
        <v>52251</v>
      </c>
      <c r="Z1898" s="198">
        <f>_xll.qlCalendarAdvance(Calendar,Y1898,NDays&amp;"D")</f>
        <v>52253</v>
      </c>
      <c r="AA1898" s="173">
        <v>2.00231229489106E-2</v>
      </c>
      <c r="AB1898" s="182">
        <v>1.9930933651011173E-2</v>
      </c>
    </row>
    <row r="1899" spans="24:28" x14ac:dyDescent="0.2">
      <c r="X1899" s="186" t="str">
        <f t="shared" si="63"/>
        <v>1w</v>
      </c>
      <c r="Y1899" s="174">
        <f>_xll.qlCalendarAdvance(Calendar,Y1898,X1899,"f",FALSE)</f>
        <v>52258</v>
      </c>
      <c r="Z1899" s="198">
        <f>_xll.qlCalendarAdvance(Calendar,Y1899,NDays&amp;"D")</f>
        <v>52260</v>
      </c>
      <c r="AA1899" s="173">
        <v>2.0022707097162865E-2</v>
      </c>
      <c r="AB1899" s="182">
        <v>1.9930084581156748E-2</v>
      </c>
    </row>
    <row r="1900" spans="24:28" x14ac:dyDescent="0.2">
      <c r="X1900" s="186" t="str">
        <f t="shared" si="63"/>
        <v>1w</v>
      </c>
      <c r="Y1900" s="174">
        <f>_xll.qlCalendarAdvance(Calendar,Y1899,X1900,"f",FALSE)</f>
        <v>52265</v>
      </c>
      <c r="Z1900" s="198">
        <f>_xll.qlCalendarAdvance(Calendar,Y1900,NDays&amp;"D")</f>
        <v>52267</v>
      </c>
      <c r="AA1900" s="173">
        <v>2.0022325601356871E-2</v>
      </c>
      <c r="AB1900" s="182">
        <v>1.9929269526732796E-2</v>
      </c>
    </row>
    <row r="1901" spans="24:28" x14ac:dyDescent="0.2">
      <c r="X1901" s="186" t="str">
        <f t="shared" si="63"/>
        <v>1w</v>
      </c>
      <c r="Y1901" s="174">
        <f>_xll.qlCalendarAdvance(Calendar,Y1900,X1901,"f",FALSE)</f>
        <v>52272</v>
      </c>
      <c r="Z1901" s="198">
        <f>_xll.qlCalendarAdvance(Calendar,Y1901,NDays&amp;"D")</f>
        <v>52274</v>
      </c>
      <c r="AA1901" s="173">
        <v>2.0021978461470975E-2</v>
      </c>
      <c r="AB1901" s="182">
        <v>1.9928488487579443E-2</v>
      </c>
    </row>
    <row r="1902" spans="24:28" x14ac:dyDescent="0.2">
      <c r="X1902" s="186" t="str">
        <f t="shared" si="63"/>
        <v>1w</v>
      </c>
      <c r="Y1902" s="174">
        <f>_xll.qlCalendarAdvance(Calendar,Y1901,X1902,"f",FALSE)</f>
        <v>52279</v>
      </c>
      <c r="Z1902" s="198">
        <f>_xll.qlCalendarAdvance(Calendar,Y1902,NDays&amp;"D")</f>
        <v>52281</v>
      </c>
      <c r="AA1902" s="173">
        <v>2.0021665677487508E-2</v>
      </c>
      <c r="AB1902" s="182">
        <v>1.9927741463696691E-2</v>
      </c>
    </row>
    <row r="1903" spans="24:28" x14ac:dyDescent="0.2">
      <c r="X1903" s="186" t="str">
        <f t="shared" si="63"/>
        <v>1w</v>
      </c>
      <c r="Y1903" s="174">
        <f>_xll.qlCalendarAdvance(Calendar,Y1902,X1903,"f",FALSE)</f>
        <v>52286</v>
      </c>
      <c r="Z1903" s="198">
        <f>_xll.qlCalendarAdvance(Calendar,Y1903,NDays&amp;"D")</f>
        <v>52288</v>
      </c>
      <c r="AA1903" s="173">
        <v>2.0021387249391901E-2</v>
      </c>
      <c r="AB1903" s="182">
        <v>1.9927028455244411E-2</v>
      </c>
    </row>
    <row r="1904" spans="24:28" x14ac:dyDescent="0.2">
      <c r="X1904" s="186" t="str">
        <f t="shared" si="63"/>
        <v>1w</v>
      </c>
      <c r="Y1904" s="174">
        <f>_xll.qlCalendarAdvance(Calendar,Y1903,X1904,"f",FALSE)</f>
        <v>52293</v>
      </c>
      <c r="Z1904" s="198">
        <f>_xll.qlCalendarAdvance(Calendar,Y1904,NDays&amp;"D")</f>
        <v>52295</v>
      </c>
      <c r="AA1904" s="173">
        <v>2.0023892552085983E-2</v>
      </c>
      <c r="AB1904" s="182">
        <v>1.9926349461982795E-2</v>
      </c>
    </row>
    <row r="1905" spans="24:28" x14ac:dyDescent="0.2">
      <c r="X1905" s="186" t="str">
        <f t="shared" si="63"/>
        <v>1w</v>
      </c>
      <c r="Y1905" s="174">
        <f>_xll.qlCalendarAdvance(Calendar,Y1904,X1905,"f",FALSE)</f>
        <v>52300</v>
      </c>
      <c r="Z1905" s="198">
        <f>_xll.qlCalendarAdvance(Calendar,Y1905,NDays&amp;"D")</f>
        <v>52302</v>
      </c>
      <c r="AA1905" s="173">
        <v>2.0023695051028325E-2</v>
      </c>
      <c r="AB1905" s="182">
        <v>1.9925704484231588E-2</v>
      </c>
    </row>
    <row r="1906" spans="24:28" x14ac:dyDescent="0.2">
      <c r="X1906" s="186" t="str">
        <f t="shared" si="63"/>
        <v>1w</v>
      </c>
      <c r="Y1906" s="174">
        <f>_xll.qlCalendarAdvance(Calendar,Y1905,X1906,"f",FALSE)</f>
        <v>52307</v>
      </c>
      <c r="Z1906" s="198">
        <f>_xll.qlCalendarAdvance(Calendar,Y1906,NDays&amp;"D")</f>
        <v>52309</v>
      </c>
      <c r="AA1906" s="173">
        <v>2.0023531915325528E-2</v>
      </c>
      <c r="AB1906" s="182">
        <v>1.9925093521671045E-2</v>
      </c>
    </row>
    <row r="1907" spans="24:28" x14ac:dyDescent="0.2">
      <c r="X1907" s="186" t="str">
        <f t="shared" si="63"/>
        <v>1w</v>
      </c>
      <c r="Y1907" s="174">
        <f>_xll.qlCalendarAdvance(Calendar,Y1906,X1907,"f",FALSE)</f>
        <v>52314</v>
      </c>
      <c r="Z1907" s="198">
        <f>_xll.qlCalendarAdvance(Calendar,Y1907,NDays&amp;"D")</f>
        <v>52316</v>
      </c>
      <c r="AA1907" s="173">
        <v>2.002340314496771E-2</v>
      </c>
      <c r="AB1907" s="182">
        <v>1.9926564241281142E-2</v>
      </c>
    </row>
    <row r="1908" spans="24:28" x14ac:dyDescent="0.2">
      <c r="X1908" s="186" t="str">
        <f t="shared" si="63"/>
        <v>1w</v>
      </c>
      <c r="Y1908" s="174">
        <f>_xll.qlCalendarAdvance(Calendar,Y1907,X1908,"f",FALSE)</f>
        <v>52321</v>
      </c>
      <c r="Z1908" s="198">
        <f>_xll.qlCalendarAdvance(Calendar,Y1908,NDays&amp;"D")</f>
        <v>52323</v>
      </c>
      <c r="AA1908" s="173">
        <v>2.0021628999786805E-2</v>
      </c>
      <c r="AB1908" s="182">
        <v>1.9923973642681503E-2</v>
      </c>
    </row>
    <row r="1909" spans="24:28" x14ac:dyDescent="0.2">
      <c r="X1909" s="186" t="str">
        <f t="shared" si="63"/>
        <v>1w</v>
      </c>
      <c r="Y1909" s="174">
        <f>_xll.qlCalendarAdvance(Calendar,Y1908,X1909,"f",FALSE)</f>
        <v>52328</v>
      </c>
      <c r="Z1909" s="198">
        <f>_xll.qlCalendarAdvance(Calendar,Y1909,NDays&amp;"D")</f>
        <v>52330</v>
      </c>
      <c r="AA1909" s="173">
        <v>2.0021561607291724E-2</v>
      </c>
      <c r="AB1909" s="182">
        <v>1.9923464726252504E-2</v>
      </c>
    </row>
    <row r="1910" spans="24:28" x14ac:dyDescent="0.2">
      <c r="X1910" s="186" t="str">
        <f t="shared" si="63"/>
        <v>1w</v>
      </c>
      <c r="Y1910" s="174">
        <f>_xll.qlCalendarAdvance(Calendar,Y1909,X1910,"f",FALSE)</f>
        <v>52335</v>
      </c>
      <c r="Z1910" s="198">
        <f>_xll.qlCalendarAdvance(Calendar,Y1910,NDays&amp;"D")</f>
        <v>52337</v>
      </c>
      <c r="AA1910" s="173">
        <v>2.0021528574423478E-2</v>
      </c>
      <c r="AB1910" s="182">
        <v>1.992298982501417E-2</v>
      </c>
    </row>
    <row r="1911" spans="24:28" x14ac:dyDescent="0.2">
      <c r="X1911" s="186" t="str">
        <f t="shared" si="63"/>
        <v>1w</v>
      </c>
      <c r="Y1911" s="174">
        <f>_xll.qlCalendarAdvance(Calendar,Y1910,X1911,"f",FALSE)</f>
        <v>52342</v>
      </c>
      <c r="Z1911" s="198">
        <f>_xll.qlCalendarAdvance(Calendar,Y1911,NDays&amp;"D")</f>
        <v>52344</v>
      </c>
      <c r="AA1911" s="173">
        <v>2.0021529901179013E-2</v>
      </c>
      <c r="AB1911" s="182">
        <v>1.9922548939126372E-2</v>
      </c>
    </row>
    <row r="1912" spans="24:28" x14ac:dyDescent="0.2">
      <c r="X1912" s="186" t="str">
        <f t="shared" si="63"/>
        <v>1w</v>
      </c>
      <c r="Y1912" s="174">
        <f>_xll.qlCalendarAdvance(Calendar,Y1911,X1912,"f",FALSE)</f>
        <v>52349</v>
      </c>
      <c r="Z1912" s="198">
        <f>_xll.qlCalendarAdvance(Calendar,Y1912,NDays&amp;"D")</f>
        <v>52351</v>
      </c>
      <c r="AA1912" s="173">
        <v>2.0021565587560079E-2</v>
      </c>
      <c r="AB1912" s="182">
        <v>1.9923713504410578E-2</v>
      </c>
    </row>
    <row r="1913" spans="24:28" x14ac:dyDescent="0.2">
      <c r="X1913" s="186" t="str">
        <f t="shared" si="63"/>
        <v>1w</v>
      </c>
      <c r="Y1913" s="174">
        <f>_xll.qlCalendarAdvance(Calendar,Y1912,X1913,"f",FALSE)</f>
        <v>52356</v>
      </c>
      <c r="Z1913" s="198">
        <f>_xll.qlCalendarAdvance(Calendar,Y1913,NDays&amp;"D")</f>
        <v>52358</v>
      </c>
      <c r="AA1913" s="173">
        <v>2.002335219482812E-2</v>
      </c>
      <c r="AB1913" s="182">
        <v>1.9921769213482321E-2</v>
      </c>
    </row>
    <row r="1914" spans="24:28" x14ac:dyDescent="0.2">
      <c r="X1914" s="186" t="str">
        <f t="shared" si="63"/>
        <v>1w</v>
      </c>
      <c r="Y1914" s="174">
        <f>_xll.qlCalendarAdvance(Calendar,Y1913,X1914,"f",FALSE)</f>
        <v>52363</v>
      </c>
      <c r="Z1914" s="198">
        <f>_xll.qlCalendarAdvance(Calendar,Y1914,NDays&amp;"D")</f>
        <v>52365</v>
      </c>
      <c r="AA1914" s="173">
        <v>2.0023463981801774E-2</v>
      </c>
      <c r="AB1914" s="182">
        <v>1.9921430373646132E-2</v>
      </c>
    </row>
    <row r="1915" spans="24:28" x14ac:dyDescent="0.2">
      <c r="X1915" s="186" t="str">
        <f t="shared" si="63"/>
        <v>1w</v>
      </c>
      <c r="Y1915" s="174">
        <f>_xll.qlCalendarAdvance(Calendar,Y1914,X1915,"f",FALSE)</f>
        <v>52370</v>
      </c>
      <c r="Z1915" s="198">
        <f>_xll.qlCalendarAdvance(Calendar,Y1915,NDays&amp;"D")</f>
        <v>52372</v>
      </c>
      <c r="AA1915" s="173">
        <v>2.0023610134117402E-2</v>
      </c>
      <c r="AB1915" s="182">
        <v>1.9921125549160479E-2</v>
      </c>
    </row>
    <row r="1916" spans="24:28" x14ac:dyDescent="0.2">
      <c r="X1916" s="186" t="str">
        <f t="shared" si="63"/>
        <v>1w</v>
      </c>
      <c r="Y1916" s="174">
        <f>_xll.qlCalendarAdvance(Calendar,Y1915,X1916,"f",FALSE)</f>
        <v>52377</v>
      </c>
      <c r="Z1916" s="198">
        <f>_xll.qlCalendarAdvance(Calendar,Y1916,NDays&amp;"D")</f>
        <v>52379</v>
      </c>
      <c r="AA1916" s="173">
        <v>2.0023790651782735E-2</v>
      </c>
      <c r="AB1916" s="182">
        <v>1.9920854739945426E-2</v>
      </c>
    </row>
    <row r="1917" spans="24:28" x14ac:dyDescent="0.2">
      <c r="X1917" s="186" t="str">
        <f t="shared" si="63"/>
        <v>1w</v>
      </c>
      <c r="Y1917" s="174">
        <f>_xll.qlCalendarAdvance(Calendar,Y1916,X1917,"f",FALSE)</f>
        <v>52384</v>
      </c>
      <c r="Z1917" s="198">
        <f>_xll.qlCalendarAdvance(Calendar,Y1917,NDays&amp;"D")</f>
        <v>52386</v>
      </c>
      <c r="AA1917" s="173">
        <v>2.0022259413961876E-2</v>
      </c>
      <c r="AB1917" s="182">
        <v>1.9920617946000974E-2</v>
      </c>
    </row>
    <row r="1918" spans="24:28" x14ac:dyDescent="0.2">
      <c r="X1918" s="186" t="str">
        <f t="shared" si="63"/>
        <v>1w</v>
      </c>
      <c r="Y1918" s="174">
        <f>_xll.qlCalendarAdvance(Calendar,Y1917,X1918,"f",FALSE)</f>
        <v>52391</v>
      </c>
      <c r="Z1918" s="198">
        <f>_xll.qlCalendarAdvance(Calendar,Y1918,NDays&amp;"D")</f>
        <v>52393</v>
      </c>
      <c r="AA1918" s="173">
        <v>2.0022501258192636E-2</v>
      </c>
      <c r="AB1918" s="182">
        <v>1.9920415167486993E-2</v>
      </c>
    </row>
    <row r="1919" spans="24:28" x14ac:dyDescent="0.2">
      <c r="X1919" s="186" t="str">
        <f t="shared" si="63"/>
        <v>1w</v>
      </c>
      <c r="Y1919" s="174">
        <f>_xll.qlCalendarAdvance(Calendar,Y1918,X1919,"f",FALSE)</f>
        <v>52398</v>
      </c>
      <c r="Z1919" s="198">
        <f>_xll.qlCalendarAdvance(Calendar,Y1919,NDays&amp;"D")</f>
        <v>52400</v>
      </c>
      <c r="AA1919" s="173">
        <v>2.0022777462098285E-2</v>
      </c>
      <c r="AB1919" s="182">
        <v>1.9920246404403485E-2</v>
      </c>
    </row>
    <row r="1920" spans="24:28" x14ac:dyDescent="0.2">
      <c r="X1920" s="186" t="str">
        <f t="shared" si="63"/>
        <v>1w</v>
      </c>
      <c r="Y1920" s="174">
        <f>_xll.qlCalendarAdvance(Calendar,Y1919,X1920,"f",FALSE)</f>
        <v>52405</v>
      </c>
      <c r="Z1920" s="198">
        <f>_xll.qlCalendarAdvance(Calendar,Y1920,NDays&amp;"D")</f>
        <v>52407</v>
      </c>
      <c r="AA1920" s="173">
        <v>2.0024856376159868E-2</v>
      </c>
      <c r="AB1920" s="182">
        <v>1.9920111656510642E-2</v>
      </c>
    </row>
    <row r="1921" spans="24:28" x14ac:dyDescent="0.2">
      <c r="X1921" s="186" t="str">
        <f t="shared" si="63"/>
        <v>1w</v>
      </c>
      <c r="Y1921" s="174">
        <f>_xll.qlCalendarAdvance(Calendar,Y1920,X1921,"f",FALSE)</f>
        <v>52412</v>
      </c>
      <c r="Z1921" s="198">
        <f>_xll.qlCalendarAdvance(Calendar,Y1921,NDays&amp;"D")</f>
        <v>52414</v>
      </c>
      <c r="AA1921" s="173">
        <v>2.0025208720752939E-2</v>
      </c>
      <c r="AB1921" s="182">
        <v>1.9920010923968334E-2</v>
      </c>
    </row>
    <row r="1922" spans="24:28" x14ac:dyDescent="0.2">
      <c r="X1922" s="186" t="str">
        <f t="shared" si="63"/>
        <v>1w</v>
      </c>
      <c r="Y1922" s="174">
        <f>_xll.qlCalendarAdvance(Calendar,Y1921,X1922,"f",FALSE)</f>
        <v>52419</v>
      </c>
      <c r="Z1922" s="198">
        <f>_xll.qlCalendarAdvance(Calendar,Y1922,NDays&amp;"D")</f>
        <v>52421</v>
      </c>
      <c r="AA1922" s="173">
        <v>2.002559543078038E-2</v>
      </c>
      <c r="AB1922" s="182">
        <v>1.9919944206696627E-2</v>
      </c>
    </row>
    <row r="1923" spans="24:28" x14ac:dyDescent="0.2">
      <c r="X1923" s="186" t="str">
        <f t="shared" si="63"/>
        <v>1w</v>
      </c>
      <c r="Y1923" s="174">
        <f>_xll.qlCalendarAdvance(Calendar,Y1922,X1923,"f",FALSE)</f>
        <v>52426</v>
      </c>
      <c r="Z1923" s="198">
        <f>_xll.qlCalendarAdvance(Calendar,Y1923,NDays&amp;"D")</f>
        <v>52428</v>
      </c>
      <c r="AA1923" s="173">
        <v>2.002601650626239E-2</v>
      </c>
      <c r="AB1923" s="182">
        <v>1.9919911504855392E-2</v>
      </c>
    </row>
    <row r="1924" spans="24:28" x14ac:dyDescent="0.2">
      <c r="X1924" s="186" t="str">
        <f t="shared" si="63"/>
        <v>1w</v>
      </c>
      <c r="Y1924" s="174">
        <f>_xll.qlCalendarAdvance(Calendar,Y1923,X1924,"f",FALSE)</f>
        <v>52433</v>
      </c>
      <c r="Z1924" s="198">
        <f>_xll.qlCalendarAdvance(Calendar,Y1924,NDays&amp;"D")</f>
        <v>52435</v>
      </c>
      <c r="AA1924" s="173">
        <v>2.0026471947220886E-2</v>
      </c>
      <c r="AB1924" s="182">
        <v>1.9919912818364693E-2</v>
      </c>
    </row>
    <row r="1925" spans="24:28" x14ac:dyDescent="0.2">
      <c r="X1925" s="186" t="str">
        <f t="shared" si="63"/>
        <v>1w</v>
      </c>
      <c r="Y1925" s="174">
        <f>_xll.qlCalendarAdvance(Calendar,Y1924,X1925,"f",FALSE)</f>
        <v>52440</v>
      </c>
      <c r="Z1925" s="198">
        <f>_xll.qlCalendarAdvance(Calendar,Y1925,NDays&amp;"D")</f>
        <v>52442</v>
      </c>
      <c r="AA1925" s="173">
        <v>2.0025156239636948E-2</v>
      </c>
      <c r="AB1925" s="182">
        <v>1.9919948147144595E-2</v>
      </c>
    </row>
    <row r="1926" spans="24:28" x14ac:dyDescent="0.2">
      <c r="X1926" s="186" t="str">
        <f t="shared" si="63"/>
        <v>1w</v>
      </c>
      <c r="Y1926" s="174">
        <f>_xll.qlCalendarAdvance(Calendar,Y1925,X1926,"f",FALSE)</f>
        <v>52447</v>
      </c>
      <c r="Z1926" s="198">
        <f>_xll.qlCalendarAdvance(Calendar,Y1926,NDays&amp;"D")</f>
        <v>52449</v>
      </c>
      <c r="AA1926" s="173">
        <v>2.002748592566618E-2</v>
      </c>
      <c r="AB1926" s="182">
        <v>1.9920017491275033E-2</v>
      </c>
    </row>
    <row r="1927" spans="24:28" x14ac:dyDescent="0.2">
      <c r="X1927" s="186" t="str">
        <f t="shared" si="63"/>
        <v>1w</v>
      </c>
      <c r="Y1927" s="174">
        <f>_xll.qlCalendarAdvance(Calendar,Y1926,X1927,"f",FALSE)</f>
        <v>52454</v>
      </c>
      <c r="Z1927" s="198">
        <f>_xll.qlCalendarAdvance(Calendar,Y1927,NDays&amp;"D")</f>
        <v>52456</v>
      </c>
      <c r="AA1927" s="173">
        <v>2.002804446320584E-2</v>
      </c>
      <c r="AB1927" s="182">
        <v>1.9920120850676071E-2</v>
      </c>
    </row>
    <row r="1928" spans="24:28" x14ac:dyDescent="0.2">
      <c r="X1928" s="186" t="str">
        <f t="shared" si="63"/>
        <v>1w</v>
      </c>
      <c r="Y1928" s="174">
        <f>_xll.qlCalendarAdvance(Calendar,Y1927,X1928,"f",FALSE)</f>
        <v>52461</v>
      </c>
      <c r="Z1928" s="198">
        <f>_xll.qlCalendarAdvance(Calendar,Y1928,NDays&amp;"D")</f>
        <v>52463</v>
      </c>
      <c r="AA1928" s="173">
        <v>2.0028637366329424E-2</v>
      </c>
      <c r="AB1928" s="182">
        <v>1.9920258225587517E-2</v>
      </c>
    </row>
    <row r="1929" spans="24:28" x14ac:dyDescent="0.2">
      <c r="X1929" s="186" t="str">
        <f t="shared" si="63"/>
        <v>1w</v>
      </c>
      <c r="Y1929" s="174">
        <f>_xll.qlCalendarAdvance(Calendar,Y1928,X1929,"f",FALSE)</f>
        <v>52468</v>
      </c>
      <c r="Z1929" s="198">
        <f>_xll.qlCalendarAdvance(Calendar,Y1929,NDays&amp;"D")</f>
        <v>52470</v>
      </c>
      <c r="AA1929" s="173">
        <v>2.0029264635067882E-2</v>
      </c>
      <c r="AB1929" s="182">
        <v>1.9920429615609692E-2</v>
      </c>
    </row>
    <row r="1930" spans="24:28" x14ac:dyDescent="0.2">
      <c r="X1930" s="186" t="str">
        <f t="shared" si="63"/>
        <v>1w</v>
      </c>
      <c r="Y1930" s="174">
        <f>_xll.qlCalendarAdvance(Calendar,Y1929,X1930,"f",FALSE)</f>
        <v>52475</v>
      </c>
      <c r="Z1930" s="198">
        <f>_xll.qlCalendarAdvance(Calendar,Y1930,NDays&amp;"D")</f>
        <v>52477</v>
      </c>
      <c r="AA1930" s="173">
        <v>2.0027469697037621E-2</v>
      </c>
      <c r="AB1930" s="182">
        <v>1.9920635021062338E-2</v>
      </c>
    </row>
    <row r="1931" spans="24:28" x14ac:dyDescent="0.2">
      <c r="X1931" s="186" t="str">
        <f t="shared" si="63"/>
        <v>1w</v>
      </c>
      <c r="Y1931" s="174">
        <f>_xll.qlCalendarAdvance(Calendar,Y1930,X1931,"f",FALSE)</f>
        <v>52482</v>
      </c>
      <c r="Z1931" s="198">
        <f>_xll.qlCalendarAdvance(Calendar,Y1931,NDays&amp;"D")</f>
        <v>52484</v>
      </c>
      <c r="AA1931" s="173">
        <v>2.0028155726408953E-2</v>
      </c>
      <c r="AB1931" s="182">
        <v>1.9920874441865521E-2</v>
      </c>
    </row>
    <row r="1932" spans="24:28" x14ac:dyDescent="0.2">
      <c r="X1932" s="186" t="str">
        <f t="shared" si="63"/>
        <v>1w</v>
      </c>
      <c r="Y1932" s="174">
        <f>_xll.qlCalendarAdvance(Calendar,Y1931,X1932,"f",FALSE)</f>
        <v>52489</v>
      </c>
      <c r="Z1932" s="198">
        <f>_xll.qlCalendarAdvance(Calendar,Y1932,NDays&amp;"D")</f>
        <v>52491</v>
      </c>
      <c r="AA1932" s="173">
        <v>2.0028876113875556E-2</v>
      </c>
      <c r="AB1932" s="182">
        <v>1.9921147877939305E-2</v>
      </c>
    </row>
    <row r="1933" spans="24:28" x14ac:dyDescent="0.2">
      <c r="X1933" s="186" t="str">
        <f t="shared" si="63"/>
        <v>1w</v>
      </c>
      <c r="Y1933" s="174">
        <f>_xll.qlCalendarAdvance(Calendar,Y1932,X1933,"f",FALSE)</f>
        <v>52496</v>
      </c>
      <c r="Z1933" s="198">
        <f>_xll.qlCalendarAdvance(Calendar,Y1933,NDays&amp;"D")</f>
        <v>52498</v>
      </c>
      <c r="AA1933" s="173">
        <v>2.0029630859473006E-2</v>
      </c>
      <c r="AB1933" s="182">
        <v>1.9921455329363624E-2</v>
      </c>
    </row>
    <row r="1934" spans="24:28" x14ac:dyDescent="0.2">
      <c r="X1934" s="186" t="str">
        <f t="shared" si="63"/>
        <v>1w</v>
      </c>
      <c r="Y1934" s="174">
        <f>_xll.qlCalendarAdvance(Calendar,Y1933,X1934,"f",FALSE)</f>
        <v>52503</v>
      </c>
      <c r="Z1934" s="198">
        <f>_xll.qlCalendarAdvance(Calendar,Y1934,NDays&amp;"D")</f>
        <v>52505</v>
      </c>
      <c r="AA1934" s="173">
        <v>2.0031043695683565E-2</v>
      </c>
      <c r="AB1934" s="182">
        <v>1.992179679613848E-2</v>
      </c>
    </row>
    <row r="1935" spans="24:28" x14ac:dyDescent="0.2">
      <c r="X1935" s="186" t="str">
        <f t="shared" si="63"/>
        <v>1w</v>
      </c>
      <c r="Y1935" s="174">
        <f>_xll.qlCalendarAdvance(Calendar,Y1934,X1935,"f",FALSE)</f>
        <v>52510</v>
      </c>
      <c r="Z1935" s="198">
        <f>_xll.qlCalendarAdvance(Calendar,Y1935,NDays&amp;"D")</f>
        <v>52512</v>
      </c>
      <c r="AA1935" s="173">
        <v>2.0031869657552083E-2</v>
      </c>
      <c r="AB1935" s="182">
        <v>1.9922172278263872E-2</v>
      </c>
    </row>
    <row r="1936" spans="24:28" x14ac:dyDescent="0.2">
      <c r="X1936" s="186" t="str">
        <f t="shared" si="63"/>
        <v>1w</v>
      </c>
      <c r="Y1936" s="174">
        <f>_xll.qlCalendarAdvance(Calendar,Y1935,X1936,"f",FALSE)</f>
        <v>52517</v>
      </c>
      <c r="Z1936" s="198">
        <f>_xll.qlCalendarAdvance(Calendar,Y1936,NDays&amp;"D")</f>
        <v>52519</v>
      </c>
      <c r="AA1936" s="173">
        <v>2.0035247540381398E-2</v>
      </c>
      <c r="AB1936" s="182">
        <v>1.9922581775659864E-2</v>
      </c>
    </row>
    <row r="1937" spans="24:28" x14ac:dyDescent="0.2">
      <c r="X1937" s="186" t="str">
        <f t="shared" si="63"/>
        <v>1w</v>
      </c>
      <c r="Y1937" s="174">
        <f>_xll.qlCalendarAdvance(Calendar,Y1936,X1937,"f",FALSE)</f>
        <v>52524</v>
      </c>
      <c r="Z1937" s="198">
        <f>_xll.qlCalendarAdvance(Calendar,Y1937,NDays&amp;"D")</f>
        <v>52526</v>
      </c>
      <c r="AA1937" s="173">
        <v>2.0033624661816404E-2</v>
      </c>
      <c r="AB1937" s="182">
        <v>1.9923025288486329E-2</v>
      </c>
    </row>
    <row r="1938" spans="24:28" x14ac:dyDescent="0.2">
      <c r="X1938" s="186" t="str">
        <f t="shared" si="63"/>
        <v>1w</v>
      </c>
      <c r="Y1938" s="174">
        <f>_xll.qlCalendarAdvance(Calendar,Y1937,X1938,"f",FALSE)</f>
        <v>52531</v>
      </c>
      <c r="Z1938" s="198">
        <f>_xll.qlCalendarAdvance(Calendar,Y1938,NDays&amp;"D")</f>
        <v>52533</v>
      </c>
      <c r="AA1938" s="173">
        <v>2.0034553704303931E-2</v>
      </c>
      <c r="AB1938" s="182">
        <v>1.9923502816583394E-2</v>
      </c>
    </row>
    <row r="1939" spans="24:28" x14ac:dyDescent="0.2">
      <c r="X1939" s="186" t="str">
        <f t="shared" si="63"/>
        <v>1w</v>
      </c>
      <c r="Y1939" s="174">
        <f>_xll.qlCalendarAdvance(Calendar,Y1938,X1939,"f",FALSE)</f>
        <v>52538</v>
      </c>
      <c r="Z1939" s="198">
        <f>_xll.qlCalendarAdvance(Calendar,Y1939,NDays&amp;"D")</f>
        <v>52540</v>
      </c>
      <c r="AA1939" s="173">
        <v>2.0034880856123604E-2</v>
      </c>
      <c r="AB1939" s="182">
        <v>1.9924014359951059E-2</v>
      </c>
    </row>
    <row r="1940" spans="24:28" x14ac:dyDescent="0.2">
      <c r="X1940" s="186" t="str">
        <f t="shared" si="63"/>
        <v>1w</v>
      </c>
      <c r="Y1940" s="174">
        <f>_xll.qlCalendarAdvance(Calendar,Y1939,X1940,"f",FALSE)</f>
        <v>52545</v>
      </c>
      <c r="Z1940" s="198">
        <f>_xll.qlCalendarAdvance(Calendar,Y1940,NDays&amp;"D")</f>
        <v>52547</v>
      </c>
      <c r="AA1940" s="173">
        <v>2.0035876109831624E-2</v>
      </c>
      <c r="AB1940" s="182">
        <v>1.9924559918749196E-2</v>
      </c>
    </row>
    <row r="1941" spans="24:28" x14ac:dyDescent="0.2">
      <c r="X1941" s="186" t="str">
        <f t="shared" ref="X1941:X2004" si="64">X1940</f>
        <v>1w</v>
      </c>
      <c r="Y1941" s="174">
        <f>_xll.qlCalendarAdvance(Calendar,Y1940,X1941,"f",FALSE)</f>
        <v>52552</v>
      </c>
      <c r="Z1941" s="198">
        <f>_xll.qlCalendarAdvance(Calendar,Y1941,NDays&amp;"D")</f>
        <v>52554</v>
      </c>
      <c r="AA1941" s="173">
        <v>2.0036905722031519E-2</v>
      </c>
      <c r="AB1941" s="182">
        <v>1.992513949289787E-2</v>
      </c>
    </row>
    <row r="1942" spans="24:28" x14ac:dyDescent="0.2">
      <c r="X1942" s="186" t="str">
        <f t="shared" si="64"/>
        <v>1w</v>
      </c>
      <c r="Y1942" s="174">
        <f>_xll.qlCalendarAdvance(Calendar,Y1941,X1942,"f",FALSE)</f>
        <v>52559</v>
      </c>
      <c r="Z1942" s="198">
        <f>_xll.qlCalendarAdvance(Calendar,Y1942,NDays&amp;"D")</f>
        <v>52561</v>
      </c>
      <c r="AA1942" s="173">
        <v>2.003796969277731E-2</v>
      </c>
      <c r="AB1942" s="182">
        <v>1.9925753082237208E-2</v>
      </c>
    </row>
    <row r="1943" spans="24:28" x14ac:dyDescent="0.2">
      <c r="X1943" s="186" t="str">
        <f t="shared" si="64"/>
        <v>1w</v>
      </c>
      <c r="Y1943" s="174">
        <f>_xll.qlCalendarAdvance(Calendar,Y1942,X1943,"f",FALSE)</f>
        <v>52566</v>
      </c>
      <c r="Z1943" s="198">
        <f>_xll.qlCalendarAdvance(Calendar,Y1943,NDays&amp;"D")</f>
        <v>52568</v>
      </c>
      <c r="AA1943" s="173">
        <v>2.0039714322270991E-2</v>
      </c>
      <c r="AB1943" s="182">
        <v>1.9926400687086954E-2</v>
      </c>
    </row>
    <row r="1944" spans="24:28" x14ac:dyDescent="0.2">
      <c r="X1944" s="186" t="str">
        <f t="shared" si="64"/>
        <v>1w</v>
      </c>
      <c r="Y1944" s="174">
        <f>_xll.qlCalendarAdvance(Calendar,Y1943,X1944,"f",FALSE)</f>
        <v>52573</v>
      </c>
      <c r="Z1944" s="198">
        <f>_xll.qlCalendarAdvance(Calendar,Y1944,NDays&amp;"D")</f>
        <v>52575</v>
      </c>
      <c r="AA1944" s="173">
        <v>2.0040849527344976E-2</v>
      </c>
      <c r="AB1944" s="182">
        <v>1.9927082307127364E-2</v>
      </c>
    </row>
    <row r="1945" spans="24:28" x14ac:dyDescent="0.2">
      <c r="X1945" s="186" t="str">
        <f t="shared" si="64"/>
        <v>1w</v>
      </c>
      <c r="Y1945" s="174">
        <f>_xll.qlCalendarAdvance(Calendar,Y1944,X1945,"f",FALSE)</f>
        <v>52580</v>
      </c>
      <c r="Z1945" s="198">
        <f>_xll.qlCalendarAdvance(Calendar,Y1945,NDays&amp;"D")</f>
        <v>52582</v>
      </c>
      <c r="AA1945" s="173">
        <v>2.0042019093046096E-2</v>
      </c>
      <c r="AB1945" s="182">
        <v>1.9927797942598247E-2</v>
      </c>
    </row>
    <row r="1946" spans="24:28" x14ac:dyDescent="0.2">
      <c r="X1946" s="186" t="str">
        <f t="shared" si="64"/>
        <v>1w</v>
      </c>
      <c r="Y1946" s="174">
        <f>_xll.qlCalendarAdvance(Calendar,Y1945,X1946,"f",FALSE)</f>
        <v>52587</v>
      </c>
      <c r="Z1946" s="198">
        <f>_xll.qlCalendarAdvance(Calendar,Y1946,NDays&amp;"D")</f>
        <v>52589</v>
      </c>
      <c r="AA1946" s="173">
        <v>2.0043223019434623E-2</v>
      </c>
      <c r="AB1946" s="182">
        <v>1.9930367959857254E-2</v>
      </c>
    </row>
    <row r="1947" spans="24:28" x14ac:dyDescent="0.2">
      <c r="X1947" s="186" t="str">
        <f t="shared" si="64"/>
        <v>1w</v>
      </c>
      <c r="Y1947" s="174">
        <f>_xll.qlCalendarAdvance(Calendar,Y1946,X1947,"f",FALSE)</f>
        <v>52594</v>
      </c>
      <c r="Z1947" s="198">
        <f>_xll.qlCalendarAdvance(Calendar,Y1947,NDays&amp;"D")</f>
        <v>52596</v>
      </c>
      <c r="AA1947" s="173">
        <v>2.0043804926675585E-2</v>
      </c>
      <c r="AB1947" s="182">
        <v>1.9931159046313596E-2</v>
      </c>
    </row>
    <row r="1948" spans="24:28" x14ac:dyDescent="0.2">
      <c r="X1948" s="186" t="str">
        <f t="shared" si="64"/>
        <v>1w</v>
      </c>
      <c r="Y1948" s="174">
        <f>_xll.qlCalendarAdvance(Calendar,Y1947,X1948,"f",FALSE)</f>
        <v>52601</v>
      </c>
      <c r="Z1948" s="198">
        <f>_xll.qlCalendarAdvance(Calendar,Y1948,NDays&amp;"D")</f>
        <v>52603</v>
      </c>
      <c r="AA1948" s="173">
        <v>2.0045075049910745E-2</v>
      </c>
      <c r="AB1948" s="182">
        <v>1.9930148940794368E-2</v>
      </c>
    </row>
    <row r="1949" spans="24:28" x14ac:dyDescent="0.2">
      <c r="X1949" s="186" t="str">
        <f t="shared" si="64"/>
        <v>1w</v>
      </c>
      <c r="Y1949" s="174">
        <f>_xll.qlCalendarAdvance(Calendar,Y1948,X1949,"f",FALSE)</f>
        <v>52608</v>
      </c>
      <c r="Z1949" s="198">
        <f>_xll.qlCalendarAdvance(Calendar,Y1949,NDays&amp;"D")</f>
        <v>52610</v>
      </c>
      <c r="AA1949" s="173">
        <v>2.0046379532112562E-2</v>
      </c>
      <c r="AB1949" s="182">
        <v>1.9931000637587459E-2</v>
      </c>
    </row>
    <row r="1950" spans="24:28" x14ac:dyDescent="0.2">
      <c r="X1950" s="186" t="str">
        <f t="shared" si="64"/>
        <v>1w</v>
      </c>
      <c r="Y1950" s="174">
        <f>_xll.qlCalendarAdvance(Calendar,Y1949,X1950,"f",FALSE)</f>
        <v>52615</v>
      </c>
      <c r="Z1950" s="198">
        <f>_xll.qlCalendarAdvance(Calendar,Y1950,NDays&amp;"D")</f>
        <v>52617</v>
      </c>
      <c r="AA1950" s="173">
        <v>2.0047718373349118E-2</v>
      </c>
      <c r="AB1950" s="182">
        <v>1.9931886349651151E-2</v>
      </c>
    </row>
    <row r="1951" spans="24:28" x14ac:dyDescent="0.2">
      <c r="X1951" s="186" t="str">
        <f t="shared" si="64"/>
        <v>1w</v>
      </c>
      <c r="Y1951" s="174">
        <f>_xll.qlCalendarAdvance(Calendar,Y1950,X1951,"f",FALSE)</f>
        <v>52622</v>
      </c>
      <c r="Z1951" s="198">
        <f>_xll.qlCalendarAdvance(Calendar,Y1951,NDays&amp;"D")</f>
        <v>52624</v>
      </c>
      <c r="AA1951" s="173">
        <v>2.0049091573689372E-2</v>
      </c>
      <c r="AB1951" s="182">
        <v>1.9932806077065379E-2</v>
      </c>
    </row>
    <row r="1952" spans="24:28" x14ac:dyDescent="0.2">
      <c r="X1952" s="186" t="str">
        <f t="shared" si="64"/>
        <v>1w</v>
      </c>
      <c r="Y1952" s="174">
        <f>_xll.qlCalendarAdvance(Calendar,Y1951,X1952,"f",FALSE)</f>
        <v>52629</v>
      </c>
      <c r="Z1952" s="198">
        <f>_xll.qlCalendarAdvance(Calendar,Y1952,NDays&amp;"D")</f>
        <v>52631</v>
      </c>
      <c r="AA1952" s="173">
        <v>2.0050499133204027E-2</v>
      </c>
      <c r="AB1952" s="182">
        <v>1.9933759819830144E-2</v>
      </c>
    </row>
    <row r="1953" spans="24:28" x14ac:dyDescent="0.2">
      <c r="X1953" s="186" t="str">
        <f t="shared" si="64"/>
        <v>1w</v>
      </c>
      <c r="Y1953" s="174">
        <f>_xll.qlCalendarAdvance(Calendar,Y1952,X1953,"f",FALSE)</f>
        <v>52636</v>
      </c>
      <c r="Z1953" s="198">
        <f>_xll.qlCalendarAdvance(Calendar,Y1953,NDays&amp;"D")</f>
        <v>52638</v>
      </c>
      <c r="AA1953" s="173">
        <v>2.0051941051965123E-2</v>
      </c>
      <c r="AB1953" s="182">
        <v>1.9934747577945444E-2</v>
      </c>
    </row>
    <row r="1954" spans="24:28" x14ac:dyDescent="0.2">
      <c r="X1954" s="186" t="str">
        <f t="shared" si="64"/>
        <v>1w</v>
      </c>
      <c r="Y1954" s="174">
        <f>_xll.qlCalendarAdvance(Calendar,Y1953,X1954,"f",FALSE)</f>
        <v>52643</v>
      </c>
      <c r="Z1954" s="198">
        <f>_xll.qlCalendarAdvance(Calendar,Y1954,NDays&amp;"D")</f>
        <v>52645</v>
      </c>
      <c r="AA1954" s="173">
        <v>2.005341733004776E-2</v>
      </c>
      <c r="AB1954" s="182">
        <v>1.9935769351411281E-2</v>
      </c>
    </row>
    <row r="1955" spans="24:28" x14ac:dyDescent="0.2">
      <c r="X1955" s="186" t="str">
        <f t="shared" si="64"/>
        <v>1w</v>
      </c>
      <c r="Y1955" s="174">
        <f>_xll.qlCalendarAdvance(Calendar,Y1954,X1955,"f",FALSE)</f>
        <v>52650</v>
      </c>
      <c r="Z1955" s="198">
        <f>_xll.qlCalendarAdvance(Calendar,Y1955,NDays&amp;"D")</f>
        <v>52652</v>
      </c>
      <c r="AA1955" s="173">
        <v>2.0054927967527919E-2</v>
      </c>
      <c r="AB1955" s="182">
        <v>1.9936825140147718E-2</v>
      </c>
    </row>
    <row r="1956" spans="24:28" x14ac:dyDescent="0.2">
      <c r="X1956" s="186" t="str">
        <f t="shared" si="64"/>
        <v>1w</v>
      </c>
      <c r="Y1956" s="174">
        <f>_xll.qlCalendarAdvance(Calendar,Y1955,X1956,"f",FALSE)</f>
        <v>52657</v>
      </c>
      <c r="Z1956" s="198">
        <f>_xll.qlCalendarAdvance(Calendar,Y1956,NDays&amp;"D")</f>
        <v>52659</v>
      </c>
      <c r="AA1956" s="173">
        <v>2.005919125728264E-2</v>
      </c>
      <c r="AB1956" s="182">
        <v>1.9937914944234691E-2</v>
      </c>
    </row>
    <row r="1957" spans="24:28" x14ac:dyDescent="0.2">
      <c r="X1957" s="186" t="str">
        <f t="shared" si="64"/>
        <v>1w</v>
      </c>
      <c r="Y1957" s="174">
        <f>_xll.qlCalendarAdvance(Calendar,Y1956,X1957,"f",FALSE)</f>
        <v>52664</v>
      </c>
      <c r="Z1957" s="198">
        <f>_xll.qlCalendarAdvance(Calendar,Y1957,NDays&amp;"D")</f>
        <v>52666</v>
      </c>
      <c r="AA1957" s="173">
        <v>2.0060780783283785E-2</v>
      </c>
      <c r="AB1957" s="182">
        <v>1.9939038763672201E-2</v>
      </c>
    </row>
    <row r="1958" spans="24:28" x14ac:dyDescent="0.2">
      <c r="X1958" s="186" t="str">
        <f t="shared" si="64"/>
        <v>1w</v>
      </c>
      <c r="Y1958" s="174">
        <f>_xll.qlCalendarAdvance(Calendar,Y1957,X1958,"f",FALSE)</f>
        <v>52671</v>
      </c>
      <c r="Z1958" s="198">
        <f>_xll.qlCalendarAdvance(Calendar,Y1958,NDays&amp;"D")</f>
        <v>52673</v>
      </c>
      <c r="AA1958" s="173">
        <v>2.0062404676593499E-2</v>
      </c>
      <c r="AB1958" s="182">
        <v>1.9940196598380311E-2</v>
      </c>
    </row>
    <row r="1959" spans="24:28" x14ac:dyDescent="0.2">
      <c r="X1959" s="186" t="str">
        <f t="shared" si="64"/>
        <v>1w</v>
      </c>
      <c r="Y1959" s="174">
        <f>_xll.qlCalendarAdvance(Calendar,Y1958,X1959,"f",FALSE)</f>
        <v>52678</v>
      </c>
      <c r="Z1959" s="198">
        <f>_xll.qlCalendarAdvance(Calendar,Y1959,NDays&amp;"D")</f>
        <v>52680</v>
      </c>
      <c r="AA1959" s="173">
        <v>2.0064062937299024E-2</v>
      </c>
      <c r="AB1959" s="182">
        <v>1.9941388448598829E-2</v>
      </c>
    </row>
    <row r="1960" spans="24:28" x14ac:dyDescent="0.2">
      <c r="X1960" s="186" t="str">
        <f t="shared" si="64"/>
        <v>1w</v>
      </c>
      <c r="Y1960" s="174">
        <f>_xll.qlCalendarAdvance(Calendar,Y1959,X1960,"f",FALSE)</f>
        <v>52685</v>
      </c>
      <c r="Z1960" s="198">
        <f>_xll.qlCalendarAdvance(Calendar,Y1960,NDays&amp;"D")</f>
        <v>52687</v>
      </c>
      <c r="AA1960" s="173">
        <v>2.0063685899285092E-2</v>
      </c>
      <c r="AB1960" s="182">
        <v>1.9942614314008011E-2</v>
      </c>
    </row>
    <row r="1961" spans="24:28" x14ac:dyDescent="0.2">
      <c r="X1961" s="186" t="str">
        <f t="shared" si="64"/>
        <v>1w</v>
      </c>
      <c r="Y1961" s="174">
        <f>_xll.qlCalendarAdvance(Calendar,Y1960,X1961,"f",FALSE)</f>
        <v>52692</v>
      </c>
      <c r="Z1961" s="198">
        <f>_xll.qlCalendarAdvance(Calendar,Y1961,NDays&amp;"D")</f>
        <v>52694</v>
      </c>
      <c r="AA1961" s="173">
        <v>2.0065405244478963E-2</v>
      </c>
      <c r="AB1961" s="182">
        <v>1.994387419476773E-2</v>
      </c>
    </row>
    <row r="1962" spans="24:28" x14ac:dyDescent="0.2">
      <c r="X1962" s="186" t="str">
        <f t="shared" si="64"/>
        <v>1w</v>
      </c>
      <c r="Y1962" s="174">
        <f>_xll.qlCalendarAdvance(Calendar,Y1961,X1962,"f",FALSE)</f>
        <v>52699</v>
      </c>
      <c r="Z1962" s="198">
        <f>_xll.qlCalendarAdvance(Calendar,Y1962,NDays&amp;"D")</f>
        <v>52701</v>
      </c>
      <c r="AA1962" s="173">
        <v>2.0067158951573259E-2</v>
      </c>
      <c r="AB1962" s="182">
        <v>1.9947754977406973E-2</v>
      </c>
    </row>
    <row r="1963" spans="24:28" x14ac:dyDescent="0.2">
      <c r="X1963" s="186" t="str">
        <f t="shared" si="64"/>
        <v>1w</v>
      </c>
      <c r="Y1963" s="174">
        <f>_xll.qlCalendarAdvance(Calendar,Y1962,X1963,"f",FALSE)</f>
        <v>52706</v>
      </c>
      <c r="Z1963" s="198">
        <f>_xll.qlCalendarAdvance(Calendar,Y1963,NDays&amp;"D")</f>
        <v>52708</v>
      </c>
      <c r="AA1963" s="173">
        <v>2.0068947020660151E-2</v>
      </c>
      <c r="AB1963" s="182">
        <v>1.9946496002498648E-2</v>
      </c>
    </row>
    <row r="1964" spans="24:28" x14ac:dyDescent="0.2">
      <c r="X1964" s="186" t="str">
        <f t="shared" si="64"/>
        <v>1w</v>
      </c>
      <c r="Y1964" s="174">
        <f>_xll.qlCalendarAdvance(Calendar,Y1963,X1964,"f",FALSE)</f>
        <v>52713</v>
      </c>
      <c r="Z1964" s="198">
        <f>_xll.qlCalendarAdvance(Calendar,Y1964,NDays&amp;"D")</f>
        <v>52715</v>
      </c>
      <c r="AA1964" s="173">
        <v>2.0070769451830495E-2</v>
      </c>
      <c r="AB1964" s="182">
        <v>1.994785792923004E-2</v>
      </c>
    </row>
    <row r="1965" spans="24:28" x14ac:dyDescent="0.2">
      <c r="X1965" s="186" t="str">
        <f t="shared" si="64"/>
        <v>1w</v>
      </c>
      <c r="Y1965" s="174">
        <f>_xll.qlCalendarAdvance(Calendar,Y1964,X1965,"f",FALSE)</f>
        <v>52720</v>
      </c>
      <c r="Z1965" s="198">
        <f>_xll.qlCalendarAdvance(Calendar,Y1965,NDays&amp;"D")</f>
        <v>52722</v>
      </c>
      <c r="AA1965" s="173">
        <v>2.0074734193133274E-2</v>
      </c>
      <c r="AB1965" s="182">
        <v>1.9949253871391903E-2</v>
      </c>
    </row>
    <row r="1966" spans="24:28" x14ac:dyDescent="0.2">
      <c r="X1966" s="186" t="str">
        <f t="shared" si="64"/>
        <v>1w</v>
      </c>
      <c r="Y1966" s="174">
        <f>_xll.qlCalendarAdvance(Calendar,Y1965,X1966,"f",FALSE)</f>
        <v>52727</v>
      </c>
      <c r="Z1966" s="198">
        <f>_xll.qlCalendarAdvance(Calendar,Y1966,NDays&amp;"D")</f>
        <v>52729</v>
      </c>
      <c r="AA1966" s="173">
        <v>2.0076632459631674E-2</v>
      </c>
      <c r="AB1966" s="182">
        <v>1.9950683828744431E-2</v>
      </c>
    </row>
    <row r="1967" spans="24:28" x14ac:dyDescent="0.2">
      <c r="X1967" s="186" t="str">
        <f t="shared" si="64"/>
        <v>1w</v>
      </c>
      <c r="Y1967" s="174">
        <f>_xll.qlCalendarAdvance(Calendar,Y1966,X1967,"f",FALSE)</f>
        <v>52734</v>
      </c>
      <c r="Z1967" s="198">
        <f>_xll.qlCalendarAdvance(Calendar,Y1967,NDays&amp;"D")</f>
        <v>52736</v>
      </c>
      <c r="AA1967" s="173">
        <v>2.0078563643130379E-2</v>
      </c>
      <c r="AB1967" s="182">
        <v>1.9952147801607367E-2</v>
      </c>
    </row>
    <row r="1968" spans="24:28" x14ac:dyDescent="0.2">
      <c r="X1968" s="186" t="str">
        <f t="shared" si="64"/>
        <v>1w</v>
      </c>
      <c r="Y1968" s="174">
        <f>_xll.qlCalendarAdvance(Calendar,Y1967,X1968,"f",FALSE)</f>
        <v>52741</v>
      </c>
      <c r="Z1968" s="198">
        <f>_xll.qlCalendarAdvance(Calendar,Y1968,NDays&amp;"D")</f>
        <v>52743</v>
      </c>
      <c r="AA1968" s="173">
        <v>2.008052682027037E-2</v>
      </c>
      <c r="AB1968" s="182">
        <v>1.9953645789740904E-2</v>
      </c>
    </row>
    <row r="1969" spans="24:28" x14ac:dyDescent="0.2">
      <c r="X1969" s="186" t="str">
        <f t="shared" si="64"/>
        <v>1w</v>
      </c>
      <c r="Y1969" s="174">
        <f>_xll.qlCalendarAdvance(Calendar,Y1968,X1969,"f",FALSE)</f>
        <v>52748</v>
      </c>
      <c r="Z1969" s="198">
        <f>_xll.qlCalendarAdvance(Calendar,Y1969,NDays&amp;"D")</f>
        <v>52750</v>
      </c>
      <c r="AA1969" s="173">
        <v>2.0080385921034827E-2</v>
      </c>
      <c r="AB1969" s="182">
        <v>1.9955177793304912E-2</v>
      </c>
    </row>
    <row r="1970" spans="24:28" x14ac:dyDescent="0.2">
      <c r="X1970" s="186" t="str">
        <f t="shared" si="64"/>
        <v>1w</v>
      </c>
      <c r="Y1970" s="174">
        <f>_xll.qlCalendarAdvance(Calendar,Y1969,X1970,"f",FALSE)</f>
        <v>52755</v>
      </c>
      <c r="Z1970" s="198">
        <f>_xll.qlCalendarAdvance(Calendar,Y1970,NDays&amp;"D")</f>
        <v>52757</v>
      </c>
      <c r="AA1970" s="173">
        <v>2.0082404373077276E-2</v>
      </c>
      <c r="AB1970" s="182">
        <v>1.9956743812139521E-2</v>
      </c>
    </row>
    <row r="1971" spans="24:28" x14ac:dyDescent="0.2">
      <c r="X1971" s="186" t="str">
        <f t="shared" si="64"/>
        <v>1w</v>
      </c>
      <c r="Y1971" s="174">
        <f>_xll.qlCalendarAdvance(Calendar,Y1970,X1971,"f",FALSE)</f>
        <v>52762</v>
      </c>
      <c r="Z1971" s="198">
        <f>_xll.qlCalendarAdvance(Calendar,Y1971,NDays&amp;"D")</f>
        <v>52764</v>
      </c>
      <c r="AA1971" s="173">
        <v>2.0084452361610571E-2</v>
      </c>
      <c r="AB1971" s="182">
        <v>1.995834384624473E-2</v>
      </c>
    </row>
    <row r="1972" spans="24:28" x14ac:dyDescent="0.2">
      <c r="X1972" s="186" t="str">
        <f t="shared" si="64"/>
        <v>1w</v>
      </c>
      <c r="Y1972" s="174">
        <f>_xll.qlCalendarAdvance(Calendar,Y1971,X1972,"f",FALSE)</f>
        <v>52769</v>
      </c>
      <c r="Z1972" s="198">
        <f>_xll.qlCalendarAdvance(Calendar,Y1972,NDays&amp;"D")</f>
        <v>52771</v>
      </c>
      <c r="AA1972" s="173">
        <v>2.0086528948286737E-2</v>
      </c>
      <c r="AB1972" s="182">
        <v>1.9959977895780412E-2</v>
      </c>
    </row>
    <row r="1973" spans="24:28" x14ac:dyDescent="0.2">
      <c r="X1973" s="186" t="str">
        <f t="shared" si="64"/>
        <v>1w</v>
      </c>
      <c r="Y1973" s="174">
        <f>_xll.qlCalendarAdvance(Calendar,Y1972,X1973,"f",FALSE)</f>
        <v>52776</v>
      </c>
      <c r="Z1973" s="198">
        <f>_xll.qlCalendarAdvance(Calendar,Y1973,NDays&amp;"D")</f>
        <v>52778</v>
      </c>
      <c r="AA1973" s="173">
        <v>2.0088633194748622E-2</v>
      </c>
      <c r="AB1973" s="182">
        <v>1.9961645960746566E-2</v>
      </c>
    </row>
    <row r="1974" spans="24:28" x14ac:dyDescent="0.2">
      <c r="X1974" s="186" t="str">
        <f t="shared" si="64"/>
        <v>1w</v>
      </c>
      <c r="Y1974" s="174">
        <f>_xll.qlCalendarAdvance(Calendar,Y1973,X1974,"f",FALSE)</f>
        <v>52783</v>
      </c>
      <c r="Z1974" s="198">
        <f>_xll.qlCalendarAdvance(Calendar,Y1974,NDays&amp;"D")</f>
        <v>52785</v>
      </c>
      <c r="AA1974" s="173">
        <v>2.009292604118618E-2</v>
      </c>
      <c r="AB1974" s="182">
        <v>1.9963348040823448E-2</v>
      </c>
    </row>
    <row r="1975" spans="24:28" x14ac:dyDescent="0.2">
      <c r="X1975" s="186" t="str">
        <f t="shared" si="64"/>
        <v>1w</v>
      </c>
      <c r="Y1975" s="174">
        <f>_xll.qlCalendarAdvance(Calendar,Y1974,X1975,"f",FALSE)</f>
        <v>52790</v>
      </c>
      <c r="Z1975" s="198">
        <f>_xll.qlCalendarAdvance(Calendar,Y1975,NDays&amp;"D")</f>
        <v>52792</v>
      </c>
      <c r="AA1975" s="173">
        <v>2.0095087319569108E-2</v>
      </c>
      <c r="AB1975" s="182">
        <v>1.9965084136410738E-2</v>
      </c>
    </row>
    <row r="1976" spans="24:28" x14ac:dyDescent="0.2">
      <c r="X1976" s="186" t="str">
        <f t="shared" si="64"/>
        <v>1w</v>
      </c>
      <c r="Y1976" s="174">
        <f>_xll.qlCalendarAdvance(Calendar,Y1975,X1976,"f",FALSE)</f>
        <v>52797</v>
      </c>
      <c r="Z1976" s="198">
        <f>_xll.qlCalendarAdvance(Calendar,Y1976,NDays&amp;"D")</f>
        <v>52799</v>
      </c>
      <c r="AA1976" s="173">
        <v>2.0097273204633032E-2</v>
      </c>
      <c r="AB1976" s="182">
        <v>1.9966854247348564E-2</v>
      </c>
    </row>
    <row r="1977" spans="24:28" x14ac:dyDescent="0.2">
      <c r="X1977" s="186" t="str">
        <f t="shared" si="64"/>
        <v>1w</v>
      </c>
      <c r="Y1977" s="174">
        <f>_xll.qlCalendarAdvance(Calendar,Y1976,X1977,"f",FALSE)</f>
        <v>52804</v>
      </c>
      <c r="Z1977" s="198">
        <f>_xll.qlCalendarAdvance(Calendar,Y1977,NDays&amp;"D")</f>
        <v>52806</v>
      </c>
      <c r="AA1977" s="173">
        <v>2.0099482772996578E-2</v>
      </c>
      <c r="AB1977" s="182">
        <v>1.9968658373556991E-2</v>
      </c>
    </row>
    <row r="1978" spans="24:28" x14ac:dyDescent="0.2">
      <c r="X1978" s="186" t="str">
        <f t="shared" si="64"/>
        <v>1w</v>
      </c>
      <c r="Y1978" s="174">
        <f>_xll.qlCalendarAdvance(Calendar,Y1977,X1978,"f",FALSE)</f>
        <v>52811</v>
      </c>
      <c r="Z1978" s="198">
        <f>_xll.qlCalendarAdvance(Calendar,Y1978,NDays&amp;"D")</f>
        <v>52813</v>
      </c>
      <c r="AA1978" s="173">
        <v>2.0101715101273215E-2</v>
      </c>
      <c r="AB1978" s="182">
        <v>1.9970496515036018E-2</v>
      </c>
    </row>
    <row r="1979" spans="24:28" x14ac:dyDescent="0.2">
      <c r="X1979" s="186" t="str">
        <f t="shared" si="64"/>
        <v>1w</v>
      </c>
      <c r="Y1979" s="174">
        <f>_xll.qlCalendarAdvance(Calendar,Y1978,X1979,"f",FALSE)</f>
        <v>52818</v>
      </c>
      <c r="Z1979" s="198">
        <f>_xll.qlCalendarAdvance(Calendar,Y1979,NDays&amp;"D")</f>
        <v>52820</v>
      </c>
      <c r="AA1979" s="173">
        <v>2.0103969266073413E-2</v>
      </c>
      <c r="AB1979" s="182">
        <v>1.9972368672025453E-2</v>
      </c>
    </row>
    <row r="1980" spans="24:28" x14ac:dyDescent="0.2">
      <c r="X1980" s="186" t="str">
        <f t="shared" si="64"/>
        <v>1w</v>
      </c>
      <c r="Y1980" s="174">
        <f>_xll.qlCalendarAdvance(Calendar,Y1979,X1980,"f",FALSE)</f>
        <v>52825</v>
      </c>
      <c r="Z1980" s="198">
        <f>_xll.qlCalendarAdvance(Calendar,Y1980,NDays&amp;"D")</f>
        <v>52827</v>
      </c>
      <c r="AA1980" s="173">
        <v>2.0106244344004189E-2</v>
      </c>
      <c r="AB1980" s="182">
        <v>1.9974274844365425E-2</v>
      </c>
    </row>
    <row r="1981" spans="24:28" x14ac:dyDescent="0.2">
      <c r="X1981" s="186" t="str">
        <f t="shared" si="64"/>
        <v>1w</v>
      </c>
      <c r="Y1981" s="174">
        <f>_xll.qlCalendarAdvance(Calendar,Y1980,X1981,"f",FALSE)</f>
        <v>52832</v>
      </c>
      <c r="Z1981" s="198">
        <f>_xll.qlCalendarAdvance(Calendar,Y1981,NDays&amp;"D")</f>
        <v>52834</v>
      </c>
      <c r="AA1981" s="173">
        <v>2.0108539411669138E-2</v>
      </c>
      <c r="AB1981" s="182">
        <v>1.9976215031975997E-2</v>
      </c>
    </row>
    <row r="1982" spans="24:28" x14ac:dyDescent="0.2">
      <c r="X1982" s="186" t="str">
        <f t="shared" si="64"/>
        <v>1w</v>
      </c>
      <c r="Y1982" s="174">
        <f>_xll.qlCalendarAdvance(Calendar,Y1981,X1982,"f",FALSE)</f>
        <v>52839</v>
      </c>
      <c r="Z1982" s="198">
        <f>_xll.qlCalendarAdvance(Calendar,Y1982,NDays&amp;"D")</f>
        <v>52841</v>
      </c>
      <c r="AA1982" s="173">
        <v>2.0107200325657108E-2</v>
      </c>
      <c r="AB1982" s="182">
        <v>1.9978189234857169E-2</v>
      </c>
    </row>
    <row r="1983" spans="24:28" x14ac:dyDescent="0.2">
      <c r="X1983" s="186" t="str">
        <f t="shared" si="64"/>
        <v>1w</v>
      </c>
      <c r="Y1983" s="174">
        <f>_xll.qlCalendarAdvance(Calendar,Y1982,X1983,"f",FALSE)</f>
        <v>52846</v>
      </c>
      <c r="Z1983" s="198">
        <f>_xll.qlCalendarAdvance(Calendar,Y1983,NDays&amp;"D")</f>
        <v>52848</v>
      </c>
      <c r="AA1983" s="173">
        <v>2.0109527521836517E-2</v>
      </c>
      <c r="AB1983" s="182">
        <v>1.9980197453328685E-2</v>
      </c>
    </row>
    <row r="1984" spans="24:28" x14ac:dyDescent="0.2">
      <c r="X1984" s="186" t="str">
        <f t="shared" si="64"/>
        <v>1w</v>
      </c>
      <c r="Y1984" s="174">
        <f>_xll.qlCalendarAdvance(Calendar,Y1983,X1984,"f",FALSE)</f>
        <v>52853</v>
      </c>
      <c r="Z1984" s="198">
        <f>_xll.qlCalendarAdvance(Calendar,Y1984,NDays&amp;"D")</f>
        <v>52855</v>
      </c>
      <c r="AA1984" s="173">
        <v>2.0111872136684424E-2</v>
      </c>
      <c r="AB1984" s="182">
        <v>1.998223968691093E-2</v>
      </c>
    </row>
    <row r="1985" spans="24:28" x14ac:dyDescent="0.2">
      <c r="X1985" s="186" t="str">
        <f t="shared" si="64"/>
        <v>1w</v>
      </c>
      <c r="Y1985" s="174">
        <f>_xll.qlCalendarAdvance(Calendar,Y1984,X1985,"f",FALSE)</f>
        <v>52860</v>
      </c>
      <c r="Z1985" s="198">
        <f>_xll.qlCalendarAdvance(Calendar,Y1985,NDays&amp;"D")</f>
        <v>52862</v>
      </c>
      <c r="AA1985" s="173">
        <v>2.0114233221542658E-2</v>
      </c>
      <c r="AB1985" s="182">
        <v>1.9984315935923647E-2</v>
      </c>
    </row>
    <row r="1986" spans="24:28" x14ac:dyDescent="0.2">
      <c r="X1986" s="186" t="str">
        <f t="shared" si="64"/>
        <v>1w</v>
      </c>
      <c r="Y1986" s="174">
        <f>_xll.qlCalendarAdvance(Calendar,Y1985,X1986,"f",FALSE)</f>
        <v>52867</v>
      </c>
      <c r="Z1986" s="198">
        <f>_xll.qlCalendarAdvance(Calendar,Y1986,NDays&amp;"D")</f>
        <v>52869</v>
      </c>
      <c r="AA1986" s="173">
        <v>2.0116609827747753E-2</v>
      </c>
      <c r="AB1986" s="182">
        <v>1.9986426200366836E-2</v>
      </c>
    </row>
    <row r="1987" spans="24:28" x14ac:dyDescent="0.2">
      <c r="X1987" s="186" t="str">
        <f t="shared" si="64"/>
        <v>1w</v>
      </c>
      <c r="Y1987" s="174">
        <f>_xll.qlCalendarAdvance(Calendar,Y1986,X1987,"f",FALSE)</f>
        <v>52874</v>
      </c>
      <c r="Z1987" s="198">
        <f>_xll.qlCalendarAdvance(Calendar,Y1987,NDays&amp;"D")</f>
        <v>52876</v>
      </c>
      <c r="AA1987" s="173">
        <v>2.011973616815111E-2</v>
      </c>
      <c r="AB1987" s="182">
        <v>1.9988570479920753E-2</v>
      </c>
    </row>
    <row r="1988" spans="24:28" x14ac:dyDescent="0.2">
      <c r="X1988" s="186" t="str">
        <f t="shared" si="64"/>
        <v>1w</v>
      </c>
      <c r="Y1988" s="174">
        <f>_xll.qlCalendarAdvance(Calendar,Y1987,X1988,"f",FALSE)</f>
        <v>52881</v>
      </c>
      <c r="Z1988" s="198">
        <f>_xll.qlCalendarAdvance(Calendar,Y1988,NDays&amp;"D")</f>
        <v>52883</v>
      </c>
      <c r="AA1988" s="173">
        <v>2.0122141839048324E-2</v>
      </c>
      <c r="AB1988" s="182">
        <v>1.9990748775065015E-2</v>
      </c>
    </row>
    <row r="1989" spans="24:28" x14ac:dyDescent="0.2">
      <c r="X1989" s="186" t="str">
        <f t="shared" si="64"/>
        <v>1w</v>
      </c>
      <c r="Y1989" s="174">
        <f>_xll.qlCalendarAdvance(Calendar,Y1988,X1989,"f",FALSE)</f>
        <v>52888</v>
      </c>
      <c r="Z1989" s="198">
        <f>_xll.qlCalendarAdvance(Calendar,Y1989,NDays&amp;"D")</f>
        <v>52890</v>
      </c>
      <c r="AA1989" s="173">
        <v>2.0124560170361107E-2</v>
      </c>
      <c r="AB1989" s="182">
        <v>1.9992961085479877E-2</v>
      </c>
    </row>
    <row r="1990" spans="24:28" x14ac:dyDescent="0.2">
      <c r="X1990" s="186" t="str">
        <f t="shared" si="64"/>
        <v>1w</v>
      </c>
      <c r="Y1990" s="174">
        <f>_xll.qlCalendarAdvance(Calendar,Y1989,X1990,"f",FALSE)</f>
        <v>52895</v>
      </c>
      <c r="Z1990" s="198">
        <f>_xll.qlCalendarAdvance(Calendar,Y1990,NDays&amp;"D")</f>
        <v>52897</v>
      </c>
      <c r="AA1990" s="173">
        <v>2.0126990218570357E-2</v>
      </c>
      <c r="AB1990" s="182">
        <v>1.9995207411165339E-2</v>
      </c>
    </row>
    <row r="1991" spans="24:28" x14ac:dyDescent="0.2">
      <c r="X1991" s="186" t="str">
        <f t="shared" si="64"/>
        <v>1w</v>
      </c>
      <c r="Y1991" s="174">
        <f>_xll.qlCalendarAdvance(Calendar,Y1990,X1991,"f",FALSE)</f>
        <v>52902</v>
      </c>
      <c r="Z1991" s="198">
        <f>_xll.qlCalendarAdvance(Calendar,Y1991,NDays&amp;"D")</f>
        <v>52904</v>
      </c>
      <c r="AA1991" s="173">
        <v>2.0128692475465899E-2</v>
      </c>
      <c r="AB1991" s="182">
        <v>1.9997487669707326E-2</v>
      </c>
    </row>
    <row r="1992" spans="24:28" x14ac:dyDescent="0.2">
      <c r="X1992" s="186" t="str">
        <f t="shared" si="64"/>
        <v>1w</v>
      </c>
      <c r="Y1992" s="174">
        <f>_xll.qlCalendarAdvance(Calendar,Y1991,X1992,"f",FALSE)</f>
        <v>52909</v>
      </c>
      <c r="Z1992" s="198">
        <f>_xll.qlCalendarAdvance(Calendar,Y1992,NDays&amp;"D")</f>
        <v>52911</v>
      </c>
      <c r="AA1992" s="173">
        <v>2.0131142445708492E-2</v>
      </c>
      <c r="AB1992" s="182">
        <v>1.9999788147915254E-2</v>
      </c>
    </row>
    <row r="1993" spans="24:28" x14ac:dyDescent="0.2">
      <c r="X1993" s="186" t="str">
        <f t="shared" si="64"/>
        <v>1w</v>
      </c>
      <c r="Y1993" s="174">
        <f>_xll.qlCalendarAdvance(Calendar,Y1992,X1993,"f",FALSE)</f>
        <v>52916</v>
      </c>
      <c r="Z1993" s="198">
        <f>_xll.qlCalendarAdvance(Calendar,Y1993,NDays&amp;"D")</f>
        <v>52918</v>
      </c>
      <c r="AA1993" s="173">
        <v>2.0133602245265461E-2</v>
      </c>
      <c r="AB1993" s="182">
        <v>2.0002098354501285E-2</v>
      </c>
    </row>
    <row r="1994" spans="24:28" x14ac:dyDescent="0.2">
      <c r="X1994" s="186" t="str">
        <f t="shared" si="64"/>
        <v>1w</v>
      </c>
      <c r="Y1994" s="174">
        <f>_xll.qlCalendarAdvance(Calendar,Y1993,X1994,"f",FALSE)</f>
        <v>52923</v>
      </c>
      <c r="Z1994" s="198">
        <f>_xll.qlCalendarAdvance(Calendar,Y1994,NDays&amp;"D")</f>
        <v>52925</v>
      </c>
      <c r="AA1994" s="173">
        <v>2.0136071874173468E-2</v>
      </c>
      <c r="AB1994" s="182">
        <v>2.0004418289625292E-2</v>
      </c>
    </row>
    <row r="1995" spans="24:28" x14ac:dyDescent="0.2">
      <c r="X1995" s="186" t="str">
        <f t="shared" si="64"/>
        <v>1w</v>
      </c>
      <c r="Y1995" s="174">
        <f>_xll.qlCalendarAdvance(Calendar,Y1994,X1995,"f",FALSE)</f>
        <v>52930</v>
      </c>
      <c r="Z1995" s="198">
        <f>_xll.qlCalendarAdvance(Calendar,Y1995,NDays&amp;"D")</f>
        <v>52932</v>
      </c>
      <c r="AA1995" s="173">
        <v>2.0139293254335024E-2</v>
      </c>
      <c r="AB1995" s="182">
        <v>2.000674795296753E-2</v>
      </c>
    </row>
    <row r="1996" spans="24:28" x14ac:dyDescent="0.2">
      <c r="X1996" s="186" t="str">
        <f t="shared" si="64"/>
        <v>1w</v>
      </c>
      <c r="Y1996" s="174">
        <f>_xll.qlCalendarAdvance(Calendar,Y1995,X1996,"f",FALSE)</f>
        <v>52937</v>
      </c>
      <c r="Z1996" s="198">
        <f>_xll.qlCalendarAdvance(Calendar,Y1996,NDays&amp;"D")</f>
        <v>52939</v>
      </c>
      <c r="AA1996" s="173">
        <v>2.0141783382764192E-2</v>
      </c>
      <c r="AB1996" s="182">
        <v>2.0009087344927678E-2</v>
      </c>
    </row>
    <row r="1997" spans="24:28" x14ac:dyDescent="0.2">
      <c r="X1997" s="186" t="str">
        <f t="shared" si="64"/>
        <v>1w</v>
      </c>
      <c r="Y1997" s="174">
        <f>_xll.qlCalendarAdvance(Calendar,Y1996,X1997,"f",FALSE)</f>
        <v>52944</v>
      </c>
      <c r="Z1997" s="198">
        <f>_xll.qlCalendarAdvance(Calendar,Y1997,NDays&amp;"D")</f>
        <v>52946</v>
      </c>
      <c r="AA1997" s="173">
        <v>2.0144283341220703E-2</v>
      </c>
      <c r="AB1997" s="182">
        <v>2.0011436465106058E-2</v>
      </c>
    </row>
    <row r="1998" spans="24:28" x14ac:dyDescent="0.2">
      <c r="X1998" s="186" t="str">
        <f t="shared" si="64"/>
        <v>1w</v>
      </c>
      <c r="Y1998" s="174">
        <f>_xll.qlCalendarAdvance(Calendar,Y1997,X1998,"f",FALSE)</f>
        <v>52951</v>
      </c>
      <c r="Z1998" s="198">
        <f>_xll.qlCalendarAdvance(Calendar,Y1998,NDays&amp;"D")</f>
        <v>52953</v>
      </c>
      <c r="AA1998" s="173">
        <v>2.0146793129740572E-2</v>
      </c>
      <c r="AB1998" s="182">
        <v>2.0013795313822413E-2</v>
      </c>
    </row>
    <row r="1999" spans="24:28" x14ac:dyDescent="0.2">
      <c r="X1999" s="186" t="str">
        <f t="shared" si="64"/>
        <v>1w</v>
      </c>
      <c r="Y1999" s="174">
        <f>_xll.qlCalendarAdvance(Calendar,Y1998,X1999,"f",FALSE)</f>
        <v>52958</v>
      </c>
      <c r="Z1999" s="198">
        <f>_xll.qlCalendarAdvance(Calendar,Y1999,NDays&amp;"D")</f>
        <v>52960</v>
      </c>
      <c r="AA1999" s="173">
        <v>2.014931274836157E-2</v>
      </c>
      <c r="AB1999" s="182">
        <v>2.0016163890916872E-2</v>
      </c>
    </row>
    <row r="2000" spans="24:28" x14ac:dyDescent="0.2">
      <c r="X2000" s="186" t="str">
        <f t="shared" si="64"/>
        <v>1w</v>
      </c>
      <c r="Y2000" s="174">
        <f>_xll.qlCalendarAdvance(Calendar,Y1999,X2000,"f",FALSE)</f>
        <v>52965</v>
      </c>
      <c r="Z2000" s="198">
        <f>_xll.qlCalendarAdvance(Calendar,Y2000,NDays&amp;"D")</f>
        <v>52967</v>
      </c>
      <c r="AA2000" s="173">
        <v>2.0151096066026958E-2</v>
      </c>
      <c r="AB2000" s="182">
        <v>2.0018542196469369E-2</v>
      </c>
    </row>
    <row r="2001" spans="24:28" x14ac:dyDescent="0.2">
      <c r="X2001" s="186" t="str">
        <f t="shared" si="64"/>
        <v>1w</v>
      </c>
      <c r="Y2001" s="174">
        <f>_xll.qlCalendarAdvance(Calendar,Y2000,X2001,"f",FALSE)</f>
        <v>52972</v>
      </c>
      <c r="Z2001" s="198">
        <f>_xll.qlCalendarAdvance(Calendar,Y2001,NDays&amp;"D")</f>
        <v>52974</v>
      </c>
      <c r="AA2001" s="173">
        <v>2.0153634501413269E-2</v>
      </c>
      <c r="AB2001" s="182">
        <v>2.0020930230320033E-2</v>
      </c>
    </row>
    <row r="2002" spans="24:28" x14ac:dyDescent="0.2">
      <c r="X2002" s="186" t="str">
        <f t="shared" si="64"/>
        <v>1w</v>
      </c>
      <c r="Y2002" s="174">
        <f>_xll.qlCalendarAdvance(Calendar,Y2001,X2002,"f",FALSE)</f>
        <v>52979</v>
      </c>
      <c r="Z2002" s="198">
        <f>_xll.qlCalendarAdvance(Calendar,Y2002,NDays&amp;"D")</f>
        <v>52981</v>
      </c>
      <c r="AA2002" s="173">
        <v>2.0156182766443858E-2</v>
      </c>
      <c r="AB2002" s="182">
        <v>2.0023327992708673E-2</v>
      </c>
    </row>
    <row r="2003" spans="24:28" x14ac:dyDescent="0.2">
      <c r="X2003" s="186" t="str">
        <f t="shared" si="64"/>
        <v>1w</v>
      </c>
      <c r="Y2003" s="174">
        <f>_xll.qlCalendarAdvance(Calendar,Y2002,X2003,"f",FALSE)</f>
        <v>52986</v>
      </c>
      <c r="Z2003" s="198">
        <f>_xll.qlCalendarAdvance(Calendar,Y2003,NDays&amp;"D")</f>
        <v>52988</v>
      </c>
      <c r="AA2003" s="173">
        <v>2.0158740861156713E-2</v>
      </c>
      <c r="AB2003" s="182">
        <v>2.0025735483315543E-2</v>
      </c>
    </row>
    <row r="2004" spans="24:28" x14ac:dyDescent="0.2">
      <c r="X2004" s="186" t="str">
        <f t="shared" si="64"/>
        <v>1w</v>
      </c>
      <c r="Y2004" s="174">
        <f>_xll.qlCalendarAdvance(Calendar,Y2003,X2004,"f",FALSE)</f>
        <v>52993</v>
      </c>
      <c r="Z2004" s="198">
        <f>_xll.qlCalendarAdvance(Calendar,Y2004,NDays&amp;"D")</f>
        <v>52995</v>
      </c>
      <c r="AA2004" s="173">
        <v>2.0161308785589364E-2</v>
      </c>
      <c r="AB2004" s="182">
        <v>2.0028152702460389E-2</v>
      </c>
    </row>
    <row r="2005" spans="24:28" x14ac:dyDescent="0.2">
      <c r="X2005" s="186" t="str">
        <f t="shared" ref="X2005:X2068" si="65">X2004</f>
        <v>1w</v>
      </c>
      <c r="Y2005" s="174">
        <f>_xll.qlCalendarAdvance(Calendar,Y2004,X2005,"f",FALSE)</f>
        <v>53000</v>
      </c>
      <c r="Z2005" s="198">
        <f>_xll.qlCalendarAdvance(Calendar,Y2005,NDays&amp;"D")</f>
        <v>53002</v>
      </c>
      <c r="AA2005" s="173">
        <v>2.0163886539779356E-2</v>
      </c>
      <c r="AB2005" s="182">
        <v>2.0030579649983338E-2</v>
      </c>
    </row>
    <row r="2006" spans="24:28" x14ac:dyDescent="0.2">
      <c r="X2006" s="186" t="str">
        <f t="shared" si="65"/>
        <v>1w</v>
      </c>
      <c r="Y2006" s="174">
        <f>_xll.qlCalendarAdvance(Calendar,Y2005,X2006,"f",FALSE)</f>
        <v>53007</v>
      </c>
      <c r="Z2006" s="198">
        <f>_xll.qlCalendarAdvance(Calendar,Y2006,NDays&amp;"D")</f>
        <v>53009</v>
      </c>
      <c r="AA2006" s="173">
        <v>2.0166474123764669E-2</v>
      </c>
      <c r="AB2006" s="182">
        <v>2.0033016326044262E-2</v>
      </c>
    </row>
    <row r="2007" spans="24:28" x14ac:dyDescent="0.2">
      <c r="X2007" s="186" t="str">
        <f t="shared" si="65"/>
        <v>1w</v>
      </c>
      <c r="Y2007" s="174">
        <f>_xll.qlCalendarAdvance(Calendar,Y2006,X2007,"f",FALSE)</f>
        <v>53014</v>
      </c>
      <c r="Z2007" s="198">
        <f>_xll.qlCalendarAdvance(Calendar,Y2007,NDays&amp;"D")</f>
        <v>53016</v>
      </c>
      <c r="AA2007" s="173">
        <v>2.0169071537582399E-2</v>
      </c>
      <c r="AB2007" s="182">
        <v>2.0035462730323417E-2</v>
      </c>
    </row>
    <row r="2008" spans="24:28" x14ac:dyDescent="0.2">
      <c r="X2008" s="186" t="str">
        <f t="shared" si="65"/>
        <v>1w</v>
      </c>
      <c r="Y2008" s="174">
        <f>_xll.qlCalendarAdvance(Calendar,Y2007,X2008,"f",FALSE)</f>
        <v>53021</v>
      </c>
      <c r="Z2008" s="198">
        <f>_xll.qlCalendarAdvance(Calendar,Y2008,NDays&amp;"D")</f>
        <v>53023</v>
      </c>
      <c r="AA2008" s="173">
        <v>2.0175444348096722E-2</v>
      </c>
      <c r="AB2008" s="182">
        <v>2.0037918863140547E-2</v>
      </c>
    </row>
    <row r="2009" spans="24:28" x14ac:dyDescent="0.2">
      <c r="X2009" s="186" t="str">
        <f t="shared" si="65"/>
        <v>1w</v>
      </c>
      <c r="Y2009" s="174">
        <f>_xll.qlCalendarAdvance(Calendar,Y2008,X2009,"f",FALSE)</f>
        <v>53028</v>
      </c>
      <c r="Z2009" s="198">
        <f>_xll.qlCalendarAdvance(Calendar,Y2009,NDays&amp;"D")</f>
        <v>53030</v>
      </c>
      <c r="AA2009" s="173">
        <v>2.0178065663080721E-2</v>
      </c>
      <c r="AB2009" s="182">
        <v>2.0040384724415716E-2</v>
      </c>
    </row>
    <row r="2010" spans="24:28" x14ac:dyDescent="0.2">
      <c r="X2010" s="186" t="str">
        <f t="shared" si="65"/>
        <v>1w</v>
      </c>
      <c r="Y2010" s="174">
        <f>_xll.qlCalendarAdvance(Calendar,Y2009,X2010,"f",FALSE)</f>
        <v>53035</v>
      </c>
      <c r="Z2010" s="198">
        <f>_xll.qlCalendarAdvance(Calendar,Y2010,NDays&amp;"D")</f>
        <v>53037</v>
      </c>
      <c r="AA2010" s="173">
        <v>2.0180696810862521E-2</v>
      </c>
      <c r="AB2010" s="182">
        <v>2.0042860314068989E-2</v>
      </c>
    </row>
    <row r="2011" spans="24:28" x14ac:dyDescent="0.2">
      <c r="X2011" s="186" t="str">
        <f t="shared" si="65"/>
        <v>1w</v>
      </c>
      <c r="Y2011" s="174">
        <f>_xll.qlCalendarAdvance(Calendar,Y2010,X2011,"f",FALSE)</f>
        <v>53042</v>
      </c>
      <c r="Z2011" s="198">
        <f>_xll.qlCalendarAdvance(Calendar,Y2011,NDays&amp;"D")</f>
        <v>53044</v>
      </c>
      <c r="AA2011" s="173">
        <v>2.0183337791480804E-2</v>
      </c>
      <c r="AB2011" s="182">
        <v>2.0045345632020428E-2</v>
      </c>
    </row>
    <row r="2012" spans="24:28" x14ac:dyDescent="0.2">
      <c r="X2012" s="186" t="str">
        <f t="shared" si="65"/>
        <v>1w</v>
      </c>
      <c r="Y2012" s="174">
        <f>_xll.qlCalendarAdvance(Calendar,Y2011,X2012,"f",FALSE)</f>
        <v>53049</v>
      </c>
      <c r="Z2012" s="198">
        <f>_xll.qlCalendarAdvance(Calendar,Y2012,NDays&amp;"D")</f>
        <v>53051</v>
      </c>
      <c r="AA2012" s="173">
        <v>2.0183718747251365E-2</v>
      </c>
      <c r="AB2012" s="182">
        <v>2.0047840678509843E-2</v>
      </c>
    </row>
    <row r="2013" spans="24:28" x14ac:dyDescent="0.2">
      <c r="X2013" s="186" t="str">
        <f t="shared" si="65"/>
        <v>1w</v>
      </c>
      <c r="Y2013" s="174">
        <f>_xll.qlCalendarAdvance(Calendar,Y2012,X2013,"f",FALSE)</f>
        <v>53056</v>
      </c>
      <c r="Z2013" s="198">
        <f>_xll.qlCalendarAdvance(Calendar,Y2013,NDays&amp;"D")</f>
        <v>53058</v>
      </c>
      <c r="AA2013" s="173">
        <v>2.0186376841721577E-2</v>
      </c>
      <c r="AB2013" s="182">
        <v>2.0053296797154729E-2</v>
      </c>
    </row>
    <row r="2014" spans="24:28" x14ac:dyDescent="0.2">
      <c r="X2014" s="186" t="str">
        <f t="shared" si="65"/>
        <v>1w</v>
      </c>
      <c r="Y2014" s="174">
        <f>_xll.qlCalendarAdvance(Calendar,Y2013,X2014,"f",FALSE)</f>
        <v>53063</v>
      </c>
      <c r="Z2014" s="198">
        <f>_xll.qlCalendarAdvance(Calendar,Y2014,NDays&amp;"D")</f>
        <v>53065</v>
      </c>
      <c r="AA2014" s="173">
        <v>2.0189044767435372E-2</v>
      </c>
      <c r="AB2014" s="182">
        <v>2.0052859956622981E-2</v>
      </c>
    </row>
    <row r="2015" spans="24:28" x14ac:dyDescent="0.2">
      <c r="X2015" s="186" t="str">
        <f t="shared" si="65"/>
        <v>1w</v>
      </c>
      <c r="Y2015" s="174">
        <f>_xll.qlCalendarAdvance(Calendar,Y2014,X2015,"f",FALSE)</f>
        <v>53070</v>
      </c>
      <c r="Z2015" s="198">
        <f>_xll.qlCalendarAdvance(Calendar,Y2015,NDays&amp;"D")</f>
        <v>53072</v>
      </c>
      <c r="AA2015" s="173">
        <v>2.0191722524433804E-2</v>
      </c>
      <c r="AB2015" s="182">
        <v>2.0055384188326641E-2</v>
      </c>
    </row>
    <row r="2016" spans="24:28" x14ac:dyDescent="0.2">
      <c r="X2016" s="186" t="str">
        <f t="shared" si="65"/>
        <v>1w</v>
      </c>
      <c r="Y2016" s="174">
        <f>_xll.qlCalendarAdvance(Calendar,Y2015,X2016,"f",FALSE)</f>
        <v>53077</v>
      </c>
      <c r="Z2016" s="198">
        <f>_xll.qlCalendarAdvance(Calendar,Y2016,NDays&amp;"D")</f>
        <v>53079</v>
      </c>
      <c r="AA2016" s="173">
        <v>2.0194410112755315E-2</v>
      </c>
      <c r="AB2016" s="182">
        <v>2.0057918148408405E-2</v>
      </c>
    </row>
    <row r="2017" spans="24:28" x14ac:dyDescent="0.2">
      <c r="X2017" s="186" t="str">
        <f t="shared" si="65"/>
        <v>1w</v>
      </c>
      <c r="Y2017" s="174">
        <f>_xll.qlCalendarAdvance(Calendar,Y2016,X2017,"f",FALSE)</f>
        <v>53084</v>
      </c>
      <c r="Z2017" s="198">
        <f>_xll.qlCalendarAdvance(Calendar,Y2017,NDays&amp;"D")</f>
        <v>53086</v>
      </c>
      <c r="AA2017" s="173">
        <v>2.0199390167016284E-2</v>
      </c>
      <c r="AB2017" s="182">
        <v>2.0060461836868271E-2</v>
      </c>
    </row>
    <row r="2018" spans="24:28" x14ac:dyDescent="0.2">
      <c r="X2018" s="186" t="str">
        <f t="shared" si="65"/>
        <v>1w</v>
      </c>
      <c r="Y2018" s="174">
        <f>_xll.qlCalendarAdvance(Calendar,Y2017,X2018,"f",FALSE)</f>
        <v>53091</v>
      </c>
      <c r="Z2018" s="198">
        <f>_xll.qlCalendarAdvance(Calendar,Y2018,NDays&amp;"D")</f>
        <v>53093</v>
      </c>
      <c r="AA2018" s="173">
        <v>2.020209997861935E-2</v>
      </c>
      <c r="AB2018" s="182">
        <v>2.0063015253866112E-2</v>
      </c>
    </row>
    <row r="2019" spans="24:28" x14ac:dyDescent="0.2">
      <c r="X2019" s="186" t="str">
        <f t="shared" si="65"/>
        <v>1w</v>
      </c>
      <c r="Y2019" s="174">
        <f>_xll.qlCalendarAdvance(Calendar,Y2018,X2019,"f",FALSE)</f>
        <v>53098</v>
      </c>
      <c r="Z2019" s="198">
        <f>_xll.qlCalendarAdvance(Calendar,Y2019,NDays&amp;"D")</f>
        <v>53100</v>
      </c>
      <c r="AA2019" s="173">
        <v>2.0204819623382077E-2</v>
      </c>
      <c r="AB2019" s="182">
        <v>2.0065578399242057E-2</v>
      </c>
    </row>
    <row r="2020" spans="24:28" x14ac:dyDescent="0.2">
      <c r="X2020" s="186" t="str">
        <f t="shared" si="65"/>
        <v>1w</v>
      </c>
      <c r="Y2020" s="174">
        <f>_xll.qlCalendarAdvance(Calendar,Y2019,X2020,"f",FALSE)</f>
        <v>53105</v>
      </c>
      <c r="Z2020" s="198">
        <f>_xll.qlCalendarAdvance(Calendar,Y2020,NDays&amp;"D")</f>
        <v>53107</v>
      </c>
      <c r="AA2020" s="173">
        <v>2.0207549101345295E-2</v>
      </c>
      <c r="AB2020" s="182">
        <v>2.0068151272916168E-2</v>
      </c>
    </row>
    <row r="2021" spans="24:28" x14ac:dyDescent="0.2">
      <c r="X2021" s="186" t="str">
        <f t="shared" si="65"/>
        <v>1w</v>
      </c>
      <c r="Y2021" s="174">
        <f>_xll.qlCalendarAdvance(Calendar,Y2020,X2021,"f",FALSE)</f>
        <v>53112</v>
      </c>
      <c r="Z2021" s="198">
        <f>_xll.qlCalendarAdvance(Calendar,Y2021,NDays&amp;"D")</f>
        <v>53114</v>
      </c>
      <c r="AA2021" s="173">
        <v>2.0207995525621678E-2</v>
      </c>
      <c r="AB2021" s="182">
        <v>2.0070733875128255E-2</v>
      </c>
    </row>
    <row r="2022" spans="24:28" x14ac:dyDescent="0.2">
      <c r="X2022" s="186" t="str">
        <f t="shared" si="65"/>
        <v>1w</v>
      </c>
      <c r="Y2022" s="174">
        <f>_xll.qlCalendarAdvance(Calendar,Y2021,X2022,"f",FALSE)</f>
        <v>53119</v>
      </c>
      <c r="Z2022" s="198">
        <f>_xll.qlCalendarAdvance(Calendar,Y2022,NDays&amp;"D")</f>
        <v>53121</v>
      </c>
      <c r="AA2022" s="173">
        <v>2.0210742102728628E-2</v>
      </c>
      <c r="AB2022" s="182">
        <v>2.0073326205718445E-2</v>
      </c>
    </row>
    <row r="2023" spans="24:28" x14ac:dyDescent="0.2">
      <c r="X2023" s="186" t="str">
        <f t="shared" si="65"/>
        <v>1w</v>
      </c>
      <c r="Y2023" s="174">
        <f>_xll.qlCalendarAdvance(Calendar,Y2022,X2023,"f",FALSE)</f>
        <v>53126</v>
      </c>
      <c r="Z2023" s="198">
        <f>_xll.qlCalendarAdvance(Calendar,Y2023,NDays&amp;"D")</f>
        <v>53128</v>
      </c>
      <c r="AA2023" s="173">
        <v>2.0213498511441708E-2</v>
      </c>
      <c r="AB2023" s="182">
        <v>2.0075928264766674E-2</v>
      </c>
    </row>
    <row r="2024" spans="24:28" x14ac:dyDescent="0.2">
      <c r="X2024" s="186" t="str">
        <f t="shared" si="65"/>
        <v>1w</v>
      </c>
      <c r="Y2024" s="174">
        <f>_xll.qlCalendarAdvance(Calendar,Y2023,X2024,"f",FALSE)</f>
        <v>53133</v>
      </c>
      <c r="Z2024" s="198">
        <f>_xll.qlCalendarAdvance(Calendar,Y2024,NDays&amp;"D")</f>
        <v>53135</v>
      </c>
      <c r="AA2024" s="173">
        <v>2.0216264751801546E-2</v>
      </c>
      <c r="AB2024" s="182">
        <v>2.0078540052193006E-2</v>
      </c>
    </row>
    <row r="2025" spans="24:28" x14ac:dyDescent="0.2">
      <c r="X2025" s="186" t="str">
        <f t="shared" si="65"/>
        <v>1w</v>
      </c>
      <c r="Y2025" s="174">
        <f>_xll.qlCalendarAdvance(Calendar,Y2024,X2025,"f",FALSE)</f>
        <v>53140</v>
      </c>
      <c r="Z2025" s="198">
        <f>_xll.qlCalendarAdvance(Calendar,Y2025,NDays&amp;"D")</f>
        <v>53142</v>
      </c>
      <c r="AA2025" s="173">
        <v>2.0219040823849194E-2</v>
      </c>
      <c r="AB2025" s="182">
        <v>2.0081161568077377E-2</v>
      </c>
    </row>
    <row r="2026" spans="24:28" x14ac:dyDescent="0.2">
      <c r="X2026" s="186" t="str">
        <f t="shared" si="65"/>
        <v>1w</v>
      </c>
      <c r="Y2026" s="174">
        <f>_xll.qlCalendarAdvance(Calendar,Y2025,X2026,"f",FALSE)</f>
        <v>53147</v>
      </c>
      <c r="Z2026" s="198">
        <f>_xll.qlCalendarAdvance(Calendar,Y2026,NDays&amp;"D")</f>
        <v>53149</v>
      </c>
      <c r="AA2026" s="173">
        <v>2.022413246866336E-2</v>
      </c>
      <c r="AB2026" s="182">
        <v>2.0083792812259915E-2</v>
      </c>
    </row>
    <row r="2027" spans="24:28" x14ac:dyDescent="0.2">
      <c r="X2027" s="186" t="str">
        <f t="shared" si="65"/>
        <v>1w</v>
      </c>
      <c r="Y2027" s="174">
        <f>_xll.qlCalendarAdvance(Calendar,Y2026,X2027,"f",FALSE)</f>
        <v>53154</v>
      </c>
      <c r="Z2027" s="198">
        <f>_xll.qlCalendarAdvance(Calendar,Y2027,NDays&amp;"D")</f>
        <v>53156</v>
      </c>
      <c r="AA2027" s="173">
        <v>2.02269307801951E-2</v>
      </c>
      <c r="AB2027" s="182">
        <v>2.0086433784980429E-2</v>
      </c>
    </row>
    <row r="2028" spans="24:28" x14ac:dyDescent="0.2">
      <c r="X2028" s="186" t="str">
        <f t="shared" si="65"/>
        <v>1w</v>
      </c>
      <c r="Y2028" s="174">
        <f>_xll.qlCalendarAdvance(Calendar,Y2027,X2028,"f",FALSE)</f>
        <v>53161</v>
      </c>
      <c r="Z2028" s="198">
        <f>_xll.qlCalendarAdvance(Calendar,Y2028,NDays&amp;"D")</f>
        <v>53163</v>
      </c>
      <c r="AA2028" s="173">
        <v>2.02297389252604E-2</v>
      </c>
      <c r="AB2028" s="182">
        <v>2.0089084485999109E-2</v>
      </c>
    </row>
    <row r="2029" spans="24:28" x14ac:dyDescent="0.2">
      <c r="X2029" s="186" t="str">
        <f t="shared" si="65"/>
        <v>1w</v>
      </c>
      <c r="Y2029" s="174">
        <f>_xll.qlCalendarAdvance(Calendar,Y2028,X2029,"f",FALSE)</f>
        <v>53168</v>
      </c>
      <c r="Z2029" s="198">
        <f>_xll.qlCalendarAdvance(Calendar,Y2029,NDays&amp;"D")</f>
        <v>53170</v>
      </c>
      <c r="AA2029" s="173">
        <v>2.023255690390266E-2</v>
      </c>
      <c r="AB2029" s="182">
        <v>2.0091744915475829E-2</v>
      </c>
    </row>
    <row r="2030" spans="24:28" x14ac:dyDescent="0.2">
      <c r="X2030" s="186" t="str">
        <f t="shared" si="65"/>
        <v>1w</v>
      </c>
      <c r="Y2030" s="174">
        <f>_xll.qlCalendarAdvance(Calendar,Y2029,X2030,"f",FALSE)</f>
        <v>53175</v>
      </c>
      <c r="Z2030" s="198">
        <f>_xll.qlCalendarAdvance(Calendar,Y2030,NDays&amp;"D")</f>
        <v>53177</v>
      </c>
      <c r="AA2030" s="173">
        <v>2.0235384716164862E-2</v>
      </c>
      <c r="AB2030" s="182">
        <v>2.0094415073410588E-2</v>
      </c>
    </row>
    <row r="2031" spans="24:28" x14ac:dyDescent="0.2">
      <c r="X2031" s="186" t="str">
        <f t="shared" si="65"/>
        <v>1w</v>
      </c>
      <c r="Y2031" s="174">
        <f>_xll.qlCalendarAdvance(Calendar,Y2030,X2031,"f",FALSE)</f>
        <v>53182</v>
      </c>
      <c r="Z2031" s="198">
        <f>_xll.qlCalendarAdvance(Calendar,Y2031,NDays&amp;"D")</f>
        <v>53184</v>
      </c>
      <c r="AA2031" s="173">
        <v>2.0238222362088689E-2</v>
      </c>
      <c r="AB2031" s="182">
        <v>2.0097094959803385E-2</v>
      </c>
    </row>
    <row r="2032" spans="24:28" x14ac:dyDescent="0.2">
      <c r="X2032" s="186" t="str">
        <f t="shared" si="65"/>
        <v>1w</v>
      </c>
      <c r="Y2032" s="174">
        <f>_xll.qlCalendarAdvance(Calendar,Y2031,X2032,"f",FALSE)</f>
        <v>53189</v>
      </c>
      <c r="Z2032" s="198">
        <f>_xll.qlCalendarAdvance(Calendar,Y2032,NDays&amp;"D")</f>
        <v>53191</v>
      </c>
      <c r="AA2032" s="173">
        <v>2.024106984171669E-2</v>
      </c>
      <c r="AB2032" s="182">
        <v>2.0099784574574286E-2</v>
      </c>
    </row>
    <row r="2033" spans="24:28" x14ac:dyDescent="0.2">
      <c r="X2033" s="186" t="str">
        <f t="shared" si="65"/>
        <v>1w</v>
      </c>
      <c r="Y2033" s="174">
        <f>_xll.qlCalendarAdvance(Calendar,Y2032,X2033,"f",FALSE)</f>
        <v>53196</v>
      </c>
      <c r="Z2033" s="198">
        <f>_xll.qlCalendarAdvance(Calendar,Y2033,NDays&amp;"D")</f>
        <v>53198</v>
      </c>
      <c r="AA2033" s="173">
        <v>2.0243927155092271E-2</v>
      </c>
      <c r="AB2033" s="182">
        <v>2.0102483917723291E-2</v>
      </c>
    </row>
    <row r="2034" spans="24:28" x14ac:dyDescent="0.2">
      <c r="X2034" s="186" t="str">
        <f t="shared" si="65"/>
        <v>1w</v>
      </c>
      <c r="Y2034" s="174">
        <f>_xll.qlCalendarAdvance(Calendar,Y2033,X2034,"f",FALSE)</f>
        <v>53203</v>
      </c>
      <c r="Z2034" s="198">
        <f>_xll.qlCalendarAdvance(Calendar,Y2034,NDays&amp;"D")</f>
        <v>53205</v>
      </c>
      <c r="AA2034" s="173">
        <v>2.0242917530302936E-2</v>
      </c>
      <c r="AB2034" s="182">
        <v>2.0105192989250398E-2</v>
      </c>
    </row>
    <row r="2035" spans="24:28" x14ac:dyDescent="0.2">
      <c r="X2035" s="186" t="str">
        <f t="shared" si="65"/>
        <v>1w</v>
      </c>
      <c r="Y2035" s="174">
        <f>_xll.qlCalendarAdvance(Calendar,Y2034,X2035,"f",FALSE)</f>
        <v>53210</v>
      </c>
      <c r="Z2035" s="198">
        <f>_xll.qlCalendarAdvance(Calendar,Y2035,NDays&amp;"D")</f>
        <v>53212</v>
      </c>
      <c r="AA2035" s="173">
        <v>2.0245790195450902E-2</v>
      </c>
      <c r="AB2035" s="182">
        <v>2.010791178931548E-2</v>
      </c>
    </row>
    <row r="2036" spans="24:28" x14ac:dyDescent="0.2">
      <c r="X2036" s="186" t="str">
        <f t="shared" si="65"/>
        <v>1w</v>
      </c>
      <c r="Y2036" s="174">
        <f>_xll.qlCalendarAdvance(Calendar,Y2035,X2036,"f",FALSE)</f>
        <v>53217</v>
      </c>
      <c r="Z2036" s="198">
        <f>_xll.qlCalendarAdvance(Calendar,Y2036,NDays&amp;"D")</f>
        <v>53219</v>
      </c>
      <c r="AA2036" s="173">
        <v>2.0248672691596321E-2</v>
      </c>
      <c r="AB2036" s="182">
        <v>2.0110640317758666E-2</v>
      </c>
    </row>
    <row r="2037" spans="24:28" x14ac:dyDescent="0.2">
      <c r="X2037" s="186" t="str">
        <f t="shared" si="65"/>
        <v>1w</v>
      </c>
      <c r="Y2037" s="174">
        <f>_xll.qlCalendarAdvance(Calendar,Y2036,X2037,"f",FALSE)</f>
        <v>53224</v>
      </c>
      <c r="Z2037" s="198">
        <f>_xll.qlCalendarAdvance(Calendar,Y2037,NDays&amp;"D")</f>
        <v>53226</v>
      </c>
      <c r="AA2037" s="173">
        <v>2.0251565018781149E-2</v>
      </c>
      <c r="AB2037" s="182">
        <v>2.0113378574579954E-2</v>
      </c>
    </row>
    <row r="2038" spans="24:28" x14ac:dyDescent="0.2">
      <c r="X2038" s="186" t="str">
        <f t="shared" si="65"/>
        <v>1w</v>
      </c>
      <c r="Y2038" s="174">
        <f>_xll.qlCalendarAdvance(Calendar,Y2037,X2038,"f",FALSE)</f>
        <v>53231</v>
      </c>
      <c r="Z2038" s="198">
        <f>_xll.qlCalendarAdvance(Calendar,Y2038,NDays&amp;"D")</f>
        <v>53233</v>
      </c>
      <c r="AA2038" s="173">
        <v>2.025446717704734E-2</v>
      </c>
      <c r="AB2038" s="182">
        <v>2.0116126559859282E-2</v>
      </c>
    </row>
    <row r="2039" spans="24:28" x14ac:dyDescent="0.2">
      <c r="X2039" s="186" t="str">
        <f t="shared" si="65"/>
        <v>1w</v>
      </c>
      <c r="Y2039" s="174">
        <f>_xll.qlCalendarAdvance(Calendar,Y2038,X2039,"f",FALSE)</f>
        <v>53238</v>
      </c>
      <c r="Z2039" s="198">
        <f>_xll.qlCalendarAdvance(Calendar,Y2039,NDays&amp;"D")</f>
        <v>53240</v>
      </c>
      <c r="AA2039" s="173">
        <v>2.0258158618869964E-2</v>
      </c>
      <c r="AB2039" s="182">
        <v>2.0118884273596649E-2</v>
      </c>
    </row>
    <row r="2040" spans="24:28" x14ac:dyDescent="0.2">
      <c r="X2040" s="186" t="str">
        <f t="shared" si="65"/>
        <v>1w</v>
      </c>
      <c r="Y2040" s="174">
        <f>_xll.qlCalendarAdvance(Calendar,Y2039,X2040,"f",FALSE)</f>
        <v>53245</v>
      </c>
      <c r="Z2040" s="198">
        <f>_xll.qlCalendarAdvance(Calendar,Y2040,NDays&amp;"D")</f>
        <v>53247</v>
      </c>
      <c r="AA2040" s="173">
        <v>2.0261081305297784E-2</v>
      </c>
      <c r="AB2040" s="182">
        <v>2.0121651715712119E-2</v>
      </c>
    </row>
    <row r="2041" spans="24:28" x14ac:dyDescent="0.2">
      <c r="X2041" s="186" t="str">
        <f t="shared" si="65"/>
        <v>1w</v>
      </c>
      <c r="Y2041" s="174">
        <f>_xll.qlCalendarAdvance(Calendar,Y2040,X2041,"f",FALSE)</f>
        <v>53252</v>
      </c>
      <c r="Z2041" s="198">
        <f>_xll.qlCalendarAdvance(Calendar,Y2041,NDays&amp;"D")</f>
        <v>53254</v>
      </c>
      <c r="AA2041" s="173">
        <v>2.0264013823514174E-2</v>
      </c>
      <c r="AB2041" s="182">
        <v>2.0124428886285628E-2</v>
      </c>
    </row>
    <row r="2042" spans="24:28" x14ac:dyDescent="0.2">
      <c r="X2042" s="186" t="str">
        <f t="shared" si="65"/>
        <v>1w</v>
      </c>
      <c r="Y2042" s="174">
        <f>_xll.qlCalendarAdvance(Calendar,Y2041,X2042,"f",FALSE)</f>
        <v>53259</v>
      </c>
      <c r="Z2042" s="198">
        <f>_xll.qlCalendarAdvance(Calendar,Y2042,NDays&amp;"D")</f>
        <v>53261</v>
      </c>
      <c r="AA2042" s="173">
        <v>2.0266956173559541E-2</v>
      </c>
      <c r="AB2042" s="182">
        <v>2.0127215785157304E-2</v>
      </c>
    </row>
    <row r="2043" spans="24:28" x14ac:dyDescent="0.2">
      <c r="X2043" s="186" t="str">
        <f t="shared" si="65"/>
        <v>1w</v>
      </c>
      <c r="Y2043" s="174">
        <f>_xll.qlCalendarAdvance(Calendar,Y2042,X2043,"f",FALSE)</f>
        <v>53266</v>
      </c>
      <c r="Z2043" s="198">
        <f>_xll.qlCalendarAdvance(Calendar,Y2043,NDays&amp;"D")</f>
        <v>53268</v>
      </c>
      <c r="AA2043" s="173">
        <v>2.0269125436103839E-2</v>
      </c>
      <c r="AB2043" s="182">
        <v>2.0130012412566956E-2</v>
      </c>
    </row>
    <row r="2044" spans="24:28" x14ac:dyDescent="0.2">
      <c r="X2044" s="186" t="str">
        <f t="shared" si="65"/>
        <v>1w</v>
      </c>
      <c r="Y2044" s="174">
        <f>_xll.qlCalendarAdvance(Calendar,Y2043,X2044,"f",FALSE)</f>
        <v>53273</v>
      </c>
      <c r="Z2044" s="198">
        <f>_xll.qlCalendarAdvance(Calendar,Y2044,NDays&amp;"D")</f>
        <v>53275</v>
      </c>
      <c r="AA2044" s="173">
        <v>2.0272086581760471E-2</v>
      </c>
      <c r="AB2044" s="182">
        <v>2.013281876835471E-2</v>
      </c>
    </row>
    <row r="2045" spans="24:28" x14ac:dyDescent="0.2">
      <c r="X2045" s="186" t="str">
        <f t="shared" si="65"/>
        <v>1w</v>
      </c>
      <c r="Y2045" s="174">
        <f>_xll.qlCalendarAdvance(Calendar,Y2044,X2045,"f",FALSE)</f>
        <v>53280</v>
      </c>
      <c r="Z2045" s="198">
        <f>_xll.qlCalendarAdvance(Calendar,Y2045,NDays&amp;"D")</f>
        <v>53282</v>
      </c>
      <c r="AA2045" s="173">
        <v>2.0275057558800547E-2</v>
      </c>
      <c r="AB2045" s="182">
        <v>2.0135634852520568E-2</v>
      </c>
    </row>
    <row r="2046" spans="24:28" x14ac:dyDescent="0.2">
      <c r="X2046" s="186" t="str">
        <f t="shared" si="65"/>
        <v>1w</v>
      </c>
      <c r="Y2046" s="174">
        <f>_xll.qlCalendarAdvance(Calendar,Y2045,X2046,"f",FALSE)</f>
        <v>53287</v>
      </c>
      <c r="Z2046" s="198">
        <f>_xll.qlCalendarAdvance(Calendar,Y2046,NDays&amp;"D")</f>
        <v>53289</v>
      </c>
      <c r="AA2046" s="173">
        <v>2.0278038367266903E-2</v>
      </c>
      <c r="AB2046" s="182">
        <v>2.0138460665144464E-2</v>
      </c>
    </row>
    <row r="2047" spans="24:28" x14ac:dyDescent="0.2">
      <c r="X2047" s="186" t="str">
        <f t="shared" si="65"/>
        <v>1w</v>
      </c>
      <c r="Y2047" s="174">
        <f>_xll.qlCalendarAdvance(Calendar,Y2046,X2047,"f",FALSE)</f>
        <v>53294</v>
      </c>
      <c r="Z2047" s="198">
        <f>_xll.qlCalendarAdvance(Calendar,Y2047,NDays&amp;"D")</f>
        <v>53296</v>
      </c>
      <c r="AA2047" s="173">
        <v>2.028181540277145E-2</v>
      </c>
      <c r="AB2047" s="182">
        <v>2.01412962062264E-2</v>
      </c>
    </row>
    <row r="2048" spans="24:28" x14ac:dyDescent="0.2">
      <c r="X2048" s="186" t="str">
        <f t="shared" si="65"/>
        <v>1w</v>
      </c>
      <c r="Y2048" s="174">
        <f>_xll.qlCalendarAdvance(Calendar,Y2047,X2048,"f",FALSE)</f>
        <v>53301</v>
      </c>
      <c r="Z2048" s="198">
        <f>_xll.qlCalendarAdvance(Calendar,Y2048,NDays&amp;"D")</f>
        <v>53303</v>
      </c>
      <c r="AA2048" s="173">
        <v>2.0284816744716973E-2</v>
      </c>
      <c r="AB2048" s="182">
        <v>2.0144141475686439E-2</v>
      </c>
    </row>
    <row r="2049" spans="24:28" x14ac:dyDescent="0.2">
      <c r="X2049" s="186" t="str">
        <f t="shared" si="65"/>
        <v>1w</v>
      </c>
      <c r="Y2049" s="174">
        <f>_xll.qlCalendarAdvance(Calendar,Y2048,X2049,"f",FALSE)</f>
        <v>53308</v>
      </c>
      <c r="Z2049" s="198">
        <f>_xll.qlCalendarAdvance(Calendar,Y2049,NDays&amp;"D")</f>
        <v>53310</v>
      </c>
      <c r="AA2049" s="173">
        <v>2.0287827918799798E-2</v>
      </c>
      <c r="AB2049" s="182">
        <v>2.0146996473604517E-2</v>
      </c>
    </row>
    <row r="2050" spans="24:28" x14ac:dyDescent="0.2">
      <c r="X2050" s="186" t="str">
        <f t="shared" si="65"/>
        <v>1w</v>
      </c>
      <c r="Y2050" s="174">
        <f>_xll.qlCalendarAdvance(Calendar,Y2049,X2050,"f",FALSE)</f>
        <v>53315</v>
      </c>
      <c r="Z2050" s="198">
        <f>_xll.qlCalendarAdvance(Calendar,Y2050,NDays&amp;"D")</f>
        <v>53317</v>
      </c>
      <c r="AA2050" s="173">
        <v>2.0290848925065167E-2</v>
      </c>
      <c r="AB2050" s="182">
        <v>2.0149861199980634E-2</v>
      </c>
    </row>
    <row r="2051" spans="24:28" x14ac:dyDescent="0.2">
      <c r="X2051" s="186" t="str">
        <f t="shared" si="65"/>
        <v>1w</v>
      </c>
      <c r="Y2051" s="174">
        <f>_xll.qlCalendarAdvance(Calendar,Y2050,X2051,"f",FALSE)</f>
        <v>53323</v>
      </c>
      <c r="Z2051" s="198">
        <f>_xll.qlCalendarAdvance(Calendar,Y2051,NDays&amp;"D")</f>
        <v>53325</v>
      </c>
      <c r="AA2051" s="173">
        <v>2.0294313543117396E-2</v>
      </c>
      <c r="AB2051" s="182">
        <v>2.0155457183157477E-2</v>
      </c>
    </row>
    <row r="2052" spans="24:28" x14ac:dyDescent="0.2">
      <c r="X2052" s="186" t="str">
        <f t="shared" si="65"/>
        <v>1w</v>
      </c>
      <c r="Y2052" s="174">
        <f>_xll.qlCalendarAdvance(Calendar,Y2051,X2052,"f",FALSE)</f>
        <v>53330</v>
      </c>
      <c r="Z2052" s="198">
        <f>_xll.qlCalendarAdvance(Calendar,Y2052,NDays&amp;"D")</f>
        <v>53332</v>
      </c>
      <c r="AA2052" s="173">
        <v>2.0296564739923435E-2</v>
      </c>
      <c r="AB2052" s="182">
        <v>2.0157574326225003E-2</v>
      </c>
    </row>
    <row r="2053" spans="24:28" x14ac:dyDescent="0.2">
      <c r="X2053" s="186" t="str">
        <f t="shared" si="65"/>
        <v>1w</v>
      </c>
      <c r="Y2053" s="174">
        <f>_xll.qlCalendarAdvance(Calendar,Y2052,X2053,"f",FALSE)</f>
        <v>53337</v>
      </c>
      <c r="Z2053" s="198">
        <f>_xll.qlCalendarAdvance(Calendar,Y2053,NDays&amp;"D")</f>
        <v>53339</v>
      </c>
      <c r="AA2053" s="173">
        <v>2.0299615774146053E-2</v>
      </c>
      <c r="AB2053" s="182">
        <v>2.0160471341759134E-2</v>
      </c>
    </row>
    <row r="2054" spans="24:28" x14ac:dyDescent="0.2">
      <c r="X2054" s="186" t="str">
        <f t="shared" si="65"/>
        <v>1w</v>
      </c>
      <c r="Y2054" s="174">
        <f>_xll.qlCalendarAdvance(Calendar,Y2053,X2054,"f",FALSE)</f>
        <v>53344</v>
      </c>
      <c r="Z2054" s="198">
        <f>_xll.qlCalendarAdvance(Calendar,Y2054,NDays&amp;"D")</f>
        <v>53346</v>
      </c>
      <c r="AA2054" s="173">
        <v>2.0302676640155764E-2</v>
      </c>
      <c r="AB2054" s="182">
        <v>2.0163378086817119E-2</v>
      </c>
    </row>
    <row r="2055" spans="24:28" x14ac:dyDescent="0.2">
      <c r="X2055" s="186" t="str">
        <f t="shared" si="65"/>
        <v>1w</v>
      </c>
      <c r="Y2055" s="174">
        <f>_xll.qlCalendarAdvance(Calendar,Y2054,X2055,"f",FALSE)</f>
        <v>53351</v>
      </c>
      <c r="Z2055" s="198">
        <f>_xll.qlCalendarAdvance(Calendar,Y2055,NDays&amp;"D")</f>
        <v>53353</v>
      </c>
      <c r="AA2055" s="173">
        <v>2.0305747337997622E-2</v>
      </c>
      <c r="AB2055" s="182">
        <v>2.0166294561478892E-2</v>
      </c>
    </row>
    <row r="2056" spans="24:28" x14ac:dyDescent="0.2">
      <c r="X2056" s="186" t="str">
        <f t="shared" si="65"/>
        <v>1w</v>
      </c>
      <c r="Y2056" s="174">
        <f>_xll.qlCalendarAdvance(Calendar,Y2055,X2056,"f",FALSE)</f>
        <v>53358</v>
      </c>
      <c r="Z2056" s="198">
        <f>_xll.qlCalendarAdvance(Calendar,Y2056,NDays&amp;"D")</f>
        <v>53360</v>
      </c>
      <c r="AA2056" s="173">
        <v>2.0308827867715786E-2</v>
      </c>
      <c r="AB2056" s="182">
        <v>2.016922076571781E-2</v>
      </c>
    </row>
    <row r="2057" spans="24:28" x14ac:dyDescent="0.2">
      <c r="X2057" s="186" t="str">
        <f t="shared" si="65"/>
        <v>1w</v>
      </c>
      <c r="Y2057" s="174">
        <f>_xll.qlCalendarAdvance(Calendar,Y2056,X2057,"f",FALSE)</f>
        <v>53365</v>
      </c>
      <c r="Z2057" s="198">
        <f>_xll.qlCalendarAdvance(Calendar,Y2057,NDays&amp;"D")</f>
        <v>53367</v>
      </c>
      <c r="AA2057" s="173">
        <v>2.0311918229356189E-2</v>
      </c>
      <c r="AB2057" s="182">
        <v>2.0172156699507227E-2</v>
      </c>
    </row>
    <row r="2058" spans="24:28" x14ac:dyDescent="0.2">
      <c r="X2058" s="186" t="str">
        <f t="shared" si="65"/>
        <v>1w</v>
      </c>
      <c r="Y2058" s="174">
        <f>_xll.qlCalendarAdvance(Calendar,Y2057,X2058,"f",FALSE)</f>
        <v>53372</v>
      </c>
      <c r="Z2058" s="198">
        <f>_xll.qlCalendarAdvance(Calendar,Y2058,NDays&amp;"D")</f>
        <v>53374</v>
      </c>
      <c r="AA2058" s="173">
        <v>2.0315018422964317E-2</v>
      </c>
      <c r="AB2058" s="182">
        <v>2.0175102362820496E-2</v>
      </c>
    </row>
    <row r="2059" spans="24:28" x14ac:dyDescent="0.2">
      <c r="X2059" s="186" t="str">
        <f t="shared" si="65"/>
        <v>1w</v>
      </c>
      <c r="Y2059" s="174">
        <f>_xll.qlCalendarAdvance(Calendar,Y2058,X2059,"f",FALSE)</f>
        <v>53379</v>
      </c>
      <c r="Z2059" s="198">
        <f>_xll.qlCalendarAdvance(Calendar,Y2059,NDays&amp;"D")</f>
        <v>53381</v>
      </c>
      <c r="AA2059" s="173">
        <v>2.0318128448585659E-2</v>
      </c>
      <c r="AB2059" s="182">
        <v>2.017805775571091E-2</v>
      </c>
    </row>
    <row r="2060" spans="24:28" x14ac:dyDescent="0.2">
      <c r="X2060" s="186" t="str">
        <f t="shared" si="65"/>
        <v>1w</v>
      </c>
      <c r="Y2060" s="174">
        <f>_xll.qlCalendarAdvance(Calendar,Y2059,X2060,"f",FALSE)</f>
        <v>53386</v>
      </c>
      <c r="Z2060" s="198">
        <f>_xll.qlCalendarAdvance(Calendar,Y2060,NDays&amp;"D")</f>
        <v>53388</v>
      </c>
      <c r="AA2060" s="173">
        <v>2.0324440519245753E-2</v>
      </c>
      <c r="AB2060" s="182">
        <v>2.0181022878231758E-2</v>
      </c>
    </row>
    <row r="2061" spans="24:28" x14ac:dyDescent="0.2">
      <c r="X2061" s="186" t="str">
        <f t="shared" si="65"/>
        <v>1w</v>
      </c>
      <c r="Y2061" s="174">
        <f>_xll.qlCalendarAdvance(Calendar,Y2060,X2061,"f",FALSE)</f>
        <v>53393</v>
      </c>
      <c r="Z2061" s="198">
        <f>_xll.qlCalendarAdvance(Calendar,Y2061,NDays&amp;"D")</f>
        <v>53395</v>
      </c>
      <c r="AA2061" s="173">
        <v>2.0327573722097949E-2</v>
      </c>
      <c r="AB2061" s="182">
        <v>2.0183997730223169E-2</v>
      </c>
    </row>
    <row r="2062" spans="24:28" x14ac:dyDescent="0.2">
      <c r="X2062" s="186" t="str">
        <f t="shared" si="65"/>
        <v>1w</v>
      </c>
      <c r="Y2062" s="174">
        <f>_xll.qlCalendarAdvance(Calendar,Y2061,X2062,"f",FALSE)</f>
        <v>53400</v>
      </c>
      <c r="Z2062" s="198">
        <f>_xll.qlCalendarAdvance(Calendar,Y2062,NDays&amp;"D")</f>
        <v>53402</v>
      </c>
      <c r="AA2062" s="173">
        <v>2.0330716759431048E-2</v>
      </c>
      <c r="AB2062" s="182">
        <v>2.0186982311818369E-2</v>
      </c>
    </row>
    <row r="2063" spans="24:28" x14ac:dyDescent="0.2">
      <c r="X2063" s="186" t="str">
        <f t="shared" si="65"/>
        <v>1w</v>
      </c>
      <c r="Y2063" s="174">
        <f>_xll.qlCalendarAdvance(Calendar,Y2062,X2063,"f",FALSE)</f>
        <v>53407</v>
      </c>
      <c r="Z2063" s="198">
        <f>_xll.qlCalendarAdvance(Calendar,Y2063,NDays&amp;"D")</f>
        <v>53413</v>
      </c>
      <c r="AA2063" s="173">
        <v>2.03348743241781E-2</v>
      </c>
      <c r="AB2063" s="182">
        <v>2.0190130453112687E-2</v>
      </c>
    </row>
    <row r="2064" spans="24:28" x14ac:dyDescent="0.2">
      <c r="X2064" s="186" t="str">
        <f t="shared" si="65"/>
        <v>1w</v>
      </c>
      <c r="Y2064" s="174">
        <f>_xll.qlCalendarAdvance(Calendar,Y2063,X2064,"f",FALSE)</f>
        <v>53414</v>
      </c>
      <c r="Z2064" s="198">
        <f>_xll.qlCalendarAdvance(Calendar,Y2064,NDays&amp;"D")</f>
        <v>53416</v>
      </c>
      <c r="AA2064" s="173">
        <v>2.0334627457144212E-2</v>
      </c>
      <c r="AB2064" s="182">
        <v>2.0192980663713556E-2</v>
      </c>
    </row>
    <row r="2065" spans="24:28" x14ac:dyDescent="0.2">
      <c r="X2065" s="186" t="str">
        <f t="shared" si="65"/>
        <v>1w</v>
      </c>
      <c r="Y2065" s="174">
        <f>_xll.qlCalendarAdvance(Calendar,Y2064,X2065,"f",FALSE)</f>
        <v>53421</v>
      </c>
      <c r="Z2065" s="198">
        <f>_xll.qlCalendarAdvance(Calendar,Y2065,NDays&amp;"D")</f>
        <v>53423</v>
      </c>
      <c r="AA2065" s="173">
        <v>2.0340204878791509E-2</v>
      </c>
      <c r="AB2065" s="182">
        <v>2.0195994434040188E-2</v>
      </c>
    </row>
    <row r="2066" spans="24:28" x14ac:dyDescent="0.2">
      <c r="X2066" s="186" t="str">
        <f t="shared" si="65"/>
        <v>1w</v>
      </c>
      <c r="Y2066" s="174">
        <f>_xll.qlCalendarAdvance(Calendar,Y2065,X2066,"f",FALSE)</f>
        <v>53428</v>
      </c>
      <c r="Z2066" s="198">
        <f>_xll.qlCalendarAdvance(Calendar,Y2066,NDays&amp;"D")</f>
        <v>53430</v>
      </c>
      <c r="AA2066" s="173">
        <v>2.0343387254522231E-2</v>
      </c>
      <c r="AB2066" s="182">
        <v>2.0199017933864027E-2</v>
      </c>
    </row>
    <row r="2067" spans="24:28" x14ac:dyDescent="0.2">
      <c r="X2067" s="186" t="str">
        <f t="shared" si="65"/>
        <v>1w</v>
      </c>
      <c r="Y2067" s="174">
        <f>_xll.qlCalendarAdvance(Calendar,Y2066,X2067,"f",FALSE)</f>
        <v>53435</v>
      </c>
      <c r="Z2067" s="198">
        <f>_xll.qlCalendarAdvance(Calendar,Y2067,NDays&amp;"D")</f>
        <v>53437</v>
      </c>
      <c r="AA2067" s="173">
        <v>2.0346579464972366E-2</v>
      </c>
      <c r="AB2067" s="182">
        <v>2.0202051163318302E-2</v>
      </c>
    </row>
    <row r="2068" spans="24:28" x14ac:dyDescent="0.2">
      <c r="X2068" s="186" t="str">
        <f t="shared" si="65"/>
        <v>1w</v>
      </c>
      <c r="Y2068" s="174">
        <f>_xll.qlCalendarAdvance(Calendar,Y2067,X2068,"f",FALSE)</f>
        <v>53442</v>
      </c>
      <c r="Z2068" s="198">
        <f>_xll.qlCalendarAdvance(Calendar,Y2068,NDays&amp;"D")</f>
        <v>53444</v>
      </c>
      <c r="AA2068" s="173">
        <v>2.034978151018902E-2</v>
      </c>
      <c r="AB2068" s="182">
        <v>2.020509412229643E-2</v>
      </c>
    </row>
    <row r="2069" spans="24:28" x14ac:dyDescent="0.2">
      <c r="X2069" s="186" t="str">
        <f t="shared" ref="X2069:X2132" si="66">X2068</f>
        <v>1w</v>
      </c>
      <c r="Y2069" s="174">
        <f>_xll.qlCalendarAdvance(Calendar,Y2068,X2069,"f",FALSE)</f>
        <v>53449</v>
      </c>
      <c r="Z2069" s="198">
        <f>_xll.qlCalendarAdvance(Calendar,Y2069,NDays&amp;"D")</f>
        <v>53451</v>
      </c>
      <c r="AA2069" s="173">
        <v>2.0352993390219284E-2</v>
      </c>
      <c r="AB2069" s="182">
        <v>2.0208146810878347E-2</v>
      </c>
    </row>
    <row r="2070" spans="24:28" x14ac:dyDescent="0.2">
      <c r="X2070" s="186" t="str">
        <f t="shared" si="66"/>
        <v>1w</v>
      </c>
      <c r="Y2070" s="174">
        <f>_xll.qlCalendarAdvance(Calendar,Y2069,X2070,"f",FALSE)</f>
        <v>53456</v>
      </c>
      <c r="Z2070" s="198">
        <f>_xll.qlCalendarAdvance(Calendar,Y2070,NDays&amp;"D")</f>
        <v>53458</v>
      </c>
      <c r="AA2070" s="173">
        <v>2.0356215105112419E-2</v>
      </c>
      <c r="AB2070" s="182">
        <v>2.0211209229010763E-2</v>
      </c>
    </row>
    <row r="2071" spans="24:28" x14ac:dyDescent="0.2">
      <c r="X2071" s="186" t="str">
        <f t="shared" si="66"/>
        <v>1w</v>
      </c>
      <c r="Y2071" s="174">
        <f>_xll.qlCalendarAdvance(Calendar,Y2070,X2071,"f",FALSE)</f>
        <v>53463</v>
      </c>
      <c r="Z2071" s="198">
        <f>_xll.qlCalendarAdvance(Calendar,Y2071,NDays&amp;"D")</f>
        <v>53465</v>
      </c>
      <c r="AA2071" s="173">
        <v>2.0359446654916818E-2</v>
      </c>
      <c r="AB2071" s="182">
        <v>2.0214281376720322E-2</v>
      </c>
    </row>
    <row r="2072" spans="24:28" x14ac:dyDescent="0.2">
      <c r="X2072" s="186" t="str">
        <f t="shared" si="66"/>
        <v>1w</v>
      </c>
      <c r="Y2072" s="174">
        <f>_xll.qlCalendarAdvance(Calendar,Y2071,X2072,"f",FALSE)</f>
        <v>53470</v>
      </c>
      <c r="Z2072" s="198">
        <f>_xll.qlCalendarAdvance(Calendar,Y2072,NDays&amp;"D")</f>
        <v>53472</v>
      </c>
      <c r="AA2072" s="173">
        <v>2.0362688039680873E-2</v>
      </c>
      <c r="AB2072" s="182">
        <v>2.0217363254007026E-2</v>
      </c>
    </row>
    <row r="2073" spans="24:28" x14ac:dyDescent="0.2">
      <c r="X2073" s="186" t="str">
        <f t="shared" si="66"/>
        <v>1w</v>
      </c>
      <c r="Y2073" s="174">
        <f>_xll.qlCalendarAdvance(Calendar,Y2072,X2073,"f",FALSE)</f>
        <v>53477</v>
      </c>
      <c r="Z2073" s="198">
        <f>_xll.qlCalendarAdvance(Calendar,Y2073,NDays&amp;"D")</f>
        <v>53479</v>
      </c>
      <c r="AA2073" s="173">
        <v>2.0365939259452549E-2</v>
      </c>
      <c r="AB2073" s="182">
        <v>2.0220454860870873E-2</v>
      </c>
    </row>
    <row r="2074" spans="24:28" x14ac:dyDescent="0.2">
      <c r="X2074" s="186" t="str">
        <f t="shared" si="66"/>
        <v>1w</v>
      </c>
      <c r="Y2074" s="174">
        <f>_xll.qlCalendarAdvance(Calendar,Y2073,X2074,"f",FALSE)</f>
        <v>53484</v>
      </c>
      <c r="Z2074" s="198">
        <f>_xll.qlCalendarAdvance(Calendar,Y2074,NDays&amp;"D")</f>
        <v>53486</v>
      </c>
      <c r="AA2074" s="173">
        <v>2.0369200314280671E-2</v>
      </c>
      <c r="AB2074" s="182">
        <v>2.0223556197311865E-2</v>
      </c>
    </row>
    <row r="2075" spans="24:28" x14ac:dyDescent="0.2">
      <c r="X2075" s="186" t="str">
        <f t="shared" si="66"/>
        <v>1w</v>
      </c>
      <c r="Y2075" s="174">
        <f>_xll.qlCalendarAdvance(Calendar,Y2074,X2075,"f",FALSE)</f>
        <v>53491</v>
      </c>
      <c r="Z2075" s="198">
        <f>_xll.qlCalendarAdvance(Calendar,Y2075,NDays&amp;"D")</f>
        <v>53493</v>
      </c>
      <c r="AA2075" s="173">
        <v>2.0372471204214926E-2</v>
      </c>
      <c r="AB2075" s="182">
        <v>2.0226667263303355E-2</v>
      </c>
    </row>
    <row r="2076" spans="24:28" x14ac:dyDescent="0.2">
      <c r="X2076" s="186" t="str">
        <f t="shared" si="66"/>
        <v>1w</v>
      </c>
      <c r="Y2076" s="174">
        <f>_xll.qlCalendarAdvance(Calendar,Y2075,X2076,"f",FALSE)</f>
        <v>53498</v>
      </c>
      <c r="Z2076" s="198">
        <f>_xll.qlCalendarAdvance(Calendar,Y2076,NDays&amp;"D")</f>
        <v>53500</v>
      </c>
      <c r="AA2076" s="173">
        <v>2.0375751929303708E-2</v>
      </c>
      <c r="AB2076" s="182">
        <v>2.0229788058898635E-2</v>
      </c>
    </row>
    <row r="2077" spans="24:28" x14ac:dyDescent="0.2">
      <c r="X2077" s="186" t="str">
        <f t="shared" si="66"/>
        <v>1w</v>
      </c>
      <c r="Y2077" s="174">
        <f>_xll.qlCalendarAdvance(Calendar,Y2076,X2077,"f",FALSE)</f>
        <v>53505</v>
      </c>
      <c r="Z2077" s="198">
        <f>_xll.qlCalendarAdvance(Calendar,Y2077,NDays&amp;"D")</f>
        <v>53507</v>
      </c>
      <c r="AA2077" s="173">
        <v>2.037904248959628E-2</v>
      </c>
      <c r="AB2077" s="182">
        <v>2.0232918584044413E-2</v>
      </c>
    </row>
    <row r="2078" spans="24:28" x14ac:dyDescent="0.2">
      <c r="X2078" s="186" t="str">
        <f t="shared" si="66"/>
        <v>1w</v>
      </c>
      <c r="Y2078" s="174">
        <f>_xll.qlCalendarAdvance(Calendar,Y2077,X2078,"f",FALSE)</f>
        <v>53512</v>
      </c>
      <c r="Z2078" s="198">
        <f>_xll.qlCalendarAdvance(Calendar,Y2078,NDays&amp;"D")</f>
        <v>53514</v>
      </c>
      <c r="AA2078" s="173">
        <v>2.0382342885142759E-2</v>
      </c>
      <c r="AB2078" s="182">
        <v>2.0236058838767335E-2</v>
      </c>
    </row>
    <row r="2079" spans="24:28" x14ac:dyDescent="0.2">
      <c r="X2079" s="186" t="str">
        <f t="shared" si="66"/>
        <v>1w</v>
      </c>
      <c r="Y2079" s="174">
        <f>_xll.qlCalendarAdvance(Calendar,Y2078,X2079,"f",FALSE)</f>
        <v>53519</v>
      </c>
      <c r="Z2079" s="198">
        <f>_xll.qlCalendarAdvance(Calendar,Y2079,NDays&amp;"D")</f>
        <v>53521</v>
      </c>
      <c r="AA2079" s="173">
        <v>2.0385653115991539E-2</v>
      </c>
      <c r="AB2079" s="182">
        <v>2.0239208823067401E-2</v>
      </c>
    </row>
    <row r="2080" spans="24:28" x14ac:dyDescent="0.2">
      <c r="X2080" s="186" t="str">
        <f t="shared" si="66"/>
        <v>1w</v>
      </c>
      <c r="Y2080" s="174">
        <f>_xll.qlCalendarAdvance(Calendar,Y2079,X2080,"f",FALSE)</f>
        <v>53526</v>
      </c>
      <c r="Z2080" s="198">
        <f>_xll.qlCalendarAdvance(Calendar,Y2080,NDays&amp;"D")</f>
        <v>53528</v>
      </c>
      <c r="AA2080" s="173">
        <v>2.0388973182192745E-2</v>
      </c>
      <c r="AB2080" s="182">
        <v>2.0242368536997901E-2</v>
      </c>
    </row>
    <row r="2081" spans="24:28" x14ac:dyDescent="0.2">
      <c r="X2081" s="186" t="str">
        <f t="shared" si="66"/>
        <v>1w</v>
      </c>
      <c r="Y2081" s="174">
        <f>_xll.qlCalendarAdvance(Calendar,Y2080,X2081,"f",FALSE)</f>
        <v>53533</v>
      </c>
      <c r="Z2081" s="198">
        <f>_xll.qlCalendarAdvance(Calendar,Y2081,NDays&amp;"D")</f>
        <v>53535</v>
      </c>
      <c r="AA2081" s="173">
        <v>2.0392303083796064E-2</v>
      </c>
      <c r="AB2081" s="182">
        <v>2.024553798042561E-2</v>
      </c>
    </row>
    <row r="2082" spans="24:28" x14ac:dyDescent="0.2">
      <c r="X2082" s="186" t="str">
        <f t="shared" si="66"/>
        <v>1w</v>
      </c>
      <c r="Y2082" s="174">
        <f>_xll.qlCalendarAdvance(Calendar,Y2081,X2082,"f",FALSE)</f>
        <v>53540</v>
      </c>
      <c r="Z2082" s="198">
        <f>_xll.qlCalendarAdvance(Calendar,Y2082,NDays&amp;"D")</f>
        <v>53542</v>
      </c>
      <c r="AA2082" s="173">
        <v>2.0395642820852485E-2</v>
      </c>
      <c r="AB2082" s="182">
        <v>2.0248717153510398E-2</v>
      </c>
    </row>
    <row r="2083" spans="24:28" x14ac:dyDescent="0.2">
      <c r="X2083" s="186" t="str">
        <f t="shared" si="66"/>
        <v>1w</v>
      </c>
      <c r="Y2083" s="174">
        <f>_xll.qlCalendarAdvance(Calendar,Y2082,X2083,"f",FALSE)</f>
        <v>53547</v>
      </c>
      <c r="Z2083" s="198">
        <f>_xll.qlCalendarAdvance(Calendar,Y2083,NDays&amp;"D")</f>
        <v>53549</v>
      </c>
      <c r="AA2083" s="173">
        <v>2.0398992393410399E-2</v>
      </c>
      <c r="AB2083" s="182">
        <v>2.025190605611904E-2</v>
      </c>
    </row>
    <row r="2084" spans="24:28" x14ac:dyDescent="0.2">
      <c r="X2084" s="186" t="str">
        <f t="shared" si="66"/>
        <v>1w</v>
      </c>
      <c r="Y2084" s="174">
        <f>_xll.qlCalendarAdvance(Calendar,Y2083,X2084,"f",FALSE)</f>
        <v>53554</v>
      </c>
      <c r="Z2084" s="198">
        <f>_xll.qlCalendarAdvance(Calendar,Y2084,NDays&amp;"D")</f>
        <v>53556</v>
      </c>
      <c r="AA2084" s="173">
        <v>2.0402351801521227E-2</v>
      </c>
      <c r="AB2084" s="182">
        <v>2.0255104688304826E-2</v>
      </c>
    </row>
    <row r="2085" spans="24:28" x14ac:dyDescent="0.2">
      <c r="X2085" s="186" t="str">
        <f t="shared" si="66"/>
        <v>1w</v>
      </c>
      <c r="Y2085" s="174">
        <f>_xll.qlCalendarAdvance(Calendar,Y2084,X2085,"f",FALSE)</f>
        <v>53561</v>
      </c>
      <c r="Z2085" s="198">
        <f>_xll.qlCalendarAdvance(Calendar,Y2085,NDays&amp;"D")</f>
        <v>53563</v>
      </c>
      <c r="AA2085" s="173">
        <v>2.0405721045235088E-2</v>
      </c>
      <c r="AB2085" s="182">
        <v>2.0258313050121046E-2</v>
      </c>
    </row>
    <row r="2086" spans="24:28" x14ac:dyDescent="0.2">
      <c r="X2086" s="186" t="str">
        <f t="shared" si="66"/>
        <v>1w</v>
      </c>
      <c r="Y2086" s="174">
        <f>_xll.qlCalendarAdvance(Calendar,Y2085,X2086,"f",FALSE)</f>
        <v>53568</v>
      </c>
      <c r="Z2086" s="198">
        <f>_xll.qlCalendarAdvance(Calendar,Y2086,NDays&amp;"D")</f>
        <v>53570</v>
      </c>
      <c r="AA2086" s="173">
        <v>2.04058158114729E-2</v>
      </c>
      <c r="AB2086" s="182">
        <v>2.0261531141487765E-2</v>
      </c>
    </row>
    <row r="2087" spans="24:28" x14ac:dyDescent="0.2">
      <c r="X2087" s="186" t="str">
        <f t="shared" si="66"/>
        <v>1w</v>
      </c>
      <c r="Y2087" s="174">
        <f>_xll.qlCalendarAdvance(Calendar,Y2086,X2087,"f",FALSE)</f>
        <v>53575</v>
      </c>
      <c r="Z2087" s="198">
        <f>_xll.qlCalendarAdvance(Calendar,Y2087,NDays&amp;"D")</f>
        <v>53577</v>
      </c>
      <c r="AA2087" s="173">
        <v>2.0409201152515974E-2</v>
      </c>
      <c r="AB2087" s="182">
        <v>2.0264758962484919E-2</v>
      </c>
    </row>
    <row r="2088" spans="24:28" x14ac:dyDescent="0.2">
      <c r="X2088" s="186" t="str">
        <f t="shared" si="66"/>
        <v>1w</v>
      </c>
      <c r="Y2088" s="174">
        <f>_xll.qlCalendarAdvance(Calendar,Y2087,X2088,"f",FALSE)</f>
        <v>53582</v>
      </c>
      <c r="Z2088" s="198">
        <f>_xll.qlCalendarAdvance(Calendar,Y2088,NDays&amp;"D")</f>
        <v>53584</v>
      </c>
      <c r="AA2088" s="173">
        <v>2.0412596326953702E-2</v>
      </c>
      <c r="AB2088" s="182">
        <v>2.0267996512979281E-2</v>
      </c>
    </row>
    <row r="2089" spans="24:28" x14ac:dyDescent="0.2">
      <c r="X2089" s="186" t="str">
        <f t="shared" si="66"/>
        <v>1w</v>
      </c>
      <c r="Y2089" s="174">
        <f>_xll.qlCalendarAdvance(Calendar,Y2088,X2089,"f",FALSE)</f>
        <v>53589</v>
      </c>
      <c r="Z2089" s="198">
        <f>_xll.qlCalendarAdvance(Calendar,Y2089,NDays&amp;"D")</f>
        <v>53591</v>
      </c>
      <c r="AA2089" s="173">
        <v>2.0416001334836866E-2</v>
      </c>
      <c r="AB2089" s="182">
        <v>2.0271243793130722E-2</v>
      </c>
    </row>
    <row r="2090" spans="24:28" x14ac:dyDescent="0.2">
      <c r="X2090" s="186" t="str">
        <f t="shared" si="66"/>
        <v>1w</v>
      </c>
      <c r="Y2090" s="174">
        <f>_xll.qlCalendarAdvance(Calendar,Y2089,X2090,"f",FALSE)</f>
        <v>53596</v>
      </c>
      <c r="Z2090" s="198">
        <f>_xll.qlCalendarAdvance(Calendar,Y2090,NDays&amp;"D")</f>
        <v>53598</v>
      </c>
      <c r="AA2090" s="173">
        <v>2.0420240657238745E-2</v>
      </c>
      <c r="AB2090" s="182">
        <v>2.0274500802832662E-2</v>
      </c>
    </row>
    <row r="2091" spans="24:28" x14ac:dyDescent="0.2">
      <c r="X2091" s="186" t="str">
        <f t="shared" si="66"/>
        <v>1w</v>
      </c>
      <c r="Y2091" s="174">
        <f>_xll.qlCalendarAdvance(Calendar,Y2090,X2091,"f",FALSE)</f>
        <v>53603</v>
      </c>
      <c r="Z2091" s="198">
        <f>_xll.qlCalendarAdvance(Calendar,Y2091,NDays&amp;"D")</f>
        <v>53605</v>
      </c>
      <c r="AA2091" s="173">
        <v>2.0423666227887865E-2</v>
      </c>
      <c r="AB2091" s="182">
        <v>2.0277767542165037E-2</v>
      </c>
    </row>
    <row r="2092" spans="24:28" x14ac:dyDescent="0.2">
      <c r="X2092" s="186" t="str">
        <f t="shared" si="66"/>
        <v>1w</v>
      </c>
      <c r="Y2092" s="174">
        <f>_xll.qlCalendarAdvance(Calendar,Y2091,X2092,"f",FALSE)</f>
        <v>53610</v>
      </c>
      <c r="Z2092" s="198">
        <f>_xll.qlCalendarAdvance(Calendar,Y2092,NDays&amp;"D")</f>
        <v>53612</v>
      </c>
      <c r="AA2092" s="173">
        <v>2.0430407892464201E-2</v>
      </c>
      <c r="AB2092" s="182">
        <v>2.0281044011021265E-2</v>
      </c>
    </row>
    <row r="2093" spans="24:28" x14ac:dyDescent="0.2">
      <c r="X2093" s="186" t="str">
        <f t="shared" si="66"/>
        <v>1w</v>
      </c>
      <c r="Y2093" s="174">
        <f>_xll.qlCalendarAdvance(Calendar,Y2092,X2093,"f",FALSE)</f>
        <v>53617</v>
      </c>
      <c r="Z2093" s="198">
        <f>_xll.qlCalendarAdvance(Calendar,Y2093,NDays&amp;"D")</f>
        <v>53619</v>
      </c>
      <c r="AA2093" s="173">
        <v>2.0430546871795689E-2</v>
      </c>
      <c r="AB2093" s="182">
        <v>2.0284330209507928E-2</v>
      </c>
    </row>
    <row r="2094" spans="24:28" x14ac:dyDescent="0.2">
      <c r="X2094" s="186" t="str">
        <f t="shared" si="66"/>
        <v>1w</v>
      </c>
      <c r="Y2094" s="174">
        <f>_xll.qlCalendarAdvance(Calendar,Y2093,X2094,"f",FALSE)</f>
        <v>53624</v>
      </c>
      <c r="Z2094" s="198">
        <f>_xll.qlCalendarAdvance(Calendar,Y2094,NDays&amp;"D")</f>
        <v>53626</v>
      </c>
      <c r="AA2094" s="173">
        <v>2.0434001945156287E-2</v>
      </c>
      <c r="AB2094" s="182">
        <v>2.0287626137571735E-2</v>
      </c>
    </row>
    <row r="2095" spans="24:28" x14ac:dyDescent="0.2">
      <c r="X2095" s="186" t="str">
        <f t="shared" si="66"/>
        <v>1w</v>
      </c>
      <c r="Y2095" s="174">
        <f>_xll.qlCalendarAdvance(Calendar,Y2094,X2095,"f",FALSE)</f>
        <v>53631</v>
      </c>
      <c r="Z2095" s="198">
        <f>_xll.qlCalendarAdvance(Calendar,Y2095,NDays&amp;"D")</f>
        <v>53633</v>
      </c>
      <c r="AA2095" s="173">
        <v>2.0436637887288275E-2</v>
      </c>
      <c r="AB2095" s="182">
        <v>2.0290931795239331E-2</v>
      </c>
    </row>
    <row r="2096" spans="24:28" x14ac:dyDescent="0.2">
      <c r="X2096" s="186" t="str">
        <f t="shared" si="66"/>
        <v>1w</v>
      </c>
      <c r="Y2096" s="174">
        <f>_xll.qlCalendarAdvance(Calendar,Y2095,X2096,"f",FALSE)</f>
        <v>53638</v>
      </c>
      <c r="Z2096" s="198">
        <f>_xll.qlCalendarAdvance(Calendar,Y2096,NDays&amp;"D")</f>
        <v>53640</v>
      </c>
      <c r="AA2096" s="173">
        <v>2.0440111730693475E-2</v>
      </c>
      <c r="AB2096" s="182">
        <v>2.0294247182457426E-2</v>
      </c>
    </row>
    <row r="2097" spans="24:28" x14ac:dyDescent="0.2">
      <c r="X2097" s="186" t="str">
        <f t="shared" si="66"/>
        <v>1w</v>
      </c>
      <c r="Y2097" s="174">
        <f>_xll.qlCalendarAdvance(Calendar,Y2096,X2097,"f",FALSE)</f>
        <v>53645</v>
      </c>
      <c r="Z2097" s="198">
        <f>_xll.qlCalendarAdvance(Calendar,Y2097,NDays&amp;"D")</f>
        <v>53647</v>
      </c>
      <c r="AA2097" s="173">
        <v>2.0443595407947764E-2</v>
      </c>
      <c r="AB2097" s="182">
        <v>2.02975722993326E-2</v>
      </c>
    </row>
    <row r="2098" spans="24:28" x14ac:dyDescent="0.2">
      <c r="X2098" s="186" t="str">
        <f t="shared" si="66"/>
        <v>1w</v>
      </c>
      <c r="Y2098" s="174">
        <f>_xll.qlCalendarAdvance(Calendar,Y2097,X2098,"f",FALSE)</f>
        <v>53652</v>
      </c>
      <c r="Z2098" s="198">
        <f>_xll.qlCalendarAdvance(Calendar,Y2098,NDays&amp;"D")</f>
        <v>53654</v>
      </c>
      <c r="AA2098" s="173">
        <v>2.0447088919101939E-2</v>
      </c>
      <c r="AB2098" s="182">
        <v>2.0300907145758273E-2</v>
      </c>
    </row>
    <row r="2099" spans="24:28" x14ac:dyDescent="0.2">
      <c r="X2099" s="186" t="str">
        <f t="shared" si="66"/>
        <v>1w</v>
      </c>
      <c r="Y2099" s="174">
        <f>_xll.qlCalendarAdvance(Calendar,Y2098,X2099,"f",FALSE)</f>
        <v>53659</v>
      </c>
      <c r="Z2099" s="198">
        <f>_xll.qlCalendarAdvance(Calendar,Y2099,NDays&amp;"D")</f>
        <v>53661</v>
      </c>
      <c r="AA2099" s="173">
        <v>2.0451424828066316E-2</v>
      </c>
      <c r="AB2099" s="182">
        <v>2.0304251721814381E-2</v>
      </c>
    </row>
    <row r="2100" spans="24:28" x14ac:dyDescent="0.2">
      <c r="X2100" s="186" t="str">
        <f t="shared" si="66"/>
        <v>1w</v>
      </c>
      <c r="Y2100" s="174">
        <f>_xll.qlCalendarAdvance(Calendar,Y2099,X2100,"f",FALSE)</f>
        <v>53666</v>
      </c>
      <c r="Z2100" s="198">
        <f>_xll.qlCalendarAdvance(Calendar,Y2100,NDays&amp;"D")</f>
        <v>53668</v>
      </c>
      <c r="AA2100" s="173">
        <v>2.0454938908229438E-2</v>
      </c>
      <c r="AB2100" s="182">
        <v>2.0307606027394343E-2</v>
      </c>
    </row>
    <row r="2101" spans="24:28" x14ac:dyDescent="0.2">
      <c r="X2101" s="186" t="str">
        <f t="shared" si="66"/>
        <v>1w</v>
      </c>
      <c r="Y2101" s="174">
        <f>_xll.qlCalendarAdvance(Calendar,Y2100,X2101,"f",FALSE)</f>
        <v>53673</v>
      </c>
      <c r="Z2101" s="198">
        <f>_xll.qlCalendarAdvance(Calendar,Y2101,NDays&amp;"D")</f>
        <v>53675</v>
      </c>
      <c r="AA2101" s="173">
        <v>2.045846282304082E-2</v>
      </c>
      <c r="AB2101" s="182">
        <v>2.0310970062604738E-2</v>
      </c>
    </row>
    <row r="2102" spans="24:28" x14ac:dyDescent="0.2">
      <c r="X2102" s="186" t="str">
        <f t="shared" si="66"/>
        <v>1w</v>
      </c>
      <c r="Y2102" s="174">
        <f>_xll.qlCalendarAdvance(Calendar,Y2101,X2102,"f",FALSE)</f>
        <v>53680</v>
      </c>
      <c r="Z2102" s="198">
        <f>_xll.qlCalendarAdvance(Calendar,Y2102,NDays&amp;"D")</f>
        <v>53682</v>
      </c>
      <c r="AA2102" s="173">
        <v>2.046199657255229E-2</v>
      </c>
      <c r="AB2102" s="182">
        <v>2.0314343827418924E-2</v>
      </c>
    </row>
    <row r="2103" spans="24:28" x14ac:dyDescent="0.2">
      <c r="X2103" s="186" t="str">
        <f t="shared" si="66"/>
        <v>1w</v>
      </c>
      <c r="Y2103" s="174">
        <f>_xll.qlCalendarAdvance(Calendar,Y2102,X2103,"f",FALSE)</f>
        <v>53688</v>
      </c>
      <c r="Z2103" s="198">
        <f>_xll.qlCalendarAdvance(Calendar,Y2103,NDays&amp;"D")</f>
        <v>53692</v>
      </c>
      <c r="AA2103" s="173">
        <v>2.0464552523582716E-2</v>
      </c>
      <c r="AB2103" s="182">
        <v>2.0318364656808363E-2</v>
      </c>
    </row>
    <row r="2104" spans="24:28" x14ac:dyDescent="0.2">
      <c r="X2104" s="186" t="str">
        <f t="shared" si="66"/>
        <v>1w</v>
      </c>
      <c r="Y2104" s="174">
        <f>_xll.qlCalendarAdvance(Calendar,Y2103,X2104,"f",FALSE)</f>
        <v>53695</v>
      </c>
      <c r="Z2104" s="198">
        <f>_xll.qlCalendarAdvance(Calendar,Y2104,NDays&amp;"D")</f>
        <v>53699</v>
      </c>
      <c r="AA2104" s="173">
        <v>2.047061948043628E-2</v>
      </c>
      <c r="AB2104" s="182">
        <v>2.0320944679843578E-2</v>
      </c>
    </row>
    <row r="2105" spans="24:28" x14ac:dyDescent="0.2">
      <c r="X2105" s="186" t="str">
        <f t="shared" si="66"/>
        <v>1w</v>
      </c>
      <c r="Y2105" s="174">
        <f>_xll.qlCalendarAdvance(Calendar,Y2104,X2105,"f",FALSE)</f>
        <v>53702</v>
      </c>
      <c r="Z2105" s="198">
        <f>_xll.qlCalendarAdvance(Calendar,Y2105,NDays&amp;"D")</f>
        <v>53706</v>
      </c>
      <c r="AA2105" s="173">
        <v>2.047418694931483E-2</v>
      </c>
      <c r="AB2105" s="182">
        <v>2.0324350028886329E-2</v>
      </c>
    </row>
    <row r="2106" spans="24:28" x14ac:dyDescent="0.2">
      <c r="X2106" s="186" t="str">
        <f t="shared" si="66"/>
        <v>1w</v>
      </c>
      <c r="Y2106" s="174">
        <f>_xll.qlCalendarAdvance(Calendar,Y2105,X2106,"f",FALSE)</f>
        <v>53709</v>
      </c>
      <c r="Z2106" s="198">
        <f>_xll.qlCalendarAdvance(Calendar,Y2106,NDays&amp;"D")</f>
        <v>53713</v>
      </c>
      <c r="AA2106" s="173">
        <v>2.0477764253125808E-2</v>
      </c>
      <c r="AB2106" s="182">
        <v>2.0327765106467055E-2</v>
      </c>
    </row>
    <row r="2107" spans="24:28" x14ac:dyDescent="0.2">
      <c r="X2107" s="186" t="str">
        <f t="shared" si="66"/>
        <v>1w</v>
      </c>
      <c r="Y2107" s="174">
        <f>_xll.qlCalendarAdvance(Calendar,Y2106,X2107,"f",FALSE)</f>
        <v>53716</v>
      </c>
      <c r="Z2107" s="198">
        <f>_xll.qlCalendarAdvance(Calendar,Y2107,NDays&amp;"D")</f>
        <v>53720</v>
      </c>
      <c r="AA2107" s="173">
        <v>2.048135139192148E-2</v>
      </c>
      <c r="AB2107" s="182">
        <v>2.0331189912266012E-2</v>
      </c>
    </row>
    <row r="2108" spans="24:28" x14ac:dyDescent="0.2">
      <c r="X2108" s="186" t="str">
        <f t="shared" si="66"/>
        <v>1w</v>
      </c>
      <c r="Y2108" s="174">
        <f>_xll.qlCalendarAdvance(Calendar,Y2107,X2108,"f",FALSE)</f>
        <v>53723</v>
      </c>
      <c r="Z2108" s="198">
        <f>_xll.qlCalendarAdvance(Calendar,Y2108,NDays&amp;"D")</f>
        <v>53727</v>
      </c>
      <c r="AA2108" s="173">
        <v>2.0484948365754992E-2</v>
      </c>
      <c r="AB2108" s="182">
        <v>2.0334624446602945E-2</v>
      </c>
    </row>
    <row r="2109" spans="24:28" x14ac:dyDescent="0.2">
      <c r="X2109" s="186" t="str">
        <f t="shared" si="66"/>
        <v>1w</v>
      </c>
      <c r="Y2109" s="174">
        <f>_xll.qlCalendarAdvance(Calendar,Y2108,X2109,"f",FALSE)</f>
        <v>53730</v>
      </c>
      <c r="Z2109" s="198">
        <f>_xll.qlCalendarAdvance(Calendar,Y2109,NDays&amp;"D")</f>
        <v>53734</v>
      </c>
      <c r="AA2109" s="173">
        <v>2.0488555174678166E-2</v>
      </c>
      <c r="AB2109" s="182">
        <v>2.033806870931798E-2</v>
      </c>
    </row>
    <row r="2110" spans="24:28" x14ac:dyDescent="0.2">
      <c r="X2110" s="186" t="str">
        <f t="shared" si="66"/>
        <v>1w</v>
      </c>
      <c r="Y2110" s="174">
        <f>_xll.qlCalendarAdvance(Calendar,Y2109,X2110,"f",FALSE)</f>
        <v>53737</v>
      </c>
      <c r="Z2110" s="198">
        <f>_xll.qlCalendarAdvance(Calendar,Y2110,NDays&amp;"D")</f>
        <v>53741</v>
      </c>
      <c r="AA2110" s="173">
        <v>2.0492171818745911E-2</v>
      </c>
      <c r="AB2110" s="182">
        <v>2.0341522700570991E-2</v>
      </c>
    </row>
    <row r="2111" spans="24:28" x14ac:dyDescent="0.2">
      <c r="X2111" s="186" t="str">
        <f t="shared" si="66"/>
        <v>1w</v>
      </c>
      <c r="Y2111" s="174">
        <f>_xll.qlCalendarAdvance(Calendar,Y2110,X2111,"f",FALSE)</f>
        <v>53744</v>
      </c>
      <c r="Z2111" s="198">
        <f>_xll.qlCalendarAdvance(Calendar,Y2111,NDays&amp;"D")</f>
        <v>53748</v>
      </c>
      <c r="AA2111" s="173">
        <v>2.0495798298011368E-2</v>
      </c>
      <c r="AB2111" s="182">
        <v>2.0344986420122169E-2</v>
      </c>
    </row>
    <row r="2112" spans="24:28" x14ac:dyDescent="0.2">
      <c r="X2112" s="186" t="str">
        <f t="shared" si="66"/>
        <v>1w</v>
      </c>
      <c r="Y2112" s="174">
        <f>_xll.qlCalendarAdvance(Calendar,Y2111,X2112,"f",FALSE)</f>
        <v>53751</v>
      </c>
      <c r="Z2112" s="198">
        <f>_xll.qlCalendarAdvance(Calendar,Y2112,NDays&amp;"D")</f>
        <v>53755</v>
      </c>
      <c r="AA2112" s="173">
        <v>2.0501124395394244E-2</v>
      </c>
      <c r="AB2112" s="182">
        <v>2.0348459868131386E-2</v>
      </c>
    </row>
    <row r="2113" spans="24:28" x14ac:dyDescent="0.2">
      <c r="X2113" s="186" t="str">
        <f t="shared" si="66"/>
        <v>1w</v>
      </c>
      <c r="Y2113" s="174">
        <f>_xll.qlCalendarAdvance(Calendar,Y2112,X2113,"f",FALSE)</f>
        <v>53758</v>
      </c>
      <c r="Z2113" s="198">
        <f>_xll.qlCalendarAdvance(Calendar,Y2113,NDays&amp;"D")</f>
        <v>53762</v>
      </c>
      <c r="AA2113" s="173">
        <v>2.0504772363611312E-2</v>
      </c>
      <c r="AB2113" s="182">
        <v>2.0351943044678578E-2</v>
      </c>
    </row>
    <row r="2114" spans="24:28" x14ac:dyDescent="0.2">
      <c r="X2114" s="186" t="str">
        <f t="shared" si="66"/>
        <v>1w</v>
      </c>
      <c r="Y2114" s="174">
        <f>_xll.qlCalendarAdvance(Calendar,Y2113,X2114,"f",FALSE)</f>
        <v>53765</v>
      </c>
      <c r="Z2114" s="198">
        <f>_xll.qlCalendarAdvance(Calendar,Y2114,NDays&amp;"D")</f>
        <v>53769</v>
      </c>
      <c r="AA2114" s="173">
        <v>2.0508430168381688E-2</v>
      </c>
      <c r="AB2114" s="182">
        <v>2.0355435949683809E-2</v>
      </c>
    </row>
    <row r="2115" spans="24:28" x14ac:dyDescent="0.2">
      <c r="X2115" s="186" t="str">
        <f t="shared" si="66"/>
        <v>1w</v>
      </c>
      <c r="Y2115" s="174">
        <f>_xll.qlCalendarAdvance(Calendar,Y2114,X2115,"f",FALSE)</f>
        <v>53772</v>
      </c>
      <c r="Z2115" s="198">
        <f>_xll.qlCalendarAdvance(Calendar,Y2115,NDays&amp;"D")</f>
        <v>53776</v>
      </c>
      <c r="AA2115" s="173">
        <v>2.0512097809760987E-2</v>
      </c>
      <c r="AB2115" s="182">
        <v>2.0358938582987207E-2</v>
      </c>
    </row>
    <row r="2116" spans="24:28" x14ac:dyDescent="0.2">
      <c r="X2116" s="186" t="str">
        <f t="shared" si="66"/>
        <v>1w</v>
      </c>
      <c r="Y2116" s="174">
        <f>_xll.qlCalendarAdvance(Calendar,Y2115,X2116,"f",FALSE)</f>
        <v>53779</v>
      </c>
      <c r="Z2116" s="198">
        <f>_xll.qlCalendarAdvance(Calendar,Y2116,NDays&amp;"D")</f>
        <v>53783</v>
      </c>
      <c r="AA2116" s="173">
        <v>2.0514926696439732E-2</v>
      </c>
      <c r="AB2116" s="182">
        <v>2.0362450944828581E-2</v>
      </c>
    </row>
    <row r="2117" spans="24:28" x14ac:dyDescent="0.2">
      <c r="X2117" s="186" t="str">
        <f t="shared" si="66"/>
        <v>1w</v>
      </c>
      <c r="Y2117" s="174">
        <f>_xll.qlCalendarAdvance(Calendar,Y2116,X2117,"f",FALSE)</f>
        <v>53786</v>
      </c>
      <c r="Z2117" s="198">
        <f>_xll.qlCalendarAdvance(Calendar,Y2117,NDays&amp;"D")</f>
        <v>53790</v>
      </c>
      <c r="AA2117" s="173">
        <v>2.051861309955998E-2</v>
      </c>
      <c r="AB2117" s="182">
        <v>2.0365973035048057E-2</v>
      </c>
    </row>
    <row r="2118" spans="24:28" x14ac:dyDescent="0.2">
      <c r="X2118" s="186" t="str">
        <f t="shared" si="66"/>
        <v>1w</v>
      </c>
      <c r="Y2118" s="174">
        <f>_xll.qlCalendarAdvance(Calendar,Y2117,X2118,"f",FALSE)</f>
        <v>53793</v>
      </c>
      <c r="Z2118" s="198">
        <f>_xll.qlCalendarAdvance(Calendar,Y2118,NDays&amp;"D")</f>
        <v>53799</v>
      </c>
      <c r="AA2118" s="173">
        <v>2.0523367213876625E-2</v>
      </c>
      <c r="AB2118" s="182">
        <v>2.0370515731586991E-2</v>
      </c>
    </row>
    <row r="2119" spans="24:28" x14ac:dyDescent="0.2">
      <c r="X2119" s="186" t="str">
        <f t="shared" si="66"/>
        <v>1w</v>
      </c>
      <c r="Y2119" s="174">
        <f>_xll.qlCalendarAdvance(Calendar,Y2118,X2119,"f",FALSE)</f>
        <v>53800</v>
      </c>
      <c r="Z2119" s="198">
        <f>_xll.qlCalendarAdvance(Calendar,Y2119,NDays&amp;"D")</f>
        <v>53804</v>
      </c>
      <c r="AA2119" s="173">
        <v>2.052601541437879E-2</v>
      </c>
      <c r="AB2119" s="182">
        <v>2.0373046400861128E-2</v>
      </c>
    </row>
    <row r="2120" spans="24:28" x14ac:dyDescent="0.2">
      <c r="X2120" s="186" t="str">
        <f t="shared" si="66"/>
        <v>1w</v>
      </c>
      <c r="Y2120" s="174">
        <f>_xll.qlCalendarAdvance(Calendar,Y2119,X2120,"f",FALSE)</f>
        <v>53807</v>
      </c>
      <c r="Z2120" s="198">
        <f>_xll.qlCalendarAdvance(Calendar,Y2120,NDays&amp;"D")</f>
        <v>53811</v>
      </c>
      <c r="AA2120" s="173">
        <v>2.0529731326186119E-2</v>
      </c>
      <c r="AB2120" s="182">
        <v>2.0376597676534658E-2</v>
      </c>
    </row>
    <row r="2121" spans="24:28" x14ac:dyDescent="0.2">
      <c r="X2121" s="186" t="str">
        <f t="shared" si="66"/>
        <v>1w</v>
      </c>
      <c r="Y2121" s="174">
        <f>_xll.qlCalendarAdvance(Calendar,Y2120,X2121,"f",FALSE)</f>
        <v>53814</v>
      </c>
      <c r="Z2121" s="198">
        <f>_xll.qlCalendarAdvance(Calendar,Y2121,NDays&amp;"D")</f>
        <v>53818</v>
      </c>
      <c r="AA2121" s="173">
        <v>2.0534310229891172E-2</v>
      </c>
      <c r="AB2121" s="182">
        <v>2.0380158680506355E-2</v>
      </c>
    </row>
    <row r="2122" spans="24:28" x14ac:dyDescent="0.2">
      <c r="X2122" s="186" t="str">
        <f t="shared" si="66"/>
        <v>1w</v>
      </c>
      <c r="Y2122" s="174">
        <f>_xll.qlCalendarAdvance(Calendar,Y2121,X2122,"f",FALSE)</f>
        <v>53821</v>
      </c>
      <c r="Z2122" s="198">
        <f>_xll.qlCalendarAdvance(Calendar,Y2122,NDays&amp;"D")</f>
        <v>53825</v>
      </c>
      <c r="AA2122" s="173">
        <v>2.0538046729070801E-2</v>
      </c>
      <c r="AB2122" s="182">
        <v>2.0383729412936091E-2</v>
      </c>
    </row>
    <row r="2123" spans="24:28" x14ac:dyDescent="0.2">
      <c r="X2123" s="186" t="str">
        <f t="shared" si="66"/>
        <v>1w</v>
      </c>
      <c r="Y2123" s="174">
        <f>_xll.qlCalendarAdvance(Calendar,Y2122,X2123,"f",FALSE)</f>
        <v>53828</v>
      </c>
      <c r="Z2123" s="198">
        <f>_xll.qlCalendarAdvance(Calendar,Y2123,NDays&amp;"D")</f>
        <v>53832</v>
      </c>
      <c r="AA2123" s="173">
        <v>2.0541793065300733E-2</v>
      </c>
      <c r="AB2123" s="182">
        <v>2.0387309873743931E-2</v>
      </c>
    </row>
    <row r="2124" spans="24:28" x14ac:dyDescent="0.2">
      <c r="X2124" s="186" t="str">
        <f t="shared" si="66"/>
        <v>1w</v>
      </c>
      <c r="Y2124" s="174">
        <f>_xll.qlCalendarAdvance(Calendar,Y2123,X2124,"f",FALSE)</f>
        <v>53835</v>
      </c>
      <c r="Z2124" s="198">
        <f>_xll.qlCalendarAdvance(Calendar,Y2124,NDays&amp;"D")</f>
        <v>53839</v>
      </c>
      <c r="AA2124" s="173">
        <v>2.054554923863745E-2</v>
      </c>
      <c r="AB2124" s="182">
        <v>2.0390900063169681E-2</v>
      </c>
    </row>
    <row r="2125" spans="24:28" x14ac:dyDescent="0.2">
      <c r="X2125" s="186" t="str">
        <f t="shared" si="66"/>
        <v>1w</v>
      </c>
      <c r="Y2125" s="174">
        <f>_xll.qlCalendarAdvance(Calendar,Y2124,X2125,"f",FALSE)</f>
        <v>53842</v>
      </c>
      <c r="Z2125" s="198">
        <f>_xll.qlCalendarAdvance(Calendar,Y2125,NDays&amp;"D")</f>
        <v>53846</v>
      </c>
      <c r="AA2125" s="173">
        <v>2.0548458431415721E-2</v>
      </c>
      <c r="AB2125" s="182">
        <v>2.0394499980893599E-2</v>
      </c>
    </row>
    <row r="2126" spans="24:28" x14ac:dyDescent="0.2">
      <c r="X2126" s="186" t="str">
        <f t="shared" si="66"/>
        <v>1w</v>
      </c>
      <c r="Y2126" s="174">
        <f>_xll.qlCalendarAdvance(Calendar,Y2125,X2126,"f",FALSE)</f>
        <v>53849</v>
      </c>
      <c r="Z2126" s="198">
        <f>_xll.qlCalendarAdvance(Calendar,Y2126,NDays&amp;"D")</f>
        <v>53853</v>
      </c>
      <c r="AA2126" s="173">
        <v>2.0552233362089344E-2</v>
      </c>
      <c r="AB2126" s="182">
        <v>2.0398109627155492E-2</v>
      </c>
    </row>
    <row r="2127" spans="24:28" x14ac:dyDescent="0.2">
      <c r="X2127" s="186" t="str">
        <f t="shared" si="66"/>
        <v>1w</v>
      </c>
      <c r="Y2127" s="174">
        <f>_xll.qlCalendarAdvance(Calendar,Y2126,X2127,"f",FALSE)</f>
        <v>53856</v>
      </c>
      <c r="Z2127" s="198">
        <f>_xll.qlCalendarAdvance(Calendar,Y2127,NDays&amp;"D")</f>
        <v>53860</v>
      </c>
      <c r="AA2127" s="173">
        <v>2.0556018129435649E-2</v>
      </c>
      <c r="AB2127" s="182">
        <v>2.0401729001795488E-2</v>
      </c>
    </row>
    <row r="2128" spans="24:28" x14ac:dyDescent="0.2">
      <c r="X2128" s="186" t="str">
        <f t="shared" si="66"/>
        <v>1w</v>
      </c>
      <c r="Y2128" s="174">
        <f>_xll.qlCalendarAdvance(Calendar,Y2127,X2128,"f",FALSE)</f>
        <v>53863</v>
      </c>
      <c r="Z2128" s="198">
        <f>_xll.qlCalendarAdvance(Calendar,Y2128,NDays&amp;"D")</f>
        <v>53867</v>
      </c>
      <c r="AA2128" s="173">
        <v>2.0559812733511415E-2</v>
      </c>
      <c r="AB2128" s="182">
        <v>2.0405358104893523E-2</v>
      </c>
    </row>
    <row r="2129" spans="24:28" x14ac:dyDescent="0.2">
      <c r="X2129" s="186" t="str">
        <f t="shared" si="66"/>
        <v>1w</v>
      </c>
      <c r="Y2129" s="174">
        <f>_xll.qlCalendarAdvance(Calendar,Y2128,X2129,"f",FALSE)</f>
        <v>53870</v>
      </c>
      <c r="Z2129" s="198">
        <f>_xll.qlCalendarAdvance(Calendar,Y2129,NDays&amp;"D")</f>
        <v>53874</v>
      </c>
      <c r="AA2129" s="173">
        <v>2.056533827377361E-2</v>
      </c>
      <c r="AB2129" s="182">
        <v>2.0408996936449597E-2</v>
      </c>
    </row>
    <row r="2130" spans="24:28" x14ac:dyDescent="0.2">
      <c r="X2130" s="186" t="str">
        <f t="shared" si="66"/>
        <v>1w</v>
      </c>
      <c r="Y2130" s="174">
        <f>_xll.qlCalendarAdvance(Calendar,Y2129,X2130,"f",FALSE)</f>
        <v>53877</v>
      </c>
      <c r="Z2130" s="198">
        <f>_xll.qlCalendarAdvance(Calendar,Y2130,NDays&amp;"D")</f>
        <v>53881</v>
      </c>
      <c r="AA2130" s="173">
        <v>2.0568292861037198E-2</v>
      </c>
      <c r="AB2130" s="182">
        <v>2.0412645496383774E-2</v>
      </c>
    </row>
    <row r="2131" spans="24:28" x14ac:dyDescent="0.2">
      <c r="X2131" s="186" t="str">
        <f t="shared" si="66"/>
        <v>1w</v>
      </c>
      <c r="Y2131" s="174">
        <f>_xll.qlCalendarAdvance(Calendar,Y2130,X2131,"f",FALSE)</f>
        <v>53884</v>
      </c>
      <c r="Z2131" s="198">
        <f>_xll.qlCalendarAdvance(Calendar,Y2131,NDays&amp;"D")</f>
        <v>53888</v>
      </c>
      <c r="AA2131" s="173">
        <v>2.0572117895695775E-2</v>
      </c>
      <c r="AB2131" s="182">
        <v>2.0416303784935863E-2</v>
      </c>
    </row>
    <row r="2132" spans="24:28" x14ac:dyDescent="0.2">
      <c r="X2132" s="186" t="str">
        <f t="shared" si="66"/>
        <v>1w</v>
      </c>
      <c r="Y2132" s="174">
        <f>_xll.qlCalendarAdvance(Calendar,Y2131,X2132,"f",FALSE)</f>
        <v>53891</v>
      </c>
      <c r="Z2132" s="198">
        <f>_xll.qlCalendarAdvance(Calendar,Y2132,NDays&amp;"D")</f>
        <v>53895</v>
      </c>
      <c r="AA2132" s="173">
        <v>2.0575952767913377E-2</v>
      </c>
      <c r="AB2132" s="182">
        <v>2.0419971801786119E-2</v>
      </c>
    </row>
    <row r="2133" spans="24:28" x14ac:dyDescent="0.2">
      <c r="X2133" s="186" t="str">
        <f t="shared" ref="X2133:X2196" si="67">X2132</f>
        <v>1w</v>
      </c>
      <c r="Y2133" s="174">
        <f>_xll.qlCalendarAdvance(Calendar,Y2132,X2133,"f",FALSE)</f>
        <v>53898</v>
      </c>
      <c r="Z2133" s="198">
        <f>_xll.qlCalendarAdvance(Calendar,Y2133,NDays&amp;"D")</f>
        <v>53902</v>
      </c>
      <c r="AA2133" s="173">
        <v>2.0579797477746055E-2</v>
      </c>
      <c r="AB2133" s="182">
        <v>2.042364954717435E-2</v>
      </c>
    </row>
    <row r="2134" spans="24:28" x14ac:dyDescent="0.2">
      <c r="X2134" s="186" t="str">
        <f t="shared" si="67"/>
        <v>1w</v>
      </c>
      <c r="Y2134" s="174">
        <f>_xll.qlCalendarAdvance(Calendar,Y2133,X2134,"f",FALSE)</f>
        <v>53905</v>
      </c>
      <c r="Z2134" s="198">
        <f>_xll.qlCalendarAdvance(Calendar,Y2134,NDays&amp;"D")</f>
        <v>53909</v>
      </c>
      <c r="AA2134" s="173">
        <v>2.0583652025251579E-2</v>
      </c>
      <c r="AB2134" s="182">
        <v>2.0427337020860747E-2</v>
      </c>
    </row>
    <row r="2135" spans="24:28" x14ac:dyDescent="0.2">
      <c r="X2135" s="186" t="str">
        <f t="shared" si="67"/>
        <v>1w</v>
      </c>
      <c r="Y2135" s="174">
        <f>_xll.qlCalendarAdvance(Calendar,Y2134,X2135,"f",FALSE)</f>
        <v>53912</v>
      </c>
      <c r="Z2135" s="198">
        <f>_xll.qlCalendarAdvance(Calendar,Y2135,NDays&amp;"D")</f>
        <v>53916</v>
      </c>
      <c r="AA2135" s="173">
        <v>2.0587516410489472E-2</v>
      </c>
      <c r="AB2135" s="182">
        <v>2.0431034223085121E-2</v>
      </c>
    </row>
    <row r="2136" spans="24:28" x14ac:dyDescent="0.2">
      <c r="X2136" s="186" t="str">
        <f t="shared" si="67"/>
        <v>1w</v>
      </c>
      <c r="Y2136" s="174">
        <f>_xll.qlCalendarAdvance(Calendar,Y2135,X2136,"f",FALSE)</f>
        <v>53919</v>
      </c>
      <c r="Z2136" s="198">
        <f>_xll.qlCalendarAdvance(Calendar,Y2136,NDays&amp;"D")</f>
        <v>53923</v>
      </c>
      <c r="AA2136" s="173">
        <v>2.0591390633514905E-2</v>
      </c>
      <c r="AB2136" s="182">
        <v>2.0434741153767533E-2</v>
      </c>
    </row>
    <row r="2137" spans="24:28" x14ac:dyDescent="0.2">
      <c r="X2137" s="186" t="str">
        <f t="shared" si="67"/>
        <v>1w</v>
      </c>
      <c r="Y2137" s="174">
        <f>_xll.qlCalendarAdvance(Calendar,Y2136,X2137,"f",FALSE)</f>
        <v>53926</v>
      </c>
      <c r="Z2137" s="198">
        <f>_xll.qlCalendarAdvance(Calendar,Y2137,NDays&amp;"D")</f>
        <v>53930</v>
      </c>
      <c r="AA2137" s="173">
        <v>2.0595274694386531E-2</v>
      </c>
      <c r="AB2137" s="182">
        <v>2.0438457812748112E-2</v>
      </c>
    </row>
    <row r="2138" spans="24:28" x14ac:dyDescent="0.2">
      <c r="X2138" s="186" t="str">
        <f t="shared" si="67"/>
        <v>1w</v>
      </c>
      <c r="Y2138" s="174">
        <f>_xll.qlCalendarAdvance(Calendar,Y2137,X2138,"f",FALSE)</f>
        <v>53933</v>
      </c>
      <c r="Z2138" s="198">
        <f>_xll.qlCalendarAdvance(Calendar,Y2138,NDays&amp;"D")</f>
        <v>53937</v>
      </c>
      <c r="AA2138" s="173">
        <v>2.0597431141744334E-2</v>
      </c>
      <c r="AB2138" s="182">
        <v>2.0442184200426539E-2</v>
      </c>
    </row>
    <row r="2139" spans="24:28" x14ac:dyDescent="0.2">
      <c r="X2139" s="186" t="str">
        <f t="shared" si="67"/>
        <v>1w</v>
      </c>
      <c r="Y2139" s="174">
        <f>_xll.qlCalendarAdvance(Calendar,Y2138,X2139,"f",FALSE)</f>
        <v>53940</v>
      </c>
      <c r="Z2139" s="198">
        <f>_xll.qlCalendarAdvance(Calendar,Y2139,NDays&amp;"D")</f>
        <v>53944</v>
      </c>
      <c r="AA2139" s="173">
        <v>2.0601333028791646E-2</v>
      </c>
      <c r="AB2139" s="182">
        <v>2.044592031624326E-2</v>
      </c>
    </row>
    <row r="2140" spans="24:28" x14ac:dyDescent="0.2">
      <c r="X2140" s="186" t="str">
        <f t="shared" si="67"/>
        <v>1w</v>
      </c>
      <c r="Y2140" s="174">
        <f>_xll.qlCalendarAdvance(Calendar,Y2139,X2140,"f",FALSE)</f>
        <v>53947</v>
      </c>
      <c r="Z2140" s="198">
        <f>_xll.qlCalendarAdvance(Calendar,Y2140,NDays&amp;"D")</f>
        <v>53951</v>
      </c>
      <c r="AA2140" s="173">
        <v>2.0605244752647685E-2</v>
      </c>
      <c r="AB2140" s="182">
        <v>2.0449666160757829E-2</v>
      </c>
    </row>
    <row r="2141" spans="24:28" x14ac:dyDescent="0.2">
      <c r="X2141" s="186" t="str">
        <f t="shared" si="67"/>
        <v>1w</v>
      </c>
      <c r="Y2141" s="174">
        <f>_xll.qlCalendarAdvance(Calendar,Y2140,X2141,"f",FALSE)</f>
        <v>53954</v>
      </c>
      <c r="Z2141" s="198">
        <f>_xll.qlCalendarAdvance(Calendar,Y2141,NDays&amp;"D")</f>
        <v>53958</v>
      </c>
      <c r="AA2141" s="173">
        <v>2.0609166313369554E-2</v>
      </c>
      <c r="AB2141" s="182">
        <v>2.0453421733650501E-2</v>
      </c>
    </row>
    <row r="2142" spans="24:28" x14ac:dyDescent="0.2">
      <c r="X2142" s="186" t="str">
        <f t="shared" si="67"/>
        <v>1w</v>
      </c>
      <c r="Y2142" s="174">
        <f>_xll.qlCalendarAdvance(Calendar,Y2141,X2142,"f",FALSE)</f>
        <v>53961</v>
      </c>
      <c r="Z2142" s="198">
        <f>_xll.qlCalendarAdvance(Calendar,Y2142,NDays&amp;"D")</f>
        <v>53965</v>
      </c>
      <c r="AA2142" s="173">
        <v>2.0613970078919235E-2</v>
      </c>
      <c r="AB2142" s="182">
        <v>2.0457187035001212E-2</v>
      </c>
    </row>
    <row r="2143" spans="24:28" x14ac:dyDescent="0.2">
      <c r="X2143" s="186" t="str">
        <f t="shared" si="67"/>
        <v>1w</v>
      </c>
      <c r="Y2143" s="174">
        <f>_xll.qlCalendarAdvance(Calendar,Y2142,X2143,"f",FALSE)</f>
        <v>53968</v>
      </c>
      <c r="Z2143" s="198">
        <f>_xll.qlCalendarAdvance(Calendar,Y2143,NDays&amp;"D")</f>
        <v>53972</v>
      </c>
      <c r="AA2143" s="173">
        <v>2.0617912240769525E-2</v>
      </c>
      <c r="AB2143" s="182">
        <v>2.0460962064730026E-2</v>
      </c>
    </row>
    <row r="2144" spans="24:28" x14ac:dyDescent="0.2">
      <c r="X2144" s="186" t="str">
        <f t="shared" si="67"/>
        <v>1w</v>
      </c>
      <c r="Y2144" s="174">
        <f>_xll.qlCalendarAdvance(Calendar,Y2143,X2144,"f",FALSE)</f>
        <v>53975</v>
      </c>
      <c r="Z2144" s="198">
        <f>_xll.qlCalendarAdvance(Calendar,Y2144,NDays&amp;"D")</f>
        <v>53979</v>
      </c>
      <c r="AA2144" s="173">
        <v>2.0621864240266578E-2</v>
      </c>
      <c r="AB2144" s="182">
        <v>2.0464746822836943E-2</v>
      </c>
    </row>
    <row r="2145" spans="24:28" x14ac:dyDescent="0.2">
      <c r="X2145" s="186" t="str">
        <f t="shared" si="67"/>
        <v>1w</v>
      </c>
      <c r="Y2145" s="174">
        <f>_xll.qlCalendarAdvance(Calendar,Y2144,X2145,"f",FALSE)</f>
        <v>53982</v>
      </c>
      <c r="Z2145" s="198">
        <f>_xll.qlCalendarAdvance(Calendar,Y2145,NDays&amp;"D")</f>
        <v>53986</v>
      </c>
      <c r="AA2145" s="173">
        <v>2.0625826077470235E-2</v>
      </c>
      <c r="AB2145" s="182">
        <v>2.0468541309641708E-2</v>
      </c>
    </row>
    <row r="2146" spans="24:28" x14ac:dyDescent="0.2">
      <c r="X2146" s="186" t="str">
        <f t="shared" si="67"/>
        <v>1w</v>
      </c>
      <c r="Y2146" s="174">
        <f>_xll.qlCalendarAdvance(Calendar,Y2145,X2146,"f",FALSE)</f>
        <v>53989</v>
      </c>
      <c r="Z2146" s="198">
        <f>_xll.qlCalendarAdvance(Calendar,Y2146,NDays&amp;"D")</f>
        <v>53993</v>
      </c>
      <c r="AA2146" s="173">
        <v>2.062979775243947E-2</v>
      </c>
      <c r="AB2146" s="182">
        <v>2.0472345524824576E-2</v>
      </c>
    </row>
    <row r="2147" spans="24:28" x14ac:dyDescent="0.2">
      <c r="X2147" s="186" t="str">
        <f t="shared" si="67"/>
        <v>1w</v>
      </c>
      <c r="Y2147" s="174">
        <f>_xll.qlCalendarAdvance(Calendar,Y2146,X2147,"f",FALSE)</f>
        <v>53996</v>
      </c>
      <c r="Z2147" s="198">
        <f>_xll.qlCalendarAdvance(Calendar,Y2147,NDays&amp;"D")</f>
        <v>54000</v>
      </c>
      <c r="AA2147" s="173">
        <v>2.0632902255138551E-2</v>
      </c>
      <c r="AB2147" s="182">
        <v>2.0476159468465482E-2</v>
      </c>
    </row>
    <row r="2148" spans="24:28" x14ac:dyDescent="0.2">
      <c r="X2148" s="186" t="str">
        <f t="shared" si="67"/>
        <v>1w</v>
      </c>
      <c r="Y2148" s="174">
        <f>_xll.qlCalendarAdvance(Calendar,Y2147,X2148,"f",FALSE)</f>
        <v>54003</v>
      </c>
      <c r="Z2148" s="198">
        <f>_xll.qlCalendarAdvance(Calendar,Y2148,NDays&amp;"D")</f>
        <v>54007</v>
      </c>
      <c r="AA2148" s="173">
        <v>2.0636892675550238E-2</v>
      </c>
      <c r="AB2148" s="182">
        <v>2.0479983140244684E-2</v>
      </c>
    </row>
    <row r="2149" spans="24:28" x14ac:dyDescent="0.2">
      <c r="X2149" s="186" t="str">
        <f t="shared" si="67"/>
        <v>1w</v>
      </c>
      <c r="Y2149" s="174">
        <f>_xll.qlCalendarAdvance(Calendar,Y2148,X2149,"f",FALSE)</f>
        <v>54010</v>
      </c>
      <c r="Z2149" s="198">
        <f>_xll.qlCalendarAdvance(Calendar,Y2149,NDays&amp;"D")</f>
        <v>54014</v>
      </c>
      <c r="AA2149" s="173">
        <v>2.0640892933295508E-2</v>
      </c>
      <c r="AB2149" s="182">
        <v>2.0483816540801669E-2</v>
      </c>
    </row>
    <row r="2150" spans="24:28" x14ac:dyDescent="0.2">
      <c r="X2150" s="186" t="str">
        <f t="shared" si="67"/>
        <v>1w</v>
      </c>
      <c r="Y2150" s="174">
        <f>_xll.qlCalendarAdvance(Calendar,Y2149,X2150,"f",FALSE)</f>
        <v>54017</v>
      </c>
      <c r="Z2150" s="198">
        <f>_xll.qlCalendarAdvance(Calendar,Y2150,NDays&amp;"D")</f>
        <v>54021</v>
      </c>
      <c r="AA2150" s="173">
        <v>2.064490302843322E-2</v>
      </c>
      <c r="AB2150" s="182">
        <v>2.0487659669736757E-2</v>
      </c>
    </row>
    <row r="2151" spans="24:28" x14ac:dyDescent="0.2">
      <c r="X2151" s="186" t="str">
        <f t="shared" si="67"/>
        <v>1w</v>
      </c>
      <c r="Y2151" s="174">
        <f>_xll.qlCalendarAdvance(Calendar,Y2150,X2151,"f",FALSE)</f>
        <v>54024</v>
      </c>
      <c r="Z2151" s="198">
        <f>_xll.qlCalendarAdvance(Calendar,Y2151,NDays&amp;"D")</f>
        <v>54028</v>
      </c>
      <c r="AA2151" s="173">
        <v>2.0649803695824444E-2</v>
      </c>
      <c r="AB2151" s="182">
        <v>2.0491512526970013E-2</v>
      </c>
    </row>
    <row r="2152" spans="24:28" x14ac:dyDescent="0.2">
      <c r="X2152" s="186" t="str">
        <f t="shared" si="67"/>
        <v>1w</v>
      </c>
      <c r="Y2152" s="174">
        <f>_xll.qlCalendarAdvance(Calendar,Y2151,X2152,"f",FALSE)</f>
        <v>54031</v>
      </c>
      <c r="Z2152" s="198">
        <f>_xll.qlCalendarAdvance(Calendar,Y2152,NDays&amp;"D")</f>
        <v>54035</v>
      </c>
      <c r="AA2152" s="173">
        <v>2.0653834398625916E-2</v>
      </c>
      <c r="AB2152" s="182">
        <v>2.0495375112821179E-2</v>
      </c>
    </row>
    <row r="2153" spans="24:28" x14ac:dyDescent="0.2">
      <c r="X2153" s="186" t="str">
        <f t="shared" si="67"/>
        <v>1w</v>
      </c>
      <c r="Y2153" s="174">
        <f>_xll.qlCalendarAdvance(Calendar,Y2152,X2153,"f",FALSE)</f>
        <v>54038</v>
      </c>
      <c r="Z2153" s="198">
        <f>_xll.qlCalendarAdvance(Calendar,Y2153,NDays&amp;"D")</f>
        <v>54042</v>
      </c>
      <c r="AA2153" s="173">
        <v>2.0657874939607496E-2</v>
      </c>
      <c r="AB2153" s="182">
        <v>2.0499247427130385E-2</v>
      </c>
    </row>
    <row r="2154" spans="24:28" x14ac:dyDescent="0.2">
      <c r="X2154" s="186" t="str">
        <f t="shared" si="67"/>
        <v>1w</v>
      </c>
      <c r="Y2154" s="174">
        <f>_xll.qlCalendarAdvance(Calendar,Y2153,X2154,"f",FALSE)</f>
        <v>54045</v>
      </c>
      <c r="Z2154" s="198">
        <f>_xll.qlCalendarAdvance(Calendar,Y2154,NDays&amp;"D")</f>
        <v>54049</v>
      </c>
      <c r="AA2154" s="173">
        <v>2.0661925318829898E-2</v>
      </c>
      <c r="AB2154" s="182">
        <v>2.050312946989763E-2</v>
      </c>
    </row>
    <row r="2155" spans="24:28" x14ac:dyDescent="0.2">
      <c r="X2155" s="186" t="str">
        <f t="shared" si="67"/>
        <v>1w</v>
      </c>
      <c r="Y2155" s="174">
        <f>_xll.qlCalendarAdvance(Calendar,Y2154,X2155,"f",FALSE)</f>
        <v>54053</v>
      </c>
      <c r="Z2155" s="198">
        <f>_xll.qlCalendarAdvance(Calendar,Y2155,NDays&amp;"D")</f>
        <v>54057</v>
      </c>
      <c r="AA2155" s="173">
        <v>2.0665681767727675E-2</v>
      </c>
      <c r="AB2155" s="182">
        <v>2.0508440610544909E-2</v>
      </c>
    </row>
    <row r="2156" spans="24:28" x14ac:dyDescent="0.2">
      <c r="X2156" s="186" t="str">
        <f t="shared" si="67"/>
        <v>1w</v>
      </c>
      <c r="Y2156" s="174">
        <f>_xll.qlCalendarAdvance(Calendar,Y2155,X2156,"f",FALSE)</f>
        <v>54060</v>
      </c>
      <c r="Z2156" s="198">
        <f>_xll.qlCalendarAdvance(Calendar,Y2156,NDays&amp;"D")</f>
        <v>54064</v>
      </c>
      <c r="AA2156" s="173">
        <v>2.0669752293862295E-2</v>
      </c>
      <c r="AB2156" s="182">
        <v>2.0511480891851619E-2</v>
      </c>
    </row>
    <row r="2157" spans="24:28" x14ac:dyDescent="0.2">
      <c r="X2157" s="186" t="str">
        <f t="shared" si="67"/>
        <v>1w</v>
      </c>
      <c r="Y2157" s="174">
        <f>_xll.qlCalendarAdvance(Calendar,Y2156,X2157,"f",FALSE)</f>
        <v>54067</v>
      </c>
      <c r="Z2157" s="198">
        <f>_xll.qlCalendarAdvance(Calendar,Y2157,NDays&amp;"D")</f>
        <v>54071</v>
      </c>
      <c r="AA2157" s="173">
        <v>2.0673832657815826E-2</v>
      </c>
      <c r="AB2157" s="182">
        <v>2.0515393509681346E-2</v>
      </c>
    </row>
    <row r="2158" spans="24:28" x14ac:dyDescent="0.2">
      <c r="X2158" s="186" t="str">
        <f t="shared" si="67"/>
        <v>1w</v>
      </c>
      <c r="Y2158" s="174">
        <f>_xll.qlCalendarAdvance(Calendar,Y2157,X2158,"f",FALSE)</f>
        <v>54074</v>
      </c>
      <c r="Z2158" s="198">
        <f>_xll.qlCalendarAdvance(Calendar,Y2158,NDays&amp;"D")</f>
        <v>54078</v>
      </c>
      <c r="AA2158" s="173">
        <v>2.0677922859647563E-2</v>
      </c>
      <c r="AB2158" s="182">
        <v>2.0519315856128983E-2</v>
      </c>
    </row>
    <row r="2159" spans="24:28" x14ac:dyDescent="0.2">
      <c r="X2159" s="186" t="str">
        <f t="shared" si="67"/>
        <v>1w</v>
      </c>
      <c r="Y2159" s="174">
        <f>_xll.qlCalendarAdvance(Calendar,Y2158,X2159,"f",FALSE)</f>
        <v>54081</v>
      </c>
      <c r="Z2159" s="198">
        <f>_xll.qlCalendarAdvance(Calendar,Y2159,NDays&amp;"D")</f>
        <v>54085</v>
      </c>
      <c r="AA2159" s="173">
        <v>2.0682022899417674E-2</v>
      </c>
      <c r="AB2159" s="182">
        <v>2.0523247930874788E-2</v>
      </c>
    </row>
    <row r="2160" spans="24:28" x14ac:dyDescent="0.2">
      <c r="X2160" s="186" t="str">
        <f t="shared" si="67"/>
        <v>1w</v>
      </c>
      <c r="Y2160" s="174">
        <f>_xll.qlCalendarAdvance(Calendar,Y2159,X2160,"f",FALSE)</f>
        <v>54088</v>
      </c>
      <c r="Z2160" s="198">
        <f>_xll.qlCalendarAdvance(Calendar,Y2160,NDays&amp;"D")</f>
        <v>54092</v>
      </c>
      <c r="AA2160" s="173">
        <v>2.0686132777186332E-2</v>
      </c>
      <c r="AB2160" s="182">
        <v>2.0527189733998696E-2</v>
      </c>
    </row>
    <row r="2161" spans="24:28" x14ac:dyDescent="0.2">
      <c r="X2161" s="186" t="str">
        <f t="shared" si="67"/>
        <v>1w</v>
      </c>
      <c r="Y2161" s="174">
        <f>_xll.qlCalendarAdvance(Calendar,Y2160,X2161,"f",FALSE)</f>
        <v>54095</v>
      </c>
      <c r="Z2161" s="198">
        <f>_xll.qlCalendarAdvance(Calendar,Y2161,NDays&amp;"D")</f>
        <v>54099</v>
      </c>
      <c r="AA2161" s="173">
        <v>2.0690252493015027E-2</v>
      </c>
      <c r="AB2161" s="182">
        <v>2.053114126566058E-2</v>
      </c>
    </row>
    <row r="2162" spans="24:28" x14ac:dyDescent="0.2">
      <c r="X2162" s="186" t="str">
        <f t="shared" si="67"/>
        <v>1w</v>
      </c>
      <c r="Y2162" s="174">
        <f>_xll.qlCalendarAdvance(Calendar,Y2161,X2162,"f",FALSE)</f>
        <v>54102</v>
      </c>
      <c r="Z2162" s="198">
        <f>_xll.qlCalendarAdvance(Calendar,Y2162,NDays&amp;"D")</f>
        <v>54106</v>
      </c>
      <c r="AA2162" s="173">
        <v>2.0694382046963933E-2</v>
      </c>
      <c r="AB2162" s="182">
        <v>2.0535102525700566E-2</v>
      </c>
    </row>
    <row r="2163" spans="24:28" x14ac:dyDescent="0.2">
      <c r="X2163" s="186" t="str">
        <f t="shared" si="67"/>
        <v>1w</v>
      </c>
      <c r="Y2163" s="174">
        <f>_xll.qlCalendarAdvance(Calendar,Y2162,X2163,"f",FALSE)</f>
        <v>54109</v>
      </c>
      <c r="Z2163" s="198">
        <f>_xll.qlCalendarAdvance(Calendar,Y2163,NDays&amp;"D")</f>
        <v>54113</v>
      </c>
      <c r="AA2163" s="173">
        <v>2.0698521439094977E-2</v>
      </c>
      <c r="AB2163" s="182">
        <v>2.0539073514198591E-2</v>
      </c>
    </row>
    <row r="2164" spans="24:28" x14ac:dyDescent="0.2">
      <c r="X2164" s="186" t="str">
        <f t="shared" si="67"/>
        <v>1w</v>
      </c>
      <c r="Y2164" s="174">
        <f>_xll.qlCalendarAdvance(Calendar,Y2163,X2164,"f",FALSE)</f>
        <v>54116</v>
      </c>
      <c r="Z2164" s="198">
        <f>_xll.qlCalendarAdvance(Calendar,Y2164,NDays&amp;"D")</f>
        <v>54120</v>
      </c>
      <c r="AA2164" s="173">
        <v>2.0704456877318141E-2</v>
      </c>
      <c r="AB2164" s="182">
        <v>2.0543054231234592E-2</v>
      </c>
    </row>
    <row r="2165" spans="24:28" x14ac:dyDescent="0.2">
      <c r="X2165" s="186" t="str">
        <f t="shared" si="67"/>
        <v>1w</v>
      </c>
      <c r="Y2165" s="174">
        <f>_xll.qlCalendarAdvance(Calendar,Y2164,X2165,"f",FALSE)</f>
        <v>54123</v>
      </c>
      <c r="Z2165" s="198">
        <f>_xll.qlCalendarAdvance(Calendar,Y2165,NDays&amp;"D")</f>
        <v>54127</v>
      </c>
      <c r="AA2165" s="173">
        <v>2.0708617827603339E-2</v>
      </c>
      <c r="AB2165" s="182">
        <v>2.0547044676728632E-2</v>
      </c>
    </row>
    <row r="2166" spans="24:28" x14ac:dyDescent="0.2">
      <c r="X2166" s="186" t="str">
        <f t="shared" si="67"/>
        <v>1w</v>
      </c>
      <c r="Y2166" s="174">
        <f>_xll.qlCalendarAdvance(Calendar,Y2165,X2166,"f",FALSE)</f>
        <v>54130</v>
      </c>
      <c r="Z2166" s="198">
        <f>_xll.qlCalendarAdvance(Calendar,Y2166,NDays&amp;"D")</f>
        <v>54134</v>
      </c>
      <c r="AA2166" s="173">
        <v>2.0712788617482891E-2</v>
      </c>
      <c r="AB2166" s="182">
        <v>2.0551044850680711E-2</v>
      </c>
    </row>
    <row r="2167" spans="24:28" x14ac:dyDescent="0.2">
      <c r="X2167" s="186" t="str">
        <f t="shared" si="67"/>
        <v>1w</v>
      </c>
      <c r="Y2167" s="174">
        <f>_xll.qlCalendarAdvance(Calendar,Y2166,X2167,"f",FALSE)</f>
        <v>54137</v>
      </c>
      <c r="Z2167" s="198">
        <f>_xll.qlCalendarAdvance(Calendar,Y2167,NDays&amp;"D")</f>
        <v>54141</v>
      </c>
      <c r="AA2167" s="173">
        <v>2.0716969247020659E-2</v>
      </c>
      <c r="AB2167" s="182">
        <v>2.0555054753010893E-2</v>
      </c>
    </row>
    <row r="2168" spans="24:28" x14ac:dyDescent="0.2">
      <c r="X2168" s="186" t="str">
        <f t="shared" si="67"/>
        <v>1w</v>
      </c>
      <c r="Y2168" s="174">
        <f>_xll.qlCalendarAdvance(Calendar,Y2167,X2168,"f",FALSE)</f>
        <v>54144</v>
      </c>
      <c r="Z2168" s="198">
        <f>_xll.qlCalendarAdvance(Calendar,Y2168,NDays&amp;"D")</f>
        <v>54148</v>
      </c>
      <c r="AA2168" s="173">
        <v>2.0720262783306964E-2</v>
      </c>
      <c r="AB2168" s="182">
        <v>2.0559074383958986E-2</v>
      </c>
    </row>
    <row r="2169" spans="24:28" x14ac:dyDescent="0.2">
      <c r="X2169" s="186" t="str">
        <f t="shared" si="67"/>
        <v>1w</v>
      </c>
      <c r="Y2169" s="174">
        <f>_xll.qlCalendarAdvance(Calendar,Y2168,X2169,"f",FALSE)</f>
        <v>54155</v>
      </c>
      <c r="Z2169" s="198">
        <f>_xll.qlCalendarAdvance(Calendar,Y2169,NDays&amp;"D")</f>
        <v>54157</v>
      </c>
      <c r="AA2169" s="173">
        <v>2.0725663775010675E-2</v>
      </c>
      <c r="AB2169" s="182">
        <v>2.0564256775594814E-2</v>
      </c>
    </row>
    <row r="2170" spans="24:28" x14ac:dyDescent="0.2">
      <c r="X2170" s="186" t="str">
        <f t="shared" si="67"/>
        <v>1w</v>
      </c>
      <c r="Y2170" s="174">
        <f>_xll.qlCalendarAdvance(Calendar,Y2169,X2170,"f",FALSE)</f>
        <v>54162</v>
      </c>
      <c r="Z2170" s="198">
        <f>_xll.qlCalendarAdvance(Calendar,Y2170,NDays&amp;"D")</f>
        <v>54164</v>
      </c>
      <c r="AA2170" s="173">
        <v>2.0729875791182149E-2</v>
      </c>
      <c r="AB2170" s="182">
        <v>2.0568298642835714E-2</v>
      </c>
    </row>
    <row r="2171" spans="24:28" x14ac:dyDescent="0.2">
      <c r="X2171" s="186" t="str">
        <f t="shared" si="67"/>
        <v>1w</v>
      </c>
      <c r="Y2171" s="174">
        <f>_xll.qlCalendarAdvance(Calendar,Y2170,X2171,"f",FALSE)</f>
        <v>54169</v>
      </c>
      <c r="Z2171" s="198">
        <f>_xll.qlCalendarAdvance(Calendar,Y2171,NDays&amp;"D")</f>
        <v>54171</v>
      </c>
      <c r="AA2171" s="173">
        <v>2.0734097646662009E-2</v>
      </c>
      <c r="AB2171" s="182">
        <v>2.057235023861459E-2</v>
      </c>
    </row>
    <row r="2172" spans="24:28" x14ac:dyDescent="0.2">
      <c r="X2172" s="186" t="str">
        <f t="shared" si="67"/>
        <v>1w</v>
      </c>
      <c r="Y2172" s="174">
        <f>_xll.qlCalendarAdvance(Calendar,Y2171,X2172,"f",FALSE)</f>
        <v>54176</v>
      </c>
      <c r="Z2172" s="198">
        <f>_xll.qlCalendarAdvance(Calendar,Y2172,NDays&amp;"D")</f>
        <v>54178</v>
      </c>
      <c r="AA2172" s="173">
        <v>2.0738329341514025E-2</v>
      </c>
      <c r="AB2172" s="182">
        <v>2.0579047572701903E-2</v>
      </c>
    </row>
    <row r="2173" spans="24:28" x14ac:dyDescent="0.2">
      <c r="X2173" s="186" t="str">
        <f t="shared" si="67"/>
        <v>1w</v>
      </c>
      <c r="Y2173" s="174">
        <f>_xll.qlCalendarAdvance(Calendar,Y2172,X2173,"f",FALSE)</f>
        <v>54183</v>
      </c>
      <c r="Z2173" s="198">
        <f>_xll.qlCalendarAdvance(Calendar,Y2173,NDays&amp;"D")</f>
        <v>54185</v>
      </c>
      <c r="AA2173" s="173">
        <v>2.0745277028506447E-2</v>
      </c>
      <c r="AB2173" s="182">
        <v>2.0580482615466522E-2</v>
      </c>
    </row>
    <row r="2174" spans="24:28" x14ac:dyDescent="0.2">
      <c r="X2174" s="186" t="str">
        <f t="shared" si="67"/>
        <v>1w</v>
      </c>
      <c r="Y2174" s="174">
        <f>_xll.qlCalendarAdvance(Calendar,Y2173,X2174,"f",FALSE)</f>
        <v>54190</v>
      </c>
      <c r="Z2174" s="198">
        <f>_xll.qlCalendarAdvance(Calendar,Y2174,NDays&amp;"D")</f>
        <v>54192</v>
      </c>
      <c r="AA2174" s="173">
        <v>2.0749531242336691E-2</v>
      </c>
      <c r="AB2174" s="182">
        <v>2.0584563396539579E-2</v>
      </c>
    </row>
    <row r="2175" spans="24:28" x14ac:dyDescent="0.2">
      <c r="X2175" s="186" t="str">
        <f t="shared" si="67"/>
        <v>1w</v>
      </c>
      <c r="Y2175" s="174">
        <f>_xll.qlCalendarAdvance(Calendar,Y2174,X2175,"f",FALSE)</f>
        <v>54197</v>
      </c>
      <c r="Z2175" s="198">
        <f>_xll.qlCalendarAdvance(Calendar,Y2175,NDays&amp;"D")</f>
        <v>54199</v>
      </c>
      <c r="AA2175" s="173">
        <v>2.0753795297583651E-2</v>
      </c>
      <c r="AB2175" s="182">
        <v>2.0588653906150611E-2</v>
      </c>
    </row>
    <row r="2176" spans="24:28" x14ac:dyDescent="0.2">
      <c r="X2176" s="186" t="str">
        <f t="shared" si="67"/>
        <v>1w</v>
      </c>
      <c r="Y2176" s="174">
        <f>_xll.qlCalendarAdvance(Calendar,Y2175,X2176,"f",FALSE)</f>
        <v>54204</v>
      </c>
      <c r="Z2176" s="198">
        <f>_xll.qlCalendarAdvance(Calendar,Y2176,NDays&amp;"D")</f>
        <v>54206</v>
      </c>
      <c r="AA2176" s="173">
        <v>2.0758069194310929E-2</v>
      </c>
      <c r="AB2176" s="182">
        <v>2.0592754144219683E-2</v>
      </c>
    </row>
    <row r="2177" spans="24:28" x14ac:dyDescent="0.2">
      <c r="X2177" s="186" t="str">
        <f t="shared" si="67"/>
        <v>1w</v>
      </c>
      <c r="Y2177" s="174">
        <f>_xll.qlCalendarAdvance(Calendar,Y2176,X2177,"f",FALSE)</f>
        <v>54211</v>
      </c>
      <c r="Z2177" s="198">
        <f>_xll.qlCalendarAdvance(Calendar,Y2177,NDays&amp;"D")</f>
        <v>54213</v>
      </c>
      <c r="AA2177" s="173">
        <v>2.0759635408549706E-2</v>
      </c>
      <c r="AB2177" s="182">
        <v>2.0596864110746793E-2</v>
      </c>
    </row>
    <row r="2178" spans="24:28" x14ac:dyDescent="0.2">
      <c r="X2178" s="186" t="str">
        <f t="shared" si="67"/>
        <v>1w</v>
      </c>
      <c r="Y2178" s="174">
        <f>_xll.qlCalendarAdvance(Calendar,Y2177,X2178,"f",FALSE)</f>
        <v>54218</v>
      </c>
      <c r="Z2178" s="198">
        <f>_xll.qlCalendarAdvance(Calendar,Y2178,NDays&amp;"D")</f>
        <v>54220</v>
      </c>
      <c r="AA2178" s="173">
        <v>2.0763926140955149E-2</v>
      </c>
      <c r="AB2178" s="182">
        <v>2.0600983805731943E-2</v>
      </c>
    </row>
    <row r="2179" spans="24:28" x14ac:dyDescent="0.2">
      <c r="X2179" s="186" t="str">
        <f t="shared" si="67"/>
        <v>1w</v>
      </c>
      <c r="Y2179" s="174">
        <f>_xll.qlCalendarAdvance(Calendar,Y2178,X2179,"f",FALSE)</f>
        <v>54225</v>
      </c>
      <c r="Z2179" s="198">
        <f>_xll.qlCalendarAdvance(Calendar,Y2179,NDays&amp;"D")</f>
        <v>54227</v>
      </c>
      <c r="AA2179" s="173">
        <v>2.0768226713174361E-2</v>
      </c>
      <c r="AB2179" s="182">
        <v>2.0605113229095195E-2</v>
      </c>
    </row>
    <row r="2180" spans="24:28" x14ac:dyDescent="0.2">
      <c r="X2180" s="186" t="str">
        <f t="shared" si="67"/>
        <v>1w</v>
      </c>
      <c r="Y2180" s="174">
        <f>_xll.qlCalendarAdvance(Calendar,Y2179,X2180,"f",FALSE)</f>
        <v>54232</v>
      </c>
      <c r="Z2180" s="198">
        <f>_xll.qlCalendarAdvance(Calendar,Y2180,NDays&amp;"D")</f>
        <v>54234</v>
      </c>
      <c r="AA2180" s="173">
        <v>2.0775263197312949E-2</v>
      </c>
      <c r="AB2180" s="182">
        <v>2.0609252380916487E-2</v>
      </c>
    </row>
    <row r="2181" spans="24:28" x14ac:dyDescent="0.2">
      <c r="X2181" s="186" t="str">
        <f t="shared" si="67"/>
        <v>1w</v>
      </c>
      <c r="Y2181" s="174">
        <f>_xll.qlCalendarAdvance(Calendar,Y2180,X2181,"f",FALSE)</f>
        <v>54239</v>
      </c>
      <c r="Z2181" s="198">
        <f>_xll.qlCalendarAdvance(Calendar,Y2181,NDays&amp;"D")</f>
        <v>54241</v>
      </c>
      <c r="AA2181" s="173">
        <v>2.0779586302411366E-2</v>
      </c>
      <c r="AB2181" s="182">
        <v>2.0613401261275754E-2</v>
      </c>
    </row>
    <row r="2182" spans="24:28" x14ac:dyDescent="0.2">
      <c r="X2182" s="186" t="str">
        <f t="shared" si="67"/>
        <v>1w</v>
      </c>
      <c r="Y2182" s="174">
        <f>_xll.qlCalendarAdvance(Calendar,Y2181,X2182,"f",FALSE)</f>
        <v>54246</v>
      </c>
      <c r="Z2182" s="198">
        <f>_xll.qlCalendarAdvance(Calendar,Y2182,NDays&amp;"D")</f>
        <v>54248</v>
      </c>
      <c r="AA2182" s="173">
        <v>2.07839192493799E-2</v>
      </c>
      <c r="AB2182" s="182">
        <v>2.0617559870172997E-2</v>
      </c>
    </row>
    <row r="2183" spans="24:28" x14ac:dyDescent="0.2">
      <c r="X2183" s="186" t="str">
        <f t="shared" si="67"/>
        <v>1w</v>
      </c>
      <c r="Y2183" s="174">
        <f>_xll.qlCalendarAdvance(Calendar,Y2182,X2183,"f",FALSE)</f>
        <v>54253</v>
      </c>
      <c r="Z2183" s="198">
        <f>_xll.qlCalendarAdvance(Calendar,Y2183,NDays&amp;"D")</f>
        <v>54255</v>
      </c>
      <c r="AA2183" s="173">
        <v>2.0788262038282154E-2</v>
      </c>
      <c r="AB2183" s="182">
        <v>2.062172820728847E-2</v>
      </c>
    </row>
    <row r="2184" spans="24:28" x14ac:dyDescent="0.2">
      <c r="X2184" s="186" t="str">
        <f t="shared" si="67"/>
        <v>1w</v>
      </c>
      <c r="Y2184" s="174">
        <f>_xll.qlCalendarAdvance(Calendar,Y2183,X2184,"f",FALSE)</f>
        <v>54260</v>
      </c>
      <c r="Z2184" s="198">
        <f>_xll.qlCalendarAdvance(Calendar,Y2184,NDays&amp;"D")</f>
        <v>54262</v>
      </c>
      <c r="AA2184" s="173">
        <v>2.07926146691856E-2</v>
      </c>
      <c r="AB2184" s="182">
        <v>2.0625906273021855E-2</v>
      </c>
    </row>
    <row r="2185" spans="24:28" x14ac:dyDescent="0.2">
      <c r="X2185" s="186" t="str">
        <f t="shared" si="67"/>
        <v>1w</v>
      </c>
      <c r="Y2185" s="174">
        <f>_xll.qlCalendarAdvance(Calendar,Y2184,X2185,"f",FALSE)</f>
        <v>54267</v>
      </c>
      <c r="Z2185" s="198">
        <f>_xll.qlCalendarAdvance(Calendar,Y2185,NDays&amp;"D")</f>
        <v>54269</v>
      </c>
      <c r="AA2185" s="173">
        <v>2.0794236786174248E-2</v>
      </c>
      <c r="AB2185" s="182">
        <v>2.0630094067213278E-2</v>
      </c>
    </row>
    <row r="2186" spans="24:28" x14ac:dyDescent="0.2">
      <c r="X2186" s="186" t="str">
        <f t="shared" si="67"/>
        <v>1w</v>
      </c>
      <c r="Y2186" s="174">
        <f>_xll.qlCalendarAdvance(Calendar,Y2185,X2186,"f",FALSE)</f>
        <v>54274</v>
      </c>
      <c r="Z2186" s="198">
        <f>_xll.qlCalendarAdvance(Calendar,Y2186,NDays&amp;"D")</f>
        <v>54276</v>
      </c>
      <c r="AA2186" s="173">
        <v>2.0801349457254786E-2</v>
      </c>
      <c r="AB2186" s="182">
        <v>2.0634291589942677E-2</v>
      </c>
    </row>
    <row r="2187" spans="24:28" x14ac:dyDescent="0.2">
      <c r="X2187" s="186" t="str">
        <f t="shared" si="67"/>
        <v>1w</v>
      </c>
      <c r="Y2187" s="174">
        <f>_xll.qlCalendarAdvance(Calendar,Y2186,X2187,"f",FALSE)</f>
        <v>54281</v>
      </c>
      <c r="Z2187" s="198">
        <f>_xll.qlCalendarAdvance(Calendar,Y2187,NDays&amp;"D")</f>
        <v>54283</v>
      </c>
      <c r="AA2187" s="173">
        <v>2.0805731614553322E-2</v>
      </c>
      <c r="AB2187" s="182">
        <v>2.0638498840970243E-2</v>
      </c>
    </row>
    <row r="2188" spans="24:28" x14ac:dyDescent="0.2">
      <c r="X2188" s="186" t="str">
        <f t="shared" si="67"/>
        <v>1w</v>
      </c>
      <c r="Y2188" s="174">
        <f>_xll.qlCalendarAdvance(Calendar,Y2187,X2188,"f",FALSE)</f>
        <v>54288</v>
      </c>
      <c r="Z2188" s="198">
        <f>_xll.qlCalendarAdvance(Calendar,Y2188,NDays&amp;"D")</f>
        <v>54290</v>
      </c>
      <c r="AA2188" s="173">
        <v>2.081012361411478E-2</v>
      </c>
      <c r="AB2188" s="182">
        <v>2.0642715820535784E-2</v>
      </c>
    </row>
    <row r="2189" spans="24:28" x14ac:dyDescent="0.2">
      <c r="X2189" s="186" t="str">
        <f t="shared" si="67"/>
        <v>1w</v>
      </c>
      <c r="Y2189" s="174">
        <f>_xll.qlCalendarAdvance(Calendar,Y2188,X2189,"f",FALSE)</f>
        <v>54295</v>
      </c>
      <c r="Z2189" s="198">
        <f>_xll.qlCalendarAdvance(Calendar,Y2189,NDays&amp;"D")</f>
        <v>54297</v>
      </c>
      <c r="AA2189" s="173">
        <v>2.0811773639264817E-2</v>
      </c>
      <c r="AB2189" s="182">
        <v>2.0646942528559364E-2</v>
      </c>
    </row>
    <row r="2190" spans="24:28" x14ac:dyDescent="0.2">
      <c r="X2190" s="186" t="str">
        <f t="shared" si="67"/>
        <v>1w</v>
      </c>
      <c r="Y2190" s="174">
        <f>_xll.qlCalendarAdvance(Calendar,Y2189,X2190,"f",FALSE)</f>
        <v>54302</v>
      </c>
      <c r="Z2190" s="198">
        <f>_xll.qlCalendarAdvance(Calendar,Y2190,NDays&amp;"D")</f>
        <v>54304</v>
      </c>
      <c r="AA2190" s="173">
        <v>2.0814346628789514E-2</v>
      </c>
      <c r="AB2190" s="182">
        <v>2.0651178965040984E-2</v>
      </c>
    </row>
    <row r="2191" spans="24:28" x14ac:dyDescent="0.2">
      <c r="X2191" s="186" t="str">
        <f t="shared" si="67"/>
        <v>1w</v>
      </c>
      <c r="Y2191" s="174">
        <f>_xll.qlCalendarAdvance(Calendar,Y2190,X2191,"f",FALSE)</f>
        <v>54309</v>
      </c>
      <c r="Z2191" s="198">
        <f>_xll.qlCalendarAdvance(Calendar,Y2191,NDays&amp;"D")</f>
        <v>54311</v>
      </c>
      <c r="AA2191" s="173">
        <v>2.0818763369823415E-2</v>
      </c>
      <c r="AB2191" s="182">
        <v>2.0655425129900706E-2</v>
      </c>
    </row>
    <row r="2192" spans="24:28" x14ac:dyDescent="0.2">
      <c r="X2192" s="186" t="str">
        <f t="shared" si="67"/>
        <v>1w</v>
      </c>
      <c r="Y2192" s="174">
        <f>_xll.qlCalendarAdvance(Calendar,Y2191,X2192,"f",FALSE)</f>
        <v>54316</v>
      </c>
      <c r="Z2192" s="198">
        <f>_xll.qlCalendarAdvance(Calendar,Y2192,NDays&amp;"D")</f>
        <v>54318</v>
      </c>
      <c r="AA2192" s="173">
        <v>2.0823189950263516E-2</v>
      </c>
      <c r="AB2192" s="182">
        <v>2.0659681023298404E-2</v>
      </c>
    </row>
    <row r="2193" spans="24:28" x14ac:dyDescent="0.2">
      <c r="X2193" s="186" t="str">
        <f t="shared" si="67"/>
        <v>1w</v>
      </c>
      <c r="Y2193" s="174">
        <f>_xll.qlCalendarAdvance(Calendar,Y2192,X2193,"f",FALSE)</f>
        <v>54323</v>
      </c>
      <c r="Z2193" s="198">
        <f>_xll.qlCalendarAdvance(Calendar,Y2193,NDays&amp;"D")</f>
        <v>54325</v>
      </c>
      <c r="AA2193" s="173">
        <v>2.0827626370175614E-2</v>
      </c>
      <c r="AB2193" s="182">
        <v>2.0663946645314013E-2</v>
      </c>
    </row>
    <row r="2194" spans="24:28" x14ac:dyDescent="0.2">
      <c r="X2194" s="186" t="str">
        <f t="shared" si="67"/>
        <v>1w</v>
      </c>
      <c r="Y2194" s="174">
        <f>_xll.qlCalendarAdvance(Calendar,Y2193,X2194,"f",FALSE)</f>
        <v>54330</v>
      </c>
      <c r="Z2194" s="198">
        <f>_xll.qlCalendarAdvance(Calendar,Y2194,NDays&amp;"D")</f>
        <v>54332</v>
      </c>
      <c r="AA2194" s="173">
        <v>2.0832994310290617E-2</v>
      </c>
      <c r="AB2194" s="182">
        <v>2.0668221995627789E-2</v>
      </c>
    </row>
    <row r="2195" spans="24:28" x14ac:dyDescent="0.2">
      <c r="X2195" s="186" t="str">
        <f t="shared" si="67"/>
        <v>1w</v>
      </c>
      <c r="Y2195" s="174">
        <f>_xll.qlCalendarAdvance(Calendar,Y2194,X2195,"f",FALSE)</f>
        <v>54337</v>
      </c>
      <c r="Z2195" s="198">
        <f>_xll.qlCalendarAdvance(Calendar,Y2195,NDays&amp;"D")</f>
        <v>54339</v>
      </c>
      <c r="AA2195" s="173">
        <v>2.0837451368775978E-2</v>
      </c>
      <c r="AB2195" s="182">
        <v>2.0672507074319668E-2</v>
      </c>
    </row>
    <row r="2196" spans="24:28" x14ac:dyDescent="0.2">
      <c r="X2196" s="186" t="str">
        <f t="shared" si="67"/>
        <v>1w</v>
      </c>
      <c r="Y2196" s="174">
        <f>_xll.qlCalendarAdvance(Calendar,Y2195,X2196,"f",FALSE)</f>
        <v>54344</v>
      </c>
      <c r="Z2196" s="198">
        <f>_xll.qlCalendarAdvance(Calendar,Y2196,NDays&amp;"D")</f>
        <v>54346</v>
      </c>
      <c r="AA2196" s="173">
        <v>2.0841918267554757E-2</v>
      </c>
      <c r="AB2196" s="182">
        <v>2.0676801881629459E-2</v>
      </c>
    </row>
    <row r="2197" spans="24:28" x14ac:dyDescent="0.2">
      <c r="X2197" s="186" t="str">
        <f t="shared" ref="X2197:X2260" si="68">X2196</f>
        <v>1w</v>
      </c>
      <c r="Y2197" s="174">
        <f>_xll.qlCalendarAdvance(Calendar,Y2196,X2197,"f",FALSE)</f>
        <v>54351</v>
      </c>
      <c r="Z2197" s="198">
        <f>_xll.qlCalendarAdvance(Calendar,Y2197,NDays&amp;"D")</f>
        <v>54353</v>
      </c>
      <c r="AA2197" s="173">
        <v>2.0846395006691953E-2</v>
      </c>
      <c r="AB2197" s="182">
        <v>2.0681106417397288E-2</v>
      </c>
    </row>
    <row r="2198" spans="24:28" x14ac:dyDescent="0.2">
      <c r="X2198" s="186" t="str">
        <f t="shared" si="68"/>
        <v>1w</v>
      </c>
      <c r="Y2198" s="174">
        <f>_xll.qlCalendarAdvance(Calendar,Y2197,X2198,"f",FALSE)</f>
        <v>54358</v>
      </c>
      <c r="Z2198" s="198">
        <f>_xll.qlCalendarAdvance(Calendar,Y2198,NDays&amp;"D")</f>
        <v>54360</v>
      </c>
      <c r="AA2198" s="173">
        <v>2.0850881586254328E-2</v>
      </c>
      <c r="AB2198" s="182">
        <v>2.0685420681543221E-2</v>
      </c>
    </row>
    <row r="2199" spans="24:28" x14ac:dyDescent="0.2">
      <c r="X2199" s="186" t="str">
        <f t="shared" si="68"/>
        <v>1w</v>
      </c>
      <c r="Y2199" s="174">
        <f>_xll.qlCalendarAdvance(Calendar,Y2198,X2199,"f",FALSE)</f>
        <v>54365</v>
      </c>
      <c r="Z2199" s="198">
        <f>_xll.qlCalendarAdvance(Calendar,Y2199,NDays&amp;"D")</f>
        <v>54367</v>
      </c>
      <c r="AA2199" s="173">
        <v>2.0854451522194412E-2</v>
      </c>
      <c r="AB2199" s="182">
        <v>2.0689744674227128E-2</v>
      </c>
    </row>
    <row r="2200" spans="24:28" x14ac:dyDescent="0.2">
      <c r="X2200" s="186" t="str">
        <f t="shared" si="68"/>
        <v>1w</v>
      </c>
      <c r="Y2200" s="174">
        <f>_xll.qlCalendarAdvance(Calendar,Y2199,X2200,"f",FALSE)</f>
        <v>54372</v>
      </c>
      <c r="Z2200" s="198">
        <f>_xll.qlCalendarAdvance(Calendar,Y2200,NDays&amp;"D")</f>
        <v>54374</v>
      </c>
      <c r="AA2200" s="173">
        <v>2.0858956820235346E-2</v>
      </c>
      <c r="AB2200" s="182">
        <v>2.0694078395289139E-2</v>
      </c>
    </row>
    <row r="2201" spans="24:28" x14ac:dyDescent="0.2">
      <c r="X2201" s="186" t="str">
        <f t="shared" si="68"/>
        <v>1w</v>
      </c>
      <c r="Y2201" s="174">
        <f>_xll.qlCalendarAdvance(Calendar,Y2200,X2201,"f",FALSE)</f>
        <v>54379</v>
      </c>
      <c r="Z2201" s="198">
        <f>_xll.qlCalendarAdvance(Calendar,Y2201,NDays&amp;"D")</f>
        <v>54381</v>
      </c>
      <c r="AA2201" s="173">
        <v>2.0863471958272501E-2</v>
      </c>
      <c r="AB2201" s="182">
        <v>2.0698421844969062E-2</v>
      </c>
    </row>
    <row r="2202" spans="24:28" x14ac:dyDescent="0.2">
      <c r="X2202" s="186" t="str">
        <f t="shared" si="68"/>
        <v>1w</v>
      </c>
      <c r="Y2202" s="174">
        <f>_xll.qlCalendarAdvance(Calendar,Y2201,X2202,"f",FALSE)</f>
        <v>54386</v>
      </c>
      <c r="Z2202" s="198">
        <f>_xll.qlCalendarAdvance(Calendar,Y2202,NDays&amp;"D")</f>
        <v>54388</v>
      </c>
      <c r="AA2202" s="173">
        <v>2.0867996936371681E-2</v>
      </c>
      <c r="AB2202" s="182">
        <v>2.0702775022867215E-2</v>
      </c>
    </row>
    <row r="2203" spans="24:28" x14ac:dyDescent="0.2">
      <c r="X2203" s="186" t="str">
        <f t="shared" si="68"/>
        <v>1w</v>
      </c>
      <c r="Y2203" s="174">
        <f>_xll.qlCalendarAdvance(Calendar,Y2202,X2203,"f",FALSE)</f>
        <v>54393</v>
      </c>
      <c r="Z2203" s="198">
        <f>_xll.qlCalendarAdvance(Calendar,Y2203,NDays&amp;"D")</f>
        <v>54395</v>
      </c>
      <c r="AA2203" s="173">
        <v>2.0873462092763331E-2</v>
      </c>
      <c r="AB2203" s="182">
        <v>2.0707137929463215E-2</v>
      </c>
    </row>
    <row r="2204" spans="24:28" x14ac:dyDescent="0.2">
      <c r="X2204" s="186" t="str">
        <f t="shared" si="68"/>
        <v>1w</v>
      </c>
      <c r="Y2204" s="174">
        <f>_xll.qlCalendarAdvance(Calendar,Y2203,X2204,"f",FALSE)</f>
        <v>54400</v>
      </c>
      <c r="Z2204" s="198">
        <f>_xll.qlCalendarAdvance(Calendar,Y2204,NDays&amp;"D")</f>
        <v>54402</v>
      </c>
      <c r="AA2204" s="173">
        <v>2.0878007716271262E-2</v>
      </c>
      <c r="AB2204" s="182">
        <v>2.0711510564517255E-2</v>
      </c>
    </row>
    <row r="2205" spans="24:28" x14ac:dyDescent="0.2">
      <c r="X2205" s="186" t="str">
        <f t="shared" si="68"/>
        <v>1w</v>
      </c>
      <c r="Y2205" s="174">
        <f>_xll.qlCalendarAdvance(Calendar,Y2204,X2205,"f",FALSE)</f>
        <v>54407</v>
      </c>
      <c r="Z2205" s="198">
        <f>_xll.qlCalendarAdvance(Calendar,Y2205,NDays&amp;"D")</f>
        <v>54409</v>
      </c>
      <c r="AA2205" s="173">
        <v>2.0882563180670371E-2</v>
      </c>
      <c r="AB2205" s="182">
        <v>2.0715892927869461E-2</v>
      </c>
    </row>
    <row r="2206" spans="24:28" x14ac:dyDescent="0.2">
      <c r="X2206" s="186" t="str">
        <f t="shared" si="68"/>
        <v>1w</v>
      </c>
      <c r="Y2206" s="174">
        <f>_xll.qlCalendarAdvance(Calendar,Y2205,X2206,"f",FALSE)</f>
        <v>54414</v>
      </c>
      <c r="Z2206" s="198">
        <f>_xll.qlCalendarAdvance(Calendar,Y2206,NDays&amp;"D")</f>
        <v>54416</v>
      </c>
      <c r="AA2206" s="173">
        <v>2.0887128486028295E-2</v>
      </c>
      <c r="AB2206" s="182">
        <v>2.0723016679458084E-2</v>
      </c>
    </row>
    <row r="2207" spans="24:28" x14ac:dyDescent="0.2">
      <c r="X2207" s="186" t="str">
        <f t="shared" si="68"/>
        <v>1w</v>
      </c>
      <c r="Y2207" s="174">
        <f>_xll.qlCalendarAdvance(Calendar,Y2206,X2207,"f",FALSE)</f>
        <v>54421</v>
      </c>
      <c r="Z2207" s="198">
        <f>_xll.qlCalendarAdvance(Calendar,Y2207,NDays&amp;"D")</f>
        <v>54423</v>
      </c>
      <c r="AA2207" s="173">
        <v>2.0890769430135091E-2</v>
      </c>
      <c r="AB2207" s="182">
        <v>2.0727421345110297E-2</v>
      </c>
    </row>
    <row r="2208" spans="24:28" x14ac:dyDescent="0.2">
      <c r="X2208" s="186" t="str">
        <f t="shared" si="68"/>
        <v>1w</v>
      </c>
      <c r="Y2208" s="174">
        <f>_xll.qlCalendarAdvance(Calendar,Y2207,X2208,"f",FALSE)</f>
        <v>54428</v>
      </c>
      <c r="Z2208" s="198">
        <f>_xll.qlCalendarAdvance(Calendar,Y2208,NDays&amp;"D")</f>
        <v>54430</v>
      </c>
      <c r="AA2208" s="173">
        <v>2.0895353450009497E-2</v>
      </c>
      <c r="AB2208" s="182">
        <v>2.0729098389073997E-2</v>
      </c>
    </row>
    <row r="2209" spans="24:28" x14ac:dyDescent="0.2">
      <c r="X2209" s="186" t="str">
        <f t="shared" si="68"/>
        <v>1w</v>
      </c>
      <c r="Y2209" s="174">
        <f>_xll.qlCalendarAdvance(Calendar,Y2208,X2209,"f",FALSE)</f>
        <v>54435</v>
      </c>
      <c r="Z2209" s="198">
        <f>_xll.qlCalendarAdvance(Calendar,Y2209,NDays&amp;"D")</f>
        <v>54437</v>
      </c>
      <c r="AA2209" s="173">
        <v>2.0899947310413617E-2</v>
      </c>
      <c r="AB2209" s="182">
        <v>2.0733519666498168E-2</v>
      </c>
    </row>
    <row r="2210" spans="24:28" x14ac:dyDescent="0.2">
      <c r="X2210" s="186" t="str">
        <f t="shared" si="68"/>
        <v>1w</v>
      </c>
      <c r="Y2210" s="174">
        <f>_xll.qlCalendarAdvance(Calendar,Y2209,X2210,"f",FALSE)</f>
        <v>54442</v>
      </c>
      <c r="Z2210" s="198">
        <f>_xll.qlCalendarAdvance(Calendar,Y2210,NDays&amp;"D")</f>
        <v>54444</v>
      </c>
      <c r="AA2210" s="173">
        <v>2.0904551011415029E-2</v>
      </c>
      <c r="AB2210" s="182">
        <v>2.0737950672300443E-2</v>
      </c>
    </row>
    <row r="2211" spans="24:28" x14ac:dyDescent="0.2">
      <c r="X2211" s="186" t="str">
        <f t="shared" si="68"/>
        <v>1w</v>
      </c>
      <c r="Y2211" s="174">
        <f>_xll.qlCalendarAdvance(Calendar,Y2210,X2211,"f",FALSE)</f>
        <v>54449</v>
      </c>
      <c r="Z2211" s="198">
        <f>_xll.qlCalendarAdvance(Calendar,Y2211,NDays&amp;"D")</f>
        <v>54451</v>
      </c>
      <c r="AA2211" s="173">
        <v>2.0909164553083063E-2</v>
      </c>
      <c r="AB2211" s="182">
        <v>2.074239140648082E-2</v>
      </c>
    </row>
    <row r="2212" spans="24:28" x14ac:dyDescent="0.2">
      <c r="X2212" s="186" t="str">
        <f t="shared" si="68"/>
        <v>1w</v>
      </c>
      <c r="Y2212" s="174">
        <f>_xll.qlCalendarAdvance(Calendar,Y2211,X2212,"f",FALSE)</f>
        <v>54456</v>
      </c>
      <c r="Z2212" s="198">
        <f>_xll.qlCalendarAdvance(Calendar,Y2212,NDays&amp;"D")</f>
        <v>54458</v>
      </c>
      <c r="AA2212" s="173">
        <v>2.0913787935483524E-2</v>
      </c>
      <c r="AB2212" s="182">
        <v>2.0746841869279109E-2</v>
      </c>
    </row>
    <row r="2213" spans="24:28" x14ac:dyDescent="0.2">
      <c r="X2213" s="186" t="str">
        <f t="shared" si="68"/>
        <v>1w</v>
      </c>
      <c r="Y2213" s="174">
        <f>_xll.qlCalendarAdvance(Calendar,Y2212,X2213,"f",FALSE)</f>
        <v>54463</v>
      </c>
      <c r="Z2213" s="198">
        <f>_xll.qlCalendarAdvance(Calendar,Y2213,NDays&amp;"D")</f>
        <v>54465</v>
      </c>
      <c r="AA2213" s="173">
        <v>2.0918421158684867E-2</v>
      </c>
      <c r="AB2213" s="182">
        <v>2.0751302060455501E-2</v>
      </c>
    </row>
    <row r="2214" spans="24:28" x14ac:dyDescent="0.2">
      <c r="X2214" s="186" t="str">
        <f t="shared" si="68"/>
        <v>1w</v>
      </c>
      <c r="Y2214" s="174">
        <f>_xll.qlCalendarAdvance(Calendar,Y2213,X2214,"f",FALSE)</f>
        <v>54470</v>
      </c>
      <c r="Z2214" s="198">
        <f>_xll.qlCalendarAdvance(Calendar,Y2214,NDays&amp;"D")</f>
        <v>54472</v>
      </c>
      <c r="AA2214" s="173">
        <v>2.0923064222755104E-2</v>
      </c>
      <c r="AB2214" s="182">
        <v>2.0755771980089932E-2</v>
      </c>
    </row>
    <row r="2215" spans="24:28" x14ac:dyDescent="0.2">
      <c r="X2215" s="186" t="str">
        <f t="shared" si="68"/>
        <v>1w</v>
      </c>
      <c r="Y2215" s="174">
        <f>_xll.qlCalendarAdvance(Calendar,Y2214,X2215,"f",FALSE)</f>
        <v>54477</v>
      </c>
      <c r="Z2215" s="198">
        <f>_xll.qlCalendarAdvance(Calendar,Y2215,NDays&amp;"D")</f>
        <v>54479</v>
      </c>
      <c r="AA2215" s="173">
        <v>2.0927717127763128E-2</v>
      </c>
      <c r="AB2215" s="182">
        <v>2.0760251628262338E-2</v>
      </c>
    </row>
    <row r="2216" spans="24:28" x14ac:dyDescent="0.2">
      <c r="X2216" s="186" t="str">
        <f t="shared" si="68"/>
        <v>1w</v>
      </c>
      <c r="Y2216" s="174">
        <f>_xll.qlCalendarAdvance(Calendar,Y2215,X2216,"f",FALSE)</f>
        <v>54484</v>
      </c>
      <c r="Z2216" s="198">
        <f>_xll.qlCalendarAdvance(Calendar,Y2216,NDays&amp;"D")</f>
        <v>54486</v>
      </c>
      <c r="AA2216" s="173">
        <v>2.0937095833947671E-2</v>
      </c>
      <c r="AB2216" s="182">
        <v>2.0764741004892784E-2</v>
      </c>
    </row>
    <row r="2217" spans="24:28" x14ac:dyDescent="0.2">
      <c r="X2217" s="186" t="str">
        <f t="shared" si="68"/>
        <v>1w</v>
      </c>
      <c r="Y2217" s="174">
        <f>_xll.qlCalendarAdvance(Calendar,Y2216,X2217,"f",FALSE)</f>
        <v>54491</v>
      </c>
      <c r="Z2217" s="198">
        <f>_xll.qlCalendarAdvance(Calendar,Y2217,NDays&amp;"D")</f>
        <v>54493</v>
      </c>
      <c r="AA2217" s="173">
        <v>2.0941773288577312E-2</v>
      </c>
      <c r="AB2217" s="182">
        <v>2.0769240109981268E-2</v>
      </c>
    </row>
    <row r="2218" spans="24:28" x14ac:dyDescent="0.2">
      <c r="X2218" s="186" t="str">
        <f t="shared" si="68"/>
        <v>1w</v>
      </c>
      <c r="Y2218" s="174">
        <f>_xll.qlCalendarAdvance(Calendar,Y2217,X2218,"f",FALSE)</f>
        <v>54498</v>
      </c>
      <c r="Z2218" s="198">
        <f>_xll.qlCalendarAdvance(Calendar,Y2218,NDays&amp;"D")</f>
        <v>54500</v>
      </c>
      <c r="AA2218" s="173">
        <v>2.0946460587523284E-2</v>
      </c>
      <c r="AB2218" s="182">
        <v>2.0773748943527792E-2</v>
      </c>
    </row>
    <row r="2219" spans="24:28" x14ac:dyDescent="0.2">
      <c r="X2219" s="186" t="str">
        <f t="shared" si="68"/>
        <v>1w</v>
      </c>
      <c r="Y2219" s="174">
        <f>_xll.qlCalendarAdvance(Calendar,Y2218,X2219,"f",FALSE)</f>
        <v>54505</v>
      </c>
      <c r="Z2219" s="198">
        <f>_xll.qlCalendarAdvance(Calendar,Y2219,NDays&amp;"D")</f>
        <v>54507</v>
      </c>
      <c r="AA2219" s="173">
        <v>2.0951157730855204E-2</v>
      </c>
      <c r="AB2219" s="182">
        <v>2.0778267505692227E-2</v>
      </c>
    </row>
    <row r="2220" spans="24:28" x14ac:dyDescent="0.2">
      <c r="X2220" s="186" t="str">
        <f t="shared" si="68"/>
        <v>1w</v>
      </c>
      <c r="Y2220" s="174">
        <f>_xll.qlCalendarAdvance(Calendar,Y2219,X2220,"f",FALSE)</f>
        <v>54512</v>
      </c>
      <c r="Z2220" s="198">
        <f>_xll.qlCalendarAdvance(Calendar,Y2220,NDays&amp;"D")</f>
        <v>54514</v>
      </c>
      <c r="AA2220" s="173">
        <v>2.0953023059856198E-2</v>
      </c>
      <c r="AB2220" s="182">
        <v>2.0782795796154829E-2</v>
      </c>
    </row>
    <row r="2221" spans="24:28" x14ac:dyDescent="0.2">
      <c r="X2221" s="186" t="str">
        <f t="shared" si="68"/>
        <v>1w</v>
      </c>
      <c r="Y2221" s="174">
        <f>_xll.qlCalendarAdvance(Calendar,Y2220,X2221,"f",FALSE)</f>
        <v>54519</v>
      </c>
      <c r="Z2221" s="198">
        <f>_xll.qlCalendarAdvance(Calendar,Y2221,NDays&amp;"D")</f>
        <v>54521</v>
      </c>
      <c r="AA2221" s="173">
        <v>2.0957736963705755E-2</v>
      </c>
      <c r="AB2221" s="182">
        <v>2.0787333815075471E-2</v>
      </c>
    </row>
    <row r="2222" spans="24:28" x14ac:dyDescent="0.2">
      <c r="X2222" s="186" t="str">
        <f t="shared" si="68"/>
        <v>1w</v>
      </c>
      <c r="Y2222" s="174">
        <f>_xll.qlCalendarAdvance(Calendar,Y2221,X2222,"f",FALSE)</f>
        <v>54526</v>
      </c>
      <c r="Z2222" s="198">
        <f>_xll.qlCalendarAdvance(Calendar,Y2222,NDays&amp;"D")</f>
        <v>54528</v>
      </c>
      <c r="AA2222" s="173">
        <v>2.0962460710245472E-2</v>
      </c>
      <c r="AB2222" s="182">
        <v>2.0795585023432039E-2</v>
      </c>
    </row>
    <row r="2223" spans="24:28" x14ac:dyDescent="0.2">
      <c r="X2223" s="186" t="str">
        <f t="shared" si="68"/>
        <v>1w</v>
      </c>
      <c r="Y2223" s="174">
        <f>_xll.qlCalendarAdvance(Calendar,Y2222,X2223,"f",FALSE)</f>
        <v>54533</v>
      </c>
      <c r="Z2223" s="198">
        <f>_xll.qlCalendarAdvance(Calendar,Y2223,NDays&amp;"D")</f>
        <v>54535</v>
      </c>
      <c r="AA2223" s="173">
        <v>2.0967194299546112E-2</v>
      </c>
      <c r="AB2223" s="182">
        <v>2.0796439038530679E-2</v>
      </c>
    </row>
    <row r="2224" spans="24:28" x14ac:dyDescent="0.2">
      <c r="X2224" s="186" t="str">
        <f t="shared" si="68"/>
        <v>1w</v>
      </c>
      <c r="Y2224" s="174">
        <f>_xll.qlCalendarAdvance(Calendar,Y2223,X2224,"f",FALSE)</f>
        <v>54540</v>
      </c>
      <c r="Z2224" s="198">
        <f>_xll.qlCalendarAdvance(Calendar,Y2224,NDays&amp;"D")</f>
        <v>54542</v>
      </c>
      <c r="AA2224" s="173">
        <v>2.0971937731677565E-2</v>
      </c>
      <c r="AB2224" s="182">
        <v>2.0801006242905373E-2</v>
      </c>
    </row>
    <row r="2225" spans="24:28" x14ac:dyDescent="0.2">
      <c r="X2225" s="186" t="str">
        <f t="shared" si="68"/>
        <v>1w</v>
      </c>
      <c r="Y2225" s="174">
        <f>_xll.qlCalendarAdvance(Calendar,Y2224,X2225,"f",FALSE)</f>
        <v>54547</v>
      </c>
      <c r="Z2225" s="198">
        <f>_xll.qlCalendarAdvance(Calendar,Y2225,NDays&amp;"D")</f>
        <v>54549</v>
      </c>
      <c r="AA2225" s="173">
        <v>2.0979547166586055E-2</v>
      </c>
      <c r="AB2225" s="182">
        <v>2.0805583175818043E-2</v>
      </c>
    </row>
    <row r="2226" spans="24:28" x14ac:dyDescent="0.2">
      <c r="X2226" s="186" t="str">
        <f t="shared" si="68"/>
        <v>1w</v>
      </c>
      <c r="Y2226" s="174">
        <f>_xll.qlCalendarAdvance(Calendar,Y2225,X2226,"f",FALSE)</f>
        <v>54554</v>
      </c>
      <c r="Z2226" s="198">
        <f>_xll.qlCalendarAdvance(Calendar,Y2226,NDays&amp;"D")</f>
        <v>54556</v>
      </c>
      <c r="AA2226" s="173">
        <v>2.0984311166229862E-2</v>
      </c>
      <c r="AB2226" s="182">
        <v>2.0810169837268688E-2</v>
      </c>
    </row>
    <row r="2227" spans="24:28" x14ac:dyDescent="0.2">
      <c r="X2227" s="186" t="str">
        <f t="shared" si="68"/>
        <v>1w</v>
      </c>
      <c r="Y2227" s="174">
        <f>_xll.qlCalendarAdvance(Calendar,Y2226,X2227,"f",FALSE)</f>
        <v>54561</v>
      </c>
      <c r="Z2227" s="198">
        <f>_xll.qlCalendarAdvance(Calendar,Y2227,NDays&amp;"D")</f>
        <v>54563</v>
      </c>
      <c r="AA2227" s="173">
        <v>2.0989080484963785E-2</v>
      </c>
      <c r="AB2227" s="182">
        <v>2.08147662270175E-2</v>
      </c>
    </row>
    <row r="2228" spans="24:28" x14ac:dyDescent="0.2">
      <c r="X2228" s="186" t="str">
        <f t="shared" si="68"/>
        <v>1w</v>
      </c>
      <c r="Y2228" s="174">
        <f>_xll.qlCalendarAdvance(Calendar,Y2227,X2228,"f",FALSE)</f>
        <v>54568</v>
      </c>
      <c r="Z2228" s="198">
        <f>_xll.qlCalendarAdvance(Calendar,Y2228,NDays&amp;"D")</f>
        <v>54570</v>
      </c>
      <c r="AA2228" s="173">
        <v>2.099385248273964E-2</v>
      </c>
      <c r="AB2228" s="182">
        <v>2.0819372345304288E-2</v>
      </c>
    </row>
    <row r="2229" spans="24:28" x14ac:dyDescent="0.2">
      <c r="X2229" s="186" t="str">
        <f t="shared" si="68"/>
        <v>1w</v>
      </c>
      <c r="Y2229" s="174">
        <f>_xll.qlCalendarAdvance(Calendar,Y2228,X2229,"f",FALSE)</f>
        <v>54575</v>
      </c>
      <c r="Z2229" s="198">
        <f>_xll.qlCalendarAdvance(Calendar,Y2229,NDays&amp;"D")</f>
        <v>54577</v>
      </c>
      <c r="AA2229" s="173">
        <v>2.0995767338772134E-2</v>
      </c>
      <c r="AB2229" s="182">
        <v>2.0823988192049114E-2</v>
      </c>
    </row>
    <row r="2230" spans="24:28" x14ac:dyDescent="0.2">
      <c r="X2230" s="186" t="str">
        <f t="shared" si="68"/>
        <v>1w</v>
      </c>
      <c r="Y2230" s="174">
        <f>_xll.qlCalendarAdvance(Calendar,Y2229,X2230,"f",FALSE)</f>
        <v>54582</v>
      </c>
      <c r="Z2230" s="198">
        <f>_xll.qlCalendarAdvance(Calendar,Y2230,NDays&amp;"D")</f>
        <v>54584</v>
      </c>
      <c r="AA2230" s="173">
        <v>2.1000538994031027E-2</v>
      </c>
      <c r="AB2230" s="182">
        <v>2.0828613767411852E-2</v>
      </c>
    </row>
    <row r="2231" spans="24:28" x14ac:dyDescent="0.2">
      <c r="X2231" s="186" t="str">
        <f t="shared" si="68"/>
        <v>1w</v>
      </c>
      <c r="Y2231" s="174">
        <f>_xll.qlCalendarAdvance(Calendar,Y2230,X2231,"f",FALSE)</f>
        <v>54589</v>
      </c>
      <c r="Z2231" s="198">
        <f>_xll.qlCalendarAdvance(Calendar,Y2231,NDays&amp;"D")</f>
        <v>54591</v>
      </c>
      <c r="AA2231" s="173">
        <v>2.1005306311316883E-2</v>
      </c>
      <c r="AB2231" s="182">
        <v>2.0833249071072757E-2</v>
      </c>
    </row>
    <row r="2232" spans="24:28" x14ac:dyDescent="0.2">
      <c r="X2232" s="186" t="str">
        <f t="shared" si="68"/>
        <v>1w</v>
      </c>
      <c r="Y2232" s="174">
        <f>_xll.qlCalendarAdvance(Calendar,Y2231,X2232,"f",FALSE)</f>
        <v>54596</v>
      </c>
      <c r="Z2232" s="198">
        <f>_xll.qlCalendarAdvance(Calendar,Y2232,NDays&amp;"D")</f>
        <v>54598</v>
      </c>
      <c r="AA2232" s="173">
        <v>2.1010066607675074E-2</v>
      </c>
      <c r="AB2232" s="182">
        <v>2.0837894103271637E-2</v>
      </c>
    </row>
    <row r="2233" spans="24:28" x14ac:dyDescent="0.2">
      <c r="X2233" s="186" t="str">
        <f t="shared" si="68"/>
        <v>1w</v>
      </c>
      <c r="Y2233" s="174">
        <f>_xll.qlCalendarAdvance(Calendar,Y2232,X2233,"f",FALSE)</f>
        <v>54603</v>
      </c>
      <c r="Z2233" s="198">
        <f>_xll.qlCalendarAdvance(Calendar,Y2233,NDays&amp;"D")</f>
        <v>54605</v>
      </c>
      <c r="AA2233" s="173">
        <v>2.1017660253693456E-2</v>
      </c>
      <c r="AB2233" s="182">
        <v>2.0842548864008492E-2</v>
      </c>
    </row>
    <row r="2234" spans="24:28" x14ac:dyDescent="0.2">
      <c r="X2234" s="186" t="str">
        <f t="shared" si="68"/>
        <v>1w</v>
      </c>
      <c r="Y2234" s="174">
        <f>_xll.qlCalendarAdvance(Calendar,Y2233,X2234,"f",FALSE)</f>
        <v>54610</v>
      </c>
      <c r="Z2234" s="198">
        <f>_xll.qlCalendarAdvance(Calendar,Y2234,NDays&amp;"D")</f>
        <v>54612</v>
      </c>
      <c r="AA2234" s="173">
        <v>2.1022392883228175E-2</v>
      </c>
      <c r="AB2234" s="182">
        <v>2.0847213353203387E-2</v>
      </c>
    </row>
    <row r="2235" spans="24:28" x14ac:dyDescent="0.2">
      <c r="X2235" s="186" t="str">
        <f t="shared" si="68"/>
        <v>1w</v>
      </c>
      <c r="Y2235" s="174">
        <f>_xll.qlCalendarAdvance(Calendar,Y2234,X2235,"f",FALSE)</f>
        <v>54617</v>
      </c>
      <c r="Z2235" s="198">
        <f>_xll.qlCalendarAdvance(Calendar,Y2235,NDays&amp;"D")</f>
        <v>54619</v>
      </c>
      <c r="AA2235" s="173">
        <v>2.1027109710734817E-2</v>
      </c>
      <c r="AB2235" s="182">
        <v>2.085188757085632E-2</v>
      </c>
    </row>
    <row r="2236" spans="24:28" x14ac:dyDescent="0.2">
      <c r="X2236" s="186" t="str">
        <f t="shared" si="68"/>
        <v>1w</v>
      </c>
      <c r="Y2236" s="174">
        <f>_xll.qlCalendarAdvance(Calendar,Y2235,X2236,"f",FALSE)</f>
        <v>54624</v>
      </c>
      <c r="Z2236" s="198">
        <f>_xll.qlCalendarAdvance(Calendar,Y2236,NDays&amp;"D")</f>
        <v>54626</v>
      </c>
      <c r="AA2236" s="173">
        <v>2.1031808095959781E-2</v>
      </c>
      <c r="AB2236" s="182">
        <v>2.0856571516967293E-2</v>
      </c>
    </row>
    <row r="2237" spans="24:28" x14ac:dyDescent="0.2">
      <c r="X2237" s="186" t="str">
        <f t="shared" si="68"/>
        <v>1w</v>
      </c>
      <c r="Y2237" s="174">
        <f>_xll.qlCalendarAdvance(Calendar,Y2236,X2237,"f",FALSE)</f>
        <v>54631</v>
      </c>
      <c r="Z2237" s="198">
        <f>_xll.qlCalendarAdvance(Calendar,Y2237,NDays&amp;"D")</f>
        <v>54633</v>
      </c>
      <c r="AA2237" s="173">
        <v>2.1036485398622382E-2</v>
      </c>
      <c r="AB2237" s="182">
        <v>2.0861265191536305E-2</v>
      </c>
    </row>
    <row r="2238" spans="24:28" x14ac:dyDescent="0.2">
      <c r="X2238" s="186" t="str">
        <f t="shared" si="68"/>
        <v>1w</v>
      </c>
      <c r="Y2238" s="174">
        <f>_xll.qlCalendarAdvance(Calendar,Y2237,X2238,"f",FALSE)</f>
        <v>54638</v>
      </c>
      <c r="Z2238" s="198">
        <f>_xll.qlCalendarAdvance(Calendar,Y2238,NDays&amp;"D")</f>
        <v>54640</v>
      </c>
      <c r="AA2238" s="173">
        <v>2.104113897842045E-2</v>
      </c>
      <c r="AB2238" s="182">
        <v>2.0865968594643292E-2</v>
      </c>
    </row>
    <row r="2239" spans="24:28" x14ac:dyDescent="0.2">
      <c r="X2239" s="186" t="str">
        <f t="shared" si="68"/>
        <v>1w</v>
      </c>
      <c r="Y2239" s="174">
        <f>_xll.qlCalendarAdvance(Calendar,Y2238,X2239,"f",FALSE)</f>
        <v>54645</v>
      </c>
      <c r="Z2239" s="198">
        <f>_xll.qlCalendarAdvance(Calendar,Y2239,NDays&amp;"D")</f>
        <v>54647</v>
      </c>
      <c r="AA2239" s="173">
        <v>2.1045766195023449E-2</v>
      </c>
      <c r="AB2239" s="182">
        <v>2.0870681726128382E-2</v>
      </c>
    </row>
    <row r="2240" spans="24:28" x14ac:dyDescent="0.2">
      <c r="X2240" s="186" t="str">
        <f t="shared" si="68"/>
        <v>1w</v>
      </c>
      <c r="Y2240" s="174">
        <f>_xll.qlCalendarAdvance(Calendar,Y2239,X2240,"f",FALSE)</f>
        <v>54652</v>
      </c>
      <c r="Z2240" s="198">
        <f>_xll.qlCalendarAdvance(Calendar,Y2240,NDays&amp;"D")</f>
        <v>54654</v>
      </c>
      <c r="AA2240" s="173">
        <v>2.1050364408081078E-2</v>
      </c>
      <c r="AB2240" s="182">
        <v>2.0875404586311319E-2</v>
      </c>
    </row>
    <row r="2241" spans="24:28" x14ac:dyDescent="0.2">
      <c r="X2241" s="186" t="str">
        <f t="shared" si="68"/>
        <v>1w</v>
      </c>
      <c r="Y2241" s="174">
        <f>_xll.qlCalendarAdvance(Calendar,Y2240,X2241,"f",FALSE)</f>
        <v>54659</v>
      </c>
      <c r="Z2241" s="198">
        <f>_xll.qlCalendarAdvance(Calendar,Y2241,NDays&amp;"D")</f>
        <v>54661</v>
      </c>
      <c r="AA2241" s="173">
        <v>2.1054930977216814E-2</v>
      </c>
      <c r="AB2241" s="182">
        <v>2.088013717487236E-2</v>
      </c>
    </row>
    <row r="2242" spans="24:28" x14ac:dyDescent="0.2">
      <c r="X2242" s="186" t="str">
        <f t="shared" si="68"/>
        <v>1w</v>
      </c>
      <c r="Y2242" s="174">
        <f>_xll.qlCalendarAdvance(Calendar,Y2241,X2242,"f",FALSE)</f>
        <v>54666</v>
      </c>
      <c r="Z2242" s="198">
        <f>_xll.qlCalendarAdvance(Calendar,Y2242,NDays&amp;"D")</f>
        <v>54668</v>
      </c>
      <c r="AA2242" s="173">
        <v>2.1054844751545801E-2</v>
      </c>
      <c r="AB2242" s="182">
        <v>2.0884879491811503E-2</v>
      </c>
    </row>
    <row r="2243" spans="24:28" x14ac:dyDescent="0.2">
      <c r="X2243" s="186" t="str">
        <f t="shared" si="68"/>
        <v>1w</v>
      </c>
      <c r="Y2243" s="174">
        <f>_xll.qlCalendarAdvance(Calendar,Y2242,X2243,"f",FALSE)</f>
        <v>54673</v>
      </c>
      <c r="Z2243" s="198">
        <f>_xll.qlCalendarAdvance(Calendar,Y2243,NDays&amp;"D")</f>
        <v>54675</v>
      </c>
      <c r="AA2243" s="173">
        <v>2.1059357787729237E-2</v>
      </c>
      <c r="AB2243" s="182">
        <v>2.0889631537288622E-2</v>
      </c>
    </row>
    <row r="2244" spans="24:28" x14ac:dyDescent="0.2">
      <c r="X2244" s="186" t="str">
        <f t="shared" si="68"/>
        <v>1w</v>
      </c>
      <c r="Y2244" s="174">
        <f>_xll.qlCalendarAdvance(Calendar,Y2243,X2244,"f",FALSE)</f>
        <v>54680</v>
      </c>
      <c r="Z2244" s="198">
        <f>_xll.qlCalendarAdvance(Calendar,Y2244,NDays&amp;"D")</f>
        <v>54682</v>
      </c>
      <c r="AA2244" s="173">
        <v>2.1063831842957632E-2</v>
      </c>
      <c r="AB2244" s="182">
        <v>2.0894393311383652E-2</v>
      </c>
    </row>
    <row r="2245" spans="24:28" x14ac:dyDescent="0.2">
      <c r="X2245" s="186" t="str">
        <f t="shared" si="68"/>
        <v>1w</v>
      </c>
      <c r="Y2245" s="174">
        <f>_xll.qlCalendarAdvance(Calendar,Y2244,X2245,"f",FALSE)</f>
        <v>54687</v>
      </c>
      <c r="Z2245" s="198">
        <f>_xll.qlCalendarAdvance(Calendar,Y2245,NDays&amp;"D")</f>
        <v>54689</v>
      </c>
      <c r="AA2245" s="173">
        <v>2.1068264204632672E-2</v>
      </c>
      <c r="AB2245" s="182">
        <v>2.0899164813776849E-2</v>
      </c>
    </row>
    <row r="2246" spans="24:28" x14ac:dyDescent="0.2">
      <c r="X2246" s="186" t="str">
        <f t="shared" si="68"/>
        <v>1w</v>
      </c>
      <c r="Y2246" s="174">
        <f>_xll.qlCalendarAdvance(Calendar,Y2245,X2246,"f",FALSE)</f>
        <v>54694</v>
      </c>
      <c r="Z2246" s="198">
        <f>_xll.qlCalendarAdvance(Calendar,Y2246,NDays&amp;"D")</f>
        <v>54696</v>
      </c>
      <c r="AA2246" s="173">
        <v>2.1073561775958646E-2</v>
      </c>
      <c r="AB2246" s="182">
        <v>2.0903946044628086E-2</v>
      </c>
    </row>
    <row r="2247" spans="24:28" x14ac:dyDescent="0.2">
      <c r="X2247" s="186" t="str">
        <f t="shared" si="68"/>
        <v>1w</v>
      </c>
      <c r="Y2247" s="174">
        <f>_xll.qlCalendarAdvance(Calendar,Y2246,X2247,"f",FALSE)</f>
        <v>54701</v>
      </c>
      <c r="Z2247" s="198">
        <f>_xll.qlCalendarAdvance(Calendar,Y2247,NDays&amp;"D")</f>
        <v>54703</v>
      </c>
      <c r="AA2247" s="173">
        <v>2.1077898700587738E-2</v>
      </c>
      <c r="AB2247" s="182">
        <v>2.0908737004097233E-2</v>
      </c>
    </row>
    <row r="2248" spans="24:28" x14ac:dyDescent="0.2">
      <c r="X2248" s="186" t="str">
        <f t="shared" si="68"/>
        <v>1w</v>
      </c>
      <c r="Y2248" s="174">
        <f>_xll.qlCalendarAdvance(Calendar,Y2247,X2248,"f",FALSE)</f>
        <v>54708</v>
      </c>
      <c r="Z2248" s="198">
        <f>_xll.qlCalendarAdvance(Calendar,Y2248,NDays&amp;"D")</f>
        <v>54710</v>
      </c>
      <c r="AA2248" s="173">
        <v>2.1082185733381113E-2</v>
      </c>
      <c r="AB2248" s="182">
        <v>2.091353769202442E-2</v>
      </c>
    </row>
    <row r="2249" spans="24:28" x14ac:dyDescent="0.2">
      <c r="X2249" s="186" t="str">
        <f t="shared" si="68"/>
        <v>1w</v>
      </c>
      <c r="Y2249" s="174">
        <f>_xll.qlCalendarAdvance(Calendar,Y2248,X2249,"f",FALSE)</f>
        <v>54715</v>
      </c>
      <c r="Z2249" s="198">
        <f>_xll.qlCalendarAdvance(Calendar,Y2249,NDays&amp;"D")</f>
        <v>54717</v>
      </c>
      <c r="AA2249" s="173">
        <v>2.1086420176403709E-2</v>
      </c>
      <c r="AB2249" s="182">
        <v>2.0918348108409646E-2</v>
      </c>
    </row>
    <row r="2250" spans="24:28" x14ac:dyDescent="0.2">
      <c r="X2250" s="186" t="str">
        <f t="shared" si="68"/>
        <v>1w</v>
      </c>
      <c r="Y2250" s="174">
        <f>_xll.qlCalendarAdvance(Calendar,Y2249,X2250,"f",FALSE)</f>
        <v>54722</v>
      </c>
      <c r="Z2250" s="198">
        <f>_xll.qlCalendarAdvance(Calendar,Y2250,NDays&amp;"D")</f>
        <v>54724</v>
      </c>
      <c r="AA2250" s="173">
        <v>2.1090599331699818E-2</v>
      </c>
      <c r="AB2250" s="182">
        <v>2.0923168253332847E-2</v>
      </c>
    </row>
    <row r="2251" spans="24:28" x14ac:dyDescent="0.2">
      <c r="X2251" s="186" t="str">
        <f t="shared" si="68"/>
        <v>1w</v>
      </c>
      <c r="Y2251" s="174">
        <f>_xll.qlCalendarAdvance(Calendar,Y2250,X2251,"f",FALSE)</f>
        <v>54729</v>
      </c>
      <c r="Z2251" s="198">
        <f>_xll.qlCalendarAdvance(Calendar,Y2251,NDays&amp;"D")</f>
        <v>54731</v>
      </c>
      <c r="AA2251" s="173">
        <v>2.1093830903288736E-2</v>
      </c>
      <c r="AB2251" s="182">
        <v>2.0927996474195965E-2</v>
      </c>
    </row>
    <row r="2252" spans="24:28" x14ac:dyDescent="0.2">
      <c r="X2252" s="186" t="str">
        <f t="shared" si="68"/>
        <v>1w</v>
      </c>
      <c r="Y2252" s="174">
        <f>_xll.qlCalendarAdvance(Calendar,Y2251,X2252,"f",FALSE)</f>
        <v>54736</v>
      </c>
      <c r="Z2252" s="198">
        <f>_xll.qlCalendarAdvance(Calendar,Y2252,NDays&amp;"D")</f>
        <v>54738</v>
      </c>
      <c r="AA2252" s="173">
        <v>2.1097896129115421E-2</v>
      </c>
      <c r="AB2252" s="182">
        <v>2.0932786503049527E-2</v>
      </c>
    </row>
    <row r="2253" spans="24:28" x14ac:dyDescent="0.2">
      <c r="X2253" s="186" t="str">
        <f t="shared" si="68"/>
        <v>1w</v>
      </c>
      <c r="Y2253" s="174">
        <f>_xll.qlCalendarAdvance(Calendar,Y2252,X2253,"f",FALSE)</f>
        <v>54743</v>
      </c>
      <c r="Z2253" s="198">
        <f>_xll.qlCalendarAdvance(Calendar,Y2253,NDays&amp;"D")</f>
        <v>54745</v>
      </c>
      <c r="AA2253" s="173">
        <v>2.1101901059756685E-2</v>
      </c>
      <c r="AB2253" s="182">
        <v>2.0937516858117178E-2</v>
      </c>
    </row>
    <row r="2254" spans="24:28" x14ac:dyDescent="0.2">
      <c r="X2254" s="186" t="str">
        <f t="shared" si="68"/>
        <v>1w</v>
      </c>
      <c r="Y2254" s="174">
        <f>_xll.qlCalendarAdvance(Calendar,Y2253,X2254,"f",FALSE)</f>
        <v>54750</v>
      </c>
      <c r="Z2254" s="198">
        <f>_xll.qlCalendarAdvance(Calendar,Y2254,NDays&amp;"D")</f>
        <v>54752</v>
      </c>
      <c r="AA2254" s="173">
        <v>2.1105845694853482E-2</v>
      </c>
      <c r="AB2254" s="182">
        <v>2.0942187539558788E-2</v>
      </c>
    </row>
    <row r="2255" spans="24:28" x14ac:dyDescent="0.2">
      <c r="X2255" s="186" t="str">
        <f t="shared" si="68"/>
        <v>1w</v>
      </c>
      <c r="Y2255" s="174">
        <f>_xll.qlCalendarAdvance(Calendar,Y2254,X2255,"f",FALSE)</f>
        <v>54757</v>
      </c>
      <c r="Z2255" s="198">
        <f>_xll.qlCalendarAdvance(Calendar,Y2255,NDays&amp;"D")</f>
        <v>54759</v>
      </c>
      <c r="AA2255" s="173">
        <v>2.1110603331989018E-2</v>
      </c>
      <c r="AB2255" s="182">
        <v>2.0946798547134549E-2</v>
      </c>
    </row>
    <row r="2256" spans="24:28" x14ac:dyDescent="0.2">
      <c r="X2256" s="186" t="str">
        <f t="shared" si="68"/>
        <v>1w</v>
      </c>
      <c r="Y2256" s="174">
        <f>_xll.qlCalendarAdvance(Calendar,Y2255,X2256,"f",FALSE)</f>
        <v>54764</v>
      </c>
      <c r="Z2256" s="198">
        <f>_xll.qlCalendarAdvance(Calendar,Y2256,NDays&amp;"D")</f>
        <v>54766</v>
      </c>
      <c r="AA2256" s="173">
        <v>2.1114423290844186E-2</v>
      </c>
      <c r="AB2256" s="182">
        <v>2.0951349881084269E-2</v>
      </c>
    </row>
    <row r="2257" spans="24:28" x14ac:dyDescent="0.2">
      <c r="X2257" s="186" t="str">
        <f t="shared" si="68"/>
        <v>1w</v>
      </c>
      <c r="Y2257" s="174">
        <f>_xll.qlCalendarAdvance(Calendar,Y2256,X2257,"f",FALSE)</f>
        <v>54771</v>
      </c>
      <c r="Z2257" s="198">
        <f>_xll.qlCalendarAdvance(Calendar,Y2257,NDays&amp;"D")</f>
        <v>54773</v>
      </c>
      <c r="AA2257" s="173">
        <v>2.1118182949603447E-2</v>
      </c>
      <c r="AB2257" s="182">
        <v>2.0955841541088205E-2</v>
      </c>
    </row>
    <row r="2258" spans="24:28" x14ac:dyDescent="0.2">
      <c r="X2258" s="186" t="str">
        <f t="shared" si="68"/>
        <v>1w</v>
      </c>
      <c r="Y2258" s="174">
        <f>_xll.qlCalendarAdvance(Calendar,Y2257,X2258,"f",FALSE)</f>
        <v>54778</v>
      </c>
      <c r="Z2258" s="198">
        <f>_xll.qlCalendarAdvance(Calendar,Y2258,NDays&amp;"D")</f>
        <v>54780</v>
      </c>
      <c r="AA2258" s="173">
        <v>2.1121882307926419E-2</v>
      </c>
      <c r="AB2258" s="182">
        <v>2.0960273527546036E-2</v>
      </c>
    </row>
    <row r="2259" spans="24:28" x14ac:dyDescent="0.2">
      <c r="X2259" s="186" t="str">
        <f t="shared" si="68"/>
        <v>1w</v>
      </c>
      <c r="Y2259" s="174">
        <f>_xll.qlCalendarAdvance(Calendar,Y2258,X2259,"f",FALSE)</f>
        <v>54785</v>
      </c>
      <c r="Z2259" s="198">
        <f>_xll.qlCalendarAdvance(Calendar,Y2259,NDays&amp;"D")</f>
        <v>54787</v>
      </c>
      <c r="AA2259" s="173">
        <v>2.1125521365479294E-2</v>
      </c>
      <c r="AB2259" s="182">
        <v>2.0964645840138019E-2</v>
      </c>
    </row>
    <row r="2260" spans="24:28" x14ac:dyDescent="0.2">
      <c r="X2260" s="186" t="str">
        <f t="shared" si="68"/>
        <v>1w</v>
      </c>
      <c r="Y2260" s="174">
        <f>_xll.qlCalendarAdvance(Calendar,Y2259,X2260,"f",FALSE)</f>
        <v>54792</v>
      </c>
      <c r="Z2260" s="198">
        <f>_xll.qlCalendarAdvance(Calendar,Y2260,NDays&amp;"D")</f>
        <v>54794</v>
      </c>
      <c r="AA2260" s="173">
        <v>2.1128247279490274E-2</v>
      </c>
      <c r="AB2260" s="182">
        <v>2.0968958479103961E-2</v>
      </c>
    </row>
    <row r="2261" spans="24:28" x14ac:dyDescent="0.2">
      <c r="X2261" s="186" t="str">
        <f t="shared" ref="X2261:X2324" si="69">X2260</f>
        <v>1w</v>
      </c>
      <c r="Y2261" s="174">
        <f>_xll.qlCalendarAdvance(Calendar,Y2260,X2261,"f",FALSE)</f>
        <v>54799</v>
      </c>
      <c r="Z2261" s="198">
        <f>_xll.qlCalendarAdvance(Calendar,Y2261,NDays&amp;"D")</f>
        <v>54801</v>
      </c>
      <c r="AA2261" s="173">
        <v>2.1131769836136204E-2</v>
      </c>
      <c r="AB2261" s="182">
        <v>2.0973211444124118E-2</v>
      </c>
    </row>
    <row r="2262" spans="24:28" x14ac:dyDescent="0.2">
      <c r="X2262" s="186" t="str">
        <f t="shared" si="69"/>
        <v>1w</v>
      </c>
      <c r="Y2262" s="174">
        <f>_xll.qlCalendarAdvance(Calendar,Y2261,X2262,"f",FALSE)</f>
        <v>54806</v>
      </c>
      <c r="Z2262" s="198">
        <f>_xll.qlCalendarAdvance(Calendar,Y2262,NDays&amp;"D")</f>
        <v>54808</v>
      </c>
      <c r="AA2262" s="173">
        <v>2.1135232094549875E-2</v>
      </c>
      <c r="AB2262" s="182">
        <v>2.0977404735518235E-2</v>
      </c>
    </row>
    <row r="2263" spans="24:28" x14ac:dyDescent="0.2">
      <c r="X2263" s="186" t="str">
        <f t="shared" si="69"/>
        <v>1w</v>
      </c>
      <c r="Y2263" s="174">
        <f>_xll.qlCalendarAdvance(Calendar,Y2262,X2263,"f",FALSE)</f>
        <v>54813</v>
      </c>
      <c r="Z2263" s="198">
        <f>_xll.qlCalendarAdvance(Calendar,Y2263,NDays&amp;"D")</f>
        <v>54815</v>
      </c>
      <c r="AA2263" s="173">
        <v>2.1138634054418157E-2</v>
      </c>
      <c r="AB2263" s="182">
        <v>2.0981538353206375E-2</v>
      </c>
    </row>
    <row r="2264" spans="24:28" x14ac:dyDescent="0.2">
      <c r="X2264" s="186" t="str">
        <f t="shared" si="69"/>
        <v>1w</v>
      </c>
      <c r="Y2264" s="174">
        <f>_xll.qlCalendarAdvance(Calendar,Y2263,X2264,"f",FALSE)</f>
        <v>54820</v>
      </c>
      <c r="Z2264" s="198">
        <f>_xll.qlCalendarAdvance(Calendar,Y2264,NDays&amp;"D")</f>
        <v>54822</v>
      </c>
      <c r="AA2264" s="173">
        <v>2.1141975715435891E-2</v>
      </c>
      <c r="AB2264" s="182">
        <v>2.098561229694873E-2</v>
      </c>
    </row>
    <row r="2265" spans="24:28" x14ac:dyDescent="0.2">
      <c r="X2265" s="186" t="str">
        <f t="shared" si="69"/>
        <v>1w</v>
      </c>
      <c r="Y2265" s="174">
        <f>_xll.qlCalendarAdvance(Calendar,Y2264,X2265,"f",FALSE)</f>
        <v>54827</v>
      </c>
      <c r="Z2265" s="198">
        <f>_xll.qlCalendarAdvance(Calendar,Y2265,NDays&amp;"D")</f>
        <v>54829</v>
      </c>
      <c r="AA2265" s="173">
        <v>2.1145257077301874E-2</v>
      </c>
      <c r="AB2265" s="182">
        <v>2.0989626567144981E-2</v>
      </c>
    </row>
    <row r="2266" spans="24:28" x14ac:dyDescent="0.2">
      <c r="X2266" s="186" t="str">
        <f t="shared" si="69"/>
        <v>1w</v>
      </c>
      <c r="Y2266" s="174">
        <f>_xll.qlCalendarAdvance(Calendar,Y2265,X2266,"f",FALSE)</f>
        <v>54834</v>
      </c>
      <c r="Z2266" s="198">
        <f>_xll.qlCalendarAdvance(Calendar,Y2266,NDays&amp;"D")</f>
        <v>54836</v>
      </c>
      <c r="AA2266" s="173">
        <v>2.1148478139721535E-2</v>
      </c>
      <c r="AB2266" s="182">
        <v>2.0993581163475383E-2</v>
      </c>
    </row>
    <row r="2267" spans="24:28" x14ac:dyDescent="0.2">
      <c r="X2267" s="186" t="str">
        <f t="shared" si="69"/>
        <v>1w</v>
      </c>
      <c r="Y2267" s="174">
        <f>_xll.qlCalendarAdvance(Calendar,Y2266,X2267,"f",FALSE)</f>
        <v>54841</v>
      </c>
      <c r="Z2267" s="198">
        <f>_xll.qlCalendarAdvance(Calendar,Y2267,NDays&amp;"D")</f>
        <v>54843</v>
      </c>
      <c r="AA2267" s="173">
        <v>2.1151638902402955E-2</v>
      </c>
      <c r="AB2267" s="182">
        <v>2.0997476085939937E-2</v>
      </c>
    </row>
    <row r="2268" spans="24:28" x14ac:dyDescent="0.2">
      <c r="X2268" s="186" t="str">
        <f t="shared" si="69"/>
        <v>1w</v>
      </c>
      <c r="Y2268" s="174">
        <f>_xll.qlCalendarAdvance(Calendar,Y2267,X2268,"f",FALSE)</f>
        <v>54848</v>
      </c>
      <c r="Z2268" s="198">
        <f>_xll.qlCalendarAdvance(Calendar,Y2268,NDays&amp;"D")</f>
        <v>54850</v>
      </c>
      <c r="AA2268" s="173">
        <v>2.1158835393571138E-2</v>
      </c>
      <c r="AB2268" s="182">
        <v>2.100131133477845E-2</v>
      </c>
    </row>
    <row r="2269" spans="24:28" x14ac:dyDescent="0.2">
      <c r="X2269" s="186" t="str">
        <f t="shared" si="69"/>
        <v>1w</v>
      </c>
      <c r="Y2269" s="174">
        <f>_xll.qlCalendarAdvance(Calendar,Y2268,X2269,"f",FALSE)</f>
        <v>54855</v>
      </c>
      <c r="Z2269" s="198">
        <f>_xll.qlCalendarAdvance(Calendar,Y2269,NDays&amp;"D")</f>
        <v>54857</v>
      </c>
      <c r="AA2269" s="173">
        <v>2.116185490237241E-2</v>
      </c>
      <c r="AB2269" s="182">
        <v>2.1005086909910986E-2</v>
      </c>
    </row>
    <row r="2270" spans="24:28" x14ac:dyDescent="0.2">
      <c r="X2270" s="186" t="str">
        <f t="shared" si="69"/>
        <v>1w</v>
      </c>
      <c r="Y2270" s="174">
        <f>_xll.qlCalendarAdvance(Calendar,Y2269,X2270,"f",FALSE)</f>
        <v>54862</v>
      </c>
      <c r="Z2270" s="198">
        <f>_xll.qlCalendarAdvance(Calendar,Y2270,NDays&amp;"D")</f>
        <v>54864</v>
      </c>
      <c r="AA2270" s="173">
        <v>2.1164814092998713E-2</v>
      </c>
      <c r="AB2270" s="182">
        <v>2.1008802811177674E-2</v>
      </c>
    </row>
    <row r="2271" spans="24:28" x14ac:dyDescent="0.2">
      <c r="X2271" s="186" t="str">
        <f t="shared" si="69"/>
        <v>1w</v>
      </c>
      <c r="Y2271" s="174">
        <f>_xll.qlCalendarAdvance(Calendar,Y2270,X2271,"f",FALSE)</f>
        <v>54869</v>
      </c>
      <c r="Z2271" s="198">
        <f>_xll.qlCalendarAdvance(Calendar,Y2271,NDays&amp;"D")</f>
        <v>54871</v>
      </c>
      <c r="AA2271" s="173">
        <v>2.1167712965177575E-2</v>
      </c>
      <c r="AB2271" s="182">
        <v>2.1012459038498577E-2</v>
      </c>
    </row>
    <row r="2272" spans="24:28" x14ac:dyDescent="0.2">
      <c r="X2272" s="186" t="str">
        <f t="shared" si="69"/>
        <v>1w</v>
      </c>
      <c r="Y2272" s="174">
        <f>_xll.qlCalendarAdvance(Calendar,Y2271,X2272,"f",FALSE)</f>
        <v>54876</v>
      </c>
      <c r="Z2272" s="198">
        <f>_xll.qlCalendarAdvance(Calendar,Y2272,NDays&amp;"D")</f>
        <v>54878</v>
      </c>
      <c r="AA2272" s="173">
        <v>2.1168144627616774E-2</v>
      </c>
      <c r="AB2272" s="182">
        <v>2.1016055592273375E-2</v>
      </c>
    </row>
    <row r="2273" spans="24:28" x14ac:dyDescent="0.2">
      <c r="X2273" s="186" t="str">
        <f t="shared" si="69"/>
        <v>1w</v>
      </c>
      <c r="Y2273" s="174">
        <f>_xll.qlCalendarAdvance(Calendar,Y2272,X2273,"f",FALSE)</f>
        <v>54883</v>
      </c>
      <c r="Z2273" s="198">
        <f>_xll.qlCalendarAdvance(Calendar,Y2273,NDays&amp;"D")</f>
        <v>54885</v>
      </c>
      <c r="AA2273" s="173">
        <v>2.1170935297976055E-2</v>
      </c>
      <c r="AB2273" s="182">
        <v>2.1023045781229044E-2</v>
      </c>
    </row>
    <row r="2274" spans="24:28" x14ac:dyDescent="0.2">
      <c r="X2274" s="186" t="str">
        <f t="shared" si="69"/>
        <v>1w</v>
      </c>
      <c r="Y2274" s="174">
        <f>_xll.qlCalendarAdvance(Calendar,Y2273,X2274,"f",FALSE)</f>
        <v>54890</v>
      </c>
      <c r="Z2274" s="198">
        <f>_xll.qlCalendarAdvance(Calendar,Y2274,NDays&amp;"D")</f>
        <v>54892</v>
      </c>
      <c r="AA2274" s="173">
        <v>2.1173665659673664E-2</v>
      </c>
      <c r="AB2274" s="182">
        <v>2.1023069678385298E-2</v>
      </c>
    </row>
    <row r="2275" spans="24:28" x14ac:dyDescent="0.2">
      <c r="X2275" s="186" t="str">
        <f t="shared" si="69"/>
        <v>1w</v>
      </c>
      <c r="Y2275" s="174">
        <f>_xll.qlCalendarAdvance(Calendar,Y2274,X2275,"f",FALSE)</f>
        <v>54897</v>
      </c>
      <c r="Z2275" s="198">
        <f>_xll.qlCalendarAdvance(Calendar,Y2275,NDays&amp;"D")</f>
        <v>54899</v>
      </c>
      <c r="AA2275" s="173">
        <v>2.1176335712461056E-2</v>
      </c>
      <c r="AB2275" s="182">
        <v>2.1026487210722422E-2</v>
      </c>
    </row>
    <row r="2276" spans="24:28" x14ac:dyDescent="0.2">
      <c r="X2276" s="186" t="str">
        <f t="shared" si="69"/>
        <v>1w</v>
      </c>
      <c r="Y2276" s="174">
        <f>_xll.qlCalendarAdvance(Calendar,Y2275,X2276,"f",FALSE)</f>
        <v>54904</v>
      </c>
      <c r="Z2276" s="198">
        <f>_xll.qlCalendarAdvance(Calendar,Y2276,NDays&amp;"D")</f>
        <v>54906</v>
      </c>
      <c r="AA2276" s="173">
        <v>2.1178945456095367E-2</v>
      </c>
      <c r="AB2276" s="182">
        <v>2.1029845069273634E-2</v>
      </c>
    </row>
    <row r="2277" spans="24:28" x14ac:dyDescent="0.2">
      <c r="X2277" s="186" t="str">
        <f t="shared" si="69"/>
        <v>1w</v>
      </c>
      <c r="Y2277" s="174">
        <f>_xll.qlCalendarAdvance(Calendar,Y2276,X2277,"f",FALSE)</f>
        <v>54911</v>
      </c>
      <c r="Z2277" s="198">
        <f>_xll.qlCalendarAdvance(Calendar,Y2277,NDays&amp;"D")</f>
        <v>54913</v>
      </c>
      <c r="AA2277" s="173">
        <v>2.118383949621673E-2</v>
      </c>
      <c r="AB2277" s="182">
        <v>2.1033143254118869E-2</v>
      </c>
    </row>
    <row r="2278" spans="24:28" x14ac:dyDescent="0.2">
      <c r="X2278" s="186" t="str">
        <f t="shared" si="69"/>
        <v>1w</v>
      </c>
      <c r="Y2278" s="174">
        <f>_xll.qlCalendarAdvance(Calendar,Y2277,X2278,"f",FALSE)</f>
        <v>54918</v>
      </c>
      <c r="Z2278" s="198">
        <f>_xll.qlCalendarAdvance(Calendar,Y2278,NDays&amp;"D")</f>
        <v>54920</v>
      </c>
      <c r="AA2278" s="173">
        <v>2.118631613206453E-2</v>
      </c>
      <c r="AB2278" s="182">
        <v>2.1036381765098255E-2</v>
      </c>
    </row>
    <row r="2279" spans="24:28" x14ac:dyDescent="0.2">
      <c r="X2279" s="186" t="str">
        <f t="shared" si="69"/>
        <v>1w</v>
      </c>
      <c r="Y2279" s="174">
        <f>_xll.qlCalendarAdvance(Calendar,Y2278,X2279,"f",FALSE)</f>
        <v>54925</v>
      </c>
      <c r="Z2279" s="198">
        <f>_xll.qlCalendarAdvance(Calendar,Y2279,NDays&amp;"D")</f>
        <v>54927</v>
      </c>
      <c r="AA2279" s="173">
        <v>2.1188732447475083E-2</v>
      </c>
      <c r="AB2279" s="182">
        <v>2.1039560602291729E-2</v>
      </c>
    </row>
    <row r="2280" spans="24:28" x14ac:dyDescent="0.2">
      <c r="X2280" s="186" t="str">
        <f t="shared" si="69"/>
        <v>1w</v>
      </c>
      <c r="Y2280" s="174">
        <f>_xll.qlCalendarAdvance(Calendar,Y2279,X2280,"f",FALSE)</f>
        <v>54932</v>
      </c>
      <c r="Z2280" s="198">
        <f>_xll.qlCalendarAdvance(Calendar,Y2280,NDays&amp;"D")</f>
        <v>54934</v>
      </c>
      <c r="AA2280" s="173">
        <v>2.1191088442226634E-2</v>
      </c>
      <c r="AB2280" s="182">
        <v>2.1042679765859162E-2</v>
      </c>
    </row>
    <row r="2281" spans="24:28" x14ac:dyDescent="0.2">
      <c r="X2281" s="186" t="str">
        <f t="shared" si="69"/>
        <v>1w</v>
      </c>
      <c r="Y2281" s="174">
        <f>_xll.qlCalendarAdvance(Calendar,Y2280,X2281,"f",FALSE)</f>
        <v>54939</v>
      </c>
      <c r="Z2281" s="198">
        <f>_xll.qlCalendarAdvance(Calendar,Y2281,NDays&amp;"D")</f>
        <v>54941</v>
      </c>
      <c r="AA2281" s="173">
        <v>2.119108952885217E-2</v>
      </c>
      <c r="AB2281" s="182">
        <v>2.1045739255480811E-2</v>
      </c>
    </row>
    <row r="2282" spans="24:28" x14ac:dyDescent="0.2">
      <c r="X2282" s="186" t="str">
        <f t="shared" si="69"/>
        <v>1w</v>
      </c>
      <c r="Y2282" s="174">
        <f>_xll.qlCalendarAdvance(Calendar,Y2281,X2282,"f",FALSE)</f>
        <v>54946</v>
      </c>
      <c r="Z2282" s="198">
        <f>_xll.qlCalendarAdvance(Calendar,Y2282,NDays&amp;"D")</f>
        <v>54948</v>
      </c>
      <c r="AA2282" s="173">
        <v>2.1193337412773138E-2</v>
      </c>
      <c r="AB2282" s="182">
        <v>2.1048739071316547E-2</v>
      </c>
    </row>
    <row r="2283" spans="24:28" x14ac:dyDescent="0.2">
      <c r="X2283" s="186" t="str">
        <f t="shared" si="69"/>
        <v>1w</v>
      </c>
      <c r="Y2283" s="174">
        <f>_xll.qlCalendarAdvance(Calendar,Y2282,X2283,"f",FALSE)</f>
        <v>54953</v>
      </c>
      <c r="Z2283" s="198">
        <f>_xll.qlCalendarAdvance(Calendar,Y2283,NDays&amp;"D")</f>
        <v>54955</v>
      </c>
      <c r="AA2283" s="173">
        <v>2.1195524985994287E-2</v>
      </c>
      <c r="AB2283" s="182">
        <v>2.1051679213446306E-2</v>
      </c>
    </row>
    <row r="2284" spans="24:28" x14ac:dyDescent="0.2">
      <c r="X2284" s="186" t="str">
        <f t="shared" si="69"/>
        <v>1w</v>
      </c>
      <c r="Y2284" s="174">
        <f>_xll.qlCalendarAdvance(Calendar,Y2283,X2284,"f",FALSE)</f>
        <v>54960</v>
      </c>
      <c r="Z2284" s="198">
        <f>_xll.qlCalendarAdvance(Calendar,Y2284,NDays&amp;"D")</f>
        <v>54962</v>
      </c>
      <c r="AA2284" s="173">
        <v>2.119765224831599E-2</v>
      </c>
      <c r="AB2284" s="182">
        <v>2.1054559681710217E-2</v>
      </c>
    </row>
    <row r="2285" spans="24:28" x14ac:dyDescent="0.2">
      <c r="X2285" s="186" t="str">
        <f t="shared" si="69"/>
        <v>1w</v>
      </c>
      <c r="Y2285" s="174">
        <f>_xll.qlCalendarAdvance(Calendar,Y2284,X2285,"f",FALSE)</f>
        <v>54967</v>
      </c>
      <c r="Z2285" s="198">
        <f>_xll.qlCalendarAdvance(Calendar,Y2285,NDays&amp;"D")</f>
        <v>54969</v>
      </c>
      <c r="AA2285" s="173">
        <v>2.1199719199544744E-2</v>
      </c>
      <c r="AB2285" s="182">
        <v>2.1057380476028342E-2</v>
      </c>
    </row>
    <row r="2286" spans="24:28" x14ac:dyDescent="0.2">
      <c r="X2286" s="186" t="str">
        <f t="shared" si="69"/>
        <v>1w</v>
      </c>
      <c r="Y2286" s="174">
        <f>_xll.qlCalendarAdvance(Calendar,Y2285,X2286,"f",FALSE)</f>
        <v>54974</v>
      </c>
      <c r="Z2286" s="198">
        <f>_xll.qlCalendarAdvance(Calendar,Y2286,NDays&amp;"D")</f>
        <v>54976</v>
      </c>
      <c r="AA2286" s="173">
        <v>2.120395766505553E-2</v>
      </c>
      <c r="AB2286" s="182">
        <v>2.1060141596720428E-2</v>
      </c>
    </row>
    <row r="2287" spans="24:28" x14ac:dyDescent="0.2">
      <c r="X2287" s="186" t="str">
        <f t="shared" si="69"/>
        <v>1w</v>
      </c>
      <c r="Y2287" s="174">
        <f>_xll.qlCalendarAdvance(Calendar,Y2286,X2287,"f",FALSE)</f>
        <v>54981</v>
      </c>
      <c r="Z2287" s="198">
        <f>_xll.qlCalendarAdvance(Calendar,Y2287,NDays&amp;"D")</f>
        <v>54983</v>
      </c>
      <c r="AA2287" s="173">
        <v>2.1205891409396528E-2</v>
      </c>
      <c r="AB2287" s="182">
        <v>2.1062843043706536E-2</v>
      </c>
    </row>
    <row r="2288" spans="24:28" x14ac:dyDescent="0.2">
      <c r="X2288" s="186" t="str">
        <f t="shared" si="69"/>
        <v>1w</v>
      </c>
      <c r="Y2288" s="174">
        <f>_xll.qlCalendarAdvance(Calendar,Y2287,X2288,"f",FALSE)</f>
        <v>54988</v>
      </c>
      <c r="Z2288" s="198">
        <f>_xll.qlCalendarAdvance(Calendar,Y2288,NDays&amp;"D")</f>
        <v>54990</v>
      </c>
      <c r="AA2288" s="173">
        <v>2.1207764831490544E-2</v>
      </c>
      <c r="AB2288" s="182">
        <v>2.1065484816826796E-2</v>
      </c>
    </row>
    <row r="2289" spans="24:28" x14ac:dyDescent="0.2">
      <c r="X2289" s="186" t="str">
        <f t="shared" si="69"/>
        <v>1w</v>
      </c>
      <c r="Y2289" s="174">
        <f>_xll.qlCalendarAdvance(Calendar,Y2288,X2289,"f",FALSE)</f>
        <v>54995</v>
      </c>
      <c r="Z2289" s="198">
        <f>_xll.qlCalendarAdvance(Calendar,Y2289,NDays&amp;"D")</f>
        <v>54997</v>
      </c>
      <c r="AA2289" s="173">
        <v>2.1209577931163095E-2</v>
      </c>
      <c r="AB2289" s="182">
        <v>2.1068066916001271E-2</v>
      </c>
    </row>
    <row r="2290" spans="24:28" x14ac:dyDescent="0.2">
      <c r="X2290" s="186" t="str">
        <f t="shared" si="69"/>
        <v>1w</v>
      </c>
      <c r="Y2290" s="174">
        <f>_xll.qlCalendarAdvance(Calendar,Y2289,X2290,"f",FALSE)</f>
        <v>55002</v>
      </c>
      <c r="Z2290" s="198">
        <f>_xll.qlCalendarAdvance(Calendar,Y2290,NDays&amp;"D")</f>
        <v>55004</v>
      </c>
      <c r="AA2290" s="173">
        <v>2.1211330708248717E-2</v>
      </c>
      <c r="AB2290" s="182">
        <v>2.1070589341629642E-2</v>
      </c>
    </row>
    <row r="2291" spans="24:28" x14ac:dyDescent="0.2">
      <c r="X2291" s="186" t="str">
        <f t="shared" si="69"/>
        <v>1w</v>
      </c>
      <c r="Y2291" s="174">
        <f>_xll.qlCalendarAdvance(Calendar,Y2290,X2291,"f",FALSE)</f>
        <v>55009</v>
      </c>
      <c r="Z2291" s="198">
        <f>_xll.qlCalendarAdvance(Calendar,Y2291,NDays&amp;"D")</f>
        <v>55011</v>
      </c>
      <c r="AA2291" s="173">
        <v>2.1213023162583673E-2</v>
      </c>
      <c r="AB2291" s="182">
        <v>2.1073052093232292E-2</v>
      </c>
    </row>
    <row r="2292" spans="24:28" x14ac:dyDescent="0.2">
      <c r="X2292" s="186" t="str">
        <f t="shared" si="69"/>
        <v>1w</v>
      </c>
      <c r="Y2292" s="174">
        <f>_xll.qlCalendarAdvance(Calendar,Y2291,X2292,"f",FALSE)</f>
        <v>55016</v>
      </c>
      <c r="Z2292" s="198">
        <f>_xll.qlCalendarAdvance(Calendar,Y2292,NDays&amp;"D")</f>
        <v>55018</v>
      </c>
      <c r="AA2292" s="173">
        <v>2.1214655294011533E-2</v>
      </c>
      <c r="AB2292" s="182">
        <v>2.1075455171128965E-2</v>
      </c>
    </row>
    <row r="2293" spans="24:28" x14ac:dyDescent="0.2">
      <c r="X2293" s="186" t="str">
        <f t="shared" si="69"/>
        <v>1w</v>
      </c>
      <c r="Y2293" s="174">
        <f>_xll.qlCalendarAdvance(Calendar,Y2292,X2293,"f",FALSE)</f>
        <v>55023</v>
      </c>
      <c r="Z2293" s="198">
        <f>_xll.qlCalendarAdvance(Calendar,Y2293,NDays&amp;"D")</f>
        <v>55025</v>
      </c>
      <c r="AA2293" s="173">
        <v>2.1216227102381444E-2</v>
      </c>
      <c r="AB2293" s="182">
        <v>2.1077798575079854E-2</v>
      </c>
    </row>
    <row r="2294" spans="24:28" x14ac:dyDescent="0.2">
      <c r="X2294" s="186" t="str">
        <f t="shared" si="69"/>
        <v>1w</v>
      </c>
      <c r="Y2294" s="174">
        <f>_xll.qlCalendarAdvance(Calendar,Y2293,X2294,"f",FALSE)</f>
        <v>55030</v>
      </c>
      <c r="Z2294" s="198">
        <f>_xll.qlCalendarAdvance(Calendar,Y2294,NDays&amp;"D")</f>
        <v>55032</v>
      </c>
      <c r="AA2294" s="173">
        <v>2.1214185283763749E-2</v>
      </c>
      <c r="AB2294" s="182">
        <v>2.1080082305404702E-2</v>
      </c>
    </row>
    <row r="2295" spans="24:28" x14ac:dyDescent="0.2">
      <c r="X2295" s="186" t="str">
        <f t="shared" si="69"/>
        <v>1w</v>
      </c>
      <c r="Y2295" s="174">
        <f>_xll.qlCalendarAdvance(Calendar,Y2294,X2295,"f",FALSE)</f>
        <v>55037</v>
      </c>
      <c r="Z2295" s="198">
        <f>_xll.qlCalendarAdvance(Calendar,Y2295,NDays&amp;"D")</f>
        <v>55039</v>
      </c>
      <c r="AA2295" s="173">
        <v>2.1215657558151014E-2</v>
      </c>
      <c r="AB2295" s="182">
        <v>2.1082306361783765E-2</v>
      </c>
    </row>
    <row r="2296" spans="24:28" x14ac:dyDescent="0.2">
      <c r="X2296" s="186" t="str">
        <f t="shared" si="69"/>
        <v>1w</v>
      </c>
      <c r="Y2296" s="174">
        <f>_xll.qlCalendarAdvance(Calendar,Y2295,X2296,"f",FALSE)</f>
        <v>55044</v>
      </c>
      <c r="Z2296" s="198">
        <f>_xll.qlCalendarAdvance(Calendar,Y2296,NDays&amp;"D")</f>
        <v>55046</v>
      </c>
      <c r="AA2296" s="173">
        <v>2.121706952675537E-2</v>
      </c>
      <c r="AB2296" s="182">
        <v>2.1084470744456851E-2</v>
      </c>
    </row>
    <row r="2297" spans="24:28" x14ac:dyDescent="0.2">
      <c r="X2297" s="186" t="str">
        <f t="shared" si="69"/>
        <v>1w</v>
      </c>
      <c r="Y2297" s="174">
        <f>_xll.qlCalendarAdvance(Calendar,Y2296,X2297,"f",FALSE)</f>
        <v>55051</v>
      </c>
      <c r="Z2297" s="198">
        <f>_xll.qlCalendarAdvance(Calendar,Y2297,NDays&amp;"D")</f>
        <v>55053</v>
      </c>
      <c r="AA2297" s="173">
        <v>2.1218421189450512E-2</v>
      </c>
      <c r="AB2297" s="182">
        <v>2.1086575453264089E-2</v>
      </c>
    </row>
    <row r="2298" spans="24:28" x14ac:dyDescent="0.2">
      <c r="X2298" s="186" t="str">
        <f t="shared" si="69"/>
        <v>1w</v>
      </c>
      <c r="Y2298" s="174">
        <f>_xll.qlCalendarAdvance(Calendar,Y2297,X2298,"f",FALSE)</f>
        <v>55058</v>
      </c>
      <c r="Z2298" s="198">
        <f>_xll.qlCalendarAdvance(Calendar,Y2298,NDays&amp;"D")</f>
        <v>55060</v>
      </c>
      <c r="AA2298" s="173">
        <v>2.1219712546113219E-2</v>
      </c>
      <c r="AB2298" s="182">
        <v>2.1088620488285414E-2</v>
      </c>
    </row>
    <row r="2299" spans="24:28" x14ac:dyDescent="0.2">
      <c r="X2299" s="186" t="str">
        <f t="shared" si="69"/>
        <v>1w</v>
      </c>
      <c r="Y2299" s="174">
        <f>_xll.qlCalendarAdvance(Calendar,Y2298,X2299,"f",FALSE)</f>
        <v>55065</v>
      </c>
      <c r="Z2299" s="198">
        <f>_xll.qlCalendarAdvance(Calendar,Y2299,NDays&amp;"D")</f>
        <v>55067</v>
      </c>
      <c r="AA2299" s="173">
        <v>2.1221633865678758E-2</v>
      </c>
      <c r="AB2299" s="182">
        <v>2.1090605849600763E-2</v>
      </c>
    </row>
    <row r="2300" spans="24:28" x14ac:dyDescent="0.2">
      <c r="X2300" s="186" t="str">
        <f t="shared" si="69"/>
        <v>1w</v>
      </c>
      <c r="Y2300" s="174">
        <f>_xll.qlCalendarAdvance(Calendar,Y2299,X2300,"f",FALSE)</f>
        <v>55072</v>
      </c>
      <c r="Z2300" s="198">
        <f>_xll.qlCalendarAdvance(Calendar,Y2300,NDays&amp;"D")</f>
        <v>55074</v>
      </c>
      <c r="AA2300" s="173">
        <v>2.1222800370727359E-2</v>
      </c>
      <c r="AB2300" s="182">
        <v>2.1092531536810455E-2</v>
      </c>
    </row>
    <row r="2301" spans="24:28" x14ac:dyDescent="0.2">
      <c r="X2301" s="186" t="str">
        <f t="shared" si="69"/>
        <v>1w</v>
      </c>
      <c r="Y2301" s="174">
        <f>_xll.qlCalendarAdvance(Calendar,Y2300,X2301,"f",FALSE)</f>
        <v>55079</v>
      </c>
      <c r="Z2301" s="198">
        <f>_xll.qlCalendarAdvance(Calendar,Y2301,NDays&amp;"D")</f>
        <v>55081</v>
      </c>
      <c r="AA2301" s="173">
        <v>2.1223906565873391E-2</v>
      </c>
      <c r="AB2301" s="182">
        <v>2.1094397550474042E-2</v>
      </c>
    </row>
    <row r="2302" spans="24:28" x14ac:dyDescent="0.2">
      <c r="X2302" s="186" t="str">
        <f t="shared" si="69"/>
        <v>1w</v>
      </c>
      <c r="Y2302" s="174">
        <f>_xll.qlCalendarAdvance(Calendar,Y2301,X2302,"f",FALSE)</f>
        <v>55086</v>
      </c>
      <c r="Z2302" s="198">
        <f>_xll.qlCalendarAdvance(Calendar,Y2302,NDays&amp;"D")</f>
        <v>55088</v>
      </c>
      <c r="AA2302" s="173">
        <v>2.1224952451014523E-2</v>
      </c>
      <c r="AB2302" s="182">
        <v>2.1096203890191845E-2</v>
      </c>
    </row>
    <row r="2303" spans="24:28" x14ac:dyDescent="0.2">
      <c r="X2303" s="186" t="str">
        <f t="shared" si="69"/>
        <v>1w</v>
      </c>
      <c r="Y2303" s="174">
        <f>_xll.qlCalendarAdvance(Calendar,Y2302,X2303,"f",FALSE)</f>
        <v>55093</v>
      </c>
      <c r="Z2303" s="198">
        <f>_xll.qlCalendarAdvance(Calendar,Y2303,NDays&amp;"D")</f>
        <v>55095</v>
      </c>
      <c r="AA2303" s="173">
        <v>2.1225264735073742E-2</v>
      </c>
      <c r="AB2303" s="182">
        <v>2.1097950556203671E-2</v>
      </c>
    </row>
    <row r="2304" spans="24:28" x14ac:dyDescent="0.2">
      <c r="X2304" s="186" t="str">
        <f t="shared" si="69"/>
        <v>1w</v>
      </c>
      <c r="Y2304" s="174">
        <f>_xll.qlCalendarAdvance(Calendar,Y2303,X2304,"f",FALSE)</f>
        <v>55100</v>
      </c>
      <c r="Z2304" s="198">
        <f>_xll.qlCalendarAdvance(Calendar,Y2304,NDays&amp;"D")</f>
        <v>55102</v>
      </c>
      <c r="AA2304" s="173">
        <v>2.1226194253294809E-2</v>
      </c>
      <c r="AB2304" s="182">
        <v>2.1099637548189776E-2</v>
      </c>
    </row>
    <row r="2305" spans="24:28" x14ac:dyDescent="0.2">
      <c r="X2305" s="186" t="str">
        <f t="shared" si="69"/>
        <v>1w</v>
      </c>
      <c r="Y2305" s="174">
        <f>_xll.qlCalendarAdvance(Calendar,Y2304,X2305,"f",FALSE)</f>
        <v>55107</v>
      </c>
      <c r="Z2305" s="198">
        <f>_xll.qlCalendarAdvance(Calendar,Y2305,NDays&amp;"D")</f>
        <v>55109</v>
      </c>
      <c r="AA2305" s="173">
        <v>2.1227063464785659E-2</v>
      </c>
      <c r="AB2305" s="182">
        <v>2.1101264866629776E-2</v>
      </c>
    </row>
    <row r="2306" spans="24:28" x14ac:dyDescent="0.2">
      <c r="X2306" s="186" t="str">
        <f t="shared" si="69"/>
        <v>1w</v>
      </c>
      <c r="Y2306" s="174">
        <f>_xll.qlCalendarAdvance(Calendar,Y2305,X2306,"f",FALSE)</f>
        <v>55114</v>
      </c>
      <c r="Z2306" s="198">
        <f>_xll.qlCalendarAdvance(Calendar,Y2306,NDays&amp;"D")</f>
        <v>55116</v>
      </c>
      <c r="AA2306" s="173">
        <v>2.1227872369465915E-2</v>
      </c>
      <c r="AB2306" s="182">
        <v>2.1102832511044056E-2</v>
      </c>
    </row>
    <row r="2307" spans="24:28" x14ac:dyDescent="0.2">
      <c r="X2307" s="186" t="str">
        <f t="shared" si="69"/>
        <v>1w</v>
      </c>
      <c r="Y2307" s="174">
        <f>_xll.qlCalendarAdvance(Calendar,Y2306,X2307,"f",FALSE)</f>
        <v>55121</v>
      </c>
      <c r="Z2307" s="198">
        <f>_xll.qlCalendarAdvance(Calendar,Y2307,NDays&amp;"D")</f>
        <v>55123</v>
      </c>
      <c r="AA2307" s="173">
        <v>2.1229277223543629E-2</v>
      </c>
      <c r="AB2307" s="182">
        <v>2.1104340481592487E-2</v>
      </c>
    </row>
    <row r="2308" spans="24:28" x14ac:dyDescent="0.2">
      <c r="X2308" s="186" t="str">
        <f t="shared" si="69"/>
        <v>1w</v>
      </c>
      <c r="Y2308" s="174">
        <f>_xll.qlCalendarAdvance(Calendar,Y2307,X2308,"f",FALSE)</f>
        <v>55128</v>
      </c>
      <c r="Z2308" s="198">
        <f>_xll.qlCalendarAdvance(Calendar,Y2308,NDays&amp;"D")</f>
        <v>55130</v>
      </c>
      <c r="AA2308" s="173">
        <v>2.1229961246866009E-2</v>
      </c>
      <c r="AB2308" s="182">
        <v>2.1105788778514878E-2</v>
      </c>
    </row>
    <row r="2309" spans="24:28" x14ac:dyDescent="0.2">
      <c r="X2309" s="186" t="str">
        <f t="shared" si="69"/>
        <v>1w</v>
      </c>
      <c r="Y2309" s="174">
        <f>_xll.qlCalendarAdvance(Calendar,Y2308,X2309,"f",FALSE)</f>
        <v>55135</v>
      </c>
      <c r="Z2309" s="198">
        <f>_xll.qlCalendarAdvance(Calendar,Y2309,NDays&amp;"D")</f>
        <v>55137</v>
      </c>
      <c r="AA2309" s="173">
        <v>2.1230584959635791E-2</v>
      </c>
      <c r="AB2309" s="182">
        <v>2.1107177401491484E-2</v>
      </c>
    </row>
    <row r="2310" spans="24:28" x14ac:dyDescent="0.2">
      <c r="X2310" s="186" t="str">
        <f t="shared" si="69"/>
        <v>1w</v>
      </c>
      <c r="Y2310" s="174">
        <f>_xll.qlCalendarAdvance(Calendar,Y2309,X2310,"f",FALSE)</f>
        <v>55142</v>
      </c>
      <c r="Z2310" s="198">
        <f>_xll.qlCalendarAdvance(Calendar,Y2310,NDays&amp;"D")</f>
        <v>55144</v>
      </c>
      <c r="AA2310" s="173">
        <v>2.1231148361798517E-2</v>
      </c>
      <c r="AB2310" s="182">
        <v>2.1108506350762113E-2</v>
      </c>
    </row>
    <row r="2311" spans="24:28" x14ac:dyDescent="0.2">
      <c r="X2311" s="186" t="str">
        <f t="shared" si="69"/>
        <v>1w</v>
      </c>
      <c r="Y2311" s="174">
        <f>_xll.qlCalendarAdvance(Calendar,Y2310,X2311,"f",FALSE)</f>
        <v>55149</v>
      </c>
      <c r="Z2311" s="198">
        <f>_xll.qlCalendarAdvance(Calendar,Y2311,NDays&amp;"D")</f>
        <v>55151</v>
      </c>
      <c r="AA2311" s="173">
        <v>2.123165145330104E-2</v>
      </c>
      <c r="AB2311" s="182">
        <v>2.1109775626086957E-2</v>
      </c>
    </row>
    <row r="2312" spans="24:28" x14ac:dyDescent="0.2">
      <c r="X2312" s="186" t="str">
        <f t="shared" si="69"/>
        <v>1w</v>
      </c>
      <c r="Y2312" s="174">
        <f>_xll.qlCalendarAdvance(Calendar,Y2311,X2312,"f",FALSE)</f>
        <v>55156</v>
      </c>
      <c r="Z2312" s="198">
        <f>_xll.qlCalendarAdvance(Calendar,Y2312,NDays&amp;"D")</f>
        <v>55158</v>
      </c>
      <c r="AA2312" s="173">
        <v>2.1231459350852307E-2</v>
      </c>
      <c r="AB2312" s="182">
        <v>2.1110985227705825E-2</v>
      </c>
    </row>
    <row r="2313" spans="24:28" x14ac:dyDescent="0.2">
      <c r="X2313" s="186" t="str">
        <f t="shared" si="69"/>
        <v>1w</v>
      </c>
      <c r="Y2313" s="174">
        <f>_xll.qlCalendarAdvance(Calendar,Y2312,X2313,"f",FALSE)</f>
        <v>55163</v>
      </c>
      <c r="Z2313" s="198">
        <f>_xll.qlCalendarAdvance(Calendar,Y2313,NDays&amp;"D")</f>
        <v>55165</v>
      </c>
      <c r="AA2313" s="173">
        <v>2.1231846106130717E-2</v>
      </c>
      <c r="AB2313" s="182">
        <v>2.1112135155378908E-2</v>
      </c>
    </row>
    <row r="2314" spans="24:28" x14ac:dyDescent="0.2">
      <c r="X2314" s="186" t="str">
        <f t="shared" si="69"/>
        <v>1w</v>
      </c>
      <c r="Y2314" s="174">
        <f>_xll.qlCalendarAdvance(Calendar,Y2313,X2314,"f",FALSE)</f>
        <v>55170</v>
      </c>
      <c r="Z2314" s="198">
        <f>_xll.qlCalendarAdvance(Calendar,Y2314,NDays&amp;"D")</f>
        <v>55172</v>
      </c>
      <c r="AA2314" s="173">
        <v>2.1232172554169704E-2</v>
      </c>
      <c r="AB2314" s="182">
        <v>2.1113225409266079E-2</v>
      </c>
    </row>
    <row r="2315" spans="24:28" x14ac:dyDescent="0.2">
      <c r="X2315" s="186" t="str">
        <f t="shared" si="69"/>
        <v>1w</v>
      </c>
      <c r="Y2315" s="174">
        <f>_xll.qlCalendarAdvance(Calendar,Y2314,X2315,"f",FALSE)</f>
        <v>55177</v>
      </c>
      <c r="Z2315" s="198">
        <f>_xll.qlCalendarAdvance(Calendar,Y2315,NDays&amp;"D")</f>
        <v>55179</v>
      </c>
      <c r="AA2315" s="173">
        <v>2.1232438694939237E-2</v>
      </c>
      <c r="AB2315" s="182">
        <v>2.11142559892874E-2</v>
      </c>
    </row>
    <row r="2316" spans="24:28" x14ac:dyDescent="0.2">
      <c r="X2316" s="186" t="str">
        <f t="shared" si="69"/>
        <v>1w</v>
      </c>
      <c r="Y2316" s="174">
        <f>_xll.qlCalendarAdvance(Calendar,Y2315,X2316,"f",FALSE)</f>
        <v>55184</v>
      </c>
      <c r="Z2316" s="198">
        <f>_xll.qlCalendarAdvance(Calendar,Y2316,NDays&amp;"D")</f>
        <v>55186</v>
      </c>
      <c r="AA2316" s="173">
        <v>2.1232644528415466E-2</v>
      </c>
      <c r="AB2316" s="182">
        <v>2.1115226895602746E-2</v>
      </c>
    </row>
    <row r="2317" spans="24:28" x14ac:dyDescent="0.2">
      <c r="X2317" s="186" t="str">
        <f t="shared" si="69"/>
        <v>1w</v>
      </c>
      <c r="Y2317" s="174">
        <f>_xll.qlCalendarAdvance(Calendar,Y2316,X2317,"f",FALSE)</f>
        <v>55191</v>
      </c>
      <c r="Z2317" s="198">
        <f>_xll.qlCalendarAdvance(Calendar,Y2317,NDays&amp;"D")</f>
        <v>55193</v>
      </c>
      <c r="AA2317" s="173">
        <v>2.1232790054579846E-2</v>
      </c>
      <c r="AB2317" s="182">
        <v>2.1116138127972306E-2</v>
      </c>
    </row>
    <row r="2318" spans="24:28" x14ac:dyDescent="0.2">
      <c r="X2318" s="186" t="str">
        <f t="shared" si="69"/>
        <v>1w</v>
      </c>
      <c r="Y2318" s="174">
        <f>_xll.qlCalendarAdvance(Calendar,Y2317,X2318,"f",FALSE)</f>
        <v>55198</v>
      </c>
      <c r="Z2318" s="198">
        <f>_xll.qlCalendarAdvance(Calendar,Y2318,NDays&amp;"D")</f>
        <v>55200</v>
      </c>
      <c r="AA2318" s="173">
        <v>2.1232875273419126E-2</v>
      </c>
      <c r="AB2318" s="182">
        <v>2.1116989686555954E-2</v>
      </c>
    </row>
    <row r="2319" spans="24:28" x14ac:dyDescent="0.2">
      <c r="X2319" s="186" t="str">
        <f t="shared" si="69"/>
        <v>1w</v>
      </c>
      <c r="Y2319" s="174">
        <f>_xll.qlCalendarAdvance(Calendar,Y2318,X2319,"f",FALSE)</f>
        <v>55205</v>
      </c>
      <c r="Z2319" s="198">
        <f>_xll.qlCalendarAdvance(Calendar,Y2319,NDays&amp;"D")</f>
        <v>55207</v>
      </c>
      <c r="AA2319" s="173">
        <v>2.1232900184926237E-2</v>
      </c>
      <c r="AB2319" s="182">
        <v>2.1117781571353689E-2</v>
      </c>
    </row>
    <row r="2320" spans="24:28" x14ac:dyDescent="0.2">
      <c r="X2320" s="186" t="str">
        <f t="shared" si="69"/>
        <v>1w</v>
      </c>
      <c r="Y2320" s="174">
        <f>_xll.qlCalendarAdvance(Calendar,Y2319,X2320,"f",FALSE)</f>
        <v>55212</v>
      </c>
      <c r="Z2320" s="198">
        <f>_xll.qlCalendarAdvance(Calendar,Y2320,NDays&amp;"D")</f>
        <v>55214</v>
      </c>
      <c r="AA2320" s="173">
        <v>2.1235863413872676E-2</v>
      </c>
      <c r="AB2320" s="182">
        <v>2.1118513782285575E-2</v>
      </c>
    </row>
    <row r="2321" spans="24:28" x14ac:dyDescent="0.2">
      <c r="X2321" s="186" t="str">
        <f t="shared" si="69"/>
        <v>1w</v>
      </c>
      <c r="Y2321" s="174">
        <f>_xll.qlCalendarAdvance(Calendar,Y2320,X2321,"f",FALSE)</f>
        <v>55219</v>
      </c>
      <c r="Z2321" s="198">
        <f>_xll.qlCalendarAdvance(Calendar,Y2321,NDays&amp;"D")</f>
        <v>55221</v>
      </c>
      <c r="AA2321" s="173">
        <v>2.1235746137991625E-2</v>
      </c>
      <c r="AB2321" s="182">
        <v>2.1119186319511485E-2</v>
      </c>
    </row>
    <row r="2322" spans="24:28" x14ac:dyDescent="0.2">
      <c r="X2322" s="186" t="str">
        <f t="shared" si="69"/>
        <v>1w</v>
      </c>
      <c r="Y2322" s="174">
        <f>_xll.qlCalendarAdvance(Calendar,Y2321,X2322,"f",FALSE)</f>
        <v>55226</v>
      </c>
      <c r="Z2322" s="198">
        <f>_xll.qlCalendarAdvance(Calendar,Y2322,NDays&amp;"D")</f>
        <v>55228</v>
      </c>
      <c r="AA2322" s="173">
        <v>2.1235568537101502E-2</v>
      </c>
      <c r="AB2322" s="182">
        <v>2.1119799182711674E-2</v>
      </c>
    </row>
    <row r="2323" spans="24:28" x14ac:dyDescent="0.2">
      <c r="X2323" s="186" t="str">
        <f t="shared" si="69"/>
        <v>1w</v>
      </c>
      <c r="Y2323" s="174">
        <f>_xll.qlCalendarAdvance(Calendar,Y2322,X2323,"f",FALSE)</f>
        <v>55233</v>
      </c>
      <c r="Z2323" s="198">
        <f>_xll.qlCalendarAdvance(Calendar,Y2323,NDays&amp;"D")</f>
        <v>55235</v>
      </c>
      <c r="AA2323" s="173">
        <v>2.1235330611219926E-2</v>
      </c>
      <c r="AB2323" s="182">
        <v>2.112035237212595E-2</v>
      </c>
    </row>
    <row r="2324" spans="24:28" x14ac:dyDescent="0.2">
      <c r="X2324" s="186" t="str">
        <f t="shared" si="69"/>
        <v>1w</v>
      </c>
      <c r="Y2324" s="174">
        <f>_xll.qlCalendarAdvance(Calendar,Y2323,X2324,"f",FALSE)</f>
        <v>55240</v>
      </c>
      <c r="Z2324" s="198">
        <f>_xll.qlCalendarAdvance(Calendar,Y2324,NDays&amp;"D")</f>
        <v>55242</v>
      </c>
      <c r="AA2324" s="173">
        <v>2.1233286195935942E-2</v>
      </c>
      <c r="AB2324" s="182">
        <v>2.1123453168049977E-2</v>
      </c>
    </row>
    <row r="2325" spans="24:28" x14ac:dyDescent="0.2">
      <c r="X2325" s="186" t="str">
        <f t="shared" ref="X2325:X2388" si="70">X2324</f>
        <v>1w</v>
      </c>
      <c r="Y2325" s="174">
        <f>_xll.qlCalendarAdvance(Calendar,Y2324,X2325,"f",FALSE)</f>
        <v>55247</v>
      </c>
      <c r="Z2325" s="198">
        <f>_xll.qlCalendarAdvance(Calendar,Y2325,NDays&amp;"D")</f>
        <v>55249</v>
      </c>
      <c r="AA2325" s="173">
        <v>2.1232940607729147E-2</v>
      </c>
      <c r="AB2325" s="182">
        <v>2.1121279729596765E-2</v>
      </c>
    </row>
    <row r="2326" spans="24:28" x14ac:dyDescent="0.2">
      <c r="X2326" s="186" t="str">
        <f t="shared" si="70"/>
        <v>1w</v>
      </c>
      <c r="Y2326" s="174">
        <f>_xll.qlCalendarAdvance(Calendar,Y2325,X2326,"f",FALSE)</f>
        <v>55254</v>
      </c>
      <c r="Z2326" s="198">
        <f>_xll.qlCalendarAdvance(Calendar,Y2326,NDays&amp;"D")</f>
        <v>55256</v>
      </c>
      <c r="AA2326" s="173">
        <v>2.1232534705219294E-2</v>
      </c>
      <c r="AB2326" s="182">
        <v>2.1121653897493431E-2</v>
      </c>
    </row>
    <row r="2327" spans="24:28" x14ac:dyDescent="0.2">
      <c r="X2327" s="186" t="str">
        <f t="shared" si="70"/>
        <v>1w</v>
      </c>
      <c r="Y2327" s="174">
        <f>_xll.qlCalendarAdvance(Calendar,Y2326,X2327,"f",FALSE)</f>
        <v>55261</v>
      </c>
      <c r="Z2327" s="198">
        <f>_xll.qlCalendarAdvance(Calendar,Y2327,NDays&amp;"D")</f>
        <v>55263</v>
      </c>
      <c r="AA2327" s="173">
        <v>2.1232068488441759E-2</v>
      </c>
      <c r="AB2327" s="182">
        <v>2.1121968391684121E-2</v>
      </c>
    </row>
    <row r="2328" spans="24:28" x14ac:dyDescent="0.2">
      <c r="X2328" s="186" t="str">
        <f t="shared" si="70"/>
        <v>1w</v>
      </c>
      <c r="Y2328" s="174">
        <f>_xll.qlCalendarAdvance(Calendar,Y2327,X2328,"f",FALSE)</f>
        <v>55268</v>
      </c>
      <c r="Z2328" s="198">
        <f>_xll.qlCalendarAdvance(Calendar,Y2328,NDays&amp;"D")</f>
        <v>55270</v>
      </c>
      <c r="AA2328" s="173">
        <v>2.1231541957440227E-2</v>
      </c>
      <c r="AB2328" s="182">
        <v>2.1122223212008961E-2</v>
      </c>
    </row>
    <row r="2329" spans="24:28" x14ac:dyDescent="0.2">
      <c r="X2329" s="186" t="str">
        <f t="shared" si="70"/>
        <v>1w</v>
      </c>
      <c r="Y2329" s="174">
        <f>_xll.qlCalendarAdvance(Calendar,Y2328,X2329,"f",FALSE)</f>
        <v>55275</v>
      </c>
      <c r="Z2329" s="198">
        <f>_xll.qlCalendarAdvance(Calendar,Y2329,NDays&amp;"D")</f>
        <v>55277</v>
      </c>
      <c r="AA2329" s="173">
        <v>2.1232636232719829E-2</v>
      </c>
      <c r="AB2329" s="182">
        <v>2.1122418358388018E-2</v>
      </c>
    </row>
    <row r="2330" spans="24:28" x14ac:dyDescent="0.2">
      <c r="X2330" s="186" t="str">
        <f t="shared" si="70"/>
        <v>1w</v>
      </c>
      <c r="Y2330" s="174">
        <f>_xll.qlCalendarAdvance(Calendar,Y2329,X2330,"f",FALSE)</f>
        <v>55282</v>
      </c>
      <c r="Z2330" s="198">
        <f>_xll.qlCalendarAdvance(Calendar,Y2330,NDays&amp;"D")</f>
        <v>55284</v>
      </c>
      <c r="AA2330" s="173">
        <v>2.1231976032823358E-2</v>
      </c>
      <c r="AB2330" s="182">
        <v>2.1122553831141033E-2</v>
      </c>
    </row>
    <row r="2331" spans="24:28" x14ac:dyDescent="0.2">
      <c r="X2331" s="186" t="str">
        <f t="shared" si="70"/>
        <v>1w</v>
      </c>
      <c r="Y2331" s="174">
        <f>_xll.qlCalendarAdvance(Calendar,Y2330,X2331,"f",FALSE)</f>
        <v>55289</v>
      </c>
      <c r="Z2331" s="198">
        <f>_xll.qlCalendarAdvance(Calendar,Y2331,NDays&amp;"D")</f>
        <v>55291</v>
      </c>
      <c r="AA2331" s="173">
        <v>2.123125550826678E-2</v>
      </c>
      <c r="AB2331" s="182">
        <v>2.1122629629948264E-2</v>
      </c>
    </row>
    <row r="2332" spans="24:28" x14ac:dyDescent="0.2">
      <c r="X2332" s="186" t="str">
        <f t="shared" si="70"/>
        <v>1w</v>
      </c>
      <c r="Y2332" s="174">
        <f>_xll.qlCalendarAdvance(Calendar,Y2331,X2332,"f",FALSE)</f>
        <v>55296</v>
      </c>
      <c r="Z2332" s="198">
        <f>_xll.qlCalendarAdvance(Calendar,Y2332,NDays&amp;"D")</f>
        <v>55298</v>
      </c>
      <c r="AA2332" s="173">
        <v>2.1230474659116708E-2</v>
      </c>
      <c r="AB2332" s="182">
        <v>2.1122645754889646E-2</v>
      </c>
    </row>
    <row r="2333" spans="24:28" x14ac:dyDescent="0.2">
      <c r="X2333" s="186" t="str">
        <f t="shared" si="70"/>
        <v>1w</v>
      </c>
      <c r="Y2333" s="174">
        <f>_xll.qlCalendarAdvance(Calendar,Y2332,X2333,"f",FALSE)</f>
        <v>55303</v>
      </c>
      <c r="Z2333" s="198">
        <f>_xll.qlCalendarAdvance(Calendar,Y2333,NDays&amp;"D")</f>
        <v>55305</v>
      </c>
      <c r="AA2333" s="173">
        <v>2.12280045909321E-2</v>
      </c>
      <c r="AB2333" s="182">
        <v>2.1122602206045116E-2</v>
      </c>
    </row>
    <row r="2334" spans="24:28" x14ac:dyDescent="0.2">
      <c r="X2334" s="186" t="str">
        <f t="shared" si="70"/>
        <v>1w</v>
      </c>
      <c r="Y2334" s="174">
        <f>_xll.qlCalendarAdvance(Calendar,Y2333,X2334,"f",FALSE)</f>
        <v>55310</v>
      </c>
      <c r="Z2334" s="198">
        <f>_xll.qlCalendarAdvance(Calendar,Y2334,NDays&amp;"D")</f>
        <v>55312</v>
      </c>
      <c r="AA2334" s="173">
        <v>2.1227116175781692E-2</v>
      </c>
      <c r="AB2334" s="182">
        <v>2.1122498983414673E-2</v>
      </c>
    </row>
    <row r="2335" spans="24:28" x14ac:dyDescent="0.2">
      <c r="X2335" s="186" t="str">
        <f t="shared" si="70"/>
        <v>1w</v>
      </c>
      <c r="Y2335" s="174">
        <f>_xll.qlCalendarAdvance(Calendar,Y2334,X2335,"f",FALSE)</f>
        <v>55317</v>
      </c>
      <c r="Z2335" s="198">
        <f>_xll.qlCalendarAdvance(Calendar,Y2335,NDays&amp;"D")</f>
        <v>55319</v>
      </c>
      <c r="AA2335" s="173">
        <v>2.1226167446857201E-2</v>
      </c>
      <c r="AB2335" s="182">
        <v>2.1122336086918381E-2</v>
      </c>
    </row>
    <row r="2336" spans="24:28" x14ac:dyDescent="0.2">
      <c r="X2336" s="186" t="str">
        <f t="shared" si="70"/>
        <v>1w</v>
      </c>
      <c r="Y2336" s="174">
        <f>_xll.qlCalendarAdvance(Calendar,Y2335,X2336,"f",FALSE)</f>
        <v>55324</v>
      </c>
      <c r="Z2336" s="198">
        <f>_xll.qlCalendarAdvance(Calendar,Y2336,NDays&amp;"D")</f>
        <v>55326</v>
      </c>
      <c r="AA2336" s="173">
        <v>2.1225158404244677E-2</v>
      </c>
      <c r="AB2336" s="182">
        <v>2.112211351655624E-2</v>
      </c>
    </row>
    <row r="2337" spans="24:28" x14ac:dyDescent="0.2">
      <c r="X2337" s="186" t="str">
        <f t="shared" si="70"/>
        <v>1w</v>
      </c>
      <c r="Y2337" s="174">
        <f>_xll.qlCalendarAdvance(Calendar,Y2336,X2337,"f",FALSE)</f>
        <v>55331</v>
      </c>
      <c r="Z2337" s="198">
        <f>_xll.qlCalendarAdvance(Calendar,Y2337,NDays&amp;"D")</f>
        <v>55333</v>
      </c>
      <c r="AA2337" s="173">
        <v>2.1224089048037593E-2</v>
      </c>
      <c r="AB2337" s="182">
        <v>2.1121831272488123E-2</v>
      </c>
    </row>
    <row r="2338" spans="24:28" x14ac:dyDescent="0.2">
      <c r="X2338" s="186" t="str">
        <f t="shared" si="70"/>
        <v>1w</v>
      </c>
      <c r="Y2338" s="174">
        <f>_xll.qlCalendarAdvance(Calendar,Y2337,X2338,"f",FALSE)</f>
        <v>55338</v>
      </c>
      <c r="Z2338" s="198">
        <f>_xll.qlCalendarAdvance(Calendar,Y2338,NDays&amp;"D")</f>
        <v>55340</v>
      </c>
      <c r="AA2338" s="173">
        <v>2.1224522752198847E-2</v>
      </c>
      <c r="AB2338" s="182">
        <v>2.1121489354474221E-2</v>
      </c>
    </row>
    <row r="2339" spans="24:28" x14ac:dyDescent="0.2">
      <c r="X2339" s="186" t="str">
        <f t="shared" si="70"/>
        <v>1w</v>
      </c>
      <c r="Y2339" s="174">
        <f>_xll.qlCalendarAdvance(Calendar,Y2338,X2339,"f",FALSE)</f>
        <v>55345</v>
      </c>
      <c r="Z2339" s="198">
        <f>_xll.qlCalendarAdvance(Calendar,Y2339,NDays&amp;"D")</f>
        <v>55347</v>
      </c>
      <c r="AA2339" s="173">
        <v>2.1223319633232245E-2</v>
      </c>
      <c r="AB2339" s="182">
        <v>2.1121087762674406E-2</v>
      </c>
    </row>
    <row r="2340" spans="24:28" x14ac:dyDescent="0.2">
      <c r="X2340" s="186" t="str">
        <f t="shared" si="70"/>
        <v>1w</v>
      </c>
      <c r="Y2340" s="174">
        <f>_xll.qlCalendarAdvance(Calendar,Y2339,X2340,"f",FALSE)</f>
        <v>55352</v>
      </c>
      <c r="Z2340" s="198">
        <f>_xll.qlCalendarAdvance(Calendar,Y2340,NDays&amp;"D")</f>
        <v>55354</v>
      </c>
      <c r="AA2340" s="173">
        <v>2.1222056190406183E-2</v>
      </c>
      <c r="AB2340" s="182">
        <v>2.1120626496928807E-2</v>
      </c>
    </row>
    <row r="2341" spans="24:28" x14ac:dyDescent="0.2">
      <c r="X2341" s="186" t="str">
        <f t="shared" si="70"/>
        <v>1w</v>
      </c>
      <c r="Y2341" s="174">
        <f>_xll.qlCalendarAdvance(Calendar,Y2340,X2341,"f",FALSE)</f>
        <v>55359</v>
      </c>
      <c r="Z2341" s="198">
        <f>_xll.qlCalendarAdvance(Calendar,Y2341,NDays&amp;"D")</f>
        <v>55361</v>
      </c>
      <c r="AA2341" s="173">
        <v>2.1220732423838855E-2</v>
      </c>
      <c r="AB2341" s="182">
        <v>2.1120105557477231E-2</v>
      </c>
    </row>
    <row r="2342" spans="24:28" x14ac:dyDescent="0.2">
      <c r="X2342" s="186" t="str">
        <f t="shared" si="70"/>
        <v>1w</v>
      </c>
      <c r="Y2342" s="174">
        <f>_xll.qlCalendarAdvance(Calendar,Y2341,X2342,"f",FALSE)</f>
        <v>55366</v>
      </c>
      <c r="Z2342" s="198">
        <f>_xll.qlCalendarAdvance(Calendar,Y2342,NDays&amp;"D")</f>
        <v>55368</v>
      </c>
      <c r="AA2342" s="173">
        <v>2.1219348333651016E-2</v>
      </c>
      <c r="AB2342" s="182">
        <v>2.1119524944159807E-2</v>
      </c>
    </row>
    <row r="2343" spans="24:28" x14ac:dyDescent="0.2">
      <c r="X2343" s="186" t="str">
        <f t="shared" si="70"/>
        <v>1w</v>
      </c>
      <c r="Y2343" s="174">
        <f>_xll.qlCalendarAdvance(Calendar,Y2342,X2343,"f",FALSE)</f>
        <v>55373</v>
      </c>
      <c r="Z2343" s="198">
        <f>_xll.qlCalendarAdvance(Calendar,Y2343,NDays&amp;"D")</f>
        <v>55375</v>
      </c>
      <c r="AA2343" s="173">
        <v>2.1217903919971172E-2</v>
      </c>
      <c r="AB2343" s="182">
        <v>2.1118884657056469E-2</v>
      </c>
    </row>
    <row r="2344" spans="24:28" x14ac:dyDescent="0.2">
      <c r="X2344" s="186" t="str">
        <f t="shared" si="70"/>
        <v>1w</v>
      </c>
      <c r="Y2344" s="174">
        <f>_xll.qlCalendarAdvance(Calendar,Y2343,X2344,"f",FALSE)</f>
        <v>55380</v>
      </c>
      <c r="Z2344" s="198">
        <f>_xll.qlCalendarAdvance(Calendar,Y2344,NDays&amp;"D")</f>
        <v>55382</v>
      </c>
      <c r="AA2344" s="173">
        <v>2.1216399182933405E-2</v>
      </c>
      <c r="AB2344" s="182">
        <v>2.1118184696087283E-2</v>
      </c>
    </row>
    <row r="2345" spans="24:28" x14ac:dyDescent="0.2">
      <c r="X2345" s="186" t="str">
        <f t="shared" si="70"/>
        <v>1w</v>
      </c>
      <c r="Y2345" s="174">
        <f>_xll.qlCalendarAdvance(Calendar,Y2344,X2345,"f",FALSE)</f>
        <v>55387</v>
      </c>
      <c r="Z2345" s="198">
        <f>_xll.qlCalendarAdvance(Calendar,Y2345,NDays&amp;"D")</f>
        <v>55389</v>
      </c>
      <c r="AA2345" s="173">
        <v>2.1214834122677387E-2</v>
      </c>
      <c r="AB2345" s="182">
        <v>2.1117425061332185E-2</v>
      </c>
    </row>
    <row r="2346" spans="24:28" x14ac:dyDescent="0.2">
      <c r="X2346" s="186" t="str">
        <f t="shared" si="70"/>
        <v>1w</v>
      </c>
      <c r="Y2346" s="174">
        <f>_xll.qlCalendarAdvance(Calendar,Y2345,X2346,"f",FALSE)</f>
        <v>55394</v>
      </c>
      <c r="Z2346" s="198">
        <f>_xll.qlCalendarAdvance(Calendar,Y2346,NDays&amp;"D")</f>
        <v>55396</v>
      </c>
      <c r="AA2346" s="173">
        <v>2.1211263947315193E-2</v>
      </c>
      <c r="AB2346" s="182">
        <v>2.1116605752711237E-2</v>
      </c>
    </row>
    <row r="2347" spans="24:28" x14ac:dyDescent="0.2">
      <c r="X2347" s="186" t="str">
        <f t="shared" si="70"/>
        <v>1w</v>
      </c>
      <c r="Y2347" s="174">
        <f>_xll.qlCalendarAdvance(Calendar,Y2346,X2347,"f",FALSE)</f>
        <v>55401</v>
      </c>
      <c r="Z2347" s="198">
        <f>_xll.qlCalendarAdvance(Calendar,Y2347,NDays&amp;"D")</f>
        <v>55403</v>
      </c>
      <c r="AA2347" s="173">
        <v>2.1209595867172606E-2</v>
      </c>
      <c r="AB2347" s="182">
        <v>2.1115726770144505E-2</v>
      </c>
    </row>
    <row r="2348" spans="24:28" x14ac:dyDescent="0.2">
      <c r="X2348" s="186" t="str">
        <f t="shared" si="70"/>
        <v>1w</v>
      </c>
      <c r="Y2348" s="174">
        <f>_xll.qlCalendarAdvance(Calendar,Y2347,X2348,"f",FALSE)</f>
        <v>55408</v>
      </c>
      <c r="Z2348" s="198">
        <f>_xll.qlCalendarAdvance(Calendar,Y2348,NDays&amp;"D")</f>
        <v>55410</v>
      </c>
      <c r="AA2348" s="173">
        <v>2.1207867478322106E-2</v>
      </c>
      <c r="AB2348" s="182">
        <v>2.1114788113951732E-2</v>
      </c>
    </row>
    <row r="2349" spans="24:28" x14ac:dyDescent="0.2">
      <c r="X2349" s="186" t="str">
        <f t="shared" si="70"/>
        <v>1w</v>
      </c>
      <c r="Y2349" s="174">
        <f>_xll.qlCalendarAdvance(Calendar,Y2348,X2349,"f",FALSE)</f>
        <v>55415</v>
      </c>
      <c r="Z2349" s="198">
        <f>_xll.qlCalendarAdvance(Calendar,Y2349,NDays&amp;"D")</f>
        <v>55417</v>
      </c>
      <c r="AA2349" s="173">
        <v>2.1206078780919603E-2</v>
      </c>
      <c r="AB2349" s="182">
        <v>2.1113789783893111E-2</v>
      </c>
    </row>
    <row r="2350" spans="24:28" x14ac:dyDescent="0.2">
      <c r="X2350" s="186" t="str">
        <f t="shared" si="70"/>
        <v>1w</v>
      </c>
      <c r="Y2350" s="174">
        <f>_xll.qlCalendarAdvance(Calendar,Y2349,X2350,"f",FALSE)</f>
        <v>55422</v>
      </c>
      <c r="Z2350" s="198">
        <f>_xll.qlCalendarAdvance(Calendar,Y2350,NDays&amp;"D")</f>
        <v>55424</v>
      </c>
      <c r="AA2350" s="173">
        <v>2.1204229775125413E-2</v>
      </c>
      <c r="AB2350" s="182">
        <v>2.1112731779888705E-2</v>
      </c>
    </row>
    <row r="2351" spans="24:28" x14ac:dyDescent="0.2">
      <c r="X2351" s="186" t="str">
        <f t="shared" si="70"/>
        <v>1w</v>
      </c>
      <c r="Y2351" s="174">
        <f>_xll.qlCalendarAdvance(Calendar,Y2350,X2351,"f",FALSE)</f>
        <v>55429</v>
      </c>
      <c r="Z2351" s="198">
        <f>_xll.qlCalendarAdvance(Calendar,Y2351,NDays&amp;"D")</f>
        <v>55431</v>
      </c>
      <c r="AA2351" s="173">
        <v>2.1202785198059487E-2</v>
      </c>
      <c r="AB2351" s="182">
        <v>2.1111614102178322E-2</v>
      </c>
    </row>
    <row r="2352" spans="24:28" x14ac:dyDescent="0.2">
      <c r="X2352" s="186" t="str">
        <f t="shared" si="70"/>
        <v>1w</v>
      </c>
      <c r="Y2352" s="174">
        <f>_xll.qlCalendarAdvance(Calendar,Y2351,X2352,"f",FALSE)</f>
        <v>55436</v>
      </c>
      <c r="Z2352" s="198">
        <f>_xll.qlCalendarAdvance(Calendar,Y2352,NDays&amp;"D")</f>
        <v>55438</v>
      </c>
      <c r="AA2352" s="173">
        <v>2.1200811152666327E-2</v>
      </c>
      <c r="AB2352" s="182">
        <v>2.1110436750602091E-2</v>
      </c>
    </row>
    <row r="2353" spans="24:28" x14ac:dyDescent="0.2">
      <c r="X2353" s="186" t="str">
        <f t="shared" si="70"/>
        <v>1w</v>
      </c>
      <c r="Y2353" s="174">
        <f>_xll.qlCalendarAdvance(Calendar,Y2352,X2353,"f",FALSE)</f>
        <v>55443</v>
      </c>
      <c r="Z2353" s="198">
        <f>_xll.qlCalendarAdvance(Calendar,Y2353,NDays&amp;"D")</f>
        <v>55445</v>
      </c>
      <c r="AA2353" s="173">
        <v>2.1200596287842162E-2</v>
      </c>
      <c r="AB2353" s="182">
        <v>2.1109199725239947E-2</v>
      </c>
    </row>
    <row r="2354" spans="24:28" x14ac:dyDescent="0.2">
      <c r="X2354" s="186" t="str">
        <f t="shared" si="70"/>
        <v>1w</v>
      </c>
      <c r="Y2354" s="174">
        <f>_xll.qlCalendarAdvance(Calendar,Y2353,X2354,"f",FALSE)</f>
        <v>55450</v>
      </c>
      <c r="Z2354" s="198">
        <f>_xll.qlCalendarAdvance(Calendar,Y2354,NDays&amp;"D")</f>
        <v>55452</v>
      </c>
      <c r="AA2354" s="173">
        <v>2.1196682127924103E-2</v>
      </c>
      <c r="AB2354" s="182">
        <v>2.1107903025932018E-2</v>
      </c>
    </row>
    <row r="2355" spans="24:28" x14ac:dyDescent="0.2">
      <c r="X2355" s="186" t="str">
        <f t="shared" si="70"/>
        <v>1w</v>
      </c>
      <c r="Y2355" s="174">
        <f>_xll.qlCalendarAdvance(Calendar,Y2354,X2355,"f",FALSE)</f>
        <v>55457</v>
      </c>
      <c r="Z2355" s="198">
        <f>_xll.qlCalendarAdvance(Calendar,Y2355,NDays&amp;"D")</f>
        <v>55459</v>
      </c>
      <c r="AA2355" s="173">
        <v>2.1194080126350788E-2</v>
      </c>
      <c r="AB2355" s="182">
        <v>2.1106546652918112E-2</v>
      </c>
    </row>
    <row r="2356" spans="24:28" x14ac:dyDescent="0.2">
      <c r="X2356" s="186" t="str">
        <f t="shared" si="70"/>
        <v>1w</v>
      </c>
      <c r="Y2356" s="174">
        <f>_xll.qlCalendarAdvance(Calendar,Y2355,X2356,"f",FALSE)</f>
        <v>55464</v>
      </c>
      <c r="Z2356" s="198">
        <f>_xll.qlCalendarAdvance(Calendar,Y2356,NDays&amp;"D")</f>
        <v>55466</v>
      </c>
      <c r="AA2356" s="173">
        <v>2.1191869273919989E-2</v>
      </c>
      <c r="AB2356" s="182">
        <v>2.1105130606118294E-2</v>
      </c>
    </row>
    <row r="2357" spans="24:28" x14ac:dyDescent="0.2">
      <c r="X2357" s="186" t="str">
        <f t="shared" si="70"/>
        <v>1w</v>
      </c>
      <c r="Y2357" s="174">
        <f>_xll.qlCalendarAdvance(Calendar,Y2356,X2357,"f",FALSE)</f>
        <v>55471</v>
      </c>
      <c r="Z2357" s="198">
        <f>_xll.qlCalendarAdvance(Calendar,Y2357,NDays&amp;"D")</f>
        <v>55473</v>
      </c>
      <c r="AA2357" s="173">
        <v>2.1189598114384388E-2</v>
      </c>
      <c r="AB2357" s="182">
        <v>2.1103654885372691E-2</v>
      </c>
    </row>
    <row r="2358" spans="24:28" x14ac:dyDescent="0.2">
      <c r="X2358" s="186" t="str">
        <f t="shared" si="70"/>
        <v>1w</v>
      </c>
      <c r="Y2358" s="174">
        <f>_xll.qlCalendarAdvance(Calendar,Y2357,X2358,"f",FALSE)</f>
        <v>55478</v>
      </c>
      <c r="Z2358" s="198">
        <f>_xll.qlCalendarAdvance(Calendar,Y2358,NDays&amp;"D")</f>
        <v>55480</v>
      </c>
      <c r="AA2358" s="173">
        <v>2.1187266647949968E-2</v>
      </c>
      <c r="AB2358" s="182">
        <v>2.1102119490841176E-2</v>
      </c>
    </row>
    <row r="2359" spans="24:28" x14ac:dyDescent="0.2">
      <c r="X2359" s="186" t="str">
        <f t="shared" si="70"/>
        <v>1w</v>
      </c>
      <c r="Y2359" s="174">
        <f>_xll.qlCalendarAdvance(Calendar,Y2358,X2359,"f",FALSE)</f>
        <v>55485</v>
      </c>
      <c r="Z2359" s="198">
        <f>_xll.qlCalendarAdvance(Calendar,Y2359,NDays&amp;"D")</f>
        <v>55487</v>
      </c>
      <c r="AA2359" s="173">
        <v>2.1185304127018939E-2</v>
      </c>
      <c r="AB2359" s="182">
        <v>2.1100524422523748E-2</v>
      </c>
    </row>
    <row r="2360" spans="24:28" x14ac:dyDescent="0.2">
      <c r="X2360" s="186" t="str">
        <f t="shared" si="70"/>
        <v>1w</v>
      </c>
      <c r="Y2360" s="174">
        <f>_xll.qlCalendarAdvance(Calendar,Y2359,X2360,"f",FALSE)</f>
        <v>55492</v>
      </c>
      <c r="Z2360" s="198">
        <f>_xll.qlCalendarAdvance(Calendar,Y2360,NDays&amp;"D")</f>
        <v>55494</v>
      </c>
      <c r="AA2360" s="173">
        <v>2.1182847596074812E-2</v>
      </c>
      <c r="AB2360" s="182">
        <v>2.1098869680420407E-2</v>
      </c>
    </row>
    <row r="2361" spans="24:28" x14ac:dyDescent="0.2">
      <c r="X2361" s="186" t="str">
        <f t="shared" si="70"/>
        <v>1w</v>
      </c>
      <c r="Y2361" s="174">
        <f>_xll.qlCalendarAdvance(Calendar,Y2360,X2361,"f",FALSE)</f>
        <v>55499</v>
      </c>
      <c r="Z2361" s="198">
        <f>_xll.qlCalendarAdvance(Calendar,Y2361,NDays&amp;"D")</f>
        <v>55501</v>
      </c>
      <c r="AA2361" s="173">
        <v>2.1180330755384856E-2</v>
      </c>
      <c r="AB2361" s="182">
        <v>2.1097155264371281E-2</v>
      </c>
    </row>
    <row r="2362" spans="24:28" x14ac:dyDescent="0.2">
      <c r="X2362" s="186" t="str">
        <f t="shared" si="70"/>
        <v>1w</v>
      </c>
      <c r="Y2362" s="174">
        <f>_xll.qlCalendarAdvance(Calendar,Y2361,X2362,"f",FALSE)</f>
        <v>55506</v>
      </c>
      <c r="Z2362" s="198">
        <f>_xll.qlCalendarAdvance(Calendar,Y2362,NDays&amp;"D")</f>
        <v>55508</v>
      </c>
      <c r="AA2362" s="173">
        <v>2.1177753605179265E-2</v>
      </c>
      <c r="AB2362" s="182">
        <v>2.1095381174616179E-2</v>
      </c>
    </row>
    <row r="2363" spans="24:28" x14ac:dyDescent="0.2">
      <c r="X2363" s="186" t="str">
        <f t="shared" si="70"/>
        <v>1w</v>
      </c>
      <c r="Y2363" s="174">
        <f>_xll.qlCalendarAdvance(Calendar,Y2362,X2363,"f",FALSE)</f>
        <v>55514</v>
      </c>
      <c r="Z2363" s="198">
        <f>_xll.qlCalendarAdvance(Calendar,Y2363,NDays&amp;"D")</f>
        <v>55516</v>
      </c>
      <c r="AA2363" s="173">
        <v>2.1174323654440483E-2</v>
      </c>
      <c r="AB2363" s="182">
        <v>2.1094731134434497E-2</v>
      </c>
    </row>
    <row r="2364" spans="24:28" x14ac:dyDescent="0.2">
      <c r="X2364" s="186" t="str">
        <f t="shared" si="70"/>
        <v>1w</v>
      </c>
      <c r="Y2364" s="174">
        <f>_xll.qlCalendarAdvance(Calendar,Y2363,X2364,"f",FALSE)</f>
        <v>55521</v>
      </c>
      <c r="Z2364" s="198">
        <f>_xll.qlCalendarAdvance(Calendar,Y2364,NDays&amp;"D")</f>
        <v>55523</v>
      </c>
      <c r="AA2364" s="173">
        <v>2.1171621736175535E-2</v>
      </c>
      <c r="AB2364" s="182">
        <v>2.109233730076987E-2</v>
      </c>
    </row>
    <row r="2365" spans="24:28" x14ac:dyDescent="0.2">
      <c r="X2365" s="186" t="str">
        <f t="shared" si="70"/>
        <v>1w</v>
      </c>
      <c r="Y2365" s="174">
        <f>_xll.qlCalendarAdvance(Calendar,Y2364,X2365,"f",FALSE)</f>
        <v>55528</v>
      </c>
      <c r="Z2365" s="198">
        <f>_xll.qlCalendarAdvance(Calendar,Y2365,NDays&amp;"D")</f>
        <v>55530</v>
      </c>
      <c r="AA2365" s="173">
        <v>2.1168859512638603E-2</v>
      </c>
      <c r="AB2365" s="182">
        <v>2.1090366909053415E-2</v>
      </c>
    </row>
    <row r="2366" spans="24:28" x14ac:dyDescent="0.2">
      <c r="X2366" s="186" t="str">
        <f t="shared" si="70"/>
        <v>1w</v>
      </c>
      <c r="Y2366" s="174">
        <f>_xll.qlCalendarAdvance(Calendar,Y2365,X2366,"f",FALSE)</f>
        <v>55535</v>
      </c>
      <c r="Z2366" s="198">
        <f>_xll.qlCalendarAdvance(Calendar,Y2366,NDays&amp;"D")</f>
        <v>55537</v>
      </c>
      <c r="AA2366" s="173">
        <v>2.1166036984079154E-2</v>
      </c>
      <c r="AB2366" s="182">
        <v>2.1088336836516675E-2</v>
      </c>
    </row>
    <row r="2367" spans="24:28" x14ac:dyDescent="0.2">
      <c r="X2367" s="186" t="str">
        <f t="shared" si="70"/>
        <v>1w</v>
      </c>
      <c r="Y2367" s="174">
        <f>_xll.qlCalendarAdvance(Calendar,Y2366,X2367,"f",FALSE)</f>
        <v>55542</v>
      </c>
      <c r="Z2367" s="198">
        <f>_xll.qlCalendarAdvance(Calendar,Y2367,NDays&amp;"D")</f>
        <v>55544</v>
      </c>
      <c r="AA2367" s="173">
        <v>2.116315415075325E-2</v>
      </c>
      <c r="AB2367" s="182">
        <v>2.1086247083239584E-2</v>
      </c>
    </row>
    <row r="2368" spans="24:28" x14ac:dyDescent="0.2">
      <c r="X2368" s="186" t="str">
        <f t="shared" si="70"/>
        <v>1w</v>
      </c>
      <c r="Y2368" s="174">
        <f>_xll.qlCalendarAdvance(Calendar,Y2367,X2368,"f",FALSE)</f>
        <v>55549</v>
      </c>
      <c r="Z2368" s="198">
        <f>_xll.qlCalendarAdvance(Calendar,Y2368,NDays&amp;"D")</f>
        <v>55551</v>
      </c>
      <c r="AA2368" s="173">
        <v>2.1160211012921783E-2</v>
      </c>
      <c r="AB2368" s="182">
        <v>2.1084097649168854E-2</v>
      </c>
    </row>
    <row r="2369" spans="24:28" x14ac:dyDescent="0.2">
      <c r="X2369" s="186" t="str">
        <f t="shared" si="70"/>
        <v>1w</v>
      </c>
      <c r="Y2369" s="174">
        <f>_xll.qlCalendarAdvance(Calendar,Y2368,X2369,"f",FALSE)</f>
        <v>55556</v>
      </c>
      <c r="Z2369" s="198">
        <f>_xll.qlCalendarAdvance(Calendar,Y2369,NDays&amp;"D")</f>
        <v>55558</v>
      </c>
      <c r="AA2369" s="173">
        <v>2.1157207570850472E-2</v>
      </c>
      <c r="AB2369" s="182">
        <v>2.1081888534304483E-2</v>
      </c>
    </row>
    <row r="2370" spans="24:28" x14ac:dyDescent="0.2">
      <c r="X2370" s="186" t="str">
        <f t="shared" si="70"/>
        <v>1w</v>
      </c>
      <c r="Y2370" s="174">
        <f>_xll.qlCalendarAdvance(Calendar,Y2369,X2370,"f",FALSE)</f>
        <v>55563</v>
      </c>
      <c r="Z2370" s="198">
        <f>_xll.qlCalendarAdvance(Calendar,Y2370,NDays&amp;"D")</f>
        <v>55565</v>
      </c>
      <c r="AA2370" s="173">
        <v>2.1154143824811626E-2</v>
      </c>
      <c r="AB2370" s="182">
        <v>2.1079619738673117E-2</v>
      </c>
    </row>
    <row r="2371" spans="24:28" x14ac:dyDescent="0.2">
      <c r="X2371" s="186" t="str">
        <f t="shared" si="70"/>
        <v>1w</v>
      </c>
      <c r="Y2371" s="174">
        <f>_xll.qlCalendarAdvance(Calendar,Y2370,X2371,"f",FALSE)</f>
        <v>55570</v>
      </c>
      <c r="Z2371" s="198">
        <f>_xll.qlCalendarAdvance(Calendar,Y2371,NDays&amp;"D")</f>
        <v>55572</v>
      </c>
      <c r="AA2371" s="173">
        <v>2.1151019775082387E-2</v>
      </c>
      <c r="AB2371" s="182">
        <v>2.1077291262301401E-2</v>
      </c>
    </row>
    <row r="2372" spans="24:28" x14ac:dyDescent="0.2">
      <c r="X2372" s="186" t="str">
        <f t="shared" si="70"/>
        <v>1w</v>
      </c>
      <c r="Y2372" s="174">
        <f>_xll.qlCalendarAdvance(Calendar,Y2371,X2372,"f",FALSE)</f>
        <v>55577</v>
      </c>
      <c r="Z2372" s="198">
        <f>_xll.qlCalendarAdvance(Calendar,Y2372,NDays&amp;"D")</f>
        <v>55579</v>
      </c>
      <c r="AA2372" s="173">
        <v>2.1148945587143697E-2</v>
      </c>
      <c r="AB2372" s="182">
        <v>2.1074903105136045E-2</v>
      </c>
    </row>
    <row r="2373" spans="24:28" x14ac:dyDescent="0.2">
      <c r="X2373" s="186" t="str">
        <f t="shared" si="70"/>
        <v>1w</v>
      </c>
      <c r="Y2373" s="174">
        <f>_xll.qlCalendarAdvance(Calendar,Y2372,X2373,"f",FALSE)</f>
        <v>55584</v>
      </c>
      <c r="Z2373" s="198">
        <f>_xll.qlCalendarAdvance(Calendar,Y2373,NDays&amp;"D")</f>
        <v>55586</v>
      </c>
      <c r="AA2373" s="173">
        <v>2.114568743789233E-2</v>
      </c>
      <c r="AB2373" s="182">
        <v>2.1072455267256984E-2</v>
      </c>
    </row>
    <row r="2374" spans="24:28" x14ac:dyDescent="0.2">
      <c r="X2374" s="186" t="str">
        <f t="shared" si="70"/>
        <v>1w</v>
      </c>
      <c r="Y2374" s="174">
        <f>_xll.qlCalendarAdvance(Calendar,Y2373,X2374,"f",FALSE)</f>
        <v>55591</v>
      </c>
      <c r="Z2374" s="198">
        <f>_xll.qlCalendarAdvance(Calendar,Y2374,NDays&amp;"D")</f>
        <v>55593</v>
      </c>
      <c r="AA2374" s="173">
        <v>2.1142368975399426E-2</v>
      </c>
      <c r="AB2374" s="182">
        <v>2.1069947748584283E-2</v>
      </c>
    </row>
    <row r="2375" spans="24:28" x14ac:dyDescent="0.2">
      <c r="X2375" s="186" t="str">
        <f t="shared" si="70"/>
        <v>1w</v>
      </c>
      <c r="Y2375" s="174">
        <f>_xll.qlCalendarAdvance(Calendar,Y2374,X2375,"f",FALSE)</f>
        <v>55598</v>
      </c>
      <c r="Z2375" s="198">
        <f>_xll.qlCalendarAdvance(Calendar,Y2375,NDays&amp;"D")</f>
        <v>55600</v>
      </c>
      <c r="AA2375" s="173">
        <v>2.1138990199970471E-2</v>
      </c>
      <c r="AB2375" s="182">
        <v>2.1067380549171233E-2</v>
      </c>
    </row>
    <row r="2376" spans="24:28" x14ac:dyDescent="0.2">
      <c r="X2376" s="186" t="str">
        <f t="shared" si="70"/>
        <v>1w</v>
      </c>
      <c r="Y2376" s="174">
        <f>_xll.qlCalendarAdvance(Calendar,Y2375,X2376,"f",FALSE)</f>
        <v>55605</v>
      </c>
      <c r="Z2376" s="198">
        <f>_xll.qlCalendarAdvance(Calendar,Y2376,NDays&amp;"D")</f>
        <v>55607</v>
      </c>
      <c r="AA2376" s="173">
        <v>2.1135551111916135E-2</v>
      </c>
      <c r="AB2376" s="182">
        <v>2.1064753669017833E-2</v>
      </c>
    </row>
    <row r="2377" spans="24:28" x14ac:dyDescent="0.2">
      <c r="X2377" s="186" t="str">
        <f t="shared" si="70"/>
        <v>1w</v>
      </c>
      <c r="Y2377" s="174">
        <f>_xll.qlCalendarAdvance(Calendar,Y2376,X2377,"f",FALSE)</f>
        <v>55612</v>
      </c>
      <c r="Z2377" s="198">
        <f>_xll.qlCalendarAdvance(Calendar,Y2377,NDays&amp;"D")</f>
        <v>55614</v>
      </c>
      <c r="AA2377" s="173">
        <v>2.1132051711553138E-2</v>
      </c>
      <c r="AB2377" s="182">
        <v>2.1062067108070792E-2</v>
      </c>
    </row>
    <row r="2378" spans="24:28" x14ac:dyDescent="0.2">
      <c r="X2378" s="186" t="str">
        <f t="shared" si="70"/>
        <v>1w</v>
      </c>
      <c r="Y2378" s="174">
        <f>_xll.qlCalendarAdvance(Calendar,Y2377,X2378,"f",FALSE)</f>
        <v>55619</v>
      </c>
      <c r="Z2378" s="198">
        <f>_xll.qlCalendarAdvance(Calendar,Y2378,NDays&amp;"D")</f>
        <v>55621</v>
      </c>
      <c r="AA2378" s="173">
        <v>2.1128491999203816E-2</v>
      </c>
      <c r="AB2378" s="182">
        <v>2.1059320866436693E-2</v>
      </c>
    </row>
    <row r="2379" spans="24:28" x14ac:dyDescent="0.2">
      <c r="X2379" s="186" t="str">
        <f t="shared" si="70"/>
        <v>1w</v>
      </c>
      <c r="Y2379" s="174">
        <f>_xll.qlCalendarAdvance(Calendar,Y2378,X2379,"f",FALSE)</f>
        <v>55626</v>
      </c>
      <c r="Z2379" s="198">
        <f>_xll.qlCalendarAdvance(Calendar,Y2379,NDays&amp;"D")</f>
        <v>55632</v>
      </c>
      <c r="AA2379" s="173">
        <v>2.112210490043815E-2</v>
      </c>
      <c r="AB2379" s="182">
        <v>2.1054063202772255E-2</v>
      </c>
    </row>
    <row r="2380" spans="24:28" x14ac:dyDescent="0.2">
      <c r="X2380" s="186" t="str">
        <f t="shared" si="70"/>
        <v>1w</v>
      </c>
      <c r="Y2380" s="174">
        <f>_xll.qlCalendarAdvance(Calendar,Y2379,X2380,"f",FALSE)</f>
        <v>55633</v>
      </c>
      <c r="Z2380" s="198">
        <f>_xll.qlCalendarAdvance(Calendar,Y2380,NDays&amp;"D")</f>
        <v>55635</v>
      </c>
      <c r="AA2380" s="173">
        <v>2.1121191639859316E-2</v>
      </c>
      <c r="AB2380" s="182">
        <v>2.1053649340947445E-2</v>
      </c>
    </row>
    <row r="2381" spans="24:28" x14ac:dyDescent="0.2">
      <c r="X2381" s="186" t="str">
        <f t="shared" si="70"/>
        <v>1w</v>
      </c>
      <c r="Y2381" s="174">
        <f>_xll.qlCalendarAdvance(Calendar,Y2380,X2381,"f",FALSE)</f>
        <v>55641</v>
      </c>
      <c r="Z2381" s="198">
        <f>_xll.qlCalendarAdvance(Calendar,Y2381,NDays&amp;"D")</f>
        <v>55645</v>
      </c>
      <c r="AA2381" s="173">
        <v>2.1115502306190127E-2</v>
      </c>
      <c r="AB2381" s="182">
        <v>2.1048646999846099E-2</v>
      </c>
    </row>
    <row r="2382" spans="24:28" x14ac:dyDescent="0.2">
      <c r="X2382" s="186" t="str">
        <f t="shared" si="70"/>
        <v>1w</v>
      </c>
      <c r="Y2382" s="174">
        <f>_xll.qlCalendarAdvance(Calendar,Y2381,X2382,"f",FALSE)</f>
        <v>55648</v>
      </c>
      <c r="Z2382" s="198">
        <f>_xll.qlCalendarAdvance(Calendar,Y2382,NDays&amp;"D")</f>
        <v>55652</v>
      </c>
      <c r="AA2382" s="173">
        <v>2.1111680032732383E-2</v>
      </c>
      <c r="AB2382" s="182">
        <v>2.1045645334609731E-2</v>
      </c>
    </row>
    <row r="2383" spans="24:28" x14ac:dyDescent="0.2">
      <c r="X2383" s="186" t="str">
        <f t="shared" si="70"/>
        <v>1w</v>
      </c>
      <c r="Y2383" s="174">
        <f>_xll.qlCalendarAdvance(Calendar,Y2382,X2383,"f",FALSE)</f>
        <v>55655</v>
      </c>
      <c r="Z2383" s="198">
        <f>_xll.qlCalendarAdvance(Calendar,Y2383,NDays&amp;"D")</f>
        <v>55659</v>
      </c>
      <c r="AA2383" s="173">
        <v>2.110779745258326E-2</v>
      </c>
      <c r="AB2383" s="182">
        <v>2.1042583995667385E-2</v>
      </c>
    </row>
    <row r="2384" spans="24:28" x14ac:dyDescent="0.2">
      <c r="X2384" s="186" t="str">
        <f t="shared" si="70"/>
        <v>1w</v>
      </c>
      <c r="Y2384" s="174">
        <f>_xll.qlCalendarAdvance(Calendar,Y2383,X2384,"f",FALSE)</f>
        <v>55662</v>
      </c>
      <c r="Z2384" s="198">
        <f>_xll.qlCalendarAdvance(Calendar,Y2384,NDays&amp;"D")</f>
        <v>55666</v>
      </c>
      <c r="AA2384" s="173">
        <v>2.1103854566098559E-2</v>
      </c>
      <c r="AB2384" s="182">
        <v>2.1039462982859192E-2</v>
      </c>
    </row>
    <row r="2385" spans="24:28" x14ac:dyDescent="0.2">
      <c r="X2385" s="186" t="str">
        <f t="shared" si="70"/>
        <v>1w</v>
      </c>
      <c r="Y2385" s="174">
        <f>_xll.qlCalendarAdvance(Calendar,Y2384,X2385,"f",FALSE)</f>
        <v>55669</v>
      </c>
      <c r="Z2385" s="198">
        <f>_xll.qlCalendarAdvance(Calendar,Y2385,NDays&amp;"D")</f>
        <v>55673</v>
      </c>
      <c r="AA2385" s="173">
        <v>2.1099542004801058E-2</v>
      </c>
      <c r="AB2385" s="182">
        <v>2.1036282296265085E-2</v>
      </c>
    </row>
    <row r="2386" spans="24:28" x14ac:dyDescent="0.2">
      <c r="X2386" s="186" t="str">
        <f t="shared" si="70"/>
        <v>1w</v>
      </c>
      <c r="Y2386" s="174">
        <f>_xll.qlCalendarAdvance(Calendar,Y2385,X2386,"f",FALSE)</f>
        <v>55676</v>
      </c>
      <c r="Z2386" s="198">
        <f>_xll.qlCalendarAdvance(Calendar,Y2386,NDays&amp;"D")</f>
        <v>55680</v>
      </c>
      <c r="AA2386" s="173">
        <v>2.1095483050836427E-2</v>
      </c>
      <c r="AB2386" s="182">
        <v>2.1033041935965002E-2</v>
      </c>
    </row>
    <row r="2387" spans="24:28" x14ac:dyDescent="0.2">
      <c r="X2387" s="186" t="str">
        <f t="shared" si="70"/>
        <v>1w</v>
      </c>
      <c r="Y2387" s="174">
        <f>_xll.qlCalendarAdvance(Calendar,Y2386,X2387,"f",FALSE)</f>
        <v>55683</v>
      </c>
      <c r="Z2387" s="198">
        <f>_xll.qlCalendarAdvance(Calendar,Y2387,NDays&amp;"D")</f>
        <v>55687</v>
      </c>
      <c r="AA2387" s="173">
        <v>2.1091363795075018E-2</v>
      </c>
      <c r="AB2387" s="182">
        <v>2.1029741901799071E-2</v>
      </c>
    </row>
    <row r="2388" spans="24:28" x14ac:dyDescent="0.2">
      <c r="X2388" s="186" t="str">
        <f t="shared" si="70"/>
        <v>1w</v>
      </c>
      <c r="Y2388" s="174">
        <f>_xll.qlCalendarAdvance(Calendar,Y2387,X2388,"f",FALSE)</f>
        <v>55690</v>
      </c>
      <c r="Z2388" s="198">
        <f>_xll.qlCalendarAdvance(Calendar,Y2388,NDays&amp;"D")</f>
        <v>55694</v>
      </c>
      <c r="AA2388" s="173">
        <v>2.1087184237892919E-2</v>
      </c>
      <c r="AB2388" s="182">
        <v>2.1026382193847226E-2</v>
      </c>
    </row>
    <row r="2389" spans="24:28" x14ac:dyDescent="0.2">
      <c r="X2389" s="186" t="str">
        <f t="shared" ref="X2389:X2452" si="71">X2388</f>
        <v>1w</v>
      </c>
      <c r="Y2389" s="174">
        <f>_xll.qlCalendarAdvance(Calendar,Y2388,X2389,"f",FALSE)</f>
        <v>55697</v>
      </c>
      <c r="Z2389" s="198">
        <f>_xll.qlCalendarAdvance(Calendar,Y2389,NDays&amp;"D")</f>
        <v>55701</v>
      </c>
      <c r="AA2389" s="173">
        <v>2.1083526299122374E-2</v>
      </c>
      <c r="AB2389" s="182">
        <v>2.1022962812029533E-2</v>
      </c>
    </row>
    <row r="2390" spans="24:28" x14ac:dyDescent="0.2">
      <c r="X2390" s="186" t="str">
        <f t="shared" si="71"/>
        <v>1w</v>
      </c>
      <c r="Y2390" s="174">
        <f>_xll.qlCalendarAdvance(Calendar,Y2389,X2390,"f",FALSE)</f>
        <v>55704</v>
      </c>
      <c r="Z2390" s="198">
        <f>_xll.qlCalendarAdvance(Calendar,Y2390,NDays&amp;"D")</f>
        <v>55708</v>
      </c>
      <c r="AA2390" s="173">
        <v>2.1078930834711997E-2</v>
      </c>
      <c r="AB2390" s="182">
        <v>2.1019483756585799E-2</v>
      </c>
    </row>
    <row r="2391" spans="24:28" x14ac:dyDescent="0.2">
      <c r="X2391" s="186" t="str">
        <f t="shared" si="71"/>
        <v>1w</v>
      </c>
      <c r="Y2391" s="174">
        <f>_xll.qlCalendarAdvance(Calendar,Y2390,X2391,"f",FALSE)</f>
        <v>55711</v>
      </c>
      <c r="Z2391" s="198">
        <f>_xll.qlCalendarAdvance(Calendar,Y2391,NDays&amp;"D")</f>
        <v>55715</v>
      </c>
      <c r="AA2391" s="173">
        <v>2.1074565814282537E-2</v>
      </c>
      <c r="AB2391" s="182">
        <v>2.1015945027276217E-2</v>
      </c>
    </row>
    <row r="2392" spans="24:28" x14ac:dyDescent="0.2">
      <c r="X2392" s="186" t="str">
        <f t="shared" si="71"/>
        <v>1w</v>
      </c>
      <c r="Y2392" s="174">
        <f>_xll.qlCalendarAdvance(Calendar,Y2391,X2392,"f",FALSE)</f>
        <v>55718</v>
      </c>
      <c r="Z2392" s="198">
        <f>_xll.qlCalendarAdvance(Calendar,Y2392,NDays&amp;"D")</f>
        <v>55722</v>
      </c>
      <c r="AA2392" s="173">
        <v>2.1070140490556812E-2</v>
      </c>
      <c r="AB2392" s="182">
        <v>2.1012346624260658E-2</v>
      </c>
    </row>
    <row r="2393" spans="24:28" x14ac:dyDescent="0.2">
      <c r="X2393" s="186" t="str">
        <f t="shared" si="71"/>
        <v>1w</v>
      </c>
      <c r="Y2393" s="174">
        <f>_xll.qlCalendarAdvance(Calendar,Y2392,X2393,"f",FALSE)</f>
        <v>55725</v>
      </c>
      <c r="Z2393" s="198">
        <f>_xll.qlCalendarAdvance(Calendar,Y2393,NDays&amp;"D")</f>
        <v>55729</v>
      </c>
      <c r="AA2393" s="173">
        <v>2.1065654863940145E-2</v>
      </c>
      <c r="AB2393" s="182">
        <v>2.1008688547379251E-2</v>
      </c>
    </row>
    <row r="2394" spans="24:28" x14ac:dyDescent="0.2">
      <c r="X2394" s="186" t="str">
        <f t="shared" si="71"/>
        <v>1w</v>
      </c>
      <c r="Y2394" s="174">
        <f>_xll.qlCalendarAdvance(Calendar,Y2393,X2394,"f",FALSE)</f>
        <v>55732</v>
      </c>
      <c r="Z2394" s="198">
        <f>_xll.qlCalendarAdvance(Calendar,Y2394,NDays&amp;"D")</f>
        <v>55736</v>
      </c>
      <c r="AA2394" s="173">
        <v>2.1061108934843076E-2</v>
      </c>
      <c r="AB2394" s="182">
        <v>2.1004970796791866E-2</v>
      </c>
    </row>
    <row r="2395" spans="24:28" x14ac:dyDescent="0.2">
      <c r="X2395" s="186" t="str">
        <f t="shared" si="71"/>
        <v>1w</v>
      </c>
      <c r="Y2395" s="174">
        <f>_xll.qlCalendarAdvance(Calendar,Y2394,X2395,"f",FALSE)</f>
        <v>55739</v>
      </c>
      <c r="Z2395" s="198">
        <f>_xll.qlCalendarAdvance(Calendar,Y2395,NDays&amp;"D")</f>
        <v>55743</v>
      </c>
      <c r="AA2395" s="173">
        <v>2.1056502703680927E-2</v>
      </c>
      <c r="AB2395" s="182">
        <v>2.100119337241857E-2</v>
      </c>
    </row>
    <row r="2396" spans="24:28" x14ac:dyDescent="0.2">
      <c r="X2396" s="186" t="str">
        <f t="shared" si="71"/>
        <v>1w</v>
      </c>
      <c r="Y2396" s="174">
        <f>_xll.qlCalendarAdvance(Calendar,Y2395,X2396,"f",FALSE)</f>
        <v>55746</v>
      </c>
      <c r="Z2396" s="198">
        <f>_xll.qlCalendarAdvance(Calendar,Y2396,NDays&amp;"D")</f>
        <v>55750</v>
      </c>
      <c r="AA2396" s="173">
        <v>2.10518361708751E-2</v>
      </c>
      <c r="AB2396" s="182">
        <v>2.0997356274179424E-2</v>
      </c>
    </row>
    <row r="2397" spans="24:28" x14ac:dyDescent="0.2">
      <c r="X2397" s="186" t="str">
        <f t="shared" si="71"/>
        <v>1w</v>
      </c>
      <c r="Y2397" s="174">
        <f>_xll.qlCalendarAdvance(Calendar,Y2396,X2397,"f",FALSE)</f>
        <v>55753</v>
      </c>
      <c r="Z2397" s="198">
        <f>_xll.qlCalendarAdvance(Calendar,Y2397,NDays&amp;"D")</f>
        <v>55757</v>
      </c>
      <c r="AA2397" s="173">
        <v>2.1047109336853078E-2</v>
      </c>
      <c r="AB2397" s="182">
        <v>2.0993459502394174E-2</v>
      </c>
    </row>
    <row r="2398" spans="24:28" x14ac:dyDescent="0.2">
      <c r="X2398" s="186" t="str">
        <f t="shared" si="71"/>
        <v>1w</v>
      </c>
      <c r="Y2398" s="174">
        <f>_xll.qlCalendarAdvance(Calendar,Y2397,X2398,"f",FALSE)</f>
        <v>55760</v>
      </c>
      <c r="Z2398" s="198">
        <f>_xll.qlCalendarAdvance(Calendar,Y2398,NDays&amp;"D")</f>
        <v>55764</v>
      </c>
      <c r="AA2398" s="173">
        <v>2.1041821717960058E-2</v>
      </c>
      <c r="AB2398" s="182">
        <v>2.0989503056743075E-2</v>
      </c>
    </row>
    <row r="2399" spans="24:28" x14ac:dyDescent="0.2">
      <c r="X2399" s="186" t="str">
        <f t="shared" si="71"/>
        <v>1w</v>
      </c>
      <c r="Y2399" s="174">
        <f>_xll.qlCalendarAdvance(Calendar,Y2398,X2399,"f",FALSE)</f>
        <v>55767</v>
      </c>
      <c r="Z2399" s="198">
        <f>_xll.qlCalendarAdvance(Calendar,Y2399,NDays&amp;"D")</f>
        <v>55771</v>
      </c>
      <c r="AA2399" s="173">
        <v>2.1036983459593362E-2</v>
      </c>
      <c r="AB2399" s="182">
        <v>2.0985486937226128E-2</v>
      </c>
    </row>
    <row r="2400" spans="24:28" x14ac:dyDescent="0.2">
      <c r="X2400" s="186" t="str">
        <f t="shared" si="71"/>
        <v>1w</v>
      </c>
      <c r="Y2400" s="174">
        <f>_xll.qlCalendarAdvance(Calendar,Y2399,X2400,"f",FALSE)</f>
        <v>55774</v>
      </c>
      <c r="Z2400" s="198">
        <f>_xll.qlCalendarAdvance(Calendar,Y2400,NDays&amp;"D")</f>
        <v>55778</v>
      </c>
      <c r="AA2400" s="173">
        <v>2.1032084908138786E-2</v>
      </c>
      <c r="AB2400" s="182">
        <v>2.0981411144003204E-2</v>
      </c>
    </row>
    <row r="2401" spans="24:28" x14ac:dyDescent="0.2">
      <c r="X2401" s="186" t="str">
        <f t="shared" si="71"/>
        <v>1w</v>
      </c>
      <c r="Y2401" s="174">
        <f>_xll.qlCalendarAdvance(Calendar,Y2400,X2401,"f",FALSE)</f>
        <v>55781</v>
      </c>
      <c r="Z2401" s="198">
        <f>_xll.qlCalendarAdvance(Calendar,Y2401,NDays&amp;"D")</f>
        <v>55785</v>
      </c>
      <c r="AA2401" s="173">
        <v>2.1027126064039482E-2</v>
      </c>
      <c r="AB2401" s="182">
        <v>2.0977275677074303E-2</v>
      </c>
    </row>
    <row r="2402" spans="24:28" x14ac:dyDescent="0.2">
      <c r="X2402" s="186" t="str">
        <f t="shared" si="71"/>
        <v>1w</v>
      </c>
      <c r="Y2402" s="174">
        <f>_xll.qlCalendarAdvance(Calendar,Y2401,X2402,"f",FALSE)</f>
        <v>55788</v>
      </c>
      <c r="Z2402" s="198">
        <f>_xll.qlCalendarAdvance(Calendar,Y2402,NDays&amp;"D")</f>
        <v>55792</v>
      </c>
      <c r="AA2402" s="173">
        <v>2.1022106927744769E-2</v>
      </c>
      <c r="AB2402" s="182">
        <v>2.097308053635949E-2</v>
      </c>
    </row>
    <row r="2403" spans="24:28" x14ac:dyDescent="0.2">
      <c r="X2403" s="186" t="str">
        <f t="shared" si="71"/>
        <v>1w</v>
      </c>
      <c r="Y2403" s="174">
        <f>_xll.qlCalendarAdvance(Calendar,Y2402,X2403,"f",FALSE)</f>
        <v>55795</v>
      </c>
      <c r="Z2403" s="198">
        <f>_xll.qlCalendarAdvance(Calendar,Y2403,NDays&amp;"D")</f>
        <v>55799</v>
      </c>
      <c r="AA2403" s="173">
        <v>2.1017254981295138E-2</v>
      </c>
      <c r="AB2403" s="182">
        <v>2.0968825721778828E-2</v>
      </c>
    </row>
    <row r="2404" spans="24:28" x14ac:dyDescent="0.2">
      <c r="X2404" s="186" t="str">
        <f t="shared" si="71"/>
        <v>1w</v>
      </c>
      <c r="Y2404" s="174">
        <f>_xll.qlCalendarAdvance(Calendar,Y2403,X2404,"f",FALSE)</f>
        <v>55802</v>
      </c>
      <c r="Z2404" s="198">
        <f>_xll.qlCalendarAdvance(Calendar,Y2404,NDays&amp;"D")</f>
        <v>55806</v>
      </c>
      <c r="AA2404" s="173">
        <v>2.1011887780389191E-2</v>
      </c>
      <c r="AB2404" s="182">
        <v>2.0964511233572125E-2</v>
      </c>
    </row>
    <row r="2405" spans="24:28" x14ac:dyDescent="0.2">
      <c r="X2405" s="186" t="str">
        <f t="shared" si="71"/>
        <v>1w</v>
      </c>
      <c r="Y2405" s="174">
        <f>_xll.qlCalendarAdvance(Calendar,Y2404,X2405,"f",FALSE)</f>
        <v>55809</v>
      </c>
      <c r="Z2405" s="198">
        <f>_xll.qlCalendarAdvance(Calendar,Y2405,NDays&amp;"D")</f>
        <v>55813</v>
      </c>
      <c r="AA2405" s="173">
        <v>2.1006687770253735E-2</v>
      </c>
      <c r="AB2405" s="182">
        <v>2.0960137071659446E-2</v>
      </c>
    </row>
    <row r="2406" spans="24:28" x14ac:dyDescent="0.2">
      <c r="X2406" s="186" t="str">
        <f t="shared" si="71"/>
        <v>1w</v>
      </c>
      <c r="Y2406" s="174">
        <f>_xll.qlCalendarAdvance(Calendar,Y2405,X2406,"f",FALSE)</f>
        <v>55816</v>
      </c>
      <c r="Z2406" s="198">
        <f>_xll.qlCalendarAdvance(Calendar,Y2406,NDays&amp;"D")</f>
        <v>55820</v>
      </c>
      <c r="AA2406" s="173">
        <v>2.100142746977194E-2</v>
      </c>
      <c r="AB2406" s="182">
        <v>2.0955703235880918E-2</v>
      </c>
    </row>
    <row r="2407" spans="24:28" x14ac:dyDescent="0.2">
      <c r="X2407" s="186" t="str">
        <f t="shared" si="71"/>
        <v>1w</v>
      </c>
      <c r="Y2407" s="174">
        <f>_xll.qlCalendarAdvance(Calendar,Y2406,X2407,"f",FALSE)</f>
        <v>55823</v>
      </c>
      <c r="Z2407" s="198">
        <f>_xll.qlCalendarAdvance(Calendar,Y2407,NDays&amp;"D")</f>
        <v>55827</v>
      </c>
      <c r="AA2407" s="173">
        <v>2.0996106879420346E-2</v>
      </c>
      <c r="AB2407" s="182">
        <v>2.0951209726396414E-2</v>
      </c>
    </row>
    <row r="2408" spans="24:28" x14ac:dyDescent="0.2">
      <c r="X2408" s="186" t="str">
        <f t="shared" si="71"/>
        <v>1w</v>
      </c>
      <c r="Y2408" s="174">
        <f>_xll.qlCalendarAdvance(Calendar,Y2407,X2408,"f",FALSE)</f>
        <v>55830</v>
      </c>
      <c r="Z2408" s="198">
        <f>_xll.qlCalendarAdvance(Calendar,Y2408,NDays&amp;"D")</f>
        <v>55834</v>
      </c>
      <c r="AA2408" s="173">
        <v>2.0990725999679005E-2</v>
      </c>
      <c r="AB2408" s="182">
        <v>2.0946656543205933E-2</v>
      </c>
    </row>
    <row r="2409" spans="24:28" x14ac:dyDescent="0.2">
      <c r="X2409" s="186" t="str">
        <f t="shared" si="71"/>
        <v>1w</v>
      </c>
      <c r="Y2409" s="174">
        <f>_xll.qlCalendarAdvance(Calendar,Y2408,X2409,"f",FALSE)</f>
        <v>55837</v>
      </c>
      <c r="Z2409" s="198">
        <f>_xll.qlCalendarAdvance(Calendar,Y2409,NDays&amp;"D")</f>
        <v>55841</v>
      </c>
      <c r="AA2409" s="173">
        <v>2.0985284831036323E-2</v>
      </c>
      <c r="AB2409" s="182">
        <v>2.0942043686229539E-2</v>
      </c>
    </row>
    <row r="2410" spans="24:28" x14ac:dyDescent="0.2">
      <c r="X2410" s="186" t="str">
        <f t="shared" si="71"/>
        <v>1w</v>
      </c>
      <c r="Y2410" s="174">
        <f>_xll.qlCalendarAdvance(Calendar,Y2409,X2410,"f",FALSE)</f>
        <v>55844</v>
      </c>
      <c r="Z2410" s="198">
        <f>_xll.qlCalendarAdvance(Calendar,Y2410,NDays&amp;"D")</f>
        <v>55848</v>
      </c>
      <c r="AA2410" s="173">
        <v>2.097978337398421E-2</v>
      </c>
      <c r="AB2410" s="182">
        <v>2.0937371155467233E-2</v>
      </c>
    </row>
    <row r="2411" spans="24:28" x14ac:dyDescent="0.2">
      <c r="X2411" s="186" t="str">
        <f t="shared" si="71"/>
        <v>1w</v>
      </c>
      <c r="Y2411" s="174">
        <f>_xll.qlCalendarAdvance(Calendar,Y2410,X2411,"f",FALSE)</f>
        <v>55851</v>
      </c>
      <c r="Z2411" s="198">
        <f>_xll.qlCalendarAdvance(Calendar,Y2411,NDays&amp;"D")</f>
        <v>55855</v>
      </c>
      <c r="AA2411" s="173">
        <v>2.0974221629020292E-2</v>
      </c>
      <c r="AB2411" s="182">
        <v>2.093263895099895E-2</v>
      </c>
    </row>
    <row r="2412" spans="24:28" x14ac:dyDescent="0.2">
      <c r="X2412" s="186" t="str">
        <f t="shared" si="71"/>
        <v>1w</v>
      </c>
      <c r="Y2412" s="174">
        <f>_xll.qlCalendarAdvance(Calendar,Y2411,X2412,"f",FALSE)</f>
        <v>55858</v>
      </c>
      <c r="Z2412" s="198">
        <f>_xll.qlCalendarAdvance(Calendar,Y2412,NDays&amp;"D")</f>
        <v>55862</v>
      </c>
      <c r="AA2412" s="173">
        <v>2.0968599596648339E-2</v>
      </c>
      <c r="AB2412" s="182">
        <v>2.0927847072904626E-2</v>
      </c>
    </row>
    <row r="2413" spans="24:28" x14ac:dyDescent="0.2">
      <c r="X2413" s="186" t="str">
        <f t="shared" si="71"/>
        <v>1w</v>
      </c>
      <c r="Y2413" s="174">
        <f>_xll.qlCalendarAdvance(Calendar,Y2412,X2413,"f",FALSE)</f>
        <v>55865</v>
      </c>
      <c r="Z2413" s="198">
        <f>_xll.qlCalendarAdvance(Calendar,Y2413,NDays&amp;"D")</f>
        <v>55869</v>
      </c>
      <c r="AA2413" s="173">
        <v>2.0962917277376522E-2</v>
      </c>
      <c r="AB2413" s="182">
        <v>2.0922995520944454E-2</v>
      </c>
    </row>
    <row r="2414" spans="24:28" x14ac:dyDescent="0.2">
      <c r="X2414" s="186" t="str">
        <f t="shared" si="71"/>
        <v>1w</v>
      </c>
      <c r="Y2414" s="174">
        <f>_xll.qlCalendarAdvance(Calendar,Y2413,X2414,"f",FALSE)</f>
        <v>55872</v>
      </c>
      <c r="Z2414" s="198">
        <f>_xll.qlCalendarAdvance(Calendar,Y2414,NDays&amp;"D")</f>
        <v>55876</v>
      </c>
      <c r="AA2414" s="173">
        <v>2.0957174671719148E-2</v>
      </c>
      <c r="AB2414" s="182">
        <v>2.0918084295278305E-2</v>
      </c>
    </row>
    <row r="2415" spans="24:28" x14ac:dyDescent="0.2">
      <c r="X2415" s="186" t="str">
        <f t="shared" si="71"/>
        <v>1w</v>
      </c>
      <c r="Y2415" s="174">
        <f>_xll.qlCalendarAdvance(Calendar,Y2414,X2415,"f",FALSE)</f>
        <v>55880</v>
      </c>
      <c r="Z2415" s="198">
        <f>_xll.qlCalendarAdvance(Calendar,Y2415,NDays&amp;"D")</f>
        <v>55884</v>
      </c>
      <c r="AA2415" s="173">
        <v>2.0950366104201552E-2</v>
      </c>
      <c r="AB2415" s="182">
        <v>2.0912647667050699E-2</v>
      </c>
    </row>
    <row r="2416" spans="24:28" x14ac:dyDescent="0.2">
      <c r="X2416" s="186" t="str">
        <f t="shared" si="71"/>
        <v>1w</v>
      </c>
      <c r="Y2416" s="174">
        <f>_xll.qlCalendarAdvance(Calendar,Y2415,X2416,"f",FALSE)</f>
        <v>55887</v>
      </c>
      <c r="Z2416" s="198">
        <f>_xll.qlCalendarAdvance(Calendar,Y2416,NDays&amp;"D")</f>
        <v>55891</v>
      </c>
      <c r="AA2416" s="173">
        <v>2.0944498960825331E-2</v>
      </c>
      <c r="AB2416" s="182">
        <v>2.0907359298147909E-2</v>
      </c>
    </row>
    <row r="2417" spans="24:28" x14ac:dyDescent="0.2">
      <c r="X2417" s="186" t="str">
        <f t="shared" si="71"/>
        <v>1w</v>
      </c>
      <c r="Y2417" s="174">
        <f>_xll.qlCalendarAdvance(Calendar,Y2416,X2417,"f",FALSE)</f>
        <v>55894</v>
      </c>
      <c r="Z2417" s="198">
        <f>_xll.qlCalendarAdvance(Calendar,Y2417,NDays&amp;"D")</f>
        <v>55898</v>
      </c>
      <c r="AA2417" s="173">
        <v>2.0938571536070549E-2</v>
      </c>
      <c r="AB2417" s="182">
        <v>2.0902260526503014E-2</v>
      </c>
    </row>
    <row r="2418" spans="24:28" x14ac:dyDescent="0.2">
      <c r="X2418" s="186" t="str">
        <f t="shared" si="71"/>
        <v>1w</v>
      </c>
      <c r="Y2418" s="174">
        <f>_xll.qlCalendarAdvance(Calendar,Y2417,X2418,"f",FALSE)</f>
        <v>55901</v>
      </c>
      <c r="Z2418" s="198">
        <f>_xll.qlCalendarAdvance(Calendar,Y2418,NDays&amp;"D")</f>
        <v>55905</v>
      </c>
      <c r="AA2418" s="173">
        <v>2.0932583830469816E-2</v>
      </c>
      <c r="AB2418" s="182">
        <v>2.0897102081232077E-2</v>
      </c>
    </row>
    <row r="2419" spans="24:28" x14ac:dyDescent="0.2">
      <c r="X2419" s="186" t="str">
        <f t="shared" si="71"/>
        <v>1w</v>
      </c>
      <c r="Y2419" s="174">
        <f>_xll.qlCalendarAdvance(Calendar,Y2418,X2419,"f",FALSE)</f>
        <v>55908</v>
      </c>
      <c r="Z2419" s="198">
        <f>_xll.qlCalendarAdvance(Calendar,Y2419,NDays&amp;"D")</f>
        <v>55912</v>
      </c>
      <c r="AA2419" s="173">
        <v>2.0926535844561486E-2</v>
      </c>
      <c r="AB2419" s="182">
        <v>2.0891883962015356E-2</v>
      </c>
    </row>
    <row r="2420" spans="24:28" x14ac:dyDescent="0.2">
      <c r="X2420" s="186" t="str">
        <f t="shared" si="71"/>
        <v>1w</v>
      </c>
      <c r="Y2420" s="174">
        <f>_xll.qlCalendarAdvance(Calendar,Y2419,X2420,"f",FALSE)</f>
        <v>55915</v>
      </c>
      <c r="Z2420" s="198">
        <f>_xll.qlCalendarAdvance(Calendar,Y2420,NDays&amp;"D")</f>
        <v>55919</v>
      </c>
      <c r="AA2420" s="173">
        <v>2.0920427578890979E-2</v>
      </c>
      <c r="AB2420" s="182">
        <v>2.0886606169252531E-2</v>
      </c>
    </row>
    <row r="2421" spans="24:28" x14ac:dyDescent="0.2">
      <c r="X2421" s="186" t="str">
        <f t="shared" si="71"/>
        <v>1w</v>
      </c>
      <c r="Y2421" s="174">
        <f>_xll.qlCalendarAdvance(Calendar,Y2420,X2421,"f",FALSE)</f>
        <v>55922</v>
      </c>
      <c r="Z2421" s="198">
        <f>_xll.qlCalendarAdvance(Calendar,Y2421,NDays&amp;"D")</f>
        <v>55926</v>
      </c>
      <c r="AA2421" s="173">
        <v>2.0914259034008134E-2</v>
      </c>
      <c r="AB2421" s="182">
        <v>2.0881268702863665E-2</v>
      </c>
    </row>
    <row r="2422" spans="24:28" x14ac:dyDescent="0.2">
      <c r="X2422" s="186" t="str">
        <f t="shared" si="71"/>
        <v>1w</v>
      </c>
      <c r="Y2422" s="174">
        <f>_xll.qlCalendarAdvance(Calendar,Y2421,X2422,"f",FALSE)</f>
        <v>55929</v>
      </c>
      <c r="Z2422" s="198">
        <f>_xll.qlCalendarAdvance(Calendar,Y2422,NDays&amp;"D")</f>
        <v>55933</v>
      </c>
      <c r="AA2422" s="173">
        <v>2.090803021046676E-2</v>
      </c>
      <c r="AB2422" s="182">
        <v>2.0875871562529014E-2</v>
      </c>
    </row>
    <row r="2423" spans="24:28" x14ac:dyDescent="0.2">
      <c r="X2423" s="186" t="str">
        <f t="shared" si="71"/>
        <v>1w</v>
      </c>
      <c r="Y2423" s="174">
        <f>_xll.qlCalendarAdvance(Calendar,Y2422,X2423,"f",FALSE)</f>
        <v>55936</v>
      </c>
      <c r="Z2423" s="198">
        <f>_xll.qlCalendarAdvance(Calendar,Y2423,NDays&amp;"D")</f>
        <v>55940</v>
      </c>
      <c r="AA2423" s="173">
        <v>2.0901741108827292E-2</v>
      </c>
      <c r="AB2423" s="182">
        <v>2.0870414748568322E-2</v>
      </c>
    </row>
    <row r="2424" spans="24:28" x14ac:dyDescent="0.2">
      <c r="X2424" s="186" t="str">
        <f t="shared" si="71"/>
        <v>1w</v>
      </c>
      <c r="Y2424" s="174">
        <f>_xll.qlCalendarAdvance(Calendar,Y2423,X2424,"f",FALSE)</f>
        <v>55943</v>
      </c>
      <c r="Z2424" s="198">
        <f>_xll.qlCalendarAdvance(Calendar,Y2424,NDays&amp;"D")</f>
        <v>55947</v>
      </c>
      <c r="AA2424" s="173">
        <v>2.0895779921767992E-2</v>
      </c>
      <c r="AB2424" s="182">
        <v>2.086489826098159E-2</v>
      </c>
    </row>
    <row r="2425" spans="24:28" x14ac:dyDescent="0.2">
      <c r="X2425" s="186" t="str">
        <f t="shared" si="71"/>
        <v>1w</v>
      </c>
      <c r="Y2425" s="174">
        <f>_xll.qlCalendarAdvance(Calendar,Y2424,X2425,"f",FALSE)</f>
        <v>55950</v>
      </c>
      <c r="Z2425" s="198">
        <f>_xll.qlCalendarAdvance(Calendar,Y2425,NDays&amp;"D")</f>
        <v>55954</v>
      </c>
      <c r="AA2425" s="173">
        <v>2.0889356237032555E-2</v>
      </c>
      <c r="AB2425" s="182">
        <v>2.0859322099688882E-2</v>
      </c>
    </row>
    <row r="2426" spans="24:28" x14ac:dyDescent="0.2">
      <c r="X2426" s="186" t="str">
        <f t="shared" si="71"/>
        <v>1w</v>
      </c>
      <c r="Y2426" s="174">
        <f>_xll.qlCalendarAdvance(Calendar,Y2425,X2426,"f",FALSE)</f>
        <v>55957</v>
      </c>
      <c r="Z2426" s="198">
        <f>_xll.qlCalendarAdvance(Calendar,Y2426,NDays&amp;"D")</f>
        <v>55961</v>
      </c>
      <c r="AA2426" s="173">
        <v>2.0882872265945551E-2</v>
      </c>
      <c r="AB2426" s="182">
        <v>2.0853686264610261E-2</v>
      </c>
    </row>
    <row r="2427" spans="24:28" x14ac:dyDescent="0.2">
      <c r="X2427" s="186" t="str">
        <f t="shared" si="71"/>
        <v>1w</v>
      </c>
      <c r="Y2427" s="174">
        <f>_xll.qlCalendarAdvance(Calendar,Y2426,X2427,"f",FALSE)</f>
        <v>55964</v>
      </c>
      <c r="Z2427" s="198">
        <f>_xll.qlCalendarAdvance(Calendar,Y2427,NDays&amp;"D")</f>
        <v>55968</v>
      </c>
      <c r="AA2427" s="173">
        <v>2.0876328009099991E-2</v>
      </c>
      <c r="AB2427" s="182">
        <v>2.0847990755905599E-2</v>
      </c>
    </row>
    <row r="2428" spans="24:28" x14ac:dyDescent="0.2">
      <c r="X2428" s="186" t="str">
        <f t="shared" si="71"/>
        <v>1w</v>
      </c>
      <c r="Y2428" s="174">
        <f>_xll.qlCalendarAdvance(Calendar,Y2427,X2428,"f",FALSE)</f>
        <v>55971</v>
      </c>
      <c r="Z2428" s="198">
        <f>_xll.qlCalendarAdvance(Calendar,Y2428,NDays&amp;"D")</f>
        <v>55975</v>
      </c>
      <c r="AA2428" s="173">
        <v>2.086961323812386E-2</v>
      </c>
      <c r="AB2428" s="182">
        <v>2.0842235573574897E-2</v>
      </c>
    </row>
    <row r="2429" spans="24:28" x14ac:dyDescent="0.2">
      <c r="X2429" s="186" t="str">
        <f t="shared" si="71"/>
        <v>1w</v>
      </c>
      <c r="Y2429" s="174">
        <f>_xll.qlCalendarAdvance(Calendar,Y2428,X2429,"f",FALSE)</f>
        <v>55982</v>
      </c>
      <c r="Z2429" s="198">
        <f>_xll.qlCalendarAdvance(Calendar,Y2429,NDays&amp;"D")</f>
        <v>55984</v>
      </c>
      <c r="AA2429" s="173">
        <v>2.0861039133380506E-2</v>
      </c>
      <c r="AB2429" s="182">
        <v>2.0834748369438216E-2</v>
      </c>
    </row>
    <row r="2430" spans="24:28" x14ac:dyDescent="0.2">
      <c r="X2430" s="186" t="str">
        <f t="shared" si="71"/>
        <v>1w</v>
      </c>
      <c r="Y2430" s="174">
        <f>_xll.qlCalendarAdvance(Calendar,Y2429,X2430,"f",FALSE)</f>
        <v>55989</v>
      </c>
      <c r="Z2430" s="198">
        <f>_xll.qlCalendarAdvance(Calendar,Y2430,NDays&amp;"D")</f>
        <v>55991</v>
      </c>
      <c r="AA2430" s="173">
        <v>2.0854301493222798E-2</v>
      </c>
      <c r="AB2430" s="182">
        <v>2.0828856790053862E-2</v>
      </c>
    </row>
    <row r="2431" spans="24:28" x14ac:dyDescent="0.2">
      <c r="X2431" s="186" t="str">
        <f t="shared" si="71"/>
        <v>1w</v>
      </c>
      <c r="Y2431" s="174">
        <f>_xll.qlCalendarAdvance(Calendar,Y2430,X2431,"f",FALSE)</f>
        <v>55996</v>
      </c>
      <c r="Z2431" s="198">
        <f>_xll.qlCalendarAdvance(Calendar,Y2431,NDays&amp;"D")</f>
        <v>55998</v>
      </c>
      <c r="AA2431" s="173">
        <v>2.0847503573213598E-2</v>
      </c>
      <c r="AB2431" s="182">
        <v>2.0822905536963532E-2</v>
      </c>
    </row>
    <row r="2432" spans="24:28" x14ac:dyDescent="0.2">
      <c r="X2432" s="186" t="str">
        <f t="shared" si="71"/>
        <v>1w</v>
      </c>
      <c r="Y2432" s="174">
        <f>_xll.qlCalendarAdvance(Calendar,Y2431,X2432,"f",FALSE)</f>
        <v>56003</v>
      </c>
      <c r="Z2432" s="198">
        <f>_xll.qlCalendarAdvance(Calendar,Y2432,NDays&amp;"D")</f>
        <v>56006</v>
      </c>
      <c r="AA2432" s="173">
        <v>2.0839839132585032E-2</v>
      </c>
      <c r="AB2432" s="182">
        <v>2.08163693901664E-2</v>
      </c>
    </row>
    <row r="2433" spans="24:28" x14ac:dyDescent="0.2">
      <c r="X2433" s="186" t="str">
        <f t="shared" si="71"/>
        <v>1w</v>
      </c>
      <c r="Y2433" s="174">
        <f>_xll.qlCalendarAdvance(Calendar,Y2432,X2433,"f",FALSE)</f>
        <v>56010</v>
      </c>
      <c r="Z2433" s="198">
        <f>_xll.qlCalendarAdvance(Calendar,Y2433,NDays&amp;"D")</f>
        <v>56012</v>
      </c>
      <c r="AA2433" s="173">
        <v>2.0833981762040009E-2</v>
      </c>
      <c r="AB2433" s="182">
        <v>2.0810824009585005E-2</v>
      </c>
    </row>
    <row r="2434" spans="24:28" x14ac:dyDescent="0.2">
      <c r="X2434" s="186" t="str">
        <f t="shared" si="71"/>
        <v>1w</v>
      </c>
      <c r="Y2434" s="174">
        <f>_xll.qlCalendarAdvance(Calendar,Y2433,X2434,"f",FALSE)</f>
        <v>56017</v>
      </c>
      <c r="Z2434" s="198">
        <f>_xll.qlCalendarAdvance(Calendar,Y2434,NDays&amp;"D")</f>
        <v>56019</v>
      </c>
      <c r="AA2434" s="173">
        <v>2.0826988882497489E-2</v>
      </c>
      <c r="AB2434" s="182">
        <v>2.0804693735536617E-2</v>
      </c>
    </row>
    <row r="2435" spans="24:28" x14ac:dyDescent="0.2">
      <c r="X2435" s="186" t="str">
        <f t="shared" si="71"/>
        <v>1w</v>
      </c>
      <c r="Y2435" s="174">
        <f>_xll.qlCalendarAdvance(Calendar,Y2434,X2435,"f",FALSE)</f>
        <v>56024</v>
      </c>
      <c r="Z2435" s="198">
        <f>_xll.qlCalendarAdvance(Calendar,Y2435,NDays&amp;"D")</f>
        <v>56026</v>
      </c>
      <c r="AA2435" s="173">
        <v>2.0819935715749204E-2</v>
      </c>
      <c r="AB2435" s="182">
        <v>2.0798503787702316E-2</v>
      </c>
    </row>
    <row r="2436" spans="24:28" x14ac:dyDescent="0.2">
      <c r="X2436" s="186" t="str">
        <f t="shared" si="71"/>
        <v>1w</v>
      </c>
      <c r="Y2436" s="174">
        <f>_xll.qlCalendarAdvance(Calendar,Y2435,X2436,"f",FALSE)</f>
        <v>56031</v>
      </c>
      <c r="Z2436" s="198">
        <f>_xll.qlCalendarAdvance(Calendar,Y2436,NDays&amp;"D")</f>
        <v>56033</v>
      </c>
      <c r="AA2436" s="173">
        <v>2.0812609797242646E-2</v>
      </c>
      <c r="AB2436" s="182">
        <v>2.0792254166162039E-2</v>
      </c>
    </row>
    <row r="2437" spans="24:28" x14ac:dyDescent="0.2">
      <c r="X2437" s="186" t="str">
        <f t="shared" si="71"/>
        <v>1w</v>
      </c>
      <c r="Y2437" s="174">
        <f>_xll.qlCalendarAdvance(Calendar,Y2436,X2437,"f",FALSE)</f>
        <v>56038</v>
      </c>
      <c r="Z2437" s="198">
        <f>_xll.qlCalendarAdvance(Calendar,Y2437,NDays&amp;"D")</f>
        <v>56040</v>
      </c>
      <c r="AA2437" s="173">
        <v>2.0805450211308259E-2</v>
      </c>
      <c r="AB2437" s="182">
        <v>2.0785944870995721E-2</v>
      </c>
    </row>
    <row r="2438" spans="24:28" x14ac:dyDescent="0.2">
      <c r="X2438" s="186" t="str">
        <f t="shared" si="71"/>
        <v>1w</v>
      </c>
      <c r="Y2438" s="174">
        <f>_xll.qlCalendarAdvance(Calendar,Y2437,X2438,"f",FALSE)</f>
        <v>56045</v>
      </c>
      <c r="Z2438" s="198">
        <f>_xll.qlCalendarAdvance(Calendar,Y2438,NDays&amp;"D")</f>
        <v>56047</v>
      </c>
      <c r="AA2438" s="173">
        <v>2.0798230349967785E-2</v>
      </c>
      <c r="AB2438" s="182">
        <v>2.0779575902283298E-2</v>
      </c>
    </row>
    <row r="2439" spans="24:28" x14ac:dyDescent="0.2">
      <c r="X2439" s="186" t="str">
        <f t="shared" si="71"/>
        <v>1w</v>
      </c>
      <c r="Y2439" s="174">
        <f>_xll.qlCalendarAdvance(Calendar,Y2438,X2439,"f",FALSE)</f>
        <v>56052</v>
      </c>
      <c r="Z2439" s="198">
        <f>_xll.qlCalendarAdvance(Calendar,Y2439,NDays&amp;"D")</f>
        <v>56054</v>
      </c>
      <c r="AA2439" s="173">
        <v>2.0790950213878185E-2</v>
      </c>
      <c r="AB2439" s="182">
        <v>2.0773147259784963E-2</v>
      </c>
    </row>
    <row r="2440" spans="24:28" x14ac:dyDescent="0.2">
      <c r="X2440" s="186" t="str">
        <f t="shared" si="71"/>
        <v>1w</v>
      </c>
      <c r="Y2440" s="174">
        <f>_xll.qlCalendarAdvance(Calendar,Y2439,X2440,"f",FALSE)</f>
        <v>56059</v>
      </c>
      <c r="Z2440" s="198">
        <f>_xll.qlCalendarAdvance(Calendar,Y2440,NDays&amp;"D")</f>
        <v>56061</v>
      </c>
      <c r="AA2440" s="173">
        <v>2.0783765596950627E-2</v>
      </c>
      <c r="AB2440" s="182">
        <v>2.0766658943660588E-2</v>
      </c>
    </row>
    <row r="2441" spans="24:28" x14ac:dyDescent="0.2">
      <c r="X2441" s="186" t="str">
        <f t="shared" si="71"/>
        <v>1w</v>
      </c>
      <c r="Y2441" s="174">
        <f>_xll.qlCalendarAdvance(Calendar,Y2440,X2441,"f",FALSE)</f>
        <v>56066</v>
      </c>
      <c r="Z2441" s="198">
        <f>_xll.qlCalendarAdvance(Calendar,Y2441,NDays&amp;"D")</f>
        <v>56068</v>
      </c>
      <c r="AA2441" s="173">
        <v>2.0776350720862011E-2</v>
      </c>
      <c r="AB2441" s="182">
        <v>2.0760110953910171E-2</v>
      </c>
    </row>
    <row r="2442" spans="24:28" x14ac:dyDescent="0.2">
      <c r="X2442" s="186" t="str">
        <f t="shared" si="71"/>
        <v>1w</v>
      </c>
      <c r="Y2442" s="174">
        <f>_xll.qlCalendarAdvance(Calendar,Y2441,X2442,"f",FALSE)</f>
        <v>56073</v>
      </c>
      <c r="Z2442" s="198">
        <f>_xll.qlCalendarAdvance(Calendar,Y2442,NDays&amp;"D")</f>
        <v>56075</v>
      </c>
      <c r="AA2442" s="173">
        <v>2.0768875562250769E-2</v>
      </c>
      <c r="AB2442" s="182">
        <v>2.0753503290453779E-2</v>
      </c>
    </row>
    <row r="2443" spans="24:28" x14ac:dyDescent="0.2">
      <c r="X2443" s="186" t="str">
        <f t="shared" si="71"/>
        <v>1w</v>
      </c>
      <c r="Y2443" s="174">
        <f>_xll.qlCalendarAdvance(Calendar,Y2442,X2443,"f",FALSE)</f>
        <v>56080</v>
      </c>
      <c r="Z2443" s="198">
        <f>_xll.qlCalendarAdvance(Calendar,Y2443,NDays&amp;"D")</f>
        <v>56082</v>
      </c>
      <c r="AA2443" s="173">
        <v>2.0761340121807526E-2</v>
      </c>
      <c r="AB2443" s="182">
        <v>2.0746835953371345E-2</v>
      </c>
    </row>
    <row r="2444" spans="24:28" x14ac:dyDescent="0.2">
      <c r="X2444" s="186" t="str">
        <f t="shared" si="71"/>
        <v>1w</v>
      </c>
      <c r="Y2444" s="174">
        <f>_xll.qlCalendarAdvance(Calendar,Y2443,X2444,"f",FALSE)</f>
        <v>56087</v>
      </c>
      <c r="Z2444" s="198">
        <f>_xll.qlCalendarAdvance(Calendar,Y2444,NDays&amp;"D")</f>
        <v>56089</v>
      </c>
      <c r="AA2444" s="173">
        <v>2.0753744400230222E-2</v>
      </c>
      <c r="AB2444" s="182">
        <v>2.0740108942582935E-2</v>
      </c>
    </row>
    <row r="2445" spans="24:28" x14ac:dyDescent="0.2">
      <c r="X2445" s="186" t="str">
        <f t="shared" si="71"/>
        <v>1w</v>
      </c>
      <c r="Y2445" s="174">
        <f>_xll.qlCalendarAdvance(Calendar,Y2444,X2445,"f",FALSE)</f>
        <v>56094</v>
      </c>
      <c r="Z2445" s="198">
        <f>_xll.qlCalendarAdvance(Calendar,Y2445,NDays&amp;"D")</f>
        <v>56096</v>
      </c>
      <c r="AA2445" s="173">
        <v>2.0746003665079289E-2</v>
      </c>
      <c r="AB2445" s="182">
        <v>2.0733322258328357E-2</v>
      </c>
    </row>
    <row r="2446" spans="24:28" x14ac:dyDescent="0.2">
      <c r="X2446" s="186" t="str">
        <f t="shared" si="71"/>
        <v>1w</v>
      </c>
      <c r="Y2446" s="174">
        <f>_xll.qlCalendarAdvance(Calendar,Y2445,X2446,"f",FALSE)</f>
        <v>56101</v>
      </c>
      <c r="Z2446" s="198">
        <f>_xll.qlCalendarAdvance(Calendar,Y2446,NDays&amp;"D")</f>
        <v>56103</v>
      </c>
      <c r="AA2446" s="173">
        <v>2.0738372116487516E-2</v>
      </c>
      <c r="AB2446" s="182">
        <v>2.0726475900287866E-2</v>
      </c>
    </row>
    <row r="2447" spans="24:28" x14ac:dyDescent="0.2">
      <c r="X2447" s="186" t="str">
        <f t="shared" si="71"/>
        <v>1w</v>
      </c>
      <c r="Y2447" s="174">
        <f>_xll.qlCalendarAdvance(Calendar,Y2446,X2447,"f",FALSE)</f>
        <v>56108</v>
      </c>
      <c r="Z2447" s="198">
        <f>_xll.qlCalendarAdvance(Calendar,Y2447,NDays&amp;"D")</f>
        <v>56110</v>
      </c>
      <c r="AA2447" s="173">
        <v>2.0730595555742484E-2</v>
      </c>
      <c r="AB2447" s="182">
        <v>2.0719569868621335E-2</v>
      </c>
    </row>
    <row r="2448" spans="24:28" x14ac:dyDescent="0.2">
      <c r="X2448" s="186" t="str">
        <f t="shared" si="71"/>
        <v>1w</v>
      </c>
      <c r="Y2448" s="174">
        <f>_xll.qlCalendarAdvance(Calendar,Y2447,X2448,"f",FALSE)</f>
        <v>56115</v>
      </c>
      <c r="Z2448" s="198">
        <f>_xll.qlCalendarAdvance(Calendar,Y2448,NDays&amp;"D")</f>
        <v>56117</v>
      </c>
      <c r="AA2448" s="173">
        <v>2.0722758716707135E-2</v>
      </c>
      <c r="AB2448" s="182">
        <v>2.0712604163488635E-2</v>
      </c>
    </row>
    <row r="2449" spans="24:28" x14ac:dyDescent="0.2">
      <c r="X2449" s="186" t="str">
        <f t="shared" si="71"/>
        <v>1w</v>
      </c>
      <c r="Y2449" s="174">
        <f>_xll.qlCalendarAdvance(Calendar,Y2448,X2449,"f",FALSE)</f>
        <v>56122</v>
      </c>
      <c r="Z2449" s="198">
        <f>_xll.qlCalendarAdvance(Calendar,Y2449,NDays&amp;"D")</f>
        <v>56124</v>
      </c>
      <c r="AA2449" s="173">
        <v>2.0714833890201848E-2</v>
      </c>
      <c r="AB2449" s="182">
        <v>2.0705578784570022E-2</v>
      </c>
    </row>
    <row r="2450" spans="24:28" x14ac:dyDescent="0.2">
      <c r="X2450" s="186" t="str">
        <f t="shared" si="71"/>
        <v>1w</v>
      </c>
      <c r="Y2450" s="174">
        <f>_xll.qlCalendarAdvance(Calendar,Y2449,X2450,"f",FALSE)</f>
        <v>56129</v>
      </c>
      <c r="Z2450" s="198">
        <f>_xll.qlCalendarAdvance(Calendar,Y2450,NDays&amp;"D")</f>
        <v>56131</v>
      </c>
      <c r="AA2450" s="173">
        <v>2.0706879550005275E-2</v>
      </c>
      <c r="AB2450" s="182">
        <v>2.0698493732025369E-2</v>
      </c>
    </row>
    <row r="2451" spans="24:28" x14ac:dyDescent="0.2">
      <c r="X2451" s="186" t="str">
        <f t="shared" si="71"/>
        <v>1w</v>
      </c>
      <c r="Y2451" s="174">
        <f>_xll.qlCalendarAdvance(Calendar,Y2450,X2451,"f",FALSE)</f>
        <v>56136</v>
      </c>
      <c r="Z2451" s="198">
        <f>_xll.qlCalendarAdvance(Calendar,Y2451,NDays&amp;"D")</f>
        <v>56138</v>
      </c>
      <c r="AA2451" s="173">
        <v>2.0698885694174739E-2</v>
      </c>
      <c r="AB2451" s="182">
        <v>2.0691349005854676E-2</v>
      </c>
    </row>
    <row r="2452" spans="24:28" x14ac:dyDescent="0.2">
      <c r="X2452" s="186" t="str">
        <f t="shared" si="71"/>
        <v>1w</v>
      </c>
      <c r="Y2452" s="174">
        <f>_xll.qlCalendarAdvance(Calendar,Y2451,X2452,"f",FALSE)</f>
        <v>56143</v>
      </c>
      <c r="Z2452" s="198">
        <f>_xll.qlCalendarAdvance(Calendar,Y2452,NDays&amp;"D")</f>
        <v>56145</v>
      </c>
      <c r="AA2452" s="173">
        <v>2.0690831579068175E-2</v>
      </c>
      <c r="AB2452" s="182">
        <v>2.0684144606137878E-2</v>
      </c>
    </row>
    <row r="2453" spans="24:28" x14ac:dyDescent="0.2">
      <c r="X2453" s="186" t="str">
        <f t="shared" ref="X2453:X2516" si="72">X2452</f>
        <v>1w</v>
      </c>
      <c r="Y2453" s="174">
        <f>_xll.qlCalendarAdvance(Calendar,Y2452,X2453,"f",FALSE)</f>
        <v>56150</v>
      </c>
      <c r="Z2453" s="198">
        <f>_xll.qlCalendarAdvance(Calendar,Y2453,NDays&amp;"D")</f>
        <v>56152</v>
      </c>
      <c r="AA2453" s="173">
        <v>2.0682717205408992E-2</v>
      </c>
      <c r="AB2453" s="182">
        <v>2.0676880532795039E-2</v>
      </c>
    </row>
    <row r="2454" spans="24:28" x14ac:dyDescent="0.2">
      <c r="X2454" s="186" t="str">
        <f t="shared" si="72"/>
        <v>1w</v>
      </c>
      <c r="Y2454" s="174">
        <f>_xll.qlCalendarAdvance(Calendar,Y2453,X2454,"f",FALSE)</f>
        <v>56157</v>
      </c>
      <c r="Z2454" s="198">
        <f>_xll.qlCalendarAdvance(Calendar,Y2454,NDays&amp;"D")</f>
        <v>56159</v>
      </c>
      <c r="AA2454" s="173">
        <v>2.0674529348282022E-2</v>
      </c>
      <c r="AB2454" s="182">
        <v>2.0669556785746224E-2</v>
      </c>
    </row>
    <row r="2455" spans="24:28" x14ac:dyDescent="0.2">
      <c r="X2455" s="186" t="str">
        <f t="shared" si="72"/>
        <v>1w</v>
      </c>
      <c r="Y2455" s="174">
        <f>_xll.qlCalendarAdvance(Calendar,Y2454,X2455,"f",FALSE)</f>
        <v>56164</v>
      </c>
      <c r="Z2455" s="198">
        <f>_xll.qlCalendarAdvance(Calendar,Y2455,NDays&amp;"D")</f>
        <v>56166</v>
      </c>
      <c r="AA2455" s="173">
        <v>2.0666289685108287E-2</v>
      </c>
      <c r="AB2455" s="182">
        <v>2.066217336523124E-2</v>
      </c>
    </row>
    <row r="2456" spans="24:28" x14ac:dyDescent="0.2">
      <c r="X2456" s="186" t="str">
        <f t="shared" si="72"/>
        <v>1w</v>
      </c>
      <c r="Y2456" s="174">
        <f>_xll.qlCalendarAdvance(Calendar,Y2455,X2456,"f",FALSE)</f>
        <v>56171</v>
      </c>
      <c r="Z2456" s="198">
        <f>_xll.qlCalendarAdvance(Calendar,Y2456,NDays&amp;"D")</f>
        <v>56173</v>
      </c>
      <c r="AA2456" s="173">
        <v>2.0657989762389941E-2</v>
      </c>
      <c r="AB2456" s="182">
        <v>2.0654730271090216E-2</v>
      </c>
    </row>
    <row r="2457" spans="24:28" x14ac:dyDescent="0.2">
      <c r="X2457" s="186" t="str">
        <f t="shared" si="72"/>
        <v>1w</v>
      </c>
      <c r="Y2457" s="174">
        <f>_xll.qlCalendarAdvance(Calendar,Y2456,X2457,"f",FALSE)</f>
        <v>56178</v>
      </c>
      <c r="Z2457" s="198">
        <f>_xll.qlCalendarAdvance(Calendar,Y2457,NDays&amp;"D")</f>
        <v>56180</v>
      </c>
      <c r="AA2457" s="173">
        <v>2.0649629580879354E-2</v>
      </c>
      <c r="AB2457" s="182">
        <v>2.0647227503403087E-2</v>
      </c>
    </row>
    <row r="2458" spans="24:28" x14ac:dyDescent="0.2">
      <c r="X2458" s="186" t="str">
        <f t="shared" si="72"/>
        <v>1w</v>
      </c>
      <c r="Y2458" s="174">
        <f>_xll.qlCalendarAdvance(Calendar,Y2457,X2458,"f",FALSE)</f>
        <v>56185</v>
      </c>
      <c r="Z2458" s="198">
        <f>_xll.qlCalendarAdvance(Calendar,Y2458,NDays&amp;"D")</f>
        <v>56187</v>
      </c>
      <c r="AA2458" s="173">
        <v>2.0641209141330212E-2</v>
      </c>
      <c r="AB2458" s="182">
        <v>2.0639665061930046E-2</v>
      </c>
    </row>
    <row r="2459" spans="24:28" x14ac:dyDescent="0.2">
      <c r="X2459" s="186" t="str">
        <f t="shared" si="72"/>
        <v>1w</v>
      </c>
      <c r="Y2459" s="174">
        <f>_xll.qlCalendarAdvance(Calendar,Y2458,X2459,"f",FALSE)</f>
        <v>56192</v>
      </c>
      <c r="Z2459" s="198">
        <f>_xll.qlCalendarAdvance(Calendar,Y2459,NDays&amp;"D")</f>
        <v>56194</v>
      </c>
      <c r="AA2459" s="173">
        <v>2.0632765575143954E-2</v>
      </c>
      <c r="AB2459" s="182">
        <v>2.0632042947070772E-2</v>
      </c>
    </row>
    <row r="2460" spans="24:28" x14ac:dyDescent="0.2">
      <c r="X2460" s="186" t="str">
        <f t="shared" si="72"/>
        <v>1w</v>
      </c>
      <c r="Y2460" s="174">
        <f>_xll.qlCalendarAdvance(Calendar,Y2459,X2460,"f",FALSE)</f>
        <v>56199</v>
      </c>
      <c r="Z2460" s="198">
        <f>_xll.qlCalendarAdvance(Calendar,Y2460,NDays&amp;"D")</f>
        <v>56201</v>
      </c>
      <c r="AA2460" s="173">
        <v>2.0624229412372845E-2</v>
      </c>
      <c r="AB2460" s="182">
        <v>2.0624361158585458E-2</v>
      </c>
    </row>
    <row r="2461" spans="24:28" x14ac:dyDescent="0.2">
      <c r="X2461" s="186" t="str">
        <f t="shared" si="72"/>
        <v>1w</v>
      </c>
      <c r="Y2461" s="174">
        <f>_xll.qlCalendarAdvance(Calendar,Y2460,X2461,"f",FALSE)</f>
        <v>56206</v>
      </c>
      <c r="Z2461" s="198">
        <f>_xll.qlCalendarAdvance(Calendar,Y2461,NDays&amp;"D")</f>
        <v>56208</v>
      </c>
      <c r="AA2461" s="173">
        <v>2.0615632997043436E-2</v>
      </c>
      <c r="AB2461" s="182">
        <v>2.0616619696394167E-2</v>
      </c>
    </row>
    <row r="2462" spans="24:28" x14ac:dyDescent="0.2">
      <c r="X2462" s="186" t="str">
        <f t="shared" si="72"/>
        <v>1w</v>
      </c>
      <c r="Y2462" s="174">
        <f>_xll.qlCalendarAdvance(Calendar,Y2461,X2462,"f",FALSE)</f>
        <v>56213</v>
      </c>
      <c r="Z2462" s="198">
        <f>_xll.qlCalendarAdvance(Calendar,Y2462,NDays&amp;"D")</f>
        <v>56215</v>
      </c>
      <c r="AA2462" s="173">
        <v>2.0606976329928584E-2</v>
      </c>
      <c r="AB2462" s="182">
        <v>2.0608818560656772E-2</v>
      </c>
    </row>
    <row r="2463" spans="24:28" x14ac:dyDescent="0.2">
      <c r="X2463" s="186" t="str">
        <f t="shared" si="72"/>
        <v>1w</v>
      </c>
      <c r="Y2463" s="174">
        <f>_xll.qlCalendarAdvance(Calendar,Y2462,X2463,"f",FALSE)</f>
        <v>56220</v>
      </c>
      <c r="Z2463" s="198">
        <f>_xll.qlCalendarAdvance(Calendar,Y2463,NDays&amp;"D")</f>
        <v>56222</v>
      </c>
      <c r="AA2463" s="173">
        <v>2.0598203099891851E-2</v>
      </c>
      <c r="AB2463" s="182">
        <v>2.0600957751373272E-2</v>
      </c>
    </row>
    <row r="2464" spans="24:28" x14ac:dyDescent="0.2">
      <c r="X2464" s="186" t="str">
        <f t="shared" si="72"/>
        <v>1w</v>
      </c>
      <c r="Y2464" s="174">
        <f>_xll.qlCalendarAdvance(Calendar,Y2463,X2464,"f",FALSE)</f>
        <v>56227</v>
      </c>
      <c r="Z2464" s="198">
        <f>_xll.qlCalendarAdvance(Calendar,Y2464,NDays&amp;"D")</f>
        <v>56229</v>
      </c>
      <c r="AA2464" s="173">
        <v>2.0589421128312895E-2</v>
      </c>
      <c r="AB2464" s="182">
        <v>2.0593037268623604E-2</v>
      </c>
    </row>
    <row r="2465" spans="24:28" x14ac:dyDescent="0.2">
      <c r="X2465" s="186" t="str">
        <f t="shared" si="72"/>
        <v>1w</v>
      </c>
      <c r="Y2465" s="174">
        <f>_xll.qlCalendarAdvance(Calendar,Y2464,X2465,"f",FALSE)</f>
        <v>56234</v>
      </c>
      <c r="Z2465" s="198">
        <f>_xll.qlCalendarAdvance(Calendar,Y2465,NDays&amp;"D")</f>
        <v>56236</v>
      </c>
      <c r="AA2465" s="173">
        <v>2.0580578904144213E-2</v>
      </c>
      <c r="AB2465" s="182">
        <v>2.0585057112167959E-2</v>
      </c>
    </row>
    <row r="2466" spans="24:28" x14ac:dyDescent="0.2">
      <c r="X2466" s="186" t="str">
        <f t="shared" si="72"/>
        <v>1w</v>
      </c>
      <c r="Y2466" s="174">
        <f>_xll.qlCalendarAdvance(Calendar,Y2465,X2466,"f",FALSE)</f>
        <v>56241</v>
      </c>
      <c r="Z2466" s="198">
        <f>_xll.qlCalendarAdvance(Calendar,Y2466,NDays&amp;"D")</f>
        <v>56247</v>
      </c>
      <c r="AA2466" s="173">
        <v>2.0566562247554966E-2</v>
      </c>
      <c r="AB2466" s="182">
        <v>2.0572396301448137E-2</v>
      </c>
    </row>
    <row r="2467" spans="24:28" x14ac:dyDescent="0.2">
      <c r="X2467" s="186" t="str">
        <f t="shared" si="72"/>
        <v>1w</v>
      </c>
      <c r="Y2467" s="174">
        <f>_xll.qlCalendarAdvance(Calendar,Y2466,X2467,"f",FALSE)</f>
        <v>56248</v>
      </c>
      <c r="Z2467" s="198">
        <f>_xll.qlCalendarAdvance(Calendar,Y2467,NDays&amp;"D")</f>
        <v>56251</v>
      </c>
      <c r="AA2467" s="173">
        <v>2.0561504624858114E-2</v>
      </c>
      <c r="AB2467" s="182">
        <v>2.0567767248333979E-2</v>
      </c>
    </row>
    <row r="2468" spans="24:28" x14ac:dyDescent="0.2">
      <c r="X2468" s="186" t="str">
        <f t="shared" si="72"/>
        <v>1w</v>
      </c>
      <c r="Y2468" s="174">
        <f>_xll.qlCalendarAdvance(Calendar,Y2467,X2468,"f",FALSE)</f>
        <v>56255</v>
      </c>
      <c r="Z2468" s="198">
        <f>_xll.qlCalendarAdvance(Calendar,Y2468,NDays&amp;"D")</f>
        <v>56257</v>
      </c>
      <c r="AA2468" s="173">
        <v>2.0553771083761323E-2</v>
      </c>
      <c r="AB2468" s="182">
        <v>2.0560758601604334E-2</v>
      </c>
    </row>
    <row r="2469" spans="24:28" x14ac:dyDescent="0.2">
      <c r="X2469" s="186" t="str">
        <f t="shared" si="72"/>
        <v>1w</v>
      </c>
      <c r="Y2469" s="174">
        <f>_xll.qlCalendarAdvance(Calendar,Y2468,X2469,"f",FALSE)</f>
        <v>56262</v>
      </c>
      <c r="Z2469" s="198">
        <f>_xll.qlCalendarAdvance(Calendar,Y2469,NDays&amp;"D")</f>
        <v>56264</v>
      </c>
      <c r="AA2469" s="173">
        <v>2.0544692676267722E-2</v>
      </c>
      <c r="AB2469" s="182">
        <v>2.0552539750884335E-2</v>
      </c>
    </row>
    <row r="2470" spans="24:28" x14ac:dyDescent="0.2">
      <c r="X2470" s="186" t="str">
        <f t="shared" si="72"/>
        <v>1w</v>
      </c>
      <c r="Y2470" s="174">
        <f>_xll.qlCalendarAdvance(Calendar,Y2469,X2470,"f",FALSE)</f>
        <v>56269</v>
      </c>
      <c r="Z2470" s="198">
        <f>_xll.qlCalendarAdvance(Calendar,Y2470,NDays&amp;"D")</f>
        <v>56271</v>
      </c>
      <c r="AA2470" s="173">
        <v>2.053555402337208E-2</v>
      </c>
      <c r="AB2470" s="182">
        <v>2.0544261226778104E-2</v>
      </c>
    </row>
    <row r="2471" spans="24:28" x14ac:dyDescent="0.2">
      <c r="X2471" s="186" t="str">
        <f t="shared" si="72"/>
        <v>1w</v>
      </c>
      <c r="Y2471" s="174">
        <f>_xll.qlCalendarAdvance(Calendar,Y2470,X2471,"f",FALSE)</f>
        <v>56276</v>
      </c>
      <c r="Z2471" s="198">
        <f>_xll.qlCalendarAdvance(Calendar,Y2471,NDays&amp;"D")</f>
        <v>56278</v>
      </c>
      <c r="AA2471" s="173">
        <v>2.0526355125898055E-2</v>
      </c>
      <c r="AB2471" s="182">
        <v>2.0535923029045833E-2</v>
      </c>
    </row>
    <row r="2472" spans="24:28" x14ac:dyDescent="0.2">
      <c r="X2472" s="186" t="str">
        <f t="shared" si="72"/>
        <v>1w</v>
      </c>
      <c r="Y2472" s="174">
        <f>_xll.qlCalendarAdvance(Calendar,Y2471,X2472,"f",FALSE)</f>
        <v>56283</v>
      </c>
      <c r="Z2472" s="198">
        <f>_xll.qlCalendarAdvance(Calendar,Y2472,NDays&amp;"D")</f>
        <v>56285</v>
      </c>
      <c r="AA2472" s="173">
        <v>2.0517095984672384E-2</v>
      </c>
      <c r="AB2472" s="182">
        <v>2.0527525157847393E-2</v>
      </c>
    </row>
    <row r="2473" spans="24:28" x14ac:dyDescent="0.2">
      <c r="X2473" s="186" t="str">
        <f t="shared" si="72"/>
        <v>1w</v>
      </c>
      <c r="Y2473" s="174">
        <f>_xll.qlCalendarAdvance(Calendar,Y2472,X2473,"f",FALSE)</f>
        <v>56290</v>
      </c>
      <c r="Z2473" s="198">
        <f>_xll.qlCalendarAdvance(Calendar,Y2473,NDays&amp;"D")</f>
        <v>56292</v>
      </c>
      <c r="AA2473" s="173">
        <v>2.0507776600527994E-2</v>
      </c>
      <c r="AB2473" s="182">
        <v>2.0519067612942976E-2</v>
      </c>
    </row>
    <row r="2474" spans="24:28" x14ac:dyDescent="0.2">
      <c r="X2474" s="186" t="str">
        <f t="shared" si="72"/>
        <v>1w</v>
      </c>
      <c r="Y2474" s="174">
        <f>_xll.qlCalendarAdvance(Calendar,Y2473,X2474,"f",FALSE)</f>
        <v>56297</v>
      </c>
      <c r="Z2474" s="198">
        <f>_xll.qlCalendarAdvance(Calendar,Y2474,NDays&amp;"D")</f>
        <v>56299</v>
      </c>
      <c r="AA2474" s="173">
        <v>2.0498396974304875E-2</v>
      </c>
      <c r="AB2474" s="182">
        <v>2.0510550394732263E-2</v>
      </c>
    </row>
    <row r="2475" spans="24:28" x14ac:dyDescent="0.2">
      <c r="X2475" s="186" t="str">
        <f t="shared" si="72"/>
        <v>1w</v>
      </c>
      <c r="Y2475" s="174">
        <f>_xll.qlCalendarAdvance(Calendar,Y2474,X2475,"f",FALSE)</f>
        <v>56304</v>
      </c>
      <c r="Z2475" s="198">
        <f>_xll.qlCalendarAdvance(Calendar,Y2475,NDays&amp;"D")</f>
        <v>56306</v>
      </c>
      <c r="AA2475" s="173">
        <v>2.0488957106845666E-2</v>
      </c>
      <c r="AB2475" s="182">
        <v>2.0501973502815574E-2</v>
      </c>
    </row>
    <row r="2476" spans="24:28" x14ac:dyDescent="0.2">
      <c r="X2476" s="186" t="str">
        <f t="shared" si="72"/>
        <v>1w</v>
      </c>
      <c r="Y2476" s="174">
        <f>_xll.qlCalendarAdvance(Calendar,Y2475,X2476,"f",FALSE)</f>
        <v>56311</v>
      </c>
      <c r="Z2476" s="198">
        <f>_xll.qlCalendarAdvance(Calendar,Y2476,NDays&amp;"D")</f>
        <v>56313</v>
      </c>
      <c r="AA2476" s="173">
        <v>2.0478857332284276E-2</v>
      </c>
      <c r="AB2476" s="182">
        <v>2.0493336937432716E-2</v>
      </c>
    </row>
    <row r="2477" spans="24:28" x14ac:dyDescent="0.2">
      <c r="X2477" s="186" t="str">
        <f t="shared" si="72"/>
        <v>1w</v>
      </c>
      <c r="Y2477" s="174">
        <f>_xll.qlCalendarAdvance(Calendar,Y2476,X2477,"f",FALSE)</f>
        <v>56318</v>
      </c>
      <c r="Z2477" s="198">
        <f>_xll.qlCalendarAdvance(Calendar,Y2477,NDays&amp;"D")</f>
        <v>56320</v>
      </c>
      <c r="AA2477" s="173">
        <v>2.0469272760655872E-2</v>
      </c>
      <c r="AB2477" s="182">
        <v>2.0484640698503753E-2</v>
      </c>
    </row>
    <row r="2478" spans="24:28" x14ac:dyDescent="0.2">
      <c r="X2478" s="186" t="str">
        <f t="shared" si="72"/>
        <v>1w</v>
      </c>
      <c r="Y2478" s="174">
        <f>_xll.qlCalendarAdvance(Calendar,Y2477,X2478,"f",FALSE)</f>
        <v>56325</v>
      </c>
      <c r="Z2478" s="198">
        <f>_xll.qlCalendarAdvance(Calendar,Y2478,NDays&amp;"D")</f>
        <v>56327</v>
      </c>
      <c r="AA2478" s="173">
        <v>2.0459627934900186E-2</v>
      </c>
      <c r="AB2478" s="182">
        <v>2.0475884786188558E-2</v>
      </c>
    </row>
    <row r="2479" spans="24:28" x14ac:dyDescent="0.2">
      <c r="X2479" s="186" t="str">
        <f t="shared" si="72"/>
        <v>1w</v>
      </c>
      <c r="Y2479" s="174">
        <f>_xll.qlCalendarAdvance(Calendar,Y2478,X2479,"f",FALSE)</f>
        <v>56332</v>
      </c>
      <c r="Z2479" s="198">
        <f>_xll.qlCalendarAdvance(Calendar,Y2479,NDays&amp;"D")</f>
        <v>56334</v>
      </c>
      <c r="AA2479" s="173">
        <v>2.0449922855908555E-2</v>
      </c>
      <c r="AB2479" s="182">
        <v>2.0466865067232831E-2</v>
      </c>
    </row>
    <row r="2480" spans="24:28" x14ac:dyDescent="0.2">
      <c r="X2480" s="186" t="str">
        <f t="shared" si="72"/>
        <v>1w</v>
      </c>
      <c r="Y2480" s="174">
        <f>_xll.qlCalendarAdvance(Calendar,Y2479,X2480,"f",FALSE)</f>
        <v>56339</v>
      </c>
      <c r="Z2480" s="198">
        <f>_xll.qlCalendarAdvance(Calendar,Y2480,NDays&amp;"D")</f>
        <v>56341</v>
      </c>
      <c r="AA2480" s="173">
        <v>2.0440576925851685E-2</v>
      </c>
      <c r="AB2480" s="182">
        <v>2.0458193940759983E-2</v>
      </c>
    </row>
    <row r="2481" spans="24:28" x14ac:dyDescent="0.2">
      <c r="X2481" s="186" t="str">
        <f t="shared" si="72"/>
        <v>1w</v>
      </c>
      <c r="Y2481" s="174">
        <f>_xll.qlCalendarAdvance(Calendar,Y2480,X2481,"f",FALSE)</f>
        <v>56346</v>
      </c>
      <c r="Z2481" s="198">
        <f>_xll.qlCalendarAdvance(Calendar,Y2481,NDays&amp;"D")</f>
        <v>56348</v>
      </c>
      <c r="AA2481" s="173">
        <v>2.0430765916058254E-2</v>
      </c>
      <c r="AB2481" s="182">
        <v>2.0449259007966347E-2</v>
      </c>
    </row>
    <row r="2482" spans="24:28" x14ac:dyDescent="0.2">
      <c r="X2482" s="186" t="str">
        <f t="shared" si="72"/>
        <v>1w</v>
      </c>
      <c r="Y2482" s="174">
        <f>_xll.qlCalendarAdvance(Calendar,Y2481,X2482,"f",FALSE)</f>
        <v>56353</v>
      </c>
      <c r="Z2482" s="198">
        <f>_xll.qlCalendarAdvance(Calendar,Y2482,NDays&amp;"D")</f>
        <v>56355</v>
      </c>
      <c r="AA2482" s="173">
        <v>2.0420894664946437E-2</v>
      </c>
      <c r="AB2482" s="182">
        <v>2.0440264401546671E-2</v>
      </c>
    </row>
    <row r="2483" spans="24:28" x14ac:dyDescent="0.2">
      <c r="X2483" s="186" t="str">
        <f t="shared" si="72"/>
        <v>1w</v>
      </c>
      <c r="Y2483" s="174">
        <f>_xll.qlCalendarAdvance(Calendar,Y2482,X2483,"f",FALSE)</f>
        <v>56360</v>
      </c>
      <c r="Z2483" s="198">
        <f>_xll.qlCalendarAdvance(Calendar,Y2483,NDays&amp;"D")</f>
        <v>56362</v>
      </c>
      <c r="AA2483" s="173">
        <v>2.0410963173414755E-2</v>
      </c>
      <c r="AB2483" s="182">
        <v>2.0431210121500953E-2</v>
      </c>
    </row>
    <row r="2484" spans="24:28" x14ac:dyDescent="0.2">
      <c r="X2484" s="186" t="str">
        <f t="shared" si="72"/>
        <v>1w</v>
      </c>
      <c r="Y2484" s="174">
        <f>_xll.qlCalendarAdvance(Calendar,Y2483,X2484,"f",FALSE)</f>
        <v>56367</v>
      </c>
      <c r="Z2484" s="198">
        <f>_xll.qlCalendarAdvance(Calendar,Y2484,NDays&amp;"D")</f>
        <v>56369</v>
      </c>
      <c r="AA2484" s="173">
        <v>2.0400971442366966E-2</v>
      </c>
      <c r="AB2484" s="182">
        <v>2.0421872143689956E-2</v>
      </c>
    </row>
    <row r="2485" spans="24:28" x14ac:dyDescent="0.2">
      <c r="X2485" s="186" t="str">
        <f t="shared" si="72"/>
        <v>1w</v>
      </c>
      <c r="Y2485" s="174">
        <f>_xll.qlCalendarAdvance(Calendar,Y2484,X2485,"f",FALSE)</f>
        <v>56374</v>
      </c>
      <c r="Z2485" s="198">
        <f>_xll.qlCalendarAdvance(Calendar,Y2485,NDays&amp;"D")</f>
        <v>56376</v>
      </c>
      <c r="AA2485" s="173">
        <v>2.0390427526717561E-2</v>
      </c>
      <c r="AB2485" s="182">
        <v>2.0412922541410694E-2</v>
      </c>
    </row>
    <row r="2486" spans="24:28" x14ac:dyDescent="0.2">
      <c r="X2486" s="186" t="str">
        <f t="shared" si="72"/>
        <v>1w</v>
      </c>
      <c r="Y2486" s="174">
        <f>_xll.qlCalendarAdvance(Calendar,Y2485,X2486,"f",FALSE)</f>
        <v>56381</v>
      </c>
      <c r="Z2486" s="198">
        <f>_xll.qlCalendarAdvance(Calendar,Y2486,NDays&amp;"D")</f>
        <v>56383</v>
      </c>
      <c r="AA2486" s="173">
        <v>2.0380304479615911E-2</v>
      </c>
      <c r="AB2486" s="182">
        <v>2.0403689240966472E-2</v>
      </c>
    </row>
    <row r="2487" spans="24:28" x14ac:dyDescent="0.2">
      <c r="X2487" s="186" t="str">
        <f t="shared" si="72"/>
        <v>1w</v>
      </c>
      <c r="Y2487" s="174">
        <f>_xll.qlCalendarAdvance(Calendar,Y2486,X2487,"f",FALSE)</f>
        <v>56388</v>
      </c>
      <c r="Z2487" s="198">
        <f>_xll.qlCalendarAdvance(Calendar,Y2487,NDays&amp;"D")</f>
        <v>56390</v>
      </c>
      <c r="AA2487" s="173">
        <v>2.0370128477666876E-2</v>
      </c>
      <c r="AB2487" s="182">
        <v>2.0394396267136017E-2</v>
      </c>
    </row>
    <row r="2488" spans="24:28" x14ac:dyDescent="0.2">
      <c r="X2488" s="186" t="str">
        <f t="shared" si="72"/>
        <v>1w</v>
      </c>
      <c r="Y2488" s="174">
        <f>_xll.qlCalendarAdvance(Calendar,Y2487,X2488,"f",FALSE)</f>
        <v>56395</v>
      </c>
      <c r="Z2488" s="198">
        <f>_xll.qlCalendarAdvance(Calendar,Y2488,NDays&amp;"D")</f>
        <v>56397</v>
      </c>
      <c r="AA2488" s="173">
        <v>2.035990344764935E-2</v>
      </c>
      <c r="AB2488" s="182">
        <v>2.038504361991933E-2</v>
      </c>
    </row>
    <row r="2489" spans="24:28" x14ac:dyDescent="0.2">
      <c r="X2489" s="186" t="str">
        <f t="shared" si="72"/>
        <v>1w</v>
      </c>
      <c r="Y2489" s="174">
        <f>_xll.qlCalendarAdvance(Calendar,Y2488,X2489,"f",FALSE)</f>
        <v>56402</v>
      </c>
      <c r="Z2489" s="198">
        <f>_xll.qlCalendarAdvance(Calendar,Y2489,NDays&amp;"D")</f>
        <v>56404</v>
      </c>
      <c r="AA2489" s="173">
        <v>2.035016697898057E-2</v>
      </c>
      <c r="AB2489" s="182">
        <v>2.0375631299156538E-2</v>
      </c>
    </row>
    <row r="2490" spans="24:28" x14ac:dyDescent="0.2">
      <c r="X2490" s="186" t="str">
        <f t="shared" si="72"/>
        <v>1w</v>
      </c>
      <c r="Y2490" s="174">
        <f>_xll.qlCalendarAdvance(Calendar,Y2489,X2490,"f",FALSE)</f>
        <v>56409</v>
      </c>
      <c r="Z2490" s="198">
        <f>_xll.qlCalendarAdvance(Calendar,Y2490,NDays&amp;"D")</f>
        <v>56411</v>
      </c>
      <c r="AA2490" s="173">
        <v>2.0339862451388267E-2</v>
      </c>
      <c r="AB2490" s="182">
        <v>2.0366159304927578E-2</v>
      </c>
    </row>
    <row r="2491" spans="24:28" x14ac:dyDescent="0.2">
      <c r="X2491" s="186" t="str">
        <f t="shared" si="72"/>
        <v>1w</v>
      </c>
      <c r="Y2491" s="174">
        <f>_xll.qlCalendarAdvance(Calendar,Y2490,X2491,"f",FALSE)</f>
        <v>56416</v>
      </c>
      <c r="Z2491" s="198">
        <f>_xll.qlCalendarAdvance(Calendar,Y2491,NDays&amp;"D")</f>
        <v>56418</v>
      </c>
      <c r="AA2491" s="173">
        <v>2.0329519347973214E-2</v>
      </c>
      <c r="AB2491" s="182">
        <v>2.035662763723245E-2</v>
      </c>
    </row>
    <row r="2492" spans="24:28" x14ac:dyDescent="0.2">
      <c r="X2492" s="186" t="str">
        <f t="shared" si="72"/>
        <v>1w</v>
      </c>
      <c r="Y2492" s="174">
        <f>_xll.qlCalendarAdvance(Calendar,Y2491,X2492,"f",FALSE)</f>
        <v>56423</v>
      </c>
      <c r="Z2492" s="198">
        <f>_xll.qlCalendarAdvance(Calendar,Y2492,NDays&amp;"D")</f>
        <v>56425</v>
      </c>
      <c r="AA2492" s="173">
        <v>2.0318591579722798E-2</v>
      </c>
      <c r="AB2492" s="182">
        <v>2.0347036296151089E-2</v>
      </c>
    </row>
    <row r="2493" spans="24:28" x14ac:dyDescent="0.2">
      <c r="X2493" s="186" t="str">
        <f t="shared" si="72"/>
        <v>1w</v>
      </c>
      <c r="Y2493" s="174">
        <f>_xll.qlCalendarAdvance(Calendar,Y2492,X2493,"f",FALSE)</f>
        <v>56430</v>
      </c>
      <c r="Z2493" s="198">
        <f>_xll.qlCalendarAdvance(Calendar,Y2493,NDays&amp;"D")</f>
        <v>56432</v>
      </c>
      <c r="AA2493" s="173">
        <v>2.0308180308283422E-2</v>
      </c>
      <c r="AB2493" s="182">
        <v>2.0337385281603559E-2</v>
      </c>
    </row>
    <row r="2494" spans="24:28" x14ac:dyDescent="0.2">
      <c r="X2494" s="186" t="str">
        <f t="shared" si="72"/>
        <v>1w</v>
      </c>
      <c r="Y2494" s="174">
        <f>_xll.qlCalendarAdvance(Calendar,Y2493,X2494,"f",FALSE)</f>
        <v>56437</v>
      </c>
      <c r="Z2494" s="198">
        <f>_xll.qlCalendarAdvance(Calendar,Y2494,NDays&amp;"D")</f>
        <v>56439</v>
      </c>
      <c r="AA2494" s="173">
        <v>2.0297743567778047E-2</v>
      </c>
      <c r="AB2494" s="182">
        <v>2.0327674593589862E-2</v>
      </c>
    </row>
    <row r="2495" spans="24:28" x14ac:dyDescent="0.2">
      <c r="X2495" s="186" t="str">
        <f t="shared" si="72"/>
        <v>1w</v>
      </c>
      <c r="Y2495" s="174">
        <f>_xll.qlCalendarAdvance(Calendar,Y2494,X2495,"f",FALSE)</f>
        <v>56444</v>
      </c>
      <c r="Z2495" s="198">
        <f>_xll.qlCalendarAdvance(Calendar,Y2495,NDays&amp;"D")</f>
        <v>56446</v>
      </c>
      <c r="AA2495" s="173">
        <v>2.0287285284422585E-2</v>
      </c>
      <c r="AB2495" s="182">
        <v>2.0317904232189932E-2</v>
      </c>
    </row>
    <row r="2496" spans="24:28" x14ac:dyDescent="0.2">
      <c r="X2496" s="186" t="str">
        <f t="shared" si="72"/>
        <v>1w</v>
      </c>
      <c r="Y2496" s="174">
        <f>_xll.qlCalendarAdvance(Calendar,Y2495,X2496,"f",FALSE)</f>
        <v>56451</v>
      </c>
      <c r="Z2496" s="198">
        <f>_xll.qlCalendarAdvance(Calendar,Y2496,NDays&amp;"D")</f>
        <v>56453</v>
      </c>
      <c r="AA2496" s="173">
        <v>2.0276809384347862E-2</v>
      </c>
      <c r="AB2496" s="182">
        <v>2.0308074197403769E-2</v>
      </c>
    </row>
    <row r="2497" spans="24:28" x14ac:dyDescent="0.2">
      <c r="X2497" s="186" t="str">
        <f t="shared" si="72"/>
        <v>1w</v>
      </c>
      <c r="Y2497" s="174">
        <f>_xll.qlCalendarAdvance(Calendar,Y2496,X2497,"f",FALSE)</f>
        <v>56458</v>
      </c>
      <c r="Z2497" s="198">
        <f>_xll.qlCalendarAdvance(Calendar,Y2497,NDays&amp;"D")</f>
        <v>56460</v>
      </c>
      <c r="AA2497" s="173">
        <v>2.0266874078603454E-2</v>
      </c>
      <c r="AB2497" s="182">
        <v>2.0298184489071502E-2</v>
      </c>
    </row>
    <row r="2498" spans="24:28" x14ac:dyDescent="0.2">
      <c r="X2498" s="186" t="str">
        <f t="shared" si="72"/>
        <v>1w</v>
      </c>
      <c r="Y2498" s="174">
        <f>_xll.qlCalendarAdvance(Calendar,Y2497,X2498,"f",FALSE)</f>
        <v>56465</v>
      </c>
      <c r="Z2498" s="198">
        <f>_xll.qlCalendarAdvance(Calendar,Y2498,NDays&amp;"D")</f>
        <v>56467</v>
      </c>
      <c r="AA2498" s="173">
        <v>2.0255820438148733E-2</v>
      </c>
      <c r="AB2498" s="182">
        <v>2.0288235107273067E-2</v>
      </c>
    </row>
    <row r="2499" spans="24:28" x14ac:dyDescent="0.2">
      <c r="X2499" s="186" t="str">
        <f t="shared" si="72"/>
        <v>1w</v>
      </c>
      <c r="Y2499" s="174">
        <f>_xll.qlCalendarAdvance(Calendar,Y2498,X2499,"f",FALSE)</f>
        <v>56472</v>
      </c>
      <c r="Z2499" s="198">
        <f>_xll.qlCalendarAdvance(Calendar,Y2499,NDays&amp;"D")</f>
        <v>56474</v>
      </c>
      <c r="AA2499" s="173">
        <v>2.0245315243869525E-2</v>
      </c>
      <c r="AB2499" s="182">
        <v>2.0278226052248272E-2</v>
      </c>
    </row>
    <row r="2500" spans="24:28" x14ac:dyDescent="0.2">
      <c r="X2500" s="186" t="str">
        <f t="shared" si="72"/>
        <v>1w</v>
      </c>
      <c r="Y2500" s="174">
        <f>_xll.qlCalendarAdvance(Calendar,Y2499,X2500,"f",FALSE)</f>
        <v>56479</v>
      </c>
      <c r="Z2500" s="198">
        <f>_xll.qlCalendarAdvance(Calendar,Y2500,NDays&amp;"D")</f>
        <v>56481</v>
      </c>
      <c r="AA2500" s="173">
        <v>2.0234808136558438E-2</v>
      </c>
      <c r="AB2500" s="182">
        <v>2.0268157323757308E-2</v>
      </c>
    </row>
    <row r="2501" spans="24:28" x14ac:dyDescent="0.2">
      <c r="X2501" s="186" t="str">
        <f t="shared" si="72"/>
        <v>1w</v>
      </c>
      <c r="Y2501" s="174">
        <f>_xll.qlCalendarAdvance(Calendar,Y2500,X2501,"f",FALSE)</f>
        <v>56486</v>
      </c>
      <c r="Z2501" s="198">
        <f>_xll.qlCalendarAdvance(Calendar,Y2501,NDays&amp;"D")</f>
        <v>56488</v>
      </c>
      <c r="AA2501" s="173">
        <v>2.022484443871438E-2</v>
      </c>
      <c r="AB2501" s="182">
        <v>2.0258028921720239E-2</v>
      </c>
    </row>
    <row r="2502" spans="24:28" x14ac:dyDescent="0.2">
      <c r="X2502" s="186" t="str">
        <f t="shared" si="72"/>
        <v>1w</v>
      </c>
      <c r="Y2502" s="174">
        <f>_xll.qlCalendarAdvance(Calendar,Y2501,X2502,"f",FALSE)</f>
        <v>56493</v>
      </c>
      <c r="Z2502" s="198">
        <f>_xll.qlCalendarAdvance(Calendar,Y2502,NDays&amp;"D")</f>
        <v>56495</v>
      </c>
      <c r="AA2502" s="173">
        <v>2.0214699023081869E-2</v>
      </c>
      <c r="AB2502" s="182">
        <v>2.0247840846376874E-2</v>
      </c>
    </row>
    <row r="2503" spans="24:28" x14ac:dyDescent="0.2">
      <c r="X2503" s="186" t="str">
        <f t="shared" si="72"/>
        <v>1w</v>
      </c>
      <c r="Y2503" s="174">
        <f>_xll.qlCalendarAdvance(Calendar,Y2502,X2503,"f",FALSE)</f>
        <v>56500</v>
      </c>
      <c r="Z2503" s="198">
        <f>_xll.qlCalendarAdvance(Calendar,Y2503,NDays&amp;"D")</f>
        <v>56502</v>
      </c>
      <c r="AA2503" s="173">
        <v>2.0204200585795067E-2</v>
      </c>
      <c r="AB2503" s="182">
        <v>2.0237593097727213E-2</v>
      </c>
    </row>
    <row r="2504" spans="24:28" x14ac:dyDescent="0.2">
      <c r="X2504" s="186" t="str">
        <f t="shared" si="72"/>
        <v>1w</v>
      </c>
      <c r="Y2504" s="174">
        <f>_xll.qlCalendarAdvance(Calendar,Y2503,X2504,"f",FALSE)</f>
        <v>56507</v>
      </c>
      <c r="Z2504" s="198">
        <f>_xll.qlCalendarAdvance(Calendar,Y2504,NDays&amp;"D")</f>
        <v>56509</v>
      </c>
      <c r="AA2504" s="173">
        <v>2.0193715096285477E-2</v>
      </c>
      <c r="AB2504" s="182">
        <v>2.0227285675611384E-2</v>
      </c>
    </row>
    <row r="2505" spans="24:28" x14ac:dyDescent="0.2">
      <c r="X2505" s="186" t="str">
        <f t="shared" si="72"/>
        <v>1w</v>
      </c>
      <c r="Y2505" s="174">
        <f>_xll.qlCalendarAdvance(Calendar,Y2504,X2505,"f",FALSE)</f>
        <v>56514</v>
      </c>
      <c r="Z2505" s="198">
        <f>_xll.qlCalendarAdvance(Calendar,Y2505,NDays&amp;"D")</f>
        <v>56516</v>
      </c>
      <c r="AA2505" s="173">
        <v>2.0183246587270692E-2</v>
      </c>
      <c r="AB2505" s="182">
        <v>2.0216918580029386E-2</v>
      </c>
    </row>
    <row r="2506" spans="24:28" x14ac:dyDescent="0.2">
      <c r="X2506" s="186" t="str">
        <f t="shared" si="72"/>
        <v>1w</v>
      </c>
      <c r="Y2506" s="174">
        <f>_xll.qlCalendarAdvance(Calendar,Y2505,X2506,"f",FALSE)</f>
        <v>56521</v>
      </c>
      <c r="Z2506" s="198">
        <f>_xll.qlCalendarAdvance(Calendar,Y2506,NDays&amp;"D")</f>
        <v>56523</v>
      </c>
      <c r="AA2506" s="173">
        <v>2.0172627834541511E-2</v>
      </c>
      <c r="AB2506" s="182">
        <v>2.0206491811221028E-2</v>
      </c>
    </row>
    <row r="2507" spans="24:28" x14ac:dyDescent="0.2">
      <c r="X2507" s="186" t="str">
        <f t="shared" si="72"/>
        <v>1w</v>
      </c>
      <c r="Y2507" s="174">
        <f>_xll.qlCalendarAdvance(Calendar,Y2506,X2507,"f",FALSE)</f>
        <v>56528</v>
      </c>
      <c r="Z2507" s="198">
        <f>_xll.qlCalendarAdvance(Calendar,Y2507,NDays&amp;"D")</f>
        <v>56530</v>
      </c>
      <c r="AA2507" s="173">
        <v>2.0162207752793287E-2</v>
      </c>
      <c r="AB2507" s="182">
        <v>2.0196005368946501E-2</v>
      </c>
    </row>
    <row r="2508" spans="24:28" x14ac:dyDescent="0.2">
      <c r="X2508" s="186" t="str">
        <f t="shared" si="72"/>
        <v>1w</v>
      </c>
      <c r="Y2508" s="174">
        <f>_xll.qlCalendarAdvance(Calendar,Y2507,X2508,"f",FALSE)</f>
        <v>56535</v>
      </c>
      <c r="Z2508" s="198">
        <f>_xll.qlCalendarAdvance(Calendar,Y2508,NDays&amp;"D")</f>
        <v>56537</v>
      </c>
      <c r="AA2508" s="173">
        <v>2.0151816833379153E-2</v>
      </c>
      <c r="AB2508" s="182">
        <v>2.0185459253205806E-2</v>
      </c>
    </row>
    <row r="2509" spans="24:28" x14ac:dyDescent="0.2">
      <c r="X2509" s="186" t="str">
        <f t="shared" si="72"/>
        <v>1w</v>
      </c>
      <c r="Y2509" s="174">
        <f>_xll.qlCalendarAdvance(Calendar,Y2508,X2509,"f",FALSE)</f>
        <v>56542</v>
      </c>
      <c r="Z2509" s="198">
        <f>_xll.qlCalendarAdvance(Calendar,Y2509,NDays&amp;"D")</f>
        <v>56544</v>
      </c>
      <c r="AA2509" s="173">
        <v>2.0141459086746021E-2</v>
      </c>
      <c r="AB2509" s="182">
        <v>2.0174853464318687E-2</v>
      </c>
    </row>
    <row r="2510" spans="24:28" x14ac:dyDescent="0.2">
      <c r="X2510" s="186" t="str">
        <f t="shared" si="72"/>
        <v>1w</v>
      </c>
      <c r="Y2510" s="174">
        <f>_xll.qlCalendarAdvance(Calendar,Y2509,X2510,"f",FALSE)</f>
        <v>56549</v>
      </c>
      <c r="Z2510" s="198">
        <f>_xll.qlCalendarAdvance(Calendar,Y2510,NDays&amp;"D")</f>
        <v>56551</v>
      </c>
      <c r="AA2510" s="173">
        <v>2.0131138523256927E-2</v>
      </c>
      <c r="AB2510" s="182">
        <v>2.01641880019654E-2</v>
      </c>
    </row>
    <row r="2511" spans="24:28" x14ac:dyDescent="0.2">
      <c r="X2511" s="186" t="str">
        <f t="shared" si="72"/>
        <v>1w</v>
      </c>
      <c r="Y2511" s="174">
        <f>_xll.qlCalendarAdvance(Calendar,Y2510,X2511,"f",FALSE)</f>
        <v>56556</v>
      </c>
      <c r="Z2511" s="198">
        <f>_xll.qlCalendarAdvance(Calendar,Y2511,NDays&amp;"D")</f>
        <v>56558</v>
      </c>
      <c r="AA2511" s="173">
        <v>2.0121017929647607E-2</v>
      </c>
      <c r="AB2511" s="182">
        <v>2.0153469538088942E-2</v>
      </c>
    </row>
    <row r="2512" spans="24:28" x14ac:dyDescent="0.2">
      <c r="X2512" s="186" t="str">
        <f t="shared" si="72"/>
        <v>1w</v>
      </c>
      <c r="Y2512" s="174">
        <f>_xll.qlCalendarAdvance(Calendar,Y2511,X2512,"f",FALSE)</f>
        <v>56563</v>
      </c>
      <c r="Z2512" s="198">
        <f>_xll.qlCalendarAdvance(Calendar,Y2512,NDays&amp;"D")</f>
        <v>56565</v>
      </c>
      <c r="AA2512" s="173">
        <v>2.0110779780398557E-2</v>
      </c>
      <c r="AB2512" s="182">
        <v>2.0142773218738697E-2</v>
      </c>
    </row>
    <row r="2513" spans="24:28" x14ac:dyDescent="0.2">
      <c r="X2513" s="186" t="str">
        <f t="shared" si="72"/>
        <v>1w</v>
      </c>
      <c r="Y2513" s="174">
        <f>_xll.qlCalendarAdvance(Calendar,Y2512,X2513,"f",FALSE)</f>
        <v>56570</v>
      </c>
      <c r="Z2513" s="198">
        <f>_xll.qlCalendarAdvance(Calendar,Y2513,NDays&amp;"D")</f>
        <v>56572</v>
      </c>
      <c r="AA2513" s="173">
        <v>2.010058568546462E-2</v>
      </c>
      <c r="AB2513" s="182">
        <v>2.0132120464060321E-2</v>
      </c>
    </row>
    <row r="2514" spans="24:28" x14ac:dyDescent="0.2">
      <c r="X2514" s="186" t="str">
        <f t="shared" si="72"/>
        <v>1w</v>
      </c>
      <c r="Y2514" s="174">
        <f>_xll.qlCalendarAdvance(Calendar,Y2513,X2514,"f",FALSE)</f>
        <v>56577</v>
      </c>
      <c r="Z2514" s="198">
        <f>_xll.qlCalendarAdvance(Calendar,Y2514,NDays&amp;"D")</f>
        <v>56579</v>
      </c>
      <c r="AA2514" s="173">
        <v>2.0090435644176275E-2</v>
      </c>
      <c r="AB2514" s="182">
        <v>2.0121511274053816E-2</v>
      </c>
    </row>
    <row r="2515" spans="24:28" x14ac:dyDescent="0.2">
      <c r="X2515" s="186" t="str">
        <f t="shared" si="72"/>
        <v>1w</v>
      </c>
      <c r="Y2515" s="174">
        <f>_xll.qlCalendarAdvance(Calendar,Y2514,X2515,"f",FALSE)</f>
        <v>56584</v>
      </c>
      <c r="Z2515" s="198">
        <f>_xll.qlCalendarAdvance(Calendar,Y2515,NDays&amp;"D")</f>
        <v>56586</v>
      </c>
      <c r="AA2515" s="173">
        <v>2.0080181190577757E-2</v>
      </c>
      <c r="AB2515" s="182">
        <v>2.0110945648799117E-2</v>
      </c>
    </row>
    <row r="2516" spans="24:28" x14ac:dyDescent="0.2">
      <c r="X2516" s="186" t="str">
        <f t="shared" si="72"/>
        <v>1w</v>
      </c>
      <c r="Y2516" s="174">
        <f>_xll.qlCalendarAdvance(Calendar,Y2515,X2516,"f",FALSE)</f>
        <v>56591</v>
      </c>
      <c r="Z2516" s="198">
        <f>_xll.qlCalendarAdvance(Calendar,Y2516,NDays&amp;"D")</f>
        <v>56593</v>
      </c>
      <c r="AA2516" s="173">
        <v>2.0070121842970995E-2</v>
      </c>
      <c r="AB2516" s="182">
        <v>2.0100423587896543E-2</v>
      </c>
    </row>
    <row r="2517" spans="24:28" x14ac:dyDescent="0.2">
      <c r="X2517" s="186" t="str">
        <f t="shared" ref="X2517:X2580" si="73">X2516</f>
        <v>1w</v>
      </c>
      <c r="Y2517" s="174">
        <f>_xll.qlCalendarAdvance(Calendar,Y2516,X2517,"f",FALSE)</f>
        <v>56598</v>
      </c>
      <c r="Z2517" s="198">
        <f>_xll.qlCalendarAdvance(Calendar,Y2517,NDays&amp;"D")</f>
        <v>56600</v>
      </c>
      <c r="AA2517" s="173">
        <v>2.006010654969145E-2</v>
      </c>
      <c r="AB2517" s="182">
        <v>2.0089945091905648E-2</v>
      </c>
    </row>
    <row r="2518" spans="24:28" x14ac:dyDescent="0.2">
      <c r="X2518" s="186" t="str">
        <f t="shared" si="73"/>
        <v>1w</v>
      </c>
      <c r="Y2518" s="174">
        <f>_xll.qlCalendarAdvance(Calendar,Y2517,X2518,"f",FALSE)</f>
        <v>56605</v>
      </c>
      <c r="Z2518" s="198">
        <f>_xll.qlCalendarAdvance(Calendar,Y2518,NDays&amp;"D")</f>
        <v>56607</v>
      </c>
      <c r="AA2518" s="173">
        <v>2.0050135310075479E-2</v>
      </c>
      <c r="AB2518" s="182">
        <v>2.0078959961220555E-2</v>
      </c>
    </row>
    <row r="2519" spans="24:28" x14ac:dyDescent="0.2">
      <c r="X2519" s="186" t="str">
        <f t="shared" si="73"/>
        <v>1w</v>
      </c>
      <c r="Y2519" s="174">
        <f>_xll.qlCalendarAdvance(Calendar,Y2518,X2519,"f",FALSE)</f>
        <v>56612</v>
      </c>
      <c r="Z2519" s="198">
        <f>_xll.qlCalendarAdvance(Calendar,Y2519,NDays&amp;"D")</f>
        <v>56614</v>
      </c>
      <c r="AA2519" s="173">
        <v>2.00403462191606E-2</v>
      </c>
      <c r="AB2519" s="182">
        <v>2.0068576192995291E-2</v>
      </c>
    </row>
    <row r="2520" spans="24:28" x14ac:dyDescent="0.2">
      <c r="X2520" s="186" t="str">
        <f t="shared" si="73"/>
        <v>1w</v>
      </c>
      <c r="Y2520" s="174">
        <f>_xll.qlCalendarAdvance(Calendar,Y2519,X2520,"f",FALSE)</f>
        <v>56619</v>
      </c>
      <c r="Z2520" s="198">
        <f>_xll.qlCalendarAdvance(Calendar,Y2520,NDays&amp;"D")</f>
        <v>56621</v>
      </c>
      <c r="AA2520" s="173">
        <v>2.0030460485833408E-2</v>
      </c>
      <c r="AB2520" s="182">
        <v>2.0058770991324693E-2</v>
      </c>
    </row>
    <row r="2521" spans="24:28" x14ac:dyDescent="0.2">
      <c r="X2521" s="186" t="str">
        <f t="shared" si="73"/>
        <v>1w</v>
      </c>
      <c r="Y2521" s="174">
        <f>_xll.qlCalendarAdvance(Calendar,Y2520,X2521,"f",FALSE)</f>
        <v>56626</v>
      </c>
      <c r="Z2521" s="198">
        <f>_xll.qlCalendarAdvance(Calendar,Y2521,NDays&amp;"D")</f>
        <v>56628</v>
      </c>
      <c r="AA2521" s="173">
        <v>2.0020618801542902E-2</v>
      </c>
      <c r="AB2521" s="182">
        <v>2.0048466753781469E-2</v>
      </c>
    </row>
    <row r="2522" spans="24:28" x14ac:dyDescent="0.2">
      <c r="X2522" s="186" t="str">
        <f t="shared" si="73"/>
        <v>1w</v>
      </c>
      <c r="Y2522" s="174">
        <f>_xll.qlCalendarAdvance(Calendar,Y2521,X2522,"f",FALSE)</f>
        <v>56633</v>
      </c>
      <c r="Z2522" s="198">
        <f>_xll.qlCalendarAdvance(Calendar,Y2522,NDays&amp;"D")</f>
        <v>56635</v>
      </c>
      <c r="AA2522" s="173">
        <v>2.0010821165640756E-2</v>
      </c>
      <c r="AB2522" s="182">
        <v>2.0038206080830179E-2</v>
      </c>
    </row>
    <row r="2523" spans="24:28" x14ac:dyDescent="0.2">
      <c r="X2523" s="186" t="str">
        <f t="shared" si="73"/>
        <v>1w</v>
      </c>
      <c r="Y2523" s="174">
        <f>_xll.qlCalendarAdvance(Calendar,Y2522,X2523,"f",FALSE)</f>
        <v>56640</v>
      </c>
      <c r="Z2523" s="198">
        <f>_xll.qlCalendarAdvance(Calendar,Y2523,NDays&amp;"D")</f>
        <v>56642</v>
      </c>
      <c r="AA2523" s="173">
        <v>2.0001067577482629E-2</v>
      </c>
      <c r="AB2523" s="182">
        <v>2.0027988972470823E-2</v>
      </c>
    </row>
    <row r="2524" spans="24:28" x14ac:dyDescent="0.2">
      <c r="X2524" s="186" t="str">
        <f t="shared" si="73"/>
        <v>1w</v>
      </c>
      <c r="Y2524" s="174">
        <f>_xll.qlCalendarAdvance(Calendar,Y2523,X2524,"f",FALSE)</f>
        <v>56647</v>
      </c>
      <c r="Z2524" s="198">
        <f>_xll.qlCalendarAdvance(Calendar,Y2524,NDays&amp;"D")</f>
        <v>56649</v>
      </c>
      <c r="AA2524" s="173">
        <v>1.9991358036429468E-2</v>
      </c>
      <c r="AB2524" s="182">
        <v>2.00178154287034E-2</v>
      </c>
    </row>
    <row r="2525" spans="24:28" x14ac:dyDescent="0.2">
      <c r="X2525" s="186" t="str">
        <f t="shared" si="73"/>
        <v>1w</v>
      </c>
      <c r="Y2525" s="174">
        <f>_xll.qlCalendarAdvance(Calendar,Y2524,X2525,"f",FALSE)</f>
        <v>56654</v>
      </c>
      <c r="Z2525" s="198">
        <f>_xll.qlCalendarAdvance(Calendar,Y2525,NDays&amp;"D")</f>
        <v>56656</v>
      </c>
      <c r="AA2525" s="173">
        <v>1.9981692541841348E-2</v>
      </c>
      <c r="AB2525" s="182">
        <v>2.0007685449607848E-2</v>
      </c>
    </row>
    <row r="2526" spans="24:28" x14ac:dyDescent="0.2">
      <c r="X2526" s="186" t="str">
        <f t="shared" si="73"/>
        <v>1w</v>
      </c>
      <c r="Y2526" s="174">
        <f>_xll.qlCalendarAdvance(Calendar,Y2525,X2526,"f",FALSE)</f>
        <v>56661</v>
      </c>
      <c r="Z2526" s="198">
        <f>_xll.qlCalendarAdvance(Calendar,Y2526,NDays&amp;"D")</f>
        <v>56663</v>
      </c>
      <c r="AA2526" s="173">
        <v>1.9972071093083636E-2</v>
      </c>
      <c r="AB2526" s="182">
        <v>1.999759903510423E-2</v>
      </c>
    </row>
    <row r="2527" spans="24:28" x14ac:dyDescent="0.2">
      <c r="X2527" s="186" t="str">
        <f t="shared" si="73"/>
        <v>1w</v>
      </c>
      <c r="Y2527" s="174">
        <f>_xll.qlCalendarAdvance(Calendar,Y2526,X2527,"f",FALSE)</f>
        <v>56668</v>
      </c>
      <c r="Z2527" s="198">
        <f>_xll.qlCalendarAdvance(Calendar,Y2527,NDays&amp;"D")</f>
        <v>56670</v>
      </c>
      <c r="AA2527" s="173">
        <v>1.9962493689523467E-2</v>
      </c>
      <c r="AB2527" s="182">
        <v>1.9987556185112609E-2</v>
      </c>
    </row>
    <row r="2528" spans="24:28" x14ac:dyDescent="0.2">
      <c r="X2528" s="186" t="str">
        <f t="shared" si="73"/>
        <v>1w</v>
      </c>
      <c r="Y2528" s="174">
        <f>_xll.qlCalendarAdvance(Calendar,Y2527,X2528,"f",FALSE)</f>
        <v>56675</v>
      </c>
      <c r="Z2528" s="198">
        <f>_xll.qlCalendarAdvance(Calendar,Y2528,NDays&amp;"D")</f>
        <v>56677</v>
      </c>
      <c r="AA2528" s="173">
        <v>1.9952389752044684E-2</v>
      </c>
      <c r="AB2528" s="182">
        <v>1.9977556899872795E-2</v>
      </c>
    </row>
    <row r="2529" spans="24:28" x14ac:dyDescent="0.2">
      <c r="X2529" s="186" t="str">
        <f t="shared" si="73"/>
        <v>1w</v>
      </c>
      <c r="Y2529" s="174">
        <f>_xll.qlCalendarAdvance(Calendar,Y2528,X2529,"f",FALSE)</f>
        <v>56682</v>
      </c>
      <c r="Z2529" s="198">
        <f>_xll.qlCalendarAdvance(Calendar,Y2529,NDays&amp;"D")</f>
        <v>56684</v>
      </c>
      <c r="AA2529" s="173">
        <v>1.9942913554908456E-2</v>
      </c>
      <c r="AB2529" s="182">
        <v>1.9967601179144978E-2</v>
      </c>
    </row>
    <row r="2530" spans="24:28" x14ac:dyDescent="0.2">
      <c r="X2530" s="186" t="str">
        <f t="shared" si="73"/>
        <v>1w</v>
      </c>
      <c r="Y2530" s="174">
        <f>_xll.qlCalendarAdvance(Calendar,Y2529,X2530,"f",FALSE)</f>
        <v>56689</v>
      </c>
      <c r="Z2530" s="198">
        <f>_xll.qlCalendarAdvance(Calendar,Y2530,NDays&amp;"D")</f>
        <v>56691</v>
      </c>
      <c r="AA2530" s="173">
        <v>1.9933481414236939E-2</v>
      </c>
      <c r="AB2530" s="182">
        <v>1.9957689022929159E-2</v>
      </c>
    </row>
    <row r="2531" spans="24:28" x14ac:dyDescent="0.2">
      <c r="X2531" s="186" t="str">
        <f t="shared" si="73"/>
        <v>1w</v>
      </c>
      <c r="Y2531" s="174">
        <f>_xll.qlCalendarAdvance(Calendar,Y2530,X2531,"f",FALSE)</f>
        <v>56696</v>
      </c>
      <c r="Z2531" s="198">
        <f>_xll.qlCalendarAdvance(Calendar,Y2531,NDays&amp;"D")</f>
        <v>56698</v>
      </c>
      <c r="AA2531" s="173">
        <v>1.9924093329393655E-2</v>
      </c>
      <c r="AB2531" s="182">
        <v>1.994782043138521E-2</v>
      </c>
    </row>
    <row r="2532" spans="24:28" x14ac:dyDescent="0.2">
      <c r="X2532" s="186" t="str">
        <f t="shared" si="73"/>
        <v>1w</v>
      </c>
      <c r="Y2532" s="174">
        <f>_xll.qlCalendarAdvance(Calendar,Y2531,X2532,"f",FALSE)</f>
        <v>56703</v>
      </c>
      <c r="Z2532" s="198">
        <f>_xll.qlCalendarAdvance(Calendar,Y2532,NDays&amp;"D")</f>
        <v>56705</v>
      </c>
      <c r="AA2532" s="173">
        <v>1.9915059372921557E-2</v>
      </c>
      <c r="AB2532" s="182">
        <v>1.9937995404513131E-2</v>
      </c>
    </row>
    <row r="2533" spans="24:28" x14ac:dyDescent="0.2">
      <c r="X2533" s="186" t="str">
        <f t="shared" si="73"/>
        <v>1w</v>
      </c>
      <c r="Y2533" s="174">
        <f>_xll.qlCalendarAdvance(Calendar,Y2532,X2533,"f",FALSE)</f>
        <v>56710</v>
      </c>
      <c r="Z2533" s="198">
        <f>_xll.qlCalendarAdvance(Calendar,Y2533,NDays&amp;"D")</f>
        <v>56712</v>
      </c>
      <c r="AA2533" s="173">
        <v>1.990575149454793E-2</v>
      </c>
      <c r="AB2533" s="182">
        <v>1.992821394215305E-2</v>
      </c>
    </row>
    <row r="2534" spans="24:28" x14ac:dyDescent="0.2">
      <c r="X2534" s="186" t="str">
        <f t="shared" si="73"/>
        <v>1w</v>
      </c>
      <c r="Y2534" s="174">
        <f>_xll.qlCalendarAdvance(Calendar,Y2533,X2534,"f",FALSE)</f>
        <v>56717</v>
      </c>
      <c r="Z2534" s="198">
        <f>_xll.qlCalendarAdvance(Calendar,Y2534,NDays&amp;"D")</f>
        <v>56719</v>
      </c>
      <c r="AA2534" s="173">
        <v>1.9896487662260421E-2</v>
      </c>
      <c r="AB2534" s="182">
        <v>1.9917906329373736E-2</v>
      </c>
    </row>
    <row r="2535" spans="24:28" x14ac:dyDescent="0.2">
      <c r="X2535" s="186" t="str">
        <f t="shared" si="73"/>
        <v>1w</v>
      </c>
      <c r="Y2535" s="174">
        <f>_xll.qlCalendarAdvance(Calendar,Y2534,X2535,"f",FALSE)</f>
        <v>56724</v>
      </c>
      <c r="Z2535" s="198">
        <f>_xll.qlCalendarAdvance(Calendar,Y2535,NDays&amp;"D")</f>
        <v>56726</v>
      </c>
      <c r="AA2535" s="173">
        <v>1.9887267875443138E-2</v>
      </c>
      <c r="AB2535" s="182">
        <v>1.9908781711128753E-2</v>
      </c>
    </row>
    <row r="2536" spans="24:28" x14ac:dyDescent="0.2">
      <c r="X2536" s="186" t="str">
        <f t="shared" si="73"/>
        <v>1w</v>
      </c>
      <c r="Y2536" s="174">
        <f>_xll.qlCalendarAdvance(Calendar,Y2535,X2536,"f",FALSE)</f>
        <v>56731</v>
      </c>
      <c r="Z2536" s="198">
        <f>_xll.qlCalendarAdvance(Calendar,Y2536,NDays&amp;"D")</f>
        <v>56733</v>
      </c>
      <c r="AA2536" s="173">
        <v>1.9878092133483672E-2</v>
      </c>
      <c r="AB2536" s="182">
        <v>1.9899130942384602E-2</v>
      </c>
    </row>
    <row r="2537" spans="24:28" x14ac:dyDescent="0.2">
      <c r="X2537" s="186" t="str">
        <f t="shared" si="73"/>
        <v>1w</v>
      </c>
      <c r="Y2537" s="174">
        <f>_xll.qlCalendarAdvance(Calendar,Y2536,X2537,"f",FALSE)</f>
        <v>56738</v>
      </c>
      <c r="Z2537" s="198">
        <f>_xll.qlCalendarAdvance(Calendar,Y2537,NDays&amp;"D")</f>
        <v>56740</v>
      </c>
      <c r="AA2537" s="173">
        <v>1.9868689957411007E-2</v>
      </c>
      <c r="AB2537" s="182">
        <v>1.988952373831232E-2</v>
      </c>
    </row>
    <row r="2538" spans="24:28" x14ac:dyDescent="0.2">
      <c r="X2538" s="186" t="str">
        <f t="shared" si="73"/>
        <v>1w</v>
      </c>
      <c r="Y2538" s="174">
        <f>_xll.qlCalendarAdvance(Calendar,Y2537,X2538,"f",FALSE)</f>
        <v>56745</v>
      </c>
      <c r="Z2538" s="198">
        <f>_xll.qlCalendarAdvance(Calendar,Y2538,NDays&amp;"D")</f>
        <v>56747</v>
      </c>
      <c r="AA2538" s="173">
        <v>1.9859610245772971E-2</v>
      </c>
      <c r="AB2538" s="182">
        <v>1.9879960098752036E-2</v>
      </c>
    </row>
    <row r="2539" spans="24:28" x14ac:dyDescent="0.2">
      <c r="X2539" s="186" t="str">
        <f t="shared" si="73"/>
        <v>1w</v>
      </c>
      <c r="Y2539" s="174">
        <f>_xll.qlCalendarAdvance(Calendar,Y2538,X2539,"f",FALSE)</f>
        <v>56752</v>
      </c>
      <c r="Z2539" s="198">
        <f>_xll.qlCalendarAdvance(Calendar,Y2539,NDays&amp;"D")</f>
        <v>56754</v>
      </c>
      <c r="AA2539" s="173">
        <v>1.9850574584973184E-2</v>
      </c>
      <c r="AB2539" s="182">
        <v>1.9870440023783686E-2</v>
      </c>
    </row>
    <row r="2540" spans="24:28" x14ac:dyDescent="0.2">
      <c r="X2540" s="186" t="str">
        <f t="shared" si="73"/>
        <v>1w</v>
      </c>
      <c r="Y2540" s="174">
        <f>_xll.qlCalendarAdvance(Calendar,Y2539,X2540,"f",FALSE)</f>
        <v>56759</v>
      </c>
      <c r="Z2540" s="198">
        <f>_xll.qlCalendarAdvance(Calendar,Y2540,NDays&amp;"D")</f>
        <v>56761</v>
      </c>
      <c r="AA2540" s="173">
        <v>1.9841582974401379E-2</v>
      </c>
      <c r="AB2540" s="182">
        <v>1.986096351340727E-2</v>
      </c>
    </row>
    <row r="2541" spans="24:28" x14ac:dyDescent="0.2">
      <c r="X2541" s="186" t="str">
        <f t="shared" si="73"/>
        <v>1w</v>
      </c>
      <c r="Y2541" s="174">
        <f>_xll.qlCalendarAdvance(Calendar,Y2540,X2541,"f",FALSE)</f>
        <v>56766</v>
      </c>
      <c r="Z2541" s="198">
        <f>_xll.qlCalendarAdvance(Calendar,Y2541,NDays&amp;"D")</f>
        <v>56768</v>
      </c>
      <c r="AA2541" s="173">
        <v>1.9832874075311539E-2</v>
      </c>
      <c r="AB2541" s="182">
        <v>1.9851530567462916E-2</v>
      </c>
    </row>
    <row r="2542" spans="24:28" x14ac:dyDescent="0.2">
      <c r="X2542" s="186" t="str">
        <f t="shared" si="73"/>
        <v>1w</v>
      </c>
      <c r="Y2542" s="174">
        <f>_xll.qlCalendarAdvance(Calendar,Y2541,X2542,"f",FALSE)</f>
        <v>56773</v>
      </c>
      <c r="Z2542" s="198">
        <f>_xll.qlCalendarAdvance(Calendar,Y2542,NDays&amp;"D")</f>
        <v>56775</v>
      </c>
      <c r="AA2542" s="173">
        <v>1.9823962589796122E-2</v>
      </c>
      <c r="AB2542" s="182">
        <v>1.9842141186190432E-2</v>
      </c>
    </row>
    <row r="2543" spans="24:28" x14ac:dyDescent="0.2">
      <c r="X2543" s="186" t="str">
        <f t="shared" si="73"/>
        <v>1w</v>
      </c>
      <c r="Y2543" s="174">
        <f>_xll.qlCalendarAdvance(Calendar,Y2542,X2543,"f",FALSE)</f>
        <v>56780</v>
      </c>
      <c r="Z2543" s="198">
        <f>_xll.qlCalendarAdvance(Calendar,Y2543,NDays&amp;"D")</f>
        <v>56782</v>
      </c>
      <c r="AA2543" s="173">
        <v>1.9815095144930298E-2</v>
      </c>
      <c r="AB2543" s="182">
        <v>1.9832795369350009E-2</v>
      </c>
    </row>
    <row r="2544" spans="24:28" x14ac:dyDescent="0.2">
      <c r="X2544" s="186" t="str">
        <f t="shared" si="73"/>
        <v>1w</v>
      </c>
      <c r="Y2544" s="174">
        <f>_xll.qlCalendarAdvance(Calendar,Y2543,X2544,"f",FALSE)</f>
        <v>56787</v>
      </c>
      <c r="Z2544" s="198">
        <f>_xll.qlCalendarAdvance(Calendar,Y2544,NDays&amp;"D")</f>
        <v>56789</v>
      </c>
      <c r="AA2544" s="173">
        <v>1.9806271740126568E-2</v>
      </c>
      <c r="AB2544" s="182">
        <v>1.9823493117181457E-2</v>
      </c>
    </row>
    <row r="2545" spans="24:28" x14ac:dyDescent="0.2">
      <c r="X2545" s="186" t="str">
        <f t="shared" si="73"/>
        <v>1w</v>
      </c>
      <c r="Y2545" s="174">
        <f>_xll.qlCalendarAdvance(Calendar,Y2544,X2545,"f",FALSE)</f>
        <v>56794</v>
      </c>
      <c r="Z2545" s="198">
        <f>_xll.qlCalendarAdvance(Calendar,Y2545,NDays&amp;"D")</f>
        <v>56796</v>
      </c>
      <c r="AA2545" s="173">
        <v>1.9797285653807381E-2</v>
      </c>
      <c r="AB2545" s="182">
        <v>1.9814234429444966E-2</v>
      </c>
    </row>
    <row r="2546" spans="24:28" x14ac:dyDescent="0.2">
      <c r="X2546" s="186" t="str">
        <f t="shared" si="73"/>
        <v>1w</v>
      </c>
      <c r="Y2546" s="174">
        <f>_xll.qlCalendarAdvance(Calendar,Y2545,X2546,"f",FALSE)</f>
        <v>56801</v>
      </c>
      <c r="Z2546" s="198">
        <f>_xll.qlCalendarAdvance(Calendar,Y2546,NDays&amp;"D")</f>
        <v>56803</v>
      </c>
      <c r="AA2546" s="173">
        <v>1.9788558331953796E-2</v>
      </c>
      <c r="AB2546" s="182">
        <v>1.9805019306300409E-2</v>
      </c>
    </row>
    <row r="2547" spans="24:28" x14ac:dyDescent="0.2">
      <c r="X2547" s="186" t="str">
        <f t="shared" si="73"/>
        <v>1w</v>
      </c>
      <c r="Y2547" s="174">
        <f>_xll.qlCalendarAdvance(Calendar,Y2546,X2547,"f",FALSE)</f>
        <v>56808</v>
      </c>
      <c r="Z2547" s="198">
        <f>_xll.qlCalendarAdvance(Calendar,Y2547,NDays&amp;"D")</f>
        <v>56810</v>
      </c>
      <c r="AA2547" s="173">
        <v>1.9779875056139287E-2</v>
      </c>
      <c r="AB2547" s="182">
        <v>1.979584774766785E-2</v>
      </c>
    </row>
    <row r="2548" spans="24:28" x14ac:dyDescent="0.2">
      <c r="X2548" s="186" t="str">
        <f t="shared" si="73"/>
        <v>1w</v>
      </c>
      <c r="Y2548" s="174">
        <f>_xll.qlCalendarAdvance(Calendar,Y2547,X2548,"f",FALSE)</f>
        <v>56815</v>
      </c>
      <c r="Z2548" s="198">
        <f>_xll.qlCalendarAdvance(Calendar,Y2548,NDays&amp;"D")</f>
        <v>56817</v>
      </c>
      <c r="AA2548" s="173">
        <v>1.9771235825776366E-2</v>
      </c>
      <c r="AB2548" s="182">
        <v>1.9786719753467352E-2</v>
      </c>
    </row>
    <row r="2549" spans="24:28" x14ac:dyDescent="0.2">
      <c r="X2549" s="186" t="str">
        <f t="shared" si="73"/>
        <v>1w</v>
      </c>
      <c r="Y2549" s="174">
        <f>_xll.qlCalendarAdvance(Calendar,Y2548,X2549,"f",FALSE)</f>
        <v>56822</v>
      </c>
      <c r="Z2549" s="198">
        <f>_xll.qlCalendarAdvance(Calendar,Y2549,NDays&amp;"D")</f>
        <v>56824</v>
      </c>
      <c r="AA2549" s="173">
        <v>1.976264064028356E-2</v>
      </c>
      <c r="AB2549" s="182">
        <v>1.9777635323938725E-2</v>
      </c>
    </row>
    <row r="2550" spans="24:28" x14ac:dyDescent="0.2">
      <c r="X2550" s="186" t="str">
        <f t="shared" si="73"/>
        <v>1w</v>
      </c>
      <c r="Y2550" s="174">
        <f>_xll.qlCalendarAdvance(Calendar,Y2549,X2550,"f",FALSE)</f>
        <v>56829</v>
      </c>
      <c r="Z2550" s="198">
        <f>_xll.qlCalendarAdvance(Calendar,Y2550,NDays&amp;"D")</f>
        <v>56831</v>
      </c>
      <c r="AA2550" s="173">
        <v>1.9754089499079829E-2</v>
      </c>
      <c r="AB2550" s="182">
        <v>1.9768594459002031E-2</v>
      </c>
    </row>
    <row r="2551" spans="24:28" x14ac:dyDescent="0.2">
      <c r="X2551" s="186" t="str">
        <f t="shared" si="73"/>
        <v>1w</v>
      </c>
      <c r="Y2551" s="174">
        <f>_xll.qlCalendarAdvance(Calendar,Y2550,X2551,"f",FALSE)</f>
        <v>56836</v>
      </c>
      <c r="Z2551" s="198">
        <f>_xll.qlCalendarAdvance(Calendar,Y2551,NDays&amp;"D")</f>
        <v>56838</v>
      </c>
      <c r="AA2551" s="173">
        <v>1.9745582401586713E-2</v>
      </c>
      <c r="AB2551" s="182">
        <v>1.9759597158337527E-2</v>
      </c>
    </row>
    <row r="2552" spans="24:28" x14ac:dyDescent="0.2">
      <c r="X2552" s="186" t="str">
        <f t="shared" si="73"/>
        <v>1w</v>
      </c>
      <c r="Y2552" s="174">
        <f>_xll.qlCalendarAdvance(Calendar,Y2551,X2552,"f",FALSE)</f>
        <v>56843</v>
      </c>
      <c r="Z2552" s="198">
        <f>_xll.qlCalendarAdvance(Calendar,Y2552,NDays&amp;"D")</f>
        <v>56845</v>
      </c>
      <c r="AA2552" s="173">
        <v>1.9737119347230478E-2</v>
      </c>
      <c r="AB2552" s="182">
        <v>1.9750643422264957E-2</v>
      </c>
    </row>
    <row r="2553" spans="24:28" x14ac:dyDescent="0.2">
      <c r="X2553" s="186" t="str">
        <f t="shared" si="73"/>
        <v>1w</v>
      </c>
      <c r="Y2553" s="174">
        <f>_xll.qlCalendarAdvance(Calendar,Y2552,X2553,"f",FALSE)</f>
        <v>56850</v>
      </c>
      <c r="Z2553" s="198">
        <f>_xll.qlCalendarAdvance(Calendar,Y2553,NDays&amp;"D")</f>
        <v>56852</v>
      </c>
      <c r="AA2553" s="173">
        <v>1.9728700335439536E-2</v>
      </c>
      <c r="AB2553" s="182">
        <v>1.9741733250864257E-2</v>
      </c>
    </row>
    <row r="2554" spans="24:28" x14ac:dyDescent="0.2">
      <c r="X2554" s="186" t="str">
        <f t="shared" si="73"/>
        <v>1w</v>
      </c>
      <c r="Y2554" s="174">
        <f>_xll.qlCalendarAdvance(Calendar,Y2553,X2554,"f",FALSE)</f>
        <v>56857</v>
      </c>
      <c r="Z2554" s="198">
        <f>_xll.qlCalendarAdvance(Calendar,Y2554,NDays&amp;"D")</f>
        <v>56859</v>
      </c>
      <c r="AA2554" s="173">
        <v>1.9720505079654824E-2</v>
      </c>
      <c r="AB2554" s="182">
        <v>1.9732866643895619E-2</v>
      </c>
    </row>
    <row r="2555" spans="24:28" x14ac:dyDescent="0.2">
      <c r="X2555" s="186" t="str">
        <f t="shared" si="73"/>
        <v>1w</v>
      </c>
      <c r="Y2555" s="174">
        <f>_xll.qlCalendarAdvance(Calendar,Y2554,X2555,"f",FALSE)</f>
        <v>56864</v>
      </c>
      <c r="Z2555" s="198">
        <f>_xll.qlCalendarAdvance(Calendar,Y2555,NDays&amp;"D")</f>
        <v>56866</v>
      </c>
      <c r="AA2555" s="173">
        <v>1.9712163386885764E-2</v>
      </c>
      <c r="AB2555" s="182">
        <v>1.9724043601359043E-2</v>
      </c>
    </row>
    <row r="2556" spans="24:28" x14ac:dyDescent="0.2">
      <c r="X2556" s="186" t="str">
        <f t="shared" si="73"/>
        <v>1w</v>
      </c>
      <c r="Y2556" s="174">
        <f>_xll.qlCalendarAdvance(Calendar,Y2555,X2556,"f",FALSE)</f>
        <v>56871</v>
      </c>
      <c r="Z2556" s="198">
        <f>_xll.qlCalendarAdvance(Calendar,Y2556,NDays&amp;"D")</f>
        <v>56873</v>
      </c>
      <c r="AA2556" s="173">
        <v>1.9703865724785923E-2</v>
      </c>
      <c r="AB2556" s="182">
        <v>1.9715264123334464E-2</v>
      </c>
    </row>
    <row r="2557" spans="24:28" x14ac:dyDescent="0.2">
      <c r="X2557" s="186" t="str">
        <f t="shared" si="73"/>
        <v>1w</v>
      </c>
      <c r="Y2557" s="174">
        <f>_xll.qlCalendarAdvance(Calendar,Y2556,X2557,"f",FALSE)</f>
        <v>56878</v>
      </c>
      <c r="Z2557" s="198">
        <f>_xll.qlCalendarAdvance(Calendar,Y2557,NDays&amp;"D")</f>
        <v>56880</v>
      </c>
      <c r="AA2557" s="173">
        <v>1.9695612092805417E-2</v>
      </c>
      <c r="AB2557" s="182">
        <v>1.9706528209821883E-2</v>
      </c>
    </row>
    <row r="2558" spans="24:28" x14ac:dyDescent="0.2">
      <c r="X2558" s="186" t="str">
        <f t="shared" si="73"/>
        <v>1w</v>
      </c>
      <c r="Y2558" s="174">
        <f>_xll.qlCalendarAdvance(Calendar,Y2557,X2558,"f",FALSE)</f>
        <v>56885</v>
      </c>
      <c r="Z2558" s="198">
        <f>_xll.qlCalendarAdvance(Calendar,Y2558,NDays&amp;"D")</f>
        <v>56887</v>
      </c>
      <c r="AA2558" s="173">
        <v>1.9687402490400498E-2</v>
      </c>
      <c r="AB2558" s="182">
        <v>1.9697835860901236E-2</v>
      </c>
    </row>
    <row r="2559" spans="24:28" x14ac:dyDescent="0.2">
      <c r="X2559" s="186" t="str">
        <f t="shared" si="73"/>
        <v>1w</v>
      </c>
      <c r="Y2559" s="174">
        <f>_xll.qlCalendarAdvance(Calendar,Y2558,X2559,"f",FALSE)</f>
        <v>56892</v>
      </c>
      <c r="Z2559" s="198">
        <f>_xll.qlCalendarAdvance(Calendar,Y2559,NDays&amp;"D")</f>
        <v>56894</v>
      </c>
      <c r="AA2559" s="173">
        <v>1.9679205083723617E-2</v>
      </c>
      <c r="AB2559" s="182">
        <v>1.9689187076332715E-2</v>
      </c>
    </row>
    <row r="2560" spans="24:28" x14ac:dyDescent="0.2">
      <c r="X2560" s="186" t="str">
        <f t="shared" si="73"/>
        <v>1w</v>
      </c>
      <c r="Y2560" s="174">
        <f>_xll.qlCalendarAdvance(Calendar,Y2559,X2560,"f",FALSE)</f>
        <v>56899</v>
      </c>
      <c r="Z2560" s="198">
        <f>_xll.qlCalendarAdvance(Calendar,Y2560,NDays&amp;"D")</f>
        <v>56901</v>
      </c>
      <c r="AA2560" s="173">
        <v>1.9671086242155179E-2</v>
      </c>
      <c r="AB2560" s="182">
        <v>1.9680581856356127E-2</v>
      </c>
    </row>
    <row r="2561" spans="24:28" x14ac:dyDescent="0.2">
      <c r="X2561" s="186" t="str">
        <f t="shared" si="73"/>
        <v>1w</v>
      </c>
      <c r="Y2561" s="174">
        <f>_xll.qlCalendarAdvance(Calendar,Y2560,X2561,"f",FALSE)</f>
        <v>56906</v>
      </c>
      <c r="Z2561" s="198">
        <f>_xll.qlCalendarAdvance(Calendar,Y2561,NDays&amp;"D")</f>
        <v>56908</v>
      </c>
      <c r="AA2561" s="173">
        <v>1.9663011431079219E-2</v>
      </c>
      <c r="AB2561" s="182">
        <v>1.9672020200811602E-2</v>
      </c>
    </row>
    <row r="2562" spans="24:28" x14ac:dyDescent="0.2">
      <c r="X2562" s="186" t="str">
        <f t="shared" si="73"/>
        <v>1w</v>
      </c>
      <c r="Y2562" s="174">
        <f>_xll.qlCalendarAdvance(Calendar,Y2561,X2562,"f",FALSE)</f>
        <v>56913</v>
      </c>
      <c r="Z2562" s="198">
        <f>_xll.qlCalendarAdvance(Calendar,Y2562,NDays&amp;"D")</f>
        <v>56915</v>
      </c>
      <c r="AA2562" s="173">
        <v>1.9654980649958458E-2</v>
      </c>
      <c r="AB2562" s="182">
        <v>1.9663502109779074E-2</v>
      </c>
    </row>
    <row r="2563" spans="24:28" x14ac:dyDescent="0.2">
      <c r="X2563" s="186" t="str">
        <f t="shared" si="73"/>
        <v>1w</v>
      </c>
      <c r="Y2563" s="174">
        <f>_xll.qlCalendarAdvance(Calendar,Y2562,X2563,"f",FALSE)</f>
        <v>56920</v>
      </c>
      <c r="Z2563" s="198">
        <f>_xll.qlCalendarAdvance(Calendar,Y2563,NDays&amp;"D")</f>
        <v>56922</v>
      </c>
      <c r="AA2563" s="173">
        <v>1.9647014903108832E-2</v>
      </c>
      <c r="AB2563" s="182">
        <v>1.9655027583178608E-2</v>
      </c>
    </row>
    <row r="2564" spans="24:28" x14ac:dyDescent="0.2">
      <c r="X2564" s="186" t="str">
        <f t="shared" si="73"/>
        <v>1w</v>
      </c>
      <c r="Y2564" s="174">
        <f>_xll.qlCalendarAdvance(Calendar,Y2563,X2564,"f",FALSE)</f>
        <v>56927</v>
      </c>
      <c r="Z2564" s="198">
        <f>_xll.qlCalendarAdvance(Calendar,Y2564,NDays&amp;"D")</f>
        <v>56929</v>
      </c>
      <c r="AA2564" s="173">
        <v>1.9639069466860556E-2</v>
      </c>
      <c r="AB2564" s="182">
        <v>1.964659662109014E-2</v>
      </c>
    </row>
    <row r="2565" spans="24:28" x14ac:dyDescent="0.2">
      <c r="X2565" s="186" t="str">
        <f t="shared" si="73"/>
        <v>1w</v>
      </c>
      <c r="Y2565" s="174">
        <f>_xll.qlCalendarAdvance(Calendar,Y2564,X2565,"f",FALSE)</f>
        <v>56934</v>
      </c>
      <c r="Z2565" s="198">
        <f>_xll.qlCalendarAdvance(Calendar,Y2565,NDays&amp;"D")</f>
        <v>56936</v>
      </c>
      <c r="AA2565" s="173">
        <v>1.963116805645064E-2</v>
      </c>
      <c r="AB2565" s="182">
        <v>1.9638209223433734E-2</v>
      </c>
    </row>
    <row r="2566" spans="24:28" x14ac:dyDescent="0.2">
      <c r="X2566" s="186" t="str">
        <f t="shared" si="73"/>
        <v>1w</v>
      </c>
      <c r="Y2566" s="174">
        <f>_xll.qlCalendarAdvance(Calendar,Y2565,X2566,"f",FALSE)</f>
        <v>56941</v>
      </c>
      <c r="Z2566" s="198">
        <f>_xll.qlCalendarAdvance(Calendar,Y2566,NDays&amp;"D")</f>
        <v>56943</v>
      </c>
      <c r="AA2566" s="173">
        <v>1.9623310671356864E-2</v>
      </c>
      <c r="AB2566" s="182">
        <v>1.9629865390289325E-2</v>
      </c>
    </row>
    <row r="2567" spans="24:28" x14ac:dyDescent="0.2">
      <c r="X2567" s="186" t="str">
        <f t="shared" si="73"/>
        <v>1w</v>
      </c>
      <c r="Y2567" s="174">
        <f>_xll.qlCalendarAdvance(Calendar,Y2566,X2567,"f",FALSE)</f>
        <v>56948</v>
      </c>
      <c r="Z2567" s="198">
        <f>_xll.qlCalendarAdvance(Calendar,Y2567,NDays&amp;"D")</f>
        <v>56950</v>
      </c>
      <c r="AA2567" s="173">
        <v>1.9615487175114354E-2</v>
      </c>
      <c r="AB2567" s="182">
        <v>1.9621565121576978E-2</v>
      </c>
    </row>
    <row r="2568" spans="24:28" x14ac:dyDescent="0.2">
      <c r="X2568" s="186" t="str">
        <f t="shared" si="73"/>
        <v>1w</v>
      </c>
      <c r="Y2568" s="174">
        <f>_xll.qlCalendarAdvance(Calendar,Y2567,X2568,"f",FALSE)</f>
        <v>56955</v>
      </c>
      <c r="Z2568" s="198">
        <f>_xll.qlCalendarAdvance(Calendar,Y2568,NDays&amp;"D")</f>
        <v>56957</v>
      </c>
      <c r="AA2568" s="173">
        <v>1.9607720562624168E-2</v>
      </c>
      <c r="AB2568" s="182">
        <v>1.9613308417456565E-2</v>
      </c>
    </row>
    <row r="2569" spans="24:28" x14ac:dyDescent="0.2">
      <c r="X2569" s="186" t="str">
        <f t="shared" si="73"/>
        <v>1w</v>
      </c>
      <c r="Y2569" s="174">
        <f>_xll.qlCalendarAdvance(Calendar,Y2568,X2569,"f",FALSE)</f>
        <v>56962</v>
      </c>
      <c r="Z2569" s="198">
        <f>_xll.qlCalendarAdvance(Calendar,Y2569,NDays&amp;"D")</f>
        <v>56964</v>
      </c>
      <c r="AA2569" s="173">
        <v>1.9599997976414311E-2</v>
      </c>
      <c r="AB2569" s="182">
        <v>1.9605095277688278E-2</v>
      </c>
    </row>
    <row r="2570" spans="24:28" x14ac:dyDescent="0.2">
      <c r="X2570" s="186" t="str">
        <f t="shared" si="73"/>
        <v>1w</v>
      </c>
      <c r="Y2570" s="174">
        <f>_xll.qlCalendarAdvance(Calendar,Y2569,X2570,"f",FALSE)</f>
        <v>56969</v>
      </c>
      <c r="Z2570" s="198">
        <f>_xll.qlCalendarAdvance(Calendar,Y2570,NDays&amp;"D")</f>
        <v>56971</v>
      </c>
      <c r="AA2570" s="173">
        <v>1.9592319415973714E-2</v>
      </c>
      <c r="AB2570" s="182">
        <v>1.9596925702352053E-2</v>
      </c>
    </row>
    <row r="2571" spans="24:28" x14ac:dyDescent="0.2">
      <c r="X2571" s="186" t="str">
        <f t="shared" si="73"/>
        <v>1w</v>
      </c>
      <c r="Y2571" s="174">
        <f>_xll.qlCalendarAdvance(Calendar,Y2570,X2571,"f",FALSE)</f>
        <v>56976</v>
      </c>
      <c r="Z2571" s="198">
        <f>_xll.qlCalendarAdvance(Calendar,Y2571,NDays&amp;"D")</f>
        <v>56978</v>
      </c>
      <c r="AA2571" s="173">
        <v>1.9584684880791747E-2</v>
      </c>
      <c r="AB2571" s="182">
        <v>1.9588799691607761E-2</v>
      </c>
    </row>
    <row r="2572" spans="24:28" x14ac:dyDescent="0.2">
      <c r="X2572" s="186" t="str">
        <f t="shared" si="73"/>
        <v>1w</v>
      </c>
      <c r="Y2572" s="174">
        <f>_xll.qlCalendarAdvance(Calendar,Y2571,X2572,"f",FALSE)</f>
        <v>56983</v>
      </c>
      <c r="Z2572" s="198">
        <f>_xll.qlCalendarAdvance(Calendar,Y2572,NDays&amp;"D")</f>
        <v>56985</v>
      </c>
      <c r="AA2572" s="173">
        <v>1.9577090863555142E-2</v>
      </c>
      <c r="AB2572" s="182">
        <v>1.9580717245215595E-2</v>
      </c>
    </row>
    <row r="2573" spans="24:28" x14ac:dyDescent="0.2">
      <c r="X2573" s="186" t="str">
        <f t="shared" si="73"/>
        <v>1w</v>
      </c>
      <c r="Y2573" s="174">
        <f>_xll.qlCalendarAdvance(Calendar,Y2572,X2573,"f",FALSE)</f>
        <v>56990</v>
      </c>
      <c r="Z2573" s="198">
        <f>_xll.qlCalendarAdvance(Calendar,Y2573,NDays&amp;"D")</f>
        <v>56992</v>
      </c>
      <c r="AA2573" s="173">
        <v>1.9569541641297712E-2</v>
      </c>
      <c r="AB2573" s="182">
        <v>1.9572678363255491E-2</v>
      </c>
    </row>
    <row r="2574" spans="24:28" x14ac:dyDescent="0.2">
      <c r="X2574" s="186" t="str">
        <f t="shared" si="73"/>
        <v>1w</v>
      </c>
      <c r="Y2574" s="174">
        <f>_xll.qlCalendarAdvance(Calendar,Y2573,X2574,"f",FALSE)</f>
        <v>56997</v>
      </c>
      <c r="Z2574" s="198">
        <f>_xll.qlCalendarAdvance(Calendar,Y2574,NDays&amp;"D")</f>
        <v>56999</v>
      </c>
      <c r="AA2574" s="173">
        <v>1.9562036440282319E-2</v>
      </c>
      <c r="AB2574" s="182">
        <v>1.9564683045727449E-2</v>
      </c>
    </row>
    <row r="2575" spans="24:28" x14ac:dyDescent="0.2">
      <c r="X2575" s="186" t="str">
        <f t="shared" si="73"/>
        <v>1w</v>
      </c>
      <c r="Y2575" s="174">
        <f>_xll.qlCalendarAdvance(Calendar,Y2574,X2575,"f",FALSE)</f>
        <v>57004</v>
      </c>
      <c r="Z2575" s="198">
        <f>_xll.qlCalendarAdvance(Calendar,Y2575,NDays&amp;"D")</f>
        <v>57006</v>
      </c>
      <c r="AA2575" s="173">
        <v>1.9554575260015292E-2</v>
      </c>
      <c r="AB2575" s="182">
        <v>1.9556731292711405E-2</v>
      </c>
    </row>
    <row r="2576" spans="24:28" x14ac:dyDescent="0.2">
      <c r="X2576" s="186" t="str">
        <f t="shared" si="73"/>
        <v>1w</v>
      </c>
      <c r="Y2576" s="174">
        <f>_xll.qlCalendarAdvance(Calendar,Y2575,X2576,"f",FALSE)</f>
        <v>57011</v>
      </c>
      <c r="Z2576" s="198">
        <f>_xll.qlCalendarAdvance(Calendar,Y2576,NDays&amp;"D")</f>
        <v>57013</v>
      </c>
      <c r="AA2576" s="173">
        <v>1.9547158100002959E-2</v>
      </c>
      <c r="AB2576" s="182">
        <v>1.9548823104207358E-2</v>
      </c>
    </row>
    <row r="2577" spans="24:28" x14ac:dyDescent="0.2">
      <c r="X2577" s="186" t="str">
        <f t="shared" si="73"/>
        <v>1w</v>
      </c>
      <c r="Y2577" s="174">
        <f>_xll.qlCalendarAdvance(Calendar,Y2576,X2577,"f",FALSE)</f>
        <v>57018</v>
      </c>
      <c r="Z2577" s="198">
        <f>_xll.qlCalendarAdvance(Calendar,Y2577,NDays&amp;"D")</f>
        <v>57020</v>
      </c>
      <c r="AA2577" s="173">
        <v>1.9539784959754725E-2</v>
      </c>
      <c r="AB2577" s="182">
        <v>1.9540958479975501E-2</v>
      </c>
    </row>
    <row r="2578" spans="24:28" x14ac:dyDescent="0.2">
      <c r="X2578" s="186" t="str">
        <f t="shared" si="73"/>
        <v>1w</v>
      </c>
      <c r="Y2578" s="174">
        <f>_xll.qlCalendarAdvance(Calendar,Y2577,X2578,"f",FALSE)</f>
        <v>57025</v>
      </c>
      <c r="Z2578" s="198">
        <f>_xll.qlCalendarAdvance(Calendar,Y2578,NDays&amp;"D")</f>
        <v>57027</v>
      </c>
      <c r="AA2578" s="173">
        <v>1.9532455838783502E-2</v>
      </c>
      <c r="AB2578" s="182">
        <v>1.9533137420255642E-2</v>
      </c>
    </row>
    <row r="2579" spans="24:28" x14ac:dyDescent="0.2">
      <c r="X2579" s="186" t="str">
        <f t="shared" si="73"/>
        <v>1w</v>
      </c>
      <c r="Y2579" s="174">
        <f>_xll.qlCalendarAdvance(Calendar,Y2578,X2579,"f",FALSE)</f>
        <v>57032</v>
      </c>
      <c r="Z2579" s="198">
        <f>_xll.qlCalendarAdvance(Calendar,Y2579,NDays&amp;"D")</f>
        <v>57034</v>
      </c>
      <c r="AA2579" s="173">
        <v>1.9525170736605285E-2</v>
      </c>
      <c r="AB2579" s="182">
        <v>1.9525359924967844E-2</v>
      </c>
    </row>
    <row r="2580" spans="24:28" x14ac:dyDescent="0.2">
      <c r="X2580" s="186" t="str">
        <f t="shared" si="73"/>
        <v>1w</v>
      </c>
      <c r="Y2580" s="174">
        <f>_xll.qlCalendarAdvance(Calendar,Y2579,X2580,"f",FALSE)</f>
        <v>57039</v>
      </c>
      <c r="Z2580" s="198">
        <f>_xll.qlCalendarAdvance(Calendar,Y2580,NDays&amp;"D")</f>
        <v>57041</v>
      </c>
      <c r="AA2580" s="173">
        <v>1.9518033099617971E-2</v>
      </c>
      <c r="AB2580" s="182">
        <v>1.9517625994112109E-2</v>
      </c>
    </row>
    <row r="2581" spans="24:28" x14ac:dyDescent="0.2">
      <c r="X2581" s="186" t="str">
        <f t="shared" ref="X2581:X2644" si="74">X2580</f>
        <v>1w</v>
      </c>
      <c r="Y2581" s="174">
        <f>_xll.qlCalendarAdvance(Calendar,Y2580,X2581,"f",FALSE)</f>
        <v>57046</v>
      </c>
      <c r="Z2581" s="198">
        <f>_xll.qlCalendarAdvance(Calendar,Y2581,NDays&amp;"D")</f>
        <v>57048</v>
      </c>
      <c r="AA2581" s="173">
        <v>1.9510847059663057E-2</v>
      </c>
      <c r="AB2581" s="182">
        <v>1.9509935627688435E-2</v>
      </c>
    </row>
    <row r="2582" spans="24:28" x14ac:dyDescent="0.2">
      <c r="X2582" s="186" t="str">
        <f t="shared" si="74"/>
        <v>1w</v>
      </c>
      <c r="Y2582" s="174">
        <f>_xll.qlCalendarAdvance(Calendar,Y2581,X2582,"f",FALSE)</f>
        <v>57053</v>
      </c>
      <c r="Z2582" s="198">
        <f>_xll.qlCalendarAdvance(Calendar,Y2582,NDays&amp;"D")</f>
        <v>57055</v>
      </c>
      <c r="AA2582" s="173">
        <v>1.9503705046991896E-2</v>
      </c>
      <c r="AB2582" s="182">
        <v>1.9502288825696823E-2</v>
      </c>
    </row>
    <row r="2583" spans="24:28" x14ac:dyDescent="0.2">
      <c r="X2583" s="186" t="str">
        <f t="shared" si="74"/>
        <v>1w</v>
      </c>
      <c r="Y2583" s="174">
        <f>_xll.qlCalendarAdvance(Calendar,Y2582,X2583,"f",FALSE)</f>
        <v>57060</v>
      </c>
      <c r="Z2583" s="198">
        <f>_xll.qlCalendarAdvance(Calendar,Y2583,NDays&amp;"D")</f>
        <v>57062</v>
      </c>
      <c r="AA2583" s="173">
        <v>1.9496607061121007E-2</v>
      </c>
      <c r="AB2583" s="182">
        <v>1.9494685588057337E-2</v>
      </c>
    </row>
    <row r="2584" spans="24:28" x14ac:dyDescent="0.2">
      <c r="X2584" s="186" t="str">
        <f t="shared" si="74"/>
        <v>1w</v>
      </c>
      <c r="Y2584" s="174">
        <f>_xll.qlCalendarAdvance(Calendar,Y2583,X2584,"f",FALSE)</f>
        <v>57067</v>
      </c>
      <c r="Z2584" s="198">
        <f>_xll.qlCalendarAdvance(Calendar,Y2584,NDays&amp;"D")</f>
        <v>57069</v>
      </c>
      <c r="AA2584" s="173">
        <v>1.9489441995103399E-2</v>
      </c>
      <c r="AB2584" s="182">
        <v>1.9487084258971166E-2</v>
      </c>
    </row>
    <row r="2585" spans="24:28" x14ac:dyDescent="0.2">
      <c r="X2585" s="186" t="str">
        <f t="shared" si="74"/>
        <v>1w</v>
      </c>
      <c r="Y2585" s="174">
        <f>_xll.qlCalendarAdvance(Calendar,Y2584,X2585,"f",FALSE)</f>
        <v>57074</v>
      </c>
      <c r="Z2585" s="198">
        <f>_xll.qlCalendarAdvance(Calendar,Y2585,NDays&amp;"D")</f>
        <v>57076</v>
      </c>
      <c r="AA2585" s="173">
        <v>1.948242376160347E-2</v>
      </c>
      <c r="AB2585" s="182">
        <v>1.9479609806154485E-2</v>
      </c>
    </row>
    <row r="2586" spans="24:28" x14ac:dyDescent="0.2">
      <c r="X2586" s="186" t="str">
        <f t="shared" si="74"/>
        <v>1w</v>
      </c>
      <c r="Y2586" s="174">
        <f>_xll.qlCalendarAdvance(Calendar,Y2585,X2586,"f",FALSE)</f>
        <v>57081</v>
      </c>
      <c r="Z2586" s="198">
        <f>_xll.qlCalendarAdvance(Calendar,Y2586,NDays&amp;"D")</f>
        <v>57083</v>
      </c>
      <c r="AA2586" s="173">
        <v>1.9475449546059596E-2</v>
      </c>
      <c r="AB2586" s="182">
        <v>1.9472137261811184E-2</v>
      </c>
    </row>
    <row r="2587" spans="24:28" x14ac:dyDescent="0.2">
      <c r="X2587" s="186" t="str">
        <f t="shared" si="74"/>
        <v>1w</v>
      </c>
      <c r="Y2587" s="174">
        <f>_xll.qlCalendarAdvance(Calendar,Y2586,X2587,"f",FALSE)</f>
        <v>57088</v>
      </c>
      <c r="Z2587" s="198">
        <f>_xll.qlCalendarAdvance(Calendar,Y2587,NDays&amp;"D")</f>
        <v>57090</v>
      </c>
      <c r="AA2587" s="173">
        <v>1.9468519348008324E-2</v>
      </c>
      <c r="AB2587" s="182">
        <v>1.9464708281979881E-2</v>
      </c>
    </row>
    <row r="2588" spans="24:28" x14ac:dyDescent="0.2">
      <c r="X2588" s="186" t="str">
        <f t="shared" si="74"/>
        <v>1w</v>
      </c>
      <c r="Y2588" s="174">
        <f>_xll.qlCalendarAdvance(Calendar,Y2587,X2588,"f",FALSE)</f>
        <v>57095</v>
      </c>
      <c r="Z2588" s="198">
        <f>_xll.qlCalendarAdvance(Calendar,Y2588,NDays&amp;"D")</f>
        <v>57097</v>
      </c>
      <c r="AA2588" s="173">
        <v>1.9461633166989695E-2</v>
      </c>
      <c r="AB2588" s="182">
        <v>1.9457322866420768E-2</v>
      </c>
    </row>
    <row r="2589" spans="24:28" x14ac:dyDescent="0.2">
      <c r="X2589" s="186" t="str">
        <f t="shared" si="74"/>
        <v>1w</v>
      </c>
      <c r="Y2589" s="174">
        <f>_xll.qlCalendarAdvance(Calendar,Y2588,X2589,"f",FALSE)</f>
        <v>57102</v>
      </c>
      <c r="Z2589" s="198">
        <f>_xll.qlCalendarAdvance(Calendar,Y2589,NDays&amp;"D")</f>
        <v>57104</v>
      </c>
      <c r="AA2589" s="173">
        <v>1.9454943682082622E-2</v>
      </c>
      <c r="AB2589" s="182">
        <v>1.9449981015293716E-2</v>
      </c>
    </row>
    <row r="2590" spans="24:28" x14ac:dyDescent="0.2">
      <c r="X2590" s="186" t="str">
        <f t="shared" si="74"/>
        <v>1w</v>
      </c>
      <c r="Y2590" s="174">
        <f>_xll.qlCalendarAdvance(Calendar,Y2589,X2590,"f",FALSE)</f>
        <v>57109</v>
      </c>
      <c r="Z2590" s="198">
        <f>_xll.qlCalendarAdvance(Calendar,Y2590,NDays&amp;"D")</f>
        <v>57111</v>
      </c>
      <c r="AA2590" s="173">
        <v>1.9448153870563145E-2</v>
      </c>
      <c r="AB2590" s="182">
        <v>1.9442682728598726E-2</v>
      </c>
    </row>
    <row r="2591" spans="24:28" x14ac:dyDescent="0.2">
      <c r="X2591" s="186" t="str">
        <f t="shared" si="74"/>
        <v>1w</v>
      </c>
      <c r="Y2591" s="174">
        <f>_xll.qlCalendarAdvance(Calendar,Y2590,X2591,"f",FALSE)</f>
        <v>57116</v>
      </c>
      <c r="Z2591" s="198">
        <f>_xll.qlCalendarAdvance(Calendar,Y2591,NDays&amp;"D")</f>
        <v>57118</v>
      </c>
      <c r="AA2591" s="173">
        <v>1.9441408082093391E-2</v>
      </c>
      <c r="AB2591" s="182">
        <v>1.9435428006255862E-2</v>
      </c>
    </row>
    <row r="2592" spans="24:28" x14ac:dyDescent="0.2">
      <c r="X2592" s="186" t="str">
        <f t="shared" si="74"/>
        <v>1w</v>
      </c>
      <c r="Y2592" s="174">
        <f>_xll.qlCalendarAdvance(Calendar,Y2591,X2592,"f",FALSE)</f>
        <v>57123</v>
      </c>
      <c r="Z2592" s="198">
        <f>_xll.qlCalendarAdvance(Calendar,Y2592,NDays&amp;"D")</f>
        <v>57125</v>
      </c>
      <c r="AA2592" s="173">
        <v>1.9434706316217378E-2</v>
      </c>
      <c r="AB2592" s="182">
        <v>1.9428216848345059E-2</v>
      </c>
    </row>
    <row r="2593" spans="24:28" x14ac:dyDescent="0.2">
      <c r="X2593" s="186" t="str">
        <f t="shared" si="74"/>
        <v>1w</v>
      </c>
      <c r="Y2593" s="174">
        <f>_xll.qlCalendarAdvance(Calendar,Y2592,X2593,"f",FALSE)</f>
        <v>57130</v>
      </c>
      <c r="Z2593" s="198">
        <f>_xll.qlCalendarAdvance(Calendar,Y2593,NDays&amp;"D")</f>
        <v>57132</v>
      </c>
      <c r="AA2593" s="173">
        <v>1.9427862501469283E-2</v>
      </c>
      <c r="AB2593" s="182">
        <v>1.9421049254866318E-2</v>
      </c>
    </row>
    <row r="2594" spans="24:28" x14ac:dyDescent="0.2">
      <c r="X2594" s="186" t="str">
        <f t="shared" si="74"/>
        <v>1w</v>
      </c>
      <c r="Y2594" s="174">
        <f>_xll.qlCalendarAdvance(Calendar,Y2593,X2594,"f",FALSE)</f>
        <v>57137</v>
      </c>
      <c r="Z2594" s="198">
        <f>_xll.qlCalendarAdvance(Calendar,Y2594,NDays&amp;"D")</f>
        <v>57139</v>
      </c>
      <c r="AA2594" s="173">
        <v>1.9421240413138481E-2</v>
      </c>
      <c r="AB2594" s="182">
        <v>1.9413925225739703E-2</v>
      </c>
    </row>
    <row r="2595" spans="24:28" x14ac:dyDescent="0.2">
      <c r="X2595" s="186" t="str">
        <f t="shared" si="74"/>
        <v>1w</v>
      </c>
      <c r="Y2595" s="174">
        <f>_xll.qlCalendarAdvance(Calendar,Y2594,X2595,"f",FALSE)</f>
        <v>57144</v>
      </c>
      <c r="Z2595" s="198">
        <f>_xll.qlCalendarAdvance(Calendar,Y2595,NDays&amp;"D")</f>
        <v>57146</v>
      </c>
      <c r="AA2595" s="173">
        <v>1.941466233869879E-2</v>
      </c>
      <c r="AB2595" s="182">
        <v>1.9406844760885278E-2</v>
      </c>
    </row>
    <row r="2596" spans="24:28" x14ac:dyDescent="0.2">
      <c r="X2596" s="186" t="str">
        <f t="shared" si="74"/>
        <v>1w</v>
      </c>
      <c r="Y2596" s="174">
        <f>_xll.qlCalendarAdvance(Calendar,Y2595,X2596,"f",FALSE)</f>
        <v>57151</v>
      </c>
      <c r="Z2596" s="198">
        <f>_xll.qlCalendarAdvance(Calendar,Y2596,NDays&amp;"D")</f>
        <v>57153</v>
      </c>
      <c r="AA2596" s="173">
        <v>1.9408128277712964E-2</v>
      </c>
      <c r="AB2596" s="182">
        <v>1.939980786054285E-2</v>
      </c>
    </row>
    <row r="2597" spans="24:28" x14ac:dyDescent="0.2">
      <c r="X2597" s="186" t="str">
        <f t="shared" si="74"/>
        <v>1w</v>
      </c>
      <c r="Y2597" s="174">
        <f>_xll.qlCalendarAdvance(Calendar,Y2596,X2597,"f",FALSE)</f>
        <v>57158</v>
      </c>
      <c r="Z2597" s="198">
        <f>_xll.qlCalendarAdvance(Calendar,Y2597,NDays&amp;"D")</f>
        <v>57160</v>
      </c>
      <c r="AA2597" s="173">
        <v>1.9401638229747251E-2</v>
      </c>
      <c r="AB2597" s="182">
        <v>1.9392814524632485E-2</v>
      </c>
    </row>
    <row r="2598" spans="24:28" x14ac:dyDescent="0.2">
      <c r="X2598" s="186" t="str">
        <f t="shared" si="74"/>
        <v>1w</v>
      </c>
      <c r="Y2598" s="174">
        <f>_xll.qlCalendarAdvance(Calendar,Y2597,X2598,"f",FALSE)</f>
        <v>57165</v>
      </c>
      <c r="Z2598" s="198">
        <f>_xll.qlCalendarAdvance(Calendar,Y2598,NDays&amp;"D")</f>
        <v>57167</v>
      </c>
      <c r="AA2598" s="173">
        <v>1.939542017029473E-2</v>
      </c>
      <c r="AB2598" s="182">
        <v>1.9385864753074245E-2</v>
      </c>
    </row>
    <row r="2599" spans="24:28" x14ac:dyDescent="0.2">
      <c r="X2599" s="186" t="str">
        <f t="shared" si="74"/>
        <v>1w</v>
      </c>
      <c r="Y2599" s="174">
        <f>_xll.qlCalendarAdvance(Calendar,Y2598,X2599,"f",FALSE)</f>
        <v>57172</v>
      </c>
      <c r="Z2599" s="198">
        <f>_xll.qlCalendarAdvance(Calendar,Y2599,NDays&amp;"D")</f>
        <v>57174</v>
      </c>
      <c r="AA2599" s="173">
        <v>1.9389026550069216E-2</v>
      </c>
      <c r="AB2599" s="182">
        <v>1.9378958545788194E-2</v>
      </c>
    </row>
    <row r="2600" spans="24:28" x14ac:dyDescent="0.2">
      <c r="X2600" s="186" t="str">
        <f t="shared" si="74"/>
        <v>1w</v>
      </c>
      <c r="Y2600" s="174">
        <f>_xll.qlCalendarAdvance(Calendar,Y2599,X2600,"f",FALSE)</f>
        <v>57179</v>
      </c>
      <c r="Z2600" s="198">
        <f>_xll.qlCalendarAdvance(Calendar,Y2600,NDays&amp;"D")</f>
        <v>57181</v>
      </c>
      <c r="AA2600" s="173">
        <v>1.9382676948900921E-2</v>
      </c>
      <c r="AB2600" s="182">
        <v>1.9372095903094078E-2</v>
      </c>
    </row>
    <row r="2601" spans="24:28" x14ac:dyDescent="0.2">
      <c r="X2601" s="186" t="str">
        <f t="shared" si="74"/>
        <v>1w</v>
      </c>
      <c r="Y2601" s="174">
        <f>_xll.qlCalendarAdvance(Calendar,Y2600,X2601,"f",FALSE)</f>
        <v>57186</v>
      </c>
      <c r="Z2601" s="198">
        <f>_xll.qlCalendarAdvance(Calendar,Y2601,NDays&amp;"D")</f>
        <v>57188</v>
      </c>
      <c r="AA2601" s="173">
        <v>1.9376371366359651E-2</v>
      </c>
      <c r="AB2601" s="182">
        <v>1.9365276824592215E-2</v>
      </c>
    </row>
    <row r="2602" spans="24:28" x14ac:dyDescent="0.2">
      <c r="X2602" s="186" t="str">
        <f t="shared" si="74"/>
        <v>1w</v>
      </c>
      <c r="Y2602" s="174">
        <f>_xll.qlCalendarAdvance(Calendar,Y2601,X2602,"f",FALSE)</f>
        <v>57193</v>
      </c>
      <c r="Z2602" s="198">
        <f>_xll.qlCalendarAdvance(Calendar,Y2602,NDays&amp;"D")</f>
        <v>57195</v>
      </c>
      <c r="AA2602" s="173">
        <v>1.9370109802019937E-2</v>
      </c>
      <c r="AB2602" s="182">
        <v>1.9358501310442477E-2</v>
      </c>
    </row>
    <row r="2603" spans="24:28" x14ac:dyDescent="0.2">
      <c r="X2603" s="186" t="str">
        <f t="shared" si="74"/>
        <v>1w</v>
      </c>
      <c r="Y2603" s="174">
        <f>_xll.qlCalendarAdvance(Calendar,Y2602,X2603,"f",FALSE)</f>
        <v>57200</v>
      </c>
      <c r="Z2603" s="198">
        <f>_xll.qlCalendarAdvance(Calendar,Y2603,NDays&amp;"D")</f>
        <v>57202</v>
      </c>
      <c r="AA2603" s="173">
        <v>1.9363892255459321E-2</v>
      </c>
      <c r="AB2603" s="182">
        <v>1.9351769360804738E-2</v>
      </c>
    </row>
    <row r="2604" spans="24:28" x14ac:dyDescent="0.2">
      <c r="X2604" s="186" t="str">
        <f t="shared" si="74"/>
        <v>1w</v>
      </c>
      <c r="Y2604" s="174">
        <f>_xll.qlCalendarAdvance(Calendar,Y2603,X2604,"f",FALSE)</f>
        <v>57207</v>
      </c>
      <c r="Z2604" s="198">
        <f>_xll.qlCalendarAdvance(Calendar,Y2604,NDays&amp;"D")</f>
        <v>57209</v>
      </c>
      <c r="AA2604" s="173">
        <v>1.9357718726257925E-2</v>
      </c>
      <c r="AB2604" s="182">
        <v>1.9345080975439188E-2</v>
      </c>
    </row>
    <row r="2605" spans="24:28" x14ac:dyDescent="0.2">
      <c r="X2605" s="186" t="str">
        <f t="shared" si="74"/>
        <v>1w</v>
      </c>
      <c r="Y2605" s="174">
        <f>_xll.qlCalendarAdvance(Calendar,Y2604,X2605,"f",FALSE)</f>
        <v>57214</v>
      </c>
      <c r="Z2605" s="198">
        <f>_xll.qlCalendarAdvance(Calendar,Y2605,NDays&amp;"D")</f>
        <v>57216</v>
      </c>
      <c r="AA2605" s="173">
        <v>1.9351589213998446E-2</v>
      </c>
      <c r="AB2605" s="182">
        <v>1.9338436154425764E-2</v>
      </c>
    </row>
    <row r="2606" spans="24:28" x14ac:dyDescent="0.2">
      <c r="X2606" s="186" t="str">
        <f t="shared" si="74"/>
        <v>1w</v>
      </c>
      <c r="Y2606" s="174">
        <f>_xll.qlCalendarAdvance(Calendar,Y2605,X2606,"f",FALSE)</f>
        <v>57221</v>
      </c>
      <c r="Z2606" s="198">
        <f>_xll.qlCalendarAdvance(Calendar,Y2606,NDays&amp;"D")</f>
        <v>57223</v>
      </c>
      <c r="AA2606" s="173">
        <v>1.9345012742026015E-2</v>
      </c>
      <c r="AB2606" s="182">
        <v>1.9331834897764466E-2</v>
      </c>
    </row>
    <row r="2607" spans="24:28" x14ac:dyDescent="0.2">
      <c r="X2607" s="186" t="str">
        <f t="shared" si="74"/>
        <v>1w</v>
      </c>
      <c r="Y2607" s="174">
        <f>_xll.qlCalendarAdvance(Calendar,Y2606,X2607,"f",FALSE)</f>
        <v>57228</v>
      </c>
      <c r="Z2607" s="198">
        <f>_xll.qlCalendarAdvance(Calendar,Y2607,NDays&amp;"D")</f>
        <v>57230</v>
      </c>
      <c r="AA2607" s="173">
        <v>1.9338957161750561E-2</v>
      </c>
      <c r="AB2607" s="182">
        <v>1.9325277205615166E-2</v>
      </c>
    </row>
    <row r="2608" spans="24:28" x14ac:dyDescent="0.2">
      <c r="X2608" s="186" t="str">
        <f t="shared" si="74"/>
        <v>1w</v>
      </c>
      <c r="Y2608" s="174">
        <f>_xll.qlCalendarAdvance(Calendar,Y2607,X2608,"f",FALSE)</f>
        <v>57235</v>
      </c>
      <c r="Z2608" s="198">
        <f>_xll.qlCalendarAdvance(Calendar,Y2608,NDays&amp;"D")</f>
        <v>57237</v>
      </c>
      <c r="AA2608" s="173">
        <v>1.9332945585063946E-2</v>
      </c>
      <c r="AB2608" s="182">
        <v>1.9318763077738055E-2</v>
      </c>
    </row>
    <row r="2609" spans="24:28" x14ac:dyDescent="0.2">
      <c r="X2609" s="186" t="str">
        <f t="shared" si="74"/>
        <v>1w</v>
      </c>
      <c r="Y2609" s="174">
        <f>_xll.qlCalendarAdvance(Calendar,Y2608,X2609,"f",FALSE)</f>
        <v>57242</v>
      </c>
      <c r="Z2609" s="198">
        <f>_xll.qlCalendarAdvance(Calendar,Y2609,NDays&amp;"D")</f>
        <v>57244</v>
      </c>
      <c r="AA2609" s="173">
        <v>1.9326978011570465E-2</v>
      </c>
      <c r="AB2609" s="182">
        <v>1.931229251421307E-2</v>
      </c>
    </row>
    <row r="2610" spans="24:28" x14ac:dyDescent="0.2">
      <c r="X2610" s="186" t="str">
        <f t="shared" si="74"/>
        <v>1w</v>
      </c>
      <c r="Y2610" s="174">
        <f>_xll.qlCalendarAdvance(Calendar,Y2609,X2610,"f",FALSE)</f>
        <v>57249</v>
      </c>
      <c r="Z2610" s="198">
        <f>_xll.qlCalendarAdvance(Calendar,Y2610,NDays&amp;"D")</f>
        <v>57251</v>
      </c>
      <c r="AA2610" s="173">
        <v>1.9321054440877505E-2</v>
      </c>
      <c r="AB2610" s="182">
        <v>1.9305865514960274E-2</v>
      </c>
    </row>
    <row r="2611" spans="24:28" x14ac:dyDescent="0.2">
      <c r="X2611" s="186" t="str">
        <f t="shared" si="74"/>
        <v>1w</v>
      </c>
      <c r="Y2611" s="174">
        <f>_xll.qlCalendarAdvance(Calendar,Y2610,X2611,"f",FALSE)</f>
        <v>57256</v>
      </c>
      <c r="Z2611" s="198">
        <f>_xll.qlCalendarAdvance(Calendar,Y2611,NDays&amp;"D")</f>
        <v>57258</v>
      </c>
      <c r="AA2611" s="173">
        <v>1.9315286643613747E-2</v>
      </c>
      <c r="AB2611" s="182">
        <v>1.9299482080139541E-2</v>
      </c>
    </row>
    <row r="2612" spans="24:28" x14ac:dyDescent="0.2">
      <c r="X2612" s="186" t="str">
        <f t="shared" si="74"/>
        <v>1w</v>
      </c>
      <c r="Y2612" s="174">
        <f>_xll.qlCalendarAdvance(Calendar,Y2611,X2612,"f",FALSE)</f>
        <v>57263</v>
      </c>
      <c r="Z2612" s="198">
        <f>_xll.qlCalendarAdvance(Calendar,Y2612,NDays&amp;"D")</f>
        <v>57265</v>
      </c>
      <c r="AA2612" s="173">
        <v>1.9309453908933009E-2</v>
      </c>
      <c r="AB2612" s="182">
        <v>1.9293142209670933E-2</v>
      </c>
    </row>
    <row r="2613" spans="24:28" x14ac:dyDescent="0.2">
      <c r="X2613" s="186" t="str">
        <f t="shared" si="74"/>
        <v>1w</v>
      </c>
      <c r="Y2613" s="174">
        <f>_xll.qlCalendarAdvance(Calendar,Y2612,X2613,"f",FALSE)</f>
        <v>57270</v>
      </c>
      <c r="Z2613" s="198">
        <f>_xll.qlCalendarAdvance(Calendar,Y2613,NDays&amp;"D")</f>
        <v>57272</v>
      </c>
      <c r="AA2613" s="173">
        <v>1.9303665178308931E-2</v>
      </c>
      <c r="AB2613" s="182">
        <v>1.9286845903394578E-2</v>
      </c>
    </row>
    <row r="2614" spans="24:28" x14ac:dyDescent="0.2">
      <c r="X2614" s="186" t="str">
        <f t="shared" si="74"/>
        <v>1w</v>
      </c>
      <c r="Y2614" s="174">
        <f>_xll.qlCalendarAdvance(Calendar,Y2613,X2614,"f",FALSE)</f>
        <v>57277</v>
      </c>
      <c r="Z2614" s="198">
        <f>_xll.qlCalendarAdvance(Calendar,Y2614,NDays&amp;"D")</f>
        <v>57279</v>
      </c>
      <c r="AA2614" s="173">
        <v>1.9297920451359408E-2</v>
      </c>
      <c r="AB2614" s="182">
        <v>1.9280593161630222E-2</v>
      </c>
    </row>
    <row r="2615" spans="24:28" x14ac:dyDescent="0.2">
      <c r="X2615" s="186" t="str">
        <f t="shared" si="74"/>
        <v>1w</v>
      </c>
      <c r="Y2615" s="174">
        <f>_xll.qlCalendarAdvance(Calendar,Y2614,X2615,"f",FALSE)</f>
        <v>57284</v>
      </c>
      <c r="Z2615" s="198">
        <f>_xll.qlCalendarAdvance(Calendar,Y2615,NDays&amp;"D")</f>
        <v>57286</v>
      </c>
      <c r="AA2615" s="173">
        <v>1.9292096615912177E-2</v>
      </c>
      <c r="AB2615" s="182">
        <v>1.9274383984217991E-2</v>
      </c>
    </row>
    <row r="2616" spans="24:28" x14ac:dyDescent="0.2">
      <c r="X2616" s="186" t="str">
        <f t="shared" si="74"/>
        <v>1w</v>
      </c>
      <c r="Y2616" s="174">
        <f>_xll.qlCalendarAdvance(Calendar,Y2615,X2616,"f",FALSE)</f>
        <v>57291</v>
      </c>
      <c r="Z2616" s="198">
        <f>_xll.qlCalendarAdvance(Calendar,Y2616,NDays&amp;"D")</f>
        <v>57293</v>
      </c>
      <c r="AA2616" s="173">
        <v>1.9286437053954088E-2</v>
      </c>
      <c r="AB2616" s="182">
        <v>1.9268218371157886E-2</v>
      </c>
    </row>
    <row r="2617" spans="24:28" x14ac:dyDescent="0.2">
      <c r="X2617" s="186" t="str">
        <f t="shared" si="74"/>
        <v>1w</v>
      </c>
      <c r="Y2617" s="174">
        <f>_xll.qlCalendarAdvance(Calendar,Y2616,X2617,"f",FALSE)</f>
        <v>57298</v>
      </c>
      <c r="Z2617" s="198">
        <f>_xll.qlCalendarAdvance(Calendar,Y2617,NDays&amp;"D")</f>
        <v>57300</v>
      </c>
      <c r="AA2617" s="173">
        <v>1.9280821492133456E-2</v>
      </c>
      <c r="AB2617" s="182">
        <v>1.9262096322290034E-2</v>
      </c>
    </row>
    <row r="2618" spans="24:28" x14ac:dyDescent="0.2">
      <c r="X2618" s="186" t="str">
        <f t="shared" si="74"/>
        <v>1w</v>
      </c>
      <c r="Y2618" s="174">
        <f>_xll.qlCalendarAdvance(Calendar,Y2617,X2618,"f",FALSE)</f>
        <v>57305</v>
      </c>
      <c r="Z2618" s="198">
        <f>_xll.qlCalendarAdvance(Calendar,Y2618,NDays&amp;"D")</f>
        <v>57307</v>
      </c>
      <c r="AA2618" s="173">
        <v>1.9275249930080632E-2</v>
      </c>
      <c r="AB2618" s="182">
        <v>1.9256017837854245E-2</v>
      </c>
    </row>
    <row r="2619" spans="24:28" x14ac:dyDescent="0.2">
      <c r="X2619" s="186" t="str">
        <f t="shared" si="74"/>
        <v>1w</v>
      </c>
      <c r="Y2619" s="174">
        <f>_xll.qlCalendarAdvance(Calendar,Y2618,X2619,"f",FALSE)</f>
        <v>57312</v>
      </c>
      <c r="Z2619" s="198">
        <f>_xll.qlCalendarAdvance(Calendar,Y2619,NDays&amp;"D")</f>
        <v>57314</v>
      </c>
      <c r="AA2619" s="173">
        <v>1.9269856858541459E-2</v>
      </c>
      <c r="AB2619" s="182">
        <v>1.9249982917770581E-2</v>
      </c>
    </row>
    <row r="2620" spans="24:28" x14ac:dyDescent="0.2">
      <c r="X2620" s="186" t="str">
        <f t="shared" si="74"/>
        <v>1w</v>
      </c>
      <c r="Y2620" s="174">
        <f>_xll.qlCalendarAdvance(Calendar,Y2619,X2620,"f",FALSE)</f>
        <v>57319</v>
      </c>
      <c r="Z2620" s="198">
        <f>_xll.qlCalendarAdvance(Calendar,Y2620,NDays&amp;"D")</f>
        <v>57321</v>
      </c>
      <c r="AA2620" s="173">
        <v>1.9264376145768168E-2</v>
      </c>
      <c r="AB2620" s="182">
        <v>1.9243991561959106E-2</v>
      </c>
    </row>
    <row r="2621" spans="24:28" x14ac:dyDescent="0.2">
      <c r="X2621" s="186" t="str">
        <f t="shared" si="74"/>
        <v>1w</v>
      </c>
      <c r="Y2621" s="174">
        <f>_xll.qlCalendarAdvance(Calendar,Y2620,X2621,"f",FALSE)</f>
        <v>57326</v>
      </c>
      <c r="Z2621" s="198">
        <f>_xll.qlCalendarAdvance(Calendar,Y2621,NDays&amp;"D")</f>
        <v>57328</v>
      </c>
      <c r="AA2621" s="173">
        <v>1.9258939434072826E-2</v>
      </c>
      <c r="AB2621" s="182">
        <v>1.9238043770499758E-2</v>
      </c>
    </row>
    <row r="2622" spans="24:28" x14ac:dyDescent="0.2">
      <c r="X2622" s="186" t="str">
        <f t="shared" si="74"/>
        <v>1w</v>
      </c>
      <c r="Y2622" s="174">
        <f>_xll.qlCalendarAdvance(Calendar,Y2621,X2622,"f",FALSE)</f>
        <v>57333</v>
      </c>
      <c r="Z2622" s="198">
        <f>_xll.qlCalendarAdvance(Calendar,Y2622,NDays&amp;"D")</f>
        <v>57335</v>
      </c>
      <c r="AA2622" s="173">
        <v>1.9253546723096152E-2</v>
      </c>
      <c r="AB2622" s="182">
        <v>1.9232139543392535E-2</v>
      </c>
    </row>
    <row r="2623" spans="24:28" x14ac:dyDescent="0.2">
      <c r="X2623" s="186" t="str">
        <f t="shared" si="74"/>
        <v>1w</v>
      </c>
      <c r="Y2623" s="174">
        <f>_xll.qlCalendarAdvance(Calendar,Y2622,X2623,"f",FALSE)</f>
        <v>57341</v>
      </c>
      <c r="Z2623" s="198">
        <f>_xll.qlCalendarAdvance(Calendar,Y2623,NDays&amp;"D")</f>
        <v>57343</v>
      </c>
      <c r="AA2623" s="173">
        <v>1.9247437502812211E-2</v>
      </c>
      <c r="AB2623" s="182">
        <v>1.9225736828774043E-2</v>
      </c>
    </row>
    <row r="2624" spans="24:28" x14ac:dyDescent="0.2">
      <c r="X2624" s="186" t="str">
        <f t="shared" si="74"/>
        <v>1w</v>
      </c>
      <c r="Y2624" s="174">
        <f>_xll.qlCalendarAdvance(Calendar,Y2623,X2624,"f",FALSE)</f>
        <v>57348</v>
      </c>
      <c r="Z2624" s="198">
        <f>_xll.qlCalendarAdvance(Calendar,Y2624,NDays&amp;"D")</f>
        <v>57350</v>
      </c>
      <c r="AA2624" s="173">
        <v>1.924198989978387E-2</v>
      </c>
      <c r="AB2624" s="182">
        <v>1.9219834077333076E-2</v>
      </c>
    </row>
    <row r="2625" spans="24:28" x14ac:dyDescent="0.2">
      <c r="X2625" s="186" t="str">
        <f t="shared" si="74"/>
        <v>1w</v>
      </c>
      <c r="Y2625" s="174">
        <f>_xll.qlCalendarAdvance(Calendar,Y2624,X2625,"f",FALSE)</f>
        <v>57355</v>
      </c>
      <c r="Z2625" s="198">
        <f>_xll.qlCalendarAdvance(Calendar,Y2625,NDays&amp;"D")</f>
        <v>57357</v>
      </c>
      <c r="AA2625" s="173">
        <v>1.9236732611314113E-2</v>
      </c>
      <c r="AB2625" s="182">
        <v>1.9214072375044466E-2</v>
      </c>
    </row>
    <row r="2626" spans="24:28" x14ac:dyDescent="0.2">
      <c r="X2626" s="186" t="str">
        <f t="shared" si="74"/>
        <v>1w</v>
      </c>
      <c r="Y2626" s="174">
        <f>_xll.qlCalendarAdvance(Calendar,Y2625,X2626,"f",FALSE)</f>
        <v>57362</v>
      </c>
      <c r="Z2626" s="198">
        <f>_xll.qlCalendarAdvance(Calendar,Y2626,NDays&amp;"D")</f>
        <v>57364</v>
      </c>
      <c r="AA2626" s="173">
        <v>1.9231519319715035E-2</v>
      </c>
      <c r="AB2626" s="182">
        <v>1.9208354241930792E-2</v>
      </c>
    </row>
    <row r="2627" spans="24:28" x14ac:dyDescent="0.2">
      <c r="X2627" s="186" t="str">
        <f t="shared" si="74"/>
        <v>1w</v>
      </c>
      <c r="Y2627" s="174">
        <f>_xll.qlCalendarAdvance(Calendar,Y2626,X2627,"f",FALSE)</f>
        <v>57369</v>
      </c>
      <c r="Z2627" s="198">
        <f>_xll.qlCalendarAdvance(Calendar,Y2627,NDays&amp;"D")</f>
        <v>57371</v>
      </c>
      <c r="AA2627" s="173">
        <v>1.9226350024645251E-2</v>
      </c>
      <c r="AB2627" s="182">
        <v>1.9202679677965406E-2</v>
      </c>
    </row>
    <row r="2628" spans="24:28" x14ac:dyDescent="0.2">
      <c r="X2628" s="186" t="str">
        <f t="shared" si="74"/>
        <v>1w</v>
      </c>
      <c r="Y2628" s="174">
        <f>_xll.qlCalendarAdvance(Calendar,Y2627,X2628,"f",FALSE)</f>
        <v>57376</v>
      </c>
      <c r="Z2628" s="198">
        <f>_xll.qlCalendarAdvance(Calendar,Y2628,NDays&amp;"D")</f>
        <v>57378</v>
      </c>
      <c r="AA2628" s="173">
        <v>1.9221224725763372E-2</v>
      </c>
      <c r="AB2628" s="182">
        <v>1.9197048683121665E-2</v>
      </c>
    </row>
    <row r="2629" spans="24:28" x14ac:dyDescent="0.2">
      <c r="X2629" s="186" t="str">
        <f t="shared" si="74"/>
        <v>1w</v>
      </c>
      <c r="Y2629" s="174">
        <f>_xll.qlCalendarAdvance(Calendar,Y2628,X2629,"f",FALSE)</f>
        <v>57383</v>
      </c>
      <c r="Z2629" s="198">
        <f>_xll.qlCalendarAdvance(Calendar,Y2629,NDays&amp;"D")</f>
        <v>57385</v>
      </c>
      <c r="AA2629" s="173">
        <v>1.9216143422732878E-2</v>
      </c>
      <c r="AB2629" s="182">
        <v>1.9191461257399567E-2</v>
      </c>
    </row>
    <row r="2630" spans="24:28" x14ac:dyDescent="0.2">
      <c r="X2630" s="186" t="str">
        <f t="shared" si="74"/>
        <v>1w</v>
      </c>
      <c r="Y2630" s="174">
        <f>_xll.qlCalendarAdvance(Calendar,Y2629,X2630,"f",FALSE)</f>
        <v>57390</v>
      </c>
      <c r="Z2630" s="198">
        <f>_xll.qlCalendarAdvance(Calendar,Y2630,NDays&amp;"D")</f>
        <v>57392</v>
      </c>
      <c r="AA2630" s="173">
        <v>1.9211106115221213E-2</v>
      </c>
      <c r="AB2630" s="182">
        <v>1.9185917400825758E-2</v>
      </c>
    </row>
    <row r="2631" spans="24:28" x14ac:dyDescent="0.2">
      <c r="X2631" s="186" t="str">
        <f t="shared" si="74"/>
        <v>1w</v>
      </c>
      <c r="Y2631" s="174">
        <f>_xll.qlCalendarAdvance(Calendar,Y2630,X2631,"f",FALSE)</f>
        <v>57397</v>
      </c>
      <c r="Z2631" s="198">
        <f>_xll.qlCalendarAdvance(Calendar,Y2631,NDays&amp;"D")</f>
        <v>57399</v>
      </c>
      <c r="AA2631" s="173">
        <v>1.9206112802896268E-2</v>
      </c>
      <c r="AB2631" s="182">
        <v>1.9180417113373593E-2</v>
      </c>
    </row>
    <row r="2632" spans="24:28" x14ac:dyDescent="0.2">
      <c r="X2632" s="186" t="str">
        <f t="shared" si="74"/>
        <v>1w</v>
      </c>
      <c r="Y2632" s="174">
        <f>_xll.qlCalendarAdvance(Calendar,Y2631,X2632,"f",FALSE)</f>
        <v>57404</v>
      </c>
      <c r="Z2632" s="198">
        <f>_xll.qlCalendarAdvance(Calendar,Y2632,NDays&amp;"D")</f>
        <v>57406</v>
      </c>
      <c r="AA2632" s="173">
        <v>1.9201853775327019E-2</v>
      </c>
      <c r="AB2632" s="182">
        <v>1.9174960395043072E-2</v>
      </c>
    </row>
    <row r="2633" spans="24:28" x14ac:dyDescent="0.2">
      <c r="X2633" s="186" t="str">
        <f t="shared" si="74"/>
        <v>1w</v>
      </c>
      <c r="Y2633" s="174">
        <f>_xll.qlCalendarAdvance(Calendar,Y2632,X2633,"f",FALSE)</f>
        <v>57411</v>
      </c>
      <c r="Z2633" s="198">
        <f>_xll.qlCalendarAdvance(Calendar,Y2633,NDays&amp;"D")</f>
        <v>57413</v>
      </c>
      <c r="AA2633" s="173">
        <v>1.9196959983318416E-2</v>
      </c>
      <c r="AB2633" s="182">
        <v>1.916954724580755E-2</v>
      </c>
    </row>
    <row r="2634" spans="24:28" x14ac:dyDescent="0.2">
      <c r="X2634" s="186" t="str">
        <f t="shared" si="74"/>
        <v>1w</v>
      </c>
      <c r="Y2634" s="174">
        <f>_xll.qlCalendarAdvance(Calendar,Y2633,X2634,"f",FALSE)</f>
        <v>57418</v>
      </c>
      <c r="Z2634" s="198">
        <f>_xll.qlCalendarAdvance(Calendar,Y2634,NDays&amp;"D")</f>
        <v>57420</v>
      </c>
      <c r="AA2634" s="173">
        <v>1.9192110195031128E-2</v>
      </c>
      <c r="AB2634" s="182">
        <v>1.9164177665667026E-2</v>
      </c>
    </row>
    <row r="2635" spans="24:28" x14ac:dyDescent="0.2">
      <c r="X2635" s="186" t="str">
        <f t="shared" si="74"/>
        <v>1w</v>
      </c>
      <c r="Y2635" s="174">
        <f>_xll.qlCalendarAdvance(Calendar,Y2634,X2635,"f",FALSE)</f>
        <v>57425</v>
      </c>
      <c r="Z2635" s="198">
        <f>_xll.qlCalendarAdvance(Calendar,Y2635,NDays&amp;"D")</f>
        <v>57427</v>
      </c>
      <c r="AA2635" s="173">
        <v>1.9187304410138929E-2</v>
      </c>
      <c r="AB2635" s="182">
        <v>1.9158851654648146E-2</v>
      </c>
    </row>
    <row r="2636" spans="24:28" x14ac:dyDescent="0.2">
      <c r="X2636" s="186" t="str">
        <f t="shared" si="74"/>
        <v>1w</v>
      </c>
      <c r="Y2636" s="174">
        <f>_xll.qlCalendarAdvance(Calendar,Y2635,X2636,"f",FALSE)</f>
        <v>57432</v>
      </c>
      <c r="Z2636" s="198">
        <f>_xll.qlCalendarAdvance(Calendar,Y2636,NDays&amp;"D")</f>
        <v>57434</v>
      </c>
      <c r="AA2636" s="173">
        <v>1.9181989851160632E-2</v>
      </c>
      <c r="AB2636" s="182">
        <v>1.9153569212670973E-2</v>
      </c>
    </row>
    <row r="2637" spans="24:28" x14ac:dyDescent="0.2">
      <c r="X2637" s="186" t="str">
        <f t="shared" si="74"/>
        <v>1w</v>
      </c>
      <c r="Y2637" s="174">
        <f>_xll.qlCalendarAdvance(Calendar,Y2636,X2637,"f",FALSE)</f>
        <v>57439</v>
      </c>
      <c r="Z2637" s="198">
        <f>_xll.qlCalendarAdvance(Calendar,Y2637,NDays&amp;"D")</f>
        <v>57441</v>
      </c>
      <c r="AA2637" s="173">
        <v>1.9177824849251748E-2</v>
      </c>
      <c r="AB2637" s="182">
        <v>1.9148330339815445E-2</v>
      </c>
    </row>
    <row r="2638" spans="24:28" x14ac:dyDescent="0.2">
      <c r="X2638" s="186" t="str">
        <f t="shared" si="74"/>
        <v>1w</v>
      </c>
      <c r="Y2638" s="174">
        <f>_xll.qlCalendarAdvance(Calendar,Y2637,X2638,"f",FALSE)</f>
        <v>57446</v>
      </c>
      <c r="Z2638" s="198">
        <f>_xll.qlCalendarAdvance(Calendar,Y2638,NDays&amp;"D")</f>
        <v>57448</v>
      </c>
      <c r="AA2638" s="173">
        <v>1.9173151072620305E-2</v>
      </c>
      <c r="AB2638" s="182">
        <v>1.9143135036028269E-2</v>
      </c>
    </row>
    <row r="2639" spans="24:28" x14ac:dyDescent="0.2">
      <c r="X2639" s="186" t="str">
        <f t="shared" si="74"/>
        <v>1w</v>
      </c>
      <c r="Y2639" s="174">
        <f>_xll.qlCalendarAdvance(Calendar,Y2638,X2639,"f",FALSE)</f>
        <v>57453</v>
      </c>
      <c r="Z2639" s="198">
        <f>_xll.qlCalendarAdvance(Calendar,Y2639,NDays&amp;"D")</f>
        <v>57459</v>
      </c>
      <c r="AA2639" s="173">
        <v>1.9165505984785551E-2</v>
      </c>
      <c r="AB2639" s="182">
        <v>1.9134771383937377E-2</v>
      </c>
    </row>
    <row r="2640" spans="24:28" x14ac:dyDescent="0.2">
      <c r="X2640" s="186" t="str">
        <f t="shared" si="74"/>
        <v>1w</v>
      </c>
      <c r="Y2640" s="174">
        <f>_xll.qlCalendarAdvance(Calendar,Y2639,X2640,"f",FALSE)</f>
        <v>57460</v>
      </c>
      <c r="Z2640" s="198">
        <f>_xll.qlCalendarAdvance(Calendar,Y2640,NDays&amp;"D")</f>
        <v>57462</v>
      </c>
      <c r="AA2640" s="173">
        <v>1.916393552541237E-2</v>
      </c>
      <c r="AB2640" s="182">
        <v>1.9132875135658978E-2</v>
      </c>
    </row>
    <row r="2641" spans="24:28" x14ac:dyDescent="0.2">
      <c r="X2641" s="186" t="str">
        <f t="shared" si="74"/>
        <v>1w</v>
      </c>
      <c r="Y2641" s="174">
        <f>_xll.qlCalendarAdvance(Calendar,Y2640,X2641,"f",FALSE)</f>
        <v>57467</v>
      </c>
      <c r="Z2641" s="198">
        <f>_xll.qlCalendarAdvance(Calendar,Y2641,NDays&amp;"D")</f>
        <v>57469</v>
      </c>
      <c r="AA2641" s="173">
        <v>1.9159393754216696E-2</v>
      </c>
      <c r="AB2641" s="182">
        <v>1.9127810539050216E-2</v>
      </c>
    </row>
    <row r="2642" spans="24:28" x14ac:dyDescent="0.2">
      <c r="X2642" s="186" t="str">
        <f t="shared" si="74"/>
        <v>1w</v>
      </c>
      <c r="Y2642" s="174">
        <f>_xll.qlCalendarAdvance(Calendar,Y2641,X2642,"f",FALSE)</f>
        <v>57474</v>
      </c>
      <c r="Z2642" s="198">
        <f>_xll.qlCalendarAdvance(Calendar,Y2642,NDays&amp;"D")</f>
        <v>57476</v>
      </c>
      <c r="AA2642" s="173">
        <v>1.9154895984218955E-2</v>
      </c>
      <c r="AB2642" s="182">
        <v>1.9122789511536453E-2</v>
      </c>
    </row>
    <row r="2643" spans="24:28" x14ac:dyDescent="0.2">
      <c r="X2643" s="186" t="str">
        <f t="shared" si="74"/>
        <v>1w</v>
      </c>
      <c r="Y2643" s="174">
        <f>_xll.qlCalendarAdvance(Calendar,Y2642,X2643,"f",FALSE)</f>
        <v>57481</v>
      </c>
      <c r="Z2643" s="198">
        <f>_xll.qlCalendarAdvance(Calendar,Y2643,NDays&amp;"D")</f>
        <v>57483</v>
      </c>
      <c r="AA2643" s="173">
        <v>1.9150442215117108E-2</v>
      </c>
      <c r="AB2643" s="182">
        <v>1.9117812053064398E-2</v>
      </c>
    </row>
    <row r="2644" spans="24:28" x14ac:dyDescent="0.2">
      <c r="X2644" s="186" t="str">
        <f t="shared" si="74"/>
        <v>1w</v>
      </c>
      <c r="Y2644" s="174">
        <f>_xll.qlCalendarAdvance(Calendar,Y2643,X2644,"f",FALSE)</f>
        <v>57488</v>
      </c>
      <c r="Z2644" s="198">
        <f>_xll.qlCalendarAdvance(Calendar,Y2644,NDays&amp;"D")</f>
        <v>57490</v>
      </c>
      <c r="AA2644" s="173">
        <v>1.9146032446611731E-2</v>
      </c>
      <c r="AB2644" s="182">
        <v>1.9112878163607405E-2</v>
      </c>
    </row>
    <row r="2645" spans="24:28" x14ac:dyDescent="0.2">
      <c r="X2645" s="186" t="str">
        <f t="shared" ref="X2645:X2708" si="75">X2644</f>
        <v>1w</v>
      </c>
      <c r="Y2645" s="174">
        <f>_xll.qlCalendarAdvance(Calendar,Y2644,X2645,"f",FALSE)</f>
        <v>57495</v>
      </c>
      <c r="Z2645" s="198">
        <f>_xll.qlCalendarAdvance(Calendar,Y2645,NDays&amp;"D")</f>
        <v>57497</v>
      </c>
      <c r="AA2645" s="173">
        <v>1.9141666678407696E-2</v>
      </c>
      <c r="AB2645" s="182">
        <v>1.9107987843245411E-2</v>
      </c>
    </row>
    <row r="2646" spans="24:28" x14ac:dyDescent="0.2">
      <c r="X2646" s="186" t="str">
        <f t="shared" si="75"/>
        <v>1w</v>
      </c>
      <c r="Y2646" s="174">
        <f>_xll.qlCalendarAdvance(Calendar,Y2645,X2646,"f",FALSE)</f>
        <v>57502</v>
      </c>
      <c r="Z2646" s="198">
        <f>_xll.qlCalendarAdvance(Calendar,Y2646,NDays&amp;"D")</f>
        <v>57504</v>
      </c>
      <c r="AA2646" s="173">
        <v>1.9137344910209898E-2</v>
      </c>
      <c r="AB2646" s="182">
        <v>1.9103141091871834E-2</v>
      </c>
    </row>
    <row r="2647" spans="24:28" x14ac:dyDescent="0.2">
      <c r="X2647" s="186" t="str">
        <f t="shared" si="75"/>
        <v>1w</v>
      </c>
      <c r="Y2647" s="174">
        <f>_xll.qlCalendarAdvance(Calendar,Y2646,X2647,"f",FALSE)</f>
        <v>57509</v>
      </c>
      <c r="Z2647" s="198">
        <f>_xll.qlCalendarAdvance(Calendar,Y2647,NDays&amp;"D")</f>
        <v>57511</v>
      </c>
      <c r="AA2647" s="173">
        <v>1.9133067141729698E-2</v>
      </c>
      <c r="AB2647" s="182">
        <v>1.9098337909539964E-2</v>
      </c>
    </row>
    <row r="2648" spans="24:28" x14ac:dyDescent="0.2">
      <c r="X2648" s="186" t="str">
        <f t="shared" si="75"/>
        <v>1w</v>
      </c>
      <c r="Y2648" s="174">
        <f>_xll.qlCalendarAdvance(Calendar,Y2647,X2648,"f",FALSE)</f>
        <v>57516</v>
      </c>
      <c r="Z2648" s="198">
        <f>_xll.qlCalendarAdvance(Calendar,Y2648,NDays&amp;"D")</f>
        <v>57518</v>
      </c>
      <c r="AA2648" s="173">
        <v>1.9128833372678896E-2</v>
      </c>
      <c r="AB2648" s="182">
        <v>1.9093578296249802E-2</v>
      </c>
    </row>
    <row r="2649" spans="24:28" x14ac:dyDescent="0.2">
      <c r="X2649" s="186" t="str">
        <f t="shared" si="75"/>
        <v>1w</v>
      </c>
      <c r="Y2649" s="174">
        <f>_xll.qlCalendarAdvance(Calendar,Y2648,X2649,"f",FALSE)</f>
        <v>57523</v>
      </c>
      <c r="Z2649" s="198">
        <f>_xll.qlCalendarAdvance(Calendar,Y2649,NDays&amp;"D")</f>
        <v>57525</v>
      </c>
      <c r="AA2649" s="173">
        <v>1.9124643602773609E-2</v>
      </c>
      <c r="AB2649" s="182">
        <v>1.9088862251948058E-2</v>
      </c>
    </row>
    <row r="2650" spans="24:28" x14ac:dyDescent="0.2">
      <c r="X2650" s="186" t="str">
        <f t="shared" si="75"/>
        <v>1w</v>
      </c>
      <c r="Y2650" s="174">
        <f>_xll.qlCalendarAdvance(Calendar,Y2649,X2650,"f",FALSE)</f>
        <v>57530</v>
      </c>
      <c r="Z2650" s="198">
        <f>_xll.qlCalendarAdvance(Calendar,Y2650,NDays&amp;"D")</f>
        <v>57532</v>
      </c>
      <c r="AA2650" s="173">
        <v>1.9120497831732551E-2</v>
      </c>
      <c r="AB2650" s="182">
        <v>1.9084189776661376E-2</v>
      </c>
    </row>
    <row r="2651" spans="24:28" x14ac:dyDescent="0.2">
      <c r="X2651" s="186" t="str">
        <f t="shared" si="75"/>
        <v>1w</v>
      </c>
      <c r="Y2651" s="174">
        <f>_xll.qlCalendarAdvance(Calendar,Y2650,X2651,"f",FALSE)</f>
        <v>57537</v>
      </c>
      <c r="Z2651" s="198">
        <f>_xll.qlCalendarAdvance(Calendar,Y2651,NDays&amp;"D")</f>
        <v>57539</v>
      </c>
      <c r="AA2651" s="173">
        <v>1.9116396059277022E-2</v>
      </c>
      <c r="AB2651" s="182">
        <v>1.9079560870416401E-2</v>
      </c>
    </row>
    <row r="2652" spans="24:28" x14ac:dyDescent="0.2">
      <c r="X2652" s="186" t="str">
        <f t="shared" si="75"/>
        <v>1w</v>
      </c>
      <c r="Y2652" s="174">
        <f>_xll.qlCalendarAdvance(Calendar,Y2651,X2652,"f",FALSE)</f>
        <v>57544</v>
      </c>
      <c r="Z2652" s="198">
        <f>_xll.qlCalendarAdvance(Calendar,Y2652,NDays&amp;"D")</f>
        <v>57546</v>
      </c>
      <c r="AA2652" s="173">
        <v>1.9112338285130925E-2</v>
      </c>
      <c r="AB2652" s="182">
        <v>1.9074975533133198E-2</v>
      </c>
    </row>
    <row r="2653" spans="24:28" x14ac:dyDescent="0.2">
      <c r="X2653" s="186" t="str">
        <f t="shared" si="75"/>
        <v>1w</v>
      </c>
      <c r="Y2653" s="174">
        <f>_xll.qlCalendarAdvance(Calendar,Y2652,X2653,"f",FALSE)</f>
        <v>57551</v>
      </c>
      <c r="Z2653" s="198">
        <f>_xll.qlCalendarAdvance(Calendar,Y2653,NDays&amp;"D")</f>
        <v>57553</v>
      </c>
      <c r="AA2653" s="173">
        <v>1.9108324509022903E-2</v>
      </c>
      <c r="AB2653" s="182">
        <v>1.9070433764865058E-2</v>
      </c>
    </row>
    <row r="2654" spans="24:28" x14ac:dyDescent="0.2">
      <c r="X2654" s="186" t="str">
        <f t="shared" si="75"/>
        <v>1w</v>
      </c>
      <c r="Y2654" s="174">
        <f>_xll.qlCalendarAdvance(Calendar,Y2653,X2654,"f",FALSE)</f>
        <v>57558</v>
      </c>
      <c r="Z2654" s="198">
        <f>_xll.qlCalendarAdvance(Calendar,Y2654,NDays&amp;"D")</f>
        <v>57560</v>
      </c>
      <c r="AA2654" s="173">
        <v>1.9104354730682473E-2</v>
      </c>
      <c r="AB2654" s="182">
        <v>1.9065935565585335E-2</v>
      </c>
    </row>
    <row r="2655" spans="24:28" x14ac:dyDescent="0.2">
      <c r="X2655" s="186" t="str">
        <f t="shared" si="75"/>
        <v>1w</v>
      </c>
      <c r="Y2655" s="174">
        <f>_xll.qlCalendarAdvance(Calendar,Y2654,X2655,"f",FALSE)</f>
        <v>57565</v>
      </c>
      <c r="Z2655" s="198">
        <f>_xll.qlCalendarAdvance(Calendar,Y2655,NDays&amp;"D")</f>
        <v>57567</v>
      </c>
      <c r="AA2655" s="173">
        <v>1.910042894984347E-2</v>
      </c>
      <c r="AB2655" s="182">
        <v>1.9061480935320674E-2</v>
      </c>
    </row>
    <row r="2656" spans="24:28" x14ac:dyDescent="0.2">
      <c r="X2656" s="186" t="str">
        <f t="shared" si="75"/>
        <v>1w</v>
      </c>
      <c r="Y2656" s="174">
        <f>_xll.qlCalendarAdvance(Calendar,Y2655,X2656,"f",FALSE)</f>
        <v>57572</v>
      </c>
      <c r="Z2656" s="198">
        <f>_xll.qlCalendarAdvance(Calendar,Y2656,NDays&amp;"D")</f>
        <v>57574</v>
      </c>
      <c r="AA2656" s="173">
        <v>1.9096547166242751E-2</v>
      </c>
      <c r="AB2656" s="182">
        <v>1.9057069874017785E-2</v>
      </c>
    </row>
    <row r="2657" spans="24:28" x14ac:dyDescent="0.2">
      <c r="X2657" s="186" t="str">
        <f t="shared" si="75"/>
        <v>1w</v>
      </c>
      <c r="Y2657" s="174">
        <f>_xll.qlCalendarAdvance(Calendar,Y2656,X2657,"f",FALSE)</f>
        <v>57579</v>
      </c>
      <c r="Z2657" s="198">
        <f>_xll.qlCalendarAdvance(Calendar,Y2657,NDays&amp;"D")</f>
        <v>57581</v>
      </c>
      <c r="AA2657" s="173">
        <v>1.9092709379618471E-2</v>
      </c>
      <c r="AB2657" s="182">
        <v>1.9052702381703313E-2</v>
      </c>
    </row>
    <row r="2658" spans="24:28" x14ac:dyDescent="0.2">
      <c r="X2658" s="186" t="str">
        <f t="shared" si="75"/>
        <v>1w</v>
      </c>
      <c r="Y2658" s="174">
        <f>_xll.qlCalendarAdvance(Calendar,Y2657,X2658,"f",FALSE)</f>
        <v>57586</v>
      </c>
      <c r="Z2658" s="198">
        <f>_xll.qlCalendarAdvance(Calendar,Y2658,NDays&amp;"D")</f>
        <v>57588</v>
      </c>
      <c r="AA2658" s="173">
        <v>1.9087922420510484E-2</v>
      </c>
      <c r="AB2658" s="182">
        <v>1.9048378458323967E-2</v>
      </c>
    </row>
    <row r="2659" spans="24:28" x14ac:dyDescent="0.2">
      <c r="X2659" s="186" t="str">
        <f t="shared" si="75"/>
        <v>1w</v>
      </c>
      <c r="Y2659" s="174">
        <f>_xll.qlCalendarAdvance(Calendar,Y2658,X2659,"f",FALSE)</f>
        <v>57593</v>
      </c>
      <c r="Z2659" s="198">
        <f>_xll.qlCalendarAdvance(Calendar,Y2659,NDays&amp;"D")</f>
        <v>57595</v>
      </c>
      <c r="AA2659" s="173">
        <v>1.9084160850767945E-2</v>
      </c>
      <c r="AB2659" s="182">
        <v>1.9044098103959683E-2</v>
      </c>
    </row>
    <row r="2660" spans="24:28" x14ac:dyDescent="0.2">
      <c r="X2660" s="186" t="str">
        <f t="shared" si="75"/>
        <v>1w</v>
      </c>
      <c r="Y2660" s="174">
        <f>_xll.qlCalendarAdvance(Calendar,Y2659,X2660,"f",FALSE)</f>
        <v>57600</v>
      </c>
      <c r="Z2660" s="198">
        <f>_xll.qlCalendarAdvance(Calendar,Y2660,NDays&amp;"D")</f>
        <v>57602</v>
      </c>
      <c r="AA2660" s="173">
        <v>1.9080443267871394E-2</v>
      </c>
      <c r="AB2660" s="182">
        <v>1.9039861318557172E-2</v>
      </c>
    </row>
    <row r="2661" spans="24:28" x14ac:dyDescent="0.2">
      <c r="X2661" s="186" t="str">
        <f t="shared" si="75"/>
        <v>1w</v>
      </c>
      <c r="Y2661" s="174">
        <f>_xll.qlCalendarAdvance(Calendar,Y2660,X2661,"f",FALSE)</f>
        <v>57607</v>
      </c>
      <c r="Z2661" s="198">
        <f>_xll.qlCalendarAdvance(Calendar,Y2661,NDays&amp;"D")</f>
        <v>57609</v>
      </c>
      <c r="AA2661" s="173">
        <v>1.9076769671575285E-2</v>
      </c>
      <c r="AB2661" s="182">
        <v>1.9035668102116432E-2</v>
      </c>
    </row>
    <row r="2662" spans="24:28" x14ac:dyDescent="0.2">
      <c r="X2662" s="186" t="str">
        <f t="shared" si="75"/>
        <v>1w</v>
      </c>
      <c r="Y2662" s="174">
        <f>_xll.qlCalendarAdvance(Calendar,Y2661,X2662,"f",FALSE)</f>
        <v>57614</v>
      </c>
      <c r="Z2662" s="198">
        <f>_xll.qlCalendarAdvance(Calendar,Y2662,NDays&amp;"D")</f>
        <v>57616</v>
      </c>
      <c r="AA2662" s="173">
        <v>1.9073399707397951E-2</v>
      </c>
      <c r="AB2662" s="182">
        <v>1.9031518454584173E-2</v>
      </c>
    </row>
    <row r="2663" spans="24:28" x14ac:dyDescent="0.2">
      <c r="X2663" s="186" t="str">
        <f t="shared" si="75"/>
        <v>1w</v>
      </c>
      <c r="Y2663" s="174">
        <f>_xll.qlCalendarAdvance(Calendar,Y2662,X2663,"f",FALSE)</f>
        <v>57621</v>
      </c>
      <c r="Z2663" s="198">
        <f>_xll.qlCalendarAdvance(Calendar,Y2663,NDays&amp;"D")</f>
        <v>57623</v>
      </c>
      <c r="AA2663" s="173">
        <v>1.90698170365316E-2</v>
      </c>
      <c r="AB2663" s="182">
        <v>1.9027412376066977E-2</v>
      </c>
    </row>
    <row r="2664" spans="24:28" x14ac:dyDescent="0.2">
      <c r="X2664" s="186" t="str">
        <f t="shared" si="75"/>
        <v>1w</v>
      </c>
      <c r="Y2664" s="174">
        <f>_xll.qlCalendarAdvance(Calendar,Y2663,X2664,"f",FALSE)</f>
        <v>57628</v>
      </c>
      <c r="Z2664" s="198">
        <f>_xll.qlCalendarAdvance(Calendar,Y2664,NDays&amp;"D")</f>
        <v>57630</v>
      </c>
      <c r="AA2664" s="173">
        <v>1.9067343489109337E-2</v>
      </c>
      <c r="AB2664" s="182">
        <v>1.9023349866458261E-2</v>
      </c>
    </row>
    <row r="2665" spans="24:28" x14ac:dyDescent="0.2">
      <c r="X2665" s="186" t="str">
        <f t="shared" si="75"/>
        <v>1w</v>
      </c>
      <c r="Y2665" s="174">
        <f>_xll.qlCalendarAdvance(Calendar,Y2664,X2665,"f",FALSE)</f>
        <v>57635</v>
      </c>
      <c r="Z2665" s="198">
        <f>_xll.qlCalendarAdvance(Calendar,Y2665,NDays&amp;"D")</f>
        <v>57637</v>
      </c>
      <c r="AA2665" s="173">
        <v>1.9062783659233008E-2</v>
      </c>
      <c r="AB2665" s="182">
        <v>1.9019330925811317E-2</v>
      </c>
    </row>
    <row r="2666" spans="24:28" x14ac:dyDescent="0.2">
      <c r="X2666" s="186" t="str">
        <f t="shared" si="75"/>
        <v>1w</v>
      </c>
      <c r="Y2666" s="174">
        <f>_xll.qlCalendarAdvance(Calendar,Y2665,X2666,"f",FALSE)</f>
        <v>57642</v>
      </c>
      <c r="Z2666" s="198">
        <f>_xll.qlCalendarAdvance(Calendar,Y2666,NDays&amp;"D")</f>
        <v>57644</v>
      </c>
      <c r="AA2666" s="173">
        <v>1.9059332952336083E-2</v>
      </c>
      <c r="AB2666" s="182">
        <v>1.9015355554072855E-2</v>
      </c>
    </row>
    <row r="2667" spans="24:28" x14ac:dyDescent="0.2">
      <c r="X2667" s="186" t="str">
        <f t="shared" si="75"/>
        <v>1w</v>
      </c>
      <c r="Y2667" s="174">
        <f>_xll.qlCalendarAdvance(Calendar,Y2666,X2667,"f",FALSE)</f>
        <v>57649</v>
      </c>
      <c r="Z2667" s="198">
        <f>_xll.qlCalendarAdvance(Calendar,Y2667,NDays&amp;"D")</f>
        <v>57651</v>
      </c>
      <c r="AA2667" s="173">
        <v>1.9055651799104453E-2</v>
      </c>
      <c r="AB2667" s="182">
        <v>1.9011423751296164E-2</v>
      </c>
    </row>
    <row r="2668" spans="24:28" x14ac:dyDescent="0.2">
      <c r="X2668" s="186" t="str">
        <f t="shared" si="75"/>
        <v>1w</v>
      </c>
      <c r="Y2668" s="174">
        <f>_xll.qlCalendarAdvance(Calendar,Y2667,X2668,"f",FALSE)</f>
        <v>57656</v>
      </c>
      <c r="Z2668" s="198">
        <f>_xll.qlCalendarAdvance(Calendar,Y2668,NDays&amp;"D")</f>
        <v>57658</v>
      </c>
      <c r="AA2668" s="173">
        <v>1.9052286102418679E-2</v>
      </c>
      <c r="AB2668" s="182">
        <v>1.9007535517454599E-2</v>
      </c>
    </row>
    <row r="2669" spans="24:28" x14ac:dyDescent="0.2">
      <c r="X2669" s="186" t="str">
        <f t="shared" si="75"/>
        <v>1w</v>
      </c>
      <c r="Y2669" s="174">
        <f>_xll.qlCalendarAdvance(Calendar,Y2668,X2669,"f",FALSE)</f>
        <v>57663</v>
      </c>
      <c r="Z2669" s="198">
        <f>_xll.qlCalendarAdvance(Calendar,Y2669,NDays&amp;"D")</f>
        <v>57665</v>
      </c>
      <c r="AA2669" s="173">
        <v>1.9048964390483335E-2</v>
      </c>
      <c r="AB2669" s="182">
        <v>1.900369085249487E-2</v>
      </c>
    </row>
    <row r="2670" spans="24:28" x14ac:dyDescent="0.2">
      <c r="X2670" s="186" t="str">
        <f t="shared" si="75"/>
        <v>1w</v>
      </c>
      <c r="Y2670" s="174">
        <f>_xll.qlCalendarAdvance(Calendar,Y2669,X2670,"f",FALSE)</f>
        <v>57670</v>
      </c>
      <c r="Z2670" s="198">
        <f>_xll.qlCalendarAdvance(Calendar,Y2670,NDays&amp;"D")</f>
        <v>57672</v>
      </c>
      <c r="AA2670" s="173">
        <v>1.904568666308069E-2</v>
      </c>
      <c r="AB2670" s="182">
        <v>1.8999889756496913E-2</v>
      </c>
    </row>
    <row r="2671" spans="24:28" x14ac:dyDescent="0.2">
      <c r="X2671" s="186" t="str">
        <f t="shared" si="75"/>
        <v>1w</v>
      </c>
      <c r="Y2671" s="174">
        <f>_xll.qlCalendarAdvance(Calendar,Y2670,X2671,"f",FALSE)</f>
        <v>57677</v>
      </c>
      <c r="Z2671" s="198">
        <f>_xll.qlCalendarAdvance(Calendar,Y2671,NDays&amp;"D")</f>
        <v>57679</v>
      </c>
      <c r="AA2671" s="173">
        <v>1.9042739226347638E-2</v>
      </c>
      <c r="AB2671" s="182">
        <v>1.8996132229407436E-2</v>
      </c>
    </row>
    <row r="2672" spans="24:28" x14ac:dyDescent="0.2">
      <c r="X2672" s="186" t="str">
        <f t="shared" si="75"/>
        <v>1w</v>
      </c>
      <c r="Y2672" s="174">
        <f>_xll.qlCalendarAdvance(Calendar,Y2671,X2672,"f",FALSE)</f>
        <v>57684</v>
      </c>
      <c r="Z2672" s="198">
        <f>_xll.qlCalendarAdvance(Calendar,Y2672,NDays&amp;"D")</f>
        <v>57686</v>
      </c>
      <c r="AA2672" s="173">
        <v>1.9039552441314417E-2</v>
      </c>
      <c r="AB2672" s="182">
        <v>1.8992418271226441E-2</v>
      </c>
    </row>
    <row r="2673" spans="24:28" x14ac:dyDescent="0.2">
      <c r="X2673" s="186" t="str">
        <f t="shared" si="75"/>
        <v>1w</v>
      </c>
      <c r="Y2673" s="174">
        <f>_xll.qlCalendarAdvance(Calendar,Y2672,X2673,"f",FALSE)</f>
        <v>57691</v>
      </c>
      <c r="Z2673" s="198">
        <f>_xll.qlCalendarAdvance(Calendar,Y2673,NDays&amp;"D")</f>
        <v>57693</v>
      </c>
      <c r="AA2673" s="173">
        <v>1.903640964250377E-2</v>
      </c>
      <c r="AB2673" s="182">
        <v>1.8988747881953927E-2</v>
      </c>
    </row>
    <row r="2674" spans="24:28" x14ac:dyDescent="0.2">
      <c r="X2674" s="186" t="str">
        <f t="shared" si="75"/>
        <v>1w</v>
      </c>
      <c r="Y2674" s="174">
        <f>_xll.qlCalendarAdvance(Calendar,Y2673,X2674,"f",FALSE)</f>
        <v>57698</v>
      </c>
      <c r="Z2674" s="198">
        <f>_xll.qlCalendarAdvance(Calendar,Y2674,NDays&amp;"D")</f>
        <v>57700</v>
      </c>
      <c r="AA2674" s="173">
        <v>1.9033310829709271E-2</v>
      </c>
      <c r="AB2674" s="182">
        <v>1.8985121061589894E-2</v>
      </c>
    </row>
    <row r="2675" spans="24:28" x14ac:dyDescent="0.2">
      <c r="X2675" s="186" t="str">
        <f t="shared" si="75"/>
        <v>1w</v>
      </c>
      <c r="Y2675" s="174">
        <f>_xll.qlCalendarAdvance(Calendar,Y2674,X2675,"f",FALSE)</f>
        <v>57706</v>
      </c>
      <c r="Z2675" s="198">
        <f>_xll.qlCalendarAdvance(Calendar,Y2675,NDays&amp;"D")</f>
        <v>57710</v>
      </c>
      <c r="AA2675" s="173">
        <v>1.9028062659656484E-2</v>
      </c>
      <c r="AB2675" s="182">
        <v>1.8979768138098763E-2</v>
      </c>
    </row>
    <row r="2676" spans="24:28" x14ac:dyDescent="0.2">
      <c r="X2676" s="186" t="str">
        <f t="shared" si="75"/>
        <v>1w</v>
      </c>
      <c r="Y2676" s="174">
        <f>_xll.qlCalendarAdvance(Calendar,Y2675,X2676,"f",FALSE)</f>
        <v>57713</v>
      </c>
      <c r="Z2676" s="198">
        <f>_xll.qlCalendarAdvance(Calendar,Y2676,NDays&amp;"D")</f>
        <v>57717</v>
      </c>
      <c r="AA2676" s="173">
        <v>1.9025968265694009E-2</v>
      </c>
      <c r="AB2676" s="182">
        <v>1.8975994232750537E-2</v>
      </c>
    </row>
    <row r="2677" spans="24:28" x14ac:dyDescent="0.2">
      <c r="X2677" s="186" t="str">
        <f t="shared" si="75"/>
        <v>1w</v>
      </c>
      <c r="Y2677" s="174">
        <f>_xll.qlCalendarAdvance(Calendar,Y2676,X2677,"f",FALSE)</f>
        <v>57720</v>
      </c>
      <c r="Z2677" s="198">
        <f>_xll.qlCalendarAdvance(Calendar,Y2677,NDays&amp;"D")</f>
        <v>57724</v>
      </c>
      <c r="AA2677" s="173">
        <v>1.9023020260558618E-2</v>
      </c>
      <c r="AB2677" s="182">
        <v>1.8972510934380793E-2</v>
      </c>
    </row>
    <row r="2678" spans="24:28" x14ac:dyDescent="0.2">
      <c r="X2678" s="186" t="str">
        <f t="shared" si="75"/>
        <v>1w</v>
      </c>
      <c r="Y2678" s="174">
        <f>_xll.qlCalendarAdvance(Calendar,Y2677,X2678,"f",FALSE)</f>
        <v>57727</v>
      </c>
      <c r="Z2678" s="198">
        <f>_xll.qlCalendarAdvance(Calendar,Y2678,NDays&amp;"D")</f>
        <v>57731</v>
      </c>
      <c r="AA2678" s="173">
        <v>1.9020116240555249E-2</v>
      </c>
      <c r="AB2678" s="182">
        <v>1.8969071200443111E-2</v>
      </c>
    </row>
    <row r="2679" spans="24:28" x14ac:dyDescent="0.2">
      <c r="X2679" s="186" t="str">
        <f t="shared" si="75"/>
        <v>1w</v>
      </c>
      <c r="Y2679" s="174">
        <f>_xll.qlCalendarAdvance(Calendar,Y2678,X2679,"f",FALSE)</f>
        <v>57734</v>
      </c>
      <c r="Z2679" s="198">
        <f>_xll.qlCalendarAdvance(Calendar,Y2679,NDays&amp;"D")</f>
        <v>57738</v>
      </c>
      <c r="AA2679" s="173">
        <v>1.9017256205490208E-2</v>
      </c>
      <c r="AB2679" s="182">
        <v>1.8965675030697682E-2</v>
      </c>
    </row>
    <row r="2680" spans="24:28" x14ac:dyDescent="0.2">
      <c r="X2680" s="186" t="str">
        <f t="shared" si="75"/>
        <v>1w</v>
      </c>
      <c r="Y2680" s="174">
        <f>_xll.qlCalendarAdvance(Calendar,Y2679,X2680,"f",FALSE)</f>
        <v>57741</v>
      </c>
      <c r="Z2680" s="198">
        <f>_xll.qlCalendarAdvance(Calendar,Y2680,NDays&amp;"D")</f>
        <v>57745</v>
      </c>
      <c r="AA2680" s="173">
        <v>1.9014440155175075E-2</v>
      </c>
      <c r="AB2680" s="182">
        <v>1.8962322425064571E-2</v>
      </c>
    </row>
    <row r="2681" spans="24:28" x14ac:dyDescent="0.2">
      <c r="X2681" s="186" t="str">
        <f t="shared" si="75"/>
        <v>1w</v>
      </c>
      <c r="Y2681" s="174">
        <f>_xll.qlCalendarAdvance(Calendar,Y2680,X2681,"f",FALSE)</f>
        <v>57748</v>
      </c>
      <c r="Z2681" s="198">
        <f>_xll.qlCalendarAdvance(Calendar,Y2681,NDays&amp;"D")</f>
        <v>57752</v>
      </c>
      <c r="AA2681" s="173">
        <v>1.9011668089424501E-2</v>
      </c>
      <c r="AB2681" s="182">
        <v>1.8959013383783585E-2</v>
      </c>
    </row>
    <row r="2682" spans="24:28" x14ac:dyDescent="0.2">
      <c r="X2682" s="186" t="str">
        <f t="shared" si="75"/>
        <v>1w</v>
      </c>
      <c r="Y2682" s="174">
        <f>_xll.qlCalendarAdvance(Calendar,Y2681,X2682,"f",FALSE)</f>
        <v>57755</v>
      </c>
      <c r="Z2682" s="198">
        <f>_xll.qlCalendarAdvance(Calendar,Y2682,NDays&amp;"D")</f>
        <v>57759</v>
      </c>
      <c r="AA2682" s="173">
        <v>1.9008940008054465E-2</v>
      </c>
      <c r="AB2682" s="182">
        <v>1.8955747906774789E-2</v>
      </c>
    </row>
    <row r="2683" spans="24:28" x14ac:dyDescent="0.2">
      <c r="X2683" s="186" t="str">
        <f t="shared" si="75"/>
        <v>1w</v>
      </c>
      <c r="Y2683" s="174">
        <f>_xll.qlCalendarAdvance(Calendar,Y2682,X2683,"f",FALSE)</f>
        <v>57762</v>
      </c>
      <c r="Z2683" s="198">
        <f>_xll.qlCalendarAdvance(Calendar,Y2683,NDays&amp;"D")</f>
        <v>57766</v>
      </c>
      <c r="AA2683" s="173">
        <v>1.9006255910885325E-2</v>
      </c>
      <c r="AB2683" s="182">
        <v>1.8952525993878311E-2</v>
      </c>
    </row>
    <row r="2684" spans="24:28" x14ac:dyDescent="0.2">
      <c r="X2684" s="186" t="str">
        <f t="shared" si="75"/>
        <v>1w</v>
      </c>
      <c r="Y2684" s="174">
        <f>_xll.qlCalendarAdvance(Calendar,Y2683,X2684,"f",FALSE)</f>
        <v>57769</v>
      </c>
      <c r="Z2684" s="198">
        <f>_xll.qlCalendarAdvance(Calendar,Y2684,NDays&amp;"D")</f>
        <v>57773</v>
      </c>
      <c r="AA2684" s="173">
        <v>1.9004269565722067E-2</v>
      </c>
      <c r="AB2684" s="182">
        <v>1.8949347645174086E-2</v>
      </c>
    </row>
    <row r="2685" spans="24:28" x14ac:dyDescent="0.2">
      <c r="X2685" s="186" t="str">
        <f t="shared" si="75"/>
        <v>1w</v>
      </c>
      <c r="Y2685" s="174">
        <f>_xll.qlCalendarAdvance(Calendar,Y2684,X2685,"f",FALSE)</f>
        <v>57776</v>
      </c>
      <c r="Z2685" s="198">
        <f>_xll.qlCalendarAdvance(Calendar,Y2685,NDays&amp;"D")</f>
        <v>57780</v>
      </c>
      <c r="AA2685" s="173">
        <v>1.9001679447672028E-2</v>
      </c>
      <c r="AB2685" s="182">
        <v>1.8946212860821987E-2</v>
      </c>
    </row>
    <row r="2686" spans="24:28" x14ac:dyDescent="0.2">
      <c r="X2686" s="186" t="str">
        <f t="shared" si="75"/>
        <v>1w</v>
      </c>
      <c r="Y2686" s="174">
        <f>_xll.qlCalendarAdvance(Calendar,Y2685,X2686,"f",FALSE)</f>
        <v>57783</v>
      </c>
      <c r="Z2686" s="198">
        <f>_xll.qlCalendarAdvance(Calendar,Y2686,NDays&amp;"D")</f>
        <v>57787</v>
      </c>
      <c r="AA2686" s="173">
        <v>1.8999133317933244E-2</v>
      </c>
      <c r="AB2686" s="182">
        <v>1.8943121640662142E-2</v>
      </c>
    </row>
    <row r="2687" spans="24:28" x14ac:dyDescent="0.2">
      <c r="X2687" s="186" t="str">
        <f t="shared" si="75"/>
        <v>1w</v>
      </c>
      <c r="Y2687" s="174">
        <f>_xll.qlCalendarAdvance(Calendar,Y2686,X2687,"f",FALSE)</f>
        <v>57790</v>
      </c>
      <c r="Z2687" s="198">
        <f>_xll.qlCalendarAdvance(Calendar,Y2687,NDays&amp;"D")</f>
        <v>57794</v>
      </c>
      <c r="AA2687" s="173">
        <v>1.8996631176334981E-2</v>
      </c>
      <c r="AB2687" s="182">
        <v>1.8940073984614614E-2</v>
      </c>
    </row>
    <row r="2688" spans="24:28" x14ac:dyDescent="0.2">
      <c r="X2688" s="186" t="str">
        <f t="shared" si="75"/>
        <v>1w</v>
      </c>
      <c r="Y2688" s="174">
        <f>_xll.qlCalendarAdvance(Calendar,Y2687,X2688,"f",FALSE)</f>
        <v>57797</v>
      </c>
      <c r="Z2688" s="198">
        <f>_xll.qlCalendarAdvance(Calendar,Y2688,NDays&amp;"D")</f>
        <v>57801</v>
      </c>
      <c r="AA2688" s="173">
        <v>1.8993833952401354E-2</v>
      </c>
      <c r="AB2688" s="182">
        <v>1.8937069892839276E-2</v>
      </c>
    </row>
    <row r="2689" spans="24:28" x14ac:dyDescent="0.2">
      <c r="X2689" s="186" t="str">
        <f t="shared" si="75"/>
        <v>1w</v>
      </c>
      <c r="Y2689" s="174">
        <f>_xll.qlCalendarAdvance(Calendar,Y2688,X2689,"f",FALSE)</f>
        <v>57804</v>
      </c>
      <c r="Z2689" s="198">
        <f>_xll.qlCalendarAdvance(Calendar,Y2689,NDays&amp;"D")</f>
        <v>57808</v>
      </c>
      <c r="AA2689" s="173">
        <v>1.8991416771537581E-2</v>
      </c>
      <c r="AB2689" s="182">
        <v>1.8934109365256191E-2</v>
      </c>
    </row>
    <row r="2690" spans="24:28" x14ac:dyDescent="0.2">
      <c r="X2690" s="186" t="str">
        <f t="shared" si="75"/>
        <v>1w</v>
      </c>
      <c r="Y2690" s="174">
        <f>_xll.qlCalendarAdvance(Calendar,Y2689,X2690,"f",FALSE)</f>
        <v>57811</v>
      </c>
      <c r="Z2690" s="198">
        <f>_xll.qlCalendarAdvance(Calendar,Y2690,NDays&amp;"D")</f>
        <v>57817</v>
      </c>
      <c r="AA2690" s="173">
        <v>1.898837359905985E-2</v>
      </c>
      <c r="AB2690" s="182">
        <v>1.8930366985410174E-2</v>
      </c>
    </row>
    <row r="2691" spans="24:28" x14ac:dyDescent="0.2">
      <c r="X2691" s="186" t="str">
        <f t="shared" si="75"/>
        <v>1w</v>
      </c>
      <c r="Y2691" s="174">
        <f>_xll.qlCalendarAdvance(Calendar,Y2690,X2691,"f",FALSE)</f>
        <v>57818</v>
      </c>
      <c r="Z2691" s="198">
        <f>_xll.qlCalendarAdvance(Calendar,Y2691,NDays&amp;"D")</f>
        <v>57822</v>
      </c>
      <c r="AA2691" s="173">
        <v>1.8986714365656063E-2</v>
      </c>
      <c r="AB2691" s="182">
        <v>1.8928319002826655E-2</v>
      </c>
    </row>
    <row r="2692" spans="24:28" x14ac:dyDescent="0.2">
      <c r="X2692" s="186" t="str">
        <f t="shared" si="75"/>
        <v>1w</v>
      </c>
      <c r="Y2692" s="174">
        <f>_xll.qlCalendarAdvance(Calendar,Y2691,X2692,"f",FALSE)</f>
        <v>57825</v>
      </c>
      <c r="Z2692" s="198">
        <f>_xll.qlCalendarAdvance(Calendar,Y2692,NDays&amp;"D")</f>
        <v>57829</v>
      </c>
      <c r="AA2692" s="173">
        <v>1.8984429140325131E-2</v>
      </c>
      <c r="AB2692" s="182">
        <v>1.8925489167900267E-2</v>
      </c>
    </row>
    <row r="2693" spans="24:28" x14ac:dyDescent="0.2">
      <c r="X2693" s="186" t="str">
        <f t="shared" si="75"/>
        <v>1w</v>
      </c>
      <c r="Y2693" s="174">
        <f>_xll.qlCalendarAdvance(Calendar,Y2692,X2693,"f",FALSE)</f>
        <v>57832</v>
      </c>
      <c r="Z2693" s="198">
        <f>_xll.qlCalendarAdvance(Calendar,Y2693,NDays&amp;"D")</f>
        <v>57836</v>
      </c>
      <c r="AA2693" s="173">
        <v>1.8982542068550625E-2</v>
      </c>
      <c r="AB2693" s="182">
        <v>1.8922702897246069E-2</v>
      </c>
    </row>
    <row r="2694" spans="24:28" x14ac:dyDescent="0.2">
      <c r="X2694" s="186" t="str">
        <f t="shared" si="75"/>
        <v>1w</v>
      </c>
      <c r="Y2694" s="174">
        <f>_xll.qlCalendarAdvance(Calendar,Y2693,X2694,"f",FALSE)</f>
        <v>57839</v>
      </c>
      <c r="Z2694" s="198">
        <f>_xll.qlCalendarAdvance(Calendar,Y2694,NDays&amp;"D")</f>
        <v>57843</v>
      </c>
      <c r="AA2694" s="173">
        <v>1.8980347839423099E-2</v>
      </c>
      <c r="AB2694" s="182">
        <v>1.8919960190704188E-2</v>
      </c>
    </row>
    <row r="2695" spans="24:28" x14ac:dyDescent="0.2">
      <c r="X2695" s="186" t="str">
        <f t="shared" si="75"/>
        <v>1w</v>
      </c>
      <c r="Y2695" s="174">
        <f>_xll.qlCalendarAdvance(Calendar,Y2694,X2695,"f",FALSE)</f>
        <v>57846</v>
      </c>
      <c r="Z2695" s="198">
        <f>_xll.qlCalendarAdvance(Calendar,Y2695,NDays&amp;"D")</f>
        <v>57850</v>
      </c>
      <c r="AA2695" s="173">
        <v>1.8978197597181445E-2</v>
      </c>
      <c r="AB2695" s="182">
        <v>1.8917261048354561E-2</v>
      </c>
    </row>
    <row r="2696" spans="24:28" x14ac:dyDescent="0.2">
      <c r="X2696" s="186" t="str">
        <f t="shared" si="75"/>
        <v>1w</v>
      </c>
      <c r="Y2696" s="174">
        <f>_xll.qlCalendarAdvance(Calendar,Y2695,X2696,"f",FALSE)</f>
        <v>57853</v>
      </c>
      <c r="Z2696" s="198">
        <f>_xll.qlCalendarAdvance(Calendar,Y2696,NDays&amp;"D")</f>
        <v>57857</v>
      </c>
      <c r="AA2696" s="173">
        <v>1.8976091341683172E-2</v>
      </c>
      <c r="AB2696" s="182">
        <v>1.891460547035706E-2</v>
      </c>
    </row>
    <row r="2697" spans="24:28" x14ac:dyDescent="0.2">
      <c r="X2697" s="186" t="str">
        <f t="shared" si="75"/>
        <v>1w</v>
      </c>
      <c r="Y2697" s="174">
        <f>_xll.qlCalendarAdvance(Calendar,Y2696,X2697,"f",FALSE)</f>
        <v>57860</v>
      </c>
      <c r="Z2697" s="198">
        <f>_xll.qlCalendarAdvance(Calendar,Y2697,NDays&amp;"D")</f>
        <v>57864</v>
      </c>
      <c r="AA2697" s="173">
        <v>1.8973662783788779E-2</v>
      </c>
      <c r="AB2697" s="182">
        <v>1.8911993456471876E-2</v>
      </c>
    </row>
    <row r="2698" spans="24:28" x14ac:dyDescent="0.2">
      <c r="X2698" s="186" t="str">
        <f t="shared" si="75"/>
        <v>1w</v>
      </c>
      <c r="Y2698" s="174">
        <f>_xll.qlCalendarAdvance(Calendar,Y2697,X2698,"f",FALSE)</f>
        <v>57867</v>
      </c>
      <c r="Z2698" s="198">
        <f>_xll.qlCalendarAdvance(Calendar,Y2698,NDays&amp;"D")</f>
        <v>57871</v>
      </c>
      <c r="AA2698" s="173">
        <v>1.8971641465503133E-2</v>
      </c>
      <c r="AB2698" s="182">
        <v>1.8909425006778946E-2</v>
      </c>
    </row>
    <row r="2699" spans="24:28" x14ac:dyDescent="0.2">
      <c r="X2699" s="186" t="str">
        <f t="shared" si="75"/>
        <v>1w</v>
      </c>
      <c r="Y2699" s="174">
        <f>_xll.qlCalendarAdvance(Calendar,Y2698,X2699,"f",FALSE)</f>
        <v>57874</v>
      </c>
      <c r="Z2699" s="198">
        <f>_xll.qlCalendarAdvance(Calendar,Y2699,NDays&amp;"D")</f>
        <v>57878</v>
      </c>
      <c r="AA2699" s="173">
        <v>1.8969664131238722E-2</v>
      </c>
      <c r="AB2699" s="182">
        <v>1.8906900121358206E-2</v>
      </c>
    </row>
    <row r="2700" spans="24:28" x14ac:dyDescent="0.2">
      <c r="X2700" s="186" t="str">
        <f t="shared" si="75"/>
        <v>1w</v>
      </c>
      <c r="Y2700" s="174">
        <f>_xll.qlCalendarAdvance(Calendar,Y2699,X2700,"f",FALSE)</f>
        <v>57881</v>
      </c>
      <c r="Z2700" s="198">
        <f>_xll.qlCalendarAdvance(Calendar,Y2700,NDays&amp;"D")</f>
        <v>57885</v>
      </c>
      <c r="AA2700" s="173">
        <v>1.8967730780863626E-2</v>
      </c>
      <c r="AB2700" s="182">
        <v>1.8904418800209655E-2</v>
      </c>
    </row>
    <row r="2701" spans="24:28" x14ac:dyDescent="0.2">
      <c r="X2701" s="186" t="str">
        <f t="shared" si="75"/>
        <v>1w</v>
      </c>
      <c r="Y2701" s="174">
        <f>_xll.qlCalendarAdvance(Calendar,Y2700,X2701,"f",FALSE)</f>
        <v>57888</v>
      </c>
      <c r="Z2701" s="198">
        <f>_xll.qlCalendarAdvance(Calendar,Y2701,NDays&amp;"D")</f>
        <v>57892</v>
      </c>
      <c r="AA2701" s="173">
        <v>1.8966598610880826E-2</v>
      </c>
      <c r="AB2701" s="182">
        <v>1.8901981043093485E-2</v>
      </c>
    </row>
    <row r="2702" spans="24:28" x14ac:dyDescent="0.2">
      <c r="X2702" s="186" t="str">
        <f t="shared" si="75"/>
        <v>1w</v>
      </c>
      <c r="Y2702" s="174">
        <f>_xll.qlCalendarAdvance(Calendar,Y2701,X2702,"f",FALSE)</f>
        <v>57895</v>
      </c>
      <c r="Z2702" s="198">
        <f>_xll.qlCalendarAdvance(Calendar,Y2702,NDays&amp;"D")</f>
        <v>57899</v>
      </c>
      <c r="AA2702" s="173">
        <v>1.8964377522609321E-2</v>
      </c>
      <c r="AB2702" s="182">
        <v>1.8899586850249506E-2</v>
      </c>
    </row>
    <row r="2703" spans="24:28" x14ac:dyDescent="0.2">
      <c r="X2703" s="186" t="str">
        <f t="shared" si="75"/>
        <v>1w</v>
      </c>
      <c r="Y2703" s="174">
        <f>_xll.qlCalendarAdvance(Calendar,Y2702,X2703,"f",FALSE)</f>
        <v>57902</v>
      </c>
      <c r="Z2703" s="198">
        <f>_xll.qlCalendarAdvance(Calendar,Y2703,NDays&amp;"D")</f>
        <v>57906</v>
      </c>
      <c r="AA2703" s="173">
        <v>1.8962579170532935E-2</v>
      </c>
      <c r="AB2703" s="182">
        <v>1.8897236221677716E-2</v>
      </c>
    </row>
    <row r="2704" spans="24:28" x14ac:dyDescent="0.2">
      <c r="X2704" s="186" t="str">
        <f t="shared" si="75"/>
        <v>1w</v>
      </c>
      <c r="Y2704" s="174">
        <f>_xll.qlCalendarAdvance(Calendar,Y2703,X2704,"f",FALSE)</f>
        <v>57909</v>
      </c>
      <c r="Z2704" s="198">
        <f>_xll.qlCalendarAdvance(Calendar,Y2704,NDays&amp;"D")</f>
        <v>57913</v>
      </c>
      <c r="AA2704" s="173">
        <v>1.8960824804155983E-2</v>
      </c>
      <c r="AB2704" s="182">
        <v>1.8894929157218243E-2</v>
      </c>
    </row>
    <row r="2705" spans="24:28" x14ac:dyDescent="0.2">
      <c r="X2705" s="186" t="str">
        <f t="shared" si="75"/>
        <v>1w</v>
      </c>
      <c r="Y2705" s="174">
        <f>_xll.qlCalendarAdvance(Calendar,Y2704,X2705,"f",FALSE)</f>
        <v>57916</v>
      </c>
      <c r="Z2705" s="198">
        <f>_xll.qlCalendarAdvance(Calendar,Y2705,NDays&amp;"D")</f>
        <v>57920</v>
      </c>
      <c r="AA2705" s="173">
        <v>1.8959114423360728E-2</v>
      </c>
      <c r="AB2705" s="182">
        <v>1.889266565703096E-2</v>
      </c>
    </row>
    <row r="2706" spans="24:28" x14ac:dyDescent="0.2">
      <c r="X2706" s="186" t="str">
        <f t="shared" si="75"/>
        <v>1w</v>
      </c>
      <c r="Y2706" s="174">
        <f>_xll.qlCalendarAdvance(Calendar,Y2705,X2706,"f",FALSE)</f>
        <v>57923</v>
      </c>
      <c r="Z2706" s="198">
        <f>_xll.qlCalendarAdvance(Calendar,Y2706,NDays&amp;"D")</f>
        <v>57927</v>
      </c>
      <c r="AA2706" s="173">
        <v>1.8957448028033348E-2</v>
      </c>
      <c r="AB2706" s="182">
        <v>1.8890445720955995E-2</v>
      </c>
    </row>
    <row r="2707" spans="24:28" x14ac:dyDescent="0.2">
      <c r="X2707" s="186" t="str">
        <f t="shared" si="75"/>
        <v>1w</v>
      </c>
      <c r="Y2707" s="174">
        <f>_xll.qlCalendarAdvance(Calendar,Y2706,X2707,"f",FALSE)</f>
        <v>57930</v>
      </c>
      <c r="Z2707" s="198">
        <f>_xll.qlCalendarAdvance(Calendar,Y2707,NDays&amp;"D")</f>
        <v>57934</v>
      </c>
      <c r="AA2707" s="173">
        <v>1.8955825618062631E-2</v>
      </c>
      <c r="AB2707" s="182">
        <v>1.8888269349153219E-2</v>
      </c>
    </row>
    <row r="2708" spans="24:28" x14ac:dyDescent="0.2">
      <c r="X2708" s="186" t="str">
        <f t="shared" si="75"/>
        <v>1w</v>
      </c>
      <c r="Y2708" s="174">
        <f>_xll.qlCalendarAdvance(Calendar,Y2707,X2708,"f",FALSE)</f>
        <v>57937</v>
      </c>
      <c r="Z2708" s="198">
        <f>_xll.qlCalendarAdvance(Calendar,Y2708,NDays&amp;"D")</f>
        <v>57941</v>
      </c>
      <c r="AA2708" s="173">
        <v>1.8954247193339966E-2</v>
      </c>
      <c r="AB2708" s="182">
        <v>1.8886136541462761E-2</v>
      </c>
    </row>
    <row r="2709" spans="24:28" x14ac:dyDescent="0.2">
      <c r="X2709" s="186" t="str">
        <f t="shared" ref="X2709:X2772" si="76">X2708</f>
        <v>1w</v>
      </c>
      <c r="Y2709" s="174">
        <f>_xll.qlCalendarAdvance(Calendar,Y2708,X2709,"f",FALSE)</f>
        <v>57944</v>
      </c>
      <c r="Z2709" s="198">
        <f>_xll.qlCalendarAdvance(Calendar,Y2709,NDays&amp;"D")</f>
        <v>57948</v>
      </c>
      <c r="AA2709" s="173">
        <v>1.8952712753759784E-2</v>
      </c>
      <c r="AB2709" s="182">
        <v>1.8884047298044493E-2</v>
      </c>
    </row>
    <row r="2710" spans="24:28" x14ac:dyDescent="0.2">
      <c r="X2710" s="186" t="str">
        <f t="shared" si="76"/>
        <v>1w</v>
      </c>
      <c r="Y2710" s="174">
        <f>_xll.qlCalendarAdvance(Calendar,Y2709,X2710,"f",FALSE)</f>
        <v>57951</v>
      </c>
      <c r="Z2710" s="198">
        <f>_xll.qlCalendarAdvance(Calendar,Y2710,NDays&amp;"D")</f>
        <v>57955</v>
      </c>
      <c r="AA2710" s="173">
        <v>1.8950410736188427E-2</v>
      </c>
      <c r="AB2710" s="182">
        <v>1.8882001618818478E-2</v>
      </c>
    </row>
    <row r="2711" spans="24:28" x14ac:dyDescent="0.2">
      <c r="X2711" s="186" t="str">
        <f t="shared" si="76"/>
        <v>1w</v>
      </c>
      <c r="Y2711" s="174">
        <f>_xll.qlCalendarAdvance(Calendar,Y2710,X2711,"f",FALSE)</f>
        <v>57958</v>
      </c>
      <c r="Z2711" s="198">
        <f>_xll.qlCalendarAdvance(Calendar,Y2711,NDays&amp;"D")</f>
        <v>57962</v>
      </c>
      <c r="AA2711" s="173">
        <v>1.8948958135256141E-2</v>
      </c>
      <c r="AB2711" s="182">
        <v>1.8879999503784717E-2</v>
      </c>
    </row>
    <row r="2712" spans="24:28" x14ac:dyDescent="0.2">
      <c r="X2712" s="186" t="str">
        <f t="shared" si="76"/>
        <v>1w</v>
      </c>
      <c r="Y2712" s="174">
        <f>_xll.qlCalendarAdvance(Calendar,Y2711,X2712,"f",FALSE)</f>
        <v>57965</v>
      </c>
      <c r="Z2712" s="198">
        <f>_xll.qlCalendarAdvance(Calendar,Y2712,NDays&amp;"D")</f>
        <v>57969</v>
      </c>
      <c r="AA2712" s="173">
        <v>1.8947549514562206E-2</v>
      </c>
      <c r="AB2712" s="182">
        <v>1.8878040952943209E-2</v>
      </c>
    </row>
    <row r="2713" spans="24:28" x14ac:dyDescent="0.2">
      <c r="X2713" s="186" t="str">
        <f t="shared" si="76"/>
        <v>1w</v>
      </c>
      <c r="Y2713" s="174">
        <f>_xll.qlCalendarAdvance(Calendar,Y2712,X2713,"f",FALSE)</f>
        <v>57972</v>
      </c>
      <c r="Z2713" s="198">
        <f>_xll.qlCalendarAdvance(Calendar,Y2713,NDays&amp;"D")</f>
        <v>57976</v>
      </c>
      <c r="AA2713" s="173">
        <v>1.8946184874012194E-2</v>
      </c>
      <c r="AB2713" s="182">
        <v>1.8876125966293955E-2</v>
      </c>
    </row>
    <row r="2714" spans="24:28" x14ac:dyDescent="0.2">
      <c r="X2714" s="186" t="str">
        <f t="shared" si="76"/>
        <v>1w</v>
      </c>
      <c r="Y2714" s="174">
        <f>_xll.qlCalendarAdvance(Calendar,Y2713,X2714,"f",FALSE)</f>
        <v>57979</v>
      </c>
      <c r="Z2714" s="198">
        <f>_xll.qlCalendarAdvance(Calendar,Y2714,NDays&amp;"D")</f>
        <v>57983</v>
      </c>
      <c r="AA2714" s="173">
        <v>1.8943195680189009E-2</v>
      </c>
      <c r="AB2714" s="182">
        <v>1.8874254543836955E-2</v>
      </c>
    </row>
    <row r="2715" spans="24:28" x14ac:dyDescent="0.2">
      <c r="X2715" s="186" t="str">
        <f t="shared" si="76"/>
        <v>1w</v>
      </c>
      <c r="Y2715" s="174">
        <f>_xll.qlCalendarAdvance(Calendar,Y2714,X2715,"f",FALSE)</f>
        <v>57986</v>
      </c>
      <c r="Z2715" s="198">
        <f>_xll.qlCalendarAdvance(Calendar,Y2715,NDays&amp;"D")</f>
        <v>57990</v>
      </c>
      <c r="AA2715" s="173">
        <v>1.8943587532988179E-2</v>
      </c>
      <c r="AB2715" s="182">
        <v>1.8872426685572208E-2</v>
      </c>
    </row>
    <row r="2716" spans="24:28" x14ac:dyDescent="0.2">
      <c r="X2716" s="186" t="str">
        <f t="shared" si="76"/>
        <v>1w</v>
      </c>
      <c r="Y2716" s="174">
        <f>_xll.qlCalendarAdvance(Calendar,Y2715,X2716,"f",FALSE)</f>
        <v>57993</v>
      </c>
      <c r="Z2716" s="198">
        <f>_xll.qlCalendarAdvance(Calendar,Y2716,NDays&amp;"D")</f>
        <v>57997</v>
      </c>
      <c r="AA2716" s="173">
        <v>1.8942354832343324E-2</v>
      </c>
      <c r="AB2716" s="182">
        <v>1.8870642391499715E-2</v>
      </c>
    </row>
    <row r="2717" spans="24:28" x14ac:dyDescent="0.2">
      <c r="X2717" s="186" t="str">
        <f t="shared" si="76"/>
        <v>1w</v>
      </c>
      <c r="Y2717" s="174">
        <f>_xll.qlCalendarAdvance(Calendar,Y2716,X2717,"f",FALSE)</f>
        <v>58000</v>
      </c>
      <c r="Z2717" s="198">
        <f>_xll.qlCalendarAdvance(Calendar,Y2717,NDays&amp;"D")</f>
        <v>58004</v>
      </c>
      <c r="AA2717" s="173">
        <v>1.8941166111499368E-2</v>
      </c>
      <c r="AB2717" s="182">
        <v>1.8868901661619475E-2</v>
      </c>
    </row>
    <row r="2718" spans="24:28" x14ac:dyDescent="0.2">
      <c r="X2718" s="186" t="str">
        <f t="shared" si="76"/>
        <v>1w</v>
      </c>
      <c r="Y2718" s="174">
        <f>_xll.qlCalendarAdvance(Calendar,Y2717,X2718,"f",FALSE)</f>
        <v>58007</v>
      </c>
      <c r="Z2718" s="198">
        <f>_xll.qlCalendarAdvance(Calendar,Y2718,NDays&amp;"D")</f>
        <v>58011</v>
      </c>
      <c r="AA2718" s="173">
        <v>1.8940021370378129E-2</v>
      </c>
      <c r="AB2718" s="182">
        <v>1.8867204496011425E-2</v>
      </c>
    </row>
    <row r="2719" spans="24:28" x14ac:dyDescent="0.2">
      <c r="X2719" s="186" t="str">
        <f t="shared" si="76"/>
        <v>1w</v>
      </c>
      <c r="Y2719" s="174">
        <f>_xll.qlCalendarAdvance(Calendar,Y2718,X2719,"f",FALSE)</f>
        <v>58014</v>
      </c>
      <c r="Z2719" s="198">
        <f>_xll.qlCalendarAdvance(Calendar,Y2719,NDays&amp;"D")</f>
        <v>58018</v>
      </c>
      <c r="AA2719" s="173">
        <v>1.8938920608904512E-2</v>
      </c>
      <c r="AB2719" s="182">
        <v>1.8865550894515692E-2</v>
      </c>
    </row>
    <row r="2720" spans="24:28" x14ac:dyDescent="0.2">
      <c r="X2720" s="186" t="str">
        <f t="shared" si="76"/>
        <v>1w</v>
      </c>
      <c r="Y2720" s="174">
        <f>_xll.qlCalendarAdvance(Calendar,Y2719,X2720,"f",FALSE)</f>
        <v>58021</v>
      </c>
      <c r="Z2720" s="198">
        <f>_xll.qlCalendarAdvance(Calendar,Y2720,NDays&amp;"D")</f>
        <v>58025</v>
      </c>
      <c r="AA2720" s="173">
        <v>1.8937863827005158E-2</v>
      </c>
      <c r="AB2720" s="182">
        <v>1.8863940857212214E-2</v>
      </c>
    </row>
    <row r="2721" spans="24:28" x14ac:dyDescent="0.2">
      <c r="X2721" s="186" t="str">
        <f t="shared" si="76"/>
        <v>1w</v>
      </c>
      <c r="Y2721" s="174">
        <f>_xll.qlCalendarAdvance(Calendar,Y2720,X2721,"f",FALSE)</f>
        <v>58028</v>
      </c>
      <c r="Z2721" s="198">
        <f>_xll.qlCalendarAdvance(Calendar,Y2721,NDays&amp;"D")</f>
        <v>58032</v>
      </c>
      <c r="AA2721" s="173">
        <v>1.8936851024610242E-2</v>
      </c>
      <c r="AB2721" s="182">
        <v>1.8862374384100988E-2</v>
      </c>
    </row>
    <row r="2722" spans="24:28" x14ac:dyDescent="0.2">
      <c r="X2722" s="186" t="str">
        <f t="shared" si="76"/>
        <v>1w</v>
      </c>
      <c r="Y2722" s="174">
        <f>_xll.qlCalendarAdvance(Calendar,Y2721,X2722,"f",FALSE)</f>
        <v>58035</v>
      </c>
      <c r="Z2722" s="198">
        <f>_xll.qlCalendarAdvance(Calendar,Y2722,NDays&amp;"D")</f>
        <v>58039</v>
      </c>
      <c r="AA2722" s="173">
        <v>1.8935882201652997E-2</v>
      </c>
      <c r="AB2722" s="182">
        <v>1.8860851475182017E-2</v>
      </c>
    </row>
    <row r="2723" spans="24:28" x14ac:dyDescent="0.2">
      <c r="X2723" s="186" t="str">
        <f t="shared" si="76"/>
        <v>1w</v>
      </c>
      <c r="Y2723" s="174">
        <f>_xll.qlCalendarAdvance(Calendar,Y2722,X2723,"f",FALSE)</f>
        <v>58042</v>
      </c>
      <c r="Z2723" s="198">
        <f>_xll.qlCalendarAdvance(Calendar,Y2723,NDays&amp;"D")</f>
        <v>58046</v>
      </c>
      <c r="AA2723" s="173">
        <v>1.8934957358070183E-2</v>
      </c>
      <c r="AB2723" s="182">
        <v>1.8859372130455299E-2</v>
      </c>
    </row>
    <row r="2724" spans="24:28" x14ac:dyDescent="0.2">
      <c r="X2724" s="186" t="str">
        <f t="shared" si="76"/>
        <v>1w</v>
      </c>
      <c r="Y2724" s="174">
        <f>_xll.qlCalendarAdvance(Calendar,Y2723,X2724,"f",FALSE)</f>
        <v>58049</v>
      </c>
      <c r="Z2724" s="198">
        <f>_xll.qlCalendarAdvance(Calendar,Y2724,NDays&amp;"D")</f>
        <v>58053</v>
      </c>
      <c r="AA2724" s="173">
        <v>1.8934076493798548E-2</v>
      </c>
      <c r="AB2724" s="182">
        <v>1.8857936349920834E-2</v>
      </c>
    </row>
    <row r="2725" spans="24:28" x14ac:dyDescent="0.2">
      <c r="X2725" s="186" t="str">
        <f t="shared" si="76"/>
        <v>1w</v>
      </c>
      <c r="Y2725" s="174">
        <f>_xll.qlCalendarAdvance(Calendar,Y2724,X2725,"f",FALSE)</f>
        <v>58056</v>
      </c>
      <c r="Z2725" s="198">
        <f>_xll.qlCalendarAdvance(Calendar,Y2725,NDays&amp;"D")</f>
        <v>58060</v>
      </c>
      <c r="AA2725" s="173">
        <v>1.8933239608782317E-2</v>
      </c>
      <c r="AB2725" s="182">
        <v>1.8856544133498687E-2</v>
      </c>
    </row>
    <row r="2726" spans="24:28" x14ac:dyDescent="0.2">
      <c r="X2726" s="186" t="str">
        <f t="shared" si="76"/>
        <v>1w</v>
      </c>
      <c r="Y2726" s="174">
        <f>_xll.qlCalendarAdvance(Calendar,Y2725,X2726,"f",FALSE)</f>
        <v>58063</v>
      </c>
      <c r="Z2726" s="198">
        <f>_xll.qlCalendarAdvance(Calendar,Y2726,NDays&amp;"D")</f>
        <v>58067</v>
      </c>
      <c r="AA2726" s="173">
        <v>1.8932446702965709E-2</v>
      </c>
      <c r="AB2726" s="182">
        <v>1.8855195481428666E-2</v>
      </c>
    </row>
    <row r="2727" spans="24:28" x14ac:dyDescent="0.2">
      <c r="X2727" s="186" t="str">
        <f t="shared" si="76"/>
        <v>1w</v>
      </c>
      <c r="Y2727" s="174">
        <f>_xll.qlCalendarAdvance(Calendar,Y2726,X2727,"f",FALSE)</f>
        <v>58071</v>
      </c>
      <c r="Z2727" s="198">
        <f>_xll.qlCalendarAdvance(Calendar,Y2727,NDays&amp;"D")</f>
        <v>58075</v>
      </c>
      <c r="AA2727" s="173">
        <v>1.8931136191431042E-2</v>
      </c>
      <c r="AB2727" s="182">
        <v>1.8854110203441188E-2</v>
      </c>
    </row>
    <row r="2728" spans="24:28" x14ac:dyDescent="0.2">
      <c r="X2728" s="186" t="str">
        <f t="shared" si="76"/>
        <v>1w</v>
      </c>
      <c r="Y2728" s="174">
        <f>_xll.qlCalendarAdvance(Calendar,Y2727,X2728,"f",FALSE)</f>
        <v>58078</v>
      </c>
      <c r="Z2728" s="198">
        <f>_xll.qlCalendarAdvance(Calendar,Y2728,NDays&amp;"D")</f>
        <v>58082</v>
      </c>
      <c r="AA2728" s="173">
        <v>1.8930434421954037E-2</v>
      </c>
      <c r="AB2728" s="182">
        <v>1.8852452208140136E-2</v>
      </c>
    </row>
    <row r="2729" spans="24:28" x14ac:dyDescent="0.2">
      <c r="X2729" s="186" t="str">
        <f t="shared" si="76"/>
        <v>1w</v>
      </c>
      <c r="Y2729" s="174">
        <f>_xll.qlCalendarAdvance(Calendar,Y2728,X2729,"f",FALSE)</f>
        <v>58085</v>
      </c>
      <c r="Z2729" s="198">
        <f>_xll.qlCalendarAdvance(Calendar,Y2729,NDays&amp;"D")</f>
        <v>58089</v>
      </c>
      <c r="AA2729" s="173">
        <v>1.892977662922193E-2</v>
      </c>
      <c r="AB2729" s="182">
        <v>1.8851240471988717E-2</v>
      </c>
    </row>
    <row r="2730" spans="24:28" x14ac:dyDescent="0.2">
      <c r="X2730" s="186" t="str">
        <f t="shared" si="76"/>
        <v>1w</v>
      </c>
      <c r="Y2730" s="174">
        <f>_xll.qlCalendarAdvance(Calendar,Y2729,X2730,"f",FALSE)</f>
        <v>58092</v>
      </c>
      <c r="Z2730" s="198">
        <f>_xll.qlCalendarAdvance(Calendar,Y2730,NDays&amp;"D")</f>
        <v>58096</v>
      </c>
      <c r="AA2730" s="173">
        <v>1.8929162813190556E-2</v>
      </c>
      <c r="AB2730" s="182">
        <v>1.8850072300109488E-2</v>
      </c>
    </row>
    <row r="2731" spans="24:28" x14ac:dyDescent="0.2">
      <c r="X2731" s="186" t="str">
        <f t="shared" si="76"/>
        <v>1w</v>
      </c>
      <c r="Y2731" s="174">
        <f>_xll.qlCalendarAdvance(Calendar,Y2730,X2731,"f",FALSE)</f>
        <v>58099</v>
      </c>
      <c r="Z2731" s="198">
        <f>_xll.qlCalendarAdvance(Calendar,Y2731,NDays&amp;"D")</f>
        <v>58103</v>
      </c>
      <c r="AA2731" s="173">
        <v>1.8928592973820171E-2</v>
      </c>
      <c r="AB2731" s="182">
        <v>1.8848947692342577E-2</v>
      </c>
    </row>
    <row r="2732" spans="24:28" x14ac:dyDescent="0.2">
      <c r="X2732" s="186" t="str">
        <f t="shared" si="76"/>
        <v>1w</v>
      </c>
      <c r="Y2732" s="174">
        <f>_xll.qlCalendarAdvance(Calendar,Y2731,X2732,"f",FALSE)</f>
        <v>58106</v>
      </c>
      <c r="Z2732" s="198">
        <f>_xll.qlCalendarAdvance(Calendar,Y2732,NDays&amp;"D")</f>
        <v>58110</v>
      </c>
      <c r="AA2732" s="173">
        <v>1.892806711107279E-2</v>
      </c>
      <c r="AB2732" s="182">
        <v>1.8847866648687983E-2</v>
      </c>
    </row>
    <row r="2733" spans="24:28" x14ac:dyDescent="0.2">
      <c r="X2733" s="186" t="str">
        <f t="shared" si="76"/>
        <v>1w</v>
      </c>
      <c r="Y2733" s="174">
        <f>_xll.qlCalendarAdvance(Calendar,Y2732,X2733,"f",FALSE)</f>
        <v>58113</v>
      </c>
      <c r="Z2733" s="198">
        <f>_xll.qlCalendarAdvance(Calendar,Y2733,NDays&amp;"D")</f>
        <v>58117</v>
      </c>
      <c r="AA2733" s="173">
        <v>1.892758522491397E-2</v>
      </c>
      <c r="AB2733" s="182">
        <v>1.8846829169225643E-2</v>
      </c>
    </row>
    <row r="2734" spans="24:28" x14ac:dyDescent="0.2">
      <c r="X2734" s="186" t="str">
        <f t="shared" si="76"/>
        <v>1w</v>
      </c>
      <c r="Y2734" s="174">
        <f>_xll.qlCalendarAdvance(Calendar,Y2733,X2734,"f",FALSE)</f>
        <v>58120</v>
      </c>
      <c r="Z2734" s="198">
        <f>_xll.qlCalendarAdvance(Calendar,Y2734,NDays&amp;"D")</f>
        <v>58124</v>
      </c>
      <c r="AA2734" s="173">
        <v>1.8927147315312792E-2</v>
      </c>
      <c r="AB2734" s="182">
        <v>1.8845835254035492E-2</v>
      </c>
    </row>
    <row r="2735" spans="24:28" x14ac:dyDescent="0.2">
      <c r="X2735" s="186" t="str">
        <f t="shared" si="76"/>
        <v>1w</v>
      </c>
      <c r="Y2735" s="174">
        <f>_xll.qlCalendarAdvance(Calendar,Y2734,X2735,"f",FALSE)</f>
        <v>58127</v>
      </c>
      <c r="Z2735" s="198">
        <f>_xll.qlCalendarAdvance(Calendar,Y2735,NDays&amp;"D")</f>
        <v>58131</v>
      </c>
      <c r="AA2735" s="173">
        <v>1.8926753382239668E-2</v>
      </c>
      <c r="AB2735" s="182">
        <v>1.8844884903037595E-2</v>
      </c>
    </row>
    <row r="2736" spans="24:28" x14ac:dyDescent="0.2">
      <c r="X2736" s="186" t="str">
        <f t="shared" si="76"/>
        <v>1w</v>
      </c>
      <c r="Y2736" s="174">
        <f>_xll.qlCalendarAdvance(Calendar,Y2735,X2736,"f",FALSE)</f>
        <v>58134</v>
      </c>
      <c r="Z2736" s="198">
        <f>_xll.qlCalendarAdvance(Calendar,Y2736,NDays&amp;"D")</f>
        <v>58138</v>
      </c>
      <c r="AA2736" s="173">
        <v>1.892786300193787E-2</v>
      </c>
      <c r="AB2736" s="182">
        <v>1.8843978116152016E-2</v>
      </c>
    </row>
    <row r="2737" spans="24:28" x14ac:dyDescent="0.2">
      <c r="X2737" s="186" t="str">
        <f t="shared" si="76"/>
        <v>1w</v>
      </c>
      <c r="Y2737" s="174">
        <f>_xll.qlCalendarAdvance(Calendar,Y2736,X2737,"f",FALSE)</f>
        <v>58141</v>
      </c>
      <c r="Z2737" s="198">
        <f>_xll.qlCalendarAdvance(Calendar,Y2737,NDays&amp;"D")</f>
        <v>58145</v>
      </c>
      <c r="AA2737" s="173">
        <v>1.8927566398814068E-2</v>
      </c>
      <c r="AB2737" s="182">
        <v>1.884311489345869E-2</v>
      </c>
    </row>
    <row r="2738" spans="24:28" x14ac:dyDescent="0.2">
      <c r="X2738" s="186" t="str">
        <f t="shared" si="76"/>
        <v>1w</v>
      </c>
      <c r="Y2738" s="174">
        <f>_xll.qlCalendarAdvance(Calendar,Y2737,X2738,"f",FALSE)</f>
        <v>58148</v>
      </c>
      <c r="Z2738" s="198">
        <f>_xll.qlCalendarAdvance(Calendar,Y2738,NDays&amp;"D")</f>
        <v>58152</v>
      </c>
      <c r="AA2738" s="173">
        <v>1.8927313779051134E-2</v>
      </c>
      <c r="AB2738" s="182">
        <v>1.8842295235037554E-2</v>
      </c>
    </row>
    <row r="2739" spans="24:28" x14ac:dyDescent="0.2">
      <c r="X2739" s="186" t="str">
        <f t="shared" si="76"/>
        <v>1w</v>
      </c>
      <c r="Y2739" s="174">
        <f>_xll.qlCalendarAdvance(Calendar,Y2738,X2739,"f",FALSE)</f>
        <v>58155</v>
      </c>
      <c r="Z2739" s="198">
        <f>_xll.qlCalendarAdvance(Calendar,Y2739,NDays&amp;"D")</f>
        <v>58159</v>
      </c>
      <c r="AA2739" s="173">
        <v>1.8927105142631254E-2</v>
      </c>
      <c r="AB2739" s="182">
        <v>1.8841519140648799E-2</v>
      </c>
    </row>
    <row r="2740" spans="24:28" x14ac:dyDescent="0.2">
      <c r="X2740" s="186" t="str">
        <f t="shared" si="76"/>
        <v>1w</v>
      </c>
      <c r="Y2740" s="174">
        <f>_xll.qlCalendarAdvance(Calendar,Y2739,X2740,"f",FALSE)</f>
        <v>58166</v>
      </c>
      <c r="Z2740" s="198">
        <f>_xll.qlCalendarAdvance(Calendar,Y2740,NDays&amp;"D")</f>
        <v>58168</v>
      </c>
      <c r="AA2740" s="173">
        <v>1.8926401270158908E-2</v>
      </c>
      <c r="AB2740" s="182">
        <v>1.884058531778976E-2</v>
      </c>
    </row>
    <row r="2741" spans="24:28" x14ac:dyDescent="0.2">
      <c r="X2741" s="186" t="str">
        <f t="shared" si="76"/>
        <v>1w</v>
      </c>
      <c r="Y2741" s="174">
        <f>_xll.qlCalendarAdvance(Calendar,Y2740,X2741,"f",FALSE)</f>
        <v>58173</v>
      </c>
      <c r="Z2741" s="198">
        <f>_xll.qlCalendarAdvance(Calendar,Y2741,NDays&amp;"D")</f>
        <v>58175</v>
      </c>
      <c r="AA2741" s="173">
        <v>1.8926290031204683E-2</v>
      </c>
      <c r="AB2741" s="182">
        <v>1.883990879878894E-2</v>
      </c>
    </row>
    <row r="2742" spans="24:28" x14ac:dyDescent="0.2">
      <c r="X2742" s="186" t="str">
        <f t="shared" si="76"/>
        <v>1w</v>
      </c>
      <c r="Y2742" s="174">
        <f>_xll.qlCalendarAdvance(Calendar,Y2741,X2742,"f",FALSE)</f>
        <v>58180</v>
      </c>
      <c r="Z2742" s="198">
        <f>_xll.qlCalendarAdvance(Calendar,Y2742,NDays&amp;"D")</f>
        <v>58182</v>
      </c>
      <c r="AA2742" s="173">
        <v>1.8926222773257714E-2</v>
      </c>
      <c r="AB2742" s="182">
        <v>1.8839275843820502E-2</v>
      </c>
    </row>
    <row r="2743" spans="24:28" x14ac:dyDescent="0.2">
      <c r="X2743" s="186" t="str">
        <f t="shared" si="76"/>
        <v>1w</v>
      </c>
      <c r="Y2743" s="174">
        <f>_xll.qlCalendarAdvance(Calendar,Y2742,X2743,"f",FALSE)</f>
        <v>58187</v>
      </c>
      <c r="Z2743" s="198">
        <f>_xll.qlCalendarAdvance(Calendar,Y2743,NDays&amp;"D")</f>
        <v>58189</v>
      </c>
      <c r="AA2743" s="173">
        <v>1.8926199496314498E-2</v>
      </c>
      <c r="AB2743" s="182">
        <v>1.8838686453124254E-2</v>
      </c>
    </row>
    <row r="2744" spans="24:28" x14ac:dyDescent="0.2">
      <c r="X2744" s="186" t="str">
        <f t="shared" si="76"/>
        <v>1w</v>
      </c>
      <c r="Y2744" s="174">
        <f>_xll.qlCalendarAdvance(Calendar,Y2743,X2744,"f",FALSE)</f>
        <v>58194</v>
      </c>
      <c r="Z2744" s="198">
        <f>_xll.qlCalendarAdvance(Calendar,Y2744,NDays&amp;"D")</f>
        <v>58197</v>
      </c>
      <c r="AA2744" s="173">
        <v>1.8927253587824596E-2</v>
      </c>
      <c r="AB2744" s="182">
        <v>1.8838978741344548E-2</v>
      </c>
    </row>
    <row r="2745" spans="24:28" x14ac:dyDescent="0.2">
      <c r="X2745" s="186" t="str">
        <f t="shared" si="76"/>
        <v>1w</v>
      </c>
      <c r="Y2745" s="174">
        <f>_xll.qlCalendarAdvance(Calendar,Y2744,X2745,"f",FALSE)</f>
        <v>58201</v>
      </c>
      <c r="Z2745" s="198">
        <f>_xll.qlCalendarAdvance(Calendar,Y2745,NDays&amp;"D")</f>
        <v>58203</v>
      </c>
      <c r="AA2745" s="173">
        <v>1.8927833617493436E-2</v>
      </c>
      <c r="AB2745" s="182">
        <v>1.8837638364388454E-2</v>
      </c>
    </row>
    <row r="2746" spans="24:28" x14ac:dyDescent="0.2">
      <c r="X2746" s="186" t="str">
        <f t="shared" si="76"/>
        <v>1w</v>
      </c>
      <c r="Y2746" s="174">
        <f>_xll.qlCalendarAdvance(Calendar,Y2745,X2746,"f",FALSE)</f>
        <v>58208</v>
      </c>
      <c r="Z2746" s="198">
        <f>_xll.qlCalendarAdvance(Calendar,Y2746,NDays&amp;"D")</f>
        <v>58210</v>
      </c>
      <c r="AA2746" s="173">
        <v>1.892795053119968E-2</v>
      </c>
      <c r="AB2746" s="182">
        <v>1.883717966618903E-2</v>
      </c>
    </row>
    <row r="2747" spans="24:28" x14ac:dyDescent="0.2">
      <c r="X2747" s="186" t="str">
        <f t="shared" si="76"/>
        <v>1w</v>
      </c>
      <c r="Y2747" s="174">
        <f>_xll.qlCalendarAdvance(Calendar,Y2746,X2747,"f",FALSE)</f>
        <v>58215</v>
      </c>
      <c r="Z2747" s="198">
        <f>_xll.qlCalendarAdvance(Calendar,Y2747,NDays&amp;"D")</f>
        <v>58217</v>
      </c>
      <c r="AA2747" s="173">
        <v>1.8928108801893006E-2</v>
      </c>
      <c r="AB2747" s="182">
        <v>1.8836764532341732E-2</v>
      </c>
    </row>
    <row r="2748" spans="24:28" x14ac:dyDescent="0.2">
      <c r="X2748" s="186" t="str">
        <f t="shared" si="76"/>
        <v>1w</v>
      </c>
      <c r="Y2748" s="174">
        <f>_xll.qlCalendarAdvance(Calendar,Y2747,X2748,"f",FALSE)</f>
        <v>58222</v>
      </c>
      <c r="Z2748" s="198">
        <f>_xll.qlCalendarAdvance(Calendar,Y2748,NDays&amp;"D")</f>
        <v>58224</v>
      </c>
      <c r="AA2748" s="173">
        <v>1.8926733606104338E-2</v>
      </c>
      <c r="AB2748" s="182">
        <v>1.8836392962526816E-2</v>
      </c>
    </row>
    <row r="2749" spans="24:28" x14ac:dyDescent="0.2">
      <c r="X2749" s="186" t="str">
        <f t="shared" si="76"/>
        <v>1w</v>
      </c>
      <c r="Y2749" s="174">
        <f>_xll.qlCalendarAdvance(Calendar,Y2748,X2749,"f",FALSE)</f>
        <v>58229</v>
      </c>
      <c r="Z2749" s="198">
        <f>_xll.qlCalendarAdvance(Calendar,Y2749,NDays&amp;"D")</f>
        <v>58231</v>
      </c>
      <c r="AA2749" s="173">
        <v>1.8926962974265521E-2</v>
      </c>
      <c r="AB2749" s="182">
        <v>1.8836064956904153E-2</v>
      </c>
    </row>
    <row r="2750" spans="24:28" x14ac:dyDescent="0.2">
      <c r="X2750" s="186" t="str">
        <f t="shared" si="76"/>
        <v>1w</v>
      </c>
      <c r="Y2750" s="174">
        <f>_xll.qlCalendarAdvance(Calendar,Y2749,X2750,"f",FALSE)</f>
        <v>58236</v>
      </c>
      <c r="Z2750" s="198">
        <f>_xll.qlCalendarAdvance(Calendar,Y2750,NDays&amp;"D")</f>
        <v>58238</v>
      </c>
      <c r="AA2750" s="173">
        <v>1.892722963936121E-2</v>
      </c>
      <c r="AB2750" s="182">
        <v>1.8835780515473743E-2</v>
      </c>
    </row>
    <row r="2751" spans="24:28" x14ac:dyDescent="0.2">
      <c r="X2751" s="186" t="str">
        <f t="shared" si="76"/>
        <v>1w</v>
      </c>
      <c r="Y2751" s="174">
        <f>_xll.qlCalendarAdvance(Calendar,Y2750,X2751,"f",FALSE)</f>
        <v>58243</v>
      </c>
      <c r="Z2751" s="198">
        <f>_xll.qlCalendarAdvance(Calendar,Y2751,NDays&amp;"D")</f>
        <v>58245</v>
      </c>
      <c r="AA2751" s="173">
        <v>1.8927532041779944E-2</v>
      </c>
      <c r="AB2751" s="182">
        <v>1.8835539638315524E-2</v>
      </c>
    </row>
    <row r="2752" spans="24:28" x14ac:dyDescent="0.2">
      <c r="X2752" s="186" t="str">
        <f t="shared" si="76"/>
        <v>1w</v>
      </c>
      <c r="Y2752" s="174">
        <f>_xll.qlCalendarAdvance(Calendar,Y2751,X2752,"f",FALSE)</f>
        <v>58250</v>
      </c>
      <c r="Z2752" s="198">
        <f>_xll.qlCalendarAdvance(Calendar,Y2752,NDays&amp;"D")</f>
        <v>58252</v>
      </c>
      <c r="AA2752" s="173">
        <v>1.8929466795634117E-2</v>
      </c>
      <c r="AB2752" s="182">
        <v>1.8835342325189686E-2</v>
      </c>
    </row>
    <row r="2753" spans="24:28" x14ac:dyDescent="0.2">
      <c r="X2753" s="186" t="str">
        <f t="shared" si="76"/>
        <v>1w</v>
      </c>
      <c r="Y2753" s="174">
        <f>_xll.qlCalendarAdvance(Calendar,Y2752,X2753,"f",FALSE)</f>
        <v>58257</v>
      </c>
      <c r="Z2753" s="198">
        <f>_xll.qlCalendarAdvance(Calendar,Y2753,NDays&amp;"D")</f>
        <v>58259</v>
      </c>
      <c r="AA2753" s="173">
        <v>1.8929840979552377E-2</v>
      </c>
      <c r="AB2753" s="182">
        <v>1.8835188576256101E-2</v>
      </c>
    </row>
    <row r="2754" spans="24:28" x14ac:dyDescent="0.2">
      <c r="X2754" s="186" t="str">
        <f t="shared" si="76"/>
        <v>1w</v>
      </c>
      <c r="Y2754" s="174">
        <f>_xll.qlCalendarAdvance(Calendar,Y2753,X2754,"f",FALSE)</f>
        <v>58264</v>
      </c>
      <c r="Z2754" s="198">
        <f>_xll.qlCalendarAdvance(Calendar,Y2754,NDays&amp;"D")</f>
        <v>58266</v>
      </c>
      <c r="AA2754" s="173">
        <v>1.8930245777571568E-2</v>
      </c>
      <c r="AB2754" s="182">
        <v>1.8835078391594706E-2</v>
      </c>
    </row>
    <row r="2755" spans="24:28" x14ac:dyDescent="0.2">
      <c r="X2755" s="186" t="str">
        <f t="shared" si="76"/>
        <v>1w</v>
      </c>
      <c r="Y2755" s="174">
        <f>_xll.qlCalendarAdvance(Calendar,Y2754,X2755,"f",FALSE)</f>
        <v>58271</v>
      </c>
      <c r="Z2755" s="198">
        <f>_xll.qlCalendarAdvance(Calendar,Y2755,NDays&amp;"D")</f>
        <v>58273</v>
      </c>
      <c r="AA2755" s="173">
        <v>1.8930679654994589E-2</v>
      </c>
      <c r="AB2755" s="182">
        <v>1.8835011771125565E-2</v>
      </c>
    </row>
    <row r="2756" spans="24:28" x14ac:dyDescent="0.2">
      <c r="X2756" s="186" t="str">
        <f t="shared" si="76"/>
        <v>1w</v>
      </c>
      <c r="Y2756" s="174">
        <f>_xll.qlCalendarAdvance(Calendar,Y2755,X2756,"f",FALSE)</f>
        <v>58278</v>
      </c>
      <c r="Z2756" s="198">
        <f>_xll.qlCalendarAdvance(Calendar,Y2756,NDays&amp;"D")</f>
        <v>58280</v>
      </c>
      <c r="AA2756" s="173">
        <v>1.8931141077127352E-2</v>
      </c>
      <c r="AB2756" s="182">
        <v>1.8834988714768741E-2</v>
      </c>
    </row>
    <row r="2757" spans="24:28" x14ac:dyDescent="0.2">
      <c r="X2757" s="186" t="str">
        <f t="shared" si="76"/>
        <v>1w</v>
      </c>
      <c r="Y2757" s="174">
        <f>_xll.qlCalendarAdvance(Calendar,Y2756,X2757,"f",FALSE)</f>
        <v>58285</v>
      </c>
      <c r="Z2757" s="198">
        <f>_xll.qlCalendarAdvance(Calendar,Y2757,NDays&amp;"D")</f>
        <v>58287</v>
      </c>
      <c r="AA2757" s="173">
        <v>1.8930009601872768E-2</v>
      </c>
      <c r="AB2757" s="182">
        <v>1.8835009222524235E-2</v>
      </c>
    </row>
    <row r="2758" spans="24:28" x14ac:dyDescent="0.2">
      <c r="X2758" s="186" t="str">
        <f t="shared" si="76"/>
        <v>1w</v>
      </c>
      <c r="Y2758" s="174">
        <f>_xll.qlCalendarAdvance(Calendar,Y2757,X2758,"f",FALSE)</f>
        <v>58292</v>
      </c>
      <c r="Z2758" s="198">
        <f>_xll.qlCalendarAdvance(Calendar,Y2758,NDays&amp;"D")</f>
        <v>58294</v>
      </c>
      <c r="AA2758" s="173">
        <v>1.8932140416738415E-2</v>
      </c>
      <c r="AB2758" s="182">
        <v>1.8835073294631854E-2</v>
      </c>
    </row>
    <row r="2759" spans="24:28" x14ac:dyDescent="0.2">
      <c r="X2759" s="186" t="str">
        <f t="shared" si="76"/>
        <v>1w</v>
      </c>
      <c r="Y2759" s="174">
        <f>_xll.qlCalendarAdvance(Calendar,Y2758,X2759,"f",FALSE)</f>
        <v>58299</v>
      </c>
      <c r="Z2759" s="198">
        <f>_xll.qlCalendarAdvance(Calendar,Y2759,NDays&amp;"D")</f>
        <v>58301</v>
      </c>
      <c r="AA2759" s="173">
        <v>1.8932675264824235E-2</v>
      </c>
      <c r="AB2759" s="182">
        <v>1.8835180930771855E-2</v>
      </c>
    </row>
    <row r="2760" spans="24:28" x14ac:dyDescent="0.2">
      <c r="X2760" s="186" t="str">
        <f t="shared" si="76"/>
        <v>1w</v>
      </c>
      <c r="Y2760" s="174">
        <f>_xll.qlCalendarAdvance(Calendar,Y2759,X2760,"f",FALSE)</f>
        <v>58306</v>
      </c>
      <c r="Z2760" s="198">
        <f>_xll.qlCalendarAdvance(Calendar,Y2760,NDays&amp;"D")</f>
        <v>58308</v>
      </c>
      <c r="AA2760" s="173">
        <v>1.8933231518834397E-2</v>
      </c>
      <c r="AB2760" s="182">
        <v>1.8835332131184046E-2</v>
      </c>
    </row>
    <row r="2761" spans="24:28" x14ac:dyDescent="0.2">
      <c r="X2761" s="186" t="str">
        <f t="shared" si="76"/>
        <v>1w</v>
      </c>
      <c r="Y2761" s="174">
        <f>_xll.qlCalendarAdvance(Calendar,Y2760,X2761,"f",FALSE)</f>
        <v>58313</v>
      </c>
      <c r="Z2761" s="198">
        <f>_xll.qlCalendarAdvance(Calendar,Y2761,NDays&amp;"D")</f>
        <v>58315</v>
      </c>
      <c r="AA2761" s="173">
        <v>1.8932178504414487E-2</v>
      </c>
      <c r="AB2761" s="182">
        <v>1.8835526895708554E-2</v>
      </c>
    </row>
    <row r="2762" spans="24:28" x14ac:dyDescent="0.2">
      <c r="X2762" s="186" t="str">
        <f t="shared" si="76"/>
        <v>1w</v>
      </c>
      <c r="Y2762" s="174">
        <f>_xll.qlCalendarAdvance(Calendar,Y2761,X2762,"f",FALSE)</f>
        <v>58320</v>
      </c>
      <c r="Z2762" s="198">
        <f>_xll.qlCalendarAdvance(Calendar,Y2762,NDays&amp;"D")</f>
        <v>58322</v>
      </c>
      <c r="AA2762" s="173">
        <v>1.8932227518405974E-2</v>
      </c>
      <c r="AB2762" s="182">
        <v>1.8835765224505252E-2</v>
      </c>
    </row>
    <row r="2763" spans="24:28" x14ac:dyDescent="0.2">
      <c r="X2763" s="186" t="str">
        <f t="shared" si="76"/>
        <v>1w</v>
      </c>
      <c r="Y2763" s="174">
        <f>_xll.qlCalendarAdvance(Calendar,Y2762,X2763,"f",FALSE)</f>
        <v>58327</v>
      </c>
      <c r="Z2763" s="198">
        <f>_xll.qlCalendarAdvance(Calendar,Y2763,NDays&amp;"D")</f>
        <v>58329</v>
      </c>
      <c r="AA2763" s="173">
        <v>1.8932836558427465E-2</v>
      </c>
      <c r="AB2763" s="182">
        <v>1.8836047117334331E-2</v>
      </c>
    </row>
    <row r="2764" spans="24:28" x14ac:dyDescent="0.2">
      <c r="X2764" s="186" t="str">
        <f t="shared" si="76"/>
        <v>1w</v>
      </c>
      <c r="Y2764" s="174">
        <f>_xll.qlCalendarAdvance(Calendar,Y2763,X2764,"f",FALSE)</f>
        <v>58334</v>
      </c>
      <c r="Z2764" s="198">
        <f>_xll.qlCalendarAdvance(Calendar,Y2764,NDays&amp;"D")</f>
        <v>58336</v>
      </c>
      <c r="AA2764" s="173">
        <v>1.8933461127335266E-2</v>
      </c>
      <c r="AB2764" s="182">
        <v>1.88363725744356E-2</v>
      </c>
    </row>
    <row r="2765" spans="24:28" x14ac:dyDescent="0.2">
      <c r="X2765" s="186" t="str">
        <f t="shared" si="76"/>
        <v>1w</v>
      </c>
      <c r="Y2765" s="174">
        <f>_xll.qlCalendarAdvance(Calendar,Y2764,X2765,"f",FALSE)</f>
        <v>58341</v>
      </c>
      <c r="Z2765" s="198">
        <f>_xll.qlCalendarAdvance(Calendar,Y2765,NDays&amp;"D")</f>
        <v>58343</v>
      </c>
      <c r="AA2765" s="173">
        <v>1.8934099657024171E-2</v>
      </c>
      <c r="AB2765" s="182">
        <v>1.8836741595809059E-2</v>
      </c>
    </row>
    <row r="2766" spans="24:28" x14ac:dyDescent="0.2">
      <c r="X2766" s="186" t="str">
        <f t="shared" si="76"/>
        <v>1w</v>
      </c>
      <c r="Y2766" s="174">
        <f>_xll.qlCalendarAdvance(Calendar,Y2765,X2766,"f",FALSE)</f>
        <v>58348</v>
      </c>
      <c r="Z2766" s="198">
        <f>_xll.qlCalendarAdvance(Calendar,Y2766,NDays&amp;"D")</f>
        <v>58350</v>
      </c>
      <c r="AA2766" s="173">
        <v>1.8935296021474288E-2</v>
      </c>
      <c r="AB2766" s="182">
        <v>1.8837154181214899E-2</v>
      </c>
    </row>
    <row r="2767" spans="24:28" x14ac:dyDescent="0.2">
      <c r="X2767" s="186" t="str">
        <f t="shared" si="76"/>
        <v>1w</v>
      </c>
      <c r="Y2767" s="174">
        <f>_xll.qlCalendarAdvance(Calendar,Y2766,X2767,"f",FALSE)</f>
        <v>58355</v>
      </c>
      <c r="Z2767" s="198">
        <f>_xll.qlCalendarAdvance(Calendar,Y2767,NDays&amp;"D")</f>
        <v>58357</v>
      </c>
      <c r="AA2767" s="173">
        <v>1.8935958113898452E-2</v>
      </c>
      <c r="AB2767" s="182">
        <v>1.8837610330892929E-2</v>
      </c>
    </row>
    <row r="2768" spans="24:28" x14ac:dyDescent="0.2">
      <c r="X2768" s="186" t="str">
        <f t="shared" si="76"/>
        <v>1w</v>
      </c>
      <c r="Y2768" s="174">
        <f>_xll.qlCalendarAdvance(Calendar,Y2767,X2768,"f",FALSE)</f>
        <v>58362</v>
      </c>
      <c r="Z2768" s="198">
        <f>_xll.qlCalendarAdvance(Calendar,Y2768,NDays&amp;"D")</f>
        <v>58364</v>
      </c>
      <c r="AA2768" s="173">
        <v>1.8938814279514594E-2</v>
      </c>
      <c r="AB2768" s="182">
        <v>1.8838110044683276E-2</v>
      </c>
    </row>
    <row r="2769" spans="24:28" x14ac:dyDescent="0.2">
      <c r="X2769" s="186" t="str">
        <f t="shared" si="76"/>
        <v>1w</v>
      </c>
      <c r="Y2769" s="174">
        <f>_xll.qlCalendarAdvance(Calendar,Y2768,X2769,"f",FALSE)</f>
        <v>58369</v>
      </c>
      <c r="Z2769" s="198">
        <f>_xll.qlCalendarAdvance(Calendar,Y2769,NDays&amp;"D")</f>
        <v>58371</v>
      </c>
      <c r="AA2769" s="173">
        <v>1.893730841078085E-2</v>
      </c>
      <c r="AB2769" s="182">
        <v>1.8838653322665877E-2</v>
      </c>
    </row>
    <row r="2770" spans="24:28" x14ac:dyDescent="0.2">
      <c r="X2770" s="186" t="str">
        <f t="shared" si="76"/>
        <v>1w</v>
      </c>
      <c r="Y2770" s="174">
        <f>_xll.qlCalendarAdvance(Calendar,Y2769,X2770,"f",FALSE)</f>
        <v>58376</v>
      </c>
      <c r="Z2770" s="198">
        <f>_xll.qlCalendarAdvance(Calendar,Y2770,NDays&amp;"D")</f>
        <v>58378</v>
      </c>
      <c r="AA2770" s="173">
        <v>1.8937993495986027E-2</v>
      </c>
      <c r="AB2770" s="182">
        <v>1.8839240164920668E-2</v>
      </c>
    </row>
    <row r="2771" spans="24:28" x14ac:dyDescent="0.2">
      <c r="X2771" s="186" t="str">
        <f t="shared" si="76"/>
        <v>1w</v>
      </c>
      <c r="Y2771" s="174">
        <f>_xll.qlCalendarAdvance(Calendar,Y2770,X2771,"f",FALSE)</f>
        <v>58383</v>
      </c>
      <c r="Z2771" s="198">
        <f>_xll.qlCalendarAdvance(Calendar,Y2771,NDays&amp;"D")</f>
        <v>58385</v>
      </c>
      <c r="AA2771" s="173">
        <v>1.8938136198183519E-2</v>
      </c>
      <c r="AB2771" s="182">
        <v>1.8839869609577065E-2</v>
      </c>
    </row>
    <row r="2772" spans="24:28" x14ac:dyDescent="0.2">
      <c r="X2772" s="186" t="str">
        <f t="shared" si="76"/>
        <v>1w</v>
      </c>
      <c r="Y2772" s="174">
        <f>_xll.qlCalendarAdvance(Calendar,Y2771,X2772,"f",FALSE)</f>
        <v>58390</v>
      </c>
      <c r="Z2772" s="198">
        <f>_xll.qlCalendarAdvance(Calendar,Y2772,NDays&amp;"D")</f>
        <v>58392</v>
      </c>
      <c r="AA2772" s="173">
        <v>1.893882893559469E-2</v>
      </c>
      <c r="AB2772" s="182">
        <v>1.8840514732492153E-2</v>
      </c>
    </row>
    <row r="2773" spans="24:28" x14ac:dyDescent="0.2">
      <c r="X2773" s="186" t="str">
        <f t="shared" ref="X2773:X2836" si="77">X2772</f>
        <v>1w</v>
      </c>
      <c r="Y2773" s="174">
        <f>_xll.qlCalendarAdvance(Calendar,Y2772,X2773,"f",FALSE)</f>
        <v>58397</v>
      </c>
      <c r="Z2773" s="198">
        <f>_xll.qlCalendarAdvance(Calendar,Y2773,NDays&amp;"D")</f>
        <v>58399</v>
      </c>
      <c r="AA2773" s="173">
        <v>1.8939524881016419E-2</v>
      </c>
      <c r="AB2773" s="182">
        <v>1.884116303302541E-2</v>
      </c>
    </row>
    <row r="2774" spans="24:28" x14ac:dyDescent="0.2">
      <c r="X2774" s="186" t="str">
        <f t="shared" si="77"/>
        <v>1w</v>
      </c>
      <c r="Y2774" s="174">
        <f>_xll.qlCalendarAdvance(Calendar,Y2773,X2774,"f",FALSE)</f>
        <v>58404</v>
      </c>
      <c r="Z2774" s="198">
        <f>_xll.qlCalendarAdvance(Calendar,Y2774,NDays&amp;"D")</f>
        <v>58406</v>
      </c>
      <c r="AA2774" s="173">
        <v>1.8940224034452665E-2</v>
      </c>
      <c r="AB2774" s="182">
        <v>1.8841814511016963E-2</v>
      </c>
    </row>
    <row r="2775" spans="24:28" x14ac:dyDescent="0.2">
      <c r="X2775" s="186" t="str">
        <f t="shared" si="77"/>
        <v>1w</v>
      </c>
      <c r="Y2775" s="174">
        <f>_xll.qlCalendarAdvance(Calendar,Y2774,X2775,"f",FALSE)</f>
        <v>58411</v>
      </c>
      <c r="Z2775" s="198">
        <f>_xll.qlCalendarAdvance(Calendar,Y2775,NDays&amp;"D")</f>
        <v>58413</v>
      </c>
      <c r="AA2775" s="173">
        <v>1.8941474387397204E-2</v>
      </c>
      <c r="AB2775" s="182">
        <v>1.8842469166386877E-2</v>
      </c>
    </row>
    <row r="2776" spans="24:28" x14ac:dyDescent="0.2">
      <c r="X2776" s="186" t="str">
        <f t="shared" si="77"/>
        <v>1w</v>
      </c>
      <c r="Y2776" s="174">
        <f>_xll.qlCalendarAdvance(Calendar,Y2775,X2776,"f",FALSE)</f>
        <v>58418</v>
      </c>
      <c r="Z2776" s="198">
        <f>_xll.qlCalendarAdvance(Calendar,Y2776,NDays&amp;"D")</f>
        <v>58420</v>
      </c>
      <c r="AA2776" s="173">
        <v>1.8942180222976914E-2</v>
      </c>
      <c r="AB2776" s="182">
        <v>1.8843126999454896E-2</v>
      </c>
    </row>
    <row r="2777" spans="24:28" x14ac:dyDescent="0.2">
      <c r="X2777" s="186" t="str">
        <f t="shared" si="77"/>
        <v>1w</v>
      </c>
      <c r="Y2777" s="174">
        <f>_xll.qlCalendarAdvance(Calendar,Y2776,X2777,"f",FALSE)</f>
        <v>58425</v>
      </c>
      <c r="Z2777" s="198">
        <f>_xll.qlCalendarAdvance(Calendar,Y2777,NDays&amp;"D")</f>
        <v>58427</v>
      </c>
      <c r="AA2777" s="173">
        <v>1.8942889266750553E-2</v>
      </c>
      <c r="AB2777" s="182">
        <v>1.8843788009901274E-2</v>
      </c>
    </row>
    <row r="2778" spans="24:28" x14ac:dyDescent="0.2">
      <c r="X2778" s="186" t="str">
        <f t="shared" si="77"/>
        <v>1w</v>
      </c>
      <c r="Y2778" s="174">
        <f>_xll.qlCalendarAdvance(Calendar,Y2777,X2778,"f",FALSE)</f>
        <v>58432</v>
      </c>
      <c r="Z2778" s="198">
        <f>_xll.qlCalendarAdvance(Calendar,Y2778,NDays&amp;"D")</f>
        <v>58438</v>
      </c>
      <c r="AA2778" s="173">
        <v>1.8944009960264938E-2</v>
      </c>
      <c r="AB2778" s="182">
        <v>1.8844833160587271E-2</v>
      </c>
    </row>
    <row r="2779" spans="24:28" x14ac:dyDescent="0.2">
      <c r="X2779" s="186" t="str">
        <f t="shared" si="77"/>
        <v>1w</v>
      </c>
      <c r="Y2779" s="174">
        <f>_xll.qlCalendarAdvance(Calendar,Y2778,X2779,"f",FALSE)</f>
        <v>58439</v>
      </c>
      <c r="Z2779" s="198">
        <f>_xll.qlCalendarAdvance(Calendar,Y2779,NDays&amp;"D")</f>
        <v>58442</v>
      </c>
      <c r="AA2779" s="173">
        <v>1.8943870354355383E-2</v>
      </c>
      <c r="AB2779" s="182">
        <v>1.8846297377708154E-2</v>
      </c>
    </row>
    <row r="2780" spans="24:28" x14ac:dyDescent="0.2">
      <c r="X2780" s="186" t="str">
        <f t="shared" si="77"/>
        <v>1w</v>
      </c>
      <c r="Y2780" s="174">
        <f>_xll.qlCalendarAdvance(Calendar,Y2779,X2780,"f",FALSE)</f>
        <v>58446</v>
      </c>
      <c r="Z2780" s="198">
        <f>_xll.qlCalendarAdvance(Calendar,Y2780,NDays&amp;"D")</f>
        <v>58448</v>
      </c>
      <c r="AA2780" s="173">
        <v>1.8944486323560258E-2</v>
      </c>
      <c r="AB2780" s="182">
        <v>1.8845790106549742E-2</v>
      </c>
    </row>
    <row r="2781" spans="24:28" x14ac:dyDescent="0.2">
      <c r="X2781" s="186" t="str">
        <f t="shared" si="77"/>
        <v>1w</v>
      </c>
      <c r="Y2781" s="174">
        <f>_xll.qlCalendarAdvance(Calendar,Y2780,X2781,"f",FALSE)</f>
        <v>58453</v>
      </c>
      <c r="Z2781" s="198">
        <f>_xll.qlCalendarAdvance(Calendar,Y2781,NDays&amp;"D")</f>
        <v>58455</v>
      </c>
      <c r="AA2781" s="173">
        <v>1.8945207933192085E-2</v>
      </c>
      <c r="AB2781" s="182">
        <v>1.8846463827069115E-2</v>
      </c>
    </row>
    <row r="2782" spans="24:28" x14ac:dyDescent="0.2">
      <c r="X2782" s="186" t="str">
        <f t="shared" si="77"/>
        <v>1w</v>
      </c>
      <c r="Y2782" s="174">
        <f>_xll.qlCalendarAdvance(Calendar,Y2781,X2782,"f",FALSE)</f>
        <v>58460</v>
      </c>
      <c r="Z2782" s="198">
        <f>_xll.qlCalendarAdvance(Calendar,Y2782,NDays&amp;"D")</f>
        <v>58462</v>
      </c>
      <c r="AA2782" s="173">
        <v>1.8945932750865219E-2</v>
      </c>
      <c r="AB2782" s="182">
        <v>1.8847140725126721E-2</v>
      </c>
    </row>
    <row r="2783" spans="24:28" x14ac:dyDescent="0.2">
      <c r="X2783" s="186" t="str">
        <f t="shared" si="77"/>
        <v>1w</v>
      </c>
      <c r="Y2783" s="174">
        <f>_xll.qlCalendarAdvance(Calendar,Y2782,X2783,"f",FALSE)</f>
        <v>58467</v>
      </c>
      <c r="Z2783" s="198">
        <f>_xll.qlCalendarAdvance(Calendar,Y2783,NDays&amp;"D")</f>
        <v>58469</v>
      </c>
      <c r="AA2783" s="173">
        <v>1.8946660776583611E-2</v>
      </c>
      <c r="AB2783" s="182">
        <v>1.8847820800722559E-2</v>
      </c>
    </row>
    <row r="2784" spans="24:28" x14ac:dyDescent="0.2">
      <c r="X2784" s="186" t="str">
        <f t="shared" si="77"/>
        <v>1w</v>
      </c>
      <c r="Y2784" s="174">
        <f>_xll.qlCalendarAdvance(Calendar,Y2783,X2784,"f",FALSE)</f>
        <v>58474</v>
      </c>
      <c r="Z2784" s="198">
        <f>_xll.qlCalendarAdvance(Calendar,Y2784,NDays&amp;"D")</f>
        <v>58476</v>
      </c>
      <c r="AA2784" s="173">
        <v>1.8947392010350776E-2</v>
      </c>
      <c r="AB2784" s="182">
        <v>1.8848504053776693E-2</v>
      </c>
    </row>
    <row r="2785" spans="24:28" x14ac:dyDescent="0.2">
      <c r="X2785" s="186" t="str">
        <f t="shared" si="77"/>
        <v>1w</v>
      </c>
      <c r="Y2785" s="174">
        <f>_xll.qlCalendarAdvance(Calendar,Y2784,X2785,"f",FALSE)</f>
        <v>58481</v>
      </c>
      <c r="Z2785" s="198">
        <f>_xll.qlCalendarAdvance(Calendar,Y2785,NDays&amp;"D")</f>
        <v>58483</v>
      </c>
      <c r="AA2785" s="173">
        <v>1.8948126452170665E-2</v>
      </c>
      <c r="AB2785" s="182">
        <v>1.8849190484448997E-2</v>
      </c>
    </row>
    <row r="2786" spans="24:28" x14ac:dyDescent="0.2">
      <c r="X2786" s="186" t="str">
        <f t="shared" si="77"/>
        <v>1w</v>
      </c>
      <c r="Y2786" s="174">
        <f>_xll.qlCalendarAdvance(Calendar,Y2785,X2786,"f",FALSE)</f>
        <v>58488</v>
      </c>
      <c r="Z2786" s="198">
        <f>_xll.qlCalendarAdvance(Calendar,Y2786,NDays&amp;"D")</f>
        <v>58490</v>
      </c>
      <c r="AA2786" s="173">
        <v>1.8948864102045913E-2</v>
      </c>
      <c r="AB2786" s="182">
        <v>1.8849880092579596E-2</v>
      </c>
    </row>
    <row r="2787" spans="24:28" x14ac:dyDescent="0.2">
      <c r="X2787" s="186" t="str">
        <f t="shared" si="77"/>
        <v>1w</v>
      </c>
      <c r="Y2787" s="174">
        <f>_xll.qlCalendarAdvance(Calendar,Y2786,X2787,"f",FALSE)</f>
        <v>58495</v>
      </c>
      <c r="Z2787" s="198">
        <f>_xll.qlCalendarAdvance(Calendar,Y2787,NDays&amp;"D")</f>
        <v>58497</v>
      </c>
      <c r="AA2787" s="173">
        <v>1.8949604959980472E-2</v>
      </c>
      <c r="AB2787" s="182">
        <v>1.8850572878248428E-2</v>
      </c>
    </row>
    <row r="2788" spans="24:28" x14ac:dyDescent="0.2">
      <c r="X2788" s="186" t="str">
        <f t="shared" si="77"/>
        <v>1w</v>
      </c>
      <c r="Y2788" s="174">
        <f>_xll.qlCalendarAdvance(Calendar,Y2787,X2788,"f",FALSE)</f>
        <v>58502</v>
      </c>
      <c r="Z2788" s="198">
        <f>_xll.qlCalendarAdvance(Calendar,Y2788,NDays&amp;"D")</f>
        <v>58504</v>
      </c>
      <c r="AA2788" s="173">
        <v>1.8952555151690389E-2</v>
      </c>
      <c r="AB2788" s="182">
        <v>1.8851268841455493E-2</v>
      </c>
    </row>
    <row r="2789" spans="24:28" x14ac:dyDescent="0.2">
      <c r="X2789" s="186" t="str">
        <f t="shared" si="77"/>
        <v>1w</v>
      </c>
      <c r="Y2789" s="174">
        <f>_xll.qlCalendarAdvance(Calendar,Y2788,X2789,"f",FALSE)</f>
        <v>58509</v>
      </c>
      <c r="Z2789" s="198">
        <f>_xll.qlCalendarAdvance(Calendar,Y2789,NDays&amp;"D")</f>
        <v>58511</v>
      </c>
      <c r="AA2789" s="173">
        <v>1.8953303499156963E-2</v>
      </c>
      <c r="AB2789" s="182">
        <v>1.8851967982040918E-2</v>
      </c>
    </row>
    <row r="2790" spans="24:28" x14ac:dyDescent="0.2">
      <c r="X2790" s="186" t="str">
        <f t="shared" si="77"/>
        <v>1w</v>
      </c>
      <c r="Y2790" s="174">
        <f>_xll.qlCalendarAdvance(Calendar,Y2789,X2790,"f",FALSE)</f>
        <v>58516</v>
      </c>
      <c r="Z2790" s="198">
        <f>_xll.qlCalendarAdvance(Calendar,Y2790,NDays&amp;"D")</f>
        <v>58518</v>
      </c>
      <c r="AA2790" s="173">
        <v>1.8954055055372933E-2</v>
      </c>
      <c r="AB2790" s="182">
        <v>1.8852670300244512E-2</v>
      </c>
    </row>
    <row r="2791" spans="24:28" x14ac:dyDescent="0.2">
      <c r="X2791" s="186" t="str">
        <f t="shared" si="77"/>
        <v>1w</v>
      </c>
      <c r="Y2791" s="174">
        <f>_xll.qlCalendarAdvance(Calendar,Y2790,X2791,"f",FALSE)</f>
        <v>58523</v>
      </c>
      <c r="Z2791" s="198">
        <f>_xll.qlCalendarAdvance(Calendar,Y2791,NDays&amp;"D")</f>
        <v>58525</v>
      </c>
      <c r="AA2791" s="173">
        <v>1.8954809820343026E-2</v>
      </c>
      <c r="AB2791" s="182">
        <v>1.8853375795986338E-2</v>
      </c>
    </row>
    <row r="2792" spans="24:28" x14ac:dyDescent="0.2">
      <c r="X2792" s="186" t="str">
        <f t="shared" si="77"/>
        <v>1w</v>
      </c>
      <c r="Y2792" s="174">
        <f>_xll.qlCalendarAdvance(Calendar,Y2791,X2792,"f",FALSE)</f>
        <v>58530</v>
      </c>
      <c r="Z2792" s="198">
        <f>_xll.qlCalendarAdvance(Calendar,Y2792,NDays&amp;"D")</f>
        <v>58532</v>
      </c>
      <c r="AA2792" s="173">
        <v>1.8953909909020794E-2</v>
      </c>
      <c r="AB2792" s="182">
        <v>1.8854084469186461E-2</v>
      </c>
    </row>
    <row r="2793" spans="24:28" x14ac:dyDescent="0.2">
      <c r="X2793" s="186" t="str">
        <f t="shared" si="77"/>
        <v>1w</v>
      </c>
      <c r="Y2793" s="174">
        <f>_xll.qlCalendarAdvance(Calendar,Y2792,X2793,"f",FALSE)</f>
        <v>58537</v>
      </c>
      <c r="Z2793" s="198">
        <f>_xll.qlCalendarAdvance(Calendar,Y2793,NDays&amp;"D")</f>
        <v>58539</v>
      </c>
      <c r="AA2793" s="173">
        <v>1.8954670284377355E-2</v>
      </c>
      <c r="AB2793" s="182">
        <v>1.8854796319924816E-2</v>
      </c>
    </row>
    <row r="2794" spans="24:28" x14ac:dyDescent="0.2">
      <c r="X2794" s="186" t="str">
        <f t="shared" si="77"/>
        <v>1w</v>
      </c>
      <c r="Y2794" s="174">
        <f>_xll.qlCalendarAdvance(Calendar,Y2793,X2794,"f",FALSE)</f>
        <v>58544</v>
      </c>
      <c r="Z2794" s="198">
        <f>_xll.qlCalendarAdvance(Calendar,Y2794,NDays&amp;"D")</f>
        <v>58546</v>
      </c>
      <c r="AA2794" s="173">
        <v>1.8955433867989431E-2</v>
      </c>
      <c r="AB2794" s="182">
        <v>1.8857691605232318E-2</v>
      </c>
    </row>
    <row r="2795" spans="24:28" x14ac:dyDescent="0.2">
      <c r="X2795" s="186" t="str">
        <f t="shared" si="77"/>
        <v>1w</v>
      </c>
      <c r="Y2795" s="174">
        <f>_xll.qlCalendarAdvance(Calendar,Y2794,X2795,"f",FALSE)</f>
        <v>58551</v>
      </c>
      <c r="Z2795" s="198">
        <f>_xll.qlCalendarAdvance(Calendar,Y2795,NDays&amp;"D")</f>
        <v>58553</v>
      </c>
      <c r="AA2795" s="173">
        <v>1.8956200659859212E-2</v>
      </c>
      <c r="AB2795" s="182">
        <v>1.8856229553936288E-2</v>
      </c>
    </row>
    <row r="2796" spans="24:28" x14ac:dyDescent="0.2">
      <c r="X2796" s="186" t="str">
        <f t="shared" si="77"/>
        <v>1w</v>
      </c>
      <c r="Y2796" s="174">
        <f>_xll.qlCalendarAdvance(Calendar,Y2795,X2796,"f",FALSE)</f>
        <v>58558</v>
      </c>
      <c r="Z2796" s="198">
        <f>_xll.qlCalendarAdvance(Calendar,Y2796,NDays&amp;"D")</f>
        <v>58560</v>
      </c>
      <c r="AA2796" s="173">
        <v>1.8956970659991502E-2</v>
      </c>
      <c r="AB2796" s="182">
        <v>1.8856950937289341E-2</v>
      </c>
    </row>
    <row r="2797" spans="24:28" x14ac:dyDescent="0.2">
      <c r="X2797" s="186" t="str">
        <f t="shared" si="77"/>
        <v>1w</v>
      </c>
      <c r="Y2797" s="174">
        <f>_xll.qlCalendarAdvance(Calendar,Y2796,X2797,"f",FALSE)</f>
        <v>58565</v>
      </c>
      <c r="Z2797" s="198">
        <f>_xll.qlCalendarAdvance(Calendar,Y2797,NDays&amp;"D")</f>
        <v>58567</v>
      </c>
      <c r="AA2797" s="173">
        <v>1.8959405794193127E-2</v>
      </c>
      <c r="AB2797" s="182">
        <v>1.8857675498020754E-2</v>
      </c>
    </row>
    <row r="2798" spans="24:28" x14ac:dyDescent="0.2">
      <c r="X2798" s="186" t="str">
        <f t="shared" si="77"/>
        <v>1w</v>
      </c>
      <c r="Y2798" s="174">
        <f>_xll.qlCalendarAdvance(Calendar,Y2797,X2798,"f",FALSE)</f>
        <v>58572</v>
      </c>
      <c r="Z2798" s="198">
        <f>_xll.qlCalendarAdvance(Calendar,Y2798,NDays&amp;"D")</f>
        <v>58574</v>
      </c>
      <c r="AA2798" s="173">
        <v>1.8960183020541782E-2</v>
      </c>
      <c r="AB2798" s="182">
        <v>1.8858403236370336E-2</v>
      </c>
    </row>
    <row r="2799" spans="24:28" x14ac:dyDescent="0.2">
      <c r="X2799" s="186" t="str">
        <f t="shared" si="77"/>
        <v>1w</v>
      </c>
      <c r="Y2799" s="174">
        <f>_xll.qlCalendarAdvance(Calendar,Y2798,X2799,"f",FALSE)</f>
        <v>58579</v>
      </c>
      <c r="Z2799" s="198">
        <f>_xll.qlCalendarAdvance(Calendar,Y2799,NDays&amp;"D")</f>
        <v>58581</v>
      </c>
      <c r="AA2799" s="173">
        <v>1.8960963455673788E-2</v>
      </c>
      <c r="AB2799" s="182">
        <v>1.885913415225815E-2</v>
      </c>
    </row>
    <row r="2800" spans="24:28" x14ac:dyDescent="0.2">
      <c r="X2800" s="186" t="str">
        <f t="shared" si="77"/>
        <v>1w</v>
      </c>
      <c r="Y2800" s="174">
        <f>_xll.qlCalendarAdvance(Calendar,Y2799,X2800,"f",FALSE)</f>
        <v>58586</v>
      </c>
      <c r="Z2800" s="198">
        <f>_xll.qlCalendarAdvance(Calendar,Y2800,NDays&amp;"D")</f>
        <v>58588</v>
      </c>
      <c r="AA2800" s="173">
        <v>1.8961747099593435E-2</v>
      </c>
      <c r="AB2800" s="182">
        <v>1.8859868245524325E-2</v>
      </c>
    </row>
    <row r="2801" spans="24:28" x14ac:dyDescent="0.2">
      <c r="X2801" s="186" t="str">
        <f t="shared" si="77"/>
        <v>1w</v>
      </c>
      <c r="Y2801" s="174">
        <f>_xll.qlCalendarAdvance(Calendar,Y2800,X2801,"f",FALSE)</f>
        <v>58593</v>
      </c>
      <c r="Z2801" s="198">
        <f>_xll.qlCalendarAdvance(Calendar,Y2801,NDays&amp;"D")</f>
        <v>58595</v>
      </c>
      <c r="AA2801" s="173">
        <v>1.8960868784713748E-2</v>
      </c>
      <c r="AB2801" s="182">
        <v>1.8860605516408668E-2</v>
      </c>
    </row>
    <row r="2802" spans="24:28" x14ac:dyDescent="0.2">
      <c r="X2802" s="186" t="str">
        <f t="shared" si="77"/>
        <v>1w</v>
      </c>
      <c r="Y2802" s="174">
        <f>_xll.qlCalendarAdvance(Calendar,Y2801,X2802,"f",FALSE)</f>
        <v>58600</v>
      </c>
      <c r="Z2802" s="198">
        <f>_xll.qlCalendarAdvance(Calendar,Y2802,NDays&amp;"D")</f>
        <v>58602</v>
      </c>
      <c r="AA2802" s="173">
        <v>1.8961658034497092E-2</v>
      </c>
      <c r="AB2802" s="182">
        <v>1.8861345964831244E-2</v>
      </c>
    </row>
    <row r="2803" spans="24:28" x14ac:dyDescent="0.2">
      <c r="X2803" s="186" t="str">
        <f t="shared" si="77"/>
        <v>1w</v>
      </c>
      <c r="Y2803" s="174">
        <f>_xll.qlCalendarAdvance(Calendar,Y2802,X2803,"f",FALSE)</f>
        <v>58607</v>
      </c>
      <c r="Z2803" s="198">
        <f>_xll.qlCalendarAdvance(Calendar,Y2803,NDays&amp;"D")</f>
        <v>58609</v>
      </c>
      <c r="AA2803" s="173">
        <v>1.8962450492568714E-2</v>
      </c>
      <c r="AB2803" s="182">
        <v>1.8862089590712117E-2</v>
      </c>
    </row>
    <row r="2804" spans="24:28" x14ac:dyDescent="0.2">
      <c r="X2804" s="186" t="str">
        <f t="shared" si="77"/>
        <v>1w</v>
      </c>
      <c r="Y2804" s="174">
        <f>_xll.qlCalendarAdvance(Calendar,Y2803,X2804,"f",FALSE)</f>
        <v>58614</v>
      </c>
      <c r="Z2804" s="198">
        <f>_xll.qlCalendarAdvance(Calendar,Y2804,NDays&amp;"D")</f>
        <v>58616</v>
      </c>
      <c r="AA2804" s="173">
        <v>1.896324615893211E-2</v>
      </c>
      <c r="AB2804" s="182">
        <v>1.8862836394051286E-2</v>
      </c>
    </row>
    <row r="2805" spans="24:28" x14ac:dyDescent="0.2">
      <c r="X2805" s="186" t="str">
        <f t="shared" si="77"/>
        <v>1w</v>
      </c>
      <c r="Y2805" s="174">
        <f>_xll.qlCalendarAdvance(Calendar,Y2804,X2805,"f",FALSE)</f>
        <v>58621</v>
      </c>
      <c r="Z2805" s="198">
        <f>_xll.qlCalendarAdvance(Calendar,Y2805,NDays&amp;"D")</f>
        <v>58623</v>
      </c>
      <c r="AA2805" s="173">
        <v>1.8965713451138701E-2</v>
      </c>
      <c r="AB2805" s="182">
        <v>1.8863586375088559E-2</v>
      </c>
    </row>
    <row r="2806" spans="24:28" x14ac:dyDescent="0.2">
      <c r="X2806" s="186" t="str">
        <f t="shared" si="77"/>
        <v>1w</v>
      </c>
      <c r="Y2806" s="174">
        <f>_xll.qlCalendarAdvance(Calendar,Y2805,X2806,"f",FALSE)</f>
        <v>58628</v>
      </c>
      <c r="Z2806" s="198">
        <f>_xll.qlCalendarAdvance(Calendar,Y2806,NDays&amp;"D")</f>
        <v>58630</v>
      </c>
      <c r="AA2806" s="173">
        <v>1.896651634786458E-2</v>
      </c>
      <c r="AB2806" s="182">
        <v>1.8864339533584129E-2</v>
      </c>
    </row>
    <row r="2807" spans="24:28" x14ac:dyDescent="0.2">
      <c r="X2807" s="186" t="str">
        <f t="shared" si="77"/>
        <v>1w</v>
      </c>
      <c r="Y2807" s="174">
        <f>_xll.qlCalendarAdvance(Calendar,Y2806,X2807,"f",FALSE)</f>
        <v>58635</v>
      </c>
      <c r="Z2807" s="198">
        <f>_xll.qlCalendarAdvance(Calendar,Y2807,NDays&amp;"D")</f>
        <v>58637</v>
      </c>
      <c r="AA2807" s="173">
        <v>1.896732245340475E-2</v>
      </c>
      <c r="AB2807" s="182">
        <v>1.8865095869458059E-2</v>
      </c>
    </row>
    <row r="2808" spans="24:28" x14ac:dyDescent="0.2">
      <c r="X2808" s="186" t="str">
        <f t="shared" si="77"/>
        <v>1w</v>
      </c>
      <c r="Y2808" s="174">
        <f>_xll.qlCalendarAdvance(Calendar,Y2807,X2808,"f",FALSE)</f>
        <v>58642</v>
      </c>
      <c r="Z2808" s="198">
        <f>_xll.qlCalendarAdvance(Calendar,Y2808,NDays&amp;"D")</f>
        <v>58644</v>
      </c>
      <c r="AA2808" s="173">
        <v>1.8968131767764365E-2</v>
      </c>
      <c r="AB2808" s="182">
        <v>1.8865855382950159E-2</v>
      </c>
    </row>
    <row r="2809" spans="24:28" x14ac:dyDescent="0.2">
      <c r="X2809" s="186" t="str">
        <f t="shared" si="77"/>
        <v>1w</v>
      </c>
      <c r="Y2809" s="174">
        <f>_xll.qlCalendarAdvance(Calendar,Y2808,X2809,"f",FALSE)</f>
        <v>58649</v>
      </c>
      <c r="Z2809" s="198">
        <f>_xll.qlCalendarAdvance(Calendar,Y2809,NDays&amp;"D")</f>
        <v>58651</v>
      </c>
      <c r="AA2809" s="173">
        <v>1.8968944290946435E-2</v>
      </c>
      <c r="AB2809" s="182">
        <v>1.886661807398049E-2</v>
      </c>
    </row>
    <row r="2810" spans="24:28" x14ac:dyDescent="0.2">
      <c r="X2810" s="186" t="str">
        <f t="shared" si="77"/>
        <v>1w</v>
      </c>
      <c r="Y2810" s="174">
        <f>_xll.qlCalendarAdvance(Calendar,Y2809,X2810,"f",FALSE)</f>
        <v>58656</v>
      </c>
      <c r="Z2810" s="198">
        <f>_xll.qlCalendarAdvance(Calendar,Y2810,NDays&amp;"D")</f>
        <v>58658</v>
      </c>
      <c r="AA2810" s="173">
        <v>1.8969760022955685E-2</v>
      </c>
      <c r="AB2810" s="182">
        <v>1.8867383942469118E-2</v>
      </c>
    </row>
    <row r="2811" spans="24:28" x14ac:dyDescent="0.2">
      <c r="X2811" s="186" t="str">
        <f t="shared" si="77"/>
        <v>1w</v>
      </c>
      <c r="Y2811" s="174">
        <f>_xll.qlCalendarAdvance(Calendar,Y2810,X2811,"f",FALSE)</f>
        <v>58663</v>
      </c>
      <c r="Z2811" s="198">
        <f>_xll.qlCalendarAdvance(Calendar,Y2811,NDays&amp;"D")</f>
        <v>58665</v>
      </c>
      <c r="AA2811" s="173">
        <v>1.8970578963794699E-2</v>
      </c>
      <c r="AB2811" s="182">
        <v>1.8868152988416043E-2</v>
      </c>
    </row>
    <row r="2812" spans="24:28" x14ac:dyDescent="0.2">
      <c r="X2812" s="186" t="str">
        <f t="shared" si="77"/>
        <v>1w</v>
      </c>
      <c r="Y2812" s="174">
        <f>_xll.qlCalendarAdvance(Calendar,Y2811,X2812,"f",FALSE)</f>
        <v>58670</v>
      </c>
      <c r="Z2812" s="198">
        <f>_xll.qlCalendarAdvance(Calendar,Y2812,NDays&amp;"D")</f>
        <v>58672</v>
      </c>
      <c r="AA2812" s="173">
        <v>1.897140111346949E-2</v>
      </c>
      <c r="AB2812" s="182">
        <v>1.8868925212061072E-2</v>
      </c>
    </row>
    <row r="2813" spans="24:28" x14ac:dyDescent="0.2">
      <c r="X2813" s="186" t="str">
        <f t="shared" si="77"/>
        <v>1w</v>
      </c>
      <c r="Y2813" s="174">
        <f>_xll.qlCalendarAdvance(Calendar,Y2812,X2813,"f",FALSE)</f>
        <v>58677</v>
      </c>
      <c r="Z2813" s="198">
        <f>_xll.qlCalendarAdvance(Calendar,Y2813,NDays&amp;"D")</f>
        <v>58679</v>
      </c>
      <c r="AA2813" s="173">
        <v>1.8972226471982639E-2</v>
      </c>
      <c r="AB2813" s="182">
        <v>1.8869700613084461E-2</v>
      </c>
    </row>
    <row r="2814" spans="24:28" x14ac:dyDescent="0.2">
      <c r="X2814" s="186" t="str">
        <f t="shared" si="77"/>
        <v>1w</v>
      </c>
      <c r="Y2814" s="174">
        <f>_xll.qlCalendarAdvance(Calendar,Y2813,X2814,"f",FALSE)</f>
        <v>58684</v>
      </c>
      <c r="Z2814" s="198">
        <f>_xll.qlCalendarAdvance(Calendar,Y2814,NDays&amp;"D")</f>
        <v>58686</v>
      </c>
      <c r="AA2814" s="173">
        <v>1.8970262334189445E-2</v>
      </c>
      <c r="AB2814" s="182">
        <v>1.887047919172602E-2</v>
      </c>
    </row>
    <row r="2815" spans="24:28" x14ac:dyDescent="0.2">
      <c r="X2815" s="186" t="str">
        <f t="shared" si="77"/>
        <v>1w</v>
      </c>
      <c r="Y2815" s="174">
        <f>_xll.qlCalendarAdvance(Calendar,Y2814,X2815,"f",FALSE)</f>
        <v>58691</v>
      </c>
      <c r="Z2815" s="198">
        <f>_xll.qlCalendarAdvance(Calendar,Y2815,NDays&amp;"D")</f>
        <v>58693</v>
      </c>
      <c r="AA2815" s="173">
        <v>1.8971092746582437E-2</v>
      </c>
      <c r="AB2815" s="182">
        <v>1.8871260947745938E-2</v>
      </c>
    </row>
    <row r="2816" spans="24:28" x14ac:dyDescent="0.2">
      <c r="X2816" s="186" t="str">
        <f t="shared" si="77"/>
        <v>1w</v>
      </c>
      <c r="Y2816" s="174">
        <f>_xll.qlCalendarAdvance(Calendar,Y2815,X2816,"f",FALSE)</f>
        <v>58698</v>
      </c>
      <c r="Z2816" s="198">
        <f>_xll.qlCalendarAdvance(Calendar,Y2816,NDays&amp;"D")</f>
        <v>58700</v>
      </c>
      <c r="AA2816" s="173">
        <v>1.8971926366975041E-2</v>
      </c>
      <c r="AB2816" s="182">
        <v>1.8872045881384025E-2</v>
      </c>
    </row>
    <row r="2817" spans="24:28" x14ac:dyDescent="0.2">
      <c r="X2817" s="186" t="str">
        <f t="shared" si="77"/>
        <v>1w</v>
      </c>
      <c r="Y2817" s="174">
        <f>_xll.qlCalendarAdvance(Calendar,Y2816,X2817,"f",FALSE)</f>
        <v>58705</v>
      </c>
      <c r="Z2817" s="198">
        <f>_xll.qlCalendarAdvance(Calendar,Y2817,NDays&amp;"D")</f>
        <v>58707</v>
      </c>
      <c r="AA2817" s="173">
        <v>1.8972763195369467E-2</v>
      </c>
      <c r="AB2817" s="182">
        <v>1.8872833992480409E-2</v>
      </c>
    </row>
    <row r="2818" spans="24:28" x14ac:dyDescent="0.2">
      <c r="X2818" s="186" t="str">
        <f t="shared" si="77"/>
        <v>1w</v>
      </c>
      <c r="Y2818" s="174">
        <f>_xll.qlCalendarAdvance(Calendar,Y2817,X2818,"f",FALSE)</f>
        <v>58712</v>
      </c>
      <c r="Z2818" s="198">
        <f>_xll.qlCalendarAdvance(Calendar,Y2818,NDays&amp;"D")</f>
        <v>58714</v>
      </c>
      <c r="AA2818" s="173">
        <v>1.8974162773500346E-2</v>
      </c>
      <c r="AB2818" s="182">
        <v>1.8873625281115025E-2</v>
      </c>
    </row>
    <row r="2819" spans="24:28" x14ac:dyDescent="0.2">
      <c r="X2819" s="186" t="str">
        <f t="shared" si="77"/>
        <v>1w</v>
      </c>
      <c r="Y2819" s="174">
        <f>_xll.qlCalendarAdvance(Calendar,Y2818,X2819,"f",FALSE)</f>
        <v>58719</v>
      </c>
      <c r="Z2819" s="198">
        <f>_xll.qlCalendarAdvance(Calendar,Y2819,NDays&amp;"D")</f>
        <v>58721</v>
      </c>
      <c r="AA2819" s="173">
        <v>1.8975006291303647E-2</v>
      </c>
      <c r="AB2819" s="182">
        <v>1.8874419747207938E-2</v>
      </c>
    </row>
    <row r="2820" spans="24:28" x14ac:dyDescent="0.2">
      <c r="X2820" s="186" t="str">
        <f t="shared" si="77"/>
        <v>1w</v>
      </c>
      <c r="Y2820" s="174">
        <f>_xll.qlCalendarAdvance(Calendar,Y2819,X2820,"f",FALSE)</f>
        <v>58726</v>
      </c>
      <c r="Z2820" s="198">
        <f>_xll.qlCalendarAdvance(Calendar,Y2820,NDays&amp;"D")</f>
        <v>58728</v>
      </c>
      <c r="AA2820" s="173">
        <v>1.8975853017292311E-2</v>
      </c>
      <c r="AB2820" s="182">
        <v>1.8875217390919019E-2</v>
      </c>
    </row>
    <row r="2821" spans="24:28" x14ac:dyDescent="0.2">
      <c r="X2821" s="186" t="str">
        <f t="shared" si="77"/>
        <v>1w</v>
      </c>
      <c r="Y2821" s="174">
        <f>_xll.qlCalendarAdvance(Calendar,Y2820,X2821,"f",FALSE)</f>
        <v>58733</v>
      </c>
      <c r="Z2821" s="198">
        <f>_xll.qlCalendarAdvance(Calendar,Y2821,NDays&amp;"D")</f>
        <v>58735</v>
      </c>
      <c r="AA2821" s="173">
        <v>1.8976702951469852E-2</v>
      </c>
      <c r="AB2821" s="182">
        <v>1.8876018212168333E-2</v>
      </c>
    </row>
    <row r="2822" spans="24:28" x14ac:dyDescent="0.2">
      <c r="X2822" s="186" t="str">
        <f t="shared" si="77"/>
        <v>1w</v>
      </c>
      <c r="Y2822" s="174">
        <f>_xll.qlCalendarAdvance(Calendar,Y2821,X2822,"f",FALSE)</f>
        <v>58740</v>
      </c>
      <c r="Z2822" s="198">
        <f>_xll.qlCalendarAdvance(Calendar,Y2822,NDays&amp;"D")</f>
        <v>58742</v>
      </c>
      <c r="AA2822" s="173">
        <v>1.8977556093841108E-2</v>
      </c>
      <c r="AB2822" s="182">
        <v>1.8876822210716071E-2</v>
      </c>
    </row>
    <row r="2823" spans="24:28" x14ac:dyDescent="0.2">
      <c r="X2823" s="186" t="str">
        <f t="shared" si="77"/>
        <v>1w</v>
      </c>
      <c r="Y2823" s="174">
        <f>_xll.qlCalendarAdvance(Calendar,Y2822,X2823,"f",FALSE)</f>
        <v>58747</v>
      </c>
      <c r="Z2823" s="198">
        <f>_xll.qlCalendarAdvance(Calendar,Y2823,NDays&amp;"D")</f>
        <v>58749</v>
      </c>
      <c r="AA2823" s="173">
        <v>1.8977851534022434E-2</v>
      </c>
      <c r="AB2823" s="182">
        <v>1.887762938704185E-2</v>
      </c>
    </row>
    <row r="2824" spans="24:28" x14ac:dyDescent="0.2">
      <c r="X2824" s="186" t="str">
        <f t="shared" si="77"/>
        <v>1w</v>
      </c>
      <c r="Y2824" s="174">
        <f>_xll.qlCalendarAdvance(Calendar,Y2823,X2824,"f",FALSE)</f>
        <v>58754</v>
      </c>
      <c r="Z2824" s="198">
        <f>_xll.qlCalendarAdvance(Calendar,Y2824,NDays&amp;"D")</f>
        <v>58756</v>
      </c>
      <c r="AA2824" s="173">
        <v>1.8978710818549724E-2</v>
      </c>
      <c r="AB2824" s="182">
        <v>1.8878439740745989E-2</v>
      </c>
    </row>
    <row r="2825" spans="24:28" x14ac:dyDescent="0.2">
      <c r="X2825" s="186" t="str">
        <f t="shared" si="77"/>
        <v>1w</v>
      </c>
      <c r="Y2825" s="174">
        <f>_xll.qlCalendarAdvance(Calendar,Y2824,X2825,"f",FALSE)</f>
        <v>58761</v>
      </c>
      <c r="Z2825" s="198">
        <f>_xll.qlCalendarAdvance(Calendar,Y2825,NDays&amp;"D")</f>
        <v>58763</v>
      </c>
      <c r="AA2825" s="173">
        <v>1.8979573311111511E-2</v>
      </c>
      <c r="AB2825" s="182">
        <v>1.8879253271988361E-2</v>
      </c>
    </row>
    <row r="2826" spans="24:28" x14ac:dyDescent="0.2">
      <c r="X2826" s="186" t="str">
        <f t="shared" si="77"/>
        <v>1w</v>
      </c>
      <c r="Y2826" s="174">
        <f>_xll.qlCalendarAdvance(Calendar,Y2825,X2826,"f",FALSE)</f>
        <v>58768</v>
      </c>
      <c r="Z2826" s="198">
        <f>_xll.qlCalendarAdvance(Calendar,Y2826,NDays&amp;"D")</f>
        <v>58770</v>
      </c>
      <c r="AA2826" s="173">
        <v>1.8980439011713104E-2</v>
      </c>
      <c r="AB2826" s="182">
        <v>1.8880069980689029E-2</v>
      </c>
    </row>
    <row r="2827" spans="24:28" x14ac:dyDescent="0.2">
      <c r="X2827" s="186" t="str">
        <f t="shared" si="77"/>
        <v>1w</v>
      </c>
      <c r="Y2827" s="174">
        <f>_xll.qlCalendarAdvance(Calendar,Y2826,X2827,"f",FALSE)</f>
        <v>58775</v>
      </c>
      <c r="Z2827" s="198">
        <f>_xll.qlCalendarAdvance(Calendar,Y2827,NDays&amp;"D")</f>
        <v>58777</v>
      </c>
      <c r="AA2827" s="173">
        <v>1.8981869928744465E-2</v>
      </c>
      <c r="AB2827" s="182">
        <v>1.8880889867087802E-2</v>
      </c>
    </row>
    <row r="2828" spans="24:28" x14ac:dyDescent="0.2">
      <c r="X2828" s="186" t="str">
        <f t="shared" si="77"/>
        <v>1w</v>
      </c>
      <c r="Y2828" s="174">
        <f>_xll.qlCalendarAdvance(Calendar,Y2827,X2828,"f",FALSE)</f>
        <v>58782</v>
      </c>
      <c r="Z2828" s="198">
        <f>_xll.qlCalendarAdvance(Calendar,Y2828,NDays&amp;"D")</f>
        <v>58784</v>
      </c>
      <c r="AA2828" s="173">
        <v>1.8982742320363628E-2</v>
      </c>
      <c r="AB2828" s="182">
        <v>1.8881712930864936E-2</v>
      </c>
    </row>
    <row r="2829" spans="24:28" x14ac:dyDescent="0.2">
      <c r="X2829" s="186" t="str">
        <f t="shared" si="77"/>
        <v>1w</v>
      </c>
      <c r="Y2829" s="174">
        <f>_xll.qlCalendarAdvance(Calendar,Y2828,X2829,"f",FALSE)</f>
        <v>58789</v>
      </c>
      <c r="Z2829" s="198">
        <f>_xll.qlCalendarAdvance(Calendar,Y2829,NDays&amp;"D")</f>
        <v>58791</v>
      </c>
      <c r="AA2829" s="173">
        <v>1.8983617920205052E-2</v>
      </c>
      <c r="AB2829" s="182">
        <v>1.8882539172100365E-2</v>
      </c>
    </row>
    <row r="2830" spans="24:28" x14ac:dyDescent="0.2">
      <c r="X2830" s="186" t="str">
        <f t="shared" si="77"/>
        <v>1w</v>
      </c>
      <c r="Y2830" s="174">
        <f>_xll.qlCalendarAdvance(Calendar,Y2829,X2830,"f",FALSE)</f>
        <v>58796</v>
      </c>
      <c r="Z2830" s="198">
        <f>_xll.qlCalendarAdvance(Calendar,Y2830,NDays&amp;"D")</f>
        <v>58798</v>
      </c>
      <c r="AA2830" s="173">
        <v>1.8984496728273566E-2</v>
      </c>
      <c r="AB2830" s="182">
        <v>1.8883368590953964E-2</v>
      </c>
    </row>
    <row r="2831" spans="24:28" x14ac:dyDescent="0.2">
      <c r="X2831" s="186" t="str">
        <f t="shared" si="77"/>
        <v>1w</v>
      </c>
      <c r="Y2831" s="174">
        <f>_xll.qlCalendarAdvance(Calendar,Y2830,X2831,"f",FALSE)</f>
        <v>58803</v>
      </c>
      <c r="Z2831" s="198">
        <f>_xll.qlCalendarAdvance(Calendar,Y2831,NDays&amp;"D")</f>
        <v>58805</v>
      </c>
      <c r="AA2831" s="173">
        <v>1.8985378744573563E-2</v>
      </c>
      <c r="AB2831" s="182">
        <v>1.8884201187345795E-2</v>
      </c>
    </row>
    <row r="2832" spans="24:28" x14ac:dyDescent="0.2">
      <c r="X2832" s="186" t="str">
        <f t="shared" si="77"/>
        <v>1w</v>
      </c>
      <c r="Y2832" s="174">
        <f>_xll.qlCalendarAdvance(Calendar,Y2831,X2832,"f",FALSE)</f>
        <v>58810</v>
      </c>
      <c r="Z2832" s="198">
        <f>_xll.qlCalendarAdvance(Calendar,Y2832,NDays&amp;"D")</f>
        <v>58812</v>
      </c>
      <c r="AA2832" s="173">
        <v>1.8985700584382814E-2</v>
      </c>
      <c r="AB2832" s="182">
        <v>1.8885036961195922E-2</v>
      </c>
    </row>
    <row r="2833" spans="24:28" x14ac:dyDescent="0.2">
      <c r="X2833" s="186" t="str">
        <f t="shared" si="77"/>
        <v>1w</v>
      </c>
      <c r="Y2833" s="174">
        <f>_xll.qlCalendarAdvance(Calendar,Y2832,X2833,"f",FALSE)</f>
        <v>58817</v>
      </c>
      <c r="Z2833" s="198">
        <f>_xll.qlCalendarAdvance(Calendar,Y2833,NDays&amp;"D")</f>
        <v>58819</v>
      </c>
      <c r="AA2833" s="173">
        <v>1.8986588741376511E-2</v>
      </c>
      <c r="AB2833" s="182">
        <v>1.8885875912504346E-2</v>
      </c>
    </row>
    <row r="2834" spans="24:28" x14ac:dyDescent="0.2">
      <c r="X2834" s="186" t="str">
        <f t="shared" si="77"/>
        <v>1w</v>
      </c>
      <c r="Y2834" s="174">
        <f>_xll.qlCalendarAdvance(Calendar,Y2833,X2834,"f",FALSE)</f>
        <v>58824</v>
      </c>
      <c r="Z2834" s="198">
        <f>_xll.qlCalendarAdvance(Calendar,Y2834,NDays&amp;"D")</f>
        <v>58826</v>
      </c>
      <c r="AA2834" s="173">
        <v>1.8987480106444455E-2</v>
      </c>
      <c r="AB2834" s="182">
        <v>1.8886718041430939E-2</v>
      </c>
    </row>
    <row r="2835" spans="24:28" x14ac:dyDescent="0.2">
      <c r="X2835" s="186" t="str">
        <f t="shared" si="77"/>
        <v>1w</v>
      </c>
      <c r="Y2835" s="174">
        <f>_xll.qlCalendarAdvance(Calendar,Y2834,X2835,"f",FALSE)</f>
        <v>58831</v>
      </c>
      <c r="Z2835" s="198">
        <f>_xll.qlCalendarAdvance(Calendar,Y2835,NDays&amp;"D")</f>
        <v>58833</v>
      </c>
      <c r="AA2835" s="173">
        <v>1.8988374679588416E-2</v>
      </c>
      <c r="AB2835" s="182">
        <v>1.8887563347895764E-2</v>
      </c>
    </row>
    <row r="2836" spans="24:28" x14ac:dyDescent="0.2">
      <c r="X2836" s="186" t="str">
        <f t="shared" si="77"/>
        <v>1w</v>
      </c>
      <c r="Y2836" s="174">
        <f>_xll.qlCalendarAdvance(Calendar,Y2835,X2836,"f",FALSE)</f>
        <v>58838</v>
      </c>
      <c r="Z2836" s="198">
        <f>_xll.qlCalendarAdvance(Calendar,Y2836,NDays&amp;"D")</f>
        <v>58840</v>
      </c>
      <c r="AA2836" s="173">
        <v>1.8989272460814131E-2</v>
      </c>
      <c r="AB2836" s="182">
        <v>1.8888411831738949E-2</v>
      </c>
    </row>
    <row r="2837" spans="24:28" x14ac:dyDescent="0.2">
      <c r="X2837" s="186" t="str">
        <f t="shared" ref="X2837:X2900" si="78">X2836</f>
        <v>1w</v>
      </c>
      <c r="Y2837" s="174">
        <f>_xll.qlCalendarAdvance(Calendar,Y2836,X2837,"f",FALSE)</f>
        <v>58845</v>
      </c>
      <c r="Z2837" s="198">
        <f>_xll.qlCalendarAdvance(Calendar,Y2837,NDays&amp;"D")</f>
        <v>58847</v>
      </c>
      <c r="AA2837" s="173">
        <v>1.8990173450126019E-2</v>
      </c>
      <c r="AB2837" s="182">
        <v>1.8889263493200303E-2</v>
      </c>
    </row>
    <row r="2838" spans="24:28" x14ac:dyDescent="0.2">
      <c r="X2838" s="186" t="str">
        <f t="shared" si="78"/>
        <v>1w</v>
      </c>
      <c r="Y2838" s="174">
        <f>_xll.qlCalendarAdvance(Calendar,Y2837,X2838,"f",FALSE)</f>
        <v>58852</v>
      </c>
      <c r="Z2838" s="198">
        <f>_xll.qlCalendarAdvance(Calendar,Y2838,NDays&amp;"D")</f>
        <v>58854</v>
      </c>
      <c r="AA2838" s="173">
        <v>1.8991077647528054E-2</v>
      </c>
      <c r="AB2838" s="182">
        <v>1.889011833219989E-2</v>
      </c>
    </row>
    <row r="2839" spans="24:28" x14ac:dyDescent="0.2">
      <c r="X2839" s="186" t="str">
        <f t="shared" si="78"/>
        <v>1w</v>
      </c>
      <c r="Y2839" s="174">
        <f>_xll.qlCalendarAdvance(Calendar,Y2838,X2839,"f",FALSE)</f>
        <v>58859</v>
      </c>
      <c r="Z2839" s="198">
        <f>_xll.qlCalendarAdvance(Calendar,Y2839,NDays&amp;"D")</f>
        <v>58861</v>
      </c>
      <c r="AA2839" s="173">
        <v>1.8991985053024209E-2</v>
      </c>
      <c r="AB2839" s="182">
        <v>1.8890976348657773E-2</v>
      </c>
    </row>
    <row r="2840" spans="24:28" x14ac:dyDescent="0.2">
      <c r="X2840" s="186" t="str">
        <f t="shared" si="78"/>
        <v>1w</v>
      </c>
      <c r="Y2840" s="174">
        <f>_xll.qlCalendarAdvance(Calendar,Y2839,X2840,"f",FALSE)</f>
        <v>58866</v>
      </c>
      <c r="Z2840" s="198">
        <f>_xll.qlCalendarAdvance(Calendar,Y2840,NDays&amp;"D")</f>
        <v>58868</v>
      </c>
      <c r="AA2840" s="173">
        <v>1.8995724108146778E-2</v>
      </c>
      <c r="AB2840" s="182">
        <v>1.8891837542653889E-2</v>
      </c>
    </row>
    <row r="2841" spans="24:28" x14ac:dyDescent="0.2">
      <c r="X2841" s="186" t="str">
        <f t="shared" si="78"/>
        <v>1w</v>
      </c>
      <c r="Y2841" s="174">
        <f>_xll.qlCalendarAdvance(Calendar,Y2840,X2841,"f",FALSE)</f>
        <v>58873</v>
      </c>
      <c r="Z2841" s="198">
        <f>_xll.qlCalendarAdvance(Calendar,Y2841,NDays&amp;"D")</f>
        <v>58875</v>
      </c>
      <c r="AA2841" s="173">
        <v>1.8996639315855535E-2</v>
      </c>
      <c r="AB2841" s="182">
        <v>1.8892701914188237E-2</v>
      </c>
    </row>
    <row r="2842" spans="24:28" x14ac:dyDescent="0.2">
      <c r="X2842" s="186" t="str">
        <f t="shared" si="78"/>
        <v>1w</v>
      </c>
      <c r="Y2842" s="174">
        <f>_xll.qlCalendarAdvance(Calendar,Y2841,X2842,"f",FALSE)</f>
        <v>58880</v>
      </c>
      <c r="Z2842" s="198">
        <f>_xll.qlCalendarAdvance(Calendar,Y2842,NDays&amp;"D")</f>
        <v>58882</v>
      </c>
      <c r="AA2842" s="173">
        <v>1.899755773252771E-2</v>
      </c>
      <c r="AB2842" s="182">
        <v>1.8893569463180881E-2</v>
      </c>
    </row>
    <row r="2843" spans="24:28" x14ac:dyDescent="0.2">
      <c r="X2843" s="186" t="str">
        <f t="shared" si="78"/>
        <v>1w</v>
      </c>
      <c r="Y2843" s="174">
        <f>_xll.qlCalendarAdvance(Calendar,Y2842,X2843,"f",FALSE)</f>
        <v>58887</v>
      </c>
      <c r="Z2843" s="198">
        <f>_xll.qlCalendarAdvance(Calendar,Y2843,NDays&amp;"D")</f>
        <v>58889</v>
      </c>
      <c r="AA2843" s="173">
        <v>1.8998479358166741E-2</v>
      </c>
      <c r="AB2843" s="182">
        <v>1.8894440189711759E-2</v>
      </c>
    </row>
    <row r="2844" spans="24:28" x14ac:dyDescent="0.2">
      <c r="X2844" s="186" t="str">
        <f t="shared" si="78"/>
        <v>1w</v>
      </c>
      <c r="Y2844" s="174">
        <f>_xll.qlCalendarAdvance(Calendar,Y2843,X2844,"f",FALSE)</f>
        <v>58894</v>
      </c>
      <c r="Z2844" s="198">
        <f>_xll.qlCalendarAdvance(Calendar,Y2844,NDays&amp;"D")</f>
        <v>58896</v>
      </c>
      <c r="AA2844" s="173">
        <v>1.8997703659202905E-2</v>
      </c>
      <c r="AB2844" s="182">
        <v>1.8895314093780868E-2</v>
      </c>
    </row>
    <row r="2845" spans="24:28" x14ac:dyDescent="0.2">
      <c r="X2845" s="186" t="str">
        <f t="shared" si="78"/>
        <v>1w</v>
      </c>
      <c r="Y2845" s="174">
        <f>_xll.qlCalendarAdvance(Calendar,Y2844,X2845,"f",FALSE)</f>
        <v>58901</v>
      </c>
      <c r="Z2845" s="198">
        <f>_xll.qlCalendarAdvance(Calendar,Y2845,NDays&amp;"D")</f>
        <v>58903</v>
      </c>
      <c r="AA2845" s="173">
        <v>1.8998630869050168E-2</v>
      </c>
      <c r="AB2845" s="182">
        <v>1.8898426275669067E-2</v>
      </c>
    </row>
    <row r="2846" spans="24:28" x14ac:dyDescent="0.2">
      <c r="X2846" s="186" t="str">
        <f t="shared" si="78"/>
        <v>1w</v>
      </c>
      <c r="Y2846" s="174">
        <f>_xll.qlCalendarAdvance(Calendar,Y2845,X2846,"f",FALSE)</f>
        <v>58908</v>
      </c>
      <c r="Z2846" s="198">
        <f>_xll.qlCalendarAdvance(Calendar,Y2846,NDays&amp;"D")</f>
        <v>58910</v>
      </c>
      <c r="AA2846" s="173">
        <v>1.8999561287365675E-2</v>
      </c>
      <c r="AB2846" s="182">
        <v>1.8897071434453849E-2</v>
      </c>
    </row>
    <row r="2847" spans="24:28" x14ac:dyDescent="0.2">
      <c r="X2847" s="186" t="str">
        <f t="shared" si="78"/>
        <v>1w</v>
      </c>
      <c r="Y2847" s="174">
        <f>_xll.qlCalendarAdvance(Calendar,Y2846,X2847,"f",FALSE)</f>
        <v>58915</v>
      </c>
      <c r="Z2847" s="198">
        <f>_xll.qlCalendarAdvance(Calendar,Y2847,NDays&amp;"D")</f>
        <v>58917</v>
      </c>
      <c r="AA2847" s="173">
        <v>1.9000494914152486E-2</v>
      </c>
      <c r="AB2847" s="182">
        <v>1.8897954871057721E-2</v>
      </c>
    </row>
    <row r="2848" spans="24:28" x14ac:dyDescent="0.2">
      <c r="X2848" s="186" t="str">
        <f t="shared" si="78"/>
        <v>1w</v>
      </c>
      <c r="Y2848" s="174">
        <f>_xll.qlCalendarAdvance(Calendar,Y2847,X2848,"f",FALSE)</f>
        <v>58922</v>
      </c>
      <c r="Z2848" s="198">
        <f>_xll.qlCalendarAdvance(Calendar,Y2848,NDays&amp;"D")</f>
        <v>58924</v>
      </c>
      <c r="AA2848" s="173">
        <v>1.9001431749416712E-2</v>
      </c>
      <c r="AB2848" s="182">
        <v>1.8898841485119888E-2</v>
      </c>
    </row>
    <row r="2849" spans="24:28" x14ac:dyDescent="0.2">
      <c r="X2849" s="186" t="str">
        <f t="shared" si="78"/>
        <v>1w</v>
      </c>
      <c r="Y2849" s="174">
        <f>_xll.qlCalendarAdvance(Calendar,Y2848,X2849,"f",FALSE)</f>
        <v>58929</v>
      </c>
      <c r="Z2849" s="198">
        <f>_xll.qlCalendarAdvance(Calendar,Y2849,NDays&amp;"D")</f>
        <v>58931</v>
      </c>
      <c r="AA2849" s="173">
        <v>1.9004076500579947E-2</v>
      </c>
      <c r="AB2849" s="182">
        <v>1.8899731276880161E-2</v>
      </c>
    </row>
    <row r="2850" spans="24:28" x14ac:dyDescent="0.2">
      <c r="X2850" s="186" t="str">
        <f t="shared" si="78"/>
        <v>1w</v>
      </c>
      <c r="Y2850" s="174">
        <f>_xll.qlCalendarAdvance(Calendar,Y2849,X2850,"f",FALSE)</f>
        <v>58936</v>
      </c>
      <c r="Z2850" s="198">
        <f>_xll.qlCalendarAdvance(Calendar,Y2850,NDays&amp;"D")</f>
        <v>58938</v>
      </c>
      <c r="AA2850" s="173">
        <v>1.9005020589121485E-2</v>
      </c>
      <c r="AB2850" s="182">
        <v>1.8900624246018793E-2</v>
      </c>
    </row>
    <row r="2851" spans="24:28" x14ac:dyDescent="0.2">
      <c r="X2851" s="186" t="str">
        <f t="shared" si="78"/>
        <v>1w</v>
      </c>
      <c r="Y2851" s="174">
        <f>_xll.qlCalendarAdvance(Calendar,Y2850,X2851,"f",FALSE)</f>
        <v>58943</v>
      </c>
      <c r="Z2851" s="198">
        <f>_xll.qlCalendarAdvance(Calendar,Y2851,NDays&amp;"D")</f>
        <v>58945</v>
      </c>
      <c r="AA2851" s="173">
        <v>1.9005967886666406E-2</v>
      </c>
      <c r="AB2851" s="182">
        <v>1.8901520392615723E-2</v>
      </c>
    </row>
    <row r="2852" spans="24:28" x14ac:dyDescent="0.2">
      <c r="X2852" s="186" t="str">
        <f t="shared" si="78"/>
        <v>1w</v>
      </c>
      <c r="Y2852" s="174">
        <f>_xll.qlCalendarAdvance(Calendar,Y2851,X2852,"f",FALSE)</f>
        <v>58950</v>
      </c>
      <c r="Z2852" s="198">
        <f>_xll.qlCalendarAdvance(Calendar,Y2852,NDays&amp;"D")</f>
        <v>58952</v>
      </c>
      <c r="AA2852" s="173">
        <v>1.9006918393221162E-2</v>
      </c>
      <c r="AB2852" s="182">
        <v>1.8902419716830821E-2</v>
      </c>
    </row>
    <row r="2853" spans="24:28" x14ac:dyDescent="0.2">
      <c r="X2853" s="186" t="str">
        <f t="shared" si="78"/>
        <v>1w</v>
      </c>
      <c r="Y2853" s="174">
        <f>_xll.qlCalendarAdvance(Calendar,Y2852,X2853,"f",FALSE)</f>
        <v>58957</v>
      </c>
      <c r="Z2853" s="198">
        <f>_xll.qlCalendarAdvance(Calendar,Y2853,NDays&amp;"D")</f>
        <v>58959</v>
      </c>
      <c r="AA2853" s="173">
        <v>1.9006164053045893E-2</v>
      </c>
      <c r="AB2853" s="182">
        <v>1.8903322218584151E-2</v>
      </c>
    </row>
    <row r="2854" spans="24:28" x14ac:dyDescent="0.2">
      <c r="X2854" s="186" t="str">
        <f t="shared" si="78"/>
        <v>1w</v>
      </c>
      <c r="Y2854" s="174">
        <f>_xll.qlCalendarAdvance(Calendar,Y2853,X2854,"f",FALSE)</f>
        <v>58964</v>
      </c>
      <c r="Z2854" s="198">
        <f>_xll.qlCalendarAdvance(Calendar,Y2854,NDays&amp;"D")</f>
        <v>58966</v>
      </c>
      <c r="AA2854" s="173">
        <v>1.9007120139265924E-2</v>
      </c>
      <c r="AB2854" s="182">
        <v>1.8904227897715842E-2</v>
      </c>
    </row>
    <row r="2855" spans="24:28" x14ac:dyDescent="0.2">
      <c r="X2855" s="186" t="str">
        <f t="shared" si="78"/>
        <v>1w</v>
      </c>
      <c r="Y2855" s="174">
        <f>_xll.qlCalendarAdvance(Calendar,Y2854,X2855,"f",FALSE)</f>
        <v>58971</v>
      </c>
      <c r="Z2855" s="198">
        <f>_xll.qlCalendarAdvance(Calendar,Y2855,NDays&amp;"D")</f>
        <v>58973</v>
      </c>
      <c r="AA2855" s="173">
        <v>1.9008079433994386E-2</v>
      </c>
      <c r="AB2855" s="182">
        <v>1.8905136754465701E-2</v>
      </c>
    </row>
    <row r="2856" spans="24:28" x14ac:dyDescent="0.2">
      <c r="X2856" s="186" t="str">
        <f t="shared" si="78"/>
        <v>1w</v>
      </c>
      <c r="Y2856" s="174">
        <f>_xll.qlCalendarAdvance(Calendar,Y2855,X2856,"f",FALSE)</f>
        <v>58978</v>
      </c>
      <c r="Z2856" s="198">
        <f>_xll.qlCalendarAdvance(Calendar,Y2856,NDays&amp;"D")</f>
        <v>58980</v>
      </c>
      <c r="AA2856" s="173">
        <v>1.9009041937236522E-2</v>
      </c>
      <c r="AB2856" s="182">
        <v>1.8906048788833729E-2</v>
      </c>
    </row>
    <row r="2857" spans="24:28" x14ac:dyDescent="0.2">
      <c r="X2857" s="186" t="str">
        <f t="shared" si="78"/>
        <v>1w</v>
      </c>
      <c r="Y2857" s="174">
        <f>_xll.qlCalendarAdvance(Calendar,Y2856,X2857,"f",FALSE)</f>
        <v>58985</v>
      </c>
      <c r="Z2857" s="198">
        <f>_xll.qlCalendarAdvance(Calendar,Y2857,NDays&amp;"D")</f>
        <v>58987</v>
      </c>
      <c r="AA2857" s="173">
        <v>1.9010007648996699E-2</v>
      </c>
      <c r="AB2857" s="182">
        <v>1.8906964000500182E-2</v>
      </c>
    </row>
    <row r="2858" spans="24:28" x14ac:dyDescent="0.2">
      <c r="X2858" s="186" t="str">
        <f t="shared" si="78"/>
        <v>1w</v>
      </c>
      <c r="Y2858" s="174">
        <f>_xll.qlCalendarAdvance(Calendar,Y2857,X2858,"f",FALSE)</f>
        <v>58992</v>
      </c>
      <c r="Z2858" s="198">
        <f>_xll.qlCalendarAdvance(Calendar,Y2858,NDays&amp;"D")</f>
        <v>58994</v>
      </c>
      <c r="AA2858" s="173">
        <v>1.9012688822002417E-2</v>
      </c>
      <c r="AB2858" s="182">
        <v>1.8907882389784803E-2</v>
      </c>
    </row>
    <row r="2859" spans="24:28" x14ac:dyDescent="0.2">
      <c r="X2859" s="186" t="str">
        <f t="shared" si="78"/>
        <v>1w</v>
      </c>
      <c r="Y2859" s="174">
        <f>_xll.qlCalendarAdvance(Calendar,Y2858,X2859,"f",FALSE)</f>
        <v>58999</v>
      </c>
      <c r="Z2859" s="198">
        <f>_xll.qlCalendarAdvance(Calendar,Y2859,NDays&amp;"D")</f>
        <v>59001</v>
      </c>
      <c r="AA2859" s="173">
        <v>1.9013661791752345E-2</v>
      </c>
      <c r="AB2859" s="182">
        <v>1.8908803956607656E-2</v>
      </c>
    </row>
    <row r="2860" spans="24:28" x14ac:dyDescent="0.2">
      <c r="X2860" s="186" t="str">
        <f t="shared" si="78"/>
        <v>1w</v>
      </c>
      <c r="Y2860" s="174">
        <f>_xll.qlCalendarAdvance(Calendar,Y2859,X2860,"f",FALSE)</f>
        <v>59006</v>
      </c>
      <c r="Z2860" s="198">
        <f>_xll.qlCalendarAdvance(Calendar,Y2860,NDays&amp;"D")</f>
        <v>59008</v>
      </c>
      <c r="AA2860" s="173">
        <v>1.9014637970549499E-2</v>
      </c>
      <c r="AB2860" s="182">
        <v>1.8909728700968742E-2</v>
      </c>
    </row>
    <row r="2861" spans="24:28" x14ac:dyDescent="0.2">
      <c r="X2861" s="186" t="str">
        <f t="shared" si="78"/>
        <v>1w</v>
      </c>
      <c r="Y2861" s="174">
        <f>_xll.qlCalendarAdvance(Calendar,Y2860,X2861,"f",FALSE)</f>
        <v>59013</v>
      </c>
      <c r="Z2861" s="198">
        <f>_xll.qlCalendarAdvance(Calendar,Y2861,NDays&amp;"D")</f>
        <v>59015</v>
      </c>
      <c r="AA2861" s="173">
        <v>1.9015617358398598E-2</v>
      </c>
      <c r="AB2861" s="182">
        <v>1.8910656622788125E-2</v>
      </c>
    </row>
    <row r="2862" spans="24:28" x14ac:dyDescent="0.2">
      <c r="X2862" s="186" t="str">
        <f t="shared" si="78"/>
        <v>1w</v>
      </c>
      <c r="Y2862" s="174">
        <f>_xll.qlCalendarAdvance(Calendar,Y2861,X2862,"f",FALSE)</f>
        <v>59020</v>
      </c>
      <c r="Z2862" s="198">
        <f>_xll.qlCalendarAdvance(Calendar,Y2862,NDays&amp;"D")</f>
        <v>59022</v>
      </c>
      <c r="AA2862" s="173">
        <v>1.9016599955303946E-2</v>
      </c>
      <c r="AB2862" s="182">
        <v>1.891158772214574E-2</v>
      </c>
    </row>
    <row r="2863" spans="24:28" x14ac:dyDescent="0.2">
      <c r="X2863" s="186" t="str">
        <f t="shared" si="78"/>
        <v>1w</v>
      </c>
      <c r="Y2863" s="174">
        <f>_xll.qlCalendarAdvance(Calendar,Y2862,X2863,"f",FALSE)</f>
        <v>59027</v>
      </c>
      <c r="Z2863" s="198">
        <f>_xll.qlCalendarAdvance(Calendar,Y2863,NDays&amp;"D")</f>
        <v>59029</v>
      </c>
      <c r="AA2863" s="173">
        <v>1.9017585761270696E-2</v>
      </c>
      <c r="AB2863" s="182">
        <v>1.8912521999041587E-2</v>
      </c>
    </row>
    <row r="2864" spans="24:28" x14ac:dyDescent="0.2">
      <c r="X2864" s="186" t="str">
        <f t="shared" si="78"/>
        <v>1w</v>
      </c>
      <c r="Y2864" s="174">
        <f>_xll.qlCalendarAdvance(Calendar,Y2863,X2864,"f",FALSE)</f>
        <v>59034</v>
      </c>
      <c r="Z2864" s="198">
        <f>_xll.qlCalendarAdvance(Calendar,Y2864,NDays&amp;"D")</f>
        <v>59036</v>
      </c>
      <c r="AA2864" s="173">
        <v>1.9018574776304437E-2</v>
      </c>
      <c r="AB2864" s="182">
        <v>1.8913459453475667E-2</v>
      </c>
    </row>
    <row r="2865" spans="24:28" x14ac:dyDescent="0.2">
      <c r="X2865" s="186" t="str">
        <f t="shared" si="78"/>
        <v>1w</v>
      </c>
      <c r="Y2865" s="174">
        <f>_xll.qlCalendarAdvance(Calendar,Y2864,X2865,"f",FALSE)</f>
        <v>59041</v>
      </c>
      <c r="Z2865" s="198">
        <f>_xll.qlCalendarAdvance(Calendar,Y2865,NDays&amp;"D")</f>
        <v>59043</v>
      </c>
      <c r="AA2865" s="173">
        <v>1.9019567000408175E-2</v>
      </c>
      <c r="AB2865" s="182">
        <v>1.8914400085288108E-2</v>
      </c>
    </row>
    <row r="2866" spans="24:28" x14ac:dyDescent="0.2">
      <c r="X2866" s="186" t="str">
        <f t="shared" si="78"/>
        <v>1w</v>
      </c>
      <c r="Y2866" s="174">
        <f>_xll.qlCalendarAdvance(Calendar,Y2865,X2866,"f",FALSE)</f>
        <v>59048</v>
      </c>
      <c r="Z2866" s="198">
        <f>_xll.qlCalendarAdvance(Calendar,Y2866,NDays&amp;"D")</f>
        <v>59050</v>
      </c>
      <c r="AA2866" s="173">
        <v>1.9017697677398193E-2</v>
      </c>
      <c r="AB2866" s="182">
        <v>1.8915343894718717E-2</v>
      </c>
    </row>
    <row r="2867" spans="24:28" x14ac:dyDescent="0.2">
      <c r="X2867" s="186" t="str">
        <f t="shared" si="78"/>
        <v>1w</v>
      </c>
      <c r="Y2867" s="174">
        <f>_xll.qlCalendarAdvance(Calendar,Y2866,X2867,"f",FALSE)</f>
        <v>59055</v>
      </c>
      <c r="Z2867" s="198">
        <f>_xll.qlCalendarAdvance(Calendar,Y2867,NDays&amp;"D")</f>
        <v>59057</v>
      </c>
      <c r="AA2867" s="173">
        <v>1.9018694911362106E-2</v>
      </c>
      <c r="AB2867" s="182">
        <v>1.8916290881767495E-2</v>
      </c>
    </row>
    <row r="2868" spans="24:28" x14ac:dyDescent="0.2">
      <c r="X2868" s="186" t="str">
        <f t="shared" si="78"/>
        <v>1w</v>
      </c>
      <c r="Y2868" s="174">
        <f>_xll.qlCalendarAdvance(Calendar,Y2867,X2868,"f",FALSE)</f>
        <v>59062</v>
      </c>
      <c r="Z2868" s="198">
        <f>_xll.qlCalendarAdvance(Calendar,Y2868,NDays&amp;"D")</f>
        <v>59064</v>
      </c>
      <c r="AA2868" s="173">
        <v>1.9019695353553075E-2</v>
      </c>
      <c r="AB2868" s="182">
        <v>1.8917241046194633E-2</v>
      </c>
    </row>
    <row r="2869" spans="24:28" x14ac:dyDescent="0.2">
      <c r="X2869" s="186" t="str">
        <f t="shared" si="78"/>
        <v>1w</v>
      </c>
      <c r="Y2869" s="174">
        <f>_xll.qlCalendarAdvance(Calendar,Y2868,X2869,"f",FALSE)</f>
        <v>59069</v>
      </c>
      <c r="Z2869" s="198">
        <f>_xll.qlCalendarAdvance(Calendar,Y2869,NDays&amp;"D")</f>
        <v>59071</v>
      </c>
      <c r="AA2869" s="173">
        <v>1.9020699003974632E-2</v>
      </c>
      <c r="AB2869" s="182">
        <v>1.8918194388080067E-2</v>
      </c>
    </row>
    <row r="2870" spans="24:28" x14ac:dyDescent="0.2">
      <c r="X2870" s="186" t="str">
        <f t="shared" si="78"/>
        <v>1w</v>
      </c>
      <c r="Y2870" s="174">
        <f>_xll.qlCalendarAdvance(Calendar,Y2869,X2870,"f",FALSE)</f>
        <v>59076</v>
      </c>
      <c r="Z2870" s="198">
        <f>_xll.qlCalendarAdvance(Calendar,Y2870,NDays&amp;"D")</f>
        <v>59078</v>
      </c>
      <c r="AA2870" s="173">
        <v>1.9021705862634283E-2</v>
      </c>
      <c r="AB2870" s="182">
        <v>1.8919150907663607E-2</v>
      </c>
    </row>
    <row r="2871" spans="24:28" x14ac:dyDescent="0.2">
      <c r="X2871" s="186" t="str">
        <f t="shared" si="78"/>
        <v>1w</v>
      </c>
      <c r="Y2871" s="174">
        <f>_xll.qlCalendarAdvance(Calendar,Y2870,X2871,"f",FALSE)</f>
        <v>59083</v>
      </c>
      <c r="Z2871" s="198">
        <f>_xll.qlCalendarAdvance(Calendar,Y2871,NDays&amp;"D")</f>
        <v>59085</v>
      </c>
      <c r="AA2871" s="173">
        <v>1.9023290196554372E-2</v>
      </c>
      <c r="AB2871" s="182">
        <v>1.8920110604625506E-2</v>
      </c>
    </row>
    <row r="2872" spans="24:28" x14ac:dyDescent="0.2">
      <c r="X2872" s="186" t="str">
        <f t="shared" si="78"/>
        <v>1w</v>
      </c>
      <c r="Y2872" s="174">
        <f>_xll.qlCalendarAdvance(Calendar,Y2871,X2872,"f",FALSE)</f>
        <v>59090</v>
      </c>
      <c r="Z2872" s="198">
        <f>_xll.qlCalendarAdvance(Calendar,Y2872,NDays&amp;"D")</f>
        <v>59092</v>
      </c>
      <c r="AA2872" s="173">
        <v>1.9024303754164959E-2</v>
      </c>
      <c r="AB2872" s="182">
        <v>1.8921073479205575E-2</v>
      </c>
    </row>
    <row r="2873" spans="24:28" x14ac:dyDescent="0.2">
      <c r="X2873" s="186" t="str">
        <f t="shared" si="78"/>
        <v>1w</v>
      </c>
      <c r="Y2873" s="174">
        <f>_xll.qlCalendarAdvance(Calendar,Y2872,X2873,"f",FALSE)</f>
        <v>59097</v>
      </c>
      <c r="Z2873" s="198">
        <f>_xll.qlCalendarAdvance(Calendar,Y2873,NDays&amp;"D")</f>
        <v>59099</v>
      </c>
      <c r="AA2873" s="173">
        <v>1.9025320520198088E-2</v>
      </c>
      <c r="AB2873" s="182">
        <v>1.8922039531164003E-2</v>
      </c>
    </row>
    <row r="2874" spans="24:28" x14ac:dyDescent="0.2">
      <c r="X2874" s="186" t="str">
        <f t="shared" si="78"/>
        <v>1w</v>
      </c>
      <c r="Y2874" s="174">
        <f>_xll.qlCalendarAdvance(Calendar,Y2873,X2874,"f",FALSE)</f>
        <v>59104</v>
      </c>
      <c r="Z2874" s="198">
        <f>_xll.qlCalendarAdvance(Calendar,Y2874,NDays&amp;"D")</f>
        <v>59106</v>
      </c>
      <c r="AA2874" s="173">
        <v>1.9026340494659021E-2</v>
      </c>
      <c r="AB2874" s="182">
        <v>1.8923008760740601E-2</v>
      </c>
    </row>
    <row r="2875" spans="24:28" x14ac:dyDescent="0.2">
      <c r="X2875" s="186" t="str">
        <f t="shared" si="78"/>
        <v>1w</v>
      </c>
      <c r="Y2875" s="174">
        <f>_xll.qlCalendarAdvance(Calendar,Y2874,X2875,"f",FALSE)</f>
        <v>59111</v>
      </c>
      <c r="Z2875" s="198">
        <f>_xll.qlCalendarAdvance(Calendar,Y2875,NDays&amp;"D")</f>
        <v>59113</v>
      </c>
      <c r="AA2875" s="173">
        <v>1.9026788279644408E-2</v>
      </c>
      <c r="AB2875" s="182">
        <v>1.8923981167935366E-2</v>
      </c>
    </row>
    <row r="2876" spans="24:28" x14ac:dyDescent="0.2">
      <c r="X2876" s="186" t="str">
        <f t="shared" si="78"/>
        <v>1w</v>
      </c>
      <c r="Y2876" s="174">
        <f>_xll.qlCalendarAdvance(Calendar,Y2875,X2876,"f",FALSE)</f>
        <v>59118</v>
      </c>
      <c r="Z2876" s="198">
        <f>_xll.qlCalendarAdvance(Calendar,Y2876,NDays&amp;"D")</f>
        <v>59120</v>
      </c>
      <c r="AA2876" s="173">
        <v>1.9027814387823163E-2</v>
      </c>
      <c r="AB2876" s="182">
        <v>1.8924956752428557E-2</v>
      </c>
    </row>
    <row r="2877" spans="24:28" x14ac:dyDescent="0.2">
      <c r="X2877" s="186" t="str">
        <f t="shared" si="78"/>
        <v>1w</v>
      </c>
      <c r="Y2877" s="174">
        <f>_xll.qlCalendarAdvance(Calendar,Y2876,X2877,"f",FALSE)</f>
        <v>59125</v>
      </c>
      <c r="Z2877" s="198">
        <f>_xll.qlCalendarAdvance(Calendar,Y2877,NDays&amp;"D")</f>
        <v>59127</v>
      </c>
      <c r="AA2877" s="173">
        <v>1.9028843704273136E-2</v>
      </c>
      <c r="AB2877" s="182">
        <v>1.8925935514539916E-2</v>
      </c>
    </row>
    <row r="2878" spans="24:28" x14ac:dyDescent="0.2">
      <c r="X2878" s="186" t="str">
        <f t="shared" si="78"/>
        <v>1w</v>
      </c>
      <c r="Y2878" s="174">
        <f>_xll.qlCalendarAdvance(Calendar,Y2877,X2878,"f",FALSE)</f>
        <v>59132</v>
      </c>
      <c r="Z2878" s="198">
        <f>_xll.qlCalendarAdvance(Calendar,Y2878,NDays&amp;"D")</f>
        <v>59134</v>
      </c>
      <c r="AA2878" s="173">
        <v>1.9029876228999189E-2</v>
      </c>
      <c r="AB2878" s="182">
        <v>1.8926917454269443E-2</v>
      </c>
    </row>
    <row r="2879" spans="24:28" x14ac:dyDescent="0.2">
      <c r="X2879" s="186" t="str">
        <f t="shared" si="78"/>
        <v>1w</v>
      </c>
      <c r="Y2879" s="174">
        <f>_xll.qlCalendarAdvance(Calendar,Y2878,X2879,"f",FALSE)</f>
        <v>59139</v>
      </c>
      <c r="Z2879" s="198">
        <f>_xll.qlCalendarAdvance(Calendar,Y2879,NDays&amp;"D")</f>
        <v>59141</v>
      </c>
      <c r="AA2879" s="173">
        <v>1.9031488493554325E-2</v>
      </c>
      <c r="AB2879" s="182">
        <v>1.8927902571457267E-2</v>
      </c>
    </row>
    <row r="2880" spans="24:28" x14ac:dyDescent="0.2">
      <c r="X2880" s="186" t="str">
        <f t="shared" si="78"/>
        <v>1w</v>
      </c>
      <c r="Y2880" s="174">
        <f>_xll.qlCalendarAdvance(Calendar,Y2879,X2880,"f",FALSE)</f>
        <v>59146</v>
      </c>
      <c r="Z2880" s="198">
        <f>_xll.qlCalendarAdvance(Calendar,Y2880,NDays&amp;"D")</f>
        <v>59148</v>
      </c>
      <c r="AA2880" s="173">
        <v>1.903252771868533E-2</v>
      </c>
      <c r="AB2880" s="182">
        <v>1.8928890866023451E-2</v>
      </c>
    </row>
    <row r="2881" spans="24:28" x14ac:dyDescent="0.2">
      <c r="X2881" s="186" t="str">
        <f t="shared" si="78"/>
        <v>1w</v>
      </c>
      <c r="Y2881" s="174">
        <f>_xll.qlCalendarAdvance(Calendar,Y2880,X2881,"f",FALSE)</f>
        <v>59153</v>
      </c>
      <c r="Z2881" s="198">
        <f>_xll.qlCalendarAdvance(Calendar,Y2881,NDays&amp;"D")</f>
        <v>59155</v>
      </c>
      <c r="AA2881" s="173">
        <v>1.9033570152279283E-2</v>
      </c>
      <c r="AB2881" s="182">
        <v>1.8929882338207804E-2</v>
      </c>
    </row>
    <row r="2882" spans="24:28" x14ac:dyDescent="0.2">
      <c r="X2882" s="186" t="str">
        <f t="shared" si="78"/>
        <v>1w</v>
      </c>
      <c r="Y2882" s="174">
        <f>_xll.qlCalendarAdvance(Calendar,Y2881,X2882,"f",FALSE)</f>
        <v>59160</v>
      </c>
      <c r="Z2882" s="198">
        <f>_xll.qlCalendarAdvance(Calendar,Y2882,NDays&amp;"D")</f>
        <v>59162</v>
      </c>
      <c r="AA2882" s="173">
        <v>1.9034615794341011E-2</v>
      </c>
      <c r="AB2882" s="182">
        <v>1.8930876988010326E-2</v>
      </c>
    </row>
    <row r="2883" spans="24:28" x14ac:dyDescent="0.2">
      <c r="X2883" s="186" t="str">
        <f t="shared" si="78"/>
        <v>1w</v>
      </c>
      <c r="Y2883" s="174">
        <f>_xll.qlCalendarAdvance(Calendar,Y2882,X2883,"f",FALSE)</f>
        <v>59167</v>
      </c>
      <c r="Z2883" s="198">
        <f>_xll.qlCalendarAdvance(Calendar,Y2883,NDays&amp;"D")</f>
        <v>59169</v>
      </c>
      <c r="AA2883" s="173">
        <v>1.9035664644875785E-2</v>
      </c>
      <c r="AB2883" s="182">
        <v>1.8931874815191208E-2</v>
      </c>
    </row>
    <row r="2884" spans="24:28" x14ac:dyDescent="0.2">
      <c r="X2884" s="186" t="str">
        <f t="shared" si="78"/>
        <v>1w</v>
      </c>
      <c r="Y2884" s="174">
        <f>_xll.qlCalendarAdvance(Calendar,Y2883,X2884,"f",FALSE)</f>
        <v>59174</v>
      </c>
      <c r="Z2884" s="198">
        <f>_xll.qlCalendarAdvance(Calendar,Y2884,NDays&amp;"D")</f>
        <v>59176</v>
      </c>
      <c r="AA2884" s="173">
        <v>1.9036138751414973E-2</v>
      </c>
      <c r="AB2884" s="182">
        <v>1.8932875819830386E-2</v>
      </c>
    </row>
    <row r="2885" spans="24:28" x14ac:dyDescent="0.2">
      <c r="X2885" s="186" t="str">
        <f t="shared" si="78"/>
        <v>1w</v>
      </c>
      <c r="Y2885" s="174">
        <f>_xll.qlCalendarAdvance(Calendar,Y2884,X2885,"f",FALSE)</f>
        <v>59181</v>
      </c>
      <c r="Z2885" s="198">
        <f>_xll.qlCalendarAdvance(Calendar,Y2885,NDays&amp;"D")</f>
        <v>59183</v>
      </c>
      <c r="AA2885" s="173">
        <v>1.9037193734208695E-2</v>
      </c>
      <c r="AB2885" s="182">
        <v>1.8933880002167669E-2</v>
      </c>
    </row>
    <row r="2886" spans="24:28" x14ac:dyDescent="0.2">
      <c r="X2886" s="186" t="str">
        <f t="shared" si="78"/>
        <v>1w</v>
      </c>
      <c r="Y2886" s="174">
        <f>_xll.qlCalendarAdvance(Calendar,Y2885,X2886,"f",FALSE)</f>
        <v>59188</v>
      </c>
      <c r="Z2886" s="198">
        <f>_xll.qlCalendarAdvance(Calendar,Y2886,NDays&amp;"D")</f>
        <v>59190</v>
      </c>
      <c r="AA2886" s="173">
        <v>1.9038251925317353E-2</v>
      </c>
      <c r="AB2886" s="182">
        <v>1.8934887361883312E-2</v>
      </c>
    </row>
    <row r="2887" spans="24:28" x14ac:dyDescent="0.2">
      <c r="X2887" s="186" t="str">
        <f t="shared" si="78"/>
        <v>1w</v>
      </c>
      <c r="Y2887" s="174">
        <f>_xll.qlCalendarAdvance(Calendar,Y2886,X2887,"f",FALSE)</f>
        <v>59195</v>
      </c>
      <c r="Z2887" s="198">
        <f>_xll.qlCalendarAdvance(Calendar,Y2887,NDays&amp;"D")</f>
        <v>59197</v>
      </c>
      <c r="AA2887" s="173">
        <v>1.9039313324746253E-2</v>
      </c>
      <c r="AB2887" s="182">
        <v>1.8935897899137188E-2</v>
      </c>
    </row>
    <row r="2888" spans="24:28" x14ac:dyDescent="0.2">
      <c r="X2888" s="186" t="str">
        <f t="shared" si="78"/>
        <v>1w</v>
      </c>
      <c r="Y2888" s="174">
        <f>_xll.qlCalendarAdvance(Calendar,Y2887,X2888,"f",FALSE)</f>
        <v>59202</v>
      </c>
      <c r="Z2888" s="198">
        <f>_xll.qlCalendarAdvance(Calendar,Y2888,NDays&amp;"D")</f>
        <v>59204</v>
      </c>
      <c r="AA2888" s="173">
        <v>1.9040377932501577E-2</v>
      </c>
      <c r="AB2888" s="182">
        <v>1.8936911614009233E-2</v>
      </c>
    </row>
    <row r="2889" spans="24:28" x14ac:dyDescent="0.2">
      <c r="X2889" s="186" t="str">
        <f t="shared" si="78"/>
        <v>1w</v>
      </c>
      <c r="Y2889" s="174">
        <f>_xll.qlCalendarAdvance(Calendar,Y2888,X2889,"f",FALSE)</f>
        <v>59209</v>
      </c>
      <c r="Z2889" s="198">
        <f>_xll.qlCalendarAdvance(Calendar,Y2889,NDays&amp;"D")</f>
        <v>59211</v>
      </c>
      <c r="AA2889" s="173">
        <v>1.9041445748587738E-2</v>
      </c>
      <c r="AB2889" s="182">
        <v>1.8937928506339574E-2</v>
      </c>
    </row>
    <row r="2890" spans="24:28" x14ac:dyDescent="0.2">
      <c r="X2890" s="186" t="str">
        <f t="shared" si="78"/>
        <v>1w</v>
      </c>
      <c r="Y2890" s="174">
        <f>_xll.qlCalendarAdvance(Calendar,Y2889,X2890,"f",FALSE)</f>
        <v>59216</v>
      </c>
      <c r="Z2890" s="198">
        <f>_xll.qlCalendarAdvance(Calendar,Y2890,NDays&amp;"D")</f>
        <v>59218</v>
      </c>
      <c r="AA2890" s="173">
        <v>1.9042516773009152E-2</v>
      </c>
      <c r="AB2890" s="182">
        <v>1.8938948576208148E-2</v>
      </c>
    </row>
    <row r="2891" spans="24:28" x14ac:dyDescent="0.2">
      <c r="X2891" s="186" t="str">
        <f t="shared" si="78"/>
        <v>1w</v>
      </c>
      <c r="Y2891" s="174">
        <f>_xll.qlCalendarAdvance(Calendar,Y2890,X2891,"f",FALSE)</f>
        <v>59223</v>
      </c>
      <c r="Z2891" s="198">
        <f>_xll.qlCalendarAdvance(Calendar,Y2891,NDays&amp;"D")</f>
        <v>59225</v>
      </c>
      <c r="AA2891" s="173">
        <v>1.9043591005772006E-2</v>
      </c>
      <c r="AB2891" s="182">
        <v>1.8939971823455082E-2</v>
      </c>
    </row>
    <row r="2892" spans="24:28" x14ac:dyDescent="0.2">
      <c r="X2892" s="186" t="str">
        <f t="shared" si="78"/>
        <v>1w</v>
      </c>
      <c r="Y2892" s="174">
        <f>_xll.qlCalendarAdvance(Calendar,Y2891,X2892,"f",FALSE)</f>
        <v>59230</v>
      </c>
      <c r="Z2892" s="198">
        <f>_xll.qlCalendarAdvance(Calendar,Y2892,NDays&amp;"D")</f>
        <v>59232</v>
      </c>
      <c r="AA2892" s="173">
        <v>1.9047570098360483E-2</v>
      </c>
      <c r="AB2892" s="182">
        <v>1.894099824840012E-2</v>
      </c>
    </row>
    <row r="2893" spans="24:28" x14ac:dyDescent="0.2">
      <c r="X2893" s="186" t="str">
        <f t="shared" si="78"/>
        <v>1w</v>
      </c>
      <c r="Y2893" s="174">
        <f>_xll.qlCalendarAdvance(Calendar,Y2892,X2893,"f",FALSE)</f>
        <v>59237</v>
      </c>
      <c r="Z2893" s="198">
        <f>_xll.qlCalendarAdvance(Calendar,Y2893,NDays&amp;"D")</f>
        <v>59239</v>
      </c>
      <c r="AA2893" s="173">
        <v>1.9048652178499954E-2</v>
      </c>
      <c r="AB2893" s="182">
        <v>1.8942027850883392E-2</v>
      </c>
    </row>
    <row r="2894" spans="24:28" x14ac:dyDescent="0.2">
      <c r="X2894" s="186" t="str">
        <f t="shared" si="78"/>
        <v>1w</v>
      </c>
      <c r="Y2894" s="174">
        <f>_xll.qlCalendarAdvance(Calendar,Y2893,X2894,"f",FALSE)</f>
        <v>59244</v>
      </c>
      <c r="Z2894" s="198">
        <f>_xll.qlCalendarAdvance(Calendar,Y2894,NDays&amp;"D")</f>
        <v>59246</v>
      </c>
      <c r="AA2894" s="173">
        <v>1.904973746785726E-2</v>
      </c>
      <c r="AB2894" s="182">
        <v>1.8943060630665087E-2</v>
      </c>
    </row>
    <row r="2895" spans="24:28" x14ac:dyDescent="0.2">
      <c r="X2895" s="186" t="str">
        <f t="shared" si="78"/>
        <v>1w</v>
      </c>
      <c r="Y2895" s="174">
        <f>_xll.qlCalendarAdvance(Calendar,Y2894,X2895,"f",FALSE)</f>
        <v>59251</v>
      </c>
      <c r="Z2895" s="198">
        <f>_xll.qlCalendarAdvance(Calendar,Y2895,NDays&amp;"D")</f>
        <v>59253</v>
      </c>
      <c r="AA2895" s="173">
        <v>1.9050825966441001E-2</v>
      </c>
      <c r="AB2895" s="182">
        <v>1.8946387162914746E-2</v>
      </c>
    </row>
    <row r="2896" spans="24:28" x14ac:dyDescent="0.2">
      <c r="X2896" s="186" t="str">
        <f t="shared" si="78"/>
        <v>1w</v>
      </c>
      <c r="Y2896" s="174">
        <f>_xll.qlCalendarAdvance(Calendar,Y2895,X2896,"f",FALSE)</f>
        <v>59258</v>
      </c>
      <c r="Z2896" s="198">
        <f>_xll.qlCalendarAdvance(Calendar,Y2896,NDays&amp;"D")</f>
        <v>59260</v>
      </c>
      <c r="AA2896" s="173">
        <v>1.9050173103212623E-2</v>
      </c>
      <c r="AB2896" s="182">
        <v>1.894513572316292E-2</v>
      </c>
    </row>
    <row r="2897" spans="24:28" x14ac:dyDescent="0.2">
      <c r="X2897" s="186" t="str">
        <f t="shared" si="78"/>
        <v>1w</v>
      </c>
      <c r="Y2897" s="174">
        <f>_xll.qlCalendarAdvance(Calendar,Y2896,X2897,"f",FALSE)</f>
        <v>59265</v>
      </c>
      <c r="Z2897" s="198">
        <f>_xll.qlCalendarAdvance(Calendar,Y2897,NDays&amp;"D")</f>
        <v>59267</v>
      </c>
      <c r="AA2897" s="173">
        <v>1.9051267159699556E-2</v>
      </c>
      <c r="AB2897" s="182">
        <v>1.894617803563925E-2</v>
      </c>
    </row>
    <row r="2898" spans="24:28" x14ac:dyDescent="0.2">
      <c r="X2898" s="186" t="str">
        <f t="shared" si="78"/>
        <v>1w</v>
      </c>
      <c r="Y2898" s="174">
        <f>_xll.qlCalendarAdvance(Calendar,Y2897,X2898,"f",FALSE)</f>
        <v>59272</v>
      </c>
      <c r="Z2898" s="198">
        <f>_xll.qlCalendarAdvance(Calendar,Y2898,NDays&amp;"D")</f>
        <v>59274</v>
      </c>
      <c r="AA2898" s="173">
        <v>1.9052364424908961E-2</v>
      </c>
      <c r="AB2898" s="182">
        <v>1.8947223525573875E-2</v>
      </c>
    </row>
    <row r="2899" spans="24:28" x14ac:dyDescent="0.2">
      <c r="X2899" s="186" t="str">
        <f t="shared" si="78"/>
        <v>1w</v>
      </c>
      <c r="Y2899" s="174">
        <f>_xll.qlCalendarAdvance(Calendar,Y2898,X2899,"f",FALSE)</f>
        <v>59279</v>
      </c>
      <c r="Z2899" s="198">
        <f>_xll.qlCalendarAdvance(Calendar,Y2899,NDays&amp;"D")</f>
        <v>59281</v>
      </c>
      <c r="AA2899" s="173">
        <v>1.905346489884651E-2</v>
      </c>
      <c r="AB2899" s="182">
        <v>1.8948272193046733E-2</v>
      </c>
    </row>
    <row r="2900" spans="24:28" x14ac:dyDescent="0.2">
      <c r="X2900" s="186" t="str">
        <f t="shared" si="78"/>
        <v>1w</v>
      </c>
      <c r="Y2900" s="174">
        <f>_xll.qlCalendarAdvance(Calendar,Y2899,X2900,"f",FALSE)</f>
        <v>59286</v>
      </c>
      <c r="Z2900" s="198">
        <f>_xll.qlCalendarAdvance(Calendar,Y2900,NDays&amp;"D")</f>
        <v>59288</v>
      </c>
      <c r="AA2900" s="173">
        <v>1.9054568581517013E-2</v>
      </c>
      <c r="AB2900" s="182">
        <v>1.8949324038057824E-2</v>
      </c>
    </row>
    <row r="2901" spans="24:28" x14ac:dyDescent="0.2">
      <c r="X2901" s="186" t="str">
        <f t="shared" ref="X2901:X2964" si="79">X2900</f>
        <v>1w</v>
      </c>
      <c r="Y2901" s="174">
        <f>_xll.qlCalendarAdvance(Calendar,Y2900,X2901,"f",FALSE)</f>
        <v>59293</v>
      </c>
      <c r="Z2901" s="198">
        <f>_xll.qlCalendarAdvance(Calendar,Y2901,NDays&amp;"D")</f>
        <v>59295</v>
      </c>
      <c r="AA2901" s="173">
        <v>1.9057424351957258E-2</v>
      </c>
      <c r="AB2901" s="182">
        <v>1.8950379060607148E-2</v>
      </c>
    </row>
    <row r="2902" spans="24:28" x14ac:dyDescent="0.2">
      <c r="X2902" s="186" t="str">
        <f t="shared" si="79"/>
        <v>1w</v>
      </c>
      <c r="Y2902" s="174">
        <f>_xll.qlCalendarAdvance(Calendar,Y2901,X2902,"f",FALSE)</f>
        <v>59300</v>
      </c>
      <c r="Z2902" s="198">
        <f>_xll.qlCalendarAdvance(Calendar,Y2902,NDays&amp;"D")</f>
        <v>59302</v>
      </c>
      <c r="AA2902" s="173">
        <v>1.9058535315263123E-2</v>
      </c>
      <c r="AB2902" s="182">
        <v>1.8951437260614767E-2</v>
      </c>
    </row>
    <row r="2903" spans="24:28" x14ac:dyDescent="0.2">
      <c r="X2903" s="186" t="str">
        <f t="shared" si="79"/>
        <v>1w</v>
      </c>
      <c r="Y2903" s="174">
        <f>_xll.qlCalendarAdvance(Calendar,Y2902,X2903,"f",FALSE)</f>
        <v>59307</v>
      </c>
      <c r="Z2903" s="198">
        <f>_xll.qlCalendarAdvance(Calendar,Y2903,NDays&amp;"D")</f>
        <v>59309</v>
      </c>
      <c r="AA2903" s="173">
        <v>1.9059649487837969E-2</v>
      </c>
      <c r="AB2903" s="182">
        <v>1.8952498638240556E-2</v>
      </c>
    </row>
    <row r="2904" spans="24:28" x14ac:dyDescent="0.2">
      <c r="X2904" s="186" t="str">
        <f t="shared" si="79"/>
        <v>1w</v>
      </c>
      <c r="Y2904" s="174">
        <f>_xll.qlCalendarAdvance(Calendar,Y2903,X2904,"f",FALSE)</f>
        <v>59314</v>
      </c>
      <c r="Z2904" s="198">
        <f>_xll.qlCalendarAdvance(Calendar,Y2904,NDays&amp;"D")</f>
        <v>59316</v>
      </c>
      <c r="AA2904" s="173">
        <v>1.9060766869686094E-2</v>
      </c>
      <c r="AB2904" s="182">
        <v>1.8953563193404577E-2</v>
      </c>
    </row>
    <row r="2905" spans="24:28" x14ac:dyDescent="0.2">
      <c r="X2905" s="186" t="str">
        <f t="shared" si="79"/>
        <v>1w</v>
      </c>
      <c r="Y2905" s="174">
        <f>_xll.qlCalendarAdvance(Calendar,Y2904,X2905,"f",FALSE)</f>
        <v>59321</v>
      </c>
      <c r="Z2905" s="198">
        <f>_xll.qlCalendarAdvance(Calendar,Y2905,NDays&amp;"D")</f>
        <v>59323</v>
      </c>
      <c r="AA2905" s="173">
        <v>1.9060135126059485E-2</v>
      </c>
      <c r="AB2905" s="182">
        <v>1.8954630925867022E-2</v>
      </c>
    </row>
    <row r="2906" spans="24:28" x14ac:dyDescent="0.2">
      <c r="X2906" s="186" t="str">
        <f t="shared" si="79"/>
        <v>1w</v>
      </c>
      <c r="Y2906" s="174">
        <f>_xll.qlCalendarAdvance(Calendar,Y2905,X2906,"f",FALSE)</f>
        <v>59328</v>
      </c>
      <c r="Z2906" s="198">
        <f>_xll.qlCalendarAdvance(Calendar,Y2906,NDays&amp;"D")</f>
        <v>59330</v>
      </c>
      <c r="AA2906" s="173">
        <v>1.9061258061243449E-2</v>
      </c>
      <c r="AB2906" s="182">
        <v>1.8955701836107508E-2</v>
      </c>
    </row>
    <row r="2907" spans="24:28" x14ac:dyDescent="0.2">
      <c r="X2907" s="186" t="str">
        <f t="shared" si="79"/>
        <v>1w</v>
      </c>
      <c r="Y2907" s="174">
        <f>_xll.qlCalendarAdvance(Calendar,Y2906,X2907,"f",FALSE)</f>
        <v>59335</v>
      </c>
      <c r="Z2907" s="198">
        <f>_xll.qlCalendarAdvance(Calendar,Y2907,NDays&amp;"D")</f>
        <v>59337</v>
      </c>
      <c r="AA2907" s="173">
        <v>1.9062384205198804E-2</v>
      </c>
      <c r="AB2907" s="182">
        <v>1.8956775923726354E-2</v>
      </c>
    </row>
    <row r="2908" spans="24:28" x14ac:dyDescent="0.2">
      <c r="X2908" s="186" t="str">
        <f t="shared" si="79"/>
        <v>1w</v>
      </c>
      <c r="Y2908" s="174">
        <f>_xll.qlCalendarAdvance(Calendar,Y2907,X2908,"f",FALSE)</f>
        <v>59342</v>
      </c>
      <c r="Z2908" s="198">
        <f>_xll.qlCalendarAdvance(Calendar,Y2908,NDays&amp;"D")</f>
        <v>59344</v>
      </c>
      <c r="AA2908" s="173">
        <v>1.9063513557930355E-2</v>
      </c>
      <c r="AB2908" s="182">
        <v>1.8957853188963369E-2</v>
      </c>
    </row>
    <row r="2909" spans="24:28" x14ac:dyDescent="0.2">
      <c r="X2909" s="186" t="str">
        <f t="shared" si="79"/>
        <v>1w</v>
      </c>
      <c r="Y2909" s="174">
        <f>_xll.qlCalendarAdvance(Calendar,Y2908,X2909,"f",FALSE)</f>
        <v>59349</v>
      </c>
      <c r="Z2909" s="198">
        <f>_xll.qlCalendarAdvance(Calendar,Y2909,NDays&amp;"D")</f>
        <v>59351</v>
      </c>
      <c r="AA2909" s="173">
        <v>1.9064646119443779E-2</v>
      </c>
      <c r="AB2909" s="182">
        <v>1.8958933631498809E-2</v>
      </c>
    </row>
    <row r="2910" spans="24:28" x14ac:dyDescent="0.2">
      <c r="X2910" s="186" t="str">
        <f t="shared" si="79"/>
        <v>1w</v>
      </c>
      <c r="Y2910" s="174">
        <f>_xll.qlCalendarAdvance(Calendar,Y2909,X2910,"f",FALSE)</f>
        <v>59356</v>
      </c>
      <c r="Z2910" s="198">
        <f>_xll.qlCalendarAdvance(Calendar,Y2910,NDays&amp;"D")</f>
        <v>59358</v>
      </c>
      <c r="AA2910" s="173">
        <v>1.9067538555825235E-2</v>
      </c>
      <c r="AB2910" s="182">
        <v>1.8960017251812289E-2</v>
      </c>
    </row>
    <row r="2911" spans="24:28" x14ac:dyDescent="0.2">
      <c r="X2911" s="186" t="str">
        <f t="shared" si="79"/>
        <v>1w</v>
      </c>
      <c r="Y2911" s="174">
        <f>_xll.qlCalendarAdvance(Calendar,Y2910,X2911,"f",FALSE)</f>
        <v>59363</v>
      </c>
      <c r="Z2911" s="198">
        <f>_xll.qlCalendarAdvance(Calendar,Y2911,NDays&amp;"D")</f>
        <v>59365</v>
      </c>
      <c r="AA2911" s="173">
        <v>1.906867840274273E-2</v>
      </c>
      <c r="AB2911" s="182">
        <v>1.8961104049504129E-2</v>
      </c>
    </row>
    <row r="2912" spans="24:28" x14ac:dyDescent="0.2">
      <c r="X2912" s="186" t="str">
        <f t="shared" si="79"/>
        <v>1w</v>
      </c>
      <c r="Y2912" s="174">
        <f>_xll.qlCalendarAdvance(Calendar,Y2911,X2912,"f",FALSE)</f>
        <v>59370</v>
      </c>
      <c r="Z2912" s="198">
        <f>_xll.qlCalendarAdvance(Calendar,Y2912,NDays&amp;"D")</f>
        <v>59372</v>
      </c>
      <c r="AA2912" s="173">
        <v>1.9069821458977773E-2</v>
      </c>
      <c r="AB2912" s="182">
        <v>1.8962194024734202E-2</v>
      </c>
    </row>
    <row r="2913" spans="24:28" x14ac:dyDescent="0.2">
      <c r="X2913" s="186" t="str">
        <f t="shared" si="79"/>
        <v>1w</v>
      </c>
      <c r="Y2913" s="174">
        <f>_xll.qlCalendarAdvance(Calendar,Y2912,X2913,"f",FALSE)</f>
        <v>59377</v>
      </c>
      <c r="Z2913" s="198">
        <f>_xll.qlCalendarAdvance(Calendar,Y2913,NDays&amp;"D")</f>
        <v>59379</v>
      </c>
      <c r="AA2913" s="173">
        <v>1.9070967724536373E-2</v>
      </c>
      <c r="AB2913" s="182">
        <v>1.8963287177422572E-2</v>
      </c>
    </row>
    <row r="2914" spans="24:28" x14ac:dyDescent="0.2">
      <c r="X2914" s="186" t="str">
        <f t="shared" si="79"/>
        <v>1w</v>
      </c>
      <c r="Y2914" s="174">
        <f>_xll.qlCalendarAdvance(Calendar,Y2913,X2914,"f",FALSE)</f>
        <v>59384</v>
      </c>
      <c r="Z2914" s="198">
        <f>_xll.qlCalendarAdvance(Calendar,Y2914,NDays&amp;"D")</f>
        <v>59386</v>
      </c>
      <c r="AA2914" s="173">
        <v>1.9072117199424549E-2</v>
      </c>
      <c r="AB2914" s="182">
        <v>1.8964383507809046E-2</v>
      </c>
    </row>
    <row r="2915" spans="24:28" x14ac:dyDescent="0.2">
      <c r="X2915" s="186" t="str">
        <f t="shared" si="79"/>
        <v>1w</v>
      </c>
      <c r="Y2915" s="174">
        <f>_xll.qlCalendarAdvance(Calendar,Y2914,X2915,"f",FALSE)</f>
        <v>59391</v>
      </c>
      <c r="Z2915" s="198">
        <f>_xll.qlCalendarAdvance(Calendar,Y2915,NDays&amp;"D")</f>
        <v>59393</v>
      </c>
      <c r="AA2915" s="173">
        <v>1.9073269883647461E-2</v>
      </c>
      <c r="AB2915" s="182">
        <v>1.8965483015573881E-2</v>
      </c>
    </row>
    <row r="2916" spans="24:28" x14ac:dyDescent="0.2">
      <c r="X2916" s="186" t="str">
        <f t="shared" si="79"/>
        <v>1w</v>
      </c>
      <c r="Y2916" s="174">
        <f>_xll.qlCalendarAdvance(Calendar,Y2915,X2916,"f",FALSE)</f>
        <v>59398</v>
      </c>
      <c r="Z2916" s="198">
        <f>_xll.qlCalendarAdvance(Calendar,Y2916,NDays&amp;"D")</f>
        <v>59400</v>
      </c>
      <c r="AA2916" s="173">
        <v>1.907442577721026E-2</v>
      </c>
      <c r="AB2916" s="182">
        <v>1.8966585700797012E-2</v>
      </c>
    </row>
    <row r="2917" spans="24:28" x14ac:dyDescent="0.2">
      <c r="X2917" s="186" t="str">
        <f t="shared" si="79"/>
        <v>1w</v>
      </c>
      <c r="Y2917" s="174">
        <f>_xll.qlCalendarAdvance(Calendar,Y2916,X2917,"f",FALSE)</f>
        <v>59405</v>
      </c>
      <c r="Z2917" s="198">
        <f>_xll.qlCalendarAdvance(Calendar,Y2917,NDays&amp;"D")</f>
        <v>59407</v>
      </c>
      <c r="AA2917" s="173">
        <v>1.9075584880120258E-2</v>
      </c>
      <c r="AB2917" s="182">
        <v>1.8967691563718247E-2</v>
      </c>
    </row>
    <row r="2918" spans="24:28" x14ac:dyDescent="0.2">
      <c r="X2918" s="186" t="str">
        <f t="shared" si="79"/>
        <v>1w</v>
      </c>
      <c r="Y2918" s="174">
        <f>_xll.qlCalendarAdvance(Calendar,Y2917,X2918,"f",FALSE)</f>
        <v>59412</v>
      </c>
      <c r="Z2918" s="198">
        <f>_xll.qlCalendarAdvance(Calendar,Y2918,NDays&amp;"D")</f>
        <v>59414</v>
      </c>
      <c r="AA2918" s="173">
        <v>1.9073808062450712E-2</v>
      </c>
      <c r="AB2918" s="182">
        <v>1.896880060409778E-2</v>
      </c>
    </row>
    <row r="2919" spans="24:28" x14ac:dyDescent="0.2">
      <c r="X2919" s="186" t="str">
        <f t="shared" si="79"/>
        <v>1w</v>
      </c>
      <c r="Y2919" s="174">
        <f>_xll.qlCalendarAdvance(Calendar,Y2918,X2919,"f",FALSE)</f>
        <v>59419</v>
      </c>
      <c r="Z2919" s="198">
        <f>_xll.qlCalendarAdvance(Calendar,Y2919,NDays&amp;"D")</f>
        <v>59421</v>
      </c>
      <c r="AA2919" s="173">
        <v>1.9074972130908252E-2</v>
      </c>
      <c r="AB2919" s="182">
        <v>1.8969912821855672E-2</v>
      </c>
    </row>
    <row r="2920" spans="24:28" x14ac:dyDescent="0.2">
      <c r="X2920" s="186" t="str">
        <f t="shared" si="79"/>
        <v>1w</v>
      </c>
      <c r="Y2920" s="174">
        <f>_xll.qlCalendarAdvance(Calendar,Y2919,X2920,"f",FALSE)</f>
        <v>59426</v>
      </c>
      <c r="Z2920" s="198">
        <f>_xll.qlCalendarAdvance(Calendar,Y2920,NDays&amp;"D")</f>
        <v>59428</v>
      </c>
      <c r="AA2920" s="173">
        <v>1.9076139407862684E-2</v>
      </c>
      <c r="AB2920" s="182">
        <v>1.897102821731167E-2</v>
      </c>
    </row>
    <row r="2921" spans="24:28" x14ac:dyDescent="0.2">
      <c r="X2921" s="186" t="str">
        <f t="shared" si="79"/>
        <v>1w</v>
      </c>
      <c r="Y2921" s="174">
        <f>_xll.qlCalendarAdvance(Calendar,Y2920,X2921,"f",FALSE)</f>
        <v>59433</v>
      </c>
      <c r="Z2921" s="198">
        <f>_xll.qlCalendarAdvance(Calendar,Y2921,NDays&amp;"D")</f>
        <v>59435</v>
      </c>
      <c r="AA2921" s="173">
        <v>1.9077309893319749E-2</v>
      </c>
      <c r="AB2921" s="182">
        <v>1.8972146790225963E-2</v>
      </c>
    </row>
    <row r="2922" spans="24:28" x14ac:dyDescent="0.2">
      <c r="X2922" s="186" t="str">
        <f t="shared" si="79"/>
        <v>1w</v>
      </c>
      <c r="Y2922" s="174">
        <f>_xll.qlCalendarAdvance(Calendar,Y2921,X2922,"f",FALSE)</f>
        <v>59440</v>
      </c>
      <c r="Z2922" s="198">
        <f>_xll.qlCalendarAdvance(Calendar,Y2922,NDays&amp;"D")</f>
        <v>59442</v>
      </c>
      <c r="AA2922" s="173">
        <v>1.9078483587283868E-2</v>
      </c>
      <c r="AB2922" s="182">
        <v>1.897326854067849E-2</v>
      </c>
    </row>
    <row r="2923" spans="24:28" x14ac:dyDescent="0.2">
      <c r="X2923" s="186" t="str">
        <f t="shared" si="79"/>
        <v>1w</v>
      </c>
      <c r="Y2923" s="174">
        <f>_xll.qlCalendarAdvance(Calendar,Y2922,X2923,"f",FALSE)</f>
        <v>59447</v>
      </c>
      <c r="Z2923" s="198">
        <f>_xll.qlCalendarAdvance(Calendar,Y2923,NDays&amp;"D")</f>
        <v>59449</v>
      </c>
      <c r="AA2923" s="173">
        <v>1.9080249673530728E-2</v>
      </c>
      <c r="AB2923" s="182">
        <v>1.8974393468589312E-2</v>
      </c>
    </row>
    <row r="2924" spans="24:28" x14ac:dyDescent="0.2">
      <c r="X2924" s="186" t="str">
        <f t="shared" si="79"/>
        <v>1w</v>
      </c>
      <c r="Y2924" s="174">
        <f>_xll.qlCalendarAdvance(Calendar,Y2923,X2924,"f",FALSE)</f>
        <v>59454</v>
      </c>
      <c r="Z2924" s="198">
        <f>_xll.qlCalendarAdvance(Calendar,Y2924,NDays&amp;"D")</f>
        <v>59456</v>
      </c>
      <c r="AA2924" s="173">
        <v>1.9081430075970698E-2</v>
      </c>
      <c r="AB2924" s="182">
        <v>1.8975521574038368E-2</v>
      </c>
    </row>
    <row r="2925" spans="24:28" x14ac:dyDescent="0.2">
      <c r="X2925" s="186" t="str">
        <f t="shared" si="79"/>
        <v>1w</v>
      </c>
      <c r="Y2925" s="174">
        <f>_xll.qlCalendarAdvance(Calendar,Y2924,X2925,"f",FALSE)</f>
        <v>59461</v>
      </c>
      <c r="Z2925" s="198">
        <f>_xll.qlCalendarAdvance(Calendar,Y2925,NDays&amp;"D")</f>
        <v>59463</v>
      </c>
      <c r="AA2925" s="173">
        <v>1.9082613687108587E-2</v>
      </c>
      <c r="AB2925" s="182">
        <v>1.8976652857025655E-2</v>
      </c>
    </row>
    <row r="2926" spans="24:28" x14ac:dyDescent="0.2">
      <c r="X2926" s="186" t="str">
        <f t="shared" si="79"/>
        <v>1w</v>
      </c>
      <c r="Y2926" s="174">
        <f>_xll.qlCalendarAdvance(Calendar,Y2925,X2926,"f",FALSE)</f>
        <v>59468</v>
      </c>
      <c r="Z2926" s="198">
        <f>_xll.qlCalendarAdvance(Calendar,Y2926,NDays&amp;"D")</f>
        <v>59470</v>
      </c>
      <c r="AA2926" s="173">
        <v>1.908380050695099E-2</v>
      </c>
      <c r="AB2926" s="182">
        <v>1.897778731747124E-2</v>
      </c>
    </row>
    <row r="2927" spans="24:28" x14ac:dyDescent="0.2">
      <c r="X2927" s="186" t="str">
        <f t="shared" si="79"/>
        <v>1w</v>
      </c>
      <c r="Y2927" s="174">
        <f>_xll.qlCalendarAdvance(Calendar,Y2926,X2927,"f",FALSE)</f>
        <v>59475</v>
      </c>
      <c r="Z2927" s="198">
        <f>_xll.qlCalendarAdvance(Calendar,Y2927,NDays&amp;"D")</f>
        <v>59477</v>
      </c>
      <c r="AA2927" s="173">
        <v>1.9084400184920001E-2</v>
      </c>
      <c r="AB2927" s="182">
        <v>1.8978924955455057E-2</v>
      </c>
    </row>
    <row r="2928" spans="24:28" x14ac:dyDescent="0.2">
      <c r="X2928" s="186" t="str">
        <f t="shared" si="79"/>
        <v>1w</v>
      </c>
      <c r="Y2928" s="174">
        <f>_xll.qlCalendarAdvance(Calendar,Y2927,X2928,"f",FALSE)</f>
        <v>59482</v>
      </c>
      <c r="Z2928" s="198">
        <f>_xll.qlCalendarAdvance(Calendar,Y2928,NDays&amp;"D")</f>
        <v>59484</v>
      </c>
      <c r="AA2928" s="173">
        <v>1.9085593130050083E-2</v>
      </c>
      <c r="AB2928" s="182">
        <v>1.8980065771057042E-2</v>
      </c>
    </row>
    <row r="2929" spans="24:28" x14ac:dyDescent="0.2">
      <c r="X2929" s="186" t="str">
        <f t="shared" si="79"/>
        <v>1w</v>
      </c>
      <c r="Y2929" s="174">
        <f>_xll.qlCalendarAdvance(Calendar,Y2928,X2929,"f",FALSE)</f>
        <v>59489</v>
      </c>
      <c r="Z2929" s="198">
        <f>_xll.qlCalendarAdvance(Calendar,Y2929,NDays&amp;"D")</f>
        <v>59491</v>
      </c>
      <c r="AA2929" s="173">
        <v>1.9086789283726965E-2</v>
      </c>
      <c r="AB2929" s="182">
        <v>1.8981209764117324E-2</v>
      </c>
    </row>
    <row r="2930" spans="24:28" x14ac:dyDescent="0.2">
      <c r="X2930" s="186" t="str">
        <f t="shared" si="79"/>
        <v>1w</v>
      </c>
      <c r="Y2930" s="174">
        <f>_xll.qlCalendarAdvance(Calendar,Y2929,X2930,"f",FALSE)</f>
        <v>59496</v>
      </c>
      <c r="Z2930" s="198">
        <f>_xll.qlCalendarAdvance(Calendar,Y2930,NDays&amp;"D")</f>
        <v>59498</v>
      </c>
      <c r="AA2930" s="173">
        <v>1.908798864595727E-2</v>
      </c>
      <c r="AB2930" s="182">
        <v>1.8982356934635902E-2</v>
      </c>
    </row>
    <row r="2931" spans="24:28" x14ac:dyDescent="0.2">
      <c r="X2931" s="186" t="str">
        <f t="shared" si="79"/>
        <v>1w</v>
      </c>
      <c r="Y2931" s="174">
        <f>_xll.qlCalendarAdvance(Calendar,Y2930,X2931,"f",FALSE)</f>
        <v>59503</v>
      </c>
      <c r="Z2931" s="198">
        <f>_xll.qlCalendarAdvance(Calendar,Y2931,NDays&amp;"D")</f>
        <v>59505</v>
      </c>
      <c r="AA2931" s="173">
        <v>1.9089782736921725E-2</v>
      </c>
      <c r="AB2931" s="182">
        <v>1.8983507282692713E-2</v>
      </c>
    </row>
    <row r="2932" spans="24:28" x14ac:dyDescent="0.2">
      <c r="X2932" s="186" t="str">
        <f t="shared" si="79"/>
        <v>1w</v>
      </c>
      <c r="Y2932" s="174">
        <f>_xll.qlCalendarAdvance(Calendar,Y2931,X2932,"f",FALSE)</f>
        <v>59510</v>
      </c>
      <c r="Z2932" s="198">
        <f>_xll.qlCalendarAdvance(Calendar,Y2932,NDays&amp;"D")</f>
        <v>59512</v>
      </c>
      <c r="AA2932" s="173">
        <v>1.909098880910846E-2</v>
      </c>
      <c r="AB2932" s="182">
        <v>1.8984660808447629E-2</v>
      </c>
    </row>
    <row r="2933" spans="24:28" x14ac:dyDescent="0.2">
      <c r="X2933" s="186" t="str">
        <f t="shared" si="79"/>
        <v>1w</v>
      </c>
      <c r="Y2933" s="174">
        <f>_xll.qlCalendarAdvance(Calendar,Y2932,X2933,"f",FALSE)</f>
        <v>59517</v>
      </c>
      <c r="Z2933" s="198">
        <f>_xll.qlCalendarAdvance(Calendar,Y2933,NDays&amp;"D")</f>
        <v>59519</v>
      </c>
      <c r="AA2933" s="173">
        <v>1.9092198090039238E-2</v>
      </c>
      <c r="AB2933" s="182">
        <v>1.8985817511580905E-2</v>
      </c>
    </row>
    <row r="2934" spans="24:28" x14ac:dyDescent="0.2">
      <c r="X2934" s="186" t="str">
        <f t="shared" si="79"/>
        <v>1w</v>
      </c>
      <c r="Y2934" s="174">
        <f>_xll.qlCalendarAdvance(Calendar,Y2933,X2934,"f",FALSE)</f>
        <v>59524</v>
      </c>
      <c r="Z2934" s="198">
        <f>_xll.qlCalendarAdvance(Calendar,Y2934,NDays&amp;"D")</f>
        <v>59526</v>
      </c>
      <c r="AA2934" s="173">
        <v>1.9093410579720201E-2</v>
      </c>
      <c r="AB2934" s="182">
        <v>1.8986977392172477E-2</v>
      </c>
    </row>
    <row r="2935" spans="24:28" x14ac:dyDescent="0.2">
      <c r="X2935" s="186" t="str">
        <f t="shared" si="79"/>
        <v>1w</v>
      </c>
      <c r="Y2935" s="174">
        <f>_xll.qlCalendarAdvance(Calendar,Y2934,X2935,"f",FALSE)</f>
        <v>59532</v>
      </c>
      <c r="Z2935" s="198">
        <f>_xll.qlCalendarAdvance(Calendar,Y2935,NDays&amp;"D")</f>
        <v>59534</v>
      </c>
      <c r="AA2935" s="173">
        <v>1.9094800211301437E-2</v>
      </c>
      <c r="AB2935" s="182">
        <v>1.8990059047003793E-2</v>
      </c>
    </row>
    <row r="2936" spans="24:28" x14ac:dyDescent="0.2">
      <c r="X2936" s="186" t="str">
        <f t="shared" si="79"/>
        <v>1w</v>
      </c>
      <c r="Y2936" s="174">
        <f>_xll.qlCalendarAdvance(Calendar,Y2935,X2936,"f",FALSE)</f>
        <v>59539</v>
      </c>
      <c r="Z2936" s="198">
        <f>_xll.qlCalendarAdvance(Calendar,Y2936,NDays&amp;"D")</f>
        <v>59541</v>
      </c>
      <c r="AA2936" s="173">
        <v>1.9095426548873164E-2</v>
      </c>
      <c r="AB2936" s="182">
        <v>1.8990642203640107E-2</v>
      </c>
    </row>
    <row r="2937" spans="24:28" x14ac:dyDescent="0.2">
      <c r="X2937" s="186" t="str">
        <f t="shared" si="79"/>
        <v>1w</v>
      </c>
      <c r="Y2937" s="174">
        <f>_xll.qlCalendarAdvance(Calendar,Y2936,X2937,"f",FALSE)</f>
        <v>59546</v>
      </c>
      <c r="Z2937" s="198">
        <f>_xll.qlCalendarAdvance(Calendar,Y2937,NDays&amp;"D")</f>
        <v>59548</v>
      </c>
      <c r="AA2937" s="173">
        <v>1.9096648829509646E-2</v>
      </c>
      <c r="AB2937" s="182">
        <v>1.8991812648181394E-2</v>
      </c>
    </row>
    <row r="2938" spans="24:28" x14ac:dyDescent="0.2">
      <c r="X2938" s="186" t="str">
        <f t="shared" si="79"/>
        <v>1w</v>
      </c>
      <c r="Y2938" s="174">
        <f>_xll.qlCalendarAdvance(Calendar,Y2937,X2938,"f",FALSE)</f>
        <v>59553</v>
      </c>
      <c r="Z2938" s="198">
        <f>_xll.qlCalendarAdvance(Calendar,Y2938,NDays&amp;"D")</f>
        <v>59555</v>
      </c>
      <c r="AA2938" s="173">
        <v>1.9097874318745482E-2</v>
      </c>
      <c r="AB2938" s="182">
        <v>1.8992986270580658E-2</v>
      </c>
    </row>
    <row r="2939" spans="24:28" x14ac:dyDescent="0.2">
      <c r="X2939" s="186" t="str">
        <f t="shared" si="79"/>
        <v>1w</v>
      </c>
      <c r="Y2939" s="174">
        <f>_xll.qlCalendarAdvance(Calendar,Y2938,X2939,"f",FALSE)</f>
        <v>59560</v>
      </c>
      <c r="Z2939" s="198">
        <f>_xll.qlCalendarAdvance(Calendar,Y2939,NDays&amp;"D")</f>
        <v>59562</v>
      </c>
      <c r="AA2939" s="173">
        <v>1.9099103016588178E-2</v>
      </c>
      <c r="AB2939" s="182">
        <v>1.8994163070837899E-2</v>
      </c>
    </row>
    <row r="2940" spans="24:28" x14ac:dyDescent="0.2">
      <c r="X2940" s="186" t="str">
        <f t="shared" si="79"/>
        <v>1w</v>
      </c>
      <c r="Y2940" s="174">
        <f>_xll.qlCalendarAdvance(Calendar,Y2939,X2940,"f",FALSE)</f>
        <v>59567</v>
      </c>
      <c r="Z2940" s="198">
        <f>_xll.qlCalendarAdvance(Calendar,Y2940,NDays&amp;"D")</f>
        <v>59569</v>
      </c>
      <c r="AA2940" s="173">
        <v>1.9100334923043034E-2</v>
      </c>
      <c r="AB2940" s="182">
        <v>1.8995343048979763E-2</v>
      </c>
    </row>
    <row r="2941" spans="24:28" x14ac:dyDescent="0.2">
      <c r="X2941" s="186" t="str">
        <f t="shared" si="79"/>
        <v>1w</v>
      </c>
      <c r="Y2941" s="174">
        <f>_xll.qlCalendarAdvance(Calendar,Y2940,X2941,"f",FALSE)</f>
        <v>59574</v>
      </c>
      <c r="Z2941" s="198">
        <f>_xll.qlCalendarAdvance(Calendar,Y2941,NDays&amp;"D")</f>
        <v>59576</v>
      </c>
      <c r="AA2941" s="173">
        <v>1.9101570038115794E-2</v>
      </c>
      <c r="AB2941" s="182">
        <v>1.8996526204952957E-2</v>
      </c>
    </row>
    <row r="2942" spans="24:28" x14ac:dyDescent="0.2">
      <c r="X2942" s="186" t="str">
        <f t="shared" si="79"/>
        <v>1w</v>
      </c>
      <c r="Y2942" s="174">
        <f>_xll.qlCalendarAdvance(Calendar,Y2941,X2942,"f",FALSE)</f>
        <v>59581</v>
      </c>
      <c r="Z2942" s="198">
        <f>_xll.qlCalendarAdvance(Calendar,Y2942,NDays&amp;"D")</f>
        <v>59583</v>
      </c>
      <c r="AA2942" s="173">
        <v>1.9102808361812638E-2</v>
      </c>
      <c r="AB2942" s="182">
        <v>1.8997712538810774E-2</v>
      </c>
    </row>
    <row r="2943" spans="24:28" x14ac:dyDescent="0.2">
      <c r="X2943" s="186" t="str">
        <f t="shared" si="79"/>
        <v>1w</v>
      </c>
      <c r="Y2943" s="174">
        <f>_xll.qlCalendarAdvance(Calendar,Y2942,X2943,"f",FALSE)</f>
        <v>59588</v>
      </c>
      <c r="Z2943" s="198">
        <f>_xll.qlCalendarAdvance(Calendar,Y2943,NDays&amp;"D")</f>
        <v>59590</v>
      </c>
      <c r="AA2943" s="173">
        <v>1.9104049894139309E-2</v>
      </c>
      <c r="AB2943" s="182">
        <v>1.8998902050526567E-2</v>
      </c>
    </row>
    <row r="2944" spans="24:28" x14ac:dyDescent="0.2">
      <c r="X2944" s="186" t="str">
        <f t="shared" si="79"/>
        <v>1w</v>
      </c>
      <c r="Y2944" s="174">
        <f>_xll.qlCalendarAdvance(Calendar,Y2943,X2944,"f",FALSE)</f>
        <v>59595</v>
      </c>
      <c r="Z2944" s="198">
        <f>_xll.qlCalendarAdvance(Calendar,Y2944,NDays&amp;"D")</f>
        <v>59597</v>
      </c>
      <c r="AA2944" s="173">
        <v>1.9107676460825312E-2</v>
      </c>
      <c r="AB2944" s="182">
        <v>1.9000094740100337E-2</v>
      </c>
    </row>
    <row r="2945" spans="24:28" x14ac:dyDescent="0.2">
      <c r="X2945" s="186" t="str">
        <f t="shared" si="79"/>
        <v>1w</v>
      </c>
      <c r="Y2945" s="174">
        <f>_xll.qlCalendarAdvance(Calendar,Y2944,X2945,"f",FALSE)</f>
        <v>59602</v>
      </c>
      <c r="Z2945" s="198">
        <f>_xll.qlCalendarAdvance(Calendar,Y2945,NDays&amp;"D")</f>
        <v>59604</v>
      </c>
      <c r="AA2945" s="173">
        <v>1.9108925591075358E-2</v>
      </c>
      <c r="AB2945" s="182">
        <v>1.9001290607532084E-2</v>
      </c>
    </row>
    <row r="2946" spans="24:28" x14ac:dyDescent="0.2">
      <c r="X2946" s="186" t="str">
        <f t="shared" si="79"/>
        <v>1w</v>
      </c>
      <c r="Y2946" s="174">
        <f>_xll.qlCalendarAdvance(Calendar,Y2945,X2946,"f",FALSE)</f>
        <v>59609</v>
      </c>
      <c r="Z2946" s="198">
        <f>_xll.qlCalendarAdvance(Calendar,Y2946,NDays&amp;"D")</f>
        <v>59611</v>
      </c>
      <c r="AA2946" s="173">
        <v>1.9110177930669981E-2</v>
      </c>
      <c r="AB2946" s="182">
        <v>1.9002489652821808E-2</v>
      </c>
    </row>
    <row r="2947" spans="24:28" x14ac:dyDescent="0.2">
      <c r="X2947" s="186" t="str">
        <f t="shared" si="79"/>
        <v>1w</v>
      </c>
      <c r="Y2947" s="174">
        <f>_xll.qlCalendarAdvance(Calendar,Y2946,X2947,"f",FALSE)</f>
        <v>59616</v>
      </c>
      <c r="Z2947" s="198">
        <f>_xll.qlCalendarAdvance(Calendar,Y2947,NDays&amp;"D")</f>
        <v>59618</v>
      </c>
      <c r="AA2947" s="173">
        <v>1.9111433479616087E-2</v>
      </c>
      <c r="AB2947" s="182">
        <v>1.9003691875996154E-2</v>
      </c>
    </row>
    <row r="2948" spans="24:28" x14ac:dyDescent="0.2">
      <c r="X2948" s="186" t="str">
        <f t="shared" si="79"/>
        <v>1w</v>
      </c>
      <c r="Y2948" s="174">
        <f>_xll.qlCalendarAdvance(Calendar,Y2947,X2948,"f",FALSE)</f>
        <v>59623</v>
      </c>
      <c r="Z2948" s="198">
        <f>_xll.qlCalendarAdvance(Calendar,Y2948,NDays&amp;"D")</f>
        <v>59625</v>
      </c>
      <c r="AA2948" s="173">
        <v>1.9110902249658172E-2</v>
      </c>
      <c r="AB2948" s="182">
        <v>1.9004897277028476E-2</v>
      </c>
    </row>
    <row r="2949" spans="24:28" x14ac:dyDescent="0.2">
      <c r="X2949" s="186" t="str">
        <f t="shared" si="79"/>
        <v>1w</v>
      </c>
      <c r="Y2949" s="174">
        <f>_xll.qlCalendarAdvance(Calendar,Y2948,X2949,"f",FALSE)</f>
        <v>59630</v>
      </c>
      <c r="Z2949" s="198">
        <f>_xll.qlCalendarAdvance(Calendar,Y2949,NDays&amp;"D")</f>
        <v>59632</v>
      </c>
      <c r="AA2949" s="173">
        <v>1.9113954205585666E-2</v>
      </c>
      <c r="AB2949" s="182">
        <v>1.9006105855918776E-2</v>
      </c>
    </row>
    <row r="2950" spans="24:28" x14ac:dyDescent="0.2">
      <c r="X2950" s="186" t="str">
        <f t="shared" si="79"/>
        <v>1w</v>
      </c>
      <c r="Y2950" s="174">
        <f>_xll.qlCalendarAdvance(Calendar,Y2949,X2950,"f",FALSE)</f>
        <v>59637</v>
      </c>
      <c r="Z2950" s="198">
        <f>_xll.qlCalendarAdvance(Calendar,Y2950,NDays&amp;"D")</f>
        <v>59643</v>
      </c>
      <c r="AA2950" s="173">
        <v>1.9114748884687088E-2</v>
      </c>
      <c r="AB2950" s="182">
        <v>1.9006834371193548E-2</v>
      </c>
    </row>
    <row r="2951" spans="24:28" x14ac:dyDescent="0.2">
      <c r="X2951" s="186" t="str">
        <f t="shared" si="79"/>
        <v>1w</v>
      </c>
      <c r="Y2951" s="174">
        <f>_xll.qlCalendarAdvance(Calendar,Y2950,X2951,"f",FALSE)</f>
        <v>59644</v>
      </c>
      <c r="Z2951" s="198">
        <f>_xll.qlCalendarAdvance(Calendar,Y2951,NDays&amp;"D")</f>
        <v>59646</v>
      </c>
      <c r="AA2951" s="173">
        <v>1.9116487769032922E-2</v>
      </c>
      <c r="AB2951" s="182">
        <v>1.900853254729995E-2</v>
      </c>
    </row>
    <row r="2952" spans="24:28" x14ac:dyDescent="0.2">
      <c r="X2952" s="186" t="str">
        <f t="shared" si="79"/>
        <v>1w</v>
      </c>
      <c r="Y2952" s="174">
        <f>_xll.qlCalendarAdvance(Calendar,Y2951,X2952,"f",FALSE)</f>
        <v>59651</v>
      </c>
      <c r="Z2952" s="198">
        <f>_xll.qlCalendarAdvance(Calendar,Y2952,NDays&amp;"D")</f>
        <v>59653</v>
      </c>
      <c r="AA2952" s="173">
        <v>1.9117759364825907E-2</v>
      </c>
      <c r="AB2952" s="182">
        <v>1.900975065976418E-2</v>
      </c>
    </row>
    <row r="2953" spans="24:28" x14ac:dyDescent="0.2">
      <c r="X2953" s="186" t="str">
        <f t="shared" si="79"/>
        <v>1w</v>
      </c>
      <c r="Y2953" s="174">
        <f>_xll.qlCalendarAdvance(Calendar,Y2952,X2953,"f",FALSE)</f>
        <v>59658</v>
      </c>
      <c r="Z2953" s="198">
        <f>_xll.qlCalendarAdvance(Calendar,Y2953,NDays&amp;"D")</f>
        <v>59660</v>
      </c>
      <c r="AA2953" s="173">
        <v>1.9119034170007539E-2</v>
      </c>
      <c r="AB2953" s="182">
        <v>1.9010971950086386E-2</v>
      </c>
    </row>
    <row r="2954" spans="24:28" x14ac:dyDescent="0.2">
      <c r="X2954" s="186" t="str">
        <f t="shared" si="79"/>
        <v>1w</v>
      </c>
      <c r="Y2954" s="174">
        <f>_xll.qlCalendarAdvance(Calendar,Y2953,X2954,"f",FALSE)</f>
        <v>59665</v>
      </c>
      <c r="Z2954" s="198">
        <f>_xll.qlCalendarAdvance(Calendar,Y2954,NDays&amp;"D")</f>
        <v>59667</v>
      </c>
      <c r="AA2954" s="173">
        <v>1.9120312184583006E-2</v>
      </c>
      <c r="AB2954" s="182">
        <v>1.901219641831986E-2</v>
      </c>
    </row>
    <row r="2955" spans="24:28" x14ac:dyDescent="0.2">
      <c r="X2955" s="186" t="str">
        <f t="shared" si="79"/>
        <v>1w</v>
      </c>
      <c r="Y2955" s="174">
        <f>_xll.qlCalendarAdvance(Calendar,Y2954,X2955,"f",FALSE)</f>
        <v>59672</v>
      </c>
      <c r="Z2955" s="198">
        <f>_xll.qlCalendarAdvance(Calendar,Y2955,NDays&amp;"D")</f>
        <v>59674</v>
      </c>
      <c r="AA2955" s="173">
        <v>1.9121593408559213E-2</v>
      </c>
      <c r="AB2955" s="182">
        <v>1.9013424064384665E-2</v>
      </c>
    </row>
    <row r="2956" spans="24:28" x14ac:dyDescent="0.2">
      <c r="X2956" s="186" t="str">
        <f t="shared" si="79"/>
        <v>1w</v>
      </c>
      <c r="Y2956" s="174">
        <f>_xll.qlCalendarAdvance(Calendar,Y2955,X2956,"f",FALSE)</f>
        <v>59679</v>
      </c>
      <c r="Z2956" s="198">
        <f>_xll.qlCalendarAdvance(Calendar,Y2956,NDays&amp;"D")</f>
        <v>59681</v>
      </c>
      <c r="AA2956" s="173">
        <v>1.9122877841942651E-2</v>
      </c>
      <c r="AB2956" s="182">
        <v>1.9014654888334093E-2</v>
      </c>
    </row>
    <row r="2957" spans="24:28" x14ac:dyDescent="0.2">
      <c r="X2957" s="186" t="str">
        <f t="shared" si="79"/>
        <v>1w</v>
      </c>
      <c r="Y2957" s="174">
        <f>_xll.qlCalendarAdvance(Calendar,Y2956,X2957,"f",FALSE)</f>
        <v>59686</v>
      </c>
      <c r="Z2957" s="198">
        <f>_xll.qlCalendarAdvance(Calendar,Y2957,NDays&amp;"D")</f>
        <v>59688</v>
      </c>
      <c r="AA2957" s="173">
        <v>1.9124165484739365E-2</v>
      </c>
      <c r="AB2957" s="182">
        <v>1.9015888890114852E-2</v>
      </c>
    </row>
    <row r="2958" spans="24:28" x14ac:dyDescent="0.2">
      <c r="X2958" s="186" t="str">
        <f t="shared" si="79"/>
        <v>1w</v>
      </c>
      <c r="Y2958" s="174">
        <f>_xll.qlCalendarAdvance(Calendar,Y2957,X2958,"f",FALSE)</f>
        <v>59693</v>
      </c>
      <c r="Z2958" s="198">
        <f>_xll.qlCalendarAdvance(Calendar,Y2958,NDays&amp;"D")</f>
        <v>59695</v>
      </c>
      <c r="AA2958" s="173">
        <v>1.912545633695497E-2</v>
      </c>
      <c r="AB2958" s="182">
        <v>1.9017126069780232E-2</v>
      </c>
    </row>
    <row r="2959" spans="24:28" x14ac:dyDescent="0.2">
      <c r="X2959" s="186" t="str">
        <f t="shared" si="79"/>
        <v>1w</v>
      </c>
      <c r="Y2959" s="174">
        <f>_xll.qlCalendarAdvance(Calendar,Y2958,X2959,"f",FALSE)</f>
        <v>59700</v>
      </c>
      <c r="Z2959" s="198">
        <f>_xll.qlCalendarAdvance(Calendar,Y2959,NDays&amp;"D")</f>
        <v>59702</v>
      </c>
      <c r="AA2959" s="173">
        <v>1.9126750398597243E-2</v>
      </c>
      <c r="AB2959" s="182">
        <v>1.9018366427330236E-2</v>
      </c>
    </row>
    <row r="2960" spans="24:28" x14ac:dyDescent="0.2">
      <c r="X2960" s="186" t="str">
        <f t="shared" si="79"/>
        <v>1w</v>
      </c>
      <c r="Y2960" s="174">
        <f>_xll.qlCalendarAdvance(Calendar,Y2959,X2960,"f",FALSE)</f>
        <v>59707</v>
      </c>
      <c r="Z2960" s="198">
        <f>_xll.qlCalendarAdvance(Calendar,Y2960,NDays&amp;"D")</f>
        <v>59709</v>
      </c>
      <c r="AA2960" s="173">
        <v>1.9128047669670512E-2</v>
      </c>
      <c r="AB2960" s="182">
        <v>1.9019609962684925E-2</v>
      </c>
    </row>
    <row r="2961" spans="24:28" x14ac:dyDescent="0.2">
      <c r="X2961" s="186" t="str">
        <f t="shared" si="79"/>
        <v>1w</v>
      </c>
      <c r="Y2961" s="174">
        <f>_xll.qlCalendarAdvance(Calendar,Y2960,X2961,"f",FALSE)</f>
        <v>59714</v>
      </c>
      <c r="Z2961" s="198">
        <f>_xll.qlCalendarAdvance(Calendar,Y2961,NDays&amp;"D")</f>
        <v>59716</v>
      </c>
      <c r="AA2961" s="173">
        <v>1.9129348150182978E-2</v>
      </c>
      <c r="AB2961" s="182">
        <v>1.9020856675950881E-2</v>
      </c>
    </row>
    <row r="2962" spans="24:28" x14ac:dyDescent="0.2">
      <c r="X2962" s="186" t="str">
        <f t="shared" si="79"/>
        <v>1w</v>
      </c>
      <c r="Y2962" s="174">
        <f>_xll.qlCalendarAdvance(Calendar,Y2961,X2962,"f",FALSE)</f>
        <v>59721</v>
      </c>
      <c r="Z2962" s="198">
        <f>_xll.qlCalendarAdvance(Calendar,Y2962,NDays&amp;"D")</f>
        <v>59723</v>
      </c>
      <c r="AA2962" s="173">
        <v>1.9130651840140695E-2</v>
      </c>
      <c r="AB2962" s="182">
        <v>1.9022106567074815E-2</v>
      </c>
    </row>
    <row r="2963" spans="24:28" x14ac:dyDescent="0.2">
      <c r="X2963" s="186" t="str">
        <f t="shared" si="79"/>
        <v>1w</v>
      </c>
      <c r="Y2963" s="174">
        <f>_xll.qlCalendarAdvance(Calendar,Y2962,X2963,"f",FALSE)</f>
        <v>59728</v>
      </c>
      <c r="Z2963" s="198">
        <f>_xll.qlCalendarAdvance(Calendar,Y2963,NDays&amp;"D")</f>
        <v>59730</v>
      </c>
      <c r="AA2963" s="173">
        <v>1.913195873954885E-2</v>
      </c>
      <c r="AB2963" s="182">
        <v>1.9023359636030079E-2</v>
      </c>
    </row>
    <row r="2964" spans="24:28" x14ac:dyDescent="0.2">
      <c r="X2964" s="186" t="str">
        <f t="shared" si="79"/>
        <v>1w</v>
      </c>
      <c r="Y2964" s="174">
        <f>_xll.qlCalendarAdvance(Calendar,Y2963,X2964,"f",FALSE)</f>
        <v>59735</v>
      </c>
      <c r="Z2964" s="198">
        <f>_xll.qlCalendarAdvance(Calendar,Y2964,NDays&amp;"D")</f>
        <v>59737</v>
      </c>
      <c r="AA2964" s="173">
        <v>1.9133268848415215E-2</v>
      </c>
      <c r="AB2964" s="182">
        <v>1.9024615882896612E-2</v>
      </c>
    </row>
    <row r="2965" spans="24:28" x14ac:dyDescent="0.2">
      <c r="X2965" s="186" t="str">
        <f t="shared" ref="X2965:X3028" si="80">X2964</f>
        <v>1w</v>
      </c>
      <c r="Y2965" s="174">
        <f>_xll.qlCalendarAdvance(Calendar,Y2964,X2965,"f",FALSE)</f>
        <v>59742</v>
      </c>
      <c r="Z2965" s="198">
        <f>_xll.qlCalendarAdvance(Calendar,Y2965,NDays&amp;"D")</f>
        <v>59744</v>
      </c>
      <c r="AA2965" s="173">
        <v>1.913458216674541E-2</v>
      </c>
      <c r="AB2965" s="182">
        <v>1.9025875307621121E-2</v>
      </c>
    </row>
    <row r="2966" spans="24:28" x14ac:dyDescent="0.2">
      <c r="X2966" s="186" t="str">
        <f t="shared" si="80"/>
        <v>1w</v>
      </c>
      <c r="Y2966" s="174">
        <f>_xll.qlCalendarAdvance(Calendar,Y2965,X2966,"f",FALSE)</f>
        <v>59749</v>
      </c>
      <c r="Z2966" s="198">
        <f>_xll.qlCalendarAdvance(Calendar,Y2966,NDays&amp;"D")</f>
        <v>59751</v>
      </c>
      <c r="AA2966" s="173">
        <v>1.9135898694546349E-2</v>
      </c>
      <c r="AB2966" s="182">
        <v>1.9027137910176961E-2</v>
      </c>
    </row>
    <row r="2967" spans="24:28" x14ac:dyDescent="0.2">
      <c r="X2967" s="186" t="str">
        <f t="shared" si="80"/>
        <v>1w</v>
      </c>
      <c r="Y2967" s="174">
        <f>_xll.qlCalendarAdvance(Calendar,Y2966,X2967,"f",FALSE)</f>
        <v>59756</v>
      </c>
      <c r="Z2967" s="198">
        <f>_xll.qlCalendarAdvance(Calendar,Y2967,NDays&amp;"D")</f>
        <v>59758</v>
      </c>
      <c r="AA2967" s="173">
        <v>1.9137218431824511E-2</v>
      </c>
      <c r="AB2967" s="182">
        <v>1.9028403690644069E-2</v>
      </c>
    </row>
    <row r="2968" spans="24:28" x14ac:dyDescent="0.2">
      <c r="X2968" s="186" t="str">
        <f t="shared" si="80"/>
        <v>1w</v>
      </c>
      <c r="Y2968" s="174">
        <f>_xll.qlCalendarAdvance(Calendar,Y2967,X2968,"f",FALSE)</f>
        <v>59763</v>
      </c>
      <c r="Z2968" s="198">
        <f>_xll.qlCalendarAdvance(Calendar,Y2968,NDays&amp;"D")</f>
        <v>59765</v>
      </c>
      <c r="AA2968" s="173">
        <v>1.9138541378585085E-2</v>
      </c>
      <c r="AB2968" s="182">
        <v>1.9029672648915863E-2</v>
      </c>
    </row>
    <row r="2969" spans="24:28" x14ac:dyDescent="0.2">
      <c r="X2969" s="186" t="str">
        <f t="shared" si="80"/>
        <v>1w</v>
      </c>
      <c r="Y2969" s="174">
        <f>_xll.qlCalendarAdvance(Calendar,Y2968,X2969,"f",FALSE)</f>
        <v>59770</v>
      </c>
      <c r="Z2969" s="198">
        <f>_xll.qlCalendarAdvance(Calendar,Y2969,NDays&amp;"D")</f>
        <v>59772</v>
      </c>
      <c r="AA2969" s="173">
        <v>1.9139867534836708E-2</v>
      </c>
      <c r="AB2969" s="182">
        <v>1.903094478512557E-2</v>
      </c>
    </row>
    <row r="2970" spans="24:28" x14ac:dyDescent="0.2">
      <c r="X2970" s="186" t="str">
        <f t="shared" si="80"/>
        <v>1w</v>
      </c>
      <c r="Y2970" s="174">
        <f>_xll.qlCalendarAdvance(Calendar,Y2969,X2970,"f",FALSE)</f>
        <v>59777</v>
      </c>
      <c r="Z2970" s="198">
        <f>_xll.qlCalendarAdvance(Calendar,Y2970,NDays&amp;"D")</f>
        <v>59779</v>
      </c>
      <c r="AA2970" s="173">
        <v>1.9139387263716001E-2</v>
      </c>
      <c r="AB2970" s="182">
        <v>1.9032220099139963E-2</v>
      </c>
    </row>
    <row r="2971" spans="24:28" x14ac:dyDescent="0.2">
      <c r="X2971" s="186" t="str">
        <f t="shared" si="80"/>
        <v>1w</v>
      </c>
      <c r="Y2971" s="174">
        <f>_xll.qlCalendarAdvance(Calendar,Y2970,X2971,"f",FALSE)</f>
        <v>59784</v>
      </c>
      <c r="Z2971" s="198">
        <f>_xll.qlCalendarAdvance(Calendar,Y2971,NDays&amp;"D")</f>
        <v>59786</v>
      </c>
      <c r="AA2971" s="173">
        <v>1.9140718939814623E-2</v>
      </c>
      <c r="AB2971" s="182">
        <v>1.9033498591012332E-2</v>
      </c>
    </row>
    <row r="2972" spans="24:28" x14ac:dyDescent="0.2">
      <c r="X2972" s="186" t="str">
        <f t="shared" si="80"/>
        <v>1w</v>
      </c>
      <c r="Y2972" s="174">
        <f>_xll.qlCalendarAdvance(Calendar,Y2971,X2972,"f",FALSE)</f>
        <v>59791</v>
      </c>
      <c r="Z2972" s="198">
        <f>_xll.qlCalendarAdvance(Calendar,Y2972,NDays&amp;"D")</f>
        <v>59793</v>
      </c>
      <c r="AA2972" s="173">
        <v>1.9142053824897094E-2</v>
      </c>
      <c r="AB2972" s="182">
        <v>1.9034780260795969E-2</v>
      </c>
    </row>
    <row r="2973" spans="24:28" x14ac:dyDescent="0.2">
      <c r="X2973" s="186" t="str">
        <f t="shared" si="80"/>
        <v>1w</v>
      </c>
      <c r="Y2973" s="174">
        <f>_xll.qlCalendarAdvance(Calendar,Y2972,X2973,"f",FALSE)</f>
        <v>59798</v>
      </c>
      <c r="Z2973" s="198">
        <f>_xll.qlCalendarAdvance(Calendar,Y2973,NDays&amp;"D")</f>
        <v>59800</v>
      </c>
      <c r="AA2973" s="173">
        <v>1.914339191897E-2</v>
      </c>
      <c r="AB2973" s="182">
        <v>1.9036065108437583E-2</v>
      </c>
    </row>
    <row r="2974" spans="24:28" x14ac:dyDescent="0.2">
      <c r="X2974" s="186" t="str">
        <f t="shared" si="80"/>
        <v>1w</v>
      </c>
      <c r="Y2974" s="174">
        <f>_xll.qlCalendarAdvance(Calendar,Y2973,X2974,"f",FALSE)</f>
        <v>59805</v>
      </c>
      <c r="Z2974" s="198">
        <f>_xll.qlCalendarAdvance(Calendar,Y2974,NDays&amp;"D")</f>
        <v>59807</v>
      </c>
      <c r="AA2974" s="173">
        <v>1.914654645866843E-2</v>
      </c>
      <c r="AB2974" s="182">
        <v>1.9037353133910528E-2</v>
      </c>
    </row>
    <row r="2975" spans="24:28" x14ac:dyDescent="0.2">
      <c r="X2975" s="186" t="str">
        <f t="shared" si="80"/>
        <v>1w</v>
      </c>
      <c r="Y2975" s="174">
        <f>_xll.qlCalendarAdvance(Calendar,Y2974,X2975,"f",FALSE)</f>
        <v>59812</v>
      </c>
      <c r="Z2975" s="198">
        <f>_xll.qlCalendarAdvance(Calendar,Y2975,NDays&amp;"D")</f>
        <v>59814</v>
      </c>
      <c r="AA2975" s="173">
        <v>1.9148496684713728E-2</v>
      </c>
      <c r="AB2975" s="182">
        <v>1.9038644337268096E-2</v>
      </c>
    </row>
    <row r="2976" spans="24:28" x14ac:dyDescent="0.2">
      <c r="X2976" s="186" t="str">
        <f t="shared" si="80"/>
        <v>1w</v>
      </c>
      <c r="Y2976" s="174">
        <f>_xll.qlCalendarAdvance(Calendar,Y2975,X2976,"f",FALSE)</f>
        <v>59819</v>
      </c>
      <c r="Z2976" s="198">
        <f>_xll.qlCalendarAdvance(Calendar,Y2976,NDays&amp;"D")</f>
        <v>59821</v>
      </c>
      <c r="AA2976" s="173">
        <v>1.9149240494859533E-2</v>
      </c>
      <c r="AB2976" s="182">
        <v>1.9039938718510285E-2</v>
      </c>
    </row>
    <row r="2977" spans="24:28" x14ac:dyDescent="0.2">
      <c r="X2977" s="186" t="str">
        <f t="shared" si="80"/>
        <v>1w</v>
      </c>
      <c r="Y2977" s="174">
        <f>_xll.qlCalendarAdvance(Calendar,Y2976,X2977,"f",FALSE)</f>
        <v>59826</v>
      </c>
      <c r="Z2977" s="198">
        <f>_xll.qlCalendarAdvance(Calendar,Y2977,NDays&amp;"D")</f>
        <v>59828</v>
      </c>
      <c r="AA2977" s="173">
        <v>1.9150592327265119E-2</v>
      </c>
      <c r="AB2977" s="182">
        <v>1.9041236277637097E-2</v>
      </c>
    </row>
    <row r="2978" spans="24:28" x14ac:dyDescent="0.2">
      <c r="X2978" s="186" t="str">
        <f t="shared" si="80"/>
        <v>1w</v>
      </c>
      <c r="Y2978" s="174">
        <f>_xll.qlCalendarAdvance(Calendar,Y2977,X2978,"f",FALSE)</f>
        <v>59833</v>
      </c>
      <c r="Z2978" s="198">
        <f>_xll.qlCalendarAdvance(Calendar,Y2978,NDays&amp;"D")</f>
        <v>59835</v>
      </c>
      <c r="AA2978" s="173">
        <v>1.9151947369220084E-2</v>
      </c>
      <c r="AB2978" s="182">
        <v>1.9042537014568595E-2</v>
      </c>
    </row>
    <row r="2979" spans="24:28" x14ac:dyDescent="0.2">
      <c r="X2979" s="186" t="str">
        <f t="shared" si="80"/>
        <v>1w</v>
      </c>
      <c r="Y2979" s="174">
        <f>_xll.qlCalendarAdvance(Calendar,Y2978,X2979,"f",FALSE)</f>
        <v>59840</v>
      </c>
      <c r="Z2979" s="198">
        <f>_xll.qlCalendarAdvance(Calendar,Y2979,NDays&amp;"D")</f>
        <v>59842</v>
      </c>
      <c r="AA2979" s="173">
        <v>1.9151487872567631E-2</v>
      </c>
      <c r="AB2979" s="182">
        <v>1.904384092941136E-2</v>
      </c>
    </row>
    <row r="2980" spans="24:28" x14ac:dyDescent="0.2">
      <c r="X2980" s="186" t="str">
        <f t="shared" si="80"/>
        <v>1w</v>
      </c>
      <c r="Y2980" s="174">
        <f>_xll.qlCalendarAdvance(Calendar,Y2979,X2980,"f",FALSE)</f>
        <v>59847</v>
      </c>
      <c r="Z2980" s="198">
        <f>_xll.qlCalendarAdvance(Calendar,Y2980,NDays&amp;"D")</f>
        <v>59849</v>
      </c>
      <c r="AA2980" s="173">
        <v>1.9152848429754545E-2</v>
      </c>
      <c r="AB2980" s="182">
        <v>1.9045148022085456E-2</v>
      </c>
    </row>
    <row r="2981" spans="24:28" x14ac:dyDescent="0.2">
      <c r="X2981" s="186" t="str">
        <f t="shared" si="80"/>
        <v>1w</v>
      </c>
      <c r="Y2981" s="174">
        <f>_xll.qlCalendarAdvance(Calendar,Y2980,X2981,"f",FALSE)</f>
        <v>59854</v>
      </c>
      <c r="Z2981" s="198">
        <f>_xll.qlCalendarAdvance(Calendar,Y2981,NDays&amp;"D")</f>
        <v>59856</v>
      </c>
      <c r="AA2981" s="173">
        <v>1.915421219598416E-2</v>
      </c>
      <c r="AB2981" s="182">
        <v>1.9046458292644175E-2</v>
      </c>
    </row>
    <row r="2982" spans="24:28" x14ac:dyDescent="0.2">
      <c r="X2982" s="186" t="str">
        <f t="shared" si="80"/>
        <v>1w</v>
      </c>
      <c r="Y2982" s="174">
        <f>_xll.qlCalendarAdvance(Calendar,Y2981,X2982,"f",FALSE)</f>
        <v>59861</v>
      </c>
      <c r="Z2982" s="198">
        <f>_xll.qlCalendarAdvance(Calendar,Y2982,NDays&amp;"D")</f>
        <v>59863</v>
      </c>
      <c r="AA2982" s="173">
        <v>1.9155579171262187E-2</v>
      </c>
      <c r="AB2982" s="182">
        <v>1.904777174106087E-2</v>
      </c>
    </row>
    <row r="2983" spans="24:28" x14ac:dyDescent="0.2">
      <c r="X2983" s="186" t="str">
        <f t="shared" si="80"/>
        <v>1w</v>
      </c>
      <c r="Y2983" s="174">
        <f>_xll.qlCalendarAdvance(Calendar,Y2982,X2983,"f",FALSE)</f>
        <v>59868</v>
      </c>
      <c r="Z2983" s="198">
        <f>_xll.qlCalendarAdvance(Calendar,Y2983,NDays&amp;"D")</f>
        <v>59870</v>
      </c>
      <c r="AA2983" s="173">
        <v>1.9156949355596531E-2</v>
      </c>
      <c r="AB2983" s="182">
        <v>1.9049088367362188E-2</v>
      </c>
    </row>
    <row r="2984" spans="24:28" x14ac:dyDescent="0.2">
      <c r="X2984" s="186" t="str">
        <f t="shared" si="80"/>
        <v>1w</v>
      </c>
      <c r="Y2984" s="174">
        <f>_xll.qlCalendarAdvance(Calendar,Y2983,X2984,"f",FALSE)</f>
        <v>59875</v>
      </c>
      <c r="Z2984" s="198">
        <f>_xll.qlCalendarAdvance(Calendar,Y2984,NDays&amp;"D")</f>
        <v>59877</v>
      </c>
      <c r="AA2984" s="173">
        <v>1.9160145021848155E-2</v>
      </c>
      <c r="AB2984" s="182">
        <v>1.9050408171494837E-2</v>
      </c>
    </row>
    <row r="2985" spans="24:28" x14ac:dyDescent="0.2">
      <c r="X2985" s="186" t="str">
        <f t="shared" si="80"/>
        <v>1w</v>
      </c>
      <c r="Y2985" s="174">
        <f>_xll.qlCalendarAdvance(Calendar,Y2984,X2985,"f",FALSE)</f>
        <v>59882</v>
      </c>
      <c r="Z2985" s="198">
        <f>_xll.qlCalendarAdvance(Calendar,Y2985,NDays&amp;"D")</f>
        <v>59884</v>
      </c>
      <c r="AA2985" s="173">
        <v>1.9161522530832007E-2</v>
      </c>
      <c r="AB2985" s="182">
        <v>1.9051731153538753E-2</v>
      </c>
    </row>
    <row r="2986" spans="24:28" x14ac:dyDescent="0.2">
      <c r="X2986" s="186" t="str">
        <f t="shared" si="80"/>
        <v>1w</v>
      </c>
      <c r="Y2986" s="174">
        <f>_xll.qlCalendarAdvance(Calendar,Y2985,X2986,"f",FALSE)</f>
        <v>59889</v>
      </c>
      <c r="Z2986" s="198">
        <f>_xll.qlCalendarAdvance(Calendar,Y2986,NDays&amp;"D")</f>
        <v>59891</v>
      </c>
      <c r="AA2986" s="173">
        <v>1.9162903249418821E-2</v>
      </c>
      <c r="AB2986" s="182">
        <v>1.9053057313414001E-2</v>
      </c>
    </row>
    <row r="2987" spans="24:28" x14ac:dyDescent="0.2">
      <c r="X2987" s="186" t="str">
        <f t="shared" si="80"/>
        <v>1w</v>
      </c>
      <c r="Y2987" s="174">
        <f>_xll.qlCalendarAdvance(Calendar,Y2986,X2987,"f",FALSE)</f>
        <v>59897</v>
      </c>
      <c r="Z2987" s="198">
        <f>_xll.qlCalendarAdvance(Calendar,Y2987,NDays&amp;"D")</f>
        <v>59901</v>
      </c>
      <c r="AA2987" s="173">
        <v>1.9163055889117136E-2</v>
      </c>
      <c r="AB2987" s="182">
        <v>1.90543579183311E-2</v>
      </c>
    </row>
    <row r="2988" spans="24:28" x14ac:dyDescent="0.2">
      <c r="X2988" s="186" t="str">
        <f t="shared" si="80"/>
        <v>1w</v>
      </c>
      <c r="Y2988" s="174">
        <f>_xll.qlCalendarAdvance(Calendar,Y2987,X2988,"f",FALSE)</f>
        <v>59904</v>
      </c>
      <c r="Z2988" s="198">
        <f>_xll.qlCalendarAdvance(Calendar,Y2988,NDays&amp;"D")</f>
        <v>59908</v>
      </c>
      <c r="AA2988" s="173">
        <v>1.9164443494154162E-2</v>
      </c>
      <c r="AB2988" s="182">
        <v>1.9055091828343862E-2</v>
      </c>
    </row>
    <row r="2989" spans="24:28" x14ac:dyDescent="0.2">
      <c r="X2989" s="186" t="str">
        <f t="shared" si="80"/>
        <v>1w</v>
      </c>
      <c r="Y2989" s="174">
        <f>_xll.qlCalendarAdvance(Calendar,Y2988,X2989,"f",FALSE)</f>
        <v>59911</v>
      </c>
      <c r="Z2989" s="198">
        <f>_xll.qlCalendarAdvance(Calendar,Y2989,NDays&amp;"D")</f>
        <v>59915</v>
      </c>
      <c r="AA2989" s="173">
        <v>1.9165834308289671E-2</v>
      </c>
      <c r="AB2989" s="182">
        <v>1.905642828840648E-2</v>
      </c>
    </row>
    <row r="2990" spans="24:28" x14ac:dyDescent="0.2">
      <c r="X2990" s="186" t="str">
        <f t="shared" si="80"/>
        <v>1w</v>
      </c>
      <c r="Y2990" s="174">
        <f>_xll.qlCalendarAdvance(Calendar,Y2989,X2990,"f",FALSE)</f>
        <v>59918</v>
      </c>
      <c r="Z2990" s="198">
        <f>_xll.qlCalendarAdvance(Calendar,Y2990,NDays&amp;"D")</f>
        <v>59922</v>
      </c>
      <c r="AA2990" s="173">
        <v>1.9167228331529809E-2</v>
      </c>
      <c r="AB2990" s="182">
        <v>1.9057767925847457E-2</v>
      </c>
    </row>
    <row r="2991" spans="24:28" x14ac:dyDescent="0.2">
      <c r="X2991" s="186" t="str">
        <f t="shared" si="80"/>
        <v>1w</v>
      </c>
      <c r="Y2991" s="174">
        <f>_xll.qlCalendarAdvance(Calendar,Y2990,X2991,"f",FALSE)</f>
        <v>59925</v>
      </c>
      <c r="Z2991" s="198">
        <f>_xll.qlCalendarAdvance(Calendar,Y2991,NDays&amp;"D")</f>
        <v>59929</v>
      </c>
      <c r="AA2991" s="173">
        <v>1.9168625563881606E-2</v>
      </c>
      <c r="AB2991" s="182">
        <v>1.9059110740826668E-2</v>
      </c>
    </row>
    <row r="2992" spans="24:28" x14ac:dyDescent="0.2">
      <c r="X2992" s="186" t="str">
        <f t="shared" si="80"/>
        <v>1w</v>
      </c>
      <c r="Y2992" s="174">
        <f>_xll.qlCalendarAdvance(Calendar,Y2991,X2992,"f",FALSE)</f>
        <v>59932</v>
      </c>
      <c r="Z2992" s="198">
        <f>_xll.qlCalendarAdvance(Calendar,Y2992,NDays&amp;"D")</f>
        <v>59936</v>
      </c>
      <c r="AA2992" s="173">
        <v>1.9170026005351649E-2</v>
      </c>
      <c r="AB2992" s="182">
        <v>1.9060456733424047E-2</v>
      </c>
    </row>
    <row r="2993" spans="24:28" x14ac:dyDescent="0.2">
      <c r="X2993" s="186" t="str">
        <f t="shared" si="80"/>
        <v>1w</v>
      </c>
      <c r="Y2993" s="174">
        <f>_xll.qlCalendarAdvance(Calendar,Y2992,X2993,"f",FALSE)</f>
        <v>59939</v>
      </c>
      <c r="Z2993" s="198">
        <f>_xll.qlCalendarAdvance(Calendar,Y2993,NDays&amp;"D")</f>
        <v>59943</v>
      </c>
      <c r="AA2993" s="173">
        <v>1.9171429655946964E-2</v>
      </c>
      <c r="AB2993" s="182">
        <v>1.9061805903399787E-2</v>
      </c>
    </row>
    <row r="2994" spans="24:28" x14ac:dyDescent="0.2">
      <c r="X2994" s="186" t="str">
        <f t="shared" si="80"/>
        <v>1w</v>
      </c>
      <c r="Y2994" s="174">
        <f>_xll.qlCalendarAdvance(Calendar,Y2993,X2994,"f",FALSE)</f>
        <v>59946</v>
      </c>
      <c r="Z2994" s="198">
        <f>_xll.qlCalendarAdvance(Calendar,Y2994,NDays&amp;"D")</f>
        <v>59950</v>
      </c>
      <c r="AA2994" s="173">
        <v>1.9172836515674141E-2</v>
      </c>
      <c r="AB2994" s="182">
        <v>1.9063158250913759E-2</v>
      </c>
    </row>
    <row r="2995" spans="24:28" x14ac:dyDescent="0.2">
      <c r="X2995" s="186" t="str">
        <f t="shared" si="80"/>
        <v>1w</v>
      </c>
      <c r="Y2995" s="174">
        <f>_xll.qlCalendarAdvance(Calendar,Y2994,X2995,"f",FALSE)</f>
        <v>59953</v>
      </c>
      <c r="Z2995" s="198">
        <f>_xll.qlCalendarAdvance(Calendar,Y2995,NDays&amp;"D")</f>
        <v>59957</v>
      </c>
      <c r="AA2995" s="173">
        <v>1.9174246584540207E-2</v>
      </c>
      <c r="AB2995" s="182">
        <v>1.9064513776045899E-2</v>
      </c>
    </row>
    <row r="2996" spans="24:28" x14ac:dyDescent="0.2">
      <c r="X2996" s="186" t="str">
        <f t="shared" si="80"/>
        <v>1w</v>
      </c>
      <c r="Y2996" s="174">
        <f>_xll.qlCalendarAdvance(Calendar,Y2995,X2996,"f",FALSE)</f>
        <v>59960</v>
      </c>
      <c r="Z2996" s="198">
        <f>_xll.qlCalendarAdvance(Calendar,Y2996,NDays&amp;"D")</f>
        <v>59964</v>
      </c>
      <c r="AA2996" s="173">
        <v>1.9176882196593869E-2</v>
      </c>
      <c r="AB2996" s="182">
        <v>1.9065872478716273E-2</v>
      </c>
    </row>
    <row r="2997" spans="24:28" x14ac:dyDescent="0.2">
      <c r="X2997" s="186" t="str">
        <f t="shared" si="80"/>
        <v>1w</v>
      </c>
      <c r="Y2997" s="174">
        <f>_xll.qlCalendarAdvance(Calendar,Y2996,X2997,"f",FALSE)</f>
        <v>59967</v>
      </c>
      <c r="Z2997" s="198">
        <f>_xll.qlCalendarAdvance(Calendar,Y2997,NDays&amp;"D")</f>
        <v>59971</v>
      </c>
      <c r="AA2997" s="173">
        <v>1.9178299292447142E-2</v>
      </c>
      <c r="AB2997" s="182">
        <v>1.9067234358844942E-2</v>
      </c>
    </row>
    <row r="2998" spans="24:28" x14ac:dyDescent="0.2">
      <c r="X2998" s="186" t="str">
        <f t="shared" si="80"/>
        <v>1w</v>
      </c>
      <c r="Y2998" s="174">
        <f>_xll.qlCalendarAdvance(Calendar,Y2997,X2998,"f",FALSE)</f>
        <v>59974</v>
      </c>
      <c r="Z2998" s="198">
        <f>_xll.qlCalendarAdvance(Calendar,Y2998,NDays&amp;"D")</f>
        <v>59978</v>
      </c>
      <c r="AA2998" s="173">
        <v>1.9179719597812197E-2</v>
      </c>
      <c r="AB2998" s="182">
        <v>1.9068599416431908E-2</v>
      </c>
    </row>
    <row r="2999" spans="24:28" x14ac:dyDescent="0.2">
      <c r="X2999" s="186" t="str">
        <f t="shared" si="80"/>
        <v>1w</v>
      </c>
      <c r="Y2999" s="174">
        <f>_xll.qlCalendarAdvance(Calendar,Y2998,X2999,"f",FALSE)</f>
        <v>59981</v>
      </c>
      <c r="Z2999" s="198">
        <f>_xll.qlCalendarAdvance(Calendar,Y2999,NDays&amp;"D")</f>
        <v>59985</v>
      </c>
      <c r="AA2999" s="173">
        <v>1.918114311269643E-2</v>
      </c>
      <c r="AB2999" s="182">
        <v>1.9069967651637043E-2</v>
      </c>
    </row>
    <row r="3000" spans="24:28" x14ac:dyDescent="0.2">
      <c r="X3000" s="186" t="str">
        <f t="shared" si="80"/>
        <v>1w</v>
      </c>
      <c r="Y3000" s="174">
        <f>_xll.qlCalendarAdvance(Calendar,Y2999,X3000,"f",FALSE)</f>
        <v>59988</v>
      </c>
      <c r="Z3000" s="198">
        <f>_xll.qlCalendarAdvance(Calendar,Y3000,NDays&amp;"D")</f>
        <v>59992</v>
      </c>
      <c r="AA3000" s="173">
        <v>1.9181957426260231E-2</v>
      </c>
      <c r="AB3000" s="182">
        <v>1.907133906438041E-2</v>
      </c>
    </row>
    <row r="3001" spans="24:28" x14ac:dyDescent="0.2">
      <c r="X3001" s="186" t="str">
        <f t="shared" si="80"/>
        <v>1w</v>
      </c>
      <c r="Y3001" s="174">
        <f>_xll.qlCalendarAdvance(Calendar,Y3000,X3001,"f",FALSE)</f>
        <v>59995</v>
      </c>
      <c r="Z3001" s="198">
        <f>_xll.qlCalendarAdvance(Calendar,Y3001,NDays&amp;"D")</f>
        <v>60001</v>
      </c>
      <c r="AA3001" s="173">
        <v>1.9183796110004946E-2</v>
      </c>
      <c r="AB3001" s="182">
        <v>1.9073106978195753E-2</v>
      </c>
    </row>
    <row r="3002" spans="24:28" x14ac:dyDescent="0.2">
      <c r="X3002" s="186" t="str">
        <f t="shared" si="80"/>
        <v>1w</v>
      </c>
      <c r="Y3002" s="174">
        <f>_xll.qlCalendarAdvance(Calendar,Y3001,X3002,"f",FALSE)</f>
        <v>60002</v>
      </c>
      <c r="Z3002" s="198">
        <f>_xll.qlCalendarAdvance(Calendar,Y3002,NDays&amp;"D")</f>
        <v>60006</v>
      </c>
      <c r="AA3002" s="173">
        <v>1.9184819893376902E-2</v>
      </c>
      <c r="AB3002" s="182">
        <v>1.907409142232197E-2</v>
      </c>
    </row>
    <row r="3003" spans="24:28" x14ac:dyDescent="0.2">
      <c r="X3003" s="186" t="str">
        <f t="shared" si="80"/>
        <v>1w</v>
      </c>
      <c r="Y3003" s="174">
        <f>_xll.qlCalendarAdvance(Calendar,Y3002,X3003,"f",FALSE)</f>
        <v>60009</v>
      </c>
      <c r="Z3003" s="198">
        <f>_xll.qlCalendarAdvance(Calendar,Y3003,NDays&amp;"D")</f>
        <v>60013</v>
      </c>
      <c r="AA3003" s="173">
        <v>1.9186255940986472E-2</v>
      </c>
      <c r="AB3003" s="182">
        <v>1.9075472367600099E-2</v>
      </c>
    </row>
    <row r="3004" spans="24:28" x14ac:dyDescent="0.2">
      <c r="X3004" s="186" t="str">
        <f t="shared" si="80"/>
        <v>1w</v>
      </c>
      <c r="Y3004" s="174">
        <f>_xll.qlCalendarAdvance(Calendar,Y3003,X3004,"f",FALSE)</f>
        <v>60016</v>
      </c>
      <c r="Z3004" s="198">
        <f>_xll.qlCalendarAdvance(Calendar,Y3004,NDays&amp;"D")</f>
        <v>60020</v>
      </c>
      <c r="AA3004" s="173">
        <v>1.9187695197972851E-2</v>
      </c>
      <c r="AB3004" s="182">
        <v>1.9076856490336525E-2</v>
      </c>
    </row>
    <row r="3005" spans="24:28" x14ac:dyDescent="0.2">
      <c r="X3005" s="186" t="str">
        <f t="shared" si="80"/>
        <v>1w</v>
      </c>
      <c r="Y3005" s="174">
        <f>_xll.qlCalendarAdvance(Calendar,Y3004,X3005,"f",FALSE)</f>
        <v>60024</v>
      </c>
      <c r="Z3005" s="198">
        <f>_xll.qlCalendarAdvance(Calendar,Y3005,NDays&amp;"D")</f>
        <v>60028</v>
      </c>
      <c r="AA3005" s="173">
        <v>1.9189957976900211E-2</v>
      </c>
      <c r="AB3005" s="182">
        <v>1.9078442235791471E-2</v>
      </c>
    </row>
    <row r="3006" spans="24:28" x14ac:dyDescent="0.2">
      <c r="X3006" s="186" t="str">
        <f t="shared" si="80"/>
        <v>1w</v>
      </c>
      <c r="Y3006" s="174">
        <f>_xll.qlCalendarAdvance(Calendar,Y3005,X3006,"f",FALSE)</f>
        <v>60031</v>
      </c>
      <c r="Z3006" s="198">
        <f>_xll.qlCalendarAdvance(Calendar,Y3006,NDays&amp;"D")</f>
        <v>60035</v>
      </c>
      <c r="AA3006" s="173">
        <v>1.9191404500563235E-2</v>
      </c>
      <c r="AB3006" s="182">
        <v>1.9079833167481297E-2</v>
      </c>
    </row>
    <row r="3007" spans="24:28" x14ac:dyDescent="0.2">
      <c r="X3007" s="186" t="str">
        <f t="shared" si="80"/>
        <v>1w</v>
      </c>
      <c r="Y3007" s="174">
        <f>_xll.qlCalendarAdvance(Calendar,Y3006,X3007,"f",FALSE)</f>
        <v>60038</v>
      </c>
      <c r="Z3007" s="198">
        <f>_xll.qlCalendarAdvance(Calendar,Y3007,NDays&amp;"D")</f>
        <v>60042</v>
      </c>
      <c r="AA3007" s="173">
        <v>1.919285448593935E-2</v>
      </c>
      <c r="AB3007" s="182">
        <v>1.9081227276789292E-2</v>
      </c>
    </row>
    <row r="3008" spans="24:28" x14ac:dyDescent="0.2">
      <c r="X3008" s="186" t="str">
        <f t="shared" si="80"/>
        <v>1w</v>
      </c>
      <c r="Y3008" s="174">
        <f>_xll.qlCalendarAdvance(Calendar,Y3007,X3008,"f",FALSE)</f>
        <v>60045</v>
      </c>
      <c r="Z3008" s="198">
        <f>_xll.qlCalendarAdvance(Calendar,Y3008,NDays&amp;"D")</f>
        <v>60049</v>
      </c>
      <c r="AA3008" s="173">
        <v>1.9194308109533455E-2</v>
      </c>
      <c r="AB3008" s="182">
        <v>1.908262456363552E-2</v>
      </c>
    </row>
    <row r="3009" spans="24:28" x14ac:dyDescent="0.2">
      <c r="X3009" s="186" t="str">
        <f t="shared" si="80"/>
        <v>1w</v>
      </c>
      <c r="Y3009" s="174">
        <f>_xll.qlCalendarAdvance(Calendar,Y3008,X3009,"f",FALSE)</f>
        <v>60052</v>
      </c>
      <c r="Z3009" s="198">
        <f>_xll.qlCalendarAdvance(Calendar,Y3009,NDays&amp;"D")</f>
        <v>60056</v>
      </c>
      <c r="AA3009" s="173">
        <v>1.9195150114446714E-2</v>
      </c>
      <c r="AB3009" s="182">
        <v>1.9084025027940044E-2</v>
      </c>
    </row>
    <row r="3010" spans="24:28" x14ac:dyDescent="0.2">
      <c r="X3010" s="186" t="str">
        <f t="shared" si="80"/>
        <v>1w</v>
      </c>
      <c r="Y3010" s="174">
        <f>_xll.qlCalendarAdvance(Calendar,Y3009,X3010,"f",FALSE)</f>
        <v>60059</v>
      </c>
      <c r="Z3010" s="198">
        <f>_xll.qlCalendarAdvance(Calendar,Y3010,NDays&amp;"D")</f>
        <v>60063</v>
      </c>
      <c r="AA3010" s="173">
        <v>1.9196611125819798E-2</v>
      </c>
      <c r="AB3010" s="182">
        <v>1.9085428669702864E-2</v>
      </c>
    </row>
    <row r="3011" spans="24:28" x14ac:dyDescent="0.2">
      <c r="X3011" s="186" t="str">
        <f t="shared" si="80"/>
        <v>1w</v>
      </c>
      <c r="Y3011" s="174">
        <f>_xll.qlCalendarAdvance(Calendar,Y3010,X3011,"f",FALSE)</f>
        <v>60066</v>
      </c>
      <c r="Z3011" s="198">
        <f>_xll.qlCalendarAdvance(Calendar,Y3011,NDays&amp;"D")</f>
        <v>60070</v>
      </c>
      <c r="AA3011" s="173">
        <v>1.9198076284583511E-2</v>
      </c>
      <c r="AB3011" s="182">
        <v>1.9086835489163789E-2</v>
      </c>
    </row>
    <row r="3012" spans="24:28" x14ac:dyDescent="0.2">
      <c r="X3012" s="186" t="str">
        <f t="shared" si="80"/>
        <v>1w</v>
      </c>
      <c r="Y3012" s="174">
        <f>_xll.qlCalendarAdvance(Calendar,Y3011,X3012,"f",FALSE)</f>
        <v>60073</v>
      </c>
      <c r="Z3012" s="198">
        <f>_xll.qlCalendarAdvance(Calendar,Y3012,NDays&amp;"D")</f>
        <v>60077</v>
      </c>
      <c r="AA3012" s="173">
        <v>1.9199545768197646E-2</v>
      </c>
      <c r="AB3012" s="182">
        <v>1.9088245486003075E-2</v>
      </c>
    </row>
    <row r="3013" spans="24:28" x14ac:dyDescent="0.2">
      <c r="X3013" s="186" t="str">
        <f t="shared" si="80"/>
        <v>1w</v>
      </c>
      <c r="Y3013" s="174">
        <f>_xll.qlCalendarAdvance(Calendar,Y3012,X3013,"f",FALSE)</f>
        <v>60080</v>
      </c>
      <c r="Z3013" s="198">
        <f>_xll.qlCalendarAdvance(Calendar,Y3013,NDays&amp;"D")</f>
        <v>60084</v>
      </c>
      <c r="AA3013" s="173">
        <v>1.9202254275666939E-2</v>
      </c>
      <c r="AB3013" s="182">
        <v>1.9089658660380593E-2</v>
      </c>
    </row>
    <row r="3014" spans="24:28" x14ac:dyDescent="0.2">
      <c r="X3014" s="186" t="str">
        <f t="shared" si="80"/>
        <v>1w</v>
      </c>
      <c r="Y3014" s="174">
        <f>_xll.qlCalendarAdvance(Calendar,Y3013,X3014,"f",FALSE)</f>
        <v>60087</v>
      </c>
      <c r="Z3014" s="198">
        <f>_xll.qlCalendarAdvance(Calendar,Y3014,NDays&amp;"D")</f>
        <v>60091</v>
      </c>
      <c r="AA3014" s="173">
        <v>1.9203116137951386E-2</v>
      </c>
      <c r="AB3014" s="182">
        <v>1.9091075012296344E-2</v>
      </c>
    </row>
    <row r="3015" spans="24:28" x14ac:dyDescent="0.2">
      <c r="X3015" s="186" t="str">
        <f t="shared" si="80"/>
        <v>1w</v>
      </c>
      <c r="Y3015" s="174">
        <f>_xll.qlCalendarAdvance(Calendar,Y3014,X3015,"f",FALSE)</f>
        <v>60094</v>
      </c>
      <c r="Z3015" s="198">
        <f>_xll.qlCalendarAdvance(Calendar,Y3015,NDays&amp;"D")</f>
        <v>60098</v>
      </c>
      <c r="AA3015" s="173">
        <v>1.920460017122548E-2</v>
      </c>
      <c r="AB3015" s="182">
        <v>1.9092494541830263E-2</v>
      </c>
    </row>
    <row r="3016" spans="24:28" x14ac:dyDescent="0.2">
      <c r="X3016" s="186" t="str">
        <f t="shared" si="80"/>
        <v>1w</v>
      </c>
      <c r="Y3016" s="174">
        <f>_xll.qlCalendarAdvance(Calendar,Y3015,X3016,"f",FALSE)</f>
        <v>60101</v>
      </c>
      <c r="Z3016" s="198">
        <f>_xll.qlCalendarAdvance(Calendar,Y3016,NDays&amp;"D")</f>
        <v>60105</v>
      </c>
      <c r="AA3016" s="173">
        <v>1.920608925476891E-2</v>
      </c>
      <c r="AB3016" s="182">
        <v>1.9093917248822478E-2</v>
      </c>
    </row>
    <row r="3017" spans="24:28" x14ac:dyDescent="0.2">
      <c r="X3017" s="186" t="str">
        <f t="shared" si="80"/>
        <v>1w</v>
      </c>
      <c r="Y3017" s="174">
        <f>_xll.qlCalendarAdvance(Calendar,Y3016,X3017,"f",FALSE)</f>
        <v>60108</v>
      </c>
      <c r="Z3017" s="198">
        <f>_xll.qlCalendarAdvance(Calendar,Y3017,NDays&amp;"D")</f>
        <v>60112</v>
      </c>
      <c r="AA3017" s="173">
        <v>1.9207583565090044E-2</v>
      </c>
      <c r="AB3017" s="182">
        <v>1.9095343133193055E-2</v>
      </c>
    </row>
    <row r="3018" spans="24:28" x14ac:dyDescent="0.2">
      <c r="X3018" s="186" t="str">
        <f t="shared" si="80"/>
        <v>1w</v>
      </c>
      <c r="Y3018" s="174">
        <f>_xll.qlCalendarAdvance(Calendar,Y3017,X3018,"f",FALSE)</f>
        <v>60115</v>
      </c>
      <c r="Z3018" s="198">
        <f>_xll.qlCalendarAdvance(Calendar,Y3018,NDays&amp;"D")</f>
        <v>60119</v>
      </c>
      <c r="AA3018" s="173">
        <v>1.9209083278700297E-2</v>
      </c>
      <c r="AB3018" s="182">
        <v>1.9096772195261735E-2</v>
      </c>
    </row>
    <row r="3019" spans="24:28" x14ac:dyDescent="0.2">
      <c r="X3019" s="186" t="str">
        <f t="shared" si="80"/>
        <v>1w</v>
      </c>
      <c r="Y3019" s="174">
        <f>_xll.qlCalendarAdvance(Calendar,Y3018,X3019,"f",FALSE)</f>
        <v>60122</v>
      </c>
      <c r="Z3019" s="198">
        <f>_xll.qlCalendarAdvance(Calendar,Y3019,NDays&amp;"D")</f>
        <v>60126</v>
      </c>
      <c r="AA3019" s="173">
        <v>1.921058857210935E-2</v>
      </c>
      <c r="AB3019" s="182">
        <v>1.9098204434788713E-2</v>
      </c>
    </row>
    <row r="3020" spans="24:28" x14ac:dyDescent="0.2">
      <c r="X3020" s="186" t="str">
        <f t="shared" si="80"/>
        <v>1w</v>
      </c>
      <c r="Y3020" s="174">
        <f>_xll.qlCalendarAdvance(Calendar,Y3019,X3020,"f",FALSE)</f>
        <v>60129</v>
      </c>
      <c r="Z3020" s="198">
        <f>_xll.qlCalendarAdvance(Calendar,Y3020,NDays&amp;"D")</f>
        <v>60133</v>
      </c>
      <c r="AA3020" s="173">
        <v>1.9212099621826875E-2</v>
      </c>
      <c r="AB3020" s="182">
        <v>1.9099639851773986E-2</v>
      </c>
    </row>
    <row r="3021" spans="24:28" x14ac:dyDescent="0.2">
      <c r="X3021" s="186" t="str">
        <f t="shared" si="80"/>
        <v>1w</v>
      </c>
      <c r="Y3021" s="174">
        <f>_xll.qlCalendarAdvance(Calendar,Y3020,X3021,"f",FALSE)</f>
        <v>60136</v>
      </c>
      <c r="Z3021" s="198">
        <f>_xll.qlCalendarAdvance(Calendar,Y3021,NDays&amp;"D")</f>
        <v>60140</v>
      </c>
      <c r="AA3021" s="173">
        <v>1.9213616604365154E-2</v>
      </c>
      <c r="AB3021" s="182">
        <v>1.9101078446377429E-2</v>
      </c>
    </row>
    <row r="3022" spans="24:28" x14ac:dyDescent="0.2">
      <c r="X3022" s="186" t="str">
        <f t="shared" si="80"/>
        <v>1w</v>
      </c>
      <c r="Y3022" s="174">
        <f>_xll.qlCalendarAdvance(Calendar,Y3021,X3022,"f",FALSE)</f>
        <v>60143</v>
      </c>
      <c r="Z3022" s="198">
        <f>_xll.qlCalendarAdvance(Calendar,Y3022,NDays&amp;"D")</f>
        <v>60147</v>
      </c>
      <c r="AA3022" s="173">
        <v>1.921327339278437E-2</v>
      </c>
      <c r="AB3022" s="182">
        <v>1.9102520218519103E-2</v>
      </c>
    </row>
    <row r="3023" spans="24:28" x14ac:dyDescent="0.2">
      <c r="X3023" s="186" t="str">
        <f t="shared" si="80"/>
        <v>1w</v>
      </c>
      <c r="Y3023" s="174">
        <f>_xll.qlCalendarAdvance(Calendar,Y3022,X3023,"f",FALSE)</f>
        <v>60150</v>
      </c>
      <c r="Z3023" s="198">
        <f>_xll.qlCalendarAdvance(Calendar,Y3023,NDays&amp;"D")</f>
        <v>60154</v>
      </c>
      <c r="AA3023" s="173">
        <v>1.9214800947387402E-2</v>
      </c>
      <c r="AB3023" s="182">
        <v>1.9103965168119075E-2</v>
      </c>
    </row>
    <row r="3024" spans="24:28" x14ac:dyDescent="0.2">
      <c r="X3024" s="186" t="str">
        <f t="shared" si="80"/>
        <v>1w</v>
      </c>
      <c r="Y3024" s="174">
        <f>_xll.qlCalendarAdvance(Calendar,Y3023,X3024,"f",FALSE)</f>
        <v>60157</v>
      </c>
      <c r="Z3024" s="198">
        <f>_xll.qlCalendarAdvance(Calendar,Y3024,NDays&amp;"D")</f>
        <v>60161</v>
      </c>
      <c r="AA3024" s="173">
        <v>1.9216334940314338E-2</v>
      </c>
      <c r="AB3024" s="182">
        <v>1.9105413295257279E-2</v>
      </c>
    </row>
    <row r="3025" spans="24:28" x14ac:dyDescent="0.2">
      <c r="X3025" s="186" t="str">
        <f t="shared" si="80"/>
        <v>1w</v>
      </c>
      <c r="Y3025" s="174">
        <f>_xll.qlCalendarAdvance(Calendar,Y3024,X3025,"f",FALSE)</f>
        <v>60164</v>
      </c>
      <c r="Z3025" s="198">
        <f>_xll.qlCalendarAdvance(Calendar,Y3025,NDays&amp;"D")</f>
        <v>60168</v>
      </c>
      <c r="AA3025" s="173">
        <v>1.9217875550976145E-2</v>
      </c>
      <c r="AB3025" s="182">
        <v>1.9106864600013651E-2</v>
      </c>
    </row>
    <row r="3026" spans="24:28" x14ac:dyDescent="0.2">
      <c r="X3026" s="186" t="str">
        <f t="shared" si="80"/>
        <v>1w</v>
      </c>
      <c r="Y3026" s="174">
        <f>_xll.qlCalendarAdvance(Calendar,Y3025,X3026,"f",FALSE)</f>
        <v>60171</v>
      </c>
      <c r="Z3026" s="198">
        <f>_xll.qlCalendarAdvance(Calendar,Y3026,NDays&amp;"D")</f>
        <v>60175</v>
      </c>
      <c r="AA3026" s="173">
        <v>1.9220047451622011E-2</v>
      </c>
      <c r="AB3026" s="182">
        <v>1.9108319082148384E-2</v>
      </c>
    </row>
    <row r="3027" spans="24:28" x14ac:dyDescent="0.2">
      <c r="X3027" s="186" t="str">
        <f t="shared" si="80"/>
        <v>1w</v>
      </c>
      <c r="Y3027" s="174">
        <f>_xll.qlCalendarAdvance(Calendar,Y3026,X3027,"f",FALSE)</f>
        <v>60178</v>
      </c>
      <c r="Z3027" s="198">
        <f>_xll.qlCalendarAdvance(Calendar,Y3027,NDays&amp;"D")</f>
        <v>60182</v>
      </c>
      <c r="AA3027" s="173">
        <v>1.9221602469777131E-2</v>
      </c>
      <c r="AB3027" s="182">
        <v>1.9109776741821349E-2</v>
      </c>
    </row>
    <row r="3028" spans="24:28" x14ac:dyDescent="0.2">
      <c r="X3028" s="186" t="str">
        <f t="shared" si="80"/>
        <v>1w</v>
      </c>
      <c r="Y3028" s="174">
        <f>_xll.qlCalendarAdvance(Calendar,Y3027,X3028,"f",FALSE)</f>
        <v>60185</v>
      </c>
      <c r="Z3028" s="198">
        <f>_xll.qlCalendarAdvance(Calendar,Y3028,NDays&amp;"D")</f>
        <v>60189</v>
      </c>
      <c r="AA3028" s="173">
        <v>1.9223164648091311E-2</v>
      </c>
      <c r="AB3028" s="182">
        <v>1.9111237579032547E-2</v>
      </c>
    </row>
    <row r="3029" spans="24:28" x14ac:dyDescent="0.2">
      <c r="X3029" s="186" t="str">
        <f t="shared" ref="X3029:X3092" si="81">X3028</f>
        <v>1w</v>
      </c>
      <c r="Y3029" s="174">
        <f>_xll.qlCalendarAdvance(Calendar,Y3028,X3029,"f",FALSE)</f>
        <v>60192</v>
      </c>
      <c r="Z3029" s="198">
        <f>_xll.qlCalendarAdvance(Calendar,Y3029,NDays&amp;"D")</f>
        <v>60196</v>
      </c>
      <c r="AA3029" s="173">
        <v>1.9224734165002474E-2</v>
      </c>
      <c r="AB3029" s="182">
        <v>1.9112701593861914E-2</v>
      </c>
    </row>
    <row r="3030" spans="24:28" x14ac:dyDescent="0.2">
      <c r="X3030" s="186" t="str">
        <f t="shared" si="81"/>
        <v>1w</v>
      </c>
      <c r="Y3030" s="174">
        <f>_xll.qlCalendarAdvance(Calendar,Y3029,X3030,"f",FALSE)</f>
        <v>60199</v>
      </c>
      <c r="Z3030" s="198">
        <f>_xll.qlCalendarAdvance(Calendar,Y3030,NDays&amp;"D")</f>
        <v>60203</v>
      </c>
      <c r="AA3030" s="173">
        <v>1.9226311198945908E-2</v>
      </c>
      <c r="AB3030" s="182">
        <v>1.9114168786149577E-2</v>
      </c>
    </row>
    <row r="3031" spans="24:28" x14ac:dyDescent="0.2">
      <c r="X3031" s="186" t="str">
        <f t="shared" si="81"/>
        <v>1w</v>
      </c>
      <c r="Y3031" s="174">
        <f>_xll.qlCalendarAdvance(Calendar,Y3030,X3031,"f",FALSE)</f>
        <v>60206</v>
      </c>
      <c r="Z3031" s="198">
        <f>_xll.qlCalendarAdvance(Calendar,Y3031,NDays&amp;"D")</f>
        <v>60210</v>
      </c>
      <c r="AA3031" s="173">
        <v>1.922726823433828E-2</v>
      </c>
      <c r="AB3031" s="182">
        <v>1.9115639265248063E-2</v>
      </c>
    </row>
    <row r="3032" spans="24:28" x14ac:dyDescent="0.2">
      <c r="X3032" s="186" t="str">
        <f t="shared" si="81"/>
        <v>1w</v>
      </c>
      <c r="Y3032" s="174">
        <f>_xll.qlCalendarAdvance(Calendar,Y3031,X3032,"f",FALSE)</f>
        <v>60213</v>
      </c>
      <c r="Z3032" s="198">
        <f>_xll.qlCalendarAdvance(Calendar,Y3032,NDays&amp;"D")</f>
        <v>60217</v>
      </c>
      <c r="AA3032" s="173">
        <v>1.9228860148137294E-2</v>
      </c>
      <c r="AB3032" s="182">
        <v>1.9117116094387043E-2</v>
      </c>
    </row>
    <row r="3033" spans="24:28" x14ac:dyDescent="0.2">
      <c r="X3033" s="186" t="str">
        <f t="shared" si="81"/>
        <v>1w</v>
      </c>
      <c r="Y3033" s="174">
        <f>_xll.qlCalendarAdvance(Calendar,Y3032,X3033,"f",FALSE)</f>
        <v>60220</v>
      </c>
      <c r="Z3033" s="198">
        <f>_xll.qlCalendarAdvance(Calendar,Y3033,NDays&amp;"D")</f>
        <v>60224</v>
      </c>
      <c r="AA3033" s="173">
        <v>1.9230459909951144E-2</v>
      </c>
      <c r="AB3033" s="182">
        <v>1.9118600695549048E-2</v>
      </c>
    </row>
    <row r="3034" spans="24:28" x14ac:dyDescent="0.2">
      <c r="X3034" s="186" t="str">
        <f t="shared" si="81"/>
        <v>1w</v>
      </c>
      <c r="Y3034" s="174">
        <f>_xll.qlCalendarAdvance(Calendar,Y3033,X3034,"f",FALSE)</f>
        <v>60227</v>
      </c>
      <c r="Z3034" s="198">
        <f>_xll.qlCalendarAdvance(Calendar,Y3034,NDays&amp;"D")</f>
        <v>60231</v>
      </c>
      <c r="AA3034" s="173">
        <v>1.9232067519798373E-2</v>
      </c>
      <c r="AB3034" s="182">
        <v>1.9120093068814015E-2</v>
      </c>
    </row>
    <row r="3035" spans="24:28" x14ac:dyDescent="0.2">
      <c r="X3035" s="186" t="str">
        <f t="shared" si="81"/>
        <v>1w</v>
      </c>
      <c r="Y3035" s="174">
        <f>_xll.qlCalendarAdvance(Calendar,Y3034,X3035,"f",FALSE)</f>
        <v>60234</v>
      </c>
      <c r="Z3035" s="198">
        <f>_xll.qlCalendarAdvance(Calendar,Y3035,NDays&amp;"D")</f>
        <v>60238</v>
      </c>
      <c r="AA3035" s="173">
        <v>1.9234313255084057E-2</v>
      </c>
      <c r="AB3035" s="182">
        <v>1.9121593213942134E-2</v>
      </c>
    </row>
    <row r="3036" spans="24:28" x14ac:dyDescent="0.2">
      <c r="X3036" s="186" t="str">
        <f t="shared" si="81"/>
        <v>1w</v>
      </c>
      <c r="Y3036" s="174">
        <f>_xll.qlCalendarAdvance(Calendar,Y3035,X3036,"f",FALSE)</f>
        <v>60241</v>
      </c>
      <c r="Z3036" s="198">
        <f>_xll.qlCalendarAdvance(Calendar,Y3036,NDays&amp;"D")</f>
        <v>60245</v>
      </c>
      <c r="AA3036" s="173">
        <v>1.9235937207981051E-2</v>
      </c>
      <c r="AB3036" s="182">
        <v>1.9123101131253151E-2</v>
      </c>
    </row>
    <row r="3037" spans="24:28" x14ac:dyDescent="0.2">
      <c r="X3037" s="186" t="str">
        <f t="shared" si="81"/>
        <v>1w</v>
      </c>
      <c r="Y3037" s="174">
        <f>_xll.qlCalendarAdvance(Calendar,Y3036,X3037,"f",FALSE)</f>
        <v>60248</v>
      </c>
      <c r="Z3037" s="198">
        <f>_xll.qlCalendarAdvance(Calendar,Y3037,NDays&amp;"D")</f>
        <v>60252</v>
      </c>
      <c r="AA3037" s="173">
        <v>1.9237569009394166E-2</v>
      </c>
      <c r="AB3037" s="182">
        <v>1.9124616820507256E-2</v>
      </c>
    </row>
    <row r="3038" spans="24:28" x14ac:dyDescent="0.2">
      <c r="X3038" s="186" t="str">
        <f t="shared" si="81"/>
        <v>1w</v>
      </c>
      <c r="Y3038" s="174">
        <f>_xll.qlCalendarAdvance(Calendar,Y3037,X3038,"f",FALSE)</f>
        <v>60255</v>
      </c>
      <c r="Z3038" s="198">
        <f>_xll.qlCalendarAdvance(Calendar,Y3038,NDays&amp;"D")</f>
        <v>60259</v>
      </c>
      <c r="AA3038" s="173">
        <v>1.9239208659342727E-2</v>
      </c>
      <c r="AB3038" s="182">
        <v>1.9126140281784387E-2</v>
      </c>
    </row>
    <row r="3039" spans="24:28" x14ac:dyDescent="0.2">
      <c r="X3039" s="186" t="str">
        <f t="shared" si="81"/>
        <v>1w</v>
      </c>
      <c r="Y3039" s="174">
        <f>_xll.qlCalendarAdvance(Calendar,Y3038,X3039,"f",FALSE)</f>
        <v>60265</v>
      </c>
      <c r="Z3039" s="198">
        <f>_xll.qlCalendarAdvance(Calendar,Y3039,NDays&amp;"D")</f>
        <v>60267</v>
      </c>
      <c r="AA3039" s="173">
        <v>1.9240459195187423E-2</v>
      </c>
      <c r="AB3039" s="182">
        <v>1.9128508834778124E-2</v>
      </c>
    </row>
    <row r="3040" spans="24:28" x14ac:dyDescent="0.2">
      <c r="X3040" s="186" t="str">
        <f t="shared" si="81"/>
        <v>1w</v>
      </c>
      <c r="Y3040" s="174">
        <f>_xll.qlCalendarAdvance(Calendar,Y3039,X3040,"f",FALSE)</f>
        <v>60272</v>
      </c>
      <c r="Z3040" s="198">
        <f>_xll.qlCalendarAdvance(Calendar,Y3040,NDays&amp;"D")</f>
        <v>60274</v>
      </c>
      <c r="AA3040" s="173">
        <v>1.924211501479791E-2</v>
      </c>
      <c r="AB3040" s="182">
        <v>1.9129431012752107E-2</v>
      </c>
    </row>
    <row r="3041" spans="24:28" x14ac:dyDescent="0.2">
      <c r="X3041" s="186" t="str">
        <f t="shared" si="81"/>
        <v>1w</v>
      </c>
      <c r="Y3041" s="174">
        <f>_xll.qlCalendarAdvance(Calendar,Y3040,X3041,"f",FALSE)</f>
        <v>60279</v>
      </c>
      <c r="Z3041" s="198">
        <f>_xll.qlCalendarAdvance(Calendar,Y3041,NDays&amp;"D")</f>
        <v>60281</v>
      </c>
      <c r="AA3041" s="173">
        <v>1.9243778682579125E-2</v>
      </c>
      <c r="AB3041" s="182">
        <v>1.9130978900570028E-2</v>
      </c>
    </row>
    <row r="3042" spans="24:28" x14ac:dyDescent="0.2">
      <c r="X3042" s="186" t="str">
        <f t="shared" si="81"/>
        <v>1w</v>
      </c>
      <c r="Y3042" s="174">
        <f>_xll.qlCalendarAdvance(Calendar,Y3041,X3042,"f",FALSE)</f>
        <v>60286</v>
      </c>
      <c r="Z3042" s="198">
        <f>_xll.qlCalendarAdvance(Calendar,Y3042,NDays&amp;"D")</f>
        <v>60288</v>
      </c>
      <c r="AA3042" s="173">
        <v>1.9245450198549181E-2</v>
      </c>
      <c r="AB3042" s="182">
        <v>1.9132534560251102E-2</v>
      </c>
    </row>
    <row r="3043" spans="24:28" x14ac:dyDescent="0.2">
      <c r="X3043" s="186" t="str">
        <f t="shared" si="81"/>
        <v>1w</v>
      </c>
      <c r="Y3043" s="174">
        <f>_xll.qlCalendarAdvance(Calendar,Y3042,X3043,"f",FALSE)</f>
        <v>60293</v>
      </c>
      <c r="Z3043" s="198">
        <f>_xll.qlCalendarAdvance(Calendar,Y3043,NDays&amp;"D")</f>
        <v>60295</v>
      </c>
      <c r="AA3043" s="173">
        <v>1.9247129562727953E-2</v>
      </c>
      <c r="AB3043" s="182">
        <v>1.9134097991955201E-2</v>
      </c>
    </row>
    <row r="3044" spans="24:28" x14ac:dyDescent="0.2">
      <c r="X3044" s="186" t="str">
        <f t="shared" si="81"/>
        <v>1w</v>
      </c>
      <c r="Y3044" s="174">
        <f>_xll.qlCalendarAdvance(Calendar,Y3043,X3044,"f",FALSE)</f>
        <v>60300</v>
      </c>
      <c r="Z3044" s="198">
        <f>_xll.qlCalendarAdvance(Calendar,Y3044,NDays&amp;"D")</f>
        <v>60302</v>
      </c>
      <c r="AA3044" s="173">
        <v>1.9248816775135309E-2</v>
      </c>
      <c r="AB3044" s="182">
        <v>1.9135669195682325E-2</v>
      </c>
    </row>
    <row r="3045" spans="24:28" x14ac:dyDescent="0.2">
      <c r="X3045" s="186" t="str">
        <f t="shared" si="81"/>
        <v>1w</v>
      </c>
      <c r="Y3045" s="174">
        <f>_xll.qlCalendarAdvance(Calendar,Y3044,X3045,"f",FALSE)</f>
        <v>60307</v>
      </c>
      <c r="Z3045" s="198">
        <f>_xll.qlCalendarAdvance(Calendar,Y3045,NDays&amp;"D")</f>
        <v>60309</v>
      </c>
      <c r="AA3045" s="173">
        <v>1.9250511835792006E-2</v>
      </c>
      <c r="AB3045" s="182">
        <v>1.9137248171592347E-2</v>
      </c>
    </row>
    <row r="3046" spans="24:28" x14ac:dyDescent="0.2">
      <c r="X3046" s="186" t="str">
        <f t="shared" si="81"/>
        <v>1w</v>
      </c>
      <c r="Y3046" s="174">
        <f>_xll.qlCalendarAdvance(Calendar,Y3045,X3046,"f",FALSE)</f>
        <v>60314</v>
      </c>
      <c r="Z3046" s="198">
        <f>_xll.qlCalendarAdvance(Calendar,Y3046,NDays&amp;"D")</f>
        <v>60316</v>
      </c>
      <c r="AA3046" s="173">
        <v>1.9252214744716153E-2</v>
      </c>
      <c r="AB3046" s="182">
        <v>1.9138834919365522E-2</v>
      </c>
    </row>
    <row r="3047" spans="24:28" x14ac:dyDescent="0.2">
      <c r="X3047" s="186" t="str">
        <f t="shared" si="81"/>
        <v>1w</v>
      </c>
      <c r="Y3047" s="174">
        <f>_xll.qlCalendarAdvance(Calendar,Y3046,X3047,"f",FALSE)</f>
        <v>60321</v>
      </c>
      <c r="Z3047" s="198">
        <f>_xll.qlCalendarAdvance(Calendar,Y3047,NDays&amp;"D")</f>
        <v>60323</v>
      </c>
      <c r="AA3047" s="173">
        <v>1.9253925501928511E-2</v>
      </c>
      <c r="AB3047" s="182">
        <v>1.9140429439241657E-2</v>
      </c>
    </row>
    <row r="3048" spans="24:28" x14ac:dyDescent="0.2">
      <c r="X3048" s="186" t="str">
        <f t="shared" si="81"/>
        <v>1w</v>
      </c>
      <c r="Y3048" s="174">
        <f>_xll.qlCalendarAdvance(Calendar,Y3047,X3048,"f",FALSE)</f>
        <v>60328</v>
      </c>
      <c r="Z3048" s="198">
        <f>_xll.qlCalendarAdvance(Calendar,Y3048,NDays&amp;"D")</f>
        <v>60330</v>
      </c>
      <c r="AA3048" s="173">
        <v>1.9257560804060787E-2</v>
      </c>
      <c r="AB3048" s="182">
        <v>1.9142031731140818E-2</v>
      </c>
    </row>
    <row r="3049" spans="24:28" x14ac:dyDescent="0.2">
      <c r="X3049" s="186" t="str">
        <f t="shared" si="81"/>
        <v>1w</v>
      </c>
      <c r="Y3049" s="174">
        <f>_xll.qlCalendarAdvance(Calendar,Y3048,X3049,"f",FALSE)</f>
        <v>60335</v>
      </c>
      <c r="Z3049" s="198">
        <f>_xll.qlCalendarAdvance(Calendar,Y3049,NDays&amp;"D")</f>
        <v>60337</v>
      </c>
      <c r="AA3049" s="173">
        <v>1.9259289215712849E-2</v>
      </c>
      <c r="AB3049" s="182">
        <v>1.9143641795142941E-2</v>
      </c>
    </row>
    <row r="3050" spans="24:28" x14ac:dyDescent="0.2">
      <c r="X3050" s="186" t="str">
        <f t="shared" si="81"/>
        <v>1w</v>
      </c>
      <c r="Y3050" s="174">
        <f>_xll.qlCalendarAdvance(Calendar,Y3049,X3050,"f",FALSE)</f>
        <v>60342</v>
      </c>
      <c r="Z3050" s="198">
        <f>_xll.qlCalendarAdvance(Calendar,Y3050,NDays&amp;"D")</f>
        <v>60344</v>
      </c>
      <c r="AA3050" s="173">
        <v>1.9261025476996294E-2</v>
      </c>
      <c r="AB3050" s="182">
        <v>1.9145259631008216E-2</v>
      </c>
    </row>
    <row r="3051" spans="24:28" x14ac:dyDescent="0.2">
      <c r="X3051" s="186" t="str">
        <f t="shared" si="81"/>
        <v>1w</v>
      </c>
      <c r="Y3051" s="174">
        <f>_xll.qlCalendarAdvance(Calendar,Y3050,X3051,"f",FALSE)</f>
        <v>60349</v>
      </c>
      <c r="Z3051" s="198">
        <f>_xll.qlCalendarAdvance(Calendar,Y3051,NDays&amp;"D")</f>
        <v>60351</v>
      </c>
      <c r="AA3051" s="173">
        <v>1.9262769587931536E-2</v>
      </c>
      <c r="AB3051" s="182">
        <v>1.9146885238976452E-2</v>
      </c>
    </row>
    <row r="3052" spans="24:28" x14ac:dyDescent="0.2">
      <c r="X3052" s="186" t="str">
        <f t="shared" si="81"/>
        <v>1w</v>
      </c>
      <c r="Y3052" s="174">
        <f>_xll.qlCalendarAdvance(Calendar,Y3051,X3052,"f",FALSE)</f>
        <v>60357</v>
      </c>
      <c r="Z3052" s="198">
        <f>_xll.qlCalendarAdvance(Calendar,Y3052,NDays&amp;"D")</f>
        <v>60359</v>
      </c>
      <c r="AA3052" s="173">
        <v>1.9264130778865265E-2</v>
      </c>
      <c r="AB3052" s="182">
        <v>1.9148752593487472E-2</v>
      </c>
    </row>
    <row r="3053" spans="24:28" x14ac:dyDescent="0.2">
      <c r="X3053" s="186" t="str">
        <f t="shared" si="81"/>
        <v>1w</v>
      </c>
      <c r="Y3053" s="174">
        <f>_xll.qlCalendarAdvance(Calendar,Y3052,X3053,"f",FALSE)</f>
        <v>60364</v>
      </c>
      <c r="Z3053" s="198">
        <f>_xll.qlCalendarAdvance(Calendar,Y3053,NDays&amp;"D")</f>
        <v>60366</v>
      </c>
      <c r="AA3053" s="173">
        <v>1.9265891056115564E-2</v>
      </c>
      <c r="AB3053" s="182">
        <v>1.9150394855893538E-2</v>
      </c>
    </row>
    <row r="3054" spans="24:28" x14ac:dyDescent="0.2">
      <c r="X3054" s="186" t="str">
        <f t="shared" si="81"/>
        <v>1w</v>
      </c>
      <c r="Y3054" s="174">
        <f>_xll.qlCalendarAdvance(Calendar,Y3053,X3054,"f",FALSE)</f>
        <v>60371</v>
      </c>
      <c r="Z3054" s="198">
        <f>_xll.qlCalendarAdvance(Calendar,Y3054,NDays&amp;"D")</f>
        <v>60373</v>
      </c>
      <c r="AA3054" s="173">
        <v>1.9267659182654735E-2</v>
      </c>
      <c r="AB3054" s="182">
        <v>1.9152044890322628E-2</v>
      </c>
    </row>
    <row r="3055" spans="24:28" x14ac:dyDescent="0.2">
      <c r="X3055" s="186" t="str">
        <f t="shared" si="81"/>
        <v>1w</v>
      </c>
      <c r="Y3055" s="174">
        <f>_xll.qlCalendarAdvance(Calendar,Y3054,X3055,"f",FALSE)</f>
        <v>60378</v>
      </c>
      <c r="Z3055" s="198">
        <f>_xll.qlCalendarAdvance(Calendar,Y3055,NDays&amp;"D")</f>
        <v>60380</v>
      </c>
      <c r="AA3055" s="173">
        <v>1.9269435158503739E-2</v>
      </c>
      <c r="AB3055" s="182">
        <v>1.9153702696694808E-2</v>
      </c>
    </row>
    <row r="3056" spans="24:28" x14ac:dyDescent="0.2">
      <c r="X3056" s="186" t="str">
        <f t="shared" si="81"/>
        <v>1w</v>
      </c>
      <c r="Y3056" s="174">
        <f>_xll.qlCalendarAdvance(Calendar,Y3055,X3056,"f",FALSE)</f>
        <v>60385</v>
      </c>
      <c r="Z3056" s="198">
        <f>_xll.qlCalendarAdvance(Calendar,Y3056,NDays&amp;"D")</f>
        <v>60387</v>
      </c>
      <c r="AA3056" s="173">
        <v>1.9271218983685296E-2</v>
      </c>
      <c r="AB3056" s="182">
        <v>1.9157255273707374E-2</v>
      </c>
    </row>
    <row r="3057" spans="24:28" x14ac:dyDescent="0.2">
      <c r="X3057" s="186" t="str">
        <f t="shared" si="81"/>
        <v>1w</v>
      </c>
      <c r="Y3057" s="174">
        <f>_xll.qlCalendarAdvance(Calendar,Y3056,X3057,"f",FALSE)</f>
        <v>60392</v>
      </c>
      <c r="Z3057" s="198">
        <f>_xll.qlCalendarAdvance(Calendar,Y3057,NDays&amp;"D")</f>
        <v>60394</v>
      </c>
      <c r="AA3057" s="173">
        <v>1.9274945816148647E-2</v>
      </c>
      <c r="AB3057" s="182">
        <v>1.9157041625668114E-2</v>
      </c>
    </row>
    <row r="3058" spans="24:28" x14ac:dyDescent="0.2">
      <c r="X3058" s="186" t="str">
        <f t="shared" si="81"/>
        <v>1w</v>
      </c>
      <c r="Y3058" s="174">
        <f>_xll.qlCalendarAdvance(Calendar,Y3057,X3058,"f",FALSE)</f>
        <v>60399</v>
      </c>
      <c r="Z3058" s="198">
        <f>_xll.qlCalendarAdvance(Calendar,Y3058,NDays&amp;"D")</f>
        <v>60401</v>
      </c>
      <c r="AA3058" s="173">
        <v>1.9276747309998656E-2</v>
      </c>
      <c r="AB3058" s="182">
        <v>1.9158722748189305E-2</v>
      </c>
    </row>
    <row r="3059" spans="24:28" x14ac:dyDescent="0.2">
      <c r="X3059" s="186" t="str">
        <f t="shared" si="81"/>
        <v>1w</v>
      </c>
      <c r="Y3059" s="174">
        <f>_xll.qlCalendarAdvance(Calendar,Y3058,X3059,"f",FALSE)</f>
        <v>60406</v>
      </c>
      <c r="Z3059" s="198">
        <f>_xll.qlCalendarAdvance(Calendar,Y3059,NDays&amp;"D")</f>
        <v>60408</v>
      </c>
      <c r="AA3059" s="173">
        <v>1.92785566545292E-2</v>
      </c>
      <c r="AB3059" s="182">
        <v>1.9160411642653585E-2</v>
      </c>
    </row>
    <row r="3060" spans="24:28" x14ac:dyDescent="0.2">
      <c r="X3060" s="186" t="str">
        <f t="shared" si="81"/>
        <v>1w</v>
      </c>
      <c r="Y3060" s="174">
        <f>_xll.qlCalendarAdvance(Calendar,Y3059,X3060,"f",FALSE)</f>
        <v>60413</v>
      </c>
      <c r="Z3060" s="198">
        <f>_xll.qlCalendarAdvance(Calendar,Y3060,NDays&amp;"D")</f>
        <v>60415</v>
      </c>
      <c r="AA3060" s="173">
        <v>1.9280373849763919E-2</v>
      </c>
      <c r="AB3060" s="182">
        <v>1.9162108309300763E-2</v>
      </c>
    </row>
    <row r="3061" spans="24:28" x14ac:dyDescent="0.2">
      <c r="X3061" s="186" t="str">
        <f t="shared" si="81"/>
        <v>1w</v>
      </c>
      <c r="Y3061" s="174">
        <f>_xll.qlCalendarAdvance(Calendar,Y3060,X3061,"f",FALSE)</f>
        <v>60420</v>
      </c>
      <c r="Z3061" s="198">
        <f>_xll.qlCalendarAdvance(Calendar,Y3061,NDays&amp;"D")</f>
        <v>60422</v>
      </c>
      <c r="AA3061" s="173">
        <v>1.9280255850309926E-2</v>
      </c>
      <c r="AB3061" s="182">
        <v>1.9163812747970965E-2</v>
      </c>
    </row>
    <row r="3062" spans="24:28" x14ac:dyDescent="0.2">
      <c r="X3062" s="186" t="str">
        <f t="shared" si="81"/>
        <v>1w</v>
      </c>
      <c r="Y3062" s="174">
        <f>_xll.qlCalendarAdvance(Calendar,Y3061,X3062,"f",FALSE)</f>
        <v>60427</v>
      </c>
      <c r="Z3062" s="198">
        <f>_xll.qlCalendarAdvance(Calendar,Y3062,NDays&amp;"D")</f>
        <v>60429</v>
      </c>
      <c r="AA3062" s="173">
        <v>1.9282086771927959E-2</v>
      </c>
      <c r="AB3062" s="182">
        <v>1.9165524958584257E-2</v>
      </c>
    </row>
    <row r="3063" spans="24:28" x14ac:dyDescent="0.2">
      <c r="X3063" s="186" t="str">
        <f t="shared" si="81"/>
        <v>1w</v>
      </c>
      <c r="Y3063" s="174">
        <f>_xll.qlCalendarAdvance(Calendar,Y3062,X3063,"f",FALSE)</f>
        <v>60434</v>
      </c>
      <c r="Z3063" s="198">
        <f>_xll.qlCalendarAdvance(Calendar,Y3063,NDays&amp;"D")</f>
        <v>60436</v>
      </c>
      <c r="AA3063" s="173">
        <v>1.9283925543027495E-2</v>
      </c>
      <c r="AB3063" s="182">
        <v>1.9167244941220574E-2</v>
      </c>
    </row>
    <row r="3064" spans="24:28" x14ac:dyDescent="0.2">
      <c r="X3064" s="186" t="str">
        <f t="shared" si="81"/>
        <v>1w</v>
      </c>
      <c r="Y3064" s="174">
        <f>_xll.qlCalendarAdvance(Calendar,Y3063,X3064,"f",FALSE)</f>
        <v>60441</v>
      </c>
      <c r="Z3064" s="198">
        <f>_xll.qlCalendarAdvance(Calendar,Y3064,NDays&amp;"D")</f>
        <v>60443</v>
      </c>
      <c r="AA3064" s="173">
        <v>1.9287721138175142E-2</v>
      </c>
      <c r="AB3064" s="182">
        <v>1.9168972695959852E-2</v>
      </c>
    </row>
    <row r="3065" spans="24:28" x14ac:dyDescent="0.2">
      <c r="X3065" s="186" t="str">
        <f t="shared" si="81"/>
        <v>1w</v>
      </c>
      <c r="Y3065" s="174">
        <f>_xll.qlCalendarAdvance(Calendar,Y3064,X3065,"f",FALSE)</f>
        <v>60448</v>
      </c>
      <c r="Z3065" s="198">
        <f>_xll.qlCalendarAdvance(Calendar,Y3065,NDays&amp;"D")</f>
        <v>60450</v>
      </c>
      <c r="AA3065" s="173">
        <v>1.9289577587256912E-2</v>
      </c>
      <c r="AB3065" s="182">
        <v>1.9170708222642219E-2</v>
      </c>
    </row>
    <row r="3066" spans="24:28" x14ac:dyDescent="0.2">
      <c r="X3066" s="186" t="str">
        <f t="shared" si="81"/>
        <v>1w</v>
      </c>
      <c r="Y3066" s="174">
        <f>_xll.qlCalendarAdvance(Calendar,Y3065,X3066,"f",FALSE)</f>
        <v>60455</v>
      </c>
      <c r="Z3066" s="198">
        <f>_xll.qlCalendarAdvance(Calendar,Y3066,NDays&amp;"D")</f>
        <v>60457</v>
      </c>
      <c r="AA3066" s="173">
        <v>1.9291441887175225E-2</v>
      </c>
      <c r="AB3066" s="182">
        <v>1.9172451521507483E-2</v>
      </c>
    </row>
    <row r="3067" spans="24:28" x14ac:dyDescent="0.2">
      <c r="X3067" s="186" t="str">
        <f t="shared" si="81"/>
        <v>1w</v>
      </c>
      <c r="Y3067" s="174">
        <f>_xll.qlCalendarAdvance(Calendar,Y3066,X3067,"f",FALSE)</f>
        <v>60462</v>
      </c>
      <c r="Z3067" s="198">
        <f>_xll.qlCalendarAdvance(Calendar,Y3067,NDays&amp;"D")</f>
        <v>60464</v>
      </c>
      <c r="AA3067" s="173">
        <v>1.9293314037951568E-2</v>
      </c>
      <c r="AB3067" s="182">
        <v>1.9174202592235901E-2</v>
      </c>
    </row>
    <row r="3068" spans="24:28" x14ac:dyDescent="0.2">
      <c r="X3068" s="186" t="str">
        <f t="shared" si="81"/>
        <v>1w</v>
      </c>
      <c r="Y3068" s="174">
        <f>_xll.qlCalendarAdvance(Calendar,Y3067,X3068,"f",FALSE)</f>
        <v>60469</v>
      </c>
      <c r="Z3068" s="198">
        <f>_xll.qlCalendarAdvance(Calendar,Y3068,NDays&amp;"D")</f>
        <v>60471</v>
      </c>
      <c r="AA3068" s="173">
        <v>1.9295194039609574E-2</v>
      </c>
      <c r="AB3068" s="182">
        <v>1.9175961435147215E-2</v>
      </c>
    </row>
    <row r="3069" spans="24:28" x14ac:dyDescent="0.2">
      <c r="X3069" s="186" t="str">
        <f t="shared" si="81"/>
        <v>1w</v>
      </c>
      <c r="Y3069" s="174">
        <f>_xll.qlCalendarAdvance(Calendar,Y3068,X3069,"f",FALSE)</f>
        <v>60476</v>
      </c>
      <c r="Z3069" s="198">
        <f>_xll.qlCalendarAdvance(Calendar,Y3069,NDays&amp;"D")</f>
        <v>60478</v>
      </c>
      <c r="AA3069" s="173">
        <v>1.9295123009967614E-2</v>
      </c>
      <c r="AB3069" s="182">
        <v>1.9177728050081555E-2</v>
      </c>
    </row>
    <row r="3070" spans="24:28" x14ac:dyDescent="0.2">
      <c r="X3070" s="186" t="str">
        <f t="shared" si="81"/>
        <v>1w</v>
      </c>
      <c r="Y3070" s="174">
        <f>_xll.qlCalendarAdvance(Calendar,Y3069,X3070,"f",FALSE)</f>
        <v>60483</v>
      </c>
      <c r="Z3070" s="198">
        <f>_xll.qlCalendarAdvance(Calendar,Y3070,NDays&amp;"D")</f>
        <v>60485</v>
      </c>
      <c r="AA3070" s="173">
        <v>1.9298977595659541E-2</v>
      </c>
      <c r="AB3070" s="182">
        <v>1.9179502436958984E-2</v>
      </c>
    </row>
    <row r="3071" spans="24:28" x14ac:dyDescent="0.2">
      <c r="X3071" s="186" t="str">
        <f t="shared" si="81"/>
        <v>1w</v>
      </c>
      <c r="Y3071" s="174">
        <f>_xll.qlCalendarAdvance(Calendar,Y3070,X3071,"f",FALSE)</f>
        <v>60490</v>
      </c>
      <c r="Z3071" s="198">
        <f>_xll.qlCalendarAdvance(Calendar,Y3071,NDays&amp;"D")</f>
        <v>60492</v>
      </c>
      <c r="AA3071" s="173">
        <v>1.9300881150097059E-2</v>
      </c>
      <c r="AB3071" s="182">
        <v>1.9181284595859438E-2</v>
      </c>
    </row>
    <row r="3072" spans="24:28" x14ac:dyDescent="0.2">
      <c r="X3072" s="186" t="str">
        <f t="shared" si="81"/>
        <v>1w</v>
      </c>
      <c r="Y3072" s="174">
        <f>_xll.qlCalendarAdvance(Calendar,Y3071,X3072,"f",FALSE)</f>
        <v>60497</v>
      </c>
      <c r="Z3072" s="198">
        <f>_xll.qlCalendarAdvance(Calendar,Y3072,NDays&amp;"D")</f>
        <v>60499</v>
      </c>
      <c r="AA3072" s="173">
        <v>1.9302792555507781E-2</v>
      </c>
      <c r="AB3072" s="182">
        <v>1.9183074526942789E-2</v>
      </c>
    </row>
    <row r="3073" spans="24:28" x14ac:dyDescent="0.2">
      <c r="X3073" s="186" t="str">
        <f t="shared" si="81"/>
        <v>1w</v>
      </c>
      <c r="Y3073" s="174">
        <f>_xll.qlCalendarAdvance(Calendar,Y3072,X3073,"f",FALSE)</f>
        <v>60504</v>
      </c>
      <c r="Z3073" s="198">
        <f>_xll.qlCalendarAdvance(Calendar,Y3073,NDays&amp;"D")</f>
        <v>60506</v>
      </c>
      <c r="AA3073" s="173">
        <v>1.9302744980354478E-2</v>
      </c>
      <c r="AB3073" s="182">
        <v>1.918487222996923E-2</v>
      </c>
    </row>
    <row r="3074" spans="24:28" x14ac:dyDescent="0.2">
      <c r="X3074" s="186" t="str">
        <f t="shared" si="81"/>
        <v>1w</v>
      </c>
      <c r="Y3074" s="174">
        <f>_xll.qlCalendarAdvance(Calendar,Y3073,X3074,"f",FALSE)</f>
        <v>60511</v>
      </c>
      <c r="Z3074" s="198">
        <f>_xll.qlCalendarAdvance(Calendar,Y3074,NDays&amp;"D")</f>
        <v>60513</v>
      </c>
      <c r="AA3074" s="173">
        <v>1.9303357982801788E-2</v>
      </c>
      <c r="AB3074" s="182">
        <v>1.9186677704938759E-2</v>
      </c>
    </row>
    <row r="3075" spans="24:28" x14ac:dyDescent="0.2">
      <c r="X3075" s="186" t="str">
        <f t="shared" si="81"/>
        <v>1w</v>
      </c>
      <c r="Y3075" s="174">
        <f>_xll.qlCalendarAdvance(Calendar,Y3074,X3075,"f",FALSE)</f>
        <v>60518</v>
      </c>
      <c r="Z3075" s="198">
        <f>_xll.qlCalendarAdvance(Calendar,Y3075,NDays&amp;"D")</f>
        <v>60520</v>
      </c>
      <c r="AA3075" s="173">
        <v>1.9305289621835264E-2</v>
      </c>
      <c r="AB3075" s="182">
        <v>1.9188490952091186E-2</v>
      </c>
    </row>
    <row r="3076" spans="24:28" x14ac:dyDescent="0.2">
      <c r="X3076" s="186" t="str">
        <f t="shared" si="81"/>
        <v>1w</v>
      </c>
      <c r="Y3076" s="174">
        <f>_xll.qlCalendarAdvance(Calendar,Y3075,X3076,"f",FALSE)</f>
        <v>60525</v>
      </c>
      <c r="Z3076" s="198">
        <f>_xll.qlCalendarAdvance(Calendar,Y3076,NDays&amp;"D")</f>
        <v>60527</v>
      </c>
      <c r="AA3076" s="173">
        <v>1.9307229109779212E-2</v>
      </c>
      <c r="AB3076" s="182">
        <v>1.9190311971266638E-2</v>
      </c>
    </row>
    <row r="3077" spans="24:28" x14ac:dyDescent="0.2">
      <c r="X3077" s="186" t="str">
        <f t="shared" si="81"/>
        <v>1w</v>
      </c>
      <c r="Y3077" s="174">
        <f>_xll.qlCalendarAdvance(Calendar,Y3076,X3077,"f",FALSE)</f>
        <v>60532</v>
      </c>
      <c r="Z3077" s="198">
        <f>_xll.qlCalendarAdvance(Calendar,Y3077,NDays&amp;"D")</f>
        <v>60534</v>
      </c>
      <c r="AA3077" s="173">
        <v>1.9309176446655717E-2</v>
      </c>
      <c r="AB3077" s="182">
        <v>1.9192140762305243E-2</v>
      </c>
    </row>
    <row r="3078" spans="24:28" x14ac:dyDescent="0.2">
      <c r="X3078" s="186" t="str">
        <f t="shared" si="81"/>
        <v>1w</v>
      </c>
      <c r="Y3078" s="174">
        <f>_xll.qlCalendarAdvance(Calendar,Y3077,X3078,"f",FALSE)</f>
        <v>60539</v>
      </c>
      <c r="Z3078" s="198">
        <f>_xll.qlCalendarAdvance(Calendar,Y3078,NDays&amp;"D")</f>
        <v>60541</v>
      </c>
      <c r="AA3078" s="173">
        <v>1.9311790303928284E-2</v>
      </c>
      <c r="AB3078" s="182">
        <v>1.9193977325526745E-2</v>
      </c>
    </row>
    <row r="3079" spans="24:28" x14ac:dyDescent="0.2">
      <c r="X3079" s="186" t="str">
        <f t="shared" si="81"/>
        <v>1w</v>
      </c>
      <c r="Y3079" s="174">
        <f>_xll.qlCalendarAdvance(Calendar,Y3078,X3079,"f",FALSE)</f>
        <v>60546</v>
      </c>
      <c r="Z3079" s="198">
        <f>_xll.qlCalendarAdvance(Calendar,Y3079,NDays&amp;"D")</f>
        <v>60548</v>
      </c>
      <c r="AA3079" s="173">
        <v>1.9313754004216813E-2</v>
      </c>
      <c r="AB3079" s="182">
        <v>1.9195821660851209E-2</v>
      </c>
    </row>
    <row r="3080" spans="24:28" x14ac:dyDescent="0.2">
      <c r="X3080" s="186" t="str">
        <f t="shared" si="81"/>
        <v>1w</v>
      </c>
      <c r="Y3080" s="174">
        <f>_xll.qlCalendarAdvance(Calendar,Y3079,X3080,"f",FALSE)</f>
        <v>60553</v>
      </c>
      <c r="Z3080" s="198">
        <f>_xll.qlCalendarAdvance(Calendar,Y3080,NDays&amp;"D")</f>
        <v>60555</v>
      </c>
      <c r="AA3080" s="173">
        <v>1.9315725553938973E-2</v>
      </c>
      <c r="AB3080" s="182">
        <v>1.9197673768118761E-2</v>
      </c>
    </row>
    <row r="3081" spans="24:28" x14ac:dyDescent="0.2">
      <c r="X3081" s="186" t="str">
        <f t="shared" si="81"/>
        <v>1w</v>
      </c>
      <c r="Y3081" s="174">
        <f>_xll.qlCalendarAdvance(Calendar,Y3080,X3081,"f",FALSE)</f>
        <v>60560</v>
      </c>
      <c r="Z3081" s="198">
        <f>_xll.qlCalendarAdvance(Calendar,Y3081,NDays&amp;"D")</f>
        <v>60562</v>
      </c>
      <c r="AA3081" s="173">
        <v>1.9317704953117167E-2</v>
      </c>
      <c r="AB3081" s="182">
        <v>1.9199533647329403E-2</v>
      </c>
    </row>
    <row r="3082" spans="24:28" x14ac:dyDescent="0.2">
      <c r="X3082" s="186" t="str">
        <f t="shared" si="81"/>
        <v>1w</v>
      </c>
      <c r="Y3082" s="174">
        <f>_xll.qlCalendarAdvance(Calendar,Y3081,X3082,"f",FALSE)</f>
        <v>60567</v>
      </c>
      <c r="Z3082" s="198">
        <f>_xll.qlCalendarAdvance(Calendar,Y3082,NDays&amp;"D")</f>
        <v>60569</v>
      </c>
      <c r="AA3082" s="173">
        <v>1.9319692201775544E-2</v>
      </c>
      <c r="AB3082" s="182">
        <v>1.9201401298722942E-2</v>
      </c>
    </row>
    <row r="3083" spans="24:28" x14ac:dyDescent="0.2">
      <c r="X3083" s="186" t="str">
        <f t="shared" si="81"/>
        <v>1w</v>
      </c>
      <c r="Y3083" s="174">
        <f>_xll.qlCalendarAdvance(Calendar,Y3082,X3083,"f",FALSE)</f>
        <v>60574</v>
      </c>
      <c r="Z3083" s="198">
        <f>_xll.qlCalendarAdvance(Calendar,Y3083,NDays&amp;"D")</f>
        <v>60576</v>
      </c>
      <c r="AA3083" s="173">
        <v>1.9321025296799858E-2</v>
      </c>
      <c r="AB3083" s="182">
        <v>1.9203276722139506E-2</v>
      </c>
    </row>
    <row r="3084" spans="24:28" x14ac:dyDescent="0.2">
      <c r="X3084" s="186" t="str">
        <f t="shared" si="81"/>
        <v>1w</v>
      </c>
      <c r="Y3084" s="174">
        <f>_xll.qlCalendarAdvance(Calendar,Y3083,X3084,"f",FALSE)</f>
        <v>60581</v>
      </c>
      <c r="Z3084" s="198">
        <f>_xll.qlCalendarAdvance(Calendar,Y3084,NDays&amp;"D")</f>
        <v>60583</v>
      </c>
      <c r="AA3084" s="173">
        <v>1.9323027576852995E-2</v>
      </c>
      <c r="AB3084" s="182">
        <v>1.9205159917499159E-2</v>
      </c>
    </row>
    <row r="3085" spans="24:28" x14ac:dyDescent="0.2">
      <c r="X3085" s="186" t="str">
        <f t="shared" si="81"/>
        <v>1w</v>
      </c>
      <c r="Y3085" s="174">
        <f>_xll.qlCalendarAdvance(Calendar,Y3084,X3085,"f",FALSE)</f>
        <v>60588</v>
      </c>
      <c r="Z3085" s="198">
        <f>_xll.qlCalendarAdvance(Calendar,Y3085,NDays&amp;"D")</f>
        <v>60590</v>
      </c>
      <c r="AA3085" s="173">
        <v>1.932503770602462E-2</v>
      </c>
      <c r="AB3085" s="182">
        <v>1.9207050884961774E-2</v>
      </c>
    </row>
    <row r="3086" spans="24:28" x14ac:dyDescent="0.2">
      <c r="X3086" s="186" t="str">
        <f t="shared" si="81"/>
        <v>1w</v>
      </c>
      <c r="Y3086" s="174">
        <f>_xll.qlCalendarAdvance(Calendar,Y3085,X3086,"f",FALSE)</f>
        <v>60595</v>
      </c>
      <c r="Z3086" s="198">
        <f>_xll.qlCalendarAdvance(Calendar,Y3086,NDays&amp;"D")</f>
        <v>60597</v>
      </c>
      <c r="AA3086" s="173">
        <v>1.9327055684339015E-2</v>
      </c>
      <c r="AB3086" s="182">
        <v>1.9208949624527349E-2</v>
      </c>
    </row>
    <row r="3087" spans="24:28" x14ac:dyDescent="0.2">
      <c r="X3087" s="186" t="str">
        <f t="shared" si="81"/>
        <v>1w</v>
      </c>
      <c r="Y3087" s="174">
        <f>_xll.qlCalendarAdvance(Calendar,Y3086,X3087,"f",FALSE)</f>
        <v>60602</v>
      </c>
      <c r="Z3087" s="198">
        <f>_xll.qlCalendarAdvance(Calendar,Y3087,NDays&amp;"D")</f>
        <v>60604</v>
      </c>
      <c r="AA3087" s="173">
        <v>1.9329746188088918E-2</v>
      </c>
      <c r="AB3087" s="182">
        <v>1.9210856135956078E-2</v>
      </c>
    </row>
    <row r="3088" spans="24:28" x14ac:dyDescent="0.2">
      <c r="X3088" s="186" t="str">
        <f t="shared" si="81"/>
        <v>1w</v>
      </c>
      <c r="Y3088" s="174">
        <f>_xll.qlCalendarAdvance(Calendar,Y3087,X3088,"f",FALSE)</f>
        <v>60609</v>
      </c>
      <c r="Z3088" s="198">
        <f>_xll.qlCalendarAdvance(Calendar,Y3088,NDays&amp;"D")</f>
        <v>60611</v>
      </c>
      <c r="AA3088" s="173">
        <v>1.9331780534121649E-2</v>
      </c>
      <c r="AB3088" s="182">
        <v>1.9212770419487768E-2</v>
      </c>
    </row>
    <row r="3089" spans="24:28" x14ac:dyDescent="0.2">
      <c r="X3089" s="186" t="str">
        <f t="shared" si="81"/>
        <v>1w</v>
      </c>
      <c r="Y3089" s="174">
        <f>_xll.qlCalendarAdvance(Calendar,Y3088,X3089,"f",FALSE)</f>
        <v>60616</v>
      </c>
      <c r="Z3089" s="198">
        <f>_xll.qlCalendarAdvance(Calendar,Y3089,NDays&amp;"D")</f>
        <v>60618</v>
      </c>
      <c r="AA3089" s="173">
        <v>1.9333822729800585E-2</v>
      </c>
      <c r="AB3089" s="182">
        <v>1.9214692475042483E-2</v>
      </c>
    </row>
    <row r="3090" spans="24:28" x14ac:dyDescent="0.2">
      <c r="X3090" s="186" t="str">
        <f t="shared" si="81"/>
        <v>1w</v>
      </c>
      <c r="Y3090" s="174">
        <f>_xll.qlCalendarAdvance(Calendar,Y3089,X3090,"f",FALSE)</f>
        <v>60623</v>
      </c>
      <c r="Z3090" s="198">
        <f>_xll.qlCalendarAdvance(Calendar,Y3090,NDays&amp;"D")</f>
        <v>60625</v>
      </c>
      <c r="AA3090" s="173">
        <v>1.9335872775149449E-2</v>
      </c>
      <c r="AB3090" s="182">
        <v>1.9218575729440524E-2</v>
      </c>
    </row>
    <row r="3091" spans="24:28" x14ac:dyDescent="0.2">
      <c r="X3091" s="186" t="str">
        <f t="shared" si="81"/>
        <v>1w</v>
      </c>
      <c r="Y3091" s="174">
        <f>_xll.qlCalendarAdvance(Calendar,Y3090,X3091,"f",FALSE)</f>
        <v>60630</v>
      </c>
      <c r="Z3091" s="198">
        <f>_xll.qlCalendarAdvance(Calendar,Y3091,NDays&amp;"D")</f>
        <v>60632</v>
      </c>
      <c r="AA3091" s="173">
        <v>1.9337263313869597E-2</v>
      </c>
      <c r="AB3091" s="182">
        <v>1.9220515305140573E-2</v>
      </c>
    </row>
    <row r="3092" spans="24:28" x14ac:dyDescent="0.2">
      <c r="X3092" s="186" t="str">
        <f t="shared" si="81"/>
        <v>1w</v>
      </c>
      <c r="Y3092" s="174">
        <f>_xll.qlCalendarAdvance(Calendar,Y3091,X3092,"f",FALSE)</f>
        <v>60637</v>
      </c>
      <c r="Z3092" s="198">
        <f>_xll.qlCalendarAdvance(Calendar,Y3092,NDays&amp;"D")</f>
        <v>60639</v>
      </c>
      <c r="AA3092" s="173">
        <v>1.933932838753526E-2</v>
      </c>
      <c r="AB3092" s="182">
        <v>1.9220505274164523E-2</v>
      </c>
    </row>
    <row r="3093" spans="24:28" x14ac:dyDescent="0.2">
      <c r="X3093" s="186" t="str">
        <f t="shared" ref="X3093:X3156" si="82">X3092</f>
        <v>1w</v>
      </c>
      <c r="Y3093" s="174">
        <f>_xll.qlCalendarAdvance(Calendar,Y3092,X3093,"f",FALSE)</f>
        <v>60644</v>
      </c>
      <c r="Z3093" s="198">
        <f>_xll.qlCalendarAdvance(Calendar,Y3093,NDays&amp;"D")</f>
        <v>60646</v>
      </c>
      <c r="AA3093" s="173">
        <v>1.9341401310510629E-2</v>
      </c>
      <c r="AB3093" s="182">
        <v>1.9222458417891275E-2</v>
      </c>
    </row>
    <row r="3094" spans="24:28" x14ac:dyDescent="0.2">
      <c r="X3094" s="186" t="str">
        <f t="shared" si="82"/>
        <v>1w</v>
      </c>
      <c r="Y3094" s="174">
        <f>_xll.qlCalendarAdvance(Calendar,Y3093,X3094,"f",FALSE)</f>
        <v>60651</v>
      </c>
      <c r="Z3094" s="198">
        <f>_xll.qlCalendarAdvance(Calendar,Y3094,NDays&amp;"D")</f>
        <v>60653</v>
      </c>
      <c r="AA3094" s="173">
        <v>1.9343482082819559E-2</v>
      </c>
      <c r="AB3094" s="182">
        <v>1.9224419333641052E-2</v>
      </c>
    </row>
    <row r="3095" spans="24:28" x14ac:dyDescent="0.2">
      <c r="X3095" s="186" t="str">
        <f t="shared" si="82"/>
        <v>1w</v>
      </c>
      <c r="Y3095" s="174">
        <f>_xll.qlCalendarAdvance(Calendar,Y3094,X3095,"f",FALSE)</f>
        <v>60658</v>
      </c>
      <c r="Z3095" s="198">
        <f>_xll.qlCalendarAdvance(Calendar,Y3095,NDays&amp;"D")</f>
        <v>60660</v>
      </c>
      <c r="AA3095" s="173">
        <v>1.9345570704486781E-2</v>
      </c>
      <c r="AB3095" s="182">
        <v>1.922638802149379E-2</v>
      </c>
    </row>
    <row r="3096" spans="24:28" x14ac:dyDescent="0.2">
      <c r="X3096" s="186" t="str">
        <f t="shared" si="82"/>
        <v>1w</v>
      </c>
      <c r="Y3096" s="174">
        <f>_xll.qlCalendarAdvance(Calendar,Y3095,X3096,"f",FALSE)</f>
        <v>60665</v>
      </c>
      <c r="Z3096" s="198">
        <f>_xll.qlCalendarAdvance(Calendar,Y3096,NDays&amp;"D")</f>
        <v>60667</v>
      </c>
      <c r="AA3096" s="173">
        <v>1.9347667175536581E-2</v>
      </c>
      <c r="AB3096" s="182">
        <v>1.9228364481289617E-2</v>
      </c>
    </row>
    <row r="3097" spans="24:28" x14ac:dyDescent="0.2">
      <c r="X3097" s="186" t="str">
        <f t="shared" si="82"/>
        <v>1w</v>
      </c>
      <c r="Y3097" s="174">
        <f>_xll.qlCalendarAdvance(Calendar,Y3096,X3097,"f",FALSE)</f>
        <v>60672</v>
      </c>
      <c r="Z3097" s="198">
        <f>_xll.qlCalendarAdvance(Calendar,Y3097,NDays&amp;"D")</f>
        <v>60674</v>
      </c>
      <c r="AA3097" s="173">
        <v>1.9349771495994133E-2</v>
      </c>
      <c r="AB3097" s="182">
        <v>1.9230348713268341E-2</v>
      </c>
    </row>
    <row r="3098" spans="24:28" x14ac:dyDescent="0.2">
      <c r="X3098" s="186" t="str">
        <f t="shared" si="82"/>
        <v>1w</v>
      </c>
      <c r="Y3098" s="174">
        <f>_xll.qlCalendarAdvance(Calendar,Y3097,X3098,"f",FALSE)</f>
        <v>60679</v>
      </c>
      <c r="Z3098" s="198">
        <f>_xll.qlCalendarAdvance(Calendar,Y3098,NDays&amp;"D")</f>
        <v>60681</v>
      </c>
      <c r="AA3098" s="173">
        <v>1.9351883665882849E-2</v>
      </c>
      <c r="AB3098" s="182">
        <v>1.9232340717190155E-2</v>
      </c>
    </row>
    <row r="3099" spans="24:28" x14ac:dyDescent="0.2">
      <c r="X3099" s="186" t="str">
        <f t="shared" si="82"/>
        <v>1w</v>
      </c>
      <c r="Y3099" s="174">
        <f>_xll.qlCalendarAdvance(Calendar,Y3098,X3099,"f",FALSE)</f>
        <v>60686</v>
      </c>
      <c r="Z3099" s="198">
        <f>_xll.qlCalendarAdvance(Calendar,Y3099,NDays&amp;"D")</f>
        <v>60688</v>
      </c>
      <c r="AA3099" s="173">
        <v>1.9354003685228778E-2</v>
      </c>
      <c r="AB3099" s="182">
        <v>1.9234340493055058E-2</v>
      </c>
    </row>
    <row r="3100" spans="24:28" x14ac:dyDescent="0.2">
      <c r="X3100" s="186" t="str">
        <f t="shared" si="82"/>
        <v>1w</v>
      </c>
      <c r="Y3100" s="174">
        <f>_xll.qlCalendarAdvance(Calendar,Y3099,X3100,"f",FALSE)</f>
        <v>60693</v>
      </c>
      <c r="Z3100" s="198">
        <f>_xll.qlCalendarAdvance(Calendar,Y3100,NDays&amp;"D")</f>
        <v>60695</v>
      </c>
      <c r="AA3100" s="173">
        <v>1.9359499497849614E-2</v>
      </c>
      <c r="AB3100" s="182">
        <v>1.9236348041182794E-2</v>
      </c>
    </row>
    <row r="3101" spans="24:28" x14ac:dyDescent="0.2">
      <c r="X3101" s="186" t="str">
        <f t="shared" si="82"/>
        <v>1w</v>
      </c>
      <c r="Y3101" s="174">
        <f>_xll.qlCalendarAdvance(Calendar,Y3100,X3101,"f",FALSE)</f>
        <v>60700</v>
      </c>
      <c r="Z3101" s="198">
        <f>_xll.qlCalendarAdvance(Calendar,Y3101,NDays&amp;"D")</f>
        <v>60702</v>
      </c>
      <c r="AA3101" s="173">
        <v>1.9361638591858635E-2</v>
      </c>
      <c r="AB3101" s="182">
        <v>1.9238363361173683E-2</v>
      </c>
    </row>
    <row r="3102" spans="24:28" x14ac:dyDescent="0.2">
      <c r="X3102" s="186" t="str">
        <f t="shared" si="82"/>
        <v>1w</v>
      </c>
      <c r="Y3102" s="174">
        <f>_xll.qlCalendarAdvance(Calendar,Y3101,X3102,"f",FALSE)</f>
        <v>60707</v>
      </c>
      <c r="Z3102" s="198">
        <f>_xll.qlCalendarAdvance(Calendar,Y3102,NDays&amp;"D")</f>
        <v>60709</v>
      </c>
      <c r="AA3102" s="173">
        <v>1.9363785537572318E-2</v>
      </c>
      <c r="AB3102" s="182">
        <v>1.9240386453267533E-2</v>
      </c>
    </row>
    <row r="3103" spans="24:28" x14ac:dyDescent="0.2">
      <c r="X3103" s="186" t="str">
        <f t="shared" si="82"/>
        <v>1w</v>
      </c>
      <c r="Y3103" s="174">
        <f>_xll.qlCalendarAdvance(Calendar,Y3102,X3103,"f",FALSE)</f>
        <v>60714</v>
      </c>
      <c r="Z3103" s="198">
        <f>_xll.qlCalendarAdvance(Calendar,Y3103,NDays&amp;"D")</f>
        <v>60716</v>
      </c>
      <c r="AA3103" s="173">
        <v>1.9365940335015163E-2</v>
      </c>
      <c r="AB3103" s="182">
        <v>1.9242417317384408E-2</v>
      </c>
    </row>
    <row r="3104" spans="24:28" x14ac:dyDescent="0.2">
      <c r="X3104" s="186" t="str">
        <f t="shared" si="82"/>
        <v>1w</v>
      </c>
      <c r="Y3104" s="174">
        <f>_xll.qlCalendarAdvance(Calendar,Y3103,X3104,"f",FALSE)</f>
        <v>60721</v>
      </c>
      <c r="Z3104" s="198">
        <f>_xll.qlCalendarAdvance(Calendar,Y3104,NDays&amp;"D")</f>
        <v>60723</v>
      </c>
      <c r="AA3104" s="173">
        <v>1.9366073842205216E-2</v>
      </c>
      <c r="AB3104" s="182">
        <v>1.9244455953524309E-2</v>
      </c>
    </row>
    <row r="3105" spans="24:28" x14ac:dyDescent="0.2">
      <c r="X3105" s="186" t="str">
        <f t="shared" si="82"/>
        <v>1w</v>
      </c>
      <c r="Y3105" s="174">
        <f>_xll.qlCalendarAdvance(Calendar,Y3104,X3105,"f",FALSE)</f>
        <v>60728</v>
      </c>
      <c r="Z3105" s="198">
        <f>_xll.qlCalendarAdvance(Calendar,Y3105,NDays&amp;"D")</f>
        <v>60730</v>
      </c>
      <c r="AA3105" s="173">
        <v>1.9368242312359694E-2</v>
      </c>
      <c r="AB3105" s="182">
        <v>1.9249146803840489E-2</v>
      </c>
    </row>
    <row r="3106" spans="24:28" x14ac:dyDescent="0.2">
      <c r="X3106" s="186" t="str">
        <f t="shared" si="82"/>
        <v>1w</v>
      </c>
      <c r="Y3106" s="174">
        <f>_xll.qlCalendarAdvance(Calendar,Y3105,X3106,"f",FALSE)</f>
        <v>60735</v>
      </c>
      <c r="Z3106" s="198">
        <f>_xll.qlCalendarAdvance(Calendar,Y3106,NDays&amp;"D")</f>
        <v>60737</v>
      </c>
      <c r="AA3106" s="173">
        <v>1.9370418633016497E-2</v>
      </c>
      <c r="AB3106" s="182">
        <v>1.9248556541953121E-2</v>
      </c>
    </row>
    <row r="3107" spans="24:28" x14ac:dyDescent="0.2">
      <c r="X3107" s="186" t="str">
        <f t="shared" si="82"/>
        <v>1w</v>
      </c>
      <c r="Y3107" s="174">
        <f>_xll.qlCalendarAdvance(Calendar,Y3106,X3107,"f",FALSE)</f>
        <v>60742</v>
      </c>
      <c r="Z3107" s="198">
        <f>_xll.qlCalendarAdvance(Calendar,Y3107,NDays&amp;"D")</f>
        <v>60744</v>
      </c>
      <c r="AA3107" s="173">
        <v>1.9372602804202707E-2</v>
      </c>
      <c r="AB3107" s="182">
        <v>1.9250618494242033E-2</v>
      </c>
    </row>
    <row r="3108" spans="24:28" x14ac:dyDescent="0.2">
      <c r="X3108" s="186" t="str">
        <f t="shared" si="82"/>
        <v>1w</v>
      </c>
      <c r="Y3108" s="174">
        <f>_xll.qlCalendarAdvance(Calendar,Y3107,X3108,"f",FALSE)</f>
        <v>60749</v>
      </c>
      <c r="Z3108" s="198">
        <f>_xll.qlCalendarAdvance(Calendar,Y3108,NDays&amp;"D")</f>
        <v>60751</v>
      </c>
      <c r="AA3108" s="173">
        <v>1.9374794825942787E-2</v>
      </c>
      <c r="AB3108" s="182">
        <v>1.9252688218633907E-2</v>
      </c>
    </row>
    <row r="3109" spans="24:28" x14ac:dyDescent="0.2">
      <c r="X3109" s="186" t="str">
        <f t="shared" si="82"/>
        <v>1w</v>
      </c>
      <c r="Y3109" s="174">
        <f>_xll.qlCalendarAdvance(Calendar,Y3108,X3109,"f",FALSE)</f>
        <v>60756</v>
      </c>
      <c r="Z3109" s="198">
        <f>_xll.qlCalendarAdvance(Calendar,Y3109,NDays&amp;"D")</f>
        <v>60758</v>
      </c>
      <c r="AA3109" s="173">
        <v>1.9379034007471974E-2</v>
      </c>
      <c r="AB3109" s="182">
        <v>1.9254765714968869E-2</v>
      </c>
    </row>
    <row r="3110" spans="24:28" x14ac:dyDescent="0.2">
      <c r="X3110" s="186" t="str">
        <f t="shared" si="82"/>
        <v>1w</v>
      </c>
      <c r="Y3110" s="174">
        <f>_xll.qlCalendarAdvance(Calendar,Y3109,X3110,"f",FALSE)</f>
        <v>60763</v>
      </c>
      <c r="Z3110" s="198">
        <f>_xll.qlCalendarAdvance(Calendar,Y3110,NDays&amp;"D")</f>
        <v>60765</v>
      </c>
      <c r="AA3110" s="173">
        <v>1.9381243767758558E-2</v>
      </c>
      <c r="AB3110" s="182">
        <v>1.9256850983326856E-2</v>
      </c>
    </row>
    <row r="3111" spans="24:28" x14ac:dyDescent="0.2">
      <c r="X3111" s="186" t="str">
        <f t="shared" si="82"/>
        <v>1w</v>
      </c>
      <c r="Y3111" s="174">
        <f>_xll.qlCalendarAdvance(Calendar,Y3110,X3111,"f",FALSE)</f>
        <v>60770</v>
      </c>
      <c r="Z3111" s="198">
        <f>_xll.qlCalendarAdvance(Calendar,Y3111,NDays&amp;"D")</f>
        <v>60772</v>
      </c>
      <c r="AA3111" s="173">
        <v>1.9383461379986602E-2</v>
      </c>
      <c r="AB3111" s="182">
        <v>1.9258944023787805E-2</v>
      </c>
    </row>
    <row r="3112" spans="24:28" x14ac:dyDescent="0.2">
      <c r="X3112" s="186" t="str">
        <f t="shared" si="82"/>
        <v>1w</v>
      </c>
      <c r="Y3112" s="174">
        <f>_xll.qlCalendarAdvance(Calendar,Y3111,X3112,"f",FALSE)</f>
        <v>60777</v>
      </c>
      <c r="Z3112" s="198">
        <f>_xll.qlCalendarAdvance(Calendar,Y3112,NDays&amp;"D")</f>
        <v>60779</v>
      </c>
      <c r="AA3112" s="173">
        <v>1.9385686844181033E-2</v>
      </c>
      <c r="AB3112" s="182">
        <v>1.9261044836191843E-2</v>
      </c>
    </row>
    <row r="3113" spans="24:28" x14ac:dyDescent="0.2">
      <c r="X3113" s="186" t="str">
        <f t="shared" si="82"/>
        <v>1w</v>
      </c>
      <c r="Y3113" s="174">
        <f>_xll.qlCalendarAdvance(Calendar,Y3112,X3113,"f",FALSE)</f>
        <v>60784</v>
      </c>
      <c r="Z3113" s="198">
        <f>_xll.qlCalendarAdvance(Calendar,Y3113,NDays&amp;"D")</f>
        <v>60786</v>
      </c>
      <c r="AA3113" s="173">
        <v>1.9385872693873301E-2</v>
      </c>
      <c r="AB3113" s="182">
        <v>1.9263153420698842E-2</v>
      </c>
    </row>
    <row r="3114" spans="24:28" x14ac:dyDescent="0.2">
      <c r="X3114" s="186" t="str">
        <f t="shared" si="82"/>
        <v>1w</v>
      </c>
      <c r="Y3114" s="174">
        <f>_xll.qlCalendarAdvance(Calendar,Y3113,X3114,"f",FALSE)</f>
        <v>60791</v>
      </c>
      <c r="Z3114" s="198">
        <f>_xll.qlCalendarAdvance(Calendar,Y3114,NDays&amp;"D")</f>
        <v>60793</v>
      </c>
      <c r="AA3114" s="173">
        <v>1.9388111819489153E-2</v>
      </c>
      <c r="AB3114" s="182">
        <v>1.9265269777228866E-2</v>
      </c>
    </row>
    <row r="3115" spans="24:28" x14ac:dyDescent="0.2">
      <c r="X3115" s="186" t="str">
        <f t="shared" si="82"/>
        <v>1w</v>
      </c>
      <c r="Y3115" s="174">
        <f>_xll.qlCalendarAdvance(Calendar,Y3114,X3115,"f",FALSE)</f>
        <v>60798</v>
      </c>
      <c r="Z3115" s="198">
        <f>_xll.qlCalendarAdvance(Calendar,Y3115,NDays&amp;"D")</f>
        <v>60800</v>
      </c>
      <c r="AA3115" s="173">
        <v>1.9390358795843204E-2</v>
      </c>
      <c r="AB3115" s="182">
        <v>1.9267393905861852E-2</v>
      </c>
    </row>
    <row r="3116" spans="24:28" x14ac:dyDescent="0.2">
      <c r="X3116" s="186" t="str">
        <f t="shared" si="82"/>
        <v>1w</v>
      </c>
      <c r="Y3116" s="174">
        <f>_xll.qlCalendarAdvance(Calendar,Y3115,X3116,"f",FALSE)</f>
        <v>60805</v>
      </c>
      <c r="Z3116" s="198">
        <f>_xll.qlCalendarAdvance(Calendar,Y3116,NDays&amp;"D")</f>
        <v>60807</v>
      </c>
      <c r="AA3116" s="173">
        <v>1.9392613622962105E-2</v>
      </c>
      <c r="AB3116" s="182">
        <v>1.9269525806437926E-2</v>
      </c>
    </row>
    <row r="3117" spans="24:28" x14ac:dyDescent="0.2">
      <c r="X3117" s="186" t="str">
        <f t="shared" si="82"/>
        <v>1w</v>
      </c>
      <c r="Y3117" s="174">
        <f>_xll.qlCalendarAdvance(Calendar,Y3116,X3117,"f",FALSE)</f>
        <v>60812</v>
      </c>
      <c r="Z3117" s="198">
        <f>_xll.qlCalendarAdvance(Calendar,Y3117,NDays&amp;"D")</f>
        <v>60814</v>
      </c>
      <c r="AA3117" s="173">
        <v>1.9396931945604826E-2</v>
      </c>
      <c r="AB3117" s="182">
        <v>1.9271665479116962E-2</v>
      </c>
    </row>
    <row r="3118" spans="24:28" x14ac:dyDescent="0.2">
      <c r="X3118" s="186" t="str">
        <f t="shared" si="82"/>
        <v>1w</v>
      </c>
      <c r="Y3118" s="174">
        <f>_xll.qlCalendarAdvance(Calendar,Y3117,X3118,"f",FALSE)</f>
        <v>60819</v>
      </c>
      <c r="Z3118" s="198">
        <f>_xll.qlCalendarAdvance(Calendar,Y3118,NDays&amp;"D")</f>
        <v>60821</v>
      </c>
      <c r="AA3118" s="173">
        <v>1.9399204522169179E-2</v>
      </c>
      <c r="AB3118" s="182">
        <v>1.9273812923819023E-2</v>
      </c>
    </row>
    <row r="3119" spans="24:28" x14ac:dyDescent="0.2">
      <c r="X3119" s="186" t="str">
        <f t="shared" si="82"/>
        <v>1w</v>
      </c>
      <c r="Y3119" s="174">
        <f>_xll.qlCalendarAdvance(Calendar,Y3118,X3119,"f",FALSE)</f>
        <v>60826</v>
      </c>
      <c r="Z3119" s="198">
        <f>_xll.qlCalendarAdvance(Calendar,Y3119,NDays&amp;"D")</f>
        <v>60828</v>
      </c>
      <c r="AA3119" s="173">
        <v>1.9401484950890304E-2</v>
      </c>
      <c r="AB3119" s="182">
        <v>1.9275968140624045E-2</v>
      </c>
    </row>
    <row r="3120" spans="24:28" x14ac:dyDescent="0.2">
      <c r="X3120" s="186" t="str">
        <f t="shared" si="82"/>
        <v>1w</v>
      </c>
      <c r="Y3120" s="174">
        <f>_xll.qlCalendarAdvance(Calendar,Y3119,X3120,"f",FALSE)</f>
        <v>60833</v>
      </c>
      <c r="Z3120" s="198">
        <f>_xll.qlCalendarAdvance(Calendar,Y3120,NDays&amp;"D")</f>
        <v>60835</v>
      </c>
      <c r="AA3120" s="173">
        <v>1.940377323179571E-2</v>
      </c>
      <c r="AB3120" s="182">
        <v>1.9278131129372156E-2</v>
      </c>
    </row>
    <row r="3121" spans="24:28" x14ac:dyDescent="0.2">
      <c r="X3121" s="186" t="str">
        <f t="shared" si="82"/>
        <v>1w</v>
      </c>
      <c r="Y3121" s="174">
        <f>_xll.qlCalendarAdvance(Calendar,Y3120,X3121,"f",FALSE)</f>
        <v>60840</v>
      </c>
      <c r="Z3121" s="198">
        <f>_xll.qlCalendarAdvance(Calendar,Y3121,NDays&amp;"D")</f>
        <v>60842</v>
      </c>
      <c r="AA3121" s="173">
        <v>1.940606936491333E-2</v>
      </c>
      <c r="AB3121" s="182">
        <v>1.9280301890223228E-2</v>
      </c>
    </row>
    <row r="3122" spans="24:28" x14ac:dyDescent="0.2">
      <c r="X3122" s="186" t="str">
        <f t="shared" si="82"/>
        <v>1w</v>
      </c>
      <c r="Y3122" s="174">
        <f>_xll.qlCalendarAdvance(Calendar,Y3121,X3122,"f",FALSE)</f>
        <v>60847</v>
      </c>
      <c r="Z3122" s="198">
        <f>_xll.qlCalendarAdvance(Calendar,Y3122,NDays&amp;"D")</f>
        <v>60849</v>
      </c>
      <c r="AA3122" s="173">
        <v>1.9408373350270666E-2</v>
      </c>
      <c r="AB3122" s="182">
        <v>1.9282480423097326E-2</v>
      </c>
    </row>
    <row r="3123" spans="24:28" x14ac:dyDescent="0.2">
      <c r="X3123" s="186" t="str">
        <f t="shared" si="82"/>
        <v>1w</v>
      </c>
      <c r="Y3123" s="174">
        <f>_xll.qlCalendarAdvance(Calendar,Y3122,X3123,"f",FALSE)</f>
        <v>60854</v>
      </c>
      <c r="Z3123" s="198">
        <f>_xll.qlCalendarAdvance(Calendar,Y3123,NDays&amp;"D")</f>
        <v>60856</v>
      </c>
      <c r="AA3123" s="173">
        <v>1.9410685187895228E-2</v>
      </c>
      <c r="AB3123" s="182">
        <v>1.9284666727994448E-2</v>
      </c>
    </row>
    <row r="3124" spans="24:28" x14ac:dyDescent="0.2">
      <c r="X3124" s="186" t="str">
        <f t="shared" si="82"/>
        <v>1w</v>
      </c>
      <c r="Y3124" s="174">
        <f>_xll.qlCalendarAdvance(Calendar,Y3123,X3124,"f",FALSE)</f>
        <v>60861</v>
      </c>
      <c r="Z3124" s="198">
        <f>_xll.qlCalendarAdvance(Calendar,Y3124,NDays&amp;"D")</f>
        <v>60863</v>
      </c>
      <c r="AA3124" s="173">
        <v>1.941300487781495E-2</v>
      </c>
      <c r="AB3124" s="182">
        <v>1.9286860804994532E-2</v>
      </c>
    </row>
    <row r="3125" spans="24:28" x14ac:dyDescent="0.2">
      <c r="X3125" s="186" t="str">
        <f t="shared" si="82"/>
        <v>1w</v>
      </c>
      <c r="Y3125" s="174">
        <f>_xll.qlCalendarAdvance(Calendar,Y3124,X3125,"f",FALSE)</f>
        <v>60868</v>
      </c>
      <c r="Z3125" s="198">
        <f>_xll.qlCalendarAdvance(Calendar,Y3125,NDays&amp;"D")</f>
        <v>60870</v>
      </c>
      <c r="AA3125" s="173">
        <v>1.941533242005733E-2</v>
      </c>
      <c r="AB3125" s="182">
        <v>1.9289062653937705E-2</v>
      </c>
    </row>
    <row r="3126" spans="24:28" x14ac:dyDescent="0.2">
      <c r="X3126" s="186" t="str">
        <f t="shared" si="82"/>
        <v>1w</v>
      </c>
      <c r="Y3126" s="174">
        <f>_xll.qlCalendarAdvance(Calendar,Y3125,X3126,"f",FALSE)</f>
        <v>60875</v>
      </c>
      <c r="Z3126" s="198">
        <f>_xll.qlCalendarAdvance(Calendar,Y3126,NDays&amp;"D")</f>
        <v>60877</v>
      </c>
      <c r="AA3126" s="173">
        <v>1.9414211395189829E-2</v>
      </c>
      <c r="AB3126" s="182">
        <v>1.9291272275063776E-2</v>
      </c>
    </row>
    <row r="3127" spans="24:28" x14ac:dyDescent="0.2">
      <c r="X3127" s="186" t="str">
        <f t="shared" si="82"/>
        <v>1w</v>
      </c>
      <c r="Y3127" s="174">
        <f>_xll.qlCalendarAdvance(Calendar,Y3126,X3127,"f",FALSE)</f>
        <v>60882</v>
      </c>
      <c r="Z3127" s="198">
        <f>_xll.qlCalendarAdvance(Calendar,Y3127,NDays&amp;"D")</f>
        <v>60884</v>
      </c>
      <c r="AA3127" s="173">
        <v>1.9416551209749833E-2</v>
      </c>
      <c r="AB3127" s="182">
        <v>1.9293489668132935E-2</v>
      </c>
    </row>
    <row r="3128" spans="24:28" x14ac:dyDescent="0.2">
      <c r="X3128" s="186" t="str">
        <f t="shared" si="82"/>
        <v>1w</v>
      </c>
      <c r="Y3128" s="174">
        <f>_xll.qlCalendarAdvance(Calendar,Y3127,X3128,"f",FALSE)</f>
        <v>60889</v>
      </c>
      <c r="Z3128" s="198">
        <f>_xll.qlCalendarAdvance(Calendar,Y3128,NDays&amp;"D")</f>
        <v>60891</v>
      </c>
      <c r="AA3128" s="173">
        <v>1.941889887452402E-2</v>
      </c>
      <c r="AB3128" s="182">
        <v>1.9295714833145183E-2</v>
      </c>
    </row>
    <row r="3129" spans="24:28" x14ac:dyDescent="0.2">
      <c r="X3129" s="186" t="str">
        <f t="shared" si="82"/>
        <v>1w</v>
      </c>
      <c r="Y3129" s="174">
        <f>_xll.qlCalendarAdvance(Calendar,Y3128,X3129,"f",FALSE)</f>
        <v>60896</v>
      </c>
      <c r="Z3129" s="198">
        <f>_xll.qlCalendarAdvance(Calendar,Y3129,NDays&amp;"D")</f>
        <v>60898</v>
      </c>
      <c r="AA3129" s="173">
        <v>1.9421254389541089E-2</v>
      </c>
      <c r="AB3129" s="182">
        <v>1.9297947770420265E-2</v>
      </c>
    </row>
    <row r="3130" spans="24:28" x14ac:dyDescent="0.2">
      <c r="X3130" s="186" t="str">
        <f t="shared" si="82"/>
        <v>1w</v>
      </c>
      <c r="Y3130" s="174">
        <f>_xll.qlCalendarAdvance(Calendar,Y3129,X3130,"f",FALSE)</f>
        <v>60903</v>
      </c>
      <c r="Z3130" s="198">
        <f>_xll.qlCalendarAdvance(Calendar,Y3130,NDays&amp;"D")</f>
        <v>60905</v>
      </c>
      <c r="AA3130" s="173">
        <v>1.94243116061842E-2</v>
      </c>
      <c r="AB3130" s="182">
        <v>1.9300188479638436E-2</v>
      </c>
    </row>
    <row r="3131" spans="24:28" x14ac:dyDescent="0.2">
      <c r="X3131" s="186" t="str">
        <f t="shared" si="82"/>
        <v>1w</v>
      </c>
      <c r="Y3131" s="174">
        <f>_xll.qlCalendarAdvance(Calendar,Y3130,X3131,"f",FALSE)</f>
        <v>60910</v>
      </c>
      <c r="Z3131" s="198">
        <f>_xll.qlCalendarAdvance(Calendar,Y3131,NDays&amp;"D")</f>
        <v>60912</v>
      </c>
      <c r="AA3131" s="173">
        <v>1.9426683509866895E-2</v>
      </c>
      <c r="AB3131" s="182">
        <v>1.9302436960799696E-2</v>
      </c>
    </row>
    <row r="3132" spans="24:28" x14ac:dyDescent="0.2">
      <c r="X3132" s="186" t="str">
        <f t="shared" si="82"/>
        <v>1w</v>
      </c>
      <c r="Y3132" s="174">
        <f>_xll.qlCalendarAdvance(Calendar,Y3131,X3132,"f",FALSE)</f>
        <v>60917</v>
      </c>
      <c r="Z3132" s="198">
        <f>_xll.qlCalendarAdvance(Calendar,Y3132,NDays&amp;"D")</f>
        <v>60919</v>
      </c>
      <c r="AA3132" s="173">
        <v>1.94290632643149E-2</v>
      </c>
      <c r="AB3132" s="182">
        <v>1.9304693214143853E-2</v>
      </c>
    </row>
    <row r="3133" spans="24:28" x14ac:dyDescent="0.2">
      <c r="X3133" s="186" t="str">
        <f t="shared" si="82"/>
        <v>1w</v>
      </c>
      <c r="Y3133" s="174">
        <f>_xll.qlCalendarAdvance(Calendar,Y3132,X3133,"f",FALSE)</f>
        <v>60924</v>
      </c>
      <c r="Z3133" s="198">
        <f>_xll.qlCalendarAdvance(Calendar,Y3133,NDays&amp;"D")</f>
        <v>60926</v>
      </c>
      <c r="AA3133" s="173">
        <v>1.9431450869555011E-2</v>
      </c>
      <c r="AB3133" s="182">
        <v>1.9306957239511036E-2</v>
      </c>
    </row>
    <row r="3134" spans="24:28" x14ac:dyDescent="0.2">
      <c r="X3134" s="186" t="str">
        <f t="shared" si="82"/>
        <v>1w</v>
      </c>
      <c r="Y3134" s="174">
        <f>_xll.qlCalendarAdvance(Calendar,Y3133,X3134,"f",FALSE)</f>
        <v>60931</v>
      </c>
      <c r="Z3134" s="198">
        <f>_xll.qlCalendarAdvance(Calendar,Y3134,NDays&amp;"D")</f>
        <v>60933</v>
      </c>
      <c r="AA3134" s="173">
        <v>1.9433846325616212E-2</v>
      </c>
      <c r="AB3134" s="182">
        <v>1.9309229036741371E-2</v>
      </c>
    </row>
    <row r="3135" spans="24:28" x14ac:dyDescent="0.2">
      <c r="X3135" s="186" t="str">
        <f t="shared" si="82"/>
        <v>1w</v>
      </c>
      <c r="Y3135" s="174">
        <f>_xll.qlCalendarAdvance(Calendar,Y3134,X3135,"f",FALSE)</f>
        <v>60938</v>
      </c>
      <c r="Z3135" s="198">
        <f>_xll.qlCalendarAdvance(Calendar,Y3135,NDays&amp;"D")</f>
        <v>60940</v>
      </c>
      <c r="AA3135" s="173">
        <v>1.9435552336283239E-2</v>
      </c>
      <c r="AB3135" s="182">
        <v>1.931150860623454E-2</v>
      </c>
    </row>
    <row r="3136" spans="24:28" x14ac:dyDescent="0.2">
      <c r="X3136" s="186" t="str">
        <f t="shared" si="82"/>
        <v>1w</v>
      </c>
      <c r="Y3136" s="174">
        <f>_xll.qlCalendarAdvance(Calendar,Y3135,X3136,"f",FALSE)</f>
        <v>60945</v>
      </c>
      <c r="Z3136" s="198">
        <f>_xll.qlCalendarAdvance(Calendar,Y3136,NDays&amp;"D")</f>
        <v>60947</v>
      </c>
      <c r="AA3136" s="173">
        <v>1.9437962803775591E-2</v>
      </c>
      <c r="AB3136" s="182">
        <v>1.9313795947750734E-2</v>
      </c>
    </row>
    <row r="3137" spans="24:28" x14ac:dyDescent="0.2">
      <c r="X3137" s="186" t="str">
        <f t="shared" si="82"/>
        <v>1w</v>
      </c>
      <c r="Y3137" s="174">
        <f>_xll.qlCalendarAdvance(Calendar,Y3136,X3137,"f",FALSE)</f>
        <v>60952</v>
      </c>
      <c r="Z3137" s="198">
        <f>_xll.qlCalendarAdvance(Calendar,Y3137,NDays&amp;"D")</f>
        <v>60954</v>
      </c>
      <c r="AA3137" s="173">
        <v>1.9440381121732967E-2</v>
      </c>
      <c r="AB3137" s="182">
        <v>1.9316091061210017E-2</v>
      </c>
    </row>
    <row r="3138" spans="24:28" x14ac:dyDescent="0.2">
      <c r="X3138" s="186" t="str">
        <f t="shared" si="82"/>
        <v>1w</v>
      </c>
      <c r="Y3138" s="174">
        <f>_xll.qlCalendarAdvance(Calendar,Y3137,X3138,"f",FALSE)</f>
        <v>60959</v>
      </c>
      <c r="Z3138" s="198">
        <f>_xll.qlCalendarAdvance(Calendar,Y3138,NDays&amp;"D")</f>
        <v>60961</v>
      </c>
      <c r="AA3138" s="173">
        <v>1.9442807290184081E-2</v>
      </c>
      <c r="AB3138" s="182">
        <v>1.9318393946772261E-2</v>
      </c>
    </row>
    <row r="3139" spans="24:28" x14ac:dyDescent="0.2">
      <c r="X3139" s="186" t="str">
        <f t="shared" si="82"/>
        <v>1w</v>
      </c>
      <c r="Y3139" s="174">
        <f>_xll.qlCalendarAdvance(Calendar,Y3138,X3139,"f",FALSE)</f>
        <v>60966</v>
      </c>
      <c r="Z3139" s="198">
        <f>_xll.qlCalendarAdvance(Calendar,Y3139,NDays&amp;"D")</f>
        <v>60968</v>
      </c>
      <c r="AA3139" s="173">
        <v>1.9445941369225072E-2</v>
      </c>
      <c r="AB3139" s="182">
        <v>1.9320704604277594E-2</v>
      </c>
    </row>
    <row r="3140" spans="24:28" x14ac:dyDescent="0.2">
      <c r="X3140" s="186" t="str">
        <f t="shared" si="82"/>
        <v>1w</v>
      </c>
      <c r="Y3140" s="174">
        <f>_xll.qlCalendarAdvance(Calendar,Y3139,X3140,"f",FALSE)</f>
        <v>60973</v>
      </c>
      <c r="Z3140" s="198">
        <f>_xll.qlCalendarAdvance(Calendar,Y3140,NDays&amp;"D")</f>
        <v>60975</v>
      </c>
      <c r="AA3140" s="173">
        <v>1.9448383930807518E-2</v>
      </c>
      <c r="AB3140" s="182">
        <v>1.9323023033965825E-2</v>
      </c>
    </row>
    <row r="3141" spans="24:28" x14ac:dyDescent="0.2">
      <c r="X3141" s="186" t="str">
        <f t="shared" si="82"/>
        <v>1w</v>
      </c>
      <c r="Y3141" s="174">
        <f>_xll.qlCalendarAdvance(Calendar,Y3140,X3141,"f",FALSE)</f>
        <v>60980</v>
      </c>
      <c r="Z3141" s="198">
        <f>_xll.qlCalendarAdvance(Calendar,Y3141,NDays&amp;"D")</f>
        <v>60982</v>
      </c>
      <c r="AA3141" s="173">
        <v>1.9450834343410016E-2</v>
      </c>
      <c r="AB3141" s="182">
        <v>1.9325349235677081E-2</v>
      </c>
    </row>
    <row r="3142" spans="24:28" x14ac:dyDescent="0.2">
      <c r="X3142" s="186" t="str">
        <f t="shared" si="82"/>
        <v>1w</v>
      </c>
      <c r="Y3142" s="174">
        <f>_xll.qlCalendarAdvance(Calendar,Y3141,X3142,"f",FALSE)</f>
        <v>60987</v>
      </c>
      <c r="Z3142" s="198">
        <f>_xll.qlCalendarAdvance(Calendar,Y3142,NDays&amp;"D")</f>
        <v>60989</v>
      </c>
      <c r="AA3142" s="173">
        <v>1.9453292607061558E-2</v>
      </c>
      <c r="AB3142" s="182">
        <v>1.9327683209411362E-2</v>
      </c>
    </row>
    <row r="3143" spans="24:28" x14ac:dyDescent="0.2">
      <c r="X3143" s="186" t="str">
        <f t="shared" si="82"/>
        <v>1w</v>
      </c>
      <c r="Y3143" s="174">
        <f>_xll.qlCalendarAdvance(Calendar,Y3142,X3143,"f",FALSE)</f>
        <v>60994</v>
      </c>
      <c r="Z3143" s="198">
        <f>_xll.qlCalendarAdvance(Calendar,Y3143,NDays&amp;"D")</f>
        <v>60996</v>
      </c>
      <c r="AA3143" s="173">
        <v>1.9455758721791127E-2</v>
      </c>
      <c r="AB3143" s="182">
        <v>1.9330024955168668E-2</v>
      </c>
    </row>
    <row r="3144" spans="24:28" x14ac:dyDescent="0.2">
      <c r="X3144" s="186" t="str">
        <f t="shared" si="82"/>
        <v>1w</v>
      </c>
      <c r="Y3144" s="174">
        <f>_xll.qlCalendarAdvance(Calendar,Y3143,X3144,"f",FALSE)</f>
        <v>61001</v>
      </c>
      <c r="Z3144" s="198">
        <f>_xll.qlCalendarAdvance(Calendar,Y3144,NDays&amp;"D")</f>
        <v>61003</v>
      </c>
      <c r="AA3144" s="173">
        <v>1.9457529162869861E-2</v>
      </c>
      <c r="AB3144" s="182">
        <v>1.9332374473028935E-2</v>
      </c>
    </row>
    <row r="3145" spans="24:28" x14ac:dyDescent="0.2">
      <c r="X3145" s="186" t="str">
        <f t="shared" si="82"/>
        <v>1w</v>
      </c>
      <c r="Y3145" s="174">
        <f>_xll.qlCalendarAdvance(Calendar,Y3144,X3145,"f",FALSE)</f>
        <v>61008</v>
      </c>
      <c r="Z3145" s="198">
        <f>_xll.qlCalendarAdvance(Calendar,Y3145,NDays&amp;"D")</f>
        <v>61010</v>
      </c>
      <c r="AA3145" s="173">
        <v>1.9460010285582228E-2</v>
      </c>
      <c r="AB3145" s="182">
        <v>1.9334731762832291E-2</v>
      </c>
    </row>
    <row r="3146" spans="24:28" x14ac:dyDescent="0.2">
      <c r="X3146" s="186" t="str">
        <f t="shared" si="82"/>
        <v>1w</v>
      </c>
      <c r="Y3146" s="174">
        <f>_xll.qlCalendarAdvance(Calendar,Y3145,X3146,"f",FALSE)</f>
        <v>61015</v>
      </c>
      <c r="Z3146" s="198">
        <f>_xll.qlCalendarAdvance(Calendar,Y3146,NDays&amp;"D")</f>
        <v>61017</v>
      </c>
      <c r="AA3146" s="173">
        <v>1.9462499259019307E-2</v>
      </c>
      <c r="AB3146" s="182">
        <v>1.9337096824738609E-2</v>
      </c>
    </row>
    <row r="3147" spans="24:28" x14ac:dyDescent="0.2">
      <c r="X3147" s="186" t="str">
        <f t="shared" si="82"/>
        <v>1w</v>
      </c>
      <c r="Y3147" s="174">
        <f>_xll.qlCalendarAdvance(Calendar,Y3146,X3147,"f",FALSE)</f>
        <v>61022</v>
      </c>
      <c r="Z3147" s="198">
        <f>_xll.qlCalendarAdvance(Calendar,Y3147,NDays&amp;"D")</f>
        <v>61024</v>
      </c>
      <c r="AA3147" s="173">
        <v>1.9464996083209361E-2</v>
      </c>
      <c r="AB3147" s="182">
        <v>1.9339469658667952E-2</v>
      </c>
    </row>
    <row r="3148" spans="24:28" x14ac:dyDescent="0.2">
      <c r="X3148" s="186" t="str">
        <f t="shared" si="82"/>
        <v>1w</v>
      </c>
      <c r="Y3148" s="174">
        <f>_xll.qlCalendarAdvance(Calendar,Y3147,X3148,"f",FALSE)</f>
        <v>61029</v>
      </c>
      <c r="Z3148" s="198">
        <f>_xll.qlCalendarAdvance(Calendar,Y3148,NDays&amp;"D")</f>
        <v>61031</v>
      </c>
      <c r="AA3148" s="173">
        <v>1.9467500758182418E-2</v>
      </c>
      <c r="AB3148" s="182">
        <v>1.9341850264700255E-2</v>
      </c>
    </row>
    <row r="3149" spans="24:28" x14ac:dyDescent="0.2">
      <c r="X3149" s="186" t="str">
        <f t="shared" si="82"/>
        <v>1w</v>
      </c>
      <c r="Y3149" s="174">
        <f>_xll.qlCalendarAdvance(Calendar,Y3148,X3149,"f",FALSE)</f>
        <v>61036</v>
      </c>
      <c r="Z3149" s="198">
        <f>_xll.qlCalendarAdvance(Calendar,Y3149,NDays&amp;"D")</f>
        <v>61038</v>
      </c>
      <c r="AA3149" s="173">
        <v>1.9470013283966751E-2</v>
      </c>
      <c r="AB3149" s="182">
        <v>1.9344238642675649E-2</v>
      </c>
    </row>
    <row r="3150" spans="24:28" x14ac:dyDescent="0.2">
      <c r="X3150" s="186" t="str">
        <f t="shared" si="82"/>
        <v>1w</v>
      </c>
      <c r="Y3150" s="174">
        <f>_xll.qlCalendarAdvance(Calendar,Y3149,X3150,"f",FALSE)</f>
        <v>61043</v>
      </c>
      <c r="Z3150" s="198">
        <f>_xll.qlCalendarAdvance(Calendar,Y3150,NDays&amp;"D")</f>
        <v>61045</v>
      </c>
      <c r="AA3150" s="173">
        <v>1.9472533660593271E-2</v>
      </c>
      <c r="AB3150" s="182">
        <v>1.9346634792754003E-2</v>
      </c>
    </row>
    <row r="3151" spans="24:28" x14ac:dyDescent="0.2">
      <c r="X3151" s="186" t="str">
        <f t="shared" si="82"/>
        <v>1w</v>
      </c>
      <c r="Y3151" s="174">
        <f>_xll.qlCalendarAdvance(Calendar,Y3150,X3151,"f",FALSE)</f>
        <v>61050</v>
      </c>
      <c r="Z3151" s="198">
        <f>_xll.qlCalendarAdvance(Calendar,Y3151,NDays&amp;"D")</f>
        <v>61052</v>
      </c>
      <c r="AA3151" s="173">
        <v>1.9475061888091123E-2</v>
      </c>
      <c r="AB3151" s="182">
        <v>1.9349038714935318E-2</v>
      </c>
    </row>
    <row r="3152" spans="24:28" x14ac:dyDescent="0.2">
      <c r="X3152" s="186" t="str">
        <f t="shared" si="82"/>
        <v>1w</v>
      </c>
      <c r="Y3152" s="174">
        <f>_xll.qlCalendarAdvance(Calendar,Y3151,X3152,"f",FALSE)</f>
        <v>61057</v>
      </c>
      <c r="Z3152" s="198">
        <f>_xll.qlCalendarAdvance(Calendar,Y3152,NDays&amp;"D")</f>
        <v>61059</v>
      </c>
      <c r="AA3152" s="173">
        <v>1.9481144343466757E-2</v>
      </c>
      <c r="AB3152" s="182">
        <v>1.9351450409139659E-2</v>
      </c>
    </row>
    <row r="3153" spans="24:28" x14ac:dyDescent="0.2">
      <c r="X3153" s="186" t="str">
        <f t="shared" si="82"/>
        <v>1w</v>
      </c>
      <c r="Y3153" s="174">
        <f>_xll.qlCalendarAdvance(Calendar,Y3152,X3153,"f",FALSE)</f>
        <v>61064</v>
      </c>
      <c r="Z3153" s="198">
        <f>_xll.qlCalendarAdvance(Calendar,Y3153,NDays&amp;"D")</f>
        <v>61066</v>
      </c>
      <c r="AA3153" s="173">
        <v>1.9483691762486571E-2</v>
      </c>
      <c r="AB3153" s="182">
        <v>1.9353869875287089E-2</v>
      </c>
    </row>
    <row r="3154" spans="24:28" x14ac:dyDescent="0.2">
      <c r="X3154" s="186" t="str">
        <f t="shared" si="82"/>
        <v>1w</v>
      </c>
      <c r="Y3154" s="174">
        <f>_xll.qlCalendarAdvance(Calendar,Y3153,X3154,"f",FALSE)</f>
        <v>61071</v>
      </c>
      <c r="Z3154" s="198">
        <f>_xll.qlCalendarAdvance(Calendar,Y3154,NDays&amp;"D")</f>
        <v>61073</v>
      </c>
      <c r="AA3154" s="173">
        <v>1.9486247034682557E-2</v>
      </c>
      <c r="AB3154" s="182">
        <v>1.935629711353748E-2</v>
      </c>
    </row>
    <row r="3155" spans="24:28" x14ac:dyDescent="0.2">
      <c r="X3155" s="186" t="str">
        <f t="shared" si="82"/>
        <v>1w</v>
      </c>
      <c r="Y3155" s="174">
        <f>_xll.qlCalendarAdvance(Calendar,Y3154,X3155,"f",FALSE)</f>
        <v>61078</v>
      </c>
      <c r="Z3155" s="198">
        <f>_xll.qlCalendarAdvance(Calendar,Y3155,NDays&amp;"D")</f>
        <v>61080</v>
      </c>
      <c r="AA3155" s="173">
        <v>1.9488810160083941E-2</v>
      </c>
      <c r="AB3155" s="182">
        <v>1.9358732123890832E-2</v>
      </c>
    </row>
    <row r="3156" spans="24:28" x14ac:dyDescent="0.2">
      <c r="X3156" s="186" t="str">
        <f t="shared" si="82"/>
        <v>1w</v>
      </c>
      <c r="Y3156" s="174">
        <f>_xll.qlCalendarAdvance(Calendar,Y3155,X3156,"f",FALSE)</f>
        <v>61085</v>
      </c>
      <c r="Z3156" s="198">
        <f>_xll.qlCalendarAdvance(Calendar,Y3156,NDays&amp;"D")</f>
        <v>61087</v>
      </c>
      <c r="AA3156" s="173">
        <v>1.9489244652174952E-2</v>
      </c>
      <c r="AB3156" s="182">
        <v>1.9363957220965844E-2</v>
      </c>
    </row>
    <row r="3157" spans="24:28" x14ac:dyDescent="0.2">
      <c r="X3157" s="186" t="str">
        <f t="shared" ref="X3157:X3220" si="83">X3156</f>
        <v>1w</v>
      </c>
      <c r="Y3157" s="174">
        <f>_xll.qlCalendarAdvance(Calendar,Y3156,X3157,"f",FALSE)</f>
        <v>61092</v>
      </c>
      <c r="Z3157" s="198">
        <f>_xll.qlCalendarAdvance(Calendar,Y3157,NDays&amp;"D")</f>
        <v>61094</v>
      </c>
      <c r="AA3157" s="173">
        <v>1.949182138473517E-2</v>
      </c>
      <c r="AB3157" s="182">
        <v>1.9363625460586675E-2</v>
      </c>
    </row>
    <row r="3158" spans="24:28" x14ac:dyDescent="0.2">
      <c r="X3158" s="186" t="str">
        <f t="shared" si="83"/>
        <v>1w</v>
      </c>
      <c r="Y3158" s="174">
        <f>_xll.qlCalendarAdvance(Calendar,Y3157,X3158,"f",FALSE)</f>
        <v>61099</v>
      </c>
      <c r="Z3158" s="198">
        <f>_xll.qlCalendarAdvance(Calendar,Y3158,NDays&amp;"D")</f>
        <v>61101</v>
      </c>
      <c r="AA3158" s="173">
        <v>1.9494405969262333E-2</v>
      </c>
      <c r="AB3158" s="182">
        <v>1.9366083787089039E-2</v>
      </c>
    </row>
    <row r="3159" spans="24:28" x14ac:dyDescent="0.2">
      <c r="X3159" s="186" t="str">
        <f t="shared" si="83"/>
        <v>1w</v>
      </c>
      <c r="Y3159" s="174">
        <f>_xll.qlCalendarAdvance(Calendar,Y3158,X3159,"f",FALSE)</f>
        <v>61106</v>
      </c>
      <c r="Z3159" s="198">
        <f>_xll.qlCalendarAdvance(Calendar,Y3159,NDays&amp;"D")</f>
        <v>61108</v>
      </c>
      <c r="AA3159" s="173">
        <v>1.9496998405788332E-2</v>
      </c>
      <c r="AB3159" s="182">
        <v>1.9368549885614428E-2</v>
      </c>
    </row>
    <row r="3160" spans="24:28" x14ac:dyDescent="0.2">
      <c r="X3160" s="186" t="str">
        <f t="shared" si="83"/>
        <v>1w</v>
      </c>
      <c r="Y3160" s="174">
        <f>_xll.qlCalendarAdvance(Calendar,Y3159,X3160,"f",FALSE)</f>
        <v>61113</v>
      </c>
      <c r="Z3160" s="198">
        <f>_xll.qlCalendarAdvance(Calendar,Y3160,NDays&amp;"D")</f>
        <v>61115</v>
      </c>
      <c r="AA3160" s="173">
        <v>1.9499598694342427E-2</v>
      </c>
      <c r="AB3160" s="182">
        <v>1.9371023756162842E-2</v>
      </c>
    </row>
    <row r="3161" spans="24:28" x14ac:dyDescent="0.2">
      <c r="X3161" s="186" t="str">
        <f t="shared" si="83"/>
        <v>1w</v>
      </c>
      <c r="Y3161" s="174">
        <f>_xll.qlCalendarAdvance(Calendar,Y3160,X3161,"f",FALSE)</f>
        <v>61120</v>
      </c>
      <c r="Z3161" s="198">
        <f>_xll.qlCalendarAdvance(Calendar,Y3161,NDays&amp;"D")</f>
        <v>61122</v>
      </c>
      <c r="AA3161" s="173">
        <v>1.9504353831542712E-2</v>
      </c>
      <c r="AB3161" s="182">
        <v>1.9373505398654345E-2</v>
      </c>
    </row>
    <row r="3162" spans="24:28" x14ac:dyDescent="0.2">
      <c r="X3162" s="186" t="str">
        <f t="shared" si="83"/>
        <v>1w</v>
      </c>
      <c r="Y3162" s="174">
        <f>_xll.qlCalendarAdvance(Calendar,Y3161,X3162,"f",FALSE)</f>
        <v>61127</v>
      </c>
      <c r="Z3162" s="198">
        <f>_xll.qlCalendarAdvance(Calendar,Y3162,NDays&amp;"D")</f>
        <v>61129</v>
      </c>
      <c r="AA3162" s="173">
        <v>1.9506971930253011E-2</v>
      </c>
      <c r="AB3162" s="182">
        <v>1.9375994813328745E-2</v>
      </c>
    </row>
    <row r="3163" spans="24:28" x14ac:dyDescent="0.2">
      <c r="X3163" s="186" t="str">
        <f t="shared" si="83"/>
        <v>1w</v>
      </c>
      <c r="Y3163" s="174">
        <f>_xll.qlCalendarAdvance(Calendar,Y3162,X3163,"f",FALSE)</f>
        <v>61134</v>
      </c>
      <c r="Z3163" s="198">
        <f>_xll.qlCalendarAdvance(Calendar,Y3163,NDays&amp;"D")</f>
        <v>61136</v>
      </c>
      <c r="AA3163" s="173">
        <v>1.9509597882417972E-2</v>
      </c>
      <c r="AB3163" s="182">
        <v>1.9378492000106107E-2</v>
      </c>
    </row>
    <row r="3164" spans="24:28" x14ac:dyDescent="0.2">
      <c r="X3164" s="186" t="str">
        <f t="shared" si="83"/>
        <v>1w</v>
      </c>
      <c r="Y3164" s="174">
        <f>_xll.qlCalendarAdvance(Calendar,Y3163,X3164,"f",FALSE)</f>
        <v>61141</v>
      </c>
      <c r="Z3164" s="198">
        <f>_xll.qlCalendarAdvance(Calendar,Y3164,NDays&amp;"D")</f>
        <v>61143</v>
      </c>
      <c r="AA3164" s="173">
        <v>1.9512231688069398E-2</v>
      </c>
      <c r="AB3164" s="182">
        <v>1.9380996958746621E-2</v>
      </c>
    </row>
    <row r="3165" spans="24:28" x14ac:dyDescent="0.2">
      <c r="X3165" s="186" t="str">
        <f t="shared" si="83"/>
        <v>1w</v>
      </c>
      <c r="Y3165" s="174">
        <f>_xll.qlCalendarAdvance(Calendar,Y3164,X3165,"f",FALSE)</f>
        <v>61148</v>
      </c>
      <c r="Z3165" s="198">
        <f>_xll.qlCalendarAdvance(Calendar,Y3165,NDays&amp;"D")</f>
        <v>61150</v>
      </c>
      <c r="AA3165" s="173">
        <v>1.9512717918631649E-2</v>
      </c>
      <c r="AB3165" s="182">
        <v>1.9383509689490097E-2</v>
      </c>
    </row>
    <row r="3166" spans="24:28" x14ac:dyDescent="0.2">
      <c r="X3166" s="186" t="str">
        <f t="shared" si="83"/>
        <v>1w</v>
      </c>
      <c r="Y3166" s="174">
        <f>_xll.qlCalendarAdvance(Calendar,Y3165,X3166,"f",FALSE)</f>
        <v>61155</v>
      </c>
      <c r="Z3166" s="198">
        <f>_xll.qlCalendarAdvance(Calendar,Y3166,NDays&amp;"D")</f>
        <v>61157</v>
      </c>
      <c r="AA3166" s="173">
        <v>1.9515365320009113E-2</v>
      </c>
      <c r="AB3166" s="182">
        <v>1.9386030192336534E-2</v>
      </c>
    </row>
    <row r="3167" spans="24:28" x14ac:dyDescent="0.2">
      <c r="X3167" s="186" t="str">
        <f t="shared" si="83"/>
        <v>1w</v>
      </c>
      <c r="Y3167" s="174">
        <f>_xll.qlCalendarAdvance(Calendar,Y3166,X3167,"f",FALSE)</f>
        <v>61162</v>
      </c>
      <c r="Z3167" s="198">
        <f>_xll.qlCalendarAdvance(Calendar,Y3167,NDays&amp;"D")</f>
        <v>61164</v>
      </c>
      <c r="AA3167" s="173">
        <v>1.9518020573634828E-2</v>
      </c>
      <c r="AB3167" s="182">
        <v>1.9388558467205996E-2</v>
      </c>
    </row>
    <row r="3168" spans="24:28" x14ac:dyDescent="0.2">
      <c r="X3168" s="186" t="str">
        <f t="shared" si="83"/>
        <v>1w</v>
      </c>
      <c r="Y3168" s="174">
        <f>_xll.qlCalendarAdvance(Calendar,Y3167,X3168,"f",FALSE)</f>
        <v>61169</v>
      </c>
      <c r="Z3168" s="198">
        <f>_xll.qlCalendarAdvance(Calendar,Y3168,NDays&amp;"D")</f>
        <v>61171</v>
      </c>
      <c r="AA3168" s="173">
        <v>1.9520683679537184E-2</v>
      </c>
      <c r="AB3168" s="182">
        <v>1.9391094514098484E-2</v>
      </c>
    </row>
    <row r="3169" spans="24:28" x14ac:dyDescent="0.2">
      <c r="X3169" s="186" t="str">
        <f t="shared" si="83"/>
        <v>1w</v>
      </c>
      <c r="Y3169" s="174">
        <f>_xll.qlCalendarAdvance(Calendar,Y3168,X3169,"f",FALSE)</f>
        <v>61176</v>
      </c>
      <c r="Z3169" s="198">
        <f>_xll.qlCalendarAdvance(Calendar,Y3169,NDays&amp;"D")</f>
        <v>61178</v>
      </c>
      <c r="AA3169" s="173">
        <v>1.9523354637751129E-2</v>
      </c>
      <c r="AB3169" s="182">
        <v>1.9393638333093932E-2</v>
      </c>
    </row>
    <row r="3170" spans="24:28" x14ac:dyDescent="0.2">
      <c r="X3170" s="186" t="str">
        <f t="shared" si="83"/>
        <v>1w</v>
      </c>
      <c r="Y3170" s="174">
        <f>_xll.qlCalendarAdvance(Calendar,Y3169,X3170,"f",FALSE)</f>
        <v>61183</v>
      </c>
      <c r="Z3170" s="198">
        <f>_xll.qlCalendarAdvance(Calendar,Y3170,NDays&amp;"D")</f>
        <v>61185</v>
      </c>
      <c r="AA3170" s="173">
        <v>1.9528199446987939E-2</v>
      </c>
      <c r="AB3170" s="182">
        <v>1.9396189924192342E-2</v>
      </c>
    </row>
    <row r="3171" spans="24:28" x14ac:dyDescent="0.2">
      <c r="X3171" s="186" t="str">
        <f t="shared" si="83"/>
        <v>1w</v>
      </c>
      <c r="Y3171" s="174">
        <f>_xll.qlCalendarAdvance(Calendar,Y3170,X3171,"f",FALSE)</f>
        <v>61190</v>
      </c>
      <c r="Z3171" s="198">
        <f>_xll.qlCalendarAdvance(Calendar,Y3171,NDays&amp;"D")</f>
        <v>61192</v>
      </c>
      <c r="AA3171" s="173">
        <v>1.9530888227940663E-2</v>
      </c>
      <c r="AB3171" s="182">
        <v>1.9398749287153905E-2</v>
      </c>
    </row>
    <row r="3172" spans="24:28" x14ac:dyDescent="0.2">
      <c r="X3172" s="186" t="str">
        <f t="shared" si="83"/>
        <v>1w</v>
      </c>
      <c r="Y3172" s="174">
        <f>_xll.qlCalendarAdvance(Calendar,Y3171,X3172,"f",FALSE)</f>
        <v>61197</v>
      </c>
      <c r="Z3172" s="198">
        <f>_xll.qlCalendarAdvance(Calendar,Y3172,NDays&amp;"D")</f>
        <v>61199</v>
      </c>
      <c r="AA3172" s="173">
        <v>1.9533584862638141E-2</v>
      </c>
      <c r="AB3172" s="182">
        <v>1.9401316422218429E-2</v>
      </c>
    </row>
    <row r="3173" spans="24:28" x14ac:dyDescent="0.2">
      <c r="X3173" s="186" t="str">
        <f t="shared" si="83"/>
        <v>1w</v>
      </c>
      <c r="Y3173" s="174">
        <f>_xll.qlCalendarAdvance(Calendar,Y3172,X3173,"f",FALSE)</f>
        <v>61204</v>
      </c>
      <c r="Z3173" s="198">
        <f>_xll.qlCalendarAdvance(Calendar,Y3173,NDays&amp;"D")</f>
        <v>61206</v>
      </c>
      <c r="AA3173" s="173">
        <v>1.9536289351111739E-2</v>
      </c>
      <c r="AB3173" s="182">
        <v>1.940389132946585E-2</v>
      </c>
    </row>
    <row r="3174" spans="24:28" x14ac:dyDescent="0.2">
      <c r="X3174" s="186" t="str">
        <f t="shared" si="83"/>
        <v>1w</v>
      </c>
      <c r="Y3174" s="174">
        <f>_xll.qlCalendarAdvance(Calendar,Y3173,X3174,"f",FALSE)</f>
        <v>61211</v>
      </c>
      <c r="Z3174" s="198">
        <f>_xll.qlCalendarAdvance(Calendar,Y3174,NDays&amp;"D")</f>
        <v>61213</v>
      </c>
      <c r="AA3174" s="173">
        <v>1.953900169339241E-2</v>
      </c>
      <c r="AB3174" s="182">
        <v>1.9406474008576424E-2</v>
      </c>
    </row>
    <row r="3175" spans="24:28" x14ac:dyDescent="0.2">
      <c r="X3175" s="186" t="str">
        <f t="shared" si="83"/>
        <v>1w</v>
      </c>
      <c r="Y3175" s="174">
        <f>_xll.qlCalendarAdvance(Calendar,Y3174,X3175,"f",FALSE)</f>
        <v>61218</v>
      </c>
      <c r="Z3175" s="198">
        <f>_xll.qlCalendarAdvance(Calendar,Y3175,NDays&amp;"D")</f>
        <v>61220</v>
      </c>
      <c r="AA3175" s="173">
        <v>1.9541721889514523E-2</v>
      </c>
      <c r="AB3175" s="182">
        <v>1.9409064459869896E-2</v>
      </c>
    </row>
    <row r="3176" spans="24:28" x14ac:dyDescent="0.2">
      <c r="X3176" s="186" t="str">
        <f t="shared" si="83"/>
        <v>1w</v>
      </c>
      <c r="Y3176" s="174">
        <f>_xll.qlCalendarAdvance(Calendar,Y3175,X3176,"f",FALSE)</f>
        <v>61225</v>
      </c>
      <c r="Z3176" s="198">
        <f>_xll.qlCalendarAdvance(Calendar,Y3176,NDays&amp;"D")</f>
        <v>61227</v>
      </c>
      <c r="AA3176" s="173">
        <v>1.9544449939510749E-2</v>
      </c>
      <c r="AB3176" s="182">
        <v>1.9411662683186393E-2</v>
      </c>
    </row>
    <row r="3177" spans="24:28" x14ac:dyDescent="0.2">
      <c r="X3177" s="186" t="str">
        <f t="shared" si="83"/>
        <v>1w</v>
      </c>
      <c r="Y3177" s="174">
        <f>_xll.qlCalendarAdvance(Calendar,Y3176,X3177,"f",FALSE)</f>
        <v>61232</v>
      </c>
      <c r="Z3177" s="198">
        <f>_xll.qlCalendarAdvance(Calendar,Y3177,NDays&amp;"D")</f>
        <v>61234</v>
      </c>
      <c r="AA3177" s="173">
        <v>1.9547185843414177E-2</v>
      </c>
      <c r="AB3177" s="182">
        <v>1.941426867860585E-2</v>
      </c>
    </row>
    <row r="3178" spans="24:28" x14ac:dyDescent="0.2">
      <c r="X3178" s="186" t="str">
        <f t="shared" si="83"/>
        <v>1w</v>
      </c>
      <c r="Y3178" s="174">
        <f>_xll.qlCalendarAdvance(Calendar,Y3177,X3178,"f",FALSE)</f>
        <v>61239</v>
      </c>
      <c r="Z3178" s="198">
        <f>_xll.qlCalendarAdvance(Calendar,Y3178,NDays&amp;"D")</f>
        <v>61241</v>
      </c>
      <c r="AA3178" s="173">
        <v>1.9547019148618054E-2</v>
      </c>
      <c r="AB3178" s="182">
        <v>1.9416882445968398E-2</v>
      </c>
    </row>
    <row r="3179" spans="24:28" x14ac:dyDescent="0.2">
      <c r="X3179" s="186" t="str">
        <f t="shared" si="83"/>
        <v>1w</v>
      </c>
      <c r="Y3179" s="174">
        <f>_xll.qlCalendarAdvance(Calendar,Y3178,X3179,"f",FALSE)</f>
        <v>61246</v>
      </c>
      <c r="Z3179" s="198">
        <f>_xll.qlCalendarAdvance(Calendar,Y3179,NDays&amp;"D")</f>
        <v>61248</v>
      </c>
      <c r="AA3179" s="173">
        <v>1.9549767922245231E-2</v>
      </c>
      <c r="AB3179" s="182">
        <v>1.9419503985433906E-2</v>
      </c>
    </row>
    <row r="3180" spans="24:28" x14ac:dyDescent="0.2">
      <c r="X3180" s="186" t="str">
        <f t="shared" si="83"/>
        <v>1w</v>
      </c>
      <c r="Y3180" s="174">
        <f>_xll.qlCalendarAdvance(Calendar,Y3179,X3180,"f",FALSE)</f>
        <v>61253</v>
      </c>
      <c r="Z3180" s="198">
        <f>_xll.qlCalendarAdvance(Calendar,Y3180,NDays&amp;"D")</f>
        <v>61255</v>
      </c>
      <c r="AA3180" s="173">
        <v>1.9552524548087549E-2</v>
      </c>
      <c r="AB3180" s="182">
        <v>1.9422133296922439E-2</v>
      </c>
    </row>
    <row r="3181" spans="24:28" x14ac:dyDescent="0.2">
      <c r="X3181" s="186" t="str">
        <f t="shared" si="83"/>
        <v>1w</v>
      </c>
      <c r="Y3181" s="174">
        <f>_xll.qlCalendarAdvance(Calendar,Y3180,X3181,"f",FALSE)</f>
        <v>61260</v>
      </c>
      <c r="Z3181" s="198">
        <f>_xll.qlCalendarAdvance(Calendar,Y3181,NDays&amp;"D")</f>
        <v>61262</v>
      </c>
      <c r="AA3181" s="173">
        <v>1.9555289026177949E-2</v>
      </c>
      <c r="AB3181" s="182">
        <v>1.9424770380513934E-2</v>
      </c>
    </row>
    <row r="3182" spans="24:28" x14ac:dyDescent="0.2">
      <c r="X3182" s="186" t="str">
        <f t="shared" si="83"/>
        <v>1w</v>
      </c>
      <c r="Y3182" s="174">
        <f>_xll.qlCalendarAdvance(Calendar,Y3181,X3182,"f",FALSE)</f>
        <v>61267</v>
      </c>
      <c r="Z3182" s="198">
        <f>_xll.qlCalendarAdvance(Calendar,Y3182,NDays&amp;"D")</f>
        <v>61269</v>
      </c>
      <c r="AA3182" s="173">
        <v>1.9558061356549375E-2</v>
      </c>
      <c r="AB3182" s="182">
        <v>1.9427415236048517E-2</v>
      </c>
    </row>
    <row r="3183" spans="24:28" x14ac:dyDescent="0.2">
      <c r="X3183" s="186" t="str">
        <f t="shared" si="83"/>
        <v>1w</v>
      </c>
      <c r="Y3183" s="174">
        <f>_xll.qlCalendarAdvance(Calendar,Y3182,X3183,"f",FALSE)</f>
        <v>61274</v>
      </c>
      <c r="Z3183" s="198">
        <f>_xll.qlCalendarAdvance(Calendar,Y3183,NDays&amp;"D")</f>
        <v>61276</v>
      </c>
      <c r="AA3183" s="173">
        <v>1.9561572563146876E-2</v>
      </c>
      <c r="AB3183" s="182">
        <v>1.9430067863686062E-2</v>
      </c>
    </row>
    <row r="3184" spans="24:28" x14ac:dyDescent="0.2">
      <c r="X3184" s="186" t="str">
        <f t="shared" si="83"/>
        <v>1w</v>
      </c>
      <c r="Y3184" s="174">
        <f>_xll.qlCalendarAdvance(Calendar,Y3183,X3184,"f",FALSE)</f>
        <v>61281</v>
      </c>
      <c r="Z3184" s="198">
        <f>_xll.qlCalendarAdvance(Calendar,Y3184,NDays&amp;"D")</f>
        <v>61283</v>
      </c>
      <c r="AA3184" s="173">
        <v>1.9564361309856719E-2</v>
      </c>
      <c r="AB3184" s="182">
        <v>1.9432728263506505E-2</v>
      </c>
    </row>
    <row r="3185" spans="24:28" x14ac:dyDescent="0.2">
      <c r="X3185" s="186" t="str">
        <f t="shared" si="83"/>
        <v>1w</v>
      </c>
      <c r="Y3185" s="174">
        <f>_xll.qlCalendarAdvance(Calendar,Y3184,X3185,"f",FALSE)</f>
        <v>61288</v>
      </c>
      <c r="Z3185" s="198">
        <f>_xll.qlCalendarAdvance(Calendar,Y3185,NDays&amp;"D")</f>
        <v>61290</v>
      </c>
      <c r="AA3185" s="173">
        <v>1.9570088644815797E-2</v>
      </c>
      <c r="AB3185" s="182">
        <v>1.94353964351901E-2</v>
      </c>
    </row>
    <row r="3186" spans="24:28" x14ac:dyDescent="0.2">
      <c r="X3186" s="186" t="str">
        <f t="shared" si="83"/>
        <v>1w</v>
      </c>
      <c r="Y3186" s="174">
        <f>_xll.qlCalendarAdvance(Calendar,Y3185,X3186,"f",FALSE)</f>
        <v>61295</v>
      </c>
      <c r="Z3186" s="198">
        <f>_xll.qlCalendarAdvance(Calendar,Y3186,NDays&amp;"D")</f>
        <v>61297</v>
      </c>
      <c r="AA3186" s="173">
        <v>1.956996236179067E-2</v>
      </c>
      <c r="AB3186" s="182">
        <v>1.9438072378976656E-2</v>
      </c>
    </row>
    <row r="3187" spans="24:28" x14ac:dyDescent="0.2">
      <c r="X3187" s="186" t="str">
        <f t="shared" si="83"/>
        <v>1w</v>
      </c>
      <c r="Y3187" s="174">
        <f>_xll.qlCalendarAdvance(Calendar,Y3186,X3187,"f",FALSE)</f>
        <v>61302</v>
      </c>
      <c r="Z3187" s="198">
        <f>_xll.qlCalendarAdvance(Calendar,Y3187,NDays&amp;"D")</f>
        <v>61304</v>
      </c>
      <c r="AA3187" s="173">
        <v>1.9572040793762027E-2</v>
      </c>
      <c r="AB3187" s="182">
        <v>1.944075609494611E-2</v>
      </c>
    </row>
    <row r="3188" spans="24:28" x14ac:dyDescent="0.2">
      <c r="X3188" s="186" t="str">
        <f t="shared" si="83"/>
        <v>1w</v>
      </c>
      <c r="Y3188" s="174">
        <f>_xll.qlCalendarAdvance(Calendar,Y3187,X3188,"f",FALSE)</f>
        <v>61309</v>
      </c>
      <c r="Z3188" s="198">
        <f>_xll.qlCalendarAdvance(Calendar,Y3188,NDays&amp;"D")</f>
        <v>61311</v>
      </c>
      <c r="AA3188" s="173">
        <v>1.9574860238506953E-2</v>
      </c>
      <c r="AB3188" s="182">
        <v>1.9443447582858653E-2</v>
      </c>
    </row>
    <row r="3189" spans="24:28" x14ac:dyDescent="0.2">
      <c r="X3189" s="186" t="str">
        <f t="shared" si="83"/>
        <v>1w</v>
      </c>
      <c r="Y3189" s="174">
        <f>_xll.qlCalendarAdvance(Calendar,Y3188,X3189,"f",FALSE)</f>
        <v>61316</v>
      </c>
      <c r="Z3189" s="198">
        <f>_xll.qlCalendarAdvance(Calendar,Y3189,NDays&amp;"D")</f>
        <v>61318</v>
      </c>
      <c r="AA3189" s="173">
        <v>1.9577687535763048E-2</v>
      </c>
      <c r="AB3189" s="182">
        <v>1.9446146842714285E-2</v>
      </c>
    </row>
    <row r="3190" spans="24:28" x14ac:dyDescent="0.2">
      <c r="X3190" s="186" t="str">
        <f t="shared" si="83"/>
        <v>1w</v>
      </c>
      <c r="Y3190" s="174">
        <f>_xll.qlCalendarAdvance(Calendar,Y3189,X3190,"f",FALSE)</f>
        <v>61323</v>
      </c>
      <c r="Z3190" s="198">
        <f>_xll.qlCalendarAdvance(Calendar,Y3190,NDays&amp;"D")</f>
        <v>61325</v>
      </c>
      <c r="AA3190" s="173">
        <v>1.9580522685563252E-2</v>
      </c>
      <c r="AB3190" s="182">
        <v>1.9448853874672878E-2</v>
      </c>
    </row>
    <row r="3191" spans="24:28" x14ac:dyDescent="0.2">
      <c r="X3191" s="186" t="str">
        <f t="shared" si="83"/>
        <v>1w</v>
      </c>
      <c r="Y3191" s="174">
        <f>_xll.qlCalendarAdvance(Calendar,Y3190,X3191,"f",FALSE)</f>
        <v>61330</v>
      </c>
      <c r="Z3191" s="198">
        <f>_xll.qlCalendarAdvance(Calendar,Y3191,NDays&amp;"D")</f>
        <v>61332</v>
      </c>
      <c r="AA3191" s="173">
        <v>1.9584102417852665E-2</v>
      </c>
      <c r="AB3191" s="182">
        <v>1.9451568678894304E-2</v>
      </c>
    </row>
    <row r="3192" spans="24:28" x14ac:dyDescent="0.2">
      <c r="X3192" s="186" t="str">
        <f t="shared" si="83"/>
        <v>1w</v>
      </c>
      <c r="Y3192" s="174">
        <f>_xll.qlCalendarAdvance(Calendar,Y3191,X3192,"f",FALSE)</f>
        <v>61337</v>
      </c>
      <c r="Z3192" s="198">
        <f>_xll.qlCalendarAdvance(Calendar,Y3192,NDays&amp;"D")</f>
        <v>61339</v>
      </c>
      <c r="AA3192" s="173">
        <v>1.9586953988115642E-2</v>
      </c>
      <c r="AB3192" s="182">
        <v>1.9454291254978884E-2</v>
      </c>
    </row>
    <row r="3193" spans="24:28" x14ac:dyDescent="0.2">
      <c r="X3193" s="186" t="str">
        <f t="shared" si="83"/>
        <v>1w</v>
      </c>
      <c r="Y3193" s="174">
        <f>_xll.qlCalendarAdvance(Calendar,Y3192,X3193,"f",FALSE)</f>
        <v>61344</v>
      </c>
      <c r="Z3193" s="198">
        <f>_xll.qlCalendarAdvance(Calendar,Y3193,NDays&amp;"D")</f>
        <v>61346</v>
      </c>
      <c r="AA3193" s="173">
        <v>1.958981341147166E-2</v>
      </c>
      <c r="AB3193" s="182">
        <v>1.9457021603086488E-2</v>
      </c>
    </row>
    <row r="3194" spans="24:28" x14ac:dyDescent="0.2">
      <c r="X3194" s="186" t="str">
        <f t="shared" si="83"/>
        <v>1w</v>
      </c>
      <c r="Y3194" s="174">
        <f>_xll.qlCalendarAdvance(Calendar,Y3193,X3194,"f",FALSE)</f>
        <v>61351</v>
      </c>
      <c r="Z3194" s="198">
        <f>_xll.qlCalendarAdvance(Calendar,Y3194,NDays&amp;"D")</f>
        <v>61353</v>
      </c>
      <c r="AA3194" s="173">
        <v>1.9592680687958282E-2</v>
      </c>
      <c r="AB3194" s="182">
        <v>1.9459759723217118E-2</v>
      </c>
    </row>
    <row r="3195" spans="24:28" x14ac:dyDescent="0.2">
      <c r="X3195" s="186" t="str">
        <f t="shared" si="83"/>
        <v>1w</v>
      </c>
      <c r="Y3195" s="174">
        <f>_xll.qlCalendarAdvance(Calendar,Y3194,X3195,"f",FALSE)</f>
        <v>61358</v>
      </c>
      <c r="Z3195" s="198">
        <f>_xll.qlCalendarAdvance(Calendar,Y3195,NDays&amp;"D")</f>
        <v>61360</v>
      </c>
      <c r="AA3195" s="173">
        <v>1.9595555817607836E-2</v>
      </c>
      <c r="AB3195" s="182">
        <v>1.9462505615690517E-2</v>
      </c>
    </row>
    <row r="3196" spans="24:28" x14ac:dyDescent="0.2">
      <c r="X3196" s="186" t="str">
        <f t="shared" si="83"/>
        <v>1w</v>
      </c>
      <c r="Y3196" s="174">
        <f>_xll.qlCalendarAdvance(Calendar,Y3195,X3196,"f",FALSE)</f>
        <v>61365</v>
      </c>
      <c r="Z3196" s="198">
        <f>_xll.qlCalendarAdvance(Calendar,Y3196,NDays&amp;"D")</f>
        <v>61367</v>
      </c>
      <c r="AA3196" s="173">
        <v>1.9597698489683762E-2</v>
      </c>
      <c r="AB3196" s="182">
        <v>1.946525928002707E-2</v>
      </c>
    </row>
    <row r="3197" spans="24:28" x14ac:dyDescent="0.2">
      <c r="X3197" s="186" t="str">
        <f t="shared" si="83"/>
        <v>1w</v>
      </c>
      <c r="Y3197" s="174">
        <f>_xll.qlCalendarAdvance(Calendar,Y3196,X3197,"f",FALSE)</f>
        <v>61372</v>
      </c>
      <c r="Z3197" s="198">
        <f>_xll.qlCalendarAdvance(Calendar,Y3197,NDays&amp;"D")</f>
        <v>61374</v>
      </c>
      <c r="AA3197" s="173">
        <v>1.960058860823791E-2</v>
      </c>
      <c r="AB3197" s="182">
        <v>1.9468020716306711E-2</v>
      </c>
    </row>
    <row r="3198" spans="24:28" x14ac:dyDescent="0.2">
      <c r="X3198" s="186" t="str">
        <f t="shared" si="83"/>
        <v>1w</v>
      </c>
      <c r="Y3198" s="174">
        <f>_xll.qlCalendarAdvance(Calendar,Y3197,X3198,"f",FALSE)</f>
        <v>61379</v>
      </c>
      <c r="Z3198" s="198">
        <f>_xll.qlCalendarAdvance(Calendar,Y3198,NDays&amp;"D")</f>
        <v>61381</v>
      </c>
      <c r="AA3198" s="173">
        <v>1.9603486579607161E-2</v>
      </c>
      <c r="AB3198" s="182">
        <v>1.947078992476925E-2</v>
      </c>
    </row>
    <row r="3199" spans="24:28" x14ac:dyDescent="0.2">
      <c r="X3199" s="186" t="str">
        <f t="shared" si="83"/>
        <v>1w</v>
      </c>
      <c r="Y3199" s="174">
        <f>_xll.qlCalendarAdvance(Calendar,Y3198,X3199,"f",FALSE)</f>
        <v>61386</v>
      </c>
      <c r="Z3199" s="198">
        <f>_xll.qlCalendarAdvance(Calendar,Y3199,NDays&amp;"D")</f>
        <v>61388</v>
      </c>
      <c r="AA3199" s="173">
        <v>1.960639240382445E-2</v>
      </c>
      <c r="AB3199" s="182">
        <v>1.9473566905254813E-2</v>
      </c>
    </row>
    <row r="3200" spans="24:28" x14ac:dyDescent="0.2">
      <c r="X3200" s="186" t="str">
        <f t="shared" si="83"/>
        <v>1w</v>
      </c>
      <c r="Y3200" s="174">
        <f>_xll.qlCalendarAdvance(Calendar,Y3199,X3200,"f",FALSE)</f>
        <v>61393</v>
      </c>
      <c r="Z3200" s="198">
        <f>_xll.qlCalendarAdvance(Calendar,Y3200,NDays&amp;"D")</f>
        <v>61395</v>
      </c>
      <c r="AA3200" s="173">
        <v>1.9609306080926238E-2</v>
      </c>
      <c r="AB3200" s="182">
        <v>1.9476351657763402E-2</v>
      </c>
    </row>
    <row r="3201" spans="24:28" x14ac:dyDescent="0.2">
      <c r="X3201" s="186" t="str">
        <f t="shared" si="83"/>
        <v>1w</v>
      </c>
      <c r="Y3201" s="174">
        <f>_xll.qlCalendarAdvance(Calendar,Y3200,X3201,"f",FALSE)</f>
        <v>61400</v>
      </c>
      <c r="Z3201" s="198">
        <f>_xll.qlCalendarAdvance(Calendar,Y3201,NDays&amp;"D")</f>
        <v>61402</v>
      </c>
      <c r="AA3201" s="173">
        <v>1.9612227610944586E-2</v>
      </c>
      <c r="AB3201" s="182">
        <v>1.9479144182295016E-2</v>
      </c>
    </row>
    <row r="3202" spans="24:28" x14ac:dyDescent="0.2">
      <c r="X3202" s="186" t="str">
        <f t="shared" si="83"/>
        <v>1w</v>
      </c>
      <c r="Y3202" s="174">
        <f>_xll.qlCalendarAdvance(Calendar,Y3201,X3202,"f",FALSE)</f>
        <v>61407</v>
      </c>
      <c r="Z3202" s="198">
        <f>_xll.qlCalendarAdvance(Calendar,Y3202,NDays&amp;"D")</f>
        <v>61409</v>
      </c>
      <c r="AA3202" s="173">
        <v>1.9615156993914629E-2</v>
      </c>
      <c r="AB3202" s="182">
        <v>1.9481944479089464E-2</v>
      </c>
    </row>
    <row r="3203" spans="24:28" x14ac:dyDescent="0.2">
      <c r="X3203" s="186" t="str">
        <f t="shared" si="83"/>
        <v>1w</v>
      </c>
      <c r="Y3203" s="174">
        <f>_xll.qlCalendarAdvance(Calendar,Y3202,X3203,"f",FALSE)</f>
        <v>61414</v>
      </c>
      <c r="Z3203" s="198">
        <f>_xll.qlCalendarAdvance(Calendar,Y3203,NDays&amp;"D")</f>
        <v>61416</v>
      </c>
      <c r="AA3203" s="173">
        <v>1.961809422987194E-2</v>
      </c>
      <c r="AB3203" s="182">
        <v>1.9484752547827E-2</v>
      </c>
    </row>
    <row r="3204" spans="24:28" x14ac:dyDescent="0.2">
      <c r="X3204" s="186" t="str">
        <f t="shared" si="83"/>
        <v>1w</v>
      </c>
      <c r="Y3204" s="174">
        <f>_xll.qlCalendarAdvance(Calendar,Y3203,X3204,"f",FALSE)</f>
        <v>61421</v>
      </c>
      <c r="Z3204" s="198">
        <f>_xll.qlCalendarAdvance(Calendar,Y3204,NDays&amp;"D")</f>
        <v>61423</v>
      </c>
      <c r="AA3204" s="173">
        <v>1.9624024148232392E-2</v>
      </c>
      <c r="AB3204" s="182">
        <v>1.948756838842769E-2</v>
      </c>
    </row>
    <row r="3205" spans="24:28" x14ac:dyDescent="0.2">
      <c r="X3205" s="186" t="str">
        <f t="shared" si="83"/>
        <v>1w</v>
      </c>
      <c r="Y3205" s="174">
        <f>_xll.qlCalendarAdvance(Calendar,Y3204,X3205,"f",FALSE)</f>
        <v>61428</v>
      </c>
      <c r="Z3205" s="198">
        <f>_xll.qlCalendarAdvance(Calendar,Y3205,NDays&amp;"D")</f>
        <v>61430</v>
      </c>
      <c r="AA3205" s="173">
        <v>1.9626979975252958E-2</v>
      </c>
      <c r="AB3205" s="182">
        <v>1.9490392001291212E-2</v>
      </c>
    </row>
    <row r="3206" spans="24:28" x14ac:dyDescent="0.2">
      <c r="X3206" s="186" t="str">
        <f t="shared" si="83"/>
        <v>1w</v>
      </c>
      <c r="Y3206" s="174">
        <f>_xll.qlCalendarAdvance(Calendar,Y3205,X3206,"f",FALSE)</f>
        <v>61435</v>
      </c>
      <c r="Z3206" s="198">
        <f>_xll.qlCalendarAdvance(Calendar,Y3206,NDays&amp;"D")</f>
        <v>61437</v>
      </c>
      <c r="AA3206" s="173">
        <v>1.9629943657173909E-2</v>
      </c>
      <c r="AB3206" s="182">
        <v>1.9493223386257696E-2</v>
      </c>
    </row>
    <row r="3207" spans="24:28" x14ac:dyDescent="0.2">
      <c r="X3207" s="186" t="str">
        <f t="shared" si="83"/>
        <v>1w</v>
      </c>
      <c r="Y3207" s="174">
        <f>_xll.qlCalendarAdvance(Calendar,Y3206,X3207,"f",FALSE)</f>
        <v>61442</v>
      </c>
      <c r="Z3207" s="198">
        <f>_xll.qlCalendarAdvance(Calendar,Y3207,NDays&amp;"D")</f>
        <v>61444</v>
      </c>
      <c r="AA3207" s="173">
        <v>1.9632915194031778E-2</v>
      </c>
      <c r="AB3207" s="182">
        <v>1.9496062543087334E-2</v>
      </c>
    </row>
    <row r="3208" spans="24:28" x14ac:dyDescent="0.2">
      <c r="X3208" s="186" t="str">
        <f t="shared" si="83"/>
        <v>1w</v>
      </c>
      <c r="Y3208" s="174">
        <f>_xll.qlCalendarAdvance(Calendar,Y3207,X3208,"f",FALSE)</f>
        <v>61449</v>
      </c>
      <c r="Z3208" s="198">
        <f>_xll.qlCalendarAdvance(Calendar,Y3208,NDays&amp;"D")</f>
        <v>61451</v>
      </c>
      <c r="AA3208" s="173">
        <v>1.9633647156528506E-2</v>
      </c>
      <c r="AB3208" s="182">
        <v>1.9498909472019932E-2</v>
      </c>
    </row>
    <row r="3209" spans="24:28" x14ac:dyDescent="0.2">
      <c r="X3209" s="186" t="str">
        <f t="shared" si="83"/>
        <v>1w</v>
      </c>
      <c r="Y3209" s="174">
        <f>_xll.qlCalendarAdvance(Calendar,Y3208,X3209,"f",FALSE)</f>
        <v>61456</v>
      </c>
      <c r="Z3209" s="198">
        <f>_xll.qlCalendarAdvance(Calendar,Y3209,NDays&amp;"D")</f>
        <v>61458</v>
      </c>
      <c r="AA3209" s="173">
        <v>1.963663223408239E-2</v>
      </c>
      <c r="AB3209" s="182">
        <v>1.9501764173135427E-2</v>
      </c>
    </row>
    <row r="3210" spans="24:28" x14ac:dyDescent="0.2">
      <c r="X3210" s="186" t="str">
        <f t="shared" si="83"/>
        <v>1w</v>
      </c>
      <c r="Y3210" s="174">
        <f>_xll.qlCalendarAdvance(Calendar,Y3209,X3210,"f",FALSE)</f>
        <v>61463</v>
      </c>
      <c r="Z3210" s="198">
        <f>_xll.qlCalendarAdvance(Calendar,Y3210,NDays&amp;"D")</f>
        <v>61465</v>
      </c>
      <c r="AA3210" s="173">
        <v>1.9639625165319443E-2</v>
      </c>
      <c r="AB3210" s="182">
        <v>1.9504626646194012E-2</v>
      </c>
    </row>
    <row r="3211" spans="24:28" x14ac:dyDescent="0.2">
      <c r="X3211" s="186" t="str">
        <f t="shared" si="83"/>
        <v>1w</v>
      </c>
      <c r="Y3211" s="174">
        <f>_xll.qlCalendarAdvance(Calendar,Y3210,X3211,"f",FALSE)</f>
        <v>61470</v>
      </c>
      <c r="Z3211" s="198">
        <f>_xll.qlCalendarAdvance(Calendar,Y3211,NDays&amp;"D")</f>
        <v>61472</v>
      </c>
      <c r="AA3211" s="173">
        <v>1.9642625950276792E-2</v>
      </c>
      <c r="AB3211" s="182">
        <v>1.9510432964819913E-2</v>
      </c>
    </row>
    <row r="3212" spans="24:28" x14ac:dyDescent="0.2">
      <c r="X3212" s="186" t="str">
        <f t="shared" si="83"/>
        <v>1w</v>
      </c>
      <c r="Y3212" s="174">
        <f>_xll.qlCalendarAdvance(Calendar,Y3211,X3212,"f",FALSE)</f>
        <v>61477</v>
      </c>
      <c r="Z3212" s="198">
        <f>_xll.qlCalendarAdvance(Calendar,Y3212,NDays&amp;"D")</f>
        <v>61479</v>
      </c>
      <c r="AA3212" s="173">
        <v>1.9645634588990258E-2</v>
      </c>
      <c r="AB3212" s="182">
        <v>1.9510374908540129E-2</v>
      </c>
    </row>
    <row r="3213" spans="24:28" x14ac:dyDescent="0.2">
      <c r="X3213" s="186" t="str">
        <f t="shared" si="83"/>
        <v>1w</v>
      </c>
      <c r="Y3213" s="174">
        <f>_xll.qlCalendarAdvance(Calendar,Y3212,X3213,"f",FALSE)</f>
        <v>61485</v>
      </c>
      <c r="Z3213" s="198">
        <f>_xll.qlCalendarAdvance(Calendar,Y3213,NDays&amp;"D")</f>
        <v>61487</v>
      </c>
      <c r="AA3213" s="173">
        <v>1.9650588287045318E-2</v>
      </c>
      <c r="AB3213" s="182">
        <v>1.9515144485113822E-2</v>
      </c>
    </row>
    <row r="3214" spans="24:28" x14ac:dyDescent="0.2">
      <c r="X3214" s="186" t="str">
        <f t="shared" si="83"/>
        <v>1w</v>
      </c>
      <c r="Y3214" s="174">
        <f>_xll.qlCalendarAdvance(Calendar,Y3213,X3214,"f",FALSE)</f>
        <v>61492</v>
      </c>
      <c r="Z3214" s="198">
        <f>_xll.qlCalendarAdvance(Calendar,Y3214,NDays&amp;"D")</f>
        <v>61494</v>
      </c>
      <c r="AA3214" s="173">
        <v>1.965361520613864E-2</v>
      </c>
      <c r="AB3214" s="182">
        <v>1.9518040580983609E-2</v>
      </c>
    </row>
    <row r="3215" spans="24:28" x14ac:dyDescent="0.2">
      <c r="X3215" s="186" t="str">
        <f t="shared" si="83"/>
        <v>1w</v>
      </c>
      <c r="Y3215" s="174">
        <f>_xll.qlCalendarAdvance(Calendar,Y3214,X3215,"f",FALSE)</f>
        <v>61499</v>
      </c>
      <c r="Z3215" s="198">
        <f>_xll.qlCalendarAdvance(Calendar,Y3215,NDays&amp;"D")</f>
        <v>61501</v>
      </c>
      <c r="AA3215" s="173">
        <v>1.9656649980008246E-2</v>
      </c>
      <c r="AB3215" s="182">
        <v>1.9520944449782363E-2</v>
      </c>
    </row>
    <row r="3216" spans="24:28" x14ac:dyDescent="0.2">
      <c r="X3216" s="186" t="str">
        <f t="shared" si="83"/>
        <v>1w</v>
      </c>
      <c r="Y3216" s="174">
        <f>_xll.qlCalendarAdvance(Calendar,Y3215,X3216,"f",FALSE)</f>
        <v>61506</v>
      </c>
      <c r="Z3216" s="198">
        <f>_xll.qlCalendarAdvance(Calendar,Y3216,NDays&amp;"D")</f>
        <v>61508</v>
      </c>
      <c r="AA3216" s="173">
        <v>1.9659692608690875E-2</v>
      </c>
      <c r="AB3216" s="182">
        <v>1.9523856091536729E-2</v>
      </c>
    </row>
    <row r="3217" spans="24:28" x14ac:dyDescent="0.2">
      <c r="X3217" s="186" t="str">
        <f t="shared" si="83"/>
        <v>1w</v>
      </c>
      <c r="Y3217" s="174">
        <f>_xll.qlCalendarAdvance(Calendar,Y3216,X3217,"f",FALSE)</f>
        <v>61513</v>
      </c>
      <c r="Z3217" s="198">
        <f>_xll.qlCalendarAdvance(Calendar,Y3217,NDays&amp;"D")</f>
        <v>61515</v>
      </c>
      <c r="AA3217" s="173">
        <v>1.9662743092222379E-2</v>
      </c>
      <c r="AB3217" s="182">
        <v>1.9526775506246707E-2</v>
      </c>
    </row>
    <row r="3218" spans="24:28" x14ac:dyDescent="0.2">
      <c r="X3218" s="186" t="str">
        <f t="shared" si="83"/>
        <v>1w</v>
      </c>
      <c r="Y3218" s="174">
        <f>_xll.qlCalendarAdvance(Calendar,Y3217,X3218,"f",FALSE)</f>
        <v>61520</v>
      </c>
      <c r="Z3218" s="198">
        <f>_xll.qlCalendarAdvance(Calendar,Y3218,NDays&amp;"D")</f>
        <v>61522</v>
      </c>
      <c r="AA3218" s="173">
        <v>1.966580143063992E-2</v>
      </c>
      <c r="AB3218" s="182">
        <v>1.9529702693885653E-2</v>
      </c>
    </row>
    <row r="3219" spans="24:28" x14ac:dyDescent="0.2">
      <c r="X3219" s="186" t="str">
        <f t="shared" si="83"/>
        <v>1w</v>
      </c>
      <c r="Y3219" s="174">
        <f>_xll.qlCalendarAdvance(Calendar,Y3218,X3219,"f",FALSE)</f>
        <v>61527</v>
      </c>
      <c r="Z3219" s="198">
        <f>_xll.qlCalendarAdvance(Calendar,Y3219,NDays&amp;"D")</f>
        <v>61529</v>
      </c>
      <c r="AA3219" s="173">
        <v>1.9668867623980232E-2</v>
      </c>
      <c r="AB3219" s="182">
        <v>1.9532637654480212E-2</v>
      </c>
    </row>
    <row r="3220" spans="24:28" x14ac:dyDescent="0.2">
      <c r="X3220" s="186" t="str">
        <f t="shared" si="83"/>
        <v>1w</v>
      </c>
      <c r="Y3220" s="174">
        <f>_xll.qlCalendarAdvance(Calendar,Y3219,X3220,"f",FALSE)</f>
        <v>61534</v>
      </c>
      <c r="Z3220" s="198">
        <f>_xll.qlCalendarAdvance(Calendar,Y3220,NDays&amp;"D")</f>
        <v>61536</v>
      </c>
      <c r="AA3220" s="173">
        <v>1.9671941672280036E-2</v>
      </c>
      <c r="AB3220" s="182">
        <v>1.9535580388057028E-2</v>
      </c>
    </row>
    <row r="3221" spans="24:28" x14ac:dyDescent="0.2">
      <c r="X3221" s="186" t="str">
        <f t="shared" ref="X3221:X3284" si="84">X3220</f>
        <v>1w</v>
      </c>
      <c r="Y3221" s="174">
        <f>_xll.qlCalendarAdvance(Calendar,Y3220,X3221,"f",FALSE)</f>
        <v>61541</v>
      </c>
      <c r="Z3221" s="198">
        <f>_xll.qlCalendarAdvance(Calendar,Y3221,NDays&amp;"D")</f>
        <v>61543</v>
      </c>
      <c r="AA3221" s="173">
        <v>1.9675023575576059E-2</v>
      </c>
      <c r="AB3221" s="182">
        <v>1.9538530894562811E-2</v>
      </c>
    </row>
    <row r="3222" spans="24:28" x14ac:dyDescent="0.2">
      <c r="X3222" s="186" t="str">
        <f t="shared" si="84"/>
        <v>1w</v>
      </c>
      <c r="Y3222" s="174">
        <f>_xll.qlCalendarAdvance(Calendar,Y3221,X3222,"f",FALSE)</f>
        <v>61548</v>
      </c>
      <c r="Z3222" s="198">
        <f>_xll.qlCalendarAdvance(Calendar,Y3222,NDays&amp;"D")</f>
        <v>61550</v>
      </c>
      <c r="AA3222" s="173">
        <v>1.9678113333904169E-2</v>
      </c>
      <c r="AB3222" s="182">
        <v>1.9541489173970916E-2</v>
      </c>
    </row>
    <row r="3223" spans="24:28" x14ac:dyDescent="0.2">
      <c r="X3223" s="186" t="str">
        <f t="shared" si="84"/>
        <v>1w</v>
      </c>
      <c r="Y3223" s="174">
        <f>_xll.qlCalendarAdvance(Calendar,Y3222,X3223,"f",FALSE)</f>
        <v>61555</v>
      </c>
      <c r="Z3223" s="198">
        <f>_xll.qlCalendarAdvance(Calendar,Y3223,NDays&amp;"D")</f>
        <v>61557</v>
      </c>
      <c r="AA3223" s="173">
        <v>1.9681210947302817E-2</v>
      </c>
      <c r="AB3223" s="182">
        <v>1.9544455226361279E-2</v>
      </c>
    </row>
    <row r="3224" spans="24:28" x14ac:dyDescent="0.2">
      <c r="X3224" s="186" t="str">
        <f t="shared" si="84"/>
        <v>1w</v>
      </c>
      <c r="Y3224" s="174">
        <f>_xll.qlCalendarAdvance(Calendar,Y3223,X3224,"f",FALSE)</f>
        <v>61562</v>
      </c>
      <c r="Z3224" s="198">
        <f>_xll.qlCalendarAdvance(Calendar,Y3224,NDays&amp;"D")</f>
        <v>61564</v>
      </c>
      <c r="AA3224" s="173">
        <v>1.9684316415808732E-2</v>
      </c>
      <c r="AB3224" s="182">
        <v>1.95474290517339E-2</v>
      </c>
    </row>
    <row r="3225" spans="24:28" x14ac:dyDescent="0.2">
      <c r="X3225" s="186" t="str">
        <f t="shared" si="84"/>
        <v>1w</v>
      </c>
      <c r="Y3225" s="174">
        <f>_xll.qlCalendarAdvance(Calendar,Y3224,X3225,"f",FALSE)</f>
        <v>61569</v>
      </c>
      <c r="Z3225" s="198">
        <f>_xll.qlCalendarAdvance(Calendar,Y3225,NDays&amp;"D")</f>
        <v>61571</v>
      </c>
      <c r="AA3225" s="173">
        <v>1.9687429739459507E-2</v>
      </c>
      <c r="AB3225" s="182">
        <v>1.9550410650035488E-2</v>
      </c>
    </row>
    <row r="3226" spans="24:28" x14ac:dyDescent="0.2">
      <c r="X3226" s="186" t="str">
        <f t="shared" si="84"/>
        <v>1w</v>
      </c>
      <c r="Y3226" s="174">
        <f>_xll.qlCalendarAdvance(Calendar,Y3225,X3226,"f",FALSE)</f>
        <v>61576</v>
      </c>
      <c r="Z3226" s="198">
        <f>_xll.qlCalendarAdvance(Calendar,Y3226,NDays&amp;"D")</f>
        <v>61578</v>
      </c>
      <c r="AA3226" s="173">
        <v>1.9690550918291437E-2</v>
      </c>
      <c r="AB3226" s="182">
        <v>1.9553400021266043E-2</v>
      </c>
    </row>
    <row r="3227" spans="24:28" x14ac:dyDescent="0.2">
      <c r="X3227" s="186" t="str">
        <f t="shared" si="84"/>
        <v>1w</v>
      </c>
      <c r="Y3227" s="174">
        <f>_xll.qlCalendarAdvance(Calendar,Y3226,X3227,"f",FALSE)</f>
        <v>61583</v>
      </c>
      <c r="Z3227" s="198">
        <f>_xll.qlCalendarAdvance(Calendar,Y3227,NDays&amp;"D")</f>
        <v>61585</v>
      </c>
      <c r="AA3227" s="173">
        <v>1.9693679952342974E-2</v>
      </c>
      <c r="AB3227" s="182">
        <v>1.9556397165452211E-2</v>
      </c>
    </row>
    <row r="3228" spans="24:28" x14ac:dyDescent="0.2">
      <c r="X3228" s="186" t="str">
        <f t="shared" si="84"/>
        <v>1w</v>
      </c>
      <c r="Y3228" s="174">
        <f>_xll.qlCalendarAdvance(Calendar,Y3227,X3228,"f",FALSE)</f>
        <v>61590</v>
      </c>
      <c r="Z3228" s="198">
        <f>_xll.qlCalendarAdvance(Calendar,Y3228,NDays&amp;"D")</f>
        <v>61592</v>
      </c>
      <c r="AA3228" s="173">
        <v>1.9696816841650852E-2</v>
      </c>
      <c r="AB3228" s="182">
        <v>1.9559402082647281E-2</v>
      </c>
    </row>
    <row r="3229" spans="24:28" x14ac:dyDescent="0.2">
      <c r="X3229" s="186" t="str">
        <f t="shared" si="84"/>
        <v>1w</v>
      </c>
      <c r="Y3229" s="174">
        <f>_xll.qlCalendarAdvance(Calendar,Y3228,X3229,"f",FALSE)</f>
        <v>61597</v>
      </c>
      <c r="Z3229" s="198">
        <f>_xll.qlCalendarAdvance(Calendar,Y3229,NDays&amp;"D")</f>
        <v>61599</v>
      </c>
      <c r="AA3229" s="173">
        <v>1.9699961586252656E-2</v>
      </c>
      <c r="AB3229" s="182">
        <v>1.9562414772718029E-2</v>
      </c>
    </row>
    <row r="3230" spans="24:28" x14ac:dyDescent="0.2">
      <c r="X3230" s="186" t="str">
        <f t="shared" si="84"/>
        <v>1w</v>
      </c>
      <c r="Y3230" s="174">
        <f>_xll.qlCalendarAdvance(Calendar,Y3229,X3230,"f",FALSE)</f>
        <v>61604</v>
      </c>
      <c r="Z3230" s="198">
        <f>_xll.qlCalendarAdvance(Calendar,Y3230,NDays&amp;"D")</f>
        <v>61606</v>
      </c>
      <c r="AA3230" s="173">
        <v>1.9700053728875372E-2</v>
      </c>
      <c r="AB3230" s="182">
        <v>1.9565435235797679E-2</v>
      </c>
    </row>
    <row r="3231" spans="24:28" x14ac:dyDescent="0.2">
      <c r="X3231" s="186" t="str">
        <f t="shared" si="84"/>
        <v>1w</v>
      </c>
      <c r="Y3231" s="174">
        <f>_xll.qlCalendarAdvance(Calendar,Y3230,X3231,"f",FALSE)</f>
        <v>61611</v>
      </c>
      <c r="Z3231" s="198">
        <f>_xll.qlCalendarAdvance(Calendar,Y3231,NDays&amp;"D")</f>
        <v>61613</v>
      </c>
      <c r="AA3231" s="173">
        <v>1.9703211251889695E-2</v>
      </c>
      <c r="AB3231" s="182">
        <v>1.9568463471832942E-2</v>
      </c>
    </row>
    <row r="3232" spans="24:28" x14ac:dyDescent="0.2">
      <c r="X3232" s="186" t="str">
        <f t="shared" si="84"/>
        <v>1w</v>
      </c>
      <c r="Y3232" s="174">
        <f>_xll.qlCalendarAdvance(Calendar,Y3231,X3232,"f",FALSE)</f>
        <v>61618</v>
      </c>
      <c r="Z3232" s="198">
        <f>_xll.qlCalendarAdvance(Calendar,Y3232,NDays&amp;"D")</f>
        <v>61620</v>
      </c>
      <c r="AA3232" s="173">
        <v>1.9706376628480814E-2</v>
      </c>
      <c r="AB3232" s="182">
        <v>1.9571499480797172E-2</v>
      </c>
    </row>
    <row r="3233" spans="24:28" x14ac:dyDescent="0.2">
      <c r="X3233" s="186" t="str">
        <f t="shared" si="84"/>
        <v>1w</v>
      </c>
      <c r="Y3233" s="174">
        <f>_xll.qlCalendarAdvance(Calendar,Y3232,X3233,"f",FALSE)</f>
        <v>61625</v>
      </c>
      <c r="Z3233" s="198">
        <f>_xll.qlCalendarAdvance(Calendar,Y3233,NDays&amp;"D")</f>
        <v>61627</v>
      </c>
      <c r="AA3233" s="173">
        <v>1.9709549858684498E-2</v>
      </c>
      <c r="AB3233" s="182">
        <v>1.9574543262717015E-2</v>
      </c>
    </row>
    <row r="3234" spans="24:28" x14ac:dyDescent="0.2">
      <c r="X3234" s="186" t="str">
        <f t="shared" si="84"/>
        <v>1w</v>
      </c>
      <c r="Y3234" s="174">
        <f>_xll.qlCalendarAdvance(Calendar,Y3233,X3234,"f",FALSE)</f>
        <v>61632</v>
      </c>
      <c r="Z3234" s="198">
        <f>_xll.qlCalendarAdvance(Calendar,Y3234,NDays&amp;"D")</f>
        <v>61634</v>
      </c>
      <c r="AA3234" s="173">
        <v>1.9713498844826038E-2</v>
      </c>
      <c r="AB3234" s="182">
        <v>1.957759481759247E-2</v>
      </c>
    </row>
    <row r="3235" spans="24:28" x14ac:dyDescent="0.2">
      <c r="X3235" s="186" t="str">
        <f t="shared" si="84"/>
        <v>1w</v>
      </c>
      <c r="Y3235" s="174">
        <f>_xll.qlCalendarAdvance(Calendar,Y3234,X3235,"f",FALSE)</f>
        <v>61639</v>
      </c>
      <c r="Z3235" s="198">
        <f>_xll.qlCalendarAdvance(Calendar,Y3235,NDays&amp;"D")</f>
        <v>61641</v>
      </c>
      <c r="AA3235" s="173">
        <v>1.971668851716021E-2</v>
      </c>
      <c r="AB3235" s="182">
        <v>1.9580654145476828E-2</v>
      </c>
    </row>
    <row r="3236" spans="24:28" x14ac:dyDescent="0.2">
      <c r="X3236" s="186" t="str">
        <f t="shared" si="84"/>
        <v>1w</v>
      </c>
      <c r="Y3236" s="174">
        <f>_xll.qlCalendarAdvance(Calendar,Y3235,X3236,"f",FALSE)</f>
        <v>61646</v>
      </c>
      <c r="Z3236" s="198">
        <f>_xll.qlCalendarAdvance(Calendar,Y3236,NDays&amp;"D")</f>
        <v>61648</v>
      </c>
      <c r="AA3236" s="173">
        <v>1.9722964515060445E-2</v>
      </c>
      <c r="AB3236" s="182">
        <v>1.9583721246263508E-2</v>
      </c>
    </row>
    <row r="3237" spans="24:28" x14ac:dyDescent="0.2">
      <c r="X3237" s="186" t="str">
        <f t="shared" si="84"/>
        <v>1w</v>
      </c>
      <c r="Y3237" s="174">
        <f>_xll.qlCalendarAdvance(Calendar,Y3236,X3237,"f",FALSE)</f>
        <v>61653</v>
      </c>
      <c r="Z3237" s="198">
        <f>_xll.qlCalendarAdvance(Calendar,Y3237,NDays&amp;"D")</f>
        <v>61655</v>
      </c>
      <c r="AA3237" s="173">
        <v>1.9723091424415598E-2</v>
      </c>
      <c r="AB3237" s="182">
        <v>1.9586796120032446E-2</v>
      </c>
    </row>
    <row r="3238" spans="24:28" x14ac:dyDescent="0.2">
      <c r="X3238" s="186" t="str">
        <f t="shared" si="84"/>
        <v>1w</v>
      </c>
      <c r="Y3238" s="174">
        <f>_xll.qlCalendarAdvance(Calendar,Y3237,X3238,"f",FALSE)</f>
        <v>61660</v>
      </c>
      <c r="Z3238" s="198">
        <f>_xll.qlCalendarAdvance(Calendar,Y3238,NDays&amp;"D")</f>
        <v>61662</v>
      </c>
      <c r="AA3238" s="173">
        <v>1.9726304659411921E-2</v>
      </c>
      <c r="AB3238" s="182">
        <v>1.9589878766730351E-2</v>
      </c>
    </row>
    <row r="3239" spans="24:28" x14ac:dyDescent="0.2">
      <c r="X3239" s="186" t="str">
        <f t="shared" si="84"/>
        <v>1w</v>
      </c>
      <c r="Y3239" s="174">
        <f>_xll.qlCalendarAdvance(Calendar,Y3238,X3239,"f",FALSE)</f>
        <v>61667</v>
      </c>
      <c r="Z3239" s="198">
        <f>_xll.qlCalendarAdvance(Calendar,Y3239,NDays&amp;"D")</f>
        <v>61669</v>
      </c>
      <c r="AA3239" s="173">
        <v>1.9728754167861653E-2</v>
      </c>
      <c r="AB3239" s="182">
        <v>1.9592969186410514E-2</v>
      </c>
    </row>
    <row r="3240" spans="24:28" x14ac:dyDescent="0.2">
      <c r="X3240" s="186" t="str">
        <f t="shared" si="84"/>
        <v>1w</v>
      </c>
      <c r="Y3240" s="174">
        <f>_xll.qlCalendarAdvance(Calendar,Y3239,X3240,"f",FALSE)</f>
        <v>61674</v>
      </c>
      <c r="Z3240" s="198">
        <f>_xll.qlCalendarAdvance(Calendar,Y3240,NDays&amp;"D")</f>
        <v>61676</v>
      </c>
      <c r="AA3240" s="173">
        <v>1.9731982374400422E-2</v>
      </c>
      <c r="AB3240" s="182">
        <v>1.9596067379072935E-2</v>
      </c>
    </row>
    <row r="3241" spans="24:28" x14ac:dyDescent="0.2">
      <c r="X3241" s="186" t="str">
        <f t="shared" si="84"/>
        <v>1w</v>
      </c>
      <c r="Y3241" s="174">
        <f>_xll.qlCalendarAdvance(Calendar,Y3240,X3241,"f",FALSE)</f>
        <v>61681</v>
      </c>
      <c r="Z3241" s="198">
        <f>_xll.qlCalendarAdvance(Calendar,Y3241,NDays&amp;"D")</f>
        <v>61683</v>
      </c>
      <c r="AA3241" s="173">
        <v>1.9735218434852514E-2</v>
      </c>
      <c r="AB3241" s="182">
        <v>1.9599173344664322E-2</v>
      </c>
    </row>
    <row r="3242" spans="24:28" x14ac:dyDescent="0.2">
      <c r="X3242" s="186" t="str">
        <f t="shared" si="84"/>
        <v>1w</v>
      </c>
      <c r="Y3242" s="174">
        <f>_xll.qlCalendarAdvance(Calendar,Y3241,X3242,"f",FALSE)</f>
        <v>61688</v>
      </c>
      <c r="Z3242" s="198">
        <f>_xll.qlCalendarAdvance(Calendar,Y3242,NDays&amp;"D")</f>
        <v>61690</v>
      </c>
      <c r="AA3242" s="173">
        <v>1.9738462349255907E-2</v>
      </c>
      <c r="AB3242" s="182">
        <v>1.9602287083211323E-2</v>
      </c>
    </row>
    <row r="3243" spans="24:28" x14ac:dyDescent="0.2">
      <c r="X3243" s="186" t="str">
        <f t="shared" si="84"/>
        <v>1w</v>
      </c>
      <c r="Y3243" s="174">
        <f>_xll.qlCalendarAdvance(Calendar,Y3242,X3243,"f",FALSE)</f>
        <v>61695</v>
      </c>
      <c r="Z3243" s="198">
        <f>_xll.qlCalendarAdvance(Calendar,Y3243,NDays&amp;"D")</f>
        <v>61697</v>
      </c>
      <c r="AA3243" s="173">
        <v>1.9742488649608692E-2</v>
      </c>
      <c r="AB3243" s="182">
        <v>1.9605408594740581E-2</v>
      </c>
    </row>
    <row r="3244" spans="24:28" x14ac:dyDescent="0.2">
      <c r="X3244" s="186" t="str">
        <f t="shared" si="84"/>
        <v>1w</v>
      </c>
      <c r="Y3244" s="174">
        <f>_xll.qlCalendarAdvance(Calendar,Y3243,X3244,"f",FALSE)</f>
        <v>61702</v>
      </c>
      <c r="Z3244" s="198">
        <f>_xll.qlCalendarAdvance(Calendar,Y3244,NDays&amp;"D")</f>
        <v>61704</v>
      </c>
      <c r="AA3244" s="173">
        <v>1.9745749010957946E-2</v>
      </c>
      <c r="AB3244" s="182">
        <v>1.9608537879225452E-2</v>
      </c>
    </row>
    <row r="3245" spans="24:28" x14ac:dyDescent="0.2">
      <c r="X3245" s="186" t="str">
        <f t="shared" si="84"/>
        <v>1w</v>
      </c>
      <c r="Y3245" s="174">
        <f>_xll.qlCalendarAdvance(Calendar,Y3244,X3245,"f",FALSE)</f>
        <v>61709</v>
      </c>
      <c r="Z3245" s="198">
        <f>_xll.qlCalendarAdvance(Calendar,Y3245,NDays&amp;"D")</f>
        <v>61711</v>
      </c>
      <c r="AA3245" s="173">
        <v>1.9749017226833018E-2</v>
      </c>
      <c r="AB3245" s="182">
        <v>1.9611674936665935E-2</v>
      </c>
    </row>
    <row r="3246" spans="24:28" x14ac:dyDescent="0.2">
      <c r="X3246" s="186" t="str">
        <f t="shared" si="84"/>
        <v>1w</v>
      </c>
      <c r="Y3246" s="174">
        <f>_xll.qlCalendarAdvance(Calendar,Y3245,X3246,"f",FALSE)</f>
        <v>61716</v>
      </c>
      <c r="Z3246" s="198">
        <f>_xll.qlCalendarAdvance(Calendar,Y3246,NDays&amp;"D")</f>
        <v>61718</v>
      </c>
      <c r="AA3246" s="173">
        <v>1.9752293297272561E-2</v>
      </c>
      <c r="AB3246" s="182">
        <v>1.9614819767088676E-2</v>
      </c>
    </row>
    <row r="3247" spans="24:28" x14ac:dyDescent="0.2">
      <c r="X3247" s="186" t="str">
        <f t="shared" si="84"/>
        <v>1w</v>
      </c>
      <c r="Y3247" s="174">
        <f>_xll.qlCalendarAdvance(Calendar,Y3246,X3247,"f",FALSE)</f>
        <v>61724</v>
      </c>
      <c r="Z3247" s="198">
        <f>_xll.qlCalendarAdvance(Calendar,Y3247,NDays&amp;"D")</f>
        <v>61728</v>
      </c>
      <c r="AA3247" s="173">
        <v>1.9754653896762703E-2</v>
      </c>
      <c r="AB3247" s="182">
        <v>1.9618565593830795E-2</v>
      </c>
    </row>
    <row r="3248" spans="24:28" x14ac:dyDescent="0.2">
      <c r="X3248" s="186" t="str">
        <f t="shared" si="84"/>
        <v>1w</v>
      </c>
      <c r="Y3248" s="174">
        <f>_xll.qlCalendarAdvance(Calendar,Y3247,X3248,"f",FALSE)</f>
        <v>61731</v>
      </c>
      <c r="Z3248" s="198">
        <f>_xll.qlCalendarAdvance(Calendar,Y3248,NDays&amp;"D")</f>
        <v>61735</v>
      </c>
      <c r="AA3248" s="173">
        <v>1.9760282169213682E-2</v>
      </c>
      <c r="AB3248" s="182">
        <v>1.9620967671407641E-2</v>
      </c>
    </row>
    <row r="3249" spans="24:28" x14ac:dyDescent="0.2">
      <c r="X3249" s="186" t="str">
        <f t="shared" si="84"/>
        <v>1w</v>
      </c>
      <c r="Y3249" s="174">
        <f>_xll.qlCalendarAdvance(Calendar,Y3248,X3249,"f",FALSE)</f>
        <v>61738</v>
      </c>
      <c r="Z3249" s="198">
        <f>_xll.qlCalendarAdvance(Calendar,Y3249,NDays&amp;"D")</f>
        <v>61742</v>
      </c>
      <c r="AA3249" s="173">
        <v>1.9763585169882702E-2</v>
      </c>
      <c r="AB3249" s="182">
        <v>1.9624137695970489E-2</v>
      </c>
    </row>
    <row r="3250" spans="24:28" x14ac:dyDescent="0.2">
      <c r="X3250" s="186" t="str">
        <f t="shared" si="84"/>
        <v>1w</v>
      </c>
      <c r="Y3250" s="174">
        <f>_xll.qlCalendarAdvance(Calendar,Y3249,X3250,"f",FALSE)</f>
        <v>61745</v>
      </c>
      <c r="Z3250" s="198">
        <f>_xll.qlCalendarAdvance(Calendar,Y3250,NDays&amp;"D")</f>
        <v>61749</v>
      </c>
      <c r="AA3250" s="173">
        <v>1.9766896025287483E-2</v>
      </c>
      <c r="AB3250" s="182">
        <v>1.9627315492556363E-2</v>
      </c>
    </row>
    <row r="3251" spans="24:28" x14ac:dyDescent="0.2">
      <c r="X3251" s="186" t="str">
        <f t="shared" si="84"/>
        <v>1w</v>
      </c>
      <c r="Y3251" s="174">
        <f>_xll.qlCalendarAdvance(Calendar,Y3250,X3251,"f",FALSE)</f>
        <v>61752</v>
      </c>
      <c r="Z3251" s="198">
        <f>_xll.qlCalendarAdvance(Calendar,Y3251,NDays&amp;"D")</f>
        <v>61756</v>
      </c>
      <c r="AA3251" s="173">
        <v>1.9770214735467997E-2</v>
      </c>
      <c r="AB3251" s="182">
        <v>1.9630501061245198E-2</v>
      </c>
    </row>
    <row r="3252" spans="24:28" x14ac:dyDescent="0.2">
      <c r="X3252" s="186" t="str">
        <f t="shared" si="84"/>
        <v>1w</v>
      </c>
      <c r="Y3252" s="174">
        <f>_xll.qlCalendarAdvance(Calendar,Y3251,X3252,"f",FALSE)</f>
        <v>61759</v>
      </c>
      <c r="Z3252" s="198">
        <f>_xll.qlCalendarAdvance(Calendar,Y3252,NDays&amp;"D")</f>
        <v>61763</v>
      </c>
      <c r="AA3252" s="173">
        <v>1.9773541300462889E-2</v>
      </c>
      <c r="AB3252" s="182">
        <v>1.9633694402036994E-2</v>
      </c>
    </row>
    <row r="3253" spans="24:28" x14ac:dyDescent="0.2">
      <c r="X3253" s="186" t="str">
        <f t="shared" si="84"/>
        <v>1w</v>
      </c>
      <c r="Y3253" s="174">
        <f>_xll.qlCalendarAdvance(Calendar,Y3252,X3253,"f",FALSE)</f>
        <v>61766</v>
      </c>
      <c r="Z3253" s="198">
        <f>_xll.qlCalendarAdvance(Calendar,Y3253,NDays&amp;"D")</f>
        <v>61770</v>
      </c>
      <c r="AA3253" s="173">
        <v>1.9776875720311254E-2</v>
      </c>
      <c r="AB3253" s="182">
        <v>1.9636895514851815E-2</v>
      </c>
    </row>
    <row r="3254" spans="24:28" x14ac:dyDescent="0.2">
      <c r="X3254" s="186" t="str">
        <f t="shared" si="84"/>
        <v>1w</v>
      </c>
      <c r="Y3254" s="174">
        <f>_xll.qlCalendarAdvance(Calendar,Y3253,X3254,"f",FALSE)</f>
        <v>61773</v>
      </c>
      <c r="Z3254" s="198">
        <f>_xll.qlCalendarAdvance(Calendar,Y3254,NDays&amp;"D")</f>
        <v>61777</v>
      </c>
      <c r="AA3254" s="173">
        <v>1.978021799505306E-2</v>
      </c>
      <c r="AB3254" s="182">
        <v>1.9640104399769598E-2</v>
      </c>
    </row>
    <row r="3255" spans="24:28" x14ac:dyDescent="0.2">
      <c r="X3255" s="186" t="str">
        <f t="shared" si="84"/>
        <v>1w</v>
      </c>
      <c r="Y3255" s="174">
        <f>_xll.qlCalendarAdvance(Calendar,Y3254,X3255,"f",FALSE)</f>
        <v>61780</v>
      </c>
      <c r="Z3255" s="198">
        <f>_xll.qlCalendarAdvance(Calendar,Y3255,NDays&amp;"D")</f>
        <v>61784</v>
      </c>
      <c r="AA3255" s="173">
        <v>1.9783568124727393E-2</v>
      </c>
      <c r="AB3255" s="182">
        <v>1.9643321056790342E-2</v>
      </c>
    </row>
    <row r="3256" spans="24:28" x14ac:dyDescent="0.2">
      <c r="X3256" s="186" t="str">
        <f t="shared" si="84"/>
        <v>1w</v>
      </c>
      <c r="Y3256" s="174">
        <f>_xll.qlCalendarAdvance(Calendar,Y3255,X3256,"f",FALSE)</f>
        <v>61787</v>
      </c>
      <c r="Z3256" s="198">
        <f>_xll.qlCalendarAdvance(Calendar,Y3256,NDays&amp;"D")</f>
        <v>61791</v>
      </c>
      <c r="AA3256" s="173">
        <v>1.9788495395088482E-2</v>
      </c>
      <c r="AB3256" s="182">
        <v>1.964654548583411E-2</v>
      </c>
    </row>
    <row r="3257" spans="24:28" x14ac:dyDescent="0.2">
      <c r="X3257" s="186" t="str">
        <f t="shared" si="84"/>
        <v>1w</v>
      </c>
      <c r="Y3257" s="174">
        <f>_xll.qlCalendarAdvance(Calendar,Y3256,X3257,"f",FALSE)</f>
        <v>61794</v>
      </c>
      <c r="Z3257" s="198">
        <f>_xll.qlCalendarAdvance(Calendar,Y3257,NDays&amp;"D")</f>
        <v>61798</v>
      </c>
      <c r="AA3257" s="173">
        <v>1.9791862725244067E-2</v>
      </c>
      <c r="AB3257" s="182">
        <v>1.9649777686661096E-2</v>
      </c>
    </row>
    <row r="3258" spans="24:28" x14ac:dyDescent="0.2">
      <c r="X3258" s="186" t="str">
        <f t="shared" si="84"/>
        <v>1w</v>
      </c>
      <c r="Y3258" s="174">
        <f>_xll.qlCalendarAdvance(Calendar,Y3257,X3258,"f",FALSE)</f>
        <v>61801</v>
      </c>
      <c r="Z3258" s="198">
        <f>_xll.qlCalendarAdvance(Calendar,Y3258,NDays&amp;"D")</f>
        <v>61805</v>
      </c>
      <c r="AA3258" s="173">
        <v>1.979523791137856E-2</v>
      </c>
      <c r="AB3258" s="182">
        <v>1.9653017659990724E-2</v>
      </c>
    </row>
    <row r="3259" spans="24:28" x14ac:dyDescent="0.2">
      <c r="X3259" s="186" t="str">
        <f t="shared" si="84"/>
        <v>1w</v>
      </c>
      <c r="Y3259" s="174">
        <f>_xll.qlCalendarAdvance(Calendar,Y3258,X3259,"f",FALSE)</f>
        <v>61808</v>
      </c>
      <c r="Z3259" s="198">
        <f>_xll.qlCalendarAdvance(Calendar,Y3259,NDays&amp;"D")</f>
        <v>61812</v>
      </c>
      <c r="AA3259" s="173">
        <v>1.9798620953532797E-2</v>
      </c>
      <c r="AB3259" s="182">
        <v>1.9656265405103568E-2</v>
      </c>
    </row>
    <row r="3260" spans="24:28" x14ac:dyDescent="0.2">
      <c r="X3260" s="186" t="str">
        <f t="shared" si="84"/>
        <v>1w</v>
      </c>
      <c r="Y3260" s="174">
        <f>_xll.qlCalendarAdvance(Calendar,Y3259,X3260,"f",FALSE)</f>
        <v>61815</v>
      </c>
      <c r="Z3260" s="198">
        <f>_xll.qlCalendarAdvance(Calendar,Y3260,NDays&amp;"D")</f>
        <v>61819</v>
      </c>
      <c r="AA3260" s="173">
        <v>1.9801224175080852E-2</v>
      </c>
      <c r="AB3260" s="182">
        <v>1.9659520922399309E-2</v>
      </c>
    </row>
    <row r="3261" spans="24:28" x14ac:dyDescent="0.2">
      <c r="X3261" s="186" t="str">
        <f t="shared" si="84"/>
        <v>1w</v>
      </c>
      <c r="Y3261" s="174">
        <f>_xll.qlCalendarAdvance(Calendar,Y3260,X3261,"f",FALSE)</f>
        <v>61822</v>
      </c>
      <c r="Z3261" s="198">
        <f>_xll.qlCalendarAdvance(Calendar,Y3261,NDays&amp;"D")</f>
        <v>61826</v>
      </c>
      <c r="AA3261" s="173">
        <v>1.9804622182249172E-2</v>
      </c>
      <c r="AB3261" s="182">
        <v>1.9662784211798012E-2</v>
      </c>
    </row>
    <row r="3262" spans="24:28" x14ac:dyDescent="0.2">
      <c r="X3262" s="186" t="str">
        <f t="shared" si="84"/>
        <v>1w</v>
      </c>
      <c r="Y3262" s="174">
        <f>_xll.qlCalendarAdvance(Calendar,Y3261,X3262,"f",FALSE)</f>
        <v>61829</v>
      </c>
      <c r="Z3262" s="198">
        <f>_xll.qlCalendarAdvance(Calendar,Y3262,NDays&amp;"D")</f>
        <v>61835</v>
      </c>
      <c r="AA3262" s="173">
        <v>1.9809002591648313E-2</v>
      </c>
      <c r="AB3262" s="182">
        <v>1.9666991289684077E-2</v>
      </c>
    </row>
    <row r="3263" spans="24:28" x14ac:dyDescent="0.2">
      <c r="X3263" s="186" t="str">
        <f t="shared" si="84"/>
        <v>1w</v>
      </c>
      <c r="Y3263" s="174">
        <f>_xll.qlCalendarAdvance(Calendar,Y3262,X3263,"f",FALSE)</f>
        <v>61836</v>
      </c>
      <c r="Z3263" s="198">
        <f>_xll.qlCalendarAdvance(Calendar,Y3263,NDays&amp;"D")</f>
        <v>61840</v>
      </c>
      <c r="AA3263" s="173">
        <v>1.9811441763653233E-2</v>
      </c>
      <c r="AB3263" s="182">
        <v>1.9669334106664493E-2</v>
      </c>
    </row>
    <row r="3264" spans="24:28" x14ac:dyDescent="0.2">
      <c r="X3264" s="186" t="str">
        <f t="shared" si="84"/>
        <v>1w</v>
      </c>
      <c r="Y3264" s="174">
        <f>_xll.qlCalendarAdvance(Calendar,Y3263,X3264,"f",FALSE)</f>
        <v>61843</v>
      </c>
      <c r="Z3264" s="198">
        <f>_xll.qlCalendarAdvance(Calendar,Y3264,NDays&amp;"D")</f>
        <v>61847</v>
      </c>
      <c r="AA3264" s="173">
        <v>1.9814863337968915E-2</v>
      </c>
      <c r="AB3264" s="182">
        <v>1.9672620712132272E-2</v>
      </c>
    </row>
    <row r="3265" spans="24:28" x14ac:dyDescent="0.2">
      <c r="X3265" s="186" t="str">
        <f t="shared" si="84"/>
        <v>1w</v>
      </c>
      <c r="Y3265" s="174">
        <f>_xll.qlCalendarAdvance(Calendar,Y3264,X3265,"f",FALSE)</f>
        <v>61850</v>
      </c>
      <c r="Z3265" s="198">
        <f>_xll.qlCalendarAdvance(Calendar,Y3265,NDays&amp;"D")</f>
        <v>61854</v>
      </c>
      <c r="AA3265" s="173">
        <v>1.9819084181953682E-2</v>
      </c>
      <c r="AB3265" s="182">
        <v>1.9675915089782947E-2</v>
      </c>
    </row>
    <row r="3266" spans="24:28" x14ac:dyDescent="0.2">
      <c r="X3266" s="186" t="str">
        <f t="shared" si="84"/>
        <v>1w</v>
      </c>
      <c r="Y3266" s="174">
        <f>_xll.qlCalendarAdvance(Calendar,Y3265,X3266,"f",FALSE)</f>
        <v>61857</v>
      </c>
      <c r="Z3266" s="198">
        <f>_xll.qlCalendarAdvance(Calendar,Y3266,NDays&amp;"D")</f>
        <v>61861</v>
      </c>
      <c r="AA3266" s="173">
        <v>1.9822521932224654E-2</v>
      </c>
      <c r="AB3266" s="182">
        <v>1.9679217239376712E-2</v>
      </c>
    </row>
    <row r="3267" spans="24:28" x14ac:dyDescent="0.2">
      <c r="X3267" s="186" t="str">
        <f t="shared" si="84"/>
        <v>1w</v>
      </c>
      <c r="Y3267" s="174">
        <f>_xll.qlCalendarAdvance(Calendar,Y3266,X3267,"f",FALSE)</f>
        <v>61864</v>
      </c>
      <c r="Z3267" s="198">
        <f>_xll.qlCalendarAdvance(Calendar,Y3267,NDays&amp;"D")</f>
        <v>61868</v>
      </c>
      <c r="AA3267" s="173">
        <v>1.982596649236221E-2</v>
      </c>
      <c r="AB3267" s="182">
        <v>1.968252716123331E-2</v>
      </c>
    </row>
    <row r="3268" spans="24:28" x14ac:dyDescent="0.2">
      <c r="X3268" s="186" t="str">
        <f t="shared" si="84"/>
        <v>1w</v>
      </c>
      <c r="Y3268" s="174">
        <f>_xll.qlCalendarAdvance(Calendar,Y3267,X3268,"f",FALSE)</f>
        <v>61871</v>
      </c>
      <c r="Z3268" s="198">
        <f>_xll.qlCalendarAdvance(Calendar,Y3268,NDays&amp;"D")</f>
        <v>61875</v>
      </c>
      <c r="AA3268" s="173">
        <v>1.9829417048474355E-2</v>
      </c>
      <c r="AB3268" s="182">
        <v>1.9685844855032997E-2</v>
      </c>
    </row>
    <row r="3269" spans="24:28" x14ac:dyDescent="0.2">
      <c r="X3269" s="186" t="str">
        <f t="shared" si="84"/>
        <v>1w</v>
      </c>
      <c r="Y3269" s="174">
        <f>_xll.qlCalendarAdvance(Calendar,Y3268,X3269,"f",FALSE)</f>
        <v>61878</v>
      </c>
      <c r="Z3269" s="198">
        <f>_xll.qlCalendarAdvance(Calendar,Y3269,NDays&amp;"D")</f>
        <v>61882</v>
      </c>
      <c r="AA3269" s="173">
        <v>1.9832079349414646E-2</v>
      </c>
      <c r="AB3269" s="182">
        <v>1.9689170320935645E-2</v>
      </c>
    </row>
    <row r="3270" spans="24:28" x14ac:dyDescent="0.2">
      <c r="X3270" s="186" t="str">
        <f t="shared" si="84"/>
        <v>1w</v>
      </c>
      <c r="Y3270" s="174">
        <f>_xll.qlCalendarAdvance(Calendar,Y3269,X3270,"f",FALSE)</f>
        <v>61885</v>
      </c>
      <c r="Z3270" s="198">
        <f>_xll.qlCalendarAdvance(Calendar,Y3270,NDays&amp;"D")</f>
        <v>61889</v>
      </c>
      <c r="AA3270" s="173">
        <v>1.9835539204966429E-2</v>
      </c>
      <c r="AB3270" s="182">
        <v>1.9692503558861318E-2</v>
      </c>
    </row>
    <row r="3271" spans="24:28" x14ac:dyDescent="0.2">
      <c r="X3271" s="186" t="str">
        <f t="shared" si="84"/>
        <v>1w</v>
      </c>
      <c r="Y3271" s="174">
        <f>_xll.qlCalendarAdvance(Calendar,Y3270,X3271,"f",FALSE)</f>
        <v>61892</v>
      </c>
      <c r="Z3271" s="198">
        <f>_xll.qlCalendarAdvance(Calendar,Y3271,NDays&amp;"D")</f>
        <v>61896</v>
      </c>
      <c r="AA3271" s="173">
        <v>1.9839002707952916E-2</v>
      </c>
      <c r="AB3271" s="182">
        <v>1.9695844568810017E-2</v>
      </c>
    </row>
    <row r="3272" spans="24:28" x14ac:dyDescent="0.2">
      <c r="X3272" s="186" t="str">
        <f t="shared" si="84"/>
        <v>1w</v>
      </c>
      <c r="Y3272" s="174">
        <f>_xll.qlCalendarAdvance(Calendar,Y3271,X3272,"f",FALSE)</f>
        <v>61899</v>
      </c>
      <c r="Z3272" s="198">
        <f>_xll.qlCalendarAdvance(Calendar,Y3272,NDays&amp;"D")</f>
        <v>61903</v>
      </c>
      <c r="AA3272" s="173">
        <v>1.984246904005733E-2</v>
      </c>
      <c r="AB3272" s="182">
        <v>1.9699193351021549E-2</v>
      </c>
    </row>
    <row r="3273" spans="24:28" x14ac:dyDescent="0.2">
      <c r="X3273" s="186" t="str">
        <f t="shared" si="84"/>
        <v>1w</v>
      </c>
      <c r="Y3273" s="174">
        <f>_xll.qlCalendarAdvance(Calendar,Y3272,X3273,"f",FALSE)</f>
        <v>61906</v>
      </c>
      <c r="Z3273" s="198">
        <f>_xll.qlCalendarAdvance(Calendar,Y3273,NDays&amp;"D")</f>
        <v>61910</v>
      </c>
      <c r="AA3273" s="173">
        <v>1.9847525183020638E-2</v>
      </c>
      <c r="AB3273" s="182">
        <v>1.9702549905096234E-2</v>
      </c>
    </row>
    <row r="3274" spans="24:28" x14ac:dyDescent="0.2">
      <c r="X3274" s="186" t="str">
        <f t="shared" si="84"/>
        <v>1w</v>
      </c>
      <c r="Y3274" s="174">
        <f>_xll.qlCalendarAdvance(Calendar,Y3273,X3274,"f",FALSE)</f>
        <v>61913</v>
      </c>
      <c r="Z3274" s="198">
        <f>_xll.qlCalendarAdvance(Calendar,Y3274,NDays&amp;"D")</f>
        <v>61917</v>
      </c>
      <c r="AA3274" s="173">
        <v>1.9850200721974839E-2</v>
      </c>
      <c r="AB3274" s="182">
        <v>1.9705914231193944E-2</v>
      </c>
    </row>
    <row r="3275" spans="24:28" x14ac:dyDescent="0.2">
      <c r="X3275" s="186" t="str">
        <f t="shared" si="84"/>
        <v>1w</v>
      </c>
      <c r="Y3275" s="174">
        <f>_xll.qlCalendarAdvance(Calendar,Y3274,X3275,"f",FALSE)</f>
        <v>61920</v>
      </c>
      <c r="Z3275" s="198">
        <f>_xll.qlCalendarAdvance(Calendar,Y3275,NDays&amp;"D")</f>
        <v>61924</v>
      </c>
      <c r="AA3275" s="173">
        <v>1.9853670460467886E-2</v>
      </c>
      <c r="AB3275" s="182">
        <v>1.9709286329554487E-2</v>
      </c>
    </row>
    <row r="3276" spans="24:28" x14ac:dyDescent="0.2">
      <c r="X3276" s="186" t="str">
        <f t="shared" si="84"/>
        <v>1w</v>
      </c>
      <c r="Y3276" s="174">
        <f>_xll.qlCalendarAdvance(Calendar,Y3275,X3276,"f",FALSE)</f>
        <v>61927</v>
      </c>
      <c r="Z3276" s="198">
        <f>_xll.qlCalendarAdvance(Calendar,Y3276,NDays&amp;"D")</f>
        <v>61931</v>
      </c>
      <c r="AA3276" s="173">
        <v>1.9857139683597959E-2</v>
      </c>
      <c r="AB3276" s="182">
        <v>1.9712666200017992E-2</v>
      </c>
    </row>
    <row r="3277" spans="24:28" x14ac:dyDescent="0.2">
      <c r="X3277" s="186" t="str">
        <f t="shared" si="84"/>
        <v>1w</v>
      </c>
      <c r="Y3277" s="174">
        <f>_xll.qlCalendarAdvance(Calendar,Y3276,X3277,"f",FALSE)</f>
        <v>61934</v>
      </c>
      <c r="Z3277" s="198">
        <f>_xll.qlCalendarAdvance(Calendar,Y3277,NDays&amp;"D")</f>
        <v>61938</v>
      </c>
      <c r="AA3277" s="173">
        <v>1.9860607577420499E-2</v>
      </c>
      <c r="AB3277" s="182">
        <v>1.971605384234465E-2</v>
      </c>
    </row>
    <row r="3278" spans="24:28" x14ac:dyDescent="0.2">
      <c r="X3278" s="186" t="str">
        <f t="shared" si="84"/>
        <v>1w</v>
      </c>
      <c r="Y3278" s="174">
        <f>_xll.qlCalendarAdvance(Calendar,Y3277,X3278,"f",FALSE)</f>
        <v>61941</v>
      </c>
      <c r="Z3278" s="198">
        <f>_xll.qlCalendarAdvance(Calendar,Y3278,NDays&amp;"D")</f>
        <v>61945</v>
      </c>
      <c r="AA3278" s="173">
        <v>1.9864073327988771E-2</v>
      </c>
      <c r="AB3278" s="182">
        <v>1.9719449256774269E-2</v>
      </c>
    </row>
    <row r="3279" spans="24:28" x14ac:dyDescent="0.2">
      <c r="X3279" s="186" t="str">
        <f t="shared" si="84"/>
        <v>1w</v>
      </c>
      <c r="Y3279" s="174">
        <f>_xll.qlCalendarAdvance(Calendar,Y3278,X3279,"f",FALSE)</f>
        <v>61948</v>
      </c>
      <c r="Z3279" s="198">
        <f>_xll.qlCalendarAdvance(Calendar,Y3279,NDays&amp;"D")</f>
        <v>61952</v>
      </c>
      <c r="AA3279" s="173">
        <v>1.986753612134735E-2</v>
      </c>
      <c r="AB3279" s="182">
        <v>1.9722852443386785E-2</v>
      </c>
    </row>
    <row r="3280" spans="24:28" x14ac:dyDescent="0.2">
      <c r="X3280" s="186" t="str">
        <f t="shared" si="84"/>
        <v>1w</v>
      </c>
      <c r="Y3280" s="174">
        <f>_xll.qlCalendarAdvance(Calendar,Y3279,X3280,"f",FALSE)</f>
        <v>61955</v>
      </c>
      <c r="Z3280" s="198">
        <f>_xll.qlCalendarAdvance(Calendar,Y3280,NDays&amp;"D")</f>
        <v>61959</v>
      </c>
      <c r="AA3280" s="173">
        <v>1.9870995143536463E-2</v>
      </c>
      <c r="AB3280" s="182">
        <v>1.9726263402022326E-2</v>
      </c>
    </row>
    <row r="3281" spans="24:28" x14ac:dyDescent="0.2">
      <c r="X3281" s="186" t="str">
        <f t="shared" si="84"/>
        <v>1w</v>
      </c>
      <c r="Y3281" s="174">
        <f>_xll.qlCalendarAdvance(Calendar,Y3280,X3281,"f",FALSE)</f>
        <v>61962</v>
      </c>
      <c r="Z3281" s="198">
        <f>_xll.qlCalendarAdvance(Calendar,Y3281,NDays&amp;"D")</f>
        <v>61966</v>
      </c>
      <c r="AA3281" s="173">
        <v>1.9874449580590696E-2</v>
      </c>
      <c r="AB3281" s="182">
        <v>1.9729682132760828E-2</v>
      </c>
    </row>
    <row r="3282" spans="24:28" x14ac:dyDescent="0.2">
      <c r="X3282" s="186" t="str">
        <f t="shared" si="84"/>
        <v>1w</v>
      </c>
      <c r="Y3282" s="174">
        <f>_xll.qlCalendarAdvance(Calendar,Y3281,X3282,"f",FALSE)</f>
        <v>61969</v>
      </c>
      <c r="Z3282" s="198">
        <f>_xll.qlCalendarAdvance(Calendar,Y3282,NDays&amp;"D")</f>
        <v>61973</v>
      </c>
      <c r="AA3282" s="173">
        <v>1.9876317199700611E-2</v>
      </c>
      <c r="AB3282" s="182">
        <v>1.973310863544242E-2</v>
      </c>
    </row>
    <row r="3283" spans="24:28" x14ac:dyDescent="0.2">
      <c r="X3283" s="186" t="str">
        <f t="shared" si="84"/>
        <v>1w</v>
      </c>
      <c r="Y3283" s="174">
        <f>_xll.qlCalendarAdvance(Calendar,Y3282,X3283,"f",FALSE)</f>
        <v>61976</v>
      </c>
      <c r="Z3283" s="198">
        <f>_xll.qlCalendarAdvance(Calendar,Y3283,NDays&amp;"D")</f>
        <v>61980</v>
      </c>
      <c r="AA3283" s="173">
        <v>1.9879761256707668E-2</v>
      </c>
      <c r="AB3283" s="182">
        <v>1.9736542910226973E-2</v>
      </c>
    </row>
    <row r="3284" spans="24:28" x14ac:dyDescent="0.2">
      <c r="X3284" s="186" t="str">
        <f t="shared" si="84"/>
        <v>1w</v>
      </c>
      <c r="Y3284" s="174">
        <f>_xll.qlCalendarAdvance(Calendar,Y3283,X3284,"f",FALSE)</f>
        <v>61983</v>
      </c>
      <c r="Z3284" s="198">
        <f>_xll.qlCalendarAdvance(Calendar,Y3284,NDays&amp;"D")</f>
        <v>61987</v>
      </c>
      <c r="AA3284" s="173">
        <v>1.988319835891228E-2</v>
      </c>
      <c r="AB3284" s="182">
        <v>1.9739984957194423E-2</v>
      </c>
    </row>
    <row r="3285" spans="24:28" x14ac:dyDescent="0.2">
      <c r="X3285" s="186" t="str">
        <f t="shared" ref="X3285:X3348" si="85">X3284</f>
        <v>1w</v>
      </c>
      <c r="Y3285" s="174">
        <f>_xll.qlCalendarAdvance(Calendar,Y3284,X3285,"f",FALSE)</f>
        <v>61990</v>
      </c>
      <c r="Z3285" s="198">
        <f>_xll.qlCalendarAdvance(Calendar,Y3285,NDays&amp;"D")</f>
        <v>61994</v>
      </c>
      <c r="AA3285" s="173">
        <v>1.9886627683471107E-2</v>
      </c>
      <c r="AB3285" s="182">
        <v>1.9743434776184898E-2</v>
      </c>
    </row>
    <row r="3286" spans="24:28" x14ac:dyDescent="0.2">
      <c r="X3286" s="186" t="str">
        <f t="shared" si="85"/>
        <v>1w</v>
      </c>
      <c r="Y3286" s="174">
        <f>_xll.qlCalendarAdvance(Calendar,Y3285,X3286,"f",FALSE)</f>
        <v>61997</v>
      </c>
      <c r="Z3286" s="198">
        <f>_xll.qlCalendarAdvance(Calendar,Y3286,NDays&amp;"D")</f>
        <v>62001</v>
      </c>
      <c r="AA3286" s="173">
        <v>1.9886895689081949E-2</v>
      </c>
      <c r="AB3286" s="182">
        <v>1.9746892367198399E-2</v>
      </c>
    </row>
    <row r="3287" spans="24:28" x14ac:dyDescent="0.2">
      <c r="X3287" s="186" t="str">
        <f t="shared" si="85"/>
        <v>1w</v>
      </c>
      <c r="Y3287" s="174">
        <f>_xll.qlCalendarAdvance(Calendar,Y3286,X3287,"f",FALSE)</f>
        <v>62004</v>
      </c>
      <c r="Z3287" s="198">
        <f>_xll.qlCalendarAdvance(Calendar,Y3287,NDays&amp;"D")</f>
        <v>62008</v>
      </c>
      <c r="AA3287" s="173">
        <v>1.9893459708259651E-2</v>
      </c>
      <c r="AB3287" s="182">
        <v>1.9750357730394796E-2</v>
      </c>
    </row>
    <row r="3288" spans="24:28" x14ac:dyDescent="0.2">
      <c r="X3288" s="186" t="str">
        <f t="shared" si="85"/>
        <v>1w</v>
      </c>
      <c r="Y3288" s="174">
        <f>_xll.qlCalendarAdvance(Calendar,Y3287,X3288,"f",FALSE)</f>
        <v>62011</v>
      </c>
      <c r="Z3288" s="198">
        <f>_xll.qlCalendarAdvance(Calendar,Y3288,NDays&amp;"D")</f>
        <v>62015</v>
      </c>
      <c r="AA3288" s="173">
        <v>1.9896860762778981E-2</v>
      </c>
      <c r="AB3288" s="182">
        <v>1.9753830865614219E-2</v>
      </c>
    </row>
    <row r="3289" spans="24:28" x14ac:dyDescent="0.2">
      <c r="X3289" s="186" t="str">
        <f t="shared" si="85"/>
        <v>1w</v>
      </c>
      <c r="Y3289" s="174">
        <f>_xll.qlCalendarAdvance(Calendar,Y3288,X3289,"f",FALSE)</f>
        <v>62018</v>
      </c>
      <c r="Z3289" s="198">
        <f>_xll.qlCalendarAdvance(Calendar,Y3289,NDays&amp;"D")</f>
        <v>62022</v>
      </c>
      <c r="AA3289" s="173">
        <v>1.9900250748231773E-2</v>
      </c>
      <c r="AB3289" s="182">
        <v>1.9757311772696795E-2</v>
      </c>
    </row>
    <row r="3290" spans="24:28" x14ac:dyDescent="0.2">
      <c r="X3290" s="186" t="str">
        <f t="shared" si="85"/>
        <v>1w</v>
      </c>
      <c r="Y3290" s="174">
        <f>_xll.qlCalendarAdvance(Calendar,Y3289,X3290,"f",FALSE)</f>
        <v>62025</v>
      </c>
      <c r="Z3290" s="198">
        <f>_xll.qlCalendarAdvance(Calendar,Y3290,NDays&amp;"D")</f>
        <v>62029</v>
      </c>
      <c r="AA3290" s="173">
        <v>1.9903628841749656E-2</v>
      </c>
      <c r="AB3290" s="182">
        <v>1.976080045212214E-2</v>
      </c>
    </row>
    <row r="3291" spans="24:28" x14ac:dyDescent="0.2">
      <c r="X3291" s="186" t="str">
        <f t="shared" si="85"/>
        <v>1w</v>
      </c>
      <c r="Y3291" s="174">
        <f>_xll.qlCalendarAdvance(Calendar,Y3290,X3291,"f",FALSE)</f>
        <v>62032</v>
      </c>
      <c r="Z3291" s="198">
        <f>_xll.qlCalendarAdvance(Calendar,Y3291,NDays&amp;"D")</f>
        <v>62036</v>
      </c>
      <c r="AA3291" s="173">
        <v>1.9906994220458111E-2</v>
      </c>
      <c r="AB3291" s="182">
        <v>1.9764296831468187E-2</v>
      </c>
    </row>
    <row r="3292" spans="24:28" x14ac:dyDescent="0.2">
      <c r="X3292" s="186" t="str">
        <f t="shared" si="85"/>
        <v>1w</v>
      </c>
      <c r="Y3292" s="174">
        <f>_xll.qlCalendarAdvance(Calendar,Y3291,X3292,"f",FALSE)</f>
        <v>62039</v>
      </c>
      <c r="Z3292" s="198">
        <f>_xll.qlCalendarAdvance(Calendar,Y3292,NDays&amp;"D")</f>
        <v>62043</v>
      </c>
      <c r="AA3292" s="173">
        <v>1.991034619861469E-2</v>
      </c>
      <c r="AB3292" s="182">
        <v>1.9767788951501331E-2</v>
      </c>
    </row>
    <row r="3293" spans="24:28" x14ac:dyDescent="0.2">
      <c r="X3293" s="186" t="str">
        <f t="shared" si="85"/>
        <v>1w</v>
      </c>
      <c r="Y3293" s="174">
        <f>_xll.qlCalendarAdvance(Calendar,Y3292,X3293,"f",FALSE)</f>
        <v>62046</v>
      </c>
      <c r="Z3293" s="198">
        <f>_xll.qlCalendarAdvance(Calendar,Y3293,NDays&amp;"D")</f>
        <v>62050</v>
      </c>
      <c r="AA3293" s="173">
        <v>1.9913684639013978E-2</v>
      </c>
      <c r="AB3293" s="182">
        <v>1.9771267662260783E-2</v>
      </c>
    </row>
    <row r="3294" spans="24:28" x14ac:dyDescent="0.2">
      <c r="X3294" s="186" t="str">
        <f t="shared" si="85"/>
        <v>1w</v>
      </c>
      <c r="Y3294" s="174">
        <f>_xll.qlCalendarAdvance(Calendar,Y3293,X3294,"f",FALSE)</f>
        <v>62053</v>
      </c>
      <c r="Z3294" s="198">
        <f>_xll.qlCalendarAdvance(Calendar,Y3294,NDays&amp;"D")</f>
        <v>62057</v>
      </c>
      <c r="AA3294" s="173">
        <v>1.991700954158878E-2</v>
      </c>
      <c r="AB3294" s="182">
        <v>1.9774732964146224E-2</v>
      </c>
    </row>
    <row r="3295" spans="24:28" x14ac:dyDescent="0.2">
      <c r="X3295" s="186" t="str">
        <f t="shared" si="85"/>
        <v>1w</v>
      </c>
      <c r="Y3295" s="174">
        <f>_xll.qlCalendarAdvance(Calendar,Y3294,X3295,"f",FALSE)</f>
        <v>62060</v>
      </c>
      <c r="Z3295" s="198">
        <f>_xll.qlCalendarAdvance(Calendar,Y3295,NDays&amp;"D")</f>
        <v>62064</v>
      </c>
      <c r="AA3295" s="173">
        <v>1.9920320906272337E-2</v>
      </c>
      <c r="AB3295" s="182">
        <v>1.977818485683791E-2</v>
      </c>
    </row>
    <row r="3296" spans="24:28" x14ac:dyDescent="0.2">
      <c r="X3296" s="186" t="str">
        <f t="shared" si="85"/>
        <v>1w</v>
      </c>
      <c r="Y3296" s="174">
        <f>_xll.qlCalendarAdvance(Calendar,Y3295,X3296,"f",FALSE)</f>
        <v>62067</v>
      </c>
      <c r="Z3296" s="198">
        <f>_xll.qlCalendarAdvance(Calendar,Y3296,NDays&amp;"D")</f>
        <v>62071</v>
      </c>
      <c r="AA3296" s="173">
        <v>1.9923618732996567E-2</v>
      </c>
      <c r="AB3296" s="182">
        <v>1.9781623340415777E-2</v>
      </c>
    </row>
    <row r="3297" spans="24:28" x14ac:dyDescent="0.2">
      <c r="X3297" s="186" t="str">
        <f t="shared" si="85"/>
        <v>1w</v>
      </c>
      <c r="Y3297" s="174">
        <f>_xll.qlCalendarAdvance(Calendar,Y3296,X3297,"f",FALSE)</f>
        <v>62074</v>
      </c>
      <c r="Z3297" s="198">
        <f>_xll.qlCalendarAdvance(Calendar,Y3297,NDays&amp;"D")</f>
        <v>62078</v>
      </c>
      <c r="AA3297" s="173">
        <v>1.9926903021693834E-2</v>
      </c>
      <c r="AB3297" s="182">
        <v>1.9785048414799888E-2</v>
      </c>
    </row>
    <row r="3298" spans="24:28" x14ac:dyDescent="0.2">
      <c r="X3298" s="186" t="str">
        <f t="shared" si="85"/>
        <v>1w</v>
      </c>
      <c r="Y3298" s="174">
        <f>_xll.qlCalendarAdvance(Calendar,Y3297,X3298,"f",FALSE)</f>
        <v>62081</v>
      </c>
      <c r="Z3298" s="198">
        <f>_xll.qlCalendarAdvance(Calendar,Y3298,NDays&amp;"D")</f>
        <v>62085</v>
      </c>
      <c r="AA3298" s="173">
        <v>1.9930173772298693E-2</v>
      </c>
      <c r="AB3298" s="182">
        <v>1.9788460080309989E-2</v>
      </c>
    </row>
    <row r="3299" spans="24:28" x14ac:dyDescent="0.2">
      <c r="X3299" s="186" t="str">
        <f t="shared" si="85"/>
        <v>1w</v>
      </c>
      <c r="Y3299" s="174">
        <f>_xll.qlCalendarAdvance(Calendar,Y3298,X3299,"f",FALSE)</f>
        <v>62089</v>
      </c>
      <c r="Z3299" s="198">
        <f>_xll.qlCalendarAdvance(Calendar,Y3299,NDays&amp;"D")</f>
        <v>62093</v>
      </c>
      <c r="AA3299" s="173">
        <v>1.9933117283422418E-2</v>
      </c>
      <c r="AB3299" s="182">
        <v>1.9793128847762631E-2</v>
      </c>
    </row>
    <row r="3300" spans="24:28" x14ac:dyDescent="0.2">
      <c r="X3300" s="186" t="str">
        <f t="shared" si="85"/>
        <v>1w</v>
      </c>
      <c r="Y3300" s="174">
        <f>_xll.qlCalendarAdvance(Calendar,Y3299,X3300,"f",FALSE)</f>
        <v>62096</v>
      </c>
      <c r="Z3300" s="198">
        <f>_xll.qlCalendarAdvance(Calendar,Y3300,NDays&amp;"D")</f>
        <v>62100</v>
      </c>
      <c r="AA3300" s="173">
        <v>1.9936359811965985E-2</v>
      </c>
      <c r="AB3300" s="182">
        <v>1.9795725638704909E-2</v>
      </c>
    </row>
    <row r="3301" spans="24:28" x14ac:dyDescent="0.2">
      <c r="X3301" s="186" t="str">
        <f t="shared" si="85"/>
        <v>1w</v>
      </c>
      <c r="Y3301" s="174">
        <f>_xll.qlCalendarAdvance(Calendar,Y3300,X3301,"f",FALSE)</f>
        <v>62103</v>
      </c>
      <c r="Z3301" s="198">
        <f>_xll.qlCalendarAdvance(Calendar,Y3301,NDays&amp;"D")</f>
        <v>62107</v>
      </c>
      <c r="AA3301" s="173">
        <v>1.9939588802930099E-2</v>
      </c>
      <c r="AB3301" s="182">
        <v>1.9799095161205926E-2</v>
      </c>
    </row>
    <row r="3302" spans="24:28" x14ac:dyDescent="0.2">
      <c r="X3302" s="186" t="str">
        <f t="shared" si="85"/>
        <v>1w</v>
      </c>
      <c r="Y3302" s="174">
        <f>_xll.qlCalendarAdvance(Calendar,Y3301,X3302,"f",FALSE)</f>
        <v>62110</v>
      </c>
      <c r="Z3302" s="198">
        <f>_xll.qlCalendarAdvance(Calendar,Y3302,NDays&amp;"D")</f>
        <v>62114</v>
      </c>
      <c r="AA3302" s="173">
        <v>1.9942804256250279E-2</v>
      </c>
      <c r="AB3302" s="182">
        <v>1.9802451274593125E-2</v>
      </c>
    </row>
    <row r="3303" spans="24:28" x14ac:dyDescent="0.2">
      <c r="X3303" s="186" t="str">
        <f t="shared" si="85"/>
        <v>1w</v>
      </c>
      <c r="Y3303" s="174">
        <f>_xll.qlCalendarAdvance(Calendar,Y3302,X3303,"f",FALSE)</f>
        <v>62117</v>
      </c>
      <c r="Z3303" s="198">
        <f>_xll.qlCalendarAdvance(Calendar,Y3303,NDays&amp;"D")</f>
        <v>62121</v>
      </c>
      <c r="AA3303" s="173">
        <v>1.9946006171860719E-2</v>
      </c>
      <c r="AB3303" s="182">
        <v>1.980579397894644E-2</v>
      </c>
    </row>
    <row r="3304" spans="24:28" x14ac:dyDescent="0.2">
      <c r="X3304" s="186" t="str">
        <f t="shared" si="85"/>
        <v>1w</v>
      </c>
      <c r="Y3304" s="174">
        <f>_xll.qlCalendarAdvance(Calendar,Y3303,X3304,"f",FALSE)</f>
        <v>62124</v>
      </c>
      <c r="Z3304" s="198">
        <f>_xll.qlCalendarAdvance(Calendar,Y3304,NDays&amp;"D")</f>
        <v>62128</v>
      </c>
      <c r="AA3304" s="173">
        <v>1.9949194549696059E-2</v>
      </c>
      <c r="AB3304" s="182">
        <v>1.9809123274185936E-2</v>
      </c>
    </row>
    <row r="3305" spans="24:28" x14ac:dyDescent="0.2">
      <c r="X3305" s="186" t="str">
        <f t="shared" si="85"/>
        <v>1w</v>
      </c>
      <c r="Y3305" s="174">
        <f>_xll.qlCalendarAdvance(Calendar,Y3304,X3305,"f",FALSE)</f>
        <v>62131</v>
      </c>
      <c r="Z3305" s="198">
        <f>_xll.qlCalendarAdvance(Calendar,Y3305,NDays&amp;"D")</f>
        <v>62135</v>
      </c>
      <c r="AA3305" s="173">
        <v>1.9952369389693147E-2</v>
      </c>
      <c r="AB3305" s="182">
        <v>1.9812439160311612E-2</v>
      </c>
    </row>
    <row r="3306" spans="24:28" x14ac:dyDescent="0.2">
      <c r="X3306" s="186" t="str">
        <f t="shared" si="85"/>
        <v>1w</v>
      </c>
      <c r="Y3306" s="174">
        <f>_xll.qlCalendarAdvance(Calendar,Y3305,X3306,"f",FALSE)</f>
        <v>62138</v>
      </c>
      <c r="Z3306" s="198">
        <f>_xll.qlCalendarAdvance(Calendar,Y3306,NDays&amp;"D")</f>
        <v>62142</v>
      </c>
      <c r="AA3306" s="173">
        <v>1.9955530691787061E-2</v>
      </c>
      <c r="AB3306" s="182">
        <v>1.9815741637243534E-2</v>
      </c>
    </row>
    <row r="3307" spans="24:28" x14ac:dyDescent="0.2">
      <c r="X3307" s="186" t="str">
        <f t="shared" si="85"/>
        <v>1w</v>
      </c>
      <c r="Y3307" s="174">
        <f>_xll.qlCalendarAdvance(Calendar,Y3306,X3307,"f",FALSE)</f>
        <v>62145</v>
      </c>
      <c r="Z3307" s="198">
        <f>_xll.qlCalendarAdvance(Calendar,Y3307,NDays&amp;"D")</f>
        <v>62149</v>
      </c>
      <c r="AA3307" s="173">
        <v>1.9958678455913766E-2</v>
      </c>
      <c r="AB3307" s="182">
        <v>1.9819030705221508E-2</v>
      </c>
    </row>
    <row r="3308" spans="24:28" x14ac:dyDescent="0.2">
      <c r="X3308" s="186" t="str">
        <f t="shared" si="85"/>
        <v>1w</v>
      </c>
      <c r="Y3308" s="174">
        <f>_xll.qlCalendarAdvance(Calendar,Y3307,X3308,"f",FALSE)</f>
        <v>62152</v>
      </c>
      <c r="Z3308" s="198">
        <f>_xll.qlCalendarAdvance(Calendar,Y3308,NDays&amp;"D")</f>
        <v>62156</v>
      </c>
      <c r="AA3308" s="173">
        <v>1.9964124911987804E-2</v>
      </c>
      <c r="AB3308" s="182">
        <v>1.9822306364085662E-2</v>
      </c>
    </row>
    <row r="3309" spans="24:28" x14ac:dyDescent="0.2">
      <c r="X3309" s="186" t="str">
        <f t="shared" si="85"/>
        <v>1w</v>
      </c>
      <c r="Y3309" s="174">
        <f>_xll.qlCalendarAdvance(Calendar,Y3308,X3309,"f",FALSE)</f>
        <v>62159</v>
      </c>
      <c r="Z3309" s="198">
        <f>_xll.qlCalendarAdvance(Calendar,Y3309,NDays&amp;"D")</f>
        <v>62163</v>
      </c>
      <c r="AA3309" s="173">
        <v>1.9967243215095274E-2</v>
      </c>
      <c r="AB3309" s="182">
        <v>1.9825568613596189E-2</v>
      </c>
    </row>
    <row r="3310" spans="24:28" x14ac:dyDescent="0.2">
      <c r="X3310" s="186" t="str">
        <f t="shared" si="85"/>
        <v>1w</v>
      </c>
      <c r="Y3310" s="174">
        <f>_xll.qlCalendarAdvance(Calendar,Y3309,X3310,"f",FALSE)</f>
        <v>62166</v>
      </c>
      <c r="Z3310" s="198">
        <f>_xll.qlCalendarAdvance(Calendar,Y3310,NDays&amp;"D")</f>
        <v>62170</v>
      </c>
      <c r="AA3310" s="173">
        <v>1.9970347977870409E-2</v>
      </c>
      <c r="AB3310" s="182">
        <v>1.9828817454392578E-2</v>
      </c>
    </row>
    <row r="3311" spans="24:28" x14ac:dyDescent="0.2">
      <c r="X3311" s="186" t="str">
        <f t="shared" si="85"/>
        <v>1w</v>
      </c>
      <c r="Y3311" s="174">
        <f>_xll.qlCalendarAdvance(Calendar,Y3310,X3311,"f",FALSE)</f>
        <v>62173</v>
      </c>
      <c r="Z3311" s="198">
        <f>_xll.qlCalendarAdvance(Calendar,Y3311,NDays&amp;"D")</f>
        <v>62177</v>
      </c>
      <c r="AA3311" s="173">
        <v>1.9973439200250652E-2</v>
      </c>
      <c r="AB3311" s="182">
        <v>1.9832052885915274E-2</v>
      </c>
    </row>
    <row r="3312" spans="24:28" x14ac:dyDescent="0.2">
      <c r="X3312" s="186" t="str">
        <f t="shared" si="85"/>
        <v>1w</v>
      </c>
      <c r="Y3312" s="174">
        <f>_xll.qlCalendarAdvance(Calendar,Y3311,X3312,"f",FALSE)</f>
        <v>62184</v>
      </c>
      <c r="Z3312" s="198">
        <f>_xll.qlCalendarAdvance(Calendar,Y3312,NDays&amp;"D")</f>
        <v>62186</v>
      </c>
      <c r="AA3312" s="173">
        <v>1.9976626449634848E-2</v>
      </c>
      <c r="AB3312" s="182">
        <v>1.9836193023188287E-2</v>
      </c>
    </row>
    <row r="3313" spans="24:28" x14ac:dyDescent="0.2">
      <c r="X3313" s="186" t="str">
        <f t="shared" si="85"/>
        <v>1w</v>
      </c>
      <c r="Y3313" s="174">
        <f>_xll.qlCalendarAdvance(Calendar,Y3312,X3313,"f",FALSE)</f>
        <v>62191</v>
      </c>
      <c r="Z3313" s="198">
        <f>_xll.qlCalendarAdvance(Calendar,Y3313,NDays&amp;"D")</f>
        <v>62193</v>
      </c>
      <c r="AA3313" s="173">
        <v>1.9979687520468158E-2</v>
      </c>
      <c r="AB3313" s="182">
        <v>1.9839397805387904E-2</v>
      </c>
    </row>
    <row r="3314" spans="24:28" x14ac:dyDescent="0.2">
      <c r="X3314" s="186" t="str">
        <f t="shared" si="85"/>
        <v>1w</v>
      </c>
      <c r="Y3314" s="174">
        <f>_xll.qlCalendarAdvance(Calendar,Y3313,X3314,"f",FALSE)</f>
        <v>62198</v>
      </c>
      <c r="Z3314" s="198">
        <f>_xll.qlCalendarAdvance(Calendar,Y3314,NDays&amp;"D")</f>
        <v>62200</v>
      </c>
      <c r="AA3314" s="173">
        <v>1.9982735051424928E-2</v>
      </c>
      <c r="AB3314" s="182">
        <v>1.9842589178393766E-2</v>
      </c>
    </row>
    <row r="3315" spans="24:28" x14ac:dyDescent="0.2">
      <c r="X3315" s="186" t="str">
        <f t="shared" si="85"/>
        <v>1w</v>
      </c>
      <c r="Y3315" s="174">
        <f>_xll.qlCalendarAdvance(Calendar,Y3314,X3315,"f",FALSE)</f>
        <v>62205</v>
      </c>
      <c r="Z3315" s="198">
        <f>_xll.qlCalendarAdvance(Calendar,Y3315,NDays&amp;"D")</f>
        <v>62207</v>
      </c>
      <c r="AA3315" s="173">
        <v>1.9985769042441384E-2</v>
      </c>
      <c r="AB3315" s="182">
        <v>1.9845767142365744E-2</v>
      </c>
    </row>
    <row r="3316" spans="24:28" x14ac:dyDescent="0.2">
      <c r="X3316" s="186" t="str">
        <f t="shared" si="85"/>
        <v>1w</v>
      </c>
      <c r="Y3316" s="174">
        <f>_xll.qlCalendarAdvance(Calendar,Y3315,X3316,"f",FALSE)</f>
        <v>62212</v>
      </c>
      <c r="Z3316" s="198">
        <f>_xll.qlCalendarAdvance(Calendar,Y3316,NDays&amp;"D")</f>
        <v>62215</v>
      </c>
      <c r="AA3316" s="173">
        <v>1.9990747776242802E-2</v>
      </c>
      <c r="AB3316" s="182">
        <v>1.9850927810258767E-2</v>
      </c>
    </row>
    <row r="3317" spans="24:28" x14ac:dyDescent="0.2">
      <c r="X3317" s="186" t="str">
        <f t="shared" si="85"/>
        <v>1w</v>
      </c>
      <c r="Y3317" s="174">
        <f>_xll.qlCalendarAdvance(Calendar,Y3316,X3317,"f",FALSE)</f>
        <v>62219</v>
      </c>
      <c r="Z3317" s="198">
        <f>_xll.qlCalendarAdvance(Calendar,Y3317,NDays&amp;"D")</f>
        <v>62221</v>
      </c>
      <c r="AA3317" s="173">
        <v>1.999408611409122E-2</v>
      </c>
      <c r="AB3317" s="182">
        <v>1.9852082842968244E-2</v>
      </c>
    </row>
    <row r="3318" spans="24:28" x14ac:dyDescent="0.2">
      <c r="X3318" s="186" t="str">
        <f t="shared" si="85"/>
        <v>1w</v>
      </c>
      <c r="Y3318" s="174">
        <f>_xll.qlCalendarAdvance(Calendar,Y3317,X3318,"f",FALSE)</f>
        <v>62226</v>
      </c>
      <c r="Z3318" s="198">
        <f>_xll.qlCalendarAdvance(Calendar,Y3318,NDays&amp;"D")</f>
        <v>62228</v>
      </c>
      <c r="AA3318" s="173">
        <v>1.999707707922227E-2</v>
      </c>
      <c r="AB3318" s="182">
        <v>1.9855220579518829E-2</v>
      </c>
    </row>
    <row r="3319" spans="24:28" x14ac:dyDescent="0.2">
      <c r="X3319" s="186" t="str">
        <f t="shared" si="85"/>
        <v>1w</v>
      </c>
      <c r="Y3319" s="174">
        <f>_xll.qlCalendarAdvance(Calendar,Y3318,X3319,"f",FALSE)</f>
        <v>62233</v>
      </c>
      <c r="Z3319" s="198">
        <f>_xll.qlCalendarAdvance(Calendar,Y3319,NDays&amp;"D")</f>
        <v>62235</v>
      </c>
      <c r="AA3319" s="173">
        <v>2.0000054501982657E-2</v>
      </c>
      <c r="AB3319" s="182">
        <v>1.9858344907115466E-2</v>
      </c>
    </row>
    <row r="3320" spans="24:28" x14ac:dyDescent="0.2">
      <c r="X3320" s="186" t="str">
        <f t="shared" si="85"/>
        <v>1w</v>
      </c>
      <c r="Y3320" s="174">
        <f>_xll.qlCalendarAdvance(Calendar,Y3319,X3320,"f",FALSE)</f>
        <v>62240</v>
      </c>
      <c r="Z3320" s="198">
        <f>_xll.qlCalendarAdvance(Calendar,Y3320,NDays&amp;"D")</f>
        <v>62242</v>
      </c>
      <c r="AA3320" s="173">
        <v>2.0000735896272864E-2</v>
      </c>
      <c r="AB3320" s="182">
        <v>1.9861455825598284E-2</v>
      </c>
    </row>
    <row r="3321" spans="24:28" x14ac:dyDescent="0.2">
      <c r="X3321" s="186" t="str">
        <f t="shared" si="85"/>
        <v>1w</v>
      </c>
      <c r="Y3321" s="174">
        <f>_xll.qlCalendarAdvance(Calendar,Y3320,X3321,"f",FALSE)</f>
        <v>62247</v>
      </c>
      <c r="Z3321" s="198">
        <f>_xll.qlCalendarAdvance(Calendar,Y3321,NDays&amp;"D")</f>
        <v>62249</v>
      </c>
      <c r="AA3321" s="173">
        <v>2.0003688646359704E-2</v>
      </c>
      <c r="AB3321" s="182">
        <v>1.9864553334807411E-2</v>
      </c>
    </row>
    <row r="3322" spans="24:28" x14ac:dyDescent="0.2">
      <c r="X3322" s="186" t="str">
        <f t="shared" si="85"/>
        <v>1w</v>
      </c>
      <c r="Y3322" s="174">
        <f>_xll.qlCalendarAdvance(Calendar,Y3321,X3322,"f",FALSE)</f>
        <v>62254</v>
      </c>
      <c r="Z3322" s="198">
        <f>_xll.qlCalendarAdvance(Calendar,Y3322,NDays&amp;"D")</f>
        <v>62256</v>
      </c>
      <c r="AA3322" s="173">
        <v>2.0006627856078596E-2</v>
      </c>
      <c r="AB3322" s="182">
        <v>1.9867637434982655E-2</v>
      </c>
    </row>
    <row r="3323" spans="24:28" x14ac:dyDescent="0.2">
      <c r="X3323" s="186" t="str">
        <f t="shared" si="85"/>
        <v>1w</v>
      </c>
      <c r="Y3323" s="174">
        <f>_xll.qlCalendarAdvance(Calendar,Y3322,X3323,"f",FALSE)</f>
        <v>62261</v>
      </c>
      <c r="Z3323" s="198">
        <f>_xll.qlCalendarAdvance(Calendar,Y3323,NDays&amp;"D")</f>
        <v>62263</v>
      </c>
      <c r="AA3323" s="173">
        <v>2.0009553525369688E-2</v>
      </c>
      <c r="AB3323" s="182">
        <v>1.9870708126124015E-2</v>
      </c>
    </row>
    <row r="3324" spans="24:28" x14ac:dyDescent="0.2">
      <c r="X3324" s="186" t="str">
        <f t="shared" si="85"/>
        <v>1w</v>
      </c>
      <c r="Y3324" s="174">
        <f>_xll.qlCalendarAdvance(Calendar,Y3323,X3324,"f",FALSE)</f>
        <v>62268</v>
      </c>
      <c r="Z3324" s="198">
        <f>_xll.qlCalendarAdvance(Calendar,Y3324,NDays&amp;"D")</f>
        <v>62270</v>
      </c>
      <c r="AA3324" s="173">
        <v>2.0014738478073196E-2</v>
      </c>
      <c r="AB3324" s="182">
        <v>1.9873765408231492E-2</v>
      </c>
    </row>
    <row r="3325" spans="24:28" x14ac:dyDescent="0.2">
      <c r="X3325" s="186" t="str">
        <f t="shared" si="85"/>
        <v>1w</v>
      </c>
      <c r="Y3325" s="174">
        <f>_xll.qlCalendarAdvance(Calendar,Y3324,X3325,"f",FALSE)</f>
        <v>62275</v>
      </c>
      <c r="Z3325" s="198">
        <f>_xll.qlCalendarAdvance(Calendar,Y3325,NDays&amp;"D")</f>
        <v>62277</v>
      </c>
      <c r="AA3325" s="173">
        <v>2.0017634645321157E-2</v>
      </c>
      <c r="AB3325" s="182">
        <v>1.9876809281065277E-2</v>
      </c>
    </row>
    <row r="3326" spans="24:28" x14ac:dyDescent="0.2">
      <c r="X3326" s="186" t="str">
        <f t="shared" si="85"/>
        <v>1w</v>
      </c>
      <c r="Y3326" s="174">
        <f>_xll.qlCalendarAdvance(Calendar,Y3325,X3326,"f",FALSE)</f>
        <v>62282</v>
      </c>
      <c r="Z3326" s="198">
        <f>_xll.qlCalendarAdvance(Calendar,Y3326,NDays&amp;"D")</f>
        <v>62284</v>
      </c>
      <c r="AA3326" s="173">
        <v>2.0020517269771262E-2</v>
      </c>
      <c r="AB3326" s="182">
        <v>1.987983974486518E-2</v>
      </c>
    </row>
    <row r="3327" spans="24:28" x14ac:dyDescent="0.2">
      <c r="X3327" s="186" t="str">
        <f t="shared" si="85"/>
        <v>1w</v>
      </c>
      <c r="Y3327" s="174">
        <f>_xll.qlCalendarAdvance(Calendar,Y3326,X3327,"f",FALSE)</f>
        <v>62289</v>
      </c>
      <c r="Z3327" s="198">
        <f>_xll.qlCalendarAdvance(Calendar,Y3327,NDays&amp;"D")</f>
        <v>62291</v>
      </c>
      <c r="AA3327" s="173">
        <v>2.0023386351365073E-2</v>
      </c>
      <c r="AB3327" s="182">
        <v>1.9882856799631199E-2</v>
      </c>
    </row>
    <row r="3328" spans="24:28" x14ac:dyDescent="0.2">
      <c r="X3328" s="186" t="str">
        <f t="shared" si="85"/>
        <v>1w</v>
      </c>
      <c r="Y3328" s="174">
        <f>_xll.qlCalendarAdvance(Calendar,Y3327,X3328,"f",FALSE)</f>
        <v>62296</v>
      </c>
      <c r="Z3328" s="198">
        <f>_xll.qlCalendarAdvance(Calendar,Y3328,NDays&amp;"D")</f>
        <v>62298</v>
      </c>
      <c r="AA3328" s="173">
        <v>2.0026241890040267E-2</v>
      </c>
      <c r="AB3328" s="182">
        <v>1.9885860445123527E-2</v>
      </c>
    </row>
    <row r="3329" spans="24:28" x14ac:dyDescent="0.2">
      <c r="X3329" s="186" t="str">
        <f t="shared" si="85"/>
        <v>1w</v>
      </c>
      <c r="Y3329" s="174">
        <f>_xll.qlCalendarAdvance(Calendar,Y3328,X3329,"f",FALSE)</f>
        <v>62303</v>
      </c>
      <c r="Z3329" s="198">
        <f>_xll.qlCalendarAdvance(Calendar,Y3329,NDays&amp;"D")</f>
        <v>62305</v>
      </c>
      <c r="AA3329" s="173">
        <v>2.0026823188798386E-2</v>
      </c>
      <c r="AB3329" s="182">
        <v>1.9888850681581971E-2</v>
      </c>
    </row>
    <row r="3330" spans="24:28" x14ac:dyDescent="0.2">
      <c r="X3330" s="186" t="str">
        <f t="shared" si="85"/>
        <v>1w</v>
      </c>
      <c r="Y3330" s="174">
        <f>_xll.qlCalendarAdvance(Calendar,Y3329,X3330,"f",FALSE)</f>
        <v>62310</v>
      </c>
      <c r="Z3330" s="198">
        <f>_xll.qlCalendarAdvance(Calendar,Y3330,NDays&amp;"D")</f>
        <v>62312</v>
      </c>
      <c r="AA3330" s="173">
        <v>2.0031912338403169E-2</v>
      </c>
      <c r="AB3330" s="182">
        <v>1.9891827508926596E-2</v>
      </c>
    </row>
    <row r="3331" spans="24:28" x14ac:dyDescent="0.2">
      <c r="X3331" s="186" t="str">
        <f t="shared" si="85"/>
        <v>1w</v>
      </c>
      <c r="Y3331" s="174">
        <f>_xll.qlCalendarAdvance(Calendar,Y3330,X3331,"f",FALSE)</f>
        <v>62317</v>
      </c>
      <c r="Z3331" s="198">
        <f>_xll.qlCalendarAdvance(Calendar,Y3331,NDays&amp;"D")</f>
        <v>62319</v>
      </c>
      <c r="AA3331" s="173">
        <v>2.0034727247973123E-2</v>
      </c>
      <c r="AB3331" s="182">
        <v>1.9894790927157402E-2</v>
      </c>
    </row>
    <row r="3332" spans="24:28" x14ac:dyDescent="0.2">
      <c r="X3332" s="186" t="str">
        <f t="shared" si="85"/>
        <v>1w</v>
      </c>
      <c r="Y3332" s="174">
        <f>_xll.qlCalendarAdvance(Calendar,Y3331,X3332,"f",FALSE)</f>
        <v>62324</v>
      </c>
      <c r="Z3332" s="198">
        <f>_xll.qlCalendarAdvance(Calendar,Y3332,NDays&amp;"D")</f>
        <v>62326</v>
      </c>
      <c r="AA3332" s="173">
        <v>2.0037528614389382E-2</v>
      </c>
      <c r="AB3332" s="182">
        <v>1.9897740936274388E-2</v>
      </c>
    </row>
    <row r="3333" spans="24:28" x14ac:dyDescent="0.2">
      <c r="X3333" s="186" t="str">
        <f t="shared" si="85"/>
        <v>1w</v>
      </c>
      <c r="Y3333" s="174">
        <f>_xll.qlCalendarAdvance(Calendar,Y3332,X3333,"f",FALSE)</f>
        <v>62331</v>
      </c>
      <c r="Z3333" s="198">
        <f>_xll.qlCalendarAdvance(Calendar,Y3333,NDays&amp;"D")</f>
        <v>62333</v>
      </c>
      <c r="AA3333" s="173">
        <v>2.0038065481718374E-2</v>
      </c>
      <c r="AB3333" s="182">
        <v>1.9900677536357492E-2</v>
      </c>
    </row>
    <row r="3334" spans="24:28" x14ac:dyDescent="0.2">
      <c r="X3334" s="186" t="str">
        <f t="shared" si="85"/>
        <v>1w</v>
      </c>
      <c r="Y3334" s="174">
        <f>_xll.qlCalendarAdvance(Calendar,Y3333,X3334,"f",FALSE)</f>
        <v>62338</v>
      </c>
      <c r="Z3334" s="198">
        <f>_xll.qlCalendarAdvance(Calendar,Y3334,NDays&amp;"D")</f>
        <v>62340</v>
      </c>
      <c r="AA3334" s="173">
        <v>2.0039342941675642E-2</v>
      </c>
      <c r="AB3334" s="182">
        <v>1.9903600727326776E-2</v>
      </c>
    </row>
    <row r="3335" spans="24:28" x14ac:dyDescent="0.2">
      <c r="X3335" s="186" t="str">
        <f t="shared" si="85"/>
        <v>1w</v>
      </c>
      <c r="Y3335" s="174">
        <f>_xll.qlCalendarAdvance(Calendar,Y3334,X3335,"f",FALSE)</f>
        <v>62345</v>
      </c>
      <c r="Z3335" s="198">
        <f>_xll.qlCalendarAdvance(Calendar,Y3335,NDays&amp;"D")</f>
        <v>62347</v>
      </c>
      <c r="AA3335" s="173">
        <v>2.0042107749403817E-2</v>
      </c>
      <c r="AB3335" s="182">
        <v>1.9906510509102304E-2</v>
      </c>
    </row>
    <row r="3336" spans="24:28" x14ac:dyDescent="0.2">
      <c r="X3336" s="186" t="str">
        <f t="shared" si="85"/>
        <v>1w</v>
      </c>
      <c r="Y3336" s="174">
        <f>_xll.qlCalendarAdvance(Calendar,Y3335,X3336,"f",FALSE)</f>
        <v>62352</v>
      </c>
      <c r="Z3336" s="198">
        <f>_xll.qlCalendarAdvance(Calendar,Y3336,NDays&amp;"D")</f>
        <v>62354</v>
      </c>
      <c r="AA3336" s="173">
        <v>2.0044859017414138E-2</v>
      </c>
      <c r="AB3336" s="182">
        <v>1.9909406881923886E-2</v>
      </c>
    </row>
    <row r="3337" spans="24:28" x14ac:dyDescent="0.2">
      <c r="X3337" s="186" t="str">
        <f t="shared" si="85"/>
        <v>1w</v>
      </c>
      <c r="Y3337" s="174">
        <f>_xll.qlCalendarAdvance(Calendar,Y3336,X3337,"f",FALSE)</f>
        <v>62359</v>
      </c>
      <c r="Z3337" s="198">
        <f>_xll.qlCalendarAdvance(Calendar,Y3337,NDays&amp;"D")</f>
        <v>62361</v>
      </c>
      <c r="AA3337" s="173">
        <v>2.0047596745650074E-2</v>
      </c>
      <c r="AB3337" s="182">
        <v>1.991228984539184E-2</v>
      </c>
    </row>
    <row r="3338" spans="24:28" x14ac:dyDescent="0.2">
      <c r="X3338" s="186" t="str">
        <f t="shared" si="85"/>
        <v>1w</v>
      </c>
      <c r="Y3338" s="174">
        <f>_xll.qlCalendarAdvance(Calendar,Y3337,X3338,"f",FALSE)</f>
        <v>62366</v>
      </c>
      <c r="Z3338" s="198">
        <f>_xll.qlCalendarAdvance(Calendar,Y3338,NDays&amp;"D")</f>
        <v>62368</v>
      </c>
      <c r="AA3338" s="173">
        <v>2.0051067328959529E-2</v>
      </c>
      <c r="AB3338" s="182">
        <v>1.9915159399985782E-2</v>
      </c>
    </row>
    <row r="3339" spans="24:28" x14ac:dyDescent="0.2">
      <c r="X3339" s="186" t="str">
        <f t="shared" si="85"/>
        <v>1w</v>
      </c>
      <c r="Y3339" s="174">
        <f>_xll.qlCalendarAdvance(Calendar,Y3338,X3339,"f",FALSE)</f>
        <v>62373</v>
      </c>
      <c r="Z3339" s="198">
        <f>_xll.qlCalendarAdvance(Calendar,Y3339,NDays&amp;"D")</f>
        <v>62375</v>
      </c>
      <c r="AA3339" s="173">
        <v>2.0053777160518232E-2</v>
      </c>
      <c r="AB3339" s="182">
        <v>1.991801554538597E-2</v>
      </c>
    </row>
    <row r="3340" spans="24:28" x14ac:dyDescent="0.2">
      <c r="X3340" s="186" t="str">
        <f t="shared" si="85"/>
        <v>1w</v>
      </c>
      <c r="Y3340" s="174">
        <f>_xll.qlCalendarAdvance(Calendar,Y3339,X3340,"f",FALSE)</f>
        <v>62380</v>
      </c>
      <c r="Z3340" s="198">
        <f>_xll.qlCalendarAdvance(Calendar,Y3340,NDays&amp;"D")</f>
        <v>62382</v>
      </c>
      <c r="AA3340" s="173">
        <v>2.0056473451403302E-2</v>
      </c>
      <c r="AB3340" s="182">
        <v>1.9920858281512466E-2</v>
      </c>
    </row>
    <row r="3341" spans="24:28" x14ac:dyDescent="0.2">
      <c r="X3341" s="186" t="str">
        <f t="shared" si="85"/>
        <v>1w</v>
      </c>
      <c r="Y3341" s="174">
        <f>_xll.qlCalendarAdvance(Calendar,Y3340,X3341,"f",FALSE)</f>
        <v>62387</v>
      </c>
      <c r="Z3341" s="198">
        <f>_xll.qlCalendarAdvance(Calendar,Y3341,NDays&amp;"D")</f>
        <v>62389</v>
      </c>
      <c r="AA3341" s="173">
        <v>2.0059156201561148E-2</v>
      </c>
      <c r="AB3341" s="182">
        <v>1.9923687608605078E-2</v>
      </c>
    </row>
    <row r="3342" spans="24:28" x14ac:dyDescent="0.2">
      <c r="X3342" s="186" t="str">
        <f t="shared" si="85"/>
        <v>1w</v>
      </c>
      <c r="Y3342" s="174">
        <f>_xll.qlCalendarAdvance(Calendar,Y3341,X3342,"f",FALSE)</f>
        <v>62394</v>
      </c>
      <c r="Z3342" s="198">
        <f>_xll.qlCalendarAdvance(Calendar,Y3342,NDays&amp;"D")</f>
        <v>62396</v>
      </c>
      <c r="AA3342" s="173">
        <v>2.0061825410936873E-2</v>
      </c>
      <c r="AB3342" s="182">
        <v>1.992650352682368E-2</v>
      </c>
    </row>
    <row r="3343" spans="24:28" x14ac:dyDescent="0.2">
      <c r="X3343" s="186" t="str">
        <f t="shared" si="85"/>
        <v>1w</v>
      </c>
      <c r="Y3343" s="174">
        <f>_xll.qlCalendarAdvance(Calendar,Y3342,X3343,"f",FALSE)</f>
        <v>62401</v>
      </c>
      <c r="Z3343" s="198">
        <f>_xll.qlCalendarAdvance(Calendar,Y3343,NDays&amp;"D")</f>
        <v>62403</v>
      </c>
      <c r="AA3343" s="173">
        <v>2.0063738776747497E-2</v>
      </c>
      <c r="AB3343" s="182">
        <v>1.992930603576859E-2</v>
      </c>
    </row>
    <row r="3344" spans="24:28" x14ac:dyDescent="0.2">
      <c r="X3344" s="186" t="str">
        <f t="shared" si="85"/>
        <v>1w</v>
      </c>
      <c r="Y3344" s="174">
        <f>_xll.qlCalendarAdvance(Calendar,Y3343,X3344,"f",FALSE)</f>
        <v>62408</v>
      </c>
      <c r="Z3344" s="198">
        <f>_xll.qlCalendarAdvance(Calendar,Y3344,NDays&amp;"D")</f>
        <v>62410</v>
      </c>
      <c r="AA3344" s="173">
        <v>2.0066381725035127E-2</v>
      </c>
      <c r="AB3344" s="182">
        <v>1.9932095135519745E-2</v>
      </c>
    </row>
    <row r="3345" spans="24:28" x14ac:dyDescent="0.2">
      <c r="X3345" s="186" t="str">
        <f t="shared" si="85"/>
        <v>1w</v>
      </c>
      <c r="Y3345" s="174">
        <f>_xll.qlCalendarAdvance(Calendar,Y3344,X3345,"f",FALSE)</f>
        <v>62415</v>
      </c>
      <c r="Z3345" s="198">
        <f>_xll.qlCalendarAdvance(Calendar,Y3345,NDays&amp;"D")</f>
        <v>62417</v>
      </c>
      <c r="AA3345" s="173">
        <v>2.0069011133115124E-2</v>
      </c>
      <c r="AB3345" s="182">
        <v>1.9934870826316953E-2</v>
      </c>
    </row>
    <row r="3346" spans="24:28" x14ac:dyDescent="0.2">
      <c r="X3346" s="186" t="str">
        <f t="shared" si="85"/>
        <v>1w</v>
      </c>
      <c r="Y3346" s="174">
        <f>_xll.qlCalendarAdvance(Calendar,Y3345,X3346,"f",FALSE)</f>
        <v>62422</v>
      </c>
      <c r="Z3346" s="198">
        <f>_xll.qlCalendarAdvance(Calendar,Y3346,NDays&amp;"D")</f>
        <v>62424</v>
      </c>
      <c r="AA3346" s="173">
        <v>2.0071627000932728E-2</v>
      </c>
      <c r="AB3346" s="182">
        <v>1.9937633107920405E-2</v>
      </c>
    </row>
    <row r="3347" spans="24:28" x14ac:dyDescent="0.2">
      <c r="X3347" s="186" t="str">
        <f t="shared" si="85"/>
        <v>1w</v>
      </c>
      <c r="Y3347" s="174">
        <f>_xll.qlCalendarAdvance(Calendar,Y3346,X3347,"f",FALSE)</f>
        <v>62429</v>
      </c>
      <c r="Z3347" s="198">
        <f>_xll.qlCalendarAdvance(Calendar,Y3347,NDays&amp;"D")</f>
        <v>62431</v>
      </c>
      <c r="AA3347" s="173">
        <v>2.0074968344189363E-2</v>
      </c>
      <c r="AB3347" s="182">
        <v>1.9940381980410038E-2</v>
      </c>
    </row>
    <row r="3348" spans="24:28" x14ac:dyDescent="0.2">
      <c r="X3348" s="186" t="str">
        <f t="shared" si="85"/>
        <v>1w</v>
      </c>
      <c r="Y3348" s="174">
        <f>_xll.qlCalendarAdvance(Calendar,Y3347,X3348,"f",FALSE)</f>
        <v>62436</v>
      </c>
      <c r="Z3348" s="198">
        <f>_xll.qlCalendarAdvance(Calendar,Y3348,NDays&amp;"D")</f>
        <v>62438</v>
      </c>
      <c r="AA3348" s="173">
        <v>2.0077556307740954E-2</v>
      </c>
      <c r="AB3348" s="182">
        <v>1.9943117443705916E-2</v>
      </c>
    </row>
    <row r="3349" spans="24:28" x14ac:dyDescent="0.2">
      <c r="X3349" s="186" t="str">
        <f t="shared" ref="X3349:X3412" si="86">X3348</f>
        <v>1w</v>
      </c>
      <c r="Y3349" s="174">
        <f>_xll.qlCalendarAdvance(Calendar,Y3348,X3349,"f",FALSE)</f>
        <v>62443</v>
      </c>
      <c r="Z3349" s="198">
        <f>_xll.qlCalendarAdvance(Calendar,Y3349,NDays&amp;"D")</f>
        <v>62445</v>
      </c>
      <c r="AA3349" s="173">
        <v>2.0080130730136217E-2</v>
      </c>
      <c r="AB3349" s="182">
        <v>1.994583949796791E-2</v>
      </c>
    </row>
    <row r="3350" spans="24:28" x14ac:dyDescent="0.2">
      <c r="X3350" s="186" t="str">
        <f t="shared" si="86"/>
        <v>1w</v>
      </c>
      <c r="Y3350" s="174">
        <f>_xll.qlCalendarAdvance(Calendar,Y3349,X3350,"f",FALSE)</f>
        <v>62450</v>
      </c>
      <c r="Z3350" s="198">
        <f>_xll.qlCalendarAdvance(Calendar,Y3350,NDays&amp;"D")</f>
        <v>62456</v>
      </c>
      <c r="AA3350" s="173">
        <v>2.0084148892253979E-2</v>
      </c>
      <c r="AB3350" s="182">
        <v>1.9950089919902325E-2</v>
      </c>
    </row>
    <row r="3351" spans="24:28" x14ac:dyDescent="0.2">
      <c r="X3351" s="186" t="str">
        <f t="shared" si="86"/>
        <v>1w</v>
      </c>
      <c r="Y3351" s="174">
        <f>_xll.qlCalendarAdvance(Calendar,Y3350,X3351,"f",FALSE)</f>
        <v>62457</v>
      </c>
      <c r="Z3351" s="198">
        <f>_xll.qlCalendarAdvance(Calendar,Y3351,NDays&amp;"D")</f>
        <v>62460</v>
      </c>
      <c r="AA3351" s="173">
        <v>2.0084866152573339E-2</v>
      </c>
      <c r="AB3351" s="182">
        <v>1.9953116698303575E-2</v>
      </c>
    </row>
    <row r="3352" spans="24:28" x14ac:dyDescent="0.2">
      <c r="X3352" s="186" t="str">
        <f t="shared" si="86"/>
        <v>1w</v>
      </c>
      <c r="Y3352" s="174">
        <f>_xll.qlCalendarAdvance(Calendar,Y3351,X3352,"f",FALSE)</f>
        <v>62464</v>
      </c>
      <c r="Z3352" s="198">
        <f>_xll.qlCalendarAdvance(Calendar,Y3352,NDays&amp;"D")</f>
        <v>62466</v>
      </c>
      <c r="AA3352" s="173">
        <v>2.0087037859396112E-2</v>
      </c>
      <c r="AB3352" s="182">
        <v>1.9953925205991041E-2</v>
      </c>
    </row>
    <row r="3353" spans="24:28" x14ac:dyDescent="0.2">
      <c r="X3353" s="186" t="str">
        <f t="shared" si="86"/>
        <v>1w</v>
      </c>
      <c r="Y3353" s="174">
        <f>_xll.qlCalendarAdvance(Calendar,Y3352,X3353,"f",FALSE)</f>
        <v>62471</v>
      </c>
      <c r="Z3353" s="198">
        <f>_xll.qlCalendarAdvance(Calendar,Y3353,NDays&amp;"D")</f>
        <v>62473</v>
      </c>
      <c r="AA3353" s="173">
        <v>2.0089558943915599E-2</v>
      </c>
      <c r="AB3353" s="182">
        <v>1.995659362395763E-2</v>
      </c>
    </row>
    <row r="3354" spans="24:28" x14ac:dyDescent="0.2">
      <c r="X3354" s="186" t="str">
        <f t="shared" si="86"/>
        <v>1w</v>
      </c>
      <c r="Y3354" s="174">
        <f>_xll.qlCalendarAdvance(Calendar,Y3353,X3354,"f",FALSE)</f>
        <v>62478</v>
      </c>
      <c r="Z3354" s="198">
        <f>_xll.qlCalendarAdvance(Calendar,Y3354,NDays&amp;"D")</f>
        <v>62480</v>
      </c>
      <c r="AA3354" s="173">
        <v>2.0092066487757559E-2</v>
      </c>
      <c r="AB3354" s="182">
        <v>1.9959248632570592E-2</v>
      </c>
    </row>
    <row r="3355" spans="24:28" x14ac:dyDescent="0.2">
      <c r="X3355" s="186" t="str">
        <f t="shared" si="86"/>
        <v>1w</v>
      </c>
      <c r="Y3355" s="174">
        <f>_xll.qlCalendarAdvance(Calendar,Y3354,X3355,"f",FALSE)</f>
        <v>62485</v>
      </c>
      <c r="Z3355" s="198">
        <f>_xll.qlCalendarAdvance(Calendar,Y3355,NDays&amp;"D")</f>
        <v>62487</v>
      </c>
      <c r="AA3355" s="173">
        <v>2.0094560490870762E-2</v>
      </c>
      <c r="AB3355" s="182">
        <v>1.9961890232149671E-2</v>
      </c>
    </row>
    <row r="3356" spans="24:28" x14ac:dyDescent="0.2">
      <c r="X3356" s="186" t="str">
        <f t="shared" si="86"/>
        <v>1w</v>
      </c>
      <c r="Y3356" s="174">
        <f>_xll.qlCalendarAdvance(Calendar,Y3355,X3356,"f",FALSE)</f>
        <v>62492</v>
      </c>
      <c r="Z3356" s="198">
        <f>_xll.qlCalendarAdvance(Calendar,Y3356,NDays&amp;"D")</f>
        <v>62494</v>
      </c>
      <c r="AA3356" s="173">
        <v>2.0097040953206181E-2</v>
      </c>
      <c r="AB3356" s="182">
        <v>1.996451842261493E-2</v>
      </c>
    </row>
    <row r="3357" spans="24:28" x14ac:dyDescent="0.2">
      <c r="X3357" s="186" t="str">
        <f t="shared" si="86"/>
        <v>1w</v>
      </c>
      <c r="Y3357" s="174">
        <f>_xll.qlCalendarAdvance(Calendar,Y3356,X3357,"f",FALSE)</f>
        <v>62499</v>
      </c>
      <c r="Z3357" s="198">
        <f>_xll.qlCalendarAdvance(Calendar,Y3357,NDays&amp;"D")</f>
        <v>62501</v>
      </c>
      <c r="AA3357" s="173">
        <v>2.009950787471259E-2</v>
      </c>
      <c r="AB3357" s="182">
        <v>1.9967133204046306E-2</v>
      </c>
    </row>
    <row r="3358" spans="24:28" x14ac:dyDescent="0.2">
      <c r="X3358" s="186" t="str">
        <f t="shared" si="86"/>
        <v>1w</v>
      </c>
      <c r="Y3358" s="174">
        <f>_xll.qlCalendarAdvance(Calendar,Y3357,X3358,"f",FALSE)</f>
        <v>62506</v>
      </c>
      <c r="Z3358" s="198">
        <f>_xll.qlCalendarAdvance(Calendar,Y3358,NDays&amp;"D")</f>
        <v>62508</v>
      </c>
      <c r="AA3358" s="173">
        <v>2.0101961255340084E-2</v>
      </c>
      <c r="AB3358" s="182">
        <v>1.996973457620399E-2</v>
      </c>
    </row>
    <row r="3359" spans="24:28" x14ac:dyDescent="0.2">
      <c r="X3359" s="186" t="str">
        <f t="shared" si="86"/>
        <v>1w</v>
      </c>
      <c r="Y3359" s="174">
        <f>_xll.qlCalendarAdvance(Calendar,Y3358,X3359,"f",FALSE)</f>
        <v>62513</v>
      </c>
      <c r="Z3359" s="198">
        <f>_xll.qlCalendarAdvance(Calendar,Y3359,NDays&amp;"D")</f>
        <v>62515</v>
      </c>
      <c r="AA3359" s="173">
        <v>2.0104401095040525E-2</v>
      </c>
      <c r="AB3359" s="182">
        <v>1.9972322539247855E-2</v>
      </c>
    </row>
    <row r="3360" spans="24:28" x14ac:dyDescent="0.2">
      <c r="X3360" s="186" t="str">
        <f t="shared" si="86"/>
        <v>1w</v>
      </c>
      <c r="Y3360" s="174">
        <f>_xll.qlCalendarAdvance(Calendar,Y3359,X3360,"f",FALSE)</f>
        <v>62520</v>
      </c>
      <c r="Z3360" s="198">
        <f>_xll.qlCalendarAdvance(Calendar,Y3360,NDays&amp;"D")</f>
        <v>62522</v>
      </c>
      <c r="AA3360" s="173">
        <v>2.0110468125341351E-2</v>
      </c>
      <c r="AB3360" s="182">
        <v>1.9974897093257837E-2</v>
      </c>
    </row>
    <row r="3361" spans="24:28" x14ac:dyDescent="0.2">
      <c r="X3361" s="186" t="str">
        <f t="shared" si="86"/>
        <v>1w</v>
      </c>
      <c r="Y3361" s="174">
        <f>_xll.qlCalendarAdvance(Calendar,Y3360,X3361,"f",FALSE)</f>
        <v>62527</v>
      </c>
      <c r="Z3361" s="198">
        <f>_xll.qlCalendarAdvance(Calendar,Y3361,NDays&amp;"D")</f>
        <v>62529</v>
      </c>
      <c r="AA3361" s="173">
        <v>2.0112876716143424E-2</v>
      </c>
      <c r="AB3361" s="182">
        <v>1.9977458238154E-2</v>
      </c>
    </row>
    <row r="3362" spans="24:28" x14ac:dyDescent="0.2">
      <c r="X3362" s="186" t="str">
        <f t="shared" si="86"/>
        <v>1w</v>
      </c>
      <c r="Y3362" s="174">
        <f>_xll.qlCalendarAdvance(Calendar,Y3361,X3362,"f",FALSE)</f>
        <v>62534</v>
      </c>
      <c r="Z3362" s="198">
        <f>_xll.qlCalendarAdvance(Calendar,Y3362,NDays&amp;"D")</f>
        <v>62536</v>
      </c>
      <c r="AA3362" s="173">
        <v>2.0115271762168156E-2</v>
      </c>
      <c r="AB3362" s="182">
        <v>1.9980005973936343E-2</v>
      </c>
    </row>
    <row r="3363" spans="24:28" x14ac:dyDescent="0.2">
      <c r="X3363" s="186" t="str">
        <f t="shared" si="86"/>
        <v>1w</v>
      </c>
      <c r="Y3363" s="174">
        <f>_xll.qlCalendarAdvance(Calendar,Y3362,X3363,"f",FALSE)</f>
        <v>62541</v>
      </c>
      <c r="Z3363" s="198">
        <f>_xll.qlCalendarAdvance(Calendar,Y3363,NDays&amp;"D")</f>
        <v>62543</v>
      </c>
      <c r="AA3363" s="173">
        <v>2.011765326336698E-2</v>
      </c>
      <c r="AB3363" s="182">
        <v>1.9982540300684803E-2</v>
      </c>
    </row>
    <row r="3364" spans="24:28" x14ac:dyDescent="0.2">
      <c r="X3364" s="186" t="str">
        <f t="shared" si="86"/>
        <v>1w</v>
      </c>
      <c r="Y3364" s="174">
        <f>_xll.qlCalendarAdvance(Calendar,Y3363,X3364,"f",FALSE)</f>
        <v>62548</v>
      </c>
      <c r="Z3364" s="198">
        <f>_xll.qlCalendarAdvance(Calendar,Y3364,NDays&amp;"D")</f>
        <v>62550</v>
      </c>
      <c r="AA3364" s="173">
        <v>2.0117846953762685E-2</v>
      </c>
      <c r="AB3364" s="182">
        <v>1.9985061218159572E-2</v>
      </c>
    </row>
    <row r="3365" spans="24:28" x14ac:dyDescent="0.2">
      <c r="X3365" s="186" t="str">
        <f t="shared" si="86"/>
        <v>1w</v>
      </c>
      <c r="Y3365" s="174">
        <f>_xll.qlCalendarAdvance(Calendar,Y3364,X3365,"f",FALSE)</f>
        <v>62555</v>
      </c>
      <c r="Z3365" s="198">
        <f>_xll.qlCalendarAdvance(Calendar,Y3365,NDays&amp;"D")</f>
        <v>62557</v>
      </c>
      <c r="AA3365" s="173">
        <v>2.012020387447986E-2</v>
      </c>
      <c r="AB3365" s="182">
        <v>1.9987568726600458E-2</v>
      </c>
    </row>
    <row r="3366" spans="24:28" x14ac:dyDescent="0.2">
      <c r="X3366" s="186" t="str">
        <f t="shared" si="86"/>
        <v>1w</v>
      </c>
      <c r="Y3366" s="174">
        <f>_xll.qlCalendarAdvance(Calendar,Y3365,X3366,"f",FALSE)</f>
        <v>62562</v>
      </c>
      <c r="Z3366" s="198">
        <f>_xll.qlCalendarAdvance(Calendar,Y3366,NDays&amp;"D")</f>
        <v>62564</v>
      </c>
      <c r="AA3366" s="173">
        <v>2.0122547252446287E-2</v>
      </c>
      <c r="AB3366" s="182">
        <v>1.9992992984491309E-2</v>
      </c>
    </row>
    <row r="3367" spans="24:28" x14ac:dyDescent="0.2">
      <c r="X3367" s="186" t="str">
        <f t="shared" si="86"/>
        <v>1w</v>
      </c>
      <c r="Y3367" s="174">
        <f>_xll.qlCalendarAdvance(Calendar,Y3366,X3367,"f",FALSE)</f>
        <v>62569</v>
      </c>
      <c r="Z3367" s="198">
        <f>_xll.qlCalendarAdvance(Calendar,Y3367,NDays&amp;"D")</f>
        <v>62571</v>
      </c>
      <c r="AA3367" s="173">
        <v>2.0124877087614356E-2</v>
      </c>
      <c r="AB3367" s="182">
        <v>1.9992543515980898E-2</v>
      </c>
    </row>
    <row r="3368" spans="24:28" x14ac:dyDescent="0.2">
      <c r="X3368" s="186" t="str">
        <f t="shared" si="86"/>
        <v>1w</v>
      </c>
      <c r="Y3368" s="174">
        <f>_xll.qlCalendarAdvance(Calendar,Y3367,X3368,"f",FALSE)</f>
        <v>62576</v>
      </c>
      <c r="Z3368" s="198">
        <f>_xll.qlCalendarAdvance(Calendar,Y3368,NDays&amp;"D")</f>
        <v>62578</v>
      </c>
      <c r="AA3368" s="173">
        <v>2.012719337993733E-2</v>
      </c>
      <c r="AB3368" s="182">
        <v>1.9997203569204203E-2</v>
      </c>
    </row>
    <row r="3369" spans="24:28" x14ac:dyDescent="0.2">
      <c r="X3369" s="186" t="str">
        <f t="shared" si="86"/>
        <v>1w</v>
      </c>
      <c r="Y3369" s="174">
        <f>_xll.qlCalendarAdvance(Calendar,Y3368,X3369,"f",FALSE)</f>
        <v>62583</v>
      </c>
      <c r="Z3369" s="198">
        <f>_xll.qlCalendarAdvance(Calendar,Y3369,NDays&amp;"D")</f>
        <v>62585</v>
      </c>
      <c r="AA3369" s="173">
        <v>2.0131657826444792E-2</v>
      </c>
      <c r="AB3369" s="182">
        <v>1.9997464668826126E-2</v>
      </c>
    </row>
    <row r="3370" spans="24:28" x14ac:dyDescent="0.2">
      <c r="X3370" s="186" t="str">
        <f t="shared" si="86"/>
        <v>1w</v>
      </c>
      <c r="Y3370" s="174">
        <f>_xll.qlCalendarAdvance(Calendar,Y3369,X3370,"f",FALSE)</f>
        <v>62590</v>
      </c>
      <c r="Z3370" s="198">
        <f>_xll.qlCalendarAdvance(Calendar,Y3370,NDays&amp;"D")</f>
        <v>62592</v>
      </c>
      <c r="AA3370" s="173">
        <v>2.0133944512486599E-2</v>
      </c>
      <c r="AB3370" s="182">
        <v>1.9999905131697915E-2</v>
      </c>
    </row>
    <row r="3371" spans="24:28" x14ac:dyDescent="0.2">
      <c r="X3371" s="186" t="str">
        <f t="shared" si="86"/>
        <v>1w</v>
      </c>
      <c r="Y3371" s="174">
        <f>_xll.qlCalendarAdvance(Calendar,Y3370,X3371,"f",FALSE)</f>
        <v>62597</v>
      </c>
      <c r="Z3371" s="198">
        <f>_xll.qlCalendarAdvance(Calendar,Y3371,NDays&amp;"D")</f>
        <v>62599</v>
      </c>
      <c r="AA3371" s="173">
        <v>2.0136217653313998E-2</v>
      </c>
      <c r="AB3371" s="182">
        <v>2.0002332185375948E-2</v>
      </c>
    </row>
    <row r="3372" spans="24:28" x14ac:dyDescent="0.2">
      <c r="X3372" s="186" t="str">
        <f t="shared" si="86"/>
        <v>1w</v>
      </c>
      <c r="Y3372" s="174">
        <f>_xll.qlCalendarAdvance(Calendar,Y3371,X3372,"f",FALSE)</f>
        <v>62604</v>
      </c>
      <c r="Z3372" s="198">
        <f>_xll.qlCalendarAdvance(Calendar,Y3372,NDays&amp;"D")</f>
        <v>62606</v>
      </c>
      <c r="AA3372" s="173">
        <v>2.013847724887842E-2</v>
      </c>
      <c r="AB3372" s="182">
        <v>2.0004745830020099E-2</v>
      </c>
    </row>
    <row r="3373" spans="24:28" x14ac:dyDescent="0.2">
      <c r="X3373" s="186" t="str">
        <f t="shared" si="86"/>
        <v>1w</v>
      </c>
      <c r="Y3373" s="174">
        <f>_xll.qlCalendarAdvance(Calendar,Y3372,X3373,"f",FALSE)</f>
        <v>62611</v>
      </c>
      <c r="Z3373" s="198">
        <f>_xll.qlCalendarAdvance(Calendar,Y3373,NDays&amp;"D")</f>
        <v>62613</v>
      </c>
      <c r="AA3373" s="173">
        <v>2.0138571697217181E-2</v>
      </c>
      <c r="AB3373" s="182">
        <v>2.0007146065470494E-2</v>
      </c>
    </row>
    <row r="3374" spans="24:28" x14ac:dyDescent="0.2">
      <c r="X3374" s="186" t="str">
        <f t="shared" si="86"/>
        <v>1w</v>
      </c>
      <c r="Y3374" s="174">
        <f>_xll.qlCalendarAdvance(Calendar,Y3373,X3374,"f",FALSE)</f>
        <v>62618</v>
      </c>
      <c r="Z3374" s="198">
        <f>_xll.qlCalendarAdvance(Calendar,Y3374,NDays&amp;"D")</f>
        <v>62620</v>
      </c>
      <c r="AA3374" s="173">
        <v>2.0140806731480637E-2</v>
      </c>
      <c r="AB3374" s="182">
        <v>2.0009532891807069E-2</v>
      </c>
    </row>
    <row r="3375" spans="24:28" x14ac:dyDescent="0.2">
      <c r="X3375" s="186" t="str">
        <f t="shared" si="86"/>
        <v>1w</v>
      </c>
      <c r="Y3375" s="174">
        <f>_xll.qlCalendarAdvance(Calendar,Y3374,X3375,"f",FALSE)</f>
        <v>62625</v>
      </c>
      <c r="Z3375" s="198">
        <f>_xll.qlCalendarAdvance(Calendar,Y3375,NDays&amp;"D")</f>
        <v>62627</v>
      </c>
      <c r="AA3375" s="173">
        <v>2.0143028222572704E-2</v>
      </c>
      <c r="AB3375" s="182">
        <v>2.0011906308949889E-2</v>
      </c>
    </row>
    <row r="3376" spans="24:28" x14ac:dyDescent="0.2">
      <c r="X3376" s="186" t="str">
        <f t="shared" si="86"/>
        <v>1w</v>
      </c>
      <c r="Y3376" s="174">
        <f>_xll.qlCalendarAdvance(Calendar,Y3375,X3376,"f",FALSE)</f>
        <v>62632</v>
      </c>
      <c r="Z3376" s="198">
        <f>_xll.qlCalendarAdvance(Calendar,Y3376,NDays&amp;"D")</f>
        <v>62634</v>
      </c>
      <c r="AA3376" s="173">
        <v>2.0147380177583642E-2</v>
      </c>
      <c r="AB3376" s="182">
        <v>2.001426631697889E-2</v>
      </c>
    </row>
    <row r="3377" spans="24:28" x14ac:dyDescent="0.2">
      <c r="X3377" s="186" t="str">
        <f t="shared" si="86"/>
        <v>1w</v>
      </c>
      <c r="Y3377" s="174">
        <f>_xll.qlCalendarAdvance(Calendar,Y3376,X3377,"f",FALSE)</f>
        <v>62639</v>
      </c>
      <c r="Z3377" s="198">
        <f>_xll.qlCalendarAdvance(Calendar,Y3377,NDays&amp;"D")</f>
        <v>62641</v>
      </c>
      <c r="AA3377" s="173">
        <v>2.0149572046139545E-2</v>
      </c>
      <c r="AB3377" s="182">
        <v>2.0016612915974008E-2</v>
      </c>
    </row>
    <row r="3378" spans="24:28" x14ac:dyDescent="0.2">
      <c r="X3378" s="186" t="str">
        <f t="shared" si="86"/>
        <v>1w</v>
      </c>
      <c r="Y3378" s="174">
        <f>_xll.qlCalendarAdvance(Calendar,Y3377,X3378,"f",FALSE)</f>
        <v>62646</v>
      </c>
      <c r="Z3378" s="198">
        <f>_xll.qlCalendarAdvance(Calendar,Y3378,NDays&amp;"D")</f>
        <v>62648</v>
      </c>
      <c r="AA3378" s="173">
        <v>2.0151750369156566E-2</v>
      </c>
      <c r="AB3378" s="182">
        <v>2.0018946105935242E-2</v>
      </c>
    </row>
    <row r="3379" spans="24:28" x14ac:dyDescent="0.2">
      <c r="X3379" s="186" t="str">
        <f t="shared" si="86"/>
        <v>1w</v>
      </c>
      <c r="Y3379" s="174">
        <f>_xll.qlCalendarAdvance(Calendar,Y3378,X3379,"f",FALSE)</f>
        <v>62653</v>
      </c>
      <c r="Z3379" s="198">
        <f>_xll.qlCalendarAdvance(Calendar,Y3379,NDays&amp;"D")</f>
        <v>62655</v>
      </c>
      <c r="AA3379" s="173">
        <v>2.0153915146588718E-2</v>
      </c>
      <c r="AB3379" s="182">
        <v>2.0021265886622786E-2</v>
      </c>
    </row>
    <row r="3380" spans="24:28" x14ac:dyDescent="0.2">
      <c r="X3380" s="186" t="str">
        <f t="shared" si="86"/>
        <v>1w</v>
      </c>
      <c r="Y3380" s="174">
        <f>_xll.qlCalendarAdvance(Calendar,Y3379,X3380,"f",FALSE)</f>
        <v>62660</v>
      </c>
      <c r="Z3380" s="198">
        <f>_xll.qlCalendarAdvance(Calendar,Y3380,NDays&amp;"D")</f>
        <v>62662</v>
      </c>
      <c r="AA3380" s="173">
        <v>2.0156066378390444E-2</v>
      </c>
      <c r="AB3380" s="182">
        <v>2.0023572258116573E-2</v>
      </c>
    </row>
    <row r="3381" spans="24:28" x14ac:dyDescent="0.2">
      <c r="X3381" s="186" t="str">
        <f t="shared" si="86"/>
        <v>1w</v>
      </c>
      <c r="Y3381" s="174">
        <f>_xll.qlCalendarAdvance(Calendar,Y3380,X3381,"f",FALSE)</f>
        <v>62667</v>
      </c>
      <c r="Z3381" s="198">
        <f>_xll.qlCalendarAdvance(Calendar,Y3381,NDays&amp;"D")</f>
        <v>62669</v>
      </c>
      <c r="AA3381" s="173">
        <v>2.0156072760001947E-2</v>
      </c>
      <c r="AB3381" s="182">
        <v>2.0025865220656414E-2</v>
      </c>
    </row>
    <row r="3382" spans="24:28" x14ac:dyDescent="0.2">
      <c r="X3382" s="186" t="str">
        <f t="shared" si="86"/>
        <v>1w</v>
      </c>
      <c r="Y3382" s="174">
        <f>_xll.qlCalendarAdvance(Calendar,Y3381,X3382,"f",FALSE)</f>
        <v>62674</v>
      </c>
      <c r="Z3382" s="198">
        <f>_xll.qlCalendarAdvance(Calendar,Y3382,NDays&amp;"D")</f>
        <v>62676</v>
      </c>
      <c r="AA3382" s="173">
        <v>2.0160328204927712E-2</v>
      </c>
      <c r="AB3382" s="182">
        <v>2.0028144774002499E-2</v>
      </c>
    </row>
    <row r="3383" spans="24:28" x14ac:dyDescent="0.2">
      <c r="X3383" s="186" t="str">
        <f t="shared" si="86"/>
        <v>1w</v>
      </c>
      <c r="Y3383" s="174">
        <f>_xll.qlCalendarAdvance(Calendar,Y3382,X3383,"f",FALSE)</f>
        <v>62681</v>
      </c>
      <c r="Z3383" s="198">
        <f>_xll.qlCalendarAdvance(Calendar,Y3383,NDays&amp;"D")</f>
        <v>62683</v>
      </c>
      <c r="AA3383" s="173">
        <v>2.0162438799573863E-2</v>
      </c>
      <c r="AB3383" s="182">
        <v>2.0030410918314701E-2</v>
      </c>
    </row>
    <row r="3384" spans="24:28" x14ac:dyDescent="0.2">
      <c r="X3384" s="186" t="str">
        <f t="shared" si="86"/>
        <v>1w</v>
      </c>
      <c r="Y3384" s="174">
        <f>_xll.qlCalendarAdvance(Calendar,Y3383,X3384,"f",FALSE)</f>
        <v>62688</v>
      </c>
      <c r="Z3384" s="198">
        <f>_xll.qlCalendarAdvance(Calendar,Y3384,NDays&amp;"D")</f>
        <v>62690</v>
      </c>
      <c r="AA3384" s="173">
        <v>2.0164535848412098E-2</v>
      </c>
      <c r="AB3384" s="182">
        <v>2.0032663653353211E-2</v>
      </c>
    </row>
    <row r="3385" spans="24:28" x14ac:dyDescent="0.2">
      <c r="X3385" s="186" t="str">
        <f t="shared" si="86"/>
        <v>1w</v>
      </c>
      <c r="Y3385" s="174">
        <f>_xll.qlCalendarAdvance(Calendar,Y3384,X3385,"f",FALSE)</f>
        <v>62695</v>
      </c>
      <c r="Z3385" s="198">
        <f>_xll.qlCalendarAdvance(Calendar,Y3385,NDays&amp;"D")</f>
        <v>62697</v>
      </c>
      <c r="AA3385" s="173">
        <v>2.0166619351401158E-2</v>
      </c>
      <c r="AB3385" s="182">
        <v>2.0034902979357838E-2</v>
      </c>
    </row>
    <row r="3386" spans="24:28" x14ac:dyDescent="0.2">
      <c r="X3386" s="186" t="str">
        <f t="shared" si="86"/>
        <v>1w</v>
      </c>
      <c r="Y3386" s="174">
        <f>_xll.qlCalendarAdvance(Calendar,Y3385,X3386,"f",FALSE)</f>
        <v>62702</v>
      </c>
      <c r="Z3386" s="198">
        <f>_xll.qlCalendarAdvance(Calendar,Y3386,NDays&amp;"D")</f>
        <v>62704</v>
      </c>
      <c r="AA3386" s="173">
        <v>2.0165864470001883E-2</v>
      </c>
      <c r="AB3386" s="182">
        <v>2.003712889616871E-2</v>
      </c>
    </row>
    <row r="3387" spans="24:28" x14ac:dyDescent="0.2">
      <c r="X3387" s="186" t="str">
        <f t="shared" si="86"/>
        <v>1w</v>
      </c>
      <c r="Y3387" s="174">
        <f>_xll.qlCalendarAdvance(Calendar,Y3386,X3387,"f",FALSE)</f>
        <v>62709</v>
      </c>
      <c r="Z3387" s="198">
        <f>_xll.qlCalendarAdvance(Calendar,Y3387,NDays&amp;"D")</f>
        <v>62711</v>
      </c>
      <c r="AA3387" s="173">
        <v>2.0167924292177564E-2</v>
      </c>
      <c r="AB3387" s="182">
        <v>2.0039341403785826E-2</v>
      </c>
    </row>
    <row r="3388" spans="24:28" x14ac:dyDescent="0.2">
      <c r="X3388" s="186" t="str">
        <f t="shared" si="86"/>
        <v>1w</v>
      </c>
      <c r="Y3388" s="174">
        <f>_xll.qlCalendarAdvance(Calendar,Y3387,X3388,"f",FALSE)</f>
        <v>62716</v>
      </c>
      <c r="Z3388" s="198">
        <f>_xll.qlCalendarAdvance(Calendar,Y3388,NDays&amp;"D")</f>
        <v>62718</v>
      </c>
      <c r="AA3388" s="173">
        <v>2.0169970571359268E-2</v>
      </c>
      <c r="AB3388" s="182">
        <v>2.0041540502448996E-2</v>
      </c>
    </row>
    <row r="3389" spans="24:28" x14ac:dyDescent="0.2">
      <c r="X3389" s="186" t="str">
        <f t="shared" si="86"/>
        <v>1w</v>
      </c>
      <c r="Y3389" s="174">
        <f>_xll.qlCalendarAdvance(Calendar,Y3388,X3389,"f",FALSE)</f>
        <v>62723</v>
      </c>
      <c r="Z3389" s="198">
        <f>_xll.qlCalendarAdvance(Calendar,Y3389,NDays&amp;"D")</f>
        <v>62725</v>
      </c>
      <c r="AA3389" s="173">
        <v>2.0172003307505709E-2</v>
      </c>
      <c r="AB3389" s="182">
        <v>2.0043726192078282E-2</v>
      </c>
    </row>
    <row r="3390" spans="24:28" x14ac:dyDescent="0.2">
      <c r="X3390" s="186" t="str">
        <f t="shared" si="86"/>
        <v>1w</v>
      </c>
      <c r="Y3390" s="174">
        <f>_xll.qlCalendarAdvance(Calendar,Y3389,X3390,"f",FALSE)</f>
        <v>62730</v>
      </c>
      <c r="Z3390" s="198">
        <f>_xll.qlCalendarAdvance(Calendar,Y3390,NDays&amp;"D")</f>
        <v>62732</v>
      </c>
      <c r="AA3390" s="173">
        <v>2.017472537815581E-2</v>
      </c>
      <c r="AB3390" s="182">
        <v>2.0045898472274004E-2</v>
      </c>
    </row>
    <row r="3391" spans="24:28" x14ac:dyDescent="0.2">
      <c r="X3391" s="186" t="str">
        <f t="shared" si="86"/>
        <v>1w</v>
      </c>
      <c r="Y3391" s="174">
        <f>_xll.qlCalendarAdvance(Calendar,Y3390,X3391,"f",FALSE)</f>
        <v>62737</v>
      </c>
      <c r="Z3391" s="198">
        <f>_xll.qlCalendarAdvance(Calendar,Y3391,NDays&amp;"D")</f>
        <v>62739</v>
      </c>
      <c r="AA3391" s="173">
        <v>2.0179537703064878E-2</v>
      </c>
      <c r="AB3391" s="182">
        <v>2.0048057343515779E-2</v>
      </c>
    </row>
    <row r="3392" spans="24:28" x14ac:dyDescent="0.2">
      <c r="X3392" s="186" t="str">
        <f t="shared" si="86"/>
        <v>1w</v>
      </c>
      <c r="Y3392" s="174">
        <f>_xll.qlCalendarAdvance(Calendar,Y3391,X3392,"f",FALSE)</f>
        <v>62744</v>
      </c>
      <c r="Z3392" s="198">
        <f>_xll.qlCalendarAdvance(Calendar,Y3392,NDays&amp;"D")</f>
        <v>62746</v>
      </c>
      <c r="AA3392" s="173">
        <v>2.0178721422970638E-2</v>
      </c>
      <c r="AB3392" s="182">
        <v>2.0050202805723671E-2</v>
      </c>
    </row>
    <row r="3393" spans="24:28" x14ac:dyDescent="0.2">
      <c r="X3393" s="186" t="str">
        <f t="shared" si="86"/>
        <v>1w</v>
      </c>
      <c r="Y3393" s="174">
        <f>_xll.qlCalendarAdvance(Calendar,Y3392,X3393,"f",FALSE)</f>
        <v>62751</v>
      </c>
      <c r="Z3393" s="198">
        <f>_xll.qlCalendarAdvance(Calendar,Y3393,NDays&amp;"D")</f>
        <v>62753</v>
      </c>
      <c r="AA3393" s="173">
        <v>2.018069912947849E-2</v>
      </c>
      <c r="AB3393" s="182">
        <v>2.0052334858657872E-2</v>
      </c>
    </row>
    <row r="3394" spans="24:28" x14ac:dyDescent="0.2">
      <c r="X3394" s="186" t="str">
        <f t="shared" si="86"/>
        <v>1w</v>
      </c>
      <c r="Y3394" s="174">
        <f>_xll.qlCalendarAdvance(Calendar,Y3393,X3394,"f",FALSE)</f>
        <v>62758</v>
      </c>
      <c r="Z3394" s="198">
        <f>_xll.qlCalendarAdvance(Calendar,Y3394,NDays&amp;"D")</f>
        <v>62760</v>
      </c>
      <c r="AA3394" s="173">
        <v>2.0182663291998987E-2</v>
      </c>
      <c r="AB3394" s="182">
        <v>2.0054453502638125E-2</v>
      </c>
    </row>
    <row r="3395" spans="24:28" x14ac:dyDescent="0.2">
      <c r="X3395" s="186" t="str">
        <f t="shared" si="86"/>
        <v>1w</v>
      </c>
      <c r="Y3395" s="174">
        <f>_xll.qlCalendarAdvance(Calendar,Y3394,X3395,"f",FALSE)</f>
        <v>62765</v>
      </c>
      <c r="Z3395" s="198">
        <f>_xll.qlCalendarAdvance(Calendar,Y3395,NDays&amp;"D")</f>
        <v>62767</v>
      </c>
      <c r="AA3395" s="173">
        <v>2.0183915318337062E-2</v>
      </c>
      <c r="AB3395" s="182">
        <v>2.0056558737184815E-2</v>
      </c>
    </row>
    <row r="3396" spans="24:28" x14ac:dyDescent="0.2">
      <c r="X3396" s="186" t="str">
        <f t="shared" si="86"/>
        <v>1w</v>
      </c>
      <c r="Y3396" s="174">
        <f>_xll.qlCalendarAdvance(Calendar,Y3395,X3396,"f",FALSE)</f>
        <v>62772</v>
      </c>
      <c r="Z3396" s="198">
        <f>_xll.qlCalendarAdvance(Calendar,Y3396,NDays&amp;"D")</f>
        <v>62774</v>
      </c>
      <c r="AA3396" s="173">
        <v>2.0185853252091192E-2</v>
      </c>
      <c r="AB3396" s="182">
        <v>2.005865056293743E-2</v>
      </c>
    </row>
    <row r="3397" spans="24:28" x14ac:dyDescent="0.2">
      <c r="X3397" s="186" t="str">
        <f t="shared" si="86"/>
        <v>1w</v>
      </c>
      <c r="Y3397" s="174">
        <f>_xll.qlCalendarAdvance(Calendar,Y3396,X3397,"f",FALSE)</f>
        <v>62779</v>
      </c>
      <c r="Z3397" s="198">
        <f>_xll.qlCalendarAdvance(Calendar,Y3397,NDays&amp;"D")</f>
        <v>62781</v>
      </c>
      <c r="AA3397" s="173">
        <v>2.0187777642487678E-2</v>
      </c>
      <c r="AB3397" s="182">
        <v>2.0060728979416353E-2</v>
      </c>
    </row>
    <row r="3398" spans="24:28" x14ac:dyDescent="0.2">
      <c r="X3398" s="186" t="str">
        <f t="shared" si="86"/>
        <v>1w</v>
      </c>
      <c r="Y3398" s="174">
        <f>_xll.qlCalendarAdvance(Calendar,Y3397,X3398,"f",FALSE)</f>
        <v>62786</v>
      </c>
      <c r="Z3398" s="198">
        <f>_xll.qlCalendarAdvance(Calendar,Y3398,NDays&amp;"D")</f>
        <v>62788</v>
      </c>
      <c r="AA3398" s="173">
        <v>2.0189688489484794E-2</v>
      </c>
      <c r="AB3398" s="182">
        <v>2.0062793986621585E-2</v>
      </c>
    </row>
    <row r="3399" spans="24:28" x14ac:dyDescent="0.2">
      <c r="X3399" s="186" t="str">
        <f t="shared" si="86"/>
        <v>1w</v>
      </c>
      <c r="Y3399" s="174">
        <f>_xll.qlCalendarAdvance(Calendar,Y3398,X3399,"f",FALSE)</f>
        <v>62793</v>
      </c>
      <c r="Z3399" s="198">
        <f>_xll.qlCalendarAdvance(Calendar,Y3399,NDays&amp;"D")</f>
        <v>62795</v>
      </c>
      <c r="AA3399" s="173">
        <v>2.0192280943399955E-2</v>
      </c>
      <c r="AB3399" s="182">
        <v>2.006484558487287E-2</v>
      </c>
    </row>
    <row r="3400" spans="24:28" x14ac:dyDescent="0.2">
      <c r="X3400" s="186" t="str">
        <f t="shared" si="86"/>
        <v>1w</v>
      </c>
      <c r="Y3400" s="174">
        <f>_xll.qlCalendarAdvance(Calendar,Y3399,X3400,"f",FALSE)</f>
        <v>62800</v>
      </c>
      <c r="Z3400" s="198">
        <f>_xll.qlCalendarAdvance(Calendar,Y3400,NDays&amp;"D")</f>
        <v>62802</v>
      </c>
      <c r="AA3400" s="173">
        <v>2.0194163841164216E-2</v>
      </c>
      <c r="AB3400" s="182">
        <v>2.0066883774010336E-2</v>
      </c>
    </row>
    <row r="3401" spans="24:28" x14ac:dyDescent="0.2">
      <c r="X3401" s="186" t="str">
        <f t="shared" si="86"/>
        <v>1w</v>
      </c>
      <c r="Y3401" s="174">
        <f>_xll.qlCalendarAdvance(Calendar,Y3400,X3401,"f",FALSE)</f>
        <v>62807</v>
      </c>
      <c r="Z3401" s="198">
        <f>_xll.qlCalendarAdvance(Calendar,Y3401,NDays&amp;"D")</f>
        <v>62809</v>
      </c>
      <c r="AA3401" s="173">
        <v>2.0196033194666809E-2</v>
      </c>
      <c r="AB3401" s="182">
        <v>2.0068908554033982E-2</v>
      </c>
    </row>
    <row r="3402" spans="24:28" x14ac:dyDescent="0.2">
      <c r="X3402" s="186" t="str">
        <f t="shared" si="86"/>
        <v>1w</v>
      </c>
      <c r="Y3402" s="174">
        <f>_xll.qlCalendarAdvance(Calendar,Y3401,X3402,"f",FALSE)</f>
        <v>62814</v>
      </c>
      <c r="Z3402" s="198">
        <f>_xll.qlCalendarAdvance(Calendar,Y3402,NDays&amp;"D")</f>
        <v>62816</v>
      </c>
      <c r="AA3402" s="173">
        <v>2.0197889003867549E-2</v>
      </c>
      <c r="AB3402" s="182">
        <v>2.0073027659091025E-2</v>
      </c>
    </row>
    <row r="3403" spans="24:28" x14ac:dyDescent="0.2">
      <c r="X3403" s="186" t="str">
        <f t="shared" si="86"/>
        <v>1w</v>
      </c>
      <c r="Y3403" s="174">
        <f>_xll.qlCalendarAdvance(Calendar,Y3402,X3403,"f",FALSE)</f>
        <v>62821</v>
      </c>
      <c r="Z3403" s="198">
        <f>_xll.qlCalendarAdvance(Calendar,Y3403,NDays&amp;"D")</f>
        <v>62823</v>
      </c>
      <c r="AA3403" s="173">
        <v>2.019903957215826E-2</v>
      </c>
      <c r="AB3403" s="182">
        <v>2.0075023081138621E-2</v>
      </c>
    </row>
    <row r="3404" spans="24:28" x14ac:dyDescent="0.2">
      <c r="X3404" s="186" t="str">
        <f t="shared" si="86"/>
        <v>1w</v>
      </c>
      <c r="Y3404" s="174">
        <f>_xll.qlCalendarAdvance(Calendar,Y3403,X3404,"f",FALSE)</f>
        <v>62828</v>
      </c>
      <c r="Z3404" s="198">
        <f>_xll.qlCalendarAdvance(Calendar,Y3404,NDays&amp;"D")</f>
        <v>62830</v>
      </c>
      <c r="AA3404" s="173">
        <v>2.0200869157962879E-2</v>
      </c>
      <c r="AB3404" s="182">
        <v>2.0074902439182196E-2</v>
      </c>
    </row>
    <row r="3405" spans="24:28" x14ac:dyDescent="0.2">
      <c r="X3405" s="186" t="str">
        <f t="shared" si="86"/>
        <v>1w</v>
      </c>
      <c r="Y3405" s="174">
        <f>_xll.qlCalendarAdvance(Calendar,Y3404,X3405,"f",FALSE)</f>
        <v>62835</v>
      </c>
      <c r="Z3405" s="198">
        <f>_xll.qlCalendarAdvance(Calendar,Y3405,NDays&amp;"D")</f>
        <v>62837</v>
      </c>
      <c r="AA3405" s="173">
        <v>2.020268520010416E-2</v>
      </c>
      <c r="AB3405" s="182">
        <v>2.0076873582670629E-2</v>
      </c>
    </row>
    <row r="3406" spans="24:28" x14ac:dyDescent="0.2">
      <c r="X3406" s="186" t="str">
        <f t="shared" si="86"/>
        <v>1w</v>
      </c>
      <c r="Y3406" s="174">
        <f>_xll.qlCalendarAdvance(Calendar,Y3405,X3406,"f",FALSE)</f>
        <v>62842</v>
      </c>
      <c r="Z3406" s="198">
        <f>_xll.qlCalendarAdvance(Calendar,Y3406,NDays&amp;"D")</f>
        <v>62844</v>
      </c>
      <c r="AA3406" s="173">
        <v>2.0204487698544337E-2</v>
      </c>
      <c r="AB3406" s="182">
        <v>2.007883131688537E-2</v>
      </c>
    </row>
    <row r="3407" spans="24:28" x14ac:dyDescent="0.2">
      <c r="X3407" s="186" t="str">
        <f t="shared" si="86"/>
        <v>1w</v>
      </c>
      <c r="Y3407" s="174">
        <f>_xll.qlCalendarAdvance(Calendar,Y3406,X3407,"f",FALSE)</f>
        <v>62849</v>
      </c>
      <c r="Z3407" s="198">
        <f>_xll.qlCalendarAdvance(Calendar,Y3407,NDays&amp;"D")</f>
        <v>62851</v>
      </c>
      <c r="AA3407" s="173">
        <v>2.0206276653246955E-2</v>
      </c>
      <c r="AB3407" s="182">
        <v>2.0080775642146165E-2</v>
      </c>
    </row>
    <row r="3408" spans="24:28" x14ac:dyDescent="0.2">
      <c r="X3408" s="186" t="str">
        <f t="shared" si="86"/>
        <v>1w</v>
      </c>
      <c r="Y3408" s="174">
        <f>_xll.qlCalendarAdvance(Calendar,Y3407,X3408,"f",FALSE)</f>
        <v>62856</v>
      </c>
      <c r="Z3408" s="198">
        <f>_xll.qlCalendarAdvance(Calendar,Y3408,NDays&amp;"D")</f>
        <v>62858</v>
      </c>
      <c r="AA3408" s="173">
        <v>2.0208052064175995E-2</v>
      </c>
      <c r="AB3408" s="182">
        <v>2.008270655829314E-2</v>
      </c>
    </row>
    <row r="3409" spans="24:28" x14ac:dyDescent="0.2">
      <c r="X3409" s="186" t="str">
        <f t="shared" si="86"/>
        <v>1w</v>
      </c>
      <c r="Y3409" s="174">
        <f>_xll.qlCalendarAdvance(Calendar,Y3408,X3409,"f",FALSE)</f>
        <v>62863</v>
      </c>
      <c r="Z3409" s="198">
        <f>_xll.qlCalendarAdvance(Calendar,Y3409,NDays&amp;"D")</f>
        <v>62865</v>
      </c>
      <c r="AA3409" s="173">
        <v>2.0209813931295006E-2</v>
      </c>
      <c r="AB3409" s="182">
        <v>2.0084624065246359E-2</v>
      </c>
    </row>
    <row r="3410" spans="24:28" x14ac:dyDescent="0.2">
      <c r="X3410" s="186" t="str">
        <f t="shared" si="86"/>
        <v>1w</v>
      </c>
      <c r="Y3410" s="174">
        <f>_xll.qlCalendarAdvance(Calendar,Y3409,X3410,"f",FALSE)</f>
        <v>62870</v>
      </c>
      <c r="Z3410" s="198">
        <f>_xll.qlCalendarAdvance(Calendar,Y3410,NDays&amp;"D")</f>
        <v>62872</v>
      </c>
      <c r="AA3410" s="173">
        <v>2.0211562254566658E-2</v>
      </c>
      <c r="AB3410" s="182">
        <v>2.0086528163005823E-2</v>
      </c>
    </row>
    <row r="3411" spans="24:28" x14ac:dyDescent="0.2">
      <c r="X3411" s="186" t="str">
        <f t="shared" si="86"/>
        <v>1w</v>
      </c>
      <c r="Y3411" s="174">
        <f>_xll.qlCalendarAdvance(Calendar,Y3410,X3411,"f",FALSE)</f>
        <v>62877</v>
      </c>
      <c r="Z3411" s="198">
        <f>_xll.qlCalendarAdvance(Calendar,Y3411,NDays&amp;"D")</f>
        <v>62879</v>
      </c>
      <c r="AA3411" s="173">
        <v>2.0213297033958005E-2</v>
      </c>
      <c r="AB3411" s="182">
        <v>2.0088418851651468E-2</v>
      </c>
    </row>
    <row r="3412" spans="24:28" x14ac:dyDescent="0.2">
      <c r="X3412" s="186" t="str">
        <f t="shared" si="86"/>
        <v>1w</v>
      </c>
      <c r="Y3412" s="174">
        <f>_xll.qlCalendarAdvance(Calendar,Y3411,X3412,"f",FALSE)</f>
        <v>62884</v>
      </c>
      <c r="Z3412" s="198">
        <f>_xll.qlCalendarAdvance(Calendar,Y3412,NDays&amp;"D")</f>
        <v>62886</v>
      </c>
      <c r="AA3412" s="173">
        <v>2.0217753449079834E-2</v>
      </c>
      <c r="AB3412" s="182">
        <v>2.009029613126323E-2</v>
      </c>
    </row>
    <row r="3413" spans="24:28" x14ac:dyDescent="0.2">
      <c r="X3413" s="186" t="str">
        <f t="shared" ref="X3413:X3476" si="87">X3412</f>
        <v>1w</v>
      </c>
      <c r="Y3413" s="174">
        <f>_xll.qlCalendarAdvance(Calendar,Y3412,X3413,"f",FALSE)</f>
        <v>62891</v>
      </c>
      <c r="Z3413" s="198">
        <f>_xll.qlCalendarAdvance(Calendar,Y3413,NDays&amp;"D")</f>
        <v>62893</v>
      </c>
      <c r="AA3413" s="173">
        <v>2.0219457651704017E-2</v>
      </c>
      <c r="AB3413" s="182">
        <v>2.00921600016013E-2</v>
      </c>
    </row>
    <row r="3414" spans="24:28" x14ac:dyDescent="0.2">
      <c r="X3414" s="186" t="str">
        <f t="shared" si="87"/>
        <v>1w</v>
      </c>
      <c r="Y3414" s="174">
        <f>_xll.qlCalendarAdvance(Calendar,Y3413,X3414,"f",FALSE)</f>
        <v>62898</v>
      </c>
      <c r="Z3414" s="198">
        <f>_xll.qlCalendarAdvance(Calendar,Y3414,NDays&amp;"D")</f>
        <v>62900</v>
      </c>
      <c r="AA3414" s="173">
        <v>2.0221148307336713E-2</v>
      </c>
      <c r="AB3414" s="182">
        <v>2.0094010462985423E-2</v>
      </c>
    </row>
    <row r="3415" spans="24:28" x14ac:dyDescent="0.2">
      <c r="X3415" s="186" t="str">
        <f t="shared" si="87"/>
        <v>1w</v>
      </c>
      <c r="Y3415" s="174">
        <f>_xll.qlCalendarAdvance(Calendar,Y3414,X3415,"f",FALSE)</f>
        <v>62905</v>
      </c>
      <c r="Z3415" s="198">
        <f>_xll.qlCalendarAdvance(Calendar,Y3415,NDays&amp;"D")</f>
        <v>62907</v>
      </c>
      <c r="AA3415" s="173">
        <v>2.0222825415941822E-2</v>
      </c>
      <c r="AB3415" s="182">
        <v>2.0095847515095855E-2</v>
      </c>
    </row>
    <row r="3416" spans="24:28" x14ac:dyDescent="0.2">
      <c r="X3416" s="186" t="str">
        <f t="shared" si="87"/>
        <v>1w</v>
      </c>
      <c r="Y3416" s="174">
        <f>_xll.qlCalendarAdvance(Calendar,Y3415,X3416,"f",FALSE)</f>
        <v>62912</v>
      </c>
      <c r="Z3416" s="198">
        <f>_xll.qlCalendarAdvance(Calendar,Y3416,NDays&amp;"D")</f>
        <v>62914</v>
      </c>
      <c r="AA3416" s="173">
        <v>2.0222448160375783E-2</v>
      </c>
      <c r="AB3416" s="182">
        <v>2.0097671158092467E-2</v>
      </c>
    </row>
    <row r="3417" spans="24:28" x14ac:dyDescent="0.2">
      <c r="X3417" s="186" t="str">
        <f t="shared" si="87"/>
        <v>1w</v>
      </c>
      <c r="Y3417" s="174">
        <f>_xll.qlCalendarAdvance(Calendar,Y3416,X3417,"f",FALSE)</f>
        <v>62919</v>
      </c>
      <c r="Z3417" s="198">
        <f>_xll.qlCalendarAdvance(Calendar,Y3417,NDays&amp;"D")</f>
        <v>62921</v>
      </c>
      <c r="AA3417" s="173">
        <v>2.0224100800669685E-2</v>
      </c>
      <c r="AB3417" s="182">
        <v>2.0102240489581646E-2</v>
      </c>
    </row>
    <row r="3418" spans="24:28" x14ac:dyDescent="0.2">
      <c r="X3418" s="186" t="str">
        <f t="shared" si="87"/>
        <v>1w</v>
      </c>
      <c r="Y3418" s="174">
        <f>_xll.qlCalendarAdvance(Calendar,Y3417,X3418,"f",FALSE)</f>
        <v>62926</v>
      </c>
      <c r="Z3418" s="198">
        <f>_xll.qlCalendarAdvance(Calendar,Y3418,NDays&amp;"D")</f>
        <v>62928</v>
      </c>
      <c r="AA3418" s="173">
        <v>2.0225739896088207E-2</v>
      </c>
      <c r="AB3418" s="182">
        <v>2.010127821682417E-2</v>
      </c>
    </row>
    <row r="3419" spans="24:28" x14ac:dyDescent="0.2">
      <c r="X3419" s="186" t="str">
        <f t="shared" si="87"/>
        <v>1w</v>
      </c>
      <c r="Y3419" s="174">
        <f>_xll.qlCalendarAdvance(Calendar,Y3418,X3419,"f",FALSE)</f>
        <v>62933</v>
      </c>
      <c r="Z3419" s="198">
        <f>_xll.qlCalendarAdvance(Calendar,Y3419,NDays&amp;"D")</f>
        <v>62935</v>
      </c>
      <c r="AA3419" s="173">
        <v>2.0227365446599015E-2</v>
      </c>
      <c r="AB3419" s="182">
        <v>2.0103061632479324E-2</v>
      </c>
    </row>
    <row r="3420" spans="24:28" x14ac:dyDescent="0.2">
      <c r="X3420" s="186" t="str">
        <f t="shared" si="87"/>
        <v>1w</v>
      </c>
      <c r="Y3420" s="174">
        <f>_xll.qlCalendarAdvance(Calendar,Y3419,X3420,"f",FALSE)</f>
        <v>62940</v>
      </c>
      <c r="Z3420" s="198">
        <f>_xll.qlCalendarAdvance(Calendar,Y3420,NDays&amp;"D")</f>
        <v>62942</v>
      </c>
      <c r="AA3420" s="173">
        <v>2.0228977452168919E-2</v>
      </c>
      <c r="AB3420" s="182">
        <v>2.0104831638940723E-2</v>
      </c>
    </row>
    <row r="3421" spans="24:28" x14ac:dyDescent="0.2">
      <c r="X3421" s="186" t="str">
        <f t="shared" si="87"/>
        <v>1w</v>
      </c>
      <c r="Y3421" s="174">
        <f>_xll.qlCalendarAdvance(Calendar,Y3420,X3421,"f",FALSE)</f>
        <v>62947</v>
      </c>
      <c r="Z3421" s="198">
        <f>_xll.qlCalendarAdvance(Calendar,Y3421,NDays&amp;"D")</f>
        <v>62949</v>
      </c>
      <c r="AA3421" s="173">
        <v>2.0232603578074715E-2</v>
      </c>
      <c r="AB3421" s="182">
        <v>2.0106588236368239E-2</v>
      </c>
    </row>
    <row r="3422" spans="24:28" x14ac:dyDescent="0.2">
      <c r="X3422" s="186" t="str">
        <f t="shared" si="87"/>
        <v>1w</v>
      </c>
      <c r="Y3422" s="174">
        <f>_xll.qlCalendarAdvance(Calendar,Y3421,X3422,"f",FALSE)</f>
        <v>62954</v>
      </c>
      <c r="Z3422" s="198">
        <f>_xll.qlCalendarAdvance(Calendar,Y3422,NDays&amp;"D")</f>
        <v>62956</v>
      </c>
      <c r="AA3422" s="173">
        <v>2.0234185856530931E-2</v>
      </c>
      <c r="AB3422" s="182">
        <v>2.0108331424602E-2</v>
      </c>
    </row>
    <row r="3423" spans="24:28" x14ac:dyDescent="0.2">
      <c r="X3423" s="186" t="str">
        <f t="shared" si="87"/>
        <v>1w</v>
      </c>
      <c r="Y3423" s="174">
        <f>_xll.qlCalendarAdvance(Calendar,Y3422,X3423,"f",FALSE)</f>
        <v>62961</v>
      </c>
      <c r="Z3423" s="198">
        <f>_xll.qlCalendarAdvance(Calendar,Y3423,NDays&amp;"D")</f>
        <v>62963</v>
      </c>
      <c r="AA3423" s="173">
        <v>2.0235754587689239E-2</v>
      </c>
      <c r="AB3423" s="182">
        <v>2.0110061203642005E-2</v>
      </c>
    </row>
    <row r="3424" spans="24:28" x14ac:dyDescent="0.2">
      <c r="X3424" s="186" t="str">
        <f t="shared" si="87"/>
        <v>1w</v>
      </c>
      <c r="Y3424" s="174">
        <f>_xll.qlCalendarAdvance(Calendar,Y3423,X3424,"f",FALSE)</f>
        <v>62968</v>
      </c>
      <c r="Z3424" s="198">
        <f>_xll.qlCalendarAdvance(Calendar,Y3424,NDays&amp;"D")</f>
        <v>62970</v>
      </c>
      <c r="AA3424" s="173">
        <v>2.0237309771516977E-2</v>
      </c>
      <c r="AB3424" s="182">
        <v>2.0111777573648126E-2</v>
      </c>
    </row>
    <row r="3425" spans="24:28" x14ac:dyDescent="0.2">
      <c r="X3425" s="186" t="str">
        <f t="shared" si="87"/>
        <v>1w</v>
      </c>
      <c r="Y3425" s="174">
        <f>_xll.qlCalendarAdvance(Calendar,Y3424,X3425,"f",FALSE)</f>
        <v>62975</v>
      </c>
      <c r="Z3425" s="198">
        <f>_xll.qlCalendarAdvance(Calendar,Y3425,NDays&amp;"D")</f>
        <v>62977</v>
      </c>
      <c r="AA3425" s="173">
        <v>2.0236834304755154E-2</v>
      </c>
      <c r="AB3425" s="182">
        <v>2.0113480534620365E-2</v>
      </c>
    </row>
    <row r="3426" spans="24:28" x14ac:dyDescent="0.2">
      <c r="X3426" s="186" t="str">
        <f t="shared" si="87"/>
        <v>1w</v>
      </c>
      <c r="Y3426" s="174">
        <f>_xll.qlCalendarAdvance(Calendar,Y3425,X3426,"f",FALSE)</f>
        <v>62982</v>
      </c>
      <c r="Z3426" s="198">
        <f>_xll.qlCalendarAdvance(Calendar,Y3426,NDays&amp;"D")</f>
        <v>62984</v>
      </c>
      <c r="AA3426" s="173">
        <v>2.02383650399947E-2</v>
      </c>
      <c r="AB3426" s="182">
        <v>2.0115170086238976E-2</v>
      </c>
    </row>
    <row r="3427" spans="24:28" x14ac:dyDescent="0.2">
      <c r="X3427" s="186" t="str">
        <f t="shared" si="87"/>
        <v>1w</v>
      </c>
      <c r="Y3427" s="174">
        <f>_xll.qlCalendarAdvance(Calendar,Y3426,X3427,"f",FALSE)</f>
        <v>62989</v>
      </c>
      <c r="Z3427" s="198">
        <f>_xll.qlCalendarAdvance(Calendar,Y3427,NDays&amp;"D")</f>
        <v>62991</v>
      </c>
      <c r="AA3427" s="173">
        <v>2.0239882230067948E-2</v>
      </c>
      <c r="AB3427" s="182">
        <v>2.0116846228823704E-2</v>
      </c>
    </row>
    <row r="3428" spans="24:28" x14ac:dyDescent="0.2">
      <c r="X3428" s="186" t="str">
        <f t="shared" si="87"/>
        <v>1w</v>
      </c>
      <c r="Y3428" s="174">
        <f>_xll.qlCalendarAdvance(Calendar,Y3427,X3428,"f",FALSE)</f>
        <v>62996</v>
      </c>
      <c r="Z3428" s="198">
        <f>_xll.qlCalendarAdvance(Calendar,Y3428,NDays&amp;"D")</f>
        <v>62998</v>
      </c>
      <c r="AA3428" s="173">
        <v>2.0241385874944753E-2</v>
      </c>
      <c r="AB3428" s="182">
        <v>2.0118508962294612E-2</v>
      </c>
    </row>
    <row r="3429" spans="24:28" x14ac:dyDescent="0.2">
      <c r="X3429" s="186" t="str">
        <f t="shared" si="87"/>
        <v>1w</v>
      </c>
      <c r="Y3429" s="174">
        <f>_xll.qlCalendarAdvance(Calendar,Y3428,X3429,"f",FALSE)</f>
        <v>63003</v>
      </c>
      <c r="Z3429" s="198">
        <f>_xll.qlCalendarAdvance(Calendar,Y3429,NDays&amp;"D")</f>
        <v>63005</v>
      </c>
      <c r="AA3429" s="173">
        <v>2.0242875974592359E-2</v>
      </c>
      <c r="AB3429" s="182">
        <v>2.0120158286651701E-2</v>
      </c>
    </row>
    <row r="3430" spans="24:28" x14ac:dyDescent="0.2">
      <c r="X3430" s="186" t="str">
        <f t="shared" si="87"/>
        <v>1w</v>
      </c>
      <c r="Y3430" s="174">
        <f>_xll.qlCalendarAdvance(Calendar,Y3429,X3430,"f",FALSE)</f>
        <v>63010</v>
      </c>
      <c r="Z3430" s="198">
        <f>_xll.qlCalendarAdvance(Calendar,Y3430,NDays&amp;"D")</f>
        <v>63012</v>
      </c>
      <c r="AA3430" s="173">
        <v>2.0246356378751062E-2</v>
      </c>
      <c r="AB3430" s="182">
        <v>2.0121794201815035E-2</v>
      </c>
    </row>
    <row r="3431" spans="24:28" x14ac:dyDescent="0.2">
      <c r="X3431" s="186" t="str">
        <f t="shared" si="87"/>
        <v>1w</v>
      </c>
      <c r="Y3431" s="174">
        <f>_xll.qlCalendarAdvance(Calendar,Y3430,X3431,"f",FALSE)</f>
        <v>63017</v>
      </c>
      <c r="Z3431" s="198">
        <f>_xll.qlCalendarAdvance(Calendar,Y3431,NDays&amp;"D")</f>
        <v>63019</v>
      </c>
      <c r="AA3431" s="173">
        <v>2.0247816730375633E-2</v>
      </c>
      <c r="AB3431" s="182">
        <v>2.0123416707784614E-2</v>
      </c>
    </row>
    <row r="3432" spans="24:28" x14ac:dyDescent="0.2">
      <c r="X3432" s="186" t="str">
        <f t="shared" si="87"/>
        <v>1w</v>
      </c>
      <c r="Y3432" s="174">
        <f>_xll.qlCalendarAdvance(Calendar,Y3431,X3432,"f",FALSE)</f>
        <v>63024</v>
      </c>
      <c r="Z3432" s="198">
        <f>_xll.qlCalendarAdvance(Calendar,Y3432,NDays&amp;"D")</f>
        <v>63026</v>
      </c>
      <c r="AA3432" s="173">
        <v>2.0249263534419085E-2</v>
      </c>
      <c r="AB3432" s="182">
        <v>2.0125025804800245E-2</v>
      </c>
    </row>
    <row r="3433" spans="24:28" x14ac:dyDescent="0.2">
      <c r="X3433" s="186" t="str">
        <f t="shared" si="87"/>
        <v>1w</v>
      </c>
      <c r="Y3433" s="174">
        <f>_xll.qlCalendarAdvance(Calendar,Y3432,X3433,"f",FALSE)</f>
        <v>63031</v>
      </c>
      <c r="Z3433" s="198">
        <f>_xll.qlCalendarAdvance(Calendar,Y3433,NDays&amp;"D")</f>
        <v>63033</v>
      </c>
      <c r="AA3433" s="173">
        <v>2.0250696790851331E-2</v>
      </c>
      <c r="AB3433" s="182">
        <v>2.0126621492622121E-2</v>
      </c>
    </row>
    <row r="3434" spans="24:28" x14ac:dyDescent="0.2">
      <c r="X3434" s="186" t="str">
        <f t="shared" si="87"/>
        <v>1w</v>
      </c>
      <c r="Y3434" s="174">
        <f>_xll.qlCalendarAdvance(Calendar,Y3433,X3434,"f",FALSE)</f>
        <v>63038</v>
      </c>
      <c r="Z3434" s="198">
        <f>_xll.qlCalendarAdvance(Calendar,Y3434,NDays&amp;"D")</f>
        <v>63040</v>
      </c>
      <c r="AA3434" s="173">
        <v>2.025211649964186E-2</v>
      </c>
      <c r="AB3434" s="182">
        <v>2.0128203771250242E-2</v>
      </c>
    </row>
    <row r="3435" spans="24:28" x14ac:dyDescent="0.2">
      <c r="X3435" s="186" t="str">
        <f t="shared" si="87"/>
        <v>1w</v>
      </c>
      <c r="Y3435" s="174">
        <f>_xll.qlCalendarAdvance(Calendar,Y3434,X3435,"f",FALSE)</f>
        <v>63045</v>
      </c>
      <c r="Z3435" s="198">
        <f>_xll.qlCalendarAdvance(Calendar,Y3435,NDays&amp;"D")</f>
        <v>63047</v>
      </c>
      <c r="AA3435" s="173">
        <v>2.0253522660761879E-2</v>
      </c>
      <c r="AB3435" s="182">
        <v>2.0129772640604671E-2</v>
      </c>
    </row>
    <row r="3436" spans="24:28" x14ac:dyDescent="0.2">
      <c r="X3436" s="186" t="str">
        <f t="shared" si="87"/>
        <v>1w</v>
      </c>
      <c r="Y3436" s="174">
        <f>_xll.qlCalendarAdvance(Calendar,Y3435,X3436,"f",FALSE)</f>
        <v>63052</v>
      </c>
      <c r="Z3436" s="198">
        <f>_xll.qlCalendarAdvance(Calendar,Y3436,NDays&amp;"D")</f>
        <v>63054</v>
      </c>
      <c r="AA3436" s="173">
        <v>2.0254915274183018E-2</v>
      </c>
      <c r="AB3436" s="182">
        <v>2.0131328101165025E-2</v>
      </c>
    </row>
    <row r="3437" spans="24:28" x14ac:dyDescent="0.2">
      <c r="X3437" s="186" t="str">
        <f t="shared" si="87"/>
        <v>1w</v>
      </c>
      <c r="Y3437" s="174">
        <f>_xll.qlCalendarAdvance(Calendar,Y3436,X3437,"f",FALSE)</f>
        <v>63059</v>
      </c>
      <c r="Z3437" s="198">
        <f>_xll.qlCalendarAdvance(Calendar,Y3437,NDays&amp;"D")</f>
        <v>63061</v>
      </c>
      <c r="AA3437" s="173">
        <v>2.0256294339875195E-2</v>
      </c>
      <c r="AB3437" s="182">
        <v>2.0132870152451687E-2</v>
      </c>
    </row>
    <row r="3438" spans="24:28" x14ac:dyDescent="0.2">
      <c r="X3438" s="186" t="str">
        <f t="shared" si="87"/>
        <v>1w</v>
      </c>
      <c r="Y3438" s="174">
        <f>_xll.qlCalendarAdvance(Calendar,Y3437,X3438,"f",FALSE)</f>
        <v>63066</v>
      </c>
      <c r="Z3438" s="198">
        <f>_xll.qlCalendarAdvance(Calendar,Y3438,NDays&amp;"D")</f>
        <v>63068</v>
      </c>
      <c r="AA3438" s="173">
        <v>2.0254355344217934E-2</v>
      </c>
      <c r="AB3438" s="182">
        <v>2.0134398794464659E-2</v>
      </c>
    </row>
    <row r="3439" spans="24:28" x14ac:dyDescent="0.2">
      <c r="X3439" s="186" t="str">
        <f t="shared" si="87"/>
        <v>1w</v>
      </c>
      <c r="Y3439" s="174">
        <f>_xll.qlCalendarAdvance(Calendar,Y3438,X3439,"f",FALSE)</f>
        <v>63073</v>
      </c>
      <c r="Z3439" s="198">
        <f>_xll.qlCalendarAdvance(Calendar,Y3439,NDays&amp;"D")</f>
        <v>63075</v>
      </c>
      <c r="AA3439" s="173">
        <v>2.0255711773166325E-2</v>
      </c>
      <c r="AB3439" s="182">
        <v>2.0135914027443746E-2</v>
      </c>
    </row>
    <row r="3440" spans="24:28" x14ac:dyDescent="0.2">
      <c r="X3440" s="186" t="str">
        <f t="shared" si="87"/>
        <v>1w</v>
      </c>
      <c r="Y3440" s="174">
        <f>_xll.qlCalendarAdvance(Calendar,Y3439,X3440,"f",FALSE)</f>
        <v>63080</v>
      </c>
      <c r="Z3440" s="198">
        <f>_xll.qlCalendarAdvance(Calendar,Y3440,NDays&amp;"D")</f>
        <v>63082</v>
      </c>
      <c r="AA3440" s="173">
        <v>2.0257054658076337E-2</v>
      </c>
      <c r="AB3440" s="182">
        <v>2.0137415851309015E-2</v>
      </c>
    </row>
    <row r="3441" spans="24:28" x14ac:dyDescent="0.2">
      <c r="X3441" s="186" t="str">
        <f t="shared" si="87"/>
        <v>1w</v>
      </c>
      <c r="Y3441" s="174">
        <f>_xll.qlCalendarAdvance(Calendar,Y3440,X3441,"f",FALSE)</f>
        <v>63087</v>
      </c>
      <c r="Z3441" s="198">
        <f>_xll.qlCalendarAdvance(Calendar,Y3441,NDays&amp;"D")</f>
        <v>63089</v>
      </c>
      <c r="AA3441" s="173">
        <v>2.0258383998921915E-2</v>
      </c>
      <c r="AB3441" s="182">
        <v>2.0138904265980528E-2</v>
      </c>
    </row>
    <row r="3442" spans="24:28" x14ac:dyDescent="0.2">
      <c r="X3442" s="186" t="str">
        <f t="shared" si="87"/>
        <v>1w</v>
      </c>
      <c r="Y3442" s="174">
        <f>_xll.qlCalendarAdvance(Calendar,Y3441,X3442,"f",FALSE)</f>
        <v>63094</v>
      </c>
      <c r="Z3442" s="198">
        <f>_xll.qlCalendarAdvance(Calendar,Y3442,NDays&amp;"D")</f>
        <v>63096</v>
      </c>
      <c r="AA3442" s="173">
        <v>2.0259699795675677E-2</v>
      </c>
      <c r="AB3442" s="182">
        <v>2.0140379271538222E-2</v>
      </c>
    </row>
    <row r="3443" spans="24:28" x14ac:dyDescent="0.2">
      <c r="X3443" s="186" t="str">
        <f t="shared" si="87"/>
        <v>1w</v>
      </c>
      <c r="Y3443" s="174">
        <f>_xll.qlCalendarAdvance(Calendar,Y3442,X3443,"f",FALSE)</f>
        <v>63101</v>
      </c>
      <c r="Z3443" s="198">
        <f>_xll.qlCalendarAdvance(Calendar,Y3443,NDays&amp;"D")</f>
        <v>63103</v>
      </c>
      <c r="AA3443" s="173">
        <v>2.026165860675673E-2</v>
      </c>
      <c r="AB3443" s="182">
        <v>2.0141840867982097E-2</v>
      </c>
    </row>
    <row r="3444" spans="24:28" x14ac:dyDescent="0.2">
      <c r="X3444" s="186" t="str">
        <f t="shared" si="87"/>
        <v>1w</v>
      </c>
      <c r="Y3444" s="174">
        <f>_xll.qlCalendarAdvance(Calendar,Y3443,X3444,"f",FALSE)</f>
        <v>63108</v>
      </c>
      <c r="Z3444" s="198">
        <f>_xll.qlCalendarAdvance(Calendar,Y3444,NDays&amp;"D")</f>
        <v>63110</v>
      </c>
      <c r="AA3444" s="173">
        <v>2.0262946419918774E-2</v>
      </c>
      <c r="AB3444" s="182">
        <v>2.0143289055312152E-2</v>
      </c>
    </row>
    <row r="3445" spans="24:28" x14ac:dyDescent="0.2">
      <c r="X3445" s="186" t="str">
        <f t="shared" si="87"/>
        <v>1w</v>
      </c>
      <c r="Y3445" s="174">
        <f>_xll.qlCalendarAdvance(Calendar,Y3444,X3445,"f",FALSE)</f>
        <v>63115</v>
      </c>
      <c r="Z3445" s="198">
        <f>_xll.qlCalendarAdvance(Calendar,Y3445,NDays&amp;"D")</f>
        <v>63117</v>
      </c>
      <c r="AA3445" s="173">
        <v>2.0264220688153877E-2</v>
      </c>
      <c r="AB3445" s="182">
        <v>2.0144723833368516E-2</v>
      </c>
    </row>
    <row r="3446" spans="24:28" x14ac:dyDescent="0.2">
      <c r="X3446" s="186" t="str">
        <f t="shared" si="87"/>
        <v>1w</v>
      </c>
      <c r="Y3446" s="174">
        <f>_xll.qlCalendarAdvance(Calendar,Y3445,X3446,"f",FALSE)</f>
        <v>63122</v>
      </c>
      <c r="Z3446" s="198">
        <f>_xll.qlCalendarAdvance(Calendar,Y3446,NDays&amp;"D")</f>
        <v>63124</v>
      </c>
      <c r="AA3446" s="173">
        <v>2.0265481411436571E-2</v>
      </c>
      <c r="AB3446" s="182">
        <v>2.0146145202390997E-2</v>
      </c>
    </row>
    <row r="3447" spans="24:28" x14ac:dyDescent="0.2">
      <c r="X3447" s="186" t="str">
        <f t="shared" si="87"/>
        <v>1w</v>
      </c>
      <c r="Y3447" s="174">
        <f>_xll.qlCalendarAdvance(Calendar,Y3446,X3447,"f",FALSE)</f>
        <v>63129</v>
      </c>
      <c r="Z3447" s="198">
        <f>_xll.qlCalendarAdvance(Calendar,Y3447,NDays&amp;"D")</f>
        <v>63131</v>
      </c>
      <c r="AA3447" s="173">
        <v>2.0266075617151762E-2</v>
      </c>
      <c r="AB3447" s="182">
        <v>2.0147553162379594E-2</v>
      </c>
    </row>
    <row r="3448" spans="24:28" x14ac:dyDescent="0.2">
      <c r="X3448" s="186" t="str">
        <f t="shared" si="87"/>
        <v>1w</v>
      </c>
      <c r="Y3448" s="174">
        <f>_xll.qlCalendarAdvance(Calendar,Y3447,X3448,"f",FALSE)</f>
        <v>63136</v>
      </c>
      <c r="Z3448" s="198">
        <f>_xll.qlCalendarAdvance(Calendar,Y3448,NDays&amp;"D")</f>
        <v>63138</v>
      </c>
      <c r="AA3448" s="173">
        <v>2.0267310148806564E-2</v>
      </c>
      <c r="AB3448" s="182">
        <v>2.0148947713174437E-2</v>
      </c>
    </row>
    <row r="3449" spans="24:28" x14ac:dyDescent="0.2">
      <c r="X3449" s="186" t="str">
        <f t="shared" si="87"/>
        <v>1w</v>
      </c>
      <c r="Y3449" s="174">
        <f>_xll.qlCalendarAdvance(Calendar,Y3448,X3449,"f",FALSE)</f>
        <v>63143</v>
      </c>
      <c r="Z3449" s="198">
        <f>_xll.qlCalendarAdvance(Calendar,Y3449,NDays&amp;"D")</f>
        <v>63145</v>
      </c>
      <c r="AA3449" s="173">
        <v>2.0268531136190249E-2</v>
      </c>
      <c r="AB3449" s="182">
        <v>2.0150328854695587E-2</v>
      </c>
    </row>
    <row r="3450" spans="24:28" x14ac:dyDescent="0.2">
      <c r="X3450" s="186" t="str">
        <f t="shared" si="87"/>
        <v>1w</v>
      </c>
      <c r="Y3450" s="174">
        <f>_xll.qlCalendarAdvance(Calendar,Y3449,X3450,"f",FALSE)</f>
        <v>63150</v>
      </c>
      <c r="Z3450" s="198">
        <f>_xll.qlCalendarAdvance(Calendar,Y3450,NDays&amp;"D")</f>
        <v>63152</v>
      </c>
      <c r="AA3450" s="173">
        <v>2.0269738579277202E-2</v>
      </c>
      <c r="AB3450" s="182">
        <v>2.0151696587342727E-2</v>
      </c>
    </row>
    <row r="3451" spans="24:28" x14ac:dyDescent="0.2">
      <c r="X3451" s="186" t="str">
        <f t="shared" si="87"/>
        <v>1w</v>
      </c>
      <c r="Y3451" s="174">
        <f>_xll.qlCalendarAdvance(Calendar,Y3450,X3451,"f",FALSE)</f>
        <v>63157</v>
      </c>
      <c r="Z3451" s="198">
        <f>_xll.qlCalendarAdvance(Calendar,Y3451,NDays&amp;"D")</f>
        <v>63159</v>
      </c>
      <c r="AA3451" s="173">
        <v>2.0271581852679282E-2</v>
      </c>
      <c r="AB3451" s="182">
        <v>2.0153050910556303E-2</v>
      </c>
    </row>
    <row r="3452" spans="24:28" x14ac:dyDescent="0.2">
      <c r="X3452" s="186" t="str">
        <f t="shared" si="87"/>
        <v>1w</v>
      </c>
      <c r="Y3452" s="174">
        <f>_xll.qlCalendarAdvance(Calendar,Y3451,X3452,"f",FALSE)</f>
        <v>63164</v>
      </c>
      <c r="Z3452" s="198">
        <f>_xll.qlCalendarAdvance(Calendar,Y3452,NDays&amp;"D")</f>
        <v>63166</v>
      </c>
      <c r="AA3452" s="173">
        <v>2.0272761305720012E-2</v>
      </c>
      <c r="AB3452" s="182">
        <v>2.0154391824735995E-2</v>
      </c>
    </row>
    <row r="3453" spans="24:28" x14ac:dyDescent="0.2">
      <c r="X3453" s="186" t="str">
        <f t="shared" si="87"/>
        <v>1w</v>
      </c>
      <c r="Y3453" s="174">
        <f>_xll.qlCalendarAdvance(Calendar,Y3452,X3453,"f",FALSE)</f>
        <v>63171</v>
      </c>
      <c r="Z3453" s="198">
        <f>_xll.qlCalendarAdvance(Calendar,Y3453,NDays&amp;"D")</f>
        <v>63173</v>
      </c>
      <c r="AA3453" s="173">
        <v>2.027392721363484E-2</v>
      </c>
      <c r="AB3453" s="182">
        <v>2.0155719329801869E-2</v>
      </c>
    </row>
    <row r="3454" spans="24:28" x14ac:dyDescent="0.2">
      <c r="X3454" s="186" t="str">
        <f t="shared" si="87"/>
        <v>1w</v>
      </c>
      <c r="Y3454" s="174">
        <f>_xll.qlCalendarAdvance(Calendar,Y3453,X3454,"f",FALSE)</f>
        <v>63178</v>
      </c>
      <c r="Z3454" s="198">
        <f>_xll.qlCalendarAdvance(Calendar,Y3454,NDays&amp;"D")</f>
        <v>63180</v>
      </c>
      <c r="AA3454" s="173">
        <v>2.0275079576399173E-2</v>
      </c>
      <c r="AB3454" s="182">
        <v>2.0157033425833859E-2</v>
      </c>
    </row>
    <row r="3455" spans="24:28" x14ac:dyDescent="0.2">
      <c r="X3455" s="186" t="str">
        <f t="shared" si="87"/>
        <v>1w</v>
      </c>
      <c r="Y3455" s="174">
        <f>_xll.qlCalendarAdvance(Calendar,Y3454,X3455,"f",FALSE)</f>
        <v>63185</v>
      </c>
      <c r="Z3455" s="198">
        <f>_xll.qlCalendarAdvance(Calendar,Y3455,NDays&amp;"D")</f>
        <v>63187</v>
      </c>
      <c r="AA3455" s="173">
        <v>2.0276218393992365E-2</v>
      </c>
      <c r="AB3455" s="182">
        <v>2.0158334112592158E-2</v>
      </c>
    </row>
    <row r="3456" spans="24:28" x14ac:dyDescent="0.2">
      <c r="X3456" s="186" t="str">
        <f t="shared" si="87"/>
        <v>1w</v>
      </c>
      <c r="Y3456" s="174">
        <f>_xll.qlCalendarAdvance(Calendar,Y3455,X3456,"f",FALSE)</f>
        <v>63192</v>
      </c>
      <c r="Z3456" s="198">
        <f>_xll.qlCalendarAdvance(Calendar,Y3456,NDays&amp;"D")</f>
        <v>63194</v>
      </c>
      <c r="AA3456" s="173">
        <v>2.0276698806216974E-2</v>
      </c>
      <c r="AB3456" s="182">
        <v>2.0159621390236637E-2</v>
      </c>
    </row>
    <row r="3457" spans="24:28" x14ac:dyDescent="0.2">
      <c r="X3457" s="186" t="str">
        <f t="shared" si="87"/>
        <v>1w</v>
      </c>
      <c r="Y3457" s="174">
        <f>_xll.qlCalendarAdvance(Calendar,Y3456,X3457,"f",FALSE)</f>
        <v>63199</v>
      </c>
      <c r="Z3457" s="198">
        <f>_xll.qlCalendarAdvance(Calendar,Y3457,NDays&amp;"D")</f>
        <v>63201</v>
      </c>
      <c r="AA3457" s="173">
        <v>2.0277811438558151E-2</v>
      </c>
      <c r="AB3457" s="182">
        <v>2.0160895258847233E-2</v>
      </c>
    </row>
    <row r="3458" spans="24:28" x14ac:dyDescent="0.2">
      <c r="X3458" s="186" t="str">
        <f t="shared" si="87"/>
        <v>1w</v>
      </c>
      <c r="Y3458" s="174">
        <f>_xll.qlCalendarAdvance(Calendar,Y3457,X3458,"f",FALSE)</f>
        <v>63206</v>
      </c>
      <c r="Z3458" s="198">
        <f>_xll.qlCalendarAdvance(Calendar,Y3458,NDays&amp;"D")</f>
        <v>63208</v>
      </c>
      <c r="AA3458" s="173">
        <v>2.0278910526414458E-2</v>
      </c>
      <c r="AB3458" s="182">
        <v>2.0162155718184138E-2</v>
      </c>
    </row>
    <row r="3459" spans="24:28" x14ac:dyDescent="0.2">
      <c r="X3459" s="186" t="str">
        <f t="shared" si="87"/>
        <v>1w</v>
      </c>
      <c r="Y3459" s="174">
        <f>_xll.qlCalendarAdvance(Calendar,Y3458,X3459,"f",FALSE)</f>
        <v>63213</v>
      </c>
      <c r="Z3459" s="198">
        <f>_xll.qlCalendarAdvance(Calendar,Y3459,NDays&amp;"D")</f>
        <v>63215</v>
      </c>
      <c r="AA3459" s="173">
        <v>2.0279996069764696E-2</v>
      </c>
      <c r="AB3459" s="182">
        <v>2.0163402768407224E-2</v>
      </c>
    </row>
    <row r="3460" spans="24:28" x14ac:dyDescent="0.2">
      <c r="X3460" s="186" t="str">
        <f t="shared" si="87"/>
        <v>1w</v>
      </c>
      <c r="Y3460" s="174">
        <f>_xll.qlCalendarAdvance(Calendar,Y3459,X3460,"f",FALSE)</f>
        <v>63220</v>
      </c>
      <c r="Z3460" s="198">
        <f>_xll.qlCalendarAdvance(Calendar,Y3460,NDays&amp;"D")</f>
        <v>63222</v>
      </c>
      <c r="AA3460" s="173">
        <v>2.02810680685859E-2</v>
      </c>
      <c r="AB3460" s="182">
        <v>2.0164636409436554E-2</v>
      </c>
    </row>
    <row r="3461" spans="24:28" x14ac:dyDescent="0.2">
      <c r="X3461" s="186" t="str">
        <f t="shared" si="87"/>
        <v>1w</v>
      </c>
      <c r="Y3461" s="174">
        <f>_xll.qlCalendarAdvance(Calendar,Y3460,X3461,"f",FALSE)</f>
        <v>63227</v>
      </c>
      <c r="Z3461" s="198">
        <f>_xll.qlCalendarAdvance(Calendar,Y3461,NDays&amp;"D")</f>
        <v>63229</v>
      </c>
      <c r="AA3461" s="173">
        <v>2.0282126522856426E-2</v>
      </c>
      <c r="AB3461" s="182">
        <v>2.0165856641432001E-2</v>
      </c>
    </row>
    <row r="3462" spans="24:28" x14ac:dyDescent="0.2">
      <c r="X3462" s="186" t="str">
        <f t="shared" si="87"/>
        <v>1w</v>
      </c>
      <c r="Y3462" s="174">
        <f>_xll.qlCalendarAdvance(Calendar,Y3461,X3462,"f",FALSE)</f>
        <v>63234</v>
      </c>
      <c r="Z3462" s="198">
        <f>_xll.qlCalendarAdvance(Calendar,Y3462,NDays&amp;"D")</f>
        <v>63236</v>
      </c>
      <c r="AA3462" s="173">
        <v>2.0283171432555966E-2</v>
      </c>
      <c r="AB3462" s="182">
        <v>2.0167063464233692E-2</v>
      </c>
    </row>
    <row r="3463" spans="24:28" x14ac:dyDescent="0.2">
      <c r="X3463" s="186" t="str">
        <f t="shared" si="87"/>
        <v>1w</v>
      </c>
      <c r="Y3463" s="174">
        <f>_xll.qlCalendarAdvance(Calendar,Y3462,X3463,"f",FALSE)</f>
        <v>63241</v>
      </c>
      <c r="Z3463" s="198">
        <f>_xll.qlCalendarAdvance(Calendar,Y3463,NDays&amp;"D")</f>
        <v>63243</v>
      </c>
      <c r="AA3463" s="173">
        <v>2.0284202797662434E-2</v>
      </c>
      <c r="AB3463" s="182">
        <v>2.0168256877921564E-2</v>
      </c>
    </row>
    <row r="3464" spans="24:28" x14ac:dyDescent="0.2">
      <c r="X3464" s="186" t="str">
        <f t="shared" si="87"/>
        <v>1w</v>
      </c>
      <c r="Y3464" s="174">
        <f>_xll.qlCalendarAdvance(Calendar,Y3463,X3464,"f",FALSE)</f>
        <v>63248</v>
      </c>
      <c r="Z3464" s="198">
        <f>_xll.qlCalendarAdvance(Calendar,Y3464,NDays&amp;"D")</f>
        <v>63250</v>
      </c>
      <c r="AA3464" s="173">
        <v>2.0288407974043427E-2</v>
      </c>
      <c r="AB3464" s="182">
        <v>2.0169436882495617E-2</v>
      </c>
    </row>
    <row r="3465" spans="24:28" x14ac:dyDescent="0.2">
      <c r="X3465" s="186" t="str">
        <f t="shared" si="87"/>
        <v>1w</v>
      </c>
      <c r="Y3465" s="174">
        <f>_xll.qlCalendarAdvance(Calendar,Y3464,X3465,"f",FALSE)</f>
        <v>63255</v>
      </c>
      <c r="Z3465" s="198">
        <f>_xll.qlCalendarAdvance(Calendar,Y3465,NDays&amp;"D")</f>
        <v>63257</v>
      </c>
      <c r="AA3465" s="173">
        <v>2.0289407692722448E-2</v>
      </c>
      <c r="AB3465" s="182">
        <v>2.0170603477955851E-2</v>
      </c>
    </row>
    <row r="3466" spans="24:28" x14ac:dyDescent="0.2">
      <c r="X3466" s="186" t="str">
        <f t="shared" si="87"/>
        <v>1w</v>
      </c>
      <c r="Y3466" s="174">
        <f>_xll.qlCalendarAdvance(Calendar,Y3465,X3466,"f",FALSE)</f>
        <v>63262</v>
      </c>
      <c r="Z3466" s="198">
        <f>_xll.qlCalendarAdvance(Calendar,Y3466,NDays&amp;"D")</f>
        <v>63264</v>
      </c>
      <c r="AA3466" s="173">
        <v>2.0290393862956526E-2</v>
      </c>
      <c r="AB3466" s="182">
        <v>2.0171756664302265E-2</v>
      </c>
    </row>
    <row r="3467" spans="24:28" x14ac:dyDescent="0.2">
      <c r="X3467" s="186" t="str">
        <f t="shared" si="87"/>
        <v>1w</v>
      </c>
      <c r="Y3467" s="174">
        <f>_xll.qlCalendarAdvance(Calendar,Y3466,X3467,"f",FALSE)</f>
        <v>63269</v>
      </c>
      <c r="Z3467" s="198">
        <f>_xll.qlCalendarAdvance(Calendar,Y3467,NDays&amp;"D")</f>
        <v>63271</v>
      </c>
      <c r="AA3467" s="173">
        <v>2.0291366484723308E-2</v>
      </c>
      <c r="AB3467" s="182">
        <v>2.0175480364210685E-2</v>
      </c>
    </row>
    <row r="3468" spans="24:28" x14ac:dyDescent="0.2">
      <c r="X3468" s="186" t="str">
        <f t="shared" si="87"/>
        <v>1w</v>
      </c>
      <c r="Y3468" s="174">
        <f>_xll.qlCalendarAdvance(Calendar,Y3467,X3468,"f",FALSE)</f>
        <v>63276</v>
      </c>
      <c r="Z3468" s="198">
        <f>_xll.qlCalendarAdvance(Calendar,Y3468,NDays&amp;"D")</f>
        <v>63278</v>
      </c>
      <c r="AA3468" s="173">
        <v>2.0290424286327061E-2</v>
      </c>
      <c r="AB3468" s="182">
        <v>2.0174022809413827E-2</v>
      </c>
    </row>
    <row r="3469" spans="24:28" x14ac:dyDescent="0.2">
      <c r="X3469" s="186" t="str">
        <f t="shared" si="87"/>
        <v>1w</v>
      </c>
      <c r="Y3469" s="174">
        <f>_xll.qlCalendarAdvance(Calendar,Y3468,X3469,"f",FALSE)</f>
        <v>63283</v>
      </c>
      <c r="Z3469" s="198">
        <f>_xll.qlCalendarAdvance(Calendar,Y3469,NDays&amp;"D")</f>
        <v>63285</v>
      </c>
      <c r="AA3469" s="173">
        <v>2.0291372554825538E-2</v>
      </c>
      <c r="AB3469" s="182">
        <v>2.0175135768258912E-2</v>
      </c>
    </row>
    <row r="3470" spans="24:28" x14ac:dyDescent="0.2">
      <c r="X3470" s="186" t="str">
        <f t="shared" si="87"/>
        <v>1w</v>
      </c>
      <c r="Y3470" s="174">
        <f>_xll.qlCalendarAdvance(Calendar,Y3469,X3470,"f",FALSE)</f>
        <v>63290</v>
      </c>
      <c r="Z3470" s="198">
        <f>_xll.qlCalendarAdvance(Calendar,Y3470,NDays&amp;"D")</f>
        <v>63292</v>
      </c>
      <c r="AA3470" s="173">
        <v>2.0292307277073991E-2</v>
      </c>
      <c r="AB3470" s="182">
        <v>2.017623531791024E-2</v>
      </c>
    </row>
    <row r="3471" spans="24:28" x14ac:dyDescent="0.2">
      <c r="X3471" s="186" t="str">
        <f t="shared" si="87"/>
        <v>1w</v>
      </c>
      <c r="Y3471" s="174">
        <f>_xll.qlCalendarAdvance(Calendar,Y3470,X3471,"f",FALSE)</f>
        <v>63297</v>
      </c>
      <c r="Z3471" s="198">
        <f>_xll.qlCalendarAdvance(Calendar,Y3471,NDays&amp;"D")</f>
        <v>63299</v>
      </c>
      <c r="AA3471" s="173">
        <v>2.0293228453053206E-2</v>
      </c>
      <c r="AB3471" s="182">
        <v>2.017732145844775E-2</v>
      </c>
    </row>
    <row r="3472" spans="24:28" x14ac:dyDescent="0.2">
      <c r="X3472" s="186" t="str">
        <f t="shared" si="87"/>
        <v>1w</v>
      </c>
      <c r="Y3472" s="174">
        <f>_xll.qlCalendarAdvance(Calendar,Y3471,X3472,"f",FALSE)</f>
        <v>63304</v>
      </c>
      <c r="Z3472" s="198">
        <f>_xll.qlCalendarAdvance(Calendar,Y3472,NDays&amp;"D")</f>
        <v>63306</v>
      </c>
      <c r="AA3472" s="173">
        <v>2.0294136082744829E-2</v>
      </c>
      <c r="AB3472" s="182">
        <v>2.0178394190031312E-2</v>
      </c>
    </row>
    <row r="3473" spans="24:28" x14ac:dyDescent="0.2">
      <c r="X3473" s="186" t="str">
        <f t="shared" si="87"/>
        <v>1w</v>
      </c>
      <c r="Y3473" s="174">
        <f>_xll.qlCalendarAdvance(Calendar,Y3472,X3473,"f",FALSE)</f>
        <v>63311</v>
      </c>
      <c r="Z3473" s="198">
        <f>_xll.qlCalendarAdvance(Calendar,Y3473,NDays&amp;"D")</f>
        <v>63313</v>
      </c>
      <c r="AA3473" s="173">
        <v>2.0296917696428673E-2</v>
      </c>
      <c r="AB3473" s="182">
        <v>2.0179453512261247E-2</v>
      </c>
    </row>
    <row r="3474" spans="24:28" x14ac:dyDescent="0.2">
      <c r="X3474" s="186" t="str">
        <f t="shared" si="87"/>
        <v>1w</v>
      </c>
      <c r="Y3474" s="174">
        <f>_xll.qlCalendarAdvance(Calendar,Y3473,X3474,"f",FALSE)</f>
        <v>63318</v>
      </c>
      <c r="Z3474" s="198">
        <f>_xll.qlCalendarAdvance(Calendar,Y3474,NDays&amp;"D")</f>
        <v>63320</v>
      </c>
      <c r="AA3474" s="173">
        <v>2.0297795478382463E-2</v>
      </c>
      <c r="AB3474" s="182">
        <v>2.0180499425377363E-2</v>
      </c>
    </row>
    <row r="3475" spans="24:28" x14ac:dyDescent="0.2">
      <c r="X3475" s="186" t="str">
        <f t="shared" si="87"/>
        <v>1w</v>
      </c>
      <c r="Y3475" s="174">
        <f>_xll.qlCalendarAdvance(Calendar,Y3474,X3475,"f",FALSE)</f>
        <v>63325</v>
      </c>
      <c r="Z3475" s="198">
        <f>_xll.qlCalendarAdvance(Calendar,Y3475,NDays&amp;"D")</f>
        <v>63327</v>
      </c>
      <c r="AA3475" s="173">
        <v>2.0298659711717251E-2</v>
      </c>
      <c r="AB3475" s="182">
        <v>2.0181531929459595E-2</v>
      </c>
    </row>
    <row r="3476" spans="24:28" x14ac:dyDescent="0.2">
      <c r="X3476" s="186" t="str">
        <f t="shared" si="87"/>
        <v>1w</v>
      </c>
      <c r="Y3476" s="174">
        <f>_xll.qlCalendarAdvance(Calendar,Y3475,X3476,"f",FALSE)</f>
        <v>63332</v>
      </c>
      <c r="Z3476" s="198">
        <f>_xll.qlCalendarAdvance(Calendar,Y3476,NDays&amp;"D")</f>
        <v>63334</v>
      </c>
      <c r="AA3476" s="173">
        <v>2.02995103964137E-2</v>
      </c>
      <c r="AB3476" s="182">
        <v>2.0182551024268136E-2</v>
      </c>
    </row>
    <row r="3477" spans="24:28" x14ac:dyDescent="0.2">
      <c r="X3477" s="186" t="str">
        <f t="shared" ref="X3477:X3540" si="88">X3476</f>
        <v>1w</v>
      </c>
      <c r="Y3477" s="174">
        <f>_xll.qlCalendarAdvance(Calendar,Y3476,X3477,"f",FALSE)</f>
        <v>63339</v>
      </c>
      <c r="Z3477" s="198">
        <f>_xll.qlCalendarAdvance(Calendar,Y3477,NDays&amp;"D")</f>
        <v>63341</v>
      </c>
      <c r="AA3477" s="173">
        <v>2.0298471036240884E-2</v>
      </c>
      <c r="AB3477" s="182">
        <v>2.0183556710042794E-2</v>
      </c>
    </row>
    <row r="3478" spans="24:28" x14ac:dyDescent="0.2">
      <c r="X3478" s="186" t="str">
        <f t="shared" si="88"/>
        <v>1w</v>
      </c>
      <c r="Y3478" s="174">
        <f>_xll.qlCalendarAdvance(Calendar,Y3477,X3478,"f",FALSE)</f>
        <v>63346</v>
      </c>
      <c r="Z3478" s="198">
        <f>_xll.qlCalendarAdvance(Calendar,Y3478,NDays&amp;"D")</f>
        <v>63348</v>
      </c>
      <c r="AA3478" s="173">
        <v>2.0299297387824329E-2</v>
      </c>
      <c r="AB3478" s="182">
        <v>2.0184548986703632E-2</v>
      </c>
    </row>
    <row r="3479" spans="24:28" x14ac:dyDescent="0.2">
      <c r="X3479" s="186" t="str">
        <f t="shared" si="88"/>
        <v>1w</v>
      </c>
      <c r="Y3479" s="174">
        <f>_xll.qlCalendarAdvance(Calendar,Y3478,X3479,"f",FALSE)</f>
        <v>63353</v>
      </c>
      <c r="Z3479" s="198">
        <f>_xll.qlCalendarAdvance(Calendar,Y3479,NDays&amp;"D")</f>
        <v>63355</v>
      </c>
      <c r="AA3479" s="173">
        <v>2.0300110192995258E-2</v>
      </c>
      <c r="AB3479" s="182">
        <v>2.0185527854170715E-2</v>
      </c>
    </row>
    <row r="3480" spans="24:28" x14ac:dyDescent="0.2">
      <c r="X3480" s="186" t="str">
        <f t="shared" si="88"/>
        <v>1w</v>
      </c>
      <c r="Y3480" s="174">
        <f>_xll.qlCalendarAdvance(Calendar,Y3479,X3480,"f",FALSE)</f>
        <v>63360</v>
      </c>
      <c r="Z3480" s="198">
        <f>_xll.qlCalendarAdvance(Calendar,Y3480,NDays&amp;"D")</f>
        <v>63362</v>
      </c>
      <c r="AA3480" s="173">
        <v>2.0300909451737945E-2</v>
      </c>
      <c r="AB3480" s="182">
        <v>2.0186493312444043E-2</v>
      </c>
    </row>
    <row r="3481" spans="24:28" x14ac:dyDescent="0.2">
      <c r="X3481" s="186" t="str">
        <f t="shared" si="88"/>
        <v>1w</v>
      </c>
      <c r="Y3481" s="174">
        <f>_xll.qlCalendarAdvance(Calendar,Y3480,X3481,"f",FALSE)</f>
        <v>63367</v>
      </c>
      <c r="Z3481" s="198">
        <f>_xll.qlCalendarAdvance(Calendar,Y3481,NDays&amp;"D")</f>
        <v>63369</v>
      </c>
      <c r="AA3481" s="173">
        <v>2.0301695164034482E-2</v>
      </c>
      <c r="AB3481" s="182">
        <v>2.0187445361523615E-2</v>
      </c>
    </row>
    <row r="3482" spans="24:28" x14ac:dyDescent="0.2">
      <c r="X3482" s="186" t="str">
        <f t="shared" si="88"/>
        <v>1w</v>
      </c>
      <c r="Y3482" s="174">
        <f>_xll.qlCalendarAdvance(Calendar,Y3481,X3482,"f",FALSE)</f>
        <v>63374</v>
      </c>
      <c r="Z3482" s="198">
        <f>_xll.qlCalendarAdvance(Calendar,Y3482,NDays&amp;"D")</f>
        <v>63376</v>
      </c>
      <c r="AA3482" s="173">
        <v>2.0304329982227583E-2</v>
      </c>
      <c r="AB3482" s="182">
        <v>2.0188384001569304E-2</v>
      </c>
    </row>
    <row r="3483" spans="24:28" x14ac:dyDescent="0.2">
      <c r="X3483" s="186" t="str">
        <f t="shared" si="88"/>
        <v>1w</v>
      </c>
      <c r="Y3483" s="174">
        <f>_xll.qlCalendarAdvance(Calendar,Y3482,X3483,"f",FALSE)</f>
        <v>63381</v>
      </c>
      <c r="Z3483" s="198">
        <f>_xll.qlCalendarAdvance(Calendar,Y3483,NDays&amp;"D")</f>
        <v>63383</v>
      </c>
      <c r="AA3483" s="173">
        <v>2.030508582598119E-2</v>
      </c>
      <c r="AB3483" s="182">
        <v>2.0189309232501174E-2</v>
      </c>
    </row>
    <row r="3484" spans="24:28" x14ac:dyDescent="0.2">
      <c r="X3484" s="186" t="str">
        <f t="shared" si="88"/>
        <v>1w</v>
      </c>
      <c r="Y3484" s="174">
        <f>_xll.qlCalendarAdvance(Calendar,Y3483,X3484,"f",FALSE)</f>
        <v>63388</v>
      </c>
      <c r="Z3484" s="198">
        <f>_xll.qlCalendarAdvance(Calendar,Y3484,NDays&amp;"D")</f>
        <v>63390</v>
      </c>
      <c r="AA3484" s="173">
        <v>2.0305828120961513E-2</v>
      </c>
      <c r="AB3484" s="182">
        <v>2.0190221054319224E-2</v>
      </c>
    </row>
    <row r="3485" spans="24:28" x14ac:dyDescent="0.2">
      <c r="X3485" s="186" t="str">
        <f t="shared" si="88"/>
        <v>1w</v>
      </c>
      <c r="Y3485" s="174">
        <f>_xll.qlCalendarAdvance(Calendar,Y3484,X3485,"f",FALSE)</f>
        <v>63395</v>
      </c>
      <c r="Z3485" s="198">
        <f>_xll.qlCalendarAdvance(Calendar,Y3485,NDays&amp;"D")</f>
        <v>63397</v>
      </c>
      <c r="AA3485" s="173">
        <v>2.0306556867155653E-2</v>
      </c>
      <c r="AB3485" s="182">
        <v>2.0191119466943519E-2</v>
      </c>
    </row>
    <row r="3486" spans="24:28" x14ac:dyDescent="0.2">
      <c r="X3486" s="186" t="str">
        <f t="shared" si="88"/>
        <v>1w</v>
      </c>
      <c r="Y3486" s="174">
        <f>_xll.qlCalendarAdvance(Calendar,Y3485,X3486,"f",FALSE)</f>
        <v>63402</v>
      </c>
      <c r="Z3486" s="198">
        <f>_xll.qlCalendarAdvance(Calendar,Y3486,NDays&amp;"D")</f>
        <v>63404</v>
      </c>
      <c r="AA3486" s="173">
        <v>2.0307272064547285E-2</v>
      </c>
      <c r="AB3486" s="182">
        <v>2.0192004470374059E-2</v>
      </c>
    </row>
    <row r="3487" spans="24:28" x14ac:dyDescent="0.2">
      <c r="X3487" s="186" t="str">
        <f t="shared" si="88"/>
        <v>1w</v>
      </c>
      <c r="Y3487" s="174">
        <f>_xll.qlCalendarAdvance(Calendar,Y3486,X3487,"f",FALSE)</f>
        <v>63409</v>
      </c>
      <c r="Z3487" s="198">
        <f>_xll.qlCalendarAdvance(Calendar,Y3487,NDays&amp;"D")</f>
        <v>63411</v>
      </c>
      <c r="AA3487" s="173">
        <v>2.0307973713122228E-2</v>
      </c>
      <c r="AB3487" s="182">
        <v>2.0192876064610843E-2</v>
      </c>
    </row>
    <row r="3488" spans="24:28" x14ac:dyDescent="0.2">
      <c r="X3488" s="186" t="str">
        <f t="shared" si="88"/>
        <v>1w</v>
      </c>
      <c r="Y3488" s="174">
        <f>_xll.qlCalendarAdvance(Calendar,Y3487,X3488,"f",FALSE)</f>
        <v>63416</v>
      </c>
      <c r="Z3488" s="198">
        <f>_xll.qlCalendarAdvance(Calendar,Y3488,NDays&amp;"D")</f>
        <v>63418</v>
      </c>
      <c r="AA3488" s="173">
        <v>2.0308661812865864E-2</v>
      </c>
      <c r="AB3488" s="182">
        <v>2.0193734249813744E-2</v>
      </c>
    </row>
    <row r="3489" spans="24:28" x14ac:dyDescent="0.2">
      <c r="X3489" s="186" t="str">
        <f t="shared" si="88"/>
        <v>1w</v>
      </c>
      <c r="Y3489" s="174">
        <f>_xll.qlCalendarAdvance(Calendar,Y3488,X3489,"f",FALSE)</f>
        <v>63423</v>
      </c>
      <c r="Z3489" s="198">
        <f>_xll.qlCalendarAdvance(Calendar,Y3489,NDays&amp;"D")</f>
        <v>63425</v>
      </c>
      <c r="AA3489" s="173">
        <v>2.0309336363764013E-2</v>
      </c>
      <c r="AB3489" s="182">
        <v>2.0194579025902826E-2</v>
      </c>
    </row>
    <row r="3490" spans="24:28" x14ac:dyDescent="0.2">
      <c r="X3490" s="186" t="str">
        <f t="shared" si="88"/>
        <v>1w</v>
      </c>
      <c r="Y3490" s="174">
        <f>_xll.qlCalendarAdvance(Calendar,Y3489,X3490,"f",FALSE)</f>
        <v>63430</v>
      </c>
      <c r="Z3490" s="198">
        <f>_xll.qlCalendarAdvance(Calendar,Y3490,NDays&amp;"D")</f>
        <v>63432</v>
      </c>
      <c r="AA3490" s="173">
        <v>2.0306929729731315E-2</v>
      </c>
      <c r="AB3490" s="182">
        <v>2.0195410392878088E-2</v>
      </c>
    </row>
    <row r="3491" spans="24:28" x14ac:dyDescent="0.2">
      <c r="X3491" s="186" t="str">
        <f t="shared" si="88"/>
        <v>1w</v>
      </c>
      <c r="Y3491" s="174">
        <f>_xll.qlCalendarAdvance(Calendar,Y3490,X3491,"f",FALSE)</f>
        <v>63437</v>
      </c>
      <c r="Z3491" s="198">
        <f>_xll.qlCalendarAdvance(Calendar,Y3491,NDays&amp;"D")</f>
        <v>63439</v>
      </c>
      <c r="AA3491" s="173">
        <v>2.0307581838770346E-2</v>
      </c>
      <c r="AB3491" s="182">
        <v>2.0196228350499723E-2</v>
      </c>
    </row>
    <row r="3492" spans="24:28" x14ac:dyDescent="0.2">
      <c r="X3492" s="186" t="str">
        <f t="shared" si="88"/>
        <v>1w</v>
      </c>
      <c r="Y3492" s="174">
        <f>_xll.qlCalendarAdvance(Calendar,Y3491,X3492,"f",FALSE)</f>
        <v>63444</v>
      </c>
      <c r="Z3492" s="198">
        <f>_xll.qlCalendarAdvance(Calendar,Y3492,NDays&amp;"D")</f>
        <v>63446</v>
      </c>
      <c r="AA3492" s="173">
        <v>2.0308220402722562E-2</v>
      </c>
      <c r="AB3492" s="182">
        <v>2.0197032899167411E-2</v>
      </c>
    </row>
    <row r="3493" spans="24:28" x14ac:dyDescent="0.2">
      <c r="X3493" s="186" t="str">
        <f t="shared" si="88"/>
        <v>1w</v>
      </c>
      <c r="Y3493" s="174">
        <f>_xll.qlCalendarAdvance(Calendar,Y3492,X3493,"f",FALSE)</f>
        <v>63451</v>
      </c>
      <c r="Z3493" s="198">
        <f>_xll.qlCalendarAdvance(Calendar,Y3493,NDays&amp;"D")</f>
        <v>63453</v>
      </c>
      <c r="AA3493" s="173">
        <v>2.0308845421576471E-2</v>
      </c>
      <c r="AB3493" s="182">
        <v>2.0197824038721279E-2</v>
      </c>
    </row>
    <row r="3494" spans="24:28" x14ac:dyDescent="0.2">
      <c r="X3494" s="186" t="str">
        <f t="shared" si="88"/>
        <v>1w</v>
      </c>
      <c r="Y3494" s="174">
        <f>_xll.qlCalendarAdvance(Calendar,Y3493,X3494,"f",FALSE)</f>
        <v>63458</v>
      </c>
      <c r="Z3494" s="198">
        <f>_xll.qlCalendarAdvance(Calendar,Y3494,NDays&amp;"D")</f>
        <v>63460</v>
      </c>
      <c r="AA3494" s="173">
        <v>2.0309456895317945E-2</v>
      </c>
      <c r="AB3494" s="182">
        <v>2.0198601769001456E-2</v>
      </c>
    </row>
    <row r="3495" spans="24:28" x14ac:dyDescent="0.2">
      <c r="X3495" s="186" t="str">
        <f t="shared" si="88"/>
        <v>1w</v>
      </c>
      <c r="Y3495" s="174">
        <f>_xll.qlCalendarAdvance(Calendar,Y3494,X3495,"f",FALSE)</f>
        <v>63465</v>
      </c>
      <c r="Z3495" s="198">
        <f>_xll.qlCalendarAdvance(Calendar,Y3495,NDays&amp;"D")</f>
        <v>63467</v>
      </c>
      <c r="AA3495" s="173">
        <v>2.03106638207055E-2</v>
      </c>
      <c r="AB3495" s="182">
        <v>2.0199366090167814E-2</v>
      </c>
    </row>
    <row r="3496" spans="24:28" x14ac:dyDescent="0.2">
      <c r="X3496" s="186" t="str">
        <f t="shared" si="88"/>
        <v>1w</v>
      </c>
      <c r="Y3496" s="174">
        <f>_xll.qlCalendarAdvance(Calendar,Y3495,X3496,"f",FALSE)</f>
        <v>63472</v>
      </c>
      <c r="Z3496" s="198">
        <f>_xll.qlCalendarAdvance(Calendar,Y3496,NDays&amp;"D")</f>
        <v>63474</v>
      </c>
      <c r="AA3496" s="173">
        <v>2.0311247269422534E-2</v>
      </c>
      <c r="AB3496" s="182">
        <v>2.0200117002300289E-2</v>
      </c>
    </row>
    <row r="3497" spans="24:28" x14ac:dyDescent="0.2">
      <c r="X3497" s="186" t="str">
        <f t="shared" si="88"/>
        <v>1w</v>
      </c>
      <c r="Y3497" s="174">
        <f>_xll.qlCalendarAdvance(Calendar,Y3496,X3497,"f",FALSE)</f>
        <v>63479</v>
      </c>
      <c r="Z3497" s="198">
        <f>_xll.qlCalendarAdvance(Calendar,Y3497,NDays&amp;"D")</f>
        <v>63481</v>
      </c>
      <c r="AA3497" s="173">
        <v>2.0311817172232311E-2</v>
      </c>
      <c r="AB3497" s="182">
        <v>2.0200854505239008E-2</v>
      </c>
    </row>
    <row r="3498" spans="24:28" x14ac:dyDescent="0.2">
      <c r="X3498" s="186" t="str">
        <f t="shared" si="88"/>
        <v>1w</v>
      </c>
      <c r="Y3498" s="174">
        <f>_xll.qlCalendarAdvance(Calendar,Y3497,X3498,"f",FALSE)</f>
        <v>63486</v>
      </c>
      <c r="Z3498" s="198">
        <f>_xll.qlCalendarAdvance(Calendar,Y3498,NDays&amp;"D")</f>
        <v>63488</v>
      </c>
      <c r="AA3498" s="173">
        <v>2.0312373529121221E-2</v>
      </c>
      <c r="AB3498" s="182">
        <v>2.0201578598983971E-2</v>
      </c>
    </row>
    <row r="3499" spans="24:28" x14ac:dyDescent="0.2">
      <c r="X3499" s="186" t="str">
        <f t="shared" si="88"/>
        <v>1w</v>
      </c>
      <c r="Y3499" s="174">
        <f>_xll.qlCalendarAdvance(Calendar,Y3498,X3499,"f",FALSE)</f>
        <v>63493</v>
      </c>
      <c r="Z3499" s="198">
        <f>_xll.qlCalendarAdvance(Calendar,Y3499,NDays&amp;"D")</f>
        <v>63495</v>
      </c>
      <c r="AA3499" s="173">
        <v>2.0312311086919242E-2</v>
      </c>
      <c r="AB3499" s="182">
        <v>2.020228928353518E-2</v>
      </c>
    </row>
    <row r="3500" spans="24:28" x14ac:dyDescent="0.2">
      <c r="X3500" s="186" t="str">
        <f t="shared" si="88"/>
        <v>1w</v>
      </c>
      <c r="Y3500" s="174">
        <f>_xll.qlCalendarAdvance(Calendar,Y3499,X3500,"f",FALSE)</f>
        <v>63500</v>
      </c>
      <c r="Z3500" s="198">
        <f>_xll.qlCalendarAdvance(Calendar,Y3500,NDays&amp;"D")</f>
        <v>63502</v>
      </c>
      <c r="AA3500" s="173">
        <v>2.0312841289737909E-2</v>
      </c>
      <c r="AB3500" s="182">
        <v>2.0202986559052505E-2</v>
      </c>
    </row>
    <row r="3501" spans="24:28" x14ac:dyDescent="0.2">
      <c r="X3501" s="186" t="str">
        <f t="shared" si="88"/>
        <v>1w</v>
      </c>
      <c r="Y3501" s="174">
        <f>_xll.qlCalendarAdvance(Calendar,Y3500,X3501,"f",FALSE)</f>
        <v>63507</v>
      </c>
      <c r="Z3501" s="198">
        <f>_xll.qlCalendarAdvance(Calendar,Y3501,NDays&amp;"D")</f>
        <v>63509</v>
      </c>
      <c r="AA3501" s="173">
        <v>2.0313357947364205E-2</v>
      </c>
      <c r="AB3501" s="182">
        <v>2.0203670425456011E-2</v>
      </c>
    </row>
    <row r="3502" spans="24:28" x14ac:dyDescent="0.2">
      <c r="X3502" s="186" t="str">
        <f t="shared" si="88"/>
        <v>1w</v>
      </c>
      <c r="Y3502" s="174">
        <f>_xll.qlCalendarAdvance(Calendar,Y3501,X3502,"f",FALSE)</f>
        <v>63514</v>
      </c>
      <c r="Z3502" s="198">
        <f>_xll.qlCalendarAdvance(Calendar,Y3502,NDays&amp;"D")</f>
        <v>63516</v>
      </c>
      <c r="AA3502" s="173">
        <v>2.0313861059786203E-2</v>
      </c>
      <c r="AB3502" s="182">
        <v>2.0204340882585825E-2</v>
      </c>
    </row>
    <row r="3503" spans="24:28" x14ac:dyDescent="0.2">
      <c r="X3503" s="186" t="str">
        <f t="shared" si="88"/>
        <v>1w</v>
      </c>
      <c r="Y3503" s="174">
        <f>_xll.qlCalendarAdvance(Calendar,Y3502,X3503,"f",FALSE)</f>
        <v>63521</v>
      </c>
      <c r="Z3503" s="198">
        <f>_xll.qlCalendarAdvance(Calendar,Y3503,NDays&amp;"D")</f>
        <v>63523</v>
      </c>
      <c r="AA3503" s="173">
        <v>2.0314952124377662E-2</v>
      </c>
      <c r="AB3503" s="182">
        <v>2.0204997930681756E-2</v>
      </c>
    </row>
    <row r="3504" spans="24:28" x14ac:dyDescent="0.2">
      <c r="X3504" s="186" t="str">
        <f t="shared" si="88"/>
        <v>1w</v>
      </c>
      <c r="Y3504" s="174">
        <f>_xll.qlCalendarAdvance(Calendar,Y3503,X3504,"f",FALSE)</f>
        <v>63528</v>
      </c>
      <c r="Z3504" s="198">
        <f>_xll.qlCalendarAdvance(Calendar,Y3504,NDays&amp;"D")</f>
        <v>63530</v>
      </c>
      <c r="AA3504" s="173">
        <v>2.0315427205517805E-2</v>
      </c>
      <c r="AB3504" s="182">
        <v>2.0205641569583932E-2</v>
      </c>
    </row>
    <row r="3505" spans="24:28" x14ac:dyDescent="0.2">
      <c r="X3505" s="186" t="str">
        <f t="shared" si="88"/>
        <v>1w</v>
      </c>
      <c r="Y3505" s="174">
        <f>_xll.qlCalendarAdvance(Calendar,Y3504,X3505,"f",FALSE)</f>
        <v>63535</v>
      </c>
      <c r="Z3505" s="198">
        <f>_xll.qlCalendarAdvance(Calendar,Y3505,NDays&amp;"D")</f>
        <v>63537</v>
      </c>
      <c r="AA3505" s="173">
        <v>2.031588874066417E-2</v>
      </c>
      <c r="AB3505" s="182">
        <v>2.0206271799292352E-2</v>
      </c>
    </row>
    <row r="3506" spans="24:28" x14ac:dyDescent="0.2">
      <c r="X3506" s="186" t="str">
        <f t="shared" si="88"/>
        <v>1w</v>
      </c>
      <c r="Y3506" s="174">
        <f>_xll.qlCalendarAdvance(Calendar,Y3505,X3506,"f",FALSE)</f>
        <v>63542</v>
      </c>
      <c r="Z3506" s="198">
        <f>_xll.qlCalendarAdvance(Calendar,Y3506,NDays&amp;"D")</f>
        <v>63544</v>
      </c>
      <c r="AA3506" s="173">
        <v>2.0316336729807972E-2</v>
      </c>
      <c r="AB3506" s="182">
        <v>2.020688861996689E-2</v>
      </c>
    </row>
    <row r="3507" spans="24:28" x14ac:dyDescent="0.2">
      <c r="X3507" s="186" t="str">
        <f t="shared" si="88"/>
        <v>1w</v>
      </c>
      <c r="Y3507" s="174">
        <f>_xll.qlCalendarAdvance(Calendar,Y3506,X3507,"f",FALSE)</f>
        <v>63550</v>
      </c>
      <c r="Z3507" s="198">
        <f>_xll.qlCalendarAdvance(Calendar,Y3507,NDays&amp;"D")</f>
        <v>63552</v>
      </c>
      <c r="AA3507" s="173">
        <v>2.0316832130446286E-2</v>
      </c>
      <c r="AB3507" s="182">
        <v>2.0209405642297451E-2</v>
      </c>
    </row>
    <row r="3508" spans="24:28" x14ac:dyDescent="0.2">
      <c r="X3508" s="186" t="str">
        <f t="shared" si="88"/>
        <v>1w</v>
      </c>
      <c r="Y3508" s="174">
        <f>_xll.qlCalendarAdvance(Calendar,Y3507,X3508,"f",FALSE)</f>
        <v>63557</v>
      </c>
      <c r="Z3508" s="198">
        <f>_xll.qlCalendarAdvance(Calendar,Y3508,NDays&amp;"D")</f>
        <v>63559</v>
      </c>
      <c r="AA3508" s="173">
        <v>2.0316654441763643E-2</v>
      </c>
      <c r="AB3508" s="182">
        <v>2.0209382443194812E-2</v>
      </c>
    </row>
    <row r="3509" spans="24:28" x14ac:dyDescent="0.2">
      <c r="X3509" s="186" t="str">
        <f t="shared" si="88"/>
        <v>1w</v>
      </c>
      <c r="Y3509" s="174">
        <f>_xll.qlCalendarAdvance(Calendar,Y3508,X3509,"f",FALSE)</f>
        <v>63564</v>
      </c>
      <c r="Z3509" s="198">
        <f>_xll.qlCalendarAdvance(Calendar,Y3509,NDays&amp;"D")</f>
        <v>63566</v>
      </c>
      <c r="AA3509" s="173">
        <v>2.0317060802454597E-2</v>
      </c>
      <c r="AB3509" s="182">
        <v>2.0209955269567814E-2</v>
      </c>
    </row>
    <row r="3510" spans="24:28" x14ac:dyDescent="0.2">
      <c r="X3510" s="186" t="str">
        <f t="shared" si="88"/>
        <v>1w</v>
      </c>
      <c r="Y3510" s="174">
        <f>_xll.qlCalendarAdvance(Calendar,Y3509,X3510,"f",FALSE)</f>
        <v>63571</v>
      </c>
      <c r="Z3510" s="198">
        <f>_xll.qlCalendarAdvance(Calendar,Y3510,NDays&amp;"D")</f>
        <v>63573</v>
      </c>
      <c r="AA3510" s="173">
        <v>2.0317453617866178E-2</v>
      </c>
      <c r="AB3510" s="182">
        <v>2.021051468520163E-2</v>
      </c>
    </row>
    <row r="3511" spans="24:28" x14ac:dyDescent="0.2">
      <c r="X3511" s="186" t="str">
        <f t="shared" si="88"/>
        <v>1w</v>
      </c>
      <c r="Y3511" s="174">
        <f>_xll.qlCalendarAdvance(Calendar,Y3510,X3511,"f",FALSE)</f>
        <v>63578</v>
      </c>
      <c r="Z3511" s="198">
        <f>_xll.qlCalendarAdvance(Calendar,Y3511,NDays&amp;"D")</f>
        <v>63580</v>
      </c>
      <c r="AA3511" s="173">
        <v>2.0317832887992642E-2</v>
      </c>
      <c r="AB3511" s="182">
        <v>2.0211060690256133E-2</v>
      </c>
    </row>
    <row r="3512" spans="24:28" x14ac:dyDescent="0.2">
      <c r="X3512" s="186" t="str">
        <f t="shared" si="88"/>
        <v>1w</v>
      </c>
      <c r="Y3512" s="174">
        <f>_xll.qlCalendarAdvance(Calendar,Y3511,X3512,"f",FALSE)</f>
        <v>63585</v>
      </c>
      <c r="Z3512" s="198">
        <f>_xll.qlCalendarAdvance(Calendar,Y3512,NDays&amp;"D")</f>
        <v>63587</v>
      </c>
      <c r="AA3512" s="173">
        <v>2.0318198612824277E-2</v>
      </c>
      <c r="AB3512" s="182">
        <v>2.021159328462474E-2</v>
      </c>
    </row>
    <row r="3513" spans="24:28" x14ac:dyDescent="0.2">
      <c r="X3513" s="186" t="str">
        <f t="shared" si="88"/>
        <v>1w</v>
      </c>
      <c r="Y3513" s="174">
        <f>_xll.qlCalendarAdvance(Calendar,Y3512,X3513,"f",FALSE)</f>
        <v>63592</v>
      </c>
      <c r="Z3513" s="198">
        <f>_xll.qlCalendarAdvance(Calendar,Y3513,NDays&amp;"D")</f>
        <v>63594</v>
      </c>
      <c r="AA3513" s="173">
        <v>2.0318550792355339E-2</v>
      </c>
      <c r="AB3513" s="182">
        <v>2.0212112468334098E-2</v>
      </c>
    </row>
    <row r="3514" spans="24:28" x14ac:dyDescent="0.2">
      <c r="X3514" s="186" t="str">
        <f t="shared" si="88"/>
        <v>1w</v>
      </c>
      <c r="Y3514" s="174">
        <f>_xll.qlCalendarAdvance(Calendar,Y3513,X3514,"f",FALSE)</f>
        <v>63599</v>
      </c>
      <c r="Z3514" s="198">
        <f>_xll.qlCalendarAdvance(Calendar,Y3514,NDays&amp;"D")</f>
        <v>63601</v>
      </c>
      <c r="AA3514" s="173">
        <v>2.031888942657788E-2</v>
      </c>
      <c r="AB3514" s="182">
        <v>2.0212618241437497E-2</v>
      </c>
    </row>
    <row r="3515" spans="24:28" x14ac:dyDescent="0.2">
      <c r="X3515" s="186" t="str">
        <f t="shared" si="88"/>
        <v>1w</v>
      </c>
      <c r="Y3515" s="174">
        <f>_xll.qlCalendarAdvance(Calendar,Y3514,X3515,"f",FALSE)</f>
        <v>63606</v>
      </c>
      <c r="Z3515" s="198">
        <f>_xll.qlCalendarAdvance(Calendar,Y3515,NDays&amp;"D")</f>
        <v>63608</v>
      </c>
      <c r="AA3515" s="173">
        <v>2.0319214515485278E-2</v>
      </c>
      <c r="AB3515" s="182">
        <v>2.0213110603828355E-2</v>
      </c>
    </row>
    <row r="3516" spans="24:28" x14ac:dyDescent="0.2">
      <c r="X3516" s="186" t="str">
        <f t="shared" si="88"/>
        <v>1w</v>
      </c>
      <c r="Y3516" s="174">
        <f>_xll.qlCalendarAdvance(Calendar,Y3515,X3516,"f",FALSE)</f>
        <v>63613</v>
      </c>
      <c r="Z3516" s="198">
        <f>_xll.qlCalendarAdvance(Calendar,Y3516,NDays&amp;"D")</f>
        <v>63615</v>
      </c>
      <c r="AA3516" s="173">
        <v>2.0321881931550313E-2</v>
      </c>
      <c r="AB3516" s="182">
        <v>2.0213589555666545E-2</v>
      </c>
    </row>
    <row r="3517" spans="24:28" x14ac:dyDescent="0.2">
      <c r="X3517" s="186" t="str">
        <f t="shared" si="88"/>
        <v>1w</v>
      </c>
      <c r="Y3517" s="174">
        <f>_xll.qlCalendarAdvance(Calendar,Y3516,X3517,"f",FALSE)</f>
        <v>63620</v>
      </c>
      <c r="Z3517" s="198">
        <f>_xll.qlCalendarAdvance(Calendar,Y3517,NDays&amp;"D")</f>
        <v>63622</v>
      </c>
      <c r="AA3517" s="173">
        <v>2.0322176125787714E-2</v>
      </c>
      <c r="AB3517" s="182">
        <v>2.0214055096765549E-2</v>
      </c>
    </row>
    <row r="3518" spans="24:28" x14ac:dyDescent="0.2">
      <c r="X3518" s="186" t="str">
        <f t="shared" si="88"/>
        <v>1w</v>
      </c>
      <c r="Y3518" s="174">
        <f>_xll.qlCalendarAdvance(Calendar,Y3517,X3518,"f",FALSE)</f>
        <v>63627</v>
      </c>
      <c r="Z3518" s="198">
        <f>_xll.qlCalendarAdvance(Calendar,Y3518,NDays&amp;"D")</f>
        <v>63629</v>
      </c>
      <c r="AA3518" s="173">
        <v>2.0322456771647131E-2</v>
      </c>
      <c r="AB3518" s="182">
        <v>2.0214507227285239E-2</v>
      </c>
    </row>
    <row r="3519" spans="24:28" x14ac:dyDescent="0.2">
      <c r="X3519" s="186" t="str">
        <f t="shared" si="88"/>
        <v>1w</v>
      </c>
      <c r="Y3519" s="174">
        <f>_xll.qlCalendarAdvance(Calendar,Y3518,X3519,"f",FALSE)</f>
        <v>63634</v>
      </c>
      <c r="Z3519" s="198">
        <f>_xll.qlCalendarAdvance(Calendar,Y3519,NDays&amp;"D")</f>
        <v>63636</v>
      </c>
      <c r="AA3519" s="173">
        <v>2.0322723869123375E-2</v>
      </c>
      <c r="AB3519" s="182">
        <v>2.0214945947145679E-2</v>
      </c>
    </row>
    <row r="3520" spans="24:28" x14ac:dyDescent="0.2">
      <c r="X3520" s="186" t="str">
        <f t="shared" si="88"/>
        <v>1w</v>
      </c>
      <c r="Y3520" s="174">
        <f>_xll.qlCalendarAdvance(Calendar,Y3519,X3520,"f",FALSE)</f>
        <v>63641</v>
      </c>
      <c r="Z3520" s="198">
        <f>_xll.qlCalendarAdvance(Calendar,Y3520,NDays&amp;"D")</f>
        <v>63643</v>
      </c>
      <c r="AA3520" s="173">
        <v>2.0321222043422717E-2</v>
      </c>
      <c r="AB3520" s="182">
        <v>2.021537125634687E-2</v>
      </c>
    </row>
    <row r="3521" spans="24:28" x14ac:dyDescent="0.2">
      <c r="X3521" s="186" t="str">
        <f t="shared" si="88"/>
        <v>1w</v>
      </c>
      <c r="Y3521" s="174">
        <f>_xll.qlCalendarAdvance(Calendar,Y3520,X3521,"f",FALSE)</f>
        <v>63648</v>
      </c>
      <c r="Z3521" s="198">
        <f>_xll.qlCalendarAdvance(Calendar,Y3521,NDays&amp;"D")</f>
        <v>63650</v>
      </c>
      <c r="AA3521" s="173">
        <v>2.0323217418903018E-2</v>
      </c>
      <c r="AB3521" s="182">
        <v>2.0215783154862166E-2</v>
      </c>
    </row>
    <row r="3522" spans="24:28" x14ac:dyDescent="0.2">
      <c r="X3522" s="186" t="str">
        <f t="shared" si="88"/>
        <v>1w</v>
      </c>
      <c r="Y3522" s="174">
        <f>_xll.qlCalendarAdvance(Calendar,Y3521,X3522,"f",FALSE)</f>
        <v>63655</v>
      </c>
      <c r="Z3522" s="198">
        <f>_xll.qlCalendarAdvance(Calendar,Y3522,NDays&amp;"D")</f>
        <v>63661</v>
      </c>
      <c r="AA3522" s="173">
        <v>2.0322401919077342E-2</v>
      </c>
      <c r="AB3522" s="182">
        <v>2.0215213235683649E-2</v>
      </c>
    </row>
    <row r="3523" spans="24:28" x14ac:dyDescent="0.2">
      <c r="X3523" s="186" t="str">
        <f t="shared" si="88"/>
        <v>1w</v>
      </c>
      <c r="Y3523" s="174">
        <f>_xll.qlCalendarAdvance(Calendar,Y3522,X3523,"f",FALSE)</f>
        <v>63662</v>
      </c>
      <c r="Z3523" s="198">
        <f>_xll.qlCalendarAdvance(Calendar,Y3523,NDays&amp;"D")</f>
        <v>63664</v>
      </c>
      <c r="AA3523" s="173">
        <v>2.0323656775084725E-2</v>
      </c>
      <c r="AB3523" s="182">
        <v>2.0216566719994944E-2</v>
      </c>
    </row>
    <row r="3524" spans="24:28" x14ac:dyDescent="0.2">
      <c r="X3524" s="186" t="str">
        <f t="shared" si="88"/>
        <v>1w</v>
      </c>
      <c r="Y3524" s="174">
        <f>_xll.qlCalendarAdvance(Calendar,Y3523,X3524,"f",FALSE)</f>
        <v>63669</v>
      </c>
      <c r="Z3524" s="198">
        <f>_xll.qlCalendarAdvance(Calendar,Y3524,NDays&amp;"D")</f>
        <v>63671</v>
      </c>
      <c r="AA3524" s="173">
        <v>2.0323856130565601E-2</v>
      </c>
      <c r="AB3524" s="182">
        <v>2.0216938386585781E-2</v>
      </c>
    </row>
    <row r="3525" spans="24:28" x14ac:dyDescent="0.2">
      <c r="X3525" s="186" t="str">
        <f t="shared" si="88"/>
        <v>1w</v>
      </c>
      <c r="Y3525" s="174">
        <f>_xll.qlCalendarAdvance(Calendar,Y3524,X3525,"f",FALSE)</f>
        <v>63676</v>
      </c>
      <c r="Z3525" s="198">
        <f>_xll.qlCalendarAdvance(Calendar,Y3525,NDays&amp;"D")</f>
        <v>63678</v>
      </c>
      <c r="AA3525" s="173">
        <v>2.0324041937633496E-2</v>
      </c>
      <c r="AB3525" s="182">
        <v>2.0217296642517368E-2</v>
      </c>
    </row>
    <row r="3526" spans="24:28" x14ac:dyDescent="0.2">
      <c r="X3526" s="186" t="str">
        <f t="shared" si="88"/>
        <v>1w</v>
      </c>
      <c r="Y3526" s="174">
        <f>_xll.qlCalendarAdvance(Calendar,Y3525,X3526,"f",FALSE)</f>
        <v>63683</v>
      </c>
      <c r="Z3526" s="198">
        <f>_xll.qlCalendarAdvance(Calendar,Y3526,NDays&amp;"D")</f>
        <v>63685</v>
      </c>
      <c r="AA3526" s="173" t="e">
        <v>#N/A</v>
      </c>
      <c r="AB3526" s="182">
        <v>2.0217641487816351E-2</v>
      </c>
    </row>
    <row r="3527" spans="24:28" x14ac:dyDescent="0.2">
      <c r="X3527" s="186" t="str">
        <f t="shared" si="88"/>
        <v>1w</v>
      </c>
      <c r="Y3527" s="174">
        <f>_xll.qlCalendarAdvance(Calendar,Y3526,X3527,"f",FALSE)</f>
        <v>63690</v>
      </c>
      <c r="Z3527" s="198">
        <f>_xll.qlCalendarAdvance(Calendar,Y3527,NDays&amp;"D")</f>
        <v>63692</v>
      </c>
      <c r="AA3527" s="173" t="e">
        <v>#N/A</v>
      </c>
      <c r="AB3527" s="182">
        <v>2.0217972922509375E-2</v>
      </c>
    </row>
    <row r="3528" spans="24:28" x14ac:dyDescent="0.2">
      <c r="X3528" s="186" t="str">
        <f t="shared" si="88"/>
        <v>1w</v>
      </c>
      <c r="Y3528" s="174">
        <f>_xll.qlCalendarAdvance(Calendar,Y3527,X3528,"f",FALSE)</f>
        <v>63697</v>
      </c>
      <c r="Z3528" s="198">
        <f>_xll.qlCalendarAdvance(Calendar,Y3528,NDays&amp;"D")</f>
        <v>63699</v>
      </c>
      <c r="AA3528" s="173" t="e">
        <v>#N/A</v>
      </c>
      <c r="AB3528" s="182">
        <v>2.0218290946489859E-2</v>
      </c>
    </row>
    <row r="3529" spans="24:28" x14ac:dyDescent="0.2">
      <c r="X3529" s="186" t="str">
        <f t="shared" si="88"/>
        <v>1w</v>
      </c>
      <c r="Y3529" s="174">
        <f>_xll.qlCalendarAdvance(Calendar,Y3528,X3529,"f",FALSE)</f>
        <v>63704</v>
      </c>
      <c r="Z3529" s="198">
        <f>_xll.qlCalendarAdvance(Calendar,Y3529,NDays&amp;"D")</f>
        <v>63706</v>
      </c>
      <c r="AA3529" s="173" t="e">
        <v>#N/A</v>
      </c>
      <c r="AB3529" s="182">
        <v>2.0218595559837738E-2</v>
      </c>
    </row>
    <row r="3530" spans="24:28" x14ac:dyDescent="0.2">
      <c r="X3530" s="186" t="str">
        <f t="shared" si="88"/>
        <v>1w</v>
      </c>
      <c r="Y3530" s="174">
        <f>_xll.qlCalendarAdvance(Calendar,Y3529,X3530,"f",FALSE)</f>
        <v>63711</v>
      </c>
      <c r="Z3530" s="198">
        <f>_xll.qlCalendarAdvance(Calendar,Y3530,NDays&amp;"D")</f>
        <v>63713</v>
      </c>
      <c r="AA3530" s="173" t="e">
        <v>#N/A</v>
      </c>
      <c r="AB3530" s="182">
        <v>2.0218886762526367E-2</v>
      </c>
    </row>
    <row r="3531" spans="24:28" x14ac:dyDescent="0.2">
      <c r="X3531" s="186" t="str">
        <f t="shared" si="88"/>
        <v>1w</v>
      </c>
      <c r="Y3531" s="174">
        <f>_xll.qlCalendarAdvance(Calendar,Y3530,X3531,"f",FALSE)</f>
        <v>63718</v>
      </c>
      <c r="Z3531" s="198">
        <f>_xll.qlCalendarAdvance(Calendar,Y3531,NDays&amp;"D")</f>
        <v>63720</v>
      </c>
      <c r="AA3531" s="173" t="e">
        <v>#N/A</v>
      </c>
      <c r="AB3531" s="182">
        <v>2.0219164554582392E-2</v>
      </c>
    </row>
    <row r="3532" spans="24:28" x14ac:dyDescent="0.2">
      <c r="X3532" s="186" t="str">
        <f t="shared" si="88"/>
        <v>1w</v>
      </c>
      <c r="Y3532" s="174">
        <f>_xll.qlCalendarAdvance(Calendar,Y3531,X3532,"f",FALSE)</f>
        <v>63725</v>
      </c>
      <c r="Z3532" s="198">
        <f>_xll.qlCalendarAdvance(Calendar,Y3532,NDays&amp;"D")</f>
        <v>63727</v>
      </c>
      <c r="AA3532" s="173" t="e">
        <v>#N/A</v>
      </c>
      <c r="AB3532" s="182">
        <v>2.0219428935979167E-2</v>
      </c>
    </row>
    <row r="3533" spans="24:28" x14ac:dyDescent="0.2">
      <c r="X3533" s="186" t="str">
        <f t="shared" si="88"/>
        <v>1w</v>
      </c>
      <c r="Y3533" s="174">
        <f>_xll.qlCalendarAdvance(Calendar,Y3532,X3533,"f",FALSE)</f>
        <v>63732</v>
      </c>
      <c r="Z3533" s="198">
        <f>_xll.qlCalendarAdvance(Calendar,Y3533,NDays&amp;"D")</f>
        <v>63734</v>
      </c>
      <c r="AA3533" s="173" t="e">
        <v>#N/A</v>
      </c>
      <c r="AB3533" s="182">
        <v>2.0219679906743337E-2</v>
      </c>
    </row>
    <row r="3534" spans="24:28" x14ac:dyDescent="0.2">
      <c r="X3534" s="186" t="str">
        <f t="shared" si="88"/>
        <v>1w</v>
      </c>
      <c r="Y3534" s="174">
        <f>_xll.qlCalendarAdvance(Calendar,Y3533,X3534,"f",FALSE)</f>
        <v>63739</v>
      </c>
      <c r="Z3534" s="198">
        <f>_xll.qlCalendarAdvance(Calendar,Y3534,NDays&amp;"D")</f>
        <v>63741</v>
      </c>
      <c r="AA3534" s="173" t="e">
        <v>#N/A</v>
      </c>
      <c r="AB3534" s="182">
        <v>2.0219917466848258E-2</v>
      </c>
    </row>
    <row r="3535" spans="24:28" x14ac:dyDescent="0.2">
      <c r="X3535" s="186" t="str">
        <f t="shared" si="88"/>
        <v>1w</v>
      </c>
      <c r="Y3535" s="174">
        <f>_xll.qlCalendarAdvance(Calendar,Y3534,X3535,"f",FALSE)</f>
        <v>63746</v>
      </c>
      <c r="Z3535" s="198">
        <f>_xll.qlCalendarAdvance(Calendar,Y3535,NDays&amp;"D")</f>
        <v>63748</v>
      </c>
      <c r="AA3535" s="173" t="e">
        <v>#N/A</v>
      </c>
      <c r="AB3535" s="182">
        <v>2.0220141616267284E-2</v>
      </c>
    </row>
    <row r="3536" spans="24:28" x14ac:dyDescent="0.2">
      <c r="X3536" s="186" t="str">
        <f t="shared" si="88"/>
        <v>1w</v>
      </c>
      <c r="Y3536" s="174">
        <f>_xll.qlCalendarAdvance(Calendar,Y3535,X3536,"f",FALSE)</f>
        <v>63753</v>
      </c>
      <c r="Z3536" s="198">
        <f>_xll.qlCalendarAdvance(Calendar,Y3536,NDays&amp;"D")</f>
        <v>63755</v>
      </c>
      <c r="AA3536" s="173" t="e">
        <v>#N/A</v>
      </c>
      <c r="AB3536" s="182">
        <v>2.0220352355080351E-2</v>
      </c>
    </row>
    <row r="3537" spans="2:28" x14ac:dyDescent="0.2">
      <c r="X3537" s="186" t="str">
        <f t="shared" si="88"/>
        <v>1w</v>
      </c>
      <c r="Y3537" s="174">
        <f>_xll.qlCalendarAdvance(Calendar,Y3536,X3537,"f",FALSE)</f>
        <v>63760</v>
      </c>
      <c r="Z3537" s="198">
        <f>_xll.qlCalendarAdvance(Calendar,Y3537,NDays&amp;"D")</f>
        <v>63762</v>
      </c>
      <c r="AA3537" s="173" t="e">
        <v>#N/A</v>
      </c>
      <c r="AB3537" s="182">
        <v>2.0220549683207523E-2</v>
      </c>
    </row>
    <row r="3538" spans="2:28" x14ac:dyDescent="0.2">
      <c r="X3538" s="186" t="str">
        <f t="shared" si="88"/>
        <v>1w</v>
      </c>
      <c r="Y3538" s="174">
        <f>_xll.qlCalendarAdvance(Calendar,Y3537,X3538,"f",FALSE)</f>
        <v>63767</v>
      </c>
      <c r="Z3538" s="198">
        <f>_xll.qlCalendarAdvance(Calendar,Y3538,NDays&amp;"D")</f>
        <v>63769</v>
      </c>
      <c r="AA3538" s="173" t="e">
        <v>#N/A</v>
      </c>
      <c r="AB3538" s="182">
        <v>2.0220733600728735E-2</v>
      </c>
    </row>
    <row r="3539" spans="2:28" x14ac:dyDescent="0.2">
      <c r="X3539" s="186" t="str">
        <f t="shared" si="88"/>
        <v>1w</v>
      </c>
      <c r="Y3539" s="174">
        <f>_xll.qlCalendarAdvance(Calendar,Y3538,X3539,"f",FALSE)</f>
        <v>63774</v>
      </c>
      <c r="Z3539" s="198">
        <f>_xll.qlCalendarAdvance(Calendar,Y3539,NDays&amp;"D")</f>
        <v>63776</v>
      </c>
      <c r="AA3539" s="173" t="e">
        <v>#N/A</v>
      </c>
      <c r="AB3539" s="182">
        <v>2.0220904107537407E-2</v>
      </c>
    </row>
    <row r="3540" spans="2:28" x14ac:dyDescent="0.2">
      <c r="B3540" s="174"/>
      <c r="C3540" s="198"/>
      <c r="D3540" s="173"/>
      <c r="E3540" s="173"/>
      <c r="X3540" s="186" t="str">
        <f t="shared" si="88"/>
        <v>1w</v>
      </c>
      <c r="Y3540" s="174">
        <f>_xll.qlCalendarAdvance(Calendar,Y3539,X3540,"f",FALSE)</f>
        <v>63781</v>
      </c>
      <c r="Z3540" s="198">
        <f>_xll.qlCalendarAdvance(Calendar,Y3540,NDays&amp;"D")</f>
        <v>63783</v>
      </c>
      <c r="AA3540" s="173" t="e">
        <v>#N/A</v>
      </c>
      <c r="AB3540" s="182">
        <v>2.0221061203766766E-2</v>
      </c>
    </row>
    <row r="3541" spans="2:28" x14ac:dyDescent="0.2">
      <c r="B3541" s="174"/>
      <c r="C3541" s="198"/>
      <c r="D3541" s="173"/>
      <c r="E3541" s="173"/>
      <c r="X3541" s="186" t="str">
        <f t="shared" ref="X3541:X3552" si="89">X3540</f>
        <v>1w</v>
      </c>
      <c r="Y3541" s="174">
        <f>_xll.qlCalendarAdvance(Calendar,Y3540,X3541,"f",FALSE)</f>
        <v>63788</v>
      </c>
      <c r="Z3541" s="198">
        <f>_xll.qlCalendarAdvance(Calendar,Y3541,NDays&amp;"D")</f>
        <v>63790</v>
      </c>
      <c r="AA3541" s="173" t="e">
        <v>#N/A</v>
      </c>
      <c r="AB3541" s="182">
        <v>2.0221204889336875E-2</v>
      </c>
    </row>
    <row r="3542" spans="2:28" x14ac:dyDescent="0.2">
      <c r="B3542" s="174"/>
      <c r="C3542" s="198"/>
      <c r="D3542" s="173"/>
      <c r="E3542" s="173"/>
      <c r="X3542" s="186" t="str">
        <f t="shared" si="89"/>
        <v>1w</v>
      </c>
      <c r="Y3542" s="174">
        <f>_xll.qlCalendarAdvance(Calendar,Y3541,X3542,"f",FALSE)</f>
        <v>63795</v>
      </c>
      <c r="Z3542" s="198">
        <f>_xll.qlCalendarAdvance(Calendar,Y3542,NDays&amp;"D")</f>
        <v>63797</v>
      </c>
      <c r="AA3542" s="173" t="e">
        <v>#N/A</v>
      </c>
      <c r="AB3542" s="182">
        <v>2.0221335164221088E-2</v>
      </c>
    </row>
    <row r="3543" spans="2:28" x14ac:dyDescent="0.2">
      <c r="B3543" s="174"/>
      <c r="C3543" s="198"/>
      <c r="D3543" s="173"/>
      <c r="E3543" s="173"/>
      <c r="X3543" s="186" t="str">
        <f t="shared" si="89"/>
        <v>1w</v>
      </c>
      <c r="Y3543" s="174">
        <f>_xll.qlCalendarAdvance(Calendar,Y3542,X3543,"f",FALSE)</f>
        <v>63802</v>
      </c>
      <c r="Z3543" s="198">
        <f>_xll.qlCalendarAdvance(Calendar,Y3543,NDays&amp;"D")</f>
        <v>63804</v>
      </c>
      <c r="AA3543" s="173" t="e">
        <v>#N/A</v>
      </c>
      <c r="AB3543" s="182">
        <v>2.0221452028472697E-2</v>
      </c>
    </row>
    <row r="3544" spans="2:28" x14ac:dyDescent="0.2">
      <c r="B3544" s="174"/>
      <c r="C3544" s="198"/>
      <c r="D3544" s="173"/>
      <c r="E3544" s="173"/>
      <c r="X3544" s="186" t="str">
        <f t="shared" si="89"/>
        <v>1w</v>
      </c>
      <c r="Y3544" s="174">
        <f>_xll.qlCalendarAdvance(Calendar,Y3543,X3544,"f",FALSE)</f>
        <v>63809</v>
      </c>
      <c r="Z3544" s="198">
        <f>_xll.qlCalendarAdvance(Calendar,Y3544,NDays&amp;"D")</f>
        <v>63811</v>
      </c>
      <c r="AA3544" s="173" t="e">
        <v>#N/A</v>
      </c>
      <c r="AB3544" s="182">
        <v>2.0221555482011766E-2</v>
      </c>
    </row>
    <row r="3545" spans="2:28" x14ac:dyDescent="0.2">
      <c r="B3545" s="174"/>
      <c r="C3545" s="198"/>
      <c r="D3545" s="173"/>
      <c r="E3545" s="173"/>
      <c r="X3545" s="186" t="str">
        <f t="shared" si="89"/>
        <v>1w</v>
      </c>
      <c r="Y3545" s="174">
        <f>_xll.qlCalendarAdvance(Calendar,Y3544,X3545,"f",FALSE)</f>
        <v>63816</v>
      </c>
      <c r="Z3545" s="198">
        <f>_xll.qlCalendarAdvance(Calendar,Y3545,NDays&amp;"D")</f>
        <v>63818</v>
      </c>
      <c r="AA3545" s="173" t="e">
        <v>#N/A</v>
      </c>
      <c r="AB3545" s="182">
        <v>2.0221645524971521E-2</v>
      </c>
    </row>
    <row r="3546" spans="2:28" x14ac:dyDescent="0.2">
      <c r="B3546" s="174"/>
      <c r="C3546" s="198"/>
      <c r="D3546" s="173"/>
      <c r="E3546" s="173"/>
      <c r="X3546" s="186" t="str">
        <f t="shared" si="89"/>
        <v>1w</v>
      </c>
      <c r="Y3546" s="174">
        <f>_xll.qlCalendarAdvance(Calendar,Y3545,X3546,"f",FALSE)</f>
        <v>63823</v>
      </c>
      <c r="Z3546" s="198">
        <f>_xll.qlCalendarAdvance(Calendar,Y3546,NDays&amp;"D")</f>
        <v>63825</v>
      </c>
      <c r="AA3546" s="173" t="e">
        <v>#N/A</v>
      </c>
      <c r="AB3546" s="182">
        <v>2.0221722157298672E-2</v>
      </c>
    </row>
    <row r="3547" spans="2:28" x14ac:dyDescent="0.2">
      <c r="B3547" s="174"/>
      <c r="C3547" s="198"/>
      <c r="D3547" s="173"/>
      <c r="E3547" s="173"/>
      <c r="X3547" s="186" t="str">
        <f t="shared" si="89"/>
        <v>1w</v>
      </c>
      <c r="Y3547" s="174">
        <f>_xll.qlCalendarAdvance(Calendar,Y3546,X3547,"f",FALSE)</f>
        <v>63830</v>
      </c>
      <c r="Z3547" s="198">
        <f>_xll.qlCalendarAdvance(Calendar,Y3547,NDays&amp;"D")</f>
        <v>63832</v>
      </c>
      <c r="AA3547" s="173" t="e">
        <v>#N/A</v>
      </c>
      <c r="AB3547" s="182">
        <v>2.0221785378939927E-2</v>
      </c>
    </row>
    <row r="3548" spans="2:28" x14ac:dyDescent="0.2">
      <c r="B3548" s="174"/>
      <c r="C3548" s="198"/>
      <c r="D3548" s="173"/>
      <c r="E3548" s="173"/>
      <c r="X3548" s="186" t="str">
        <f t="shared" si="89"/>
        <v>1w</v>
      </c>
      <c r="Y3548" s="174">
        <f>_xll.qlCalendarAdvance(Calendar,Y3547,X3548,"f",FALSE)</f>
        <v>63837</v>
      </c>
      <c r="Z3548" s="198">
        <f>_xll.qlCalendarAdvance(Calendar,Y3548,NDays&amp;"D")</f>
        <v>63839</v>
      </c>
      <c r="AA3548" s="173" t="e">
        <v>#N/A</v>
      </c>
      <c r="AB3548" s="182">
        <v>2.0221835189921933E-2</v>
      </c>
    </row>
    <row r="3549" spans="2:28" x14ac:dyDescent="0.2">
      <c r="B3549" s="174"/>
      <c r="C3549" s="198"/>
      <c r="D3549" s="173"/>
      <c r="E3549" s="173"/>
      <c r="X3549" s="186" t="str">
        <f t="shared" si="89"/>
        <v>1w</v>
      </c>
      <c r="Y3549" s="174">
        <f>_xll.qlCalendarAdvance(Calendar,Y3548,X3549,"f",FALSE)</f>
        <v>63844</v>
      </c>
      <c r="Z3549" s="198">
        <f>_xll.qlCalendarAdvance(Calendar,Y3549,NDays&amp;"D")</f>
        <v>63846</v>
      </c>
      <c r="AA3549" s="173" t="e">
        <v>#N/A</v>
      </c>
      <c r="AB3549" s="182">
        <v>2.0221871590244689E-2</v>
      </c>
    </row>
    <row r="3550" spans="2:28" x14ac:dyDescent="0.2">
      <c r="B3550" s="174"/>
      <c r="C3550" s="198"/>
      <c r="D3550" s="173"/>
      <c r="E3550" s="173"/>
      <c r="X3550" s="186" t="str">
        <f t="shared" si="89"/>
        <v>1w</v>
      </c>
      <c r="Y3550" s="174">
        <f>_xll.qlCalendarAdvance(Calendar,Y3549,X3550,"f",FALSE)</f>
        <v>63851</v>
      </c>
      <c r="Z3550" s="198">
        <f>_xll.qlCalendarAdvance(Calendar,Y3550,NDays&amp;"D")</f>
        <v>63853</v>
      </c>
      <c r="AA3550" s="173" t="e">
        <v>#N/A</v>
      </c>
      <c r="AB3550" s="182">
        <v>2.0221894579908195E-2</v>
      </c>
    </row>
    <row r="3551" spans="2:28" x14ac:dyDescent="0.2">
      <c r="B3551" s="174"/>
      <c r="C3551" s="198"/>
      <c r="D3551" s="173"/>
      <c r="E3551" s="173"/>
      <c r="X3551" s="186" t="str">
        <f t="shared" si="89"/>
        <v>1w</v>
      </c>
      <c r="Y3551" s="174">
        <f>_xll.qlCalendarAdvance(Calendar,Y3550,X3551,"f",FALSE)</f>
        <v>63858</v>
      </c>
      <c r="Z3551" s="198">
        <f>_xll.qlCalendarAdvance(Calendar,Y3551,NDays&amp;"D")</f>
        <v>63860</v>
      </c>
      <c r="AA3551" s="173" t="e">
        <v>#N/A</v>
      </c>
      <c r="AB3551" s="182">
        <v>2.0221904158939097E-2</v>
      </c>
    </row>
    <row r="3552" spans="2:28" ht="12" thickBot="1" x14ac:dyDescent="0.25">
      <c r="B3552" s="174"/>
      <c r="C3552" s="198"/>
      <c r="D3552" s="173"/>
      <c r="E3552" s="173"/>
      <c r="X3552" s="187" t="str">
        <f t="shared" si="89"/>
        <v>1w</v>
      </c>
      <c r="Y3552" s="184">
        <f>_xll.qlCalendarAdvance(Calendar,Y3551,X3552,"f",FALSE)</f>
        <v>63865</v>
      </c>
      <c r="Z3552" s="207">
        <f>_xll.qlCalendarAdvance(Calendar,Y3552,NDays&amp;"D")</f>
        <v>63867</v>
      </c>
      <c r="AA3552" s="200" t="e">
        <v>#N/A</v>
      </c>
      <c r="AB3552" s="185" t="e">
        <v>#N/A</v>
      </c>
    </row>
    <row r="3553" spans="2:24" x14ac:dyDescent="0.2">
      <c r="B3553" s="174"/>
      <c r="C3553" s="198"/>
      <c r="D3553" s="173"/>
      <c r="E3553" s="173"/>
      <c r="X3553" s="175"/>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ForwardSwaps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2014-10-30T14:45:10Z</dcterms:modified>
</cp:coreProperties>
</file>